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601eaf217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Read Me" sheetId="1" r:id="R0ed30f63e1644c72"/>
    <x:sheet xmlns:r="http://schemas.openxmlformats.org/officeDocument/2006/relationships" name="01 Control" sheetId="2" r:id="R7a8e58006cff4279"/>
    <x:sheet xmlns:r="http://schemas.openxmlformats.org/officeDocument/2006/relationships" name="02 Sources" sheetId="3" r:id="R982b9997f64741b1"/>
    <x:sheet xmlns:r="http://schemas.openxmlformats.org/officeDocument/2006/relationships" name="03 Coverage" sheetId="4" r:id="R8282a76d2ed1415f"/>
    <x:sheet xmlns:r="http://schemas.openxmlformats.org/officeDocument/2006/relationships" name="04 Thresholds" sheetId="5" r:id="R505033648cdb4f6c"/>
    <x:sheet xmlns:r="http://schemas.openxmlformats.org/officeDocument/2006/relationships" name="05 References" sheetId="6" r:id="R2ff79c182e1a4bca"/>
    <x:sheet xmlns:r="http://schemas.openxmlformats.org/officeDocument/2006/relationships" name="06 Reference Tracts" sheetId="7" r:id="R13fd82d64bee4936"/>
    <x:sheet xmlns:r="http://schemas.openxmlformats.org/officeDocument/2006/relationships" name="07 Holdouts" sheetId="8" r:id="Rc1af5470cd784d81"/>
    <x:sheet xmlns:r="http://schemas.openxmlformats.org/officeDocument/2006/relationships" name="08 Candidates" sheetId="9" r:id="Rd6cd055309f5498e"/>
    <x:sheet xmlns:r="http://schemas.openxmlformats.org/officeDocument/2006/relationships" name="09 Tracts" sheetId="10" r:id="Rcc683f756fbe440a"/>
    <x:sheet xmlns:r="http://schemas.openxmlformats.org/officeDocument/2006/relationships" name="10 Sensitivity" sheetId="11" r:id="Rb315e736c2c545e4"/>
    <x:sheet xmlns:r="http://schemas.openxmlformats.org/officeDocument/2006/relationships" name="11 QA" sheetId="12" r:id="R62d5a2b111ad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:ss"/>
    <x:numFmt numFmtId="201" formatCode="#,##0"/>
    <x:numFmt numFmtId="202" formatCode="#,##0.00"/>
    <x:numFmt numFmtId="203" formatCode="0.0%"/>
    <x:numFmt numFmtId="204" formatCode="0.000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526575"/>
      <x:name val="Carlito"/>
    </x:font>
    <x:font>
      <x:b/>
      <x:sz val="11"/>
      <x:color rgb="FFFFFFFF"/>
      <x:name val="Carlito"/>
    </x:font>
    <x:font>
      <x:sz val="11"/>
      <x:color rgb="FF17202A"/>
      <x:name val="Carlito"/>
    </x:font>
    <x:font>
      <x:b/>
      <x:sz val="18"/>
      <x:color rgb="FFFFFFFF"/>
      <x:name val="Carlito"/>
    </x:font>
    <x:font>
      <x:i/>
      <x:sz val="10"/>
      <x:color rgb="FF526575"/>
      <x:name val="Carlito"/>
    </x:font>
    <x:font>
      <x:sz val="9"/>
      <x:color rgb="FF1720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2"/>
      </x:patternFill>
    </x:fill>
    <x:fill>
      <x:patternFill patternType="solid">
        <x:fgColor rgb="FF2B5D7D"/>
      </x:patternFill>
    </x:fill>
    <x:fill>
      <x:patternFill patternType="solid">
        <x:fgColor rgb="FFF4F7F8"/>
      </x:patternFill>
    </x:fill>
    <x:fill>
      <x:patternFill patternType="solid">
        <x:fgColor rgb="FFDDEFF4"/>
      </x:patternFill>
    </x:fill>
    <x:fill>
      <x:patternFill patternType="solid">
        <x:fgColor rgb="FFFCE5CD"/>
      </x:patternFill>
    </x:fill>
  </x:fills>
  <x:borders count="2">
    <x:border/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wrapText="1"/>
    </x:xf>
    <x:xf numFmtId="204" fontId="7" fillId="0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7202A"/>
      </x:font>
      <x:fill>
        <x:patternFill patternType="solid">
          <x:bgColor rgb="FFD9EAD3"/>
        </x:patternFill>
      </x:fill>
    </x:dxf>
    <x:dxf>
      <x:font>
        <x:b/>
        <x:color rgb="FF17202A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ba90b3f3543d9" /><Relationship Type="http://schemas.openxmlformats.org/officeDocument/2006/relationships/theme" Target="/xl/theme/theme1.xml" Id="Rd8f57eb665864fc0" /><Relationship Type="http://schemas.microsoft.com/office/2022/11/relationships/FeaturePropertyBag" Target="/xl/featurePropertyBag/featurePropertyBag.xml" Id="Rd608c2d9f0934e3b" /><Relationship Type="http://schemas.openxmlformats.org/officeDocument/2006/relationships/sharedStrings" Target="/xl/sharedStrings.xml" Id="Radf6bf775a6f4af6" /><Relationship Type="http://schemas.openxmlformats.org/officeDocument/2006/relationships/worksheet" Target="/xl/worksheets/sheet1.xml" Id="R0ed30f63e1644c72" /><Relationship Type="http://schemas.openxmlformats.org/officeDocument/2006/relationships/worksheet" Target="/xl/worksheets/sheet2.xml" Id="R7a8e58006cff4279" /><Relationship Type="http://schemas.openxmlformats.org/officeDocument/2006/relationships/worksheet" Target="/xl/worksheets/sheet3.xml" Id="R982b9997f64741b1" /><Relationship Type="http://schemas.openxmlformats.org/officeDocument/2006/relationships/worksheet" Target="/xl/worksheets/sheet4.xml" Id="R8282a76d2ed1415f" /><Relationship Type="http://schemas.openxmlformats.org/officeDocument/2006/relationships/worksheet" Target="/xl/worksheets/sheet5.xml" Id="R505033648cdb4f6c" /><Relationship Type="http://schemas.openxmlformats.org/officeDocument/2006/relationships/worksheet" Target="/xl/worksheets/sheet6.xml" Id="R2ff79c182e1a4bca" /><Relationship Type="http://schemas.openxmlformats.org/officeDocument/2006/relationships/worksheet" Target="/xl/worksheets/sheet7.xml" Id="R13fd82d64bee4936" /><Relationship Type="http://schemas.openxmlformats.org/officeDocument/2006/relationships/worksheet" Target="/xl/worksheets/sheet8.xml" Id="Rc1af5470cd784d81" /><Relationship Type="http://schemas.openxmlformats.org/officeDocument/2006/relationships/worksheet" Target="/xl/worksheets/sheet9.xml" Id="Rd6cd055309f5498e" /><Relationship Type="http://schemas.openxmlformats.org/officeDocument/2006/relationships/worksheet" Target="/xl/worksheets/sheet10.xml" Id="Rcc683f756fbe440a" /><Relationship Type="http://schemas.openxmlformats.org/officeDocument/2006/relationships/worksheet" Target="/xl/worksheets/sheet11.xml" Id="Rb315e736c2c545e4" /><Relationship Type="http://schemas.openxmlformats.org/officeDocument/2006/relationships/worksheet" Target="/xl/worksheets/sheet12.xml" Id="R62d5a2b111ad42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Manifest" displayName="SourceManifest" ref="A4:I11" headerRowCount="1" totalsRowCount="0" totalsRowShown="0">
  <x:tableColumns count="9">
    <x:tableColumn id="1" name="Source ID"/>
    <x:tableColumn id="2" name="Title"/>
    <x:tableColumn id="3" name="Retrieved UTC"/>
    <x:tableColumn id="4" name="Rows"/>
    <x:tableColumn id="5" name="Bytes"/>
    <x:tableColumn id="6" name="SHA-256"/>
    <x:tableColumn id="7" name="Metadata SHA-256"/>
    <x:tableColumn id="8" name="Reconstructable URL"/>
    <x:tableColumn id="9" name="Inferential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4:E12" headerRowCount="1" totalsRowCount="0" totalsRowShown="0">
  <x:tableColumns count="5">
    <x:tableColumn id="1" name="Measure"/>
    <x:tableColumn id="2" name="Observed"/>
    <x:tableColumn id="3" name="Denominator"/>
    <x:tableColumn id="4" name="Share"/>
    <x:tableColumn id="5" name="Mea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resholdRules" displayName="ThresholdRules" ref="A4:F12" headerRowCount="1" totalsRowCount="0" totalsRowShown="0">
  <x:tableColumns count="6">
    <x:tableColumn id="1" name="ID"/>
    <x:tableColumn id="2" name="Archetype"/>
    <x:tableColumn id="3" name="Measure"/>
    <x:tableColumn id="4" name="Rule"/>
    <x:tableColumn id="5" name="Frozen value"/>
    <x:tableColumn id="6" name="Un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erenceCatchments" displayName="ReferenceCatchments" ref="A4:Y16" headerRowCount="1" totalsRowCount="0" totalsRowShown="0">
  <x:tableColumns count="25">
    <x:tableColumn id="1" name="Catchment"/>
    <x:tableColumn id="2" name="Archetype"/>
    <x:tableColumn id="3" name="Slot"/>
    <x:tableColumn id="4" name="Candidate ID"/>
    <x:tableColumn id="5" name="Selection hash"/>
    <x:tableColumn id="6" name="Tracts"/>
    <x:tableColumn id="7" name="Population"/>
    <x:tableColumn id="8" name="Primary borough"/>
    <x:tableColumn id="9" name="Dominant NTA"/>
    <x:tableColumn id="10" name="Density / sq mi"/>
    <x:tableColumn id="11" name="Residential units"/>
    <x:tableColumn id="12" name="Mean floors"/>
    <x:tableColumn id="13" name="High-rise share"/>
    <x:tableColumn id="14" name="Mid-rise share"/>
    <x:tableColumn id="15" name="Campus share"/>
    <x:tableColumn id="16" name="Mean roof ft"/>
    <x:tableColumn id="17" name="Max roof ft"/>
    <x:tableColumn id="18" name="Active devices"/>
    <x:tableColumn id="19" name="Devices / 1k"/>
    <x:tableColumn id="20" name="Mean HVI"/>
    <x:tableColumn id="21" name="HVI 4–5 share"/>
    <x:tableColumn id="22" name="Facility distance mi"/>
    <x:tableColumn id="23" name="HVI coverage"/>
    <x:tableColumn id="24" name="Roof coverage"/>
    <x:tableColumn id="25" name="Component GEOI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ferenceTracts" displayName="ReferenceTracts" ref="A4:K91" headerRowCount="1" totalsRowCount="0" totalsRowShown="0">
  <x:tableColumns count="11">
    <x:tableColumn id="1" name="Catchment"/>
    <x:tableColumn id="2" name="Archetype"/>
    <x:tableColumn id="3" name="GEOID"/>
    <x:tableColumn id="4" name="Borough"/>
    <x:tableColumn id="5" name="NTA"/>
    <x:tableColumn id="6" name="Population"/>
    <x:tableColumn id="7" name="Residential units"/>
    <x:tableColumn id="8" name="Mean floors"/>
    <x:tableColumn id="9" name="Active devices"/>
    <x:tableColumn id="10" name="HVI 4–5 share"/>
    <x:tableColumn id="11" name="Facility distance m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oldoutCommitments" displayName="HoldoutCommitments" ref="A4:G7" headerRowCount="1" totalsRowCount="0" totalsRowShown="0">
  <x:tableColumns count="7">
    <x:tableColumn id="1" name="Holdout"/>
    <x:tableColumn id="2" name="Archetype"/>
    <x:tableColumn id="3" name="Slot"/>
    <x:tableColumn id="4" name="SHA-256 commitment"/>
    <x:tableColumn id="5" name="Population band"/>
    <x:tableColumn id="6" name="State"/>
    <x:tableColumn id="7" name="Disclosu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ndidateUniverse" displayName="CandidateUniverse" ref="A4:AC848" headerRowCount="1" totalsRowCount="0" totalsRowShown="0">
  <x:tableColumns count="29">
    <x:tableColumn id="1" name="Candidate ID"/>
    <x:tableColumn id="2" name="Selection hash"/>
    <x:tableColumn id="3" name="Tracts"/>
    <x:tableColumn id="4" name="Population"/>
    <x:tableColumn id="5" name="Primary borough"/>
    <x:tableColumn id="6" name="Dominant NTA"/>
    <x:tableColumn id="7" name="Density / sq mi"/>
    <x:tableColumn id="8" name="Residential units"/>
    <x:tableColumn id="9" name="Mean floors"/>
    <x:tableColumn id="10" name="High-rise share"/>
    <x:tableColumn id="11" name="Mid-rise share"/>
    <x:tableColumn id="12" name="Campus share"/>
    <x:tableColumn id="13" name="Mean roof ft"/>
    <x:tableColumn id="14" name="Active devices"/>
    <x:tableColumn id="15" name="Devices / 1k"/>
    <x:tableColumn id="16" name="Mean HVI"/>
    <x:tableColumn id="17" name="HVI 4–5 share"/>
    <x:tableColumn id="18" name="Facility distance mi"/>
    <x:tableColumn id="19" name="Disability share"/>
    <x:tableColumn id="20" name="Age 65+ share"/>
    <x:tableColumn id="21" name="HVI coverage"/>
    <x:tableColumn id="22" name="Roof coverage"/>
    <x:tableColumn id="23" name="Archetype count"/>
    <x:tableColumn id="24" name="Selection role"/>
    <x:tableColumn id="25" name="Eligible V1"/>
    <x:tableColumn id="26" name="Eligible V2"/>
    <x:tableColumn id="27" name="Eligible V3"/>
    <x:tableColumn id="28" name="Selected archetype"/>
    <x:tableColumn id="29" name="Reference catchme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actEvidence" displayName="TractEvidence" ref="A4:AD2329" headerRowCount="1" totalsRowCount="0" totalsRowShown="0">
  <x:tableColumns count="30">
    <x:tableColumn id="1" name="GEOID"/>
    <x:tableColumn id="2" name="Borough"/>
    <x:tableColumn id="3" name="Tract"/>
    <x:tableColumn id="4" name="NTA code"/>
    <x:tableColumn id="5" name="NTA"/>
    <x:tableColumn id="6" name="Area sq mi"/>
    <x:tableColumn id="7" name="Centroid lat"/>
    <x:tableColumn id="8" name="Centroid lon"/>
    <x:tableColumn id="9" name="Population"/>
    <x:tableColumn id="10" name="Density / sq mi"/>
    <x:tableColumn id="11" name="Civilian noninst."/>
    <x:tableColumn id="12" name="Disability share"/>
    <x:tableColumn id="13" name="Age 65+ share"/>
    <x:tableColumn id="14" name="PLUTO lots"/>
    <x:tableColumn id="15" name="Residential units"/>
    <x:tableColumn id="16" name="Mean floors"/>
    <x:tableColumn id="17" name="High-rise share"/>
    <x:tableColumn id="18" name="Mid-rise share"/>
    <x:tableColumn id="19" name="Campus share"/>
    <x:tableColumn id="20" name="Mean roof ft"/>
    <x:tableColumn id="21" name="Max roof ft"/>
    <x:tableColumn id="22" name="Active devices"/>
    <x:tableColumn id="23" name="Devices / 1k"/>
    <x:tableColumn id="24" name="Mean HVI"/>
    <x:tableColumn id="25" name="HVI 4–5 share"/>
    <x:tableColumn id="26" name="HVI coverage"/>
    <x:tableColumn id="27" name="Roof coverage"/>
    <x:tableColumn id="28" name="Facility distance mi"/>
    <x:tableColumn id="29" name="Neighbors"/>
    <x:tableColumn id="30" name="Eligib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nsitivityTable" displayName="SensitivityTable" ref="A4:D19" headerRowCount="1" totalsRowCount="0" totalsRowShown="0">
  <x:tableColumns count="4">
    <x:tableColumn id="1" name="Archetype"/>
    <x:tableColumn id="2" name="Alternative setting"/>
    <x:tableColumn id="3" name="Eligible candidates"/>
    <x:tableColumn id="4" name="Frozen references satisfying alterna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e277747f11d42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3a0160296b348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3ec081f7e954b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97171176ab945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8b51f5ff4b54a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61e0be1266341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3290c35286243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bdc5337f3624e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74ee39c1474c3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NEW YORK L0 — OUTCOME-BLIND CATCHMENT REHEARSAL</x:v>
      </x:c>
    </x:row>
    <x:row r="2" ht="34" customHeight="1">
      <x:c r="A2" s="6" t="str">
        <x:v>A reproducible evidence surface for choosing reference and holdout urban test catchments before architecture outcomes exist.</x:v>
      </x:c>
    </x:row>
    <x:row r="4" ht="44" customHeight="1">
      <x:c r="A4" s="15" t="str">
        <x:v>STATE</x:v>
      </x:c>
      <x:c r="B4" s="16" t="str">
        <x:v>Operator rehearsal only; L0 remains open. Twelve provisional references are disclosed. Street-network topology, independent reproduction, and salted holdout custody remain pending.</x:v>
      </x:c>
    </x:row>
    <x:row r="5" ht="44" customHeight="1">
      <x:c r="A5" s="15" t="str">
        <x:v>WHAT THIS DOES</x:v>
      </x:c>
      <x:c r="B5" s="16" t="str">
        <x:v>Builds contiguous 32,000–38,000-person candidate catchments; applies frozen archetype rules; selects disjoint references and holdouts by deterministic hash order.</x:v>
      </x:c>
    </x:row>
    <x:row r="6" ht="44" customHeight="1">
      <x:c r="A6" s="15" t="str">
        <x:v>WHAT THIS DOES NOT DO</x:v>
      </x:c>
      <x:c r="B6" s="16" t="str">
        <x:v>No A2/S3 outcome appears here. No street-network access, building interior access, occupied-building operability, cooling-site readiness, or incident demand is inferred.</x:v>
      </x:c>
    </x:row>
    <x:row r="7" ht="44" customHeight="1">
      <x:c r="A7" s="15" t="str">
        <x:v>POPULATION</x:v>
      </x:c>
      <x:c r="B7" s="16" t="str">
        <x:v>Exact 2020 Census POP100 counts via TIGERweb. These are a stable design denominator, not a claim about current population or disaster-time occupancy.</x:v>
      </x:c>
    </x:row>
    <x:row r="8" ht="44" customHeight="1">
      <x:c r="A8" s="15" t="str">
        <x:v>DEMOGRAPHICS</x:v>
      </x:c>
      <x:c r="B8" s="16" t="str">
        <x:v>Disability and age covariates were not acquired in L0 after the 2024 ACS API required a key. Blank means unmeasured, never zero; neither field affects selection.</x:v>
      </x:c>
    </x:row>
    <x:row r="9" ht="44" customHeight="1">
      <x:c r="A9" s="15" t="str">
        <x:v>HOLDOUTS</x:v>
      </x:c>
      <x:c r="B9" s="16" t="str">
        <x:v>The workbook withholds rehearsal-holdout GEOIDs and metrics and publishes SHA-256 commitments. Because the algorithm and unsalted universe are public, secrecy requires an external salted custodian.</x:v>
      </x:c>
    </x:row>
    <x:row r="10" ht="44" customHeight="1">
      <x:c r="A10" s="15" t="str">
        <x:v>REPRODUCTION</x:v>
      </x:c>
      <x:c r="B10" s="16" t="str">
        <x:v>02 Sources freezes row counts, byte sizes, hashes, metadata hashes, reconstructable URLs, and inferential boundaries. 08 Candidates exposes the full selection universe.</x:v>
      </x:c>
    </x:row>
    <x:row r="11" ht="44" customHeight="1">
      <x:c r="A11" s="15" t="str">
        <x:v>LINEAGE</x:v>
      </x:c>
      <x:c r="B11" s="16" t="str">
        <x:v>Protocol DF-NYC-HB-PR38-v1; run DF-NYC-L0-PR39-v1. source EPSG:4326; metric operations EPSG:2263. DCP tract polygons touch; street-network requirement not yet implemented.</x:v>
      </x:c>
    </x:row>
    <x:row r="12" ht="44" customHeight="1">
      <x:c r="A12" s="15" t="str">
        <x:v>USE ORDER</x:v>
      </x:c>
      <x:c r="B12" s="16" t="str">
        <x:v>Read 01 Control → 04 Thresholds → 05 References → 07 Holdouts → 11 QA. Use the larger candidate and tract sheets for audit or alternative pre-outcome sensitivity analysis only.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48" hidden="0" customWidth="1"/>
  </x:cols>
  <x:sheetData>
    <x:row r="1" ht="30" customHeight="1">
      <x:c r="A1" s="18" t="str">
        <x:v>01 Control</x:v>
      </x:c>
    </x:row>
    <x:row r="2" ht="34" customHeight="1">
      <x:c r="A2" s="21" t="str">
        <x:v>Live formulas reconcile the visible workbook. These counts do not authorize A2/S3 testing or rendering.</x:v>
      </x:c>
    </x:row>
    <x:row r="4" ht="30" customHeight="1">
      <x:c r="A4" s="24" t="str">
        <x:v>Measure</x:v>
      </x:c>
      <x:c r="B4" s="24" t="str">
        <x:v>Workbook formula</x:v>
      </x:c>
      <x:c r="C4" s="24" t="str">
        <x:v>Declared value</x:v>
      </x:c>
      <x:c r="D4" s="24" t="str">
        <x:v>Interpretation</x:v>
      </x:c>
    </x:row>
    <x:row r="5">
      <x:c r="A5" s="26" t="str">
        <x:v>Source snapshots</x:v>
      </x:c>
      <x:c r="B5" s="27" t="n">
        <x:f>COUNTA('02 Sources'!A5:A11)</x:f>
        <x:v>7</x:v>
      </x:c>
      <x:c r="C5" s="28" t="n">
        <x:v>7</x:v>
      </x:c>
      <x:c r="D5" s="26" t="str">
        <x:v>Six NYC extracts plus one Census tract extract</x:v>
      </x:c>
    </x:row>
    <x:row r="6">
      <x:c r="A6" s="26" t="str">
        <x:v>Candidate catchments</x:v>
      </x:c>
      <x:c r="B6" s="27" t="n">
        <x:f>COUNTA('08 Candidates'!A5:A848)</x:f>
        <x:v>844</x:v>
      </x:c>
      <x:c r="C6" s="28" t="n">
        <x:v>844</x:v>
      </x:c>
      <x:c r="D6" s="26" t="str">
        <x:v>Unique contiguous population-bounded candidates</x:v>
      </x:c>
    </x:row>
    <x:row r="7">
      <x:c r="A7" s="26" t="str">
        <x:v>V1 candidate pool</x:v>
      </x:c>
      <x:c r="B7" s="27" t="n">
        <x:f>SUM('08 Candidates'!Y5:Y848)</x:f>
        <x:v>80</x:v>
      </x:c>
      <x:c r="C7" s="28" t="n">
        <x:v>80</x:v>
      </x:c>
      <x:c r="D7" s="26" t="str">
        <x:v>Tower-intensive rule</x:v>
      </x:c>
    </x:row>
    <x:row r="8">
      <x:c r="A8" s="26" t="str">
        <x:v>V2 candidate pool</x:v>
      </x:c>
      <x:c r="B8" s="27" t="n">
        <x:f>SUM('08 Candidates'!Z5:Z848)</x:f>
        <x:v>170</x:v>
      </x:c>
      <x:c r="C8" s="28" t="n">
        <x:v>170</x:v>
      </x:c>
      <x:c r="D8" s="26" t="str">
        <x:v>Mid-rise heat-burden rule</x:v>
      </x:c>
    </x:row>
    <x:row r="9">
      <x:c r="A9" s="26" t="str">
        <x:v>V3 candidate pool</x:v>
      </x:c>
      <x:c r="B9" s="27" t="n">
        <x:f>SUM('08 Candidates'!AA5:AA848)</x:f>
        <x:v>25</x:v>
      </x:c>
      <x:c r="C9" s="28" t="n">
        <x:v>25</x:v>
      </x:c>
      <x:c r="D9" s="26" t="str">
        <x:v>Campus/service-friction rule</x:v>
      </x:c>
    </x:row>
    <x:row r="10">
      <x:c r="A10" s="26" t="str">
        <x:v>Reference catchments</x:v>
      </x:c>
      <x:c r="B10" s="27" t="n">
        <x:f>COUNTA('05 References'!A5:A16)</x:f>
        <x:v>12</x:v>
      </x:c>
      <x:c r="C10" s="28" t="n">
        <x:v>12</x:v>
      </x:c>
      <x:c r="D10" s="26" t="str">
        <x:v>Four per archetype</x:v>
      </x:c>
    </x:row>
    <x:row r="11">
      <x:c r="A11" s="26" t="str">
        <x:v>Reference tract rows</x:v>
      </x:c>
      <x:c r="B11" s="27" t="n">
        <x:f>COUNTA('06 Reference Tracts'!A5:A91)</x:f>
        <x:v>87</x:v>
      </x:c>
      <x:c r="C11" s="28" t="n">
        <x:v>87</x:v>
      </x:c>
      <x:c r="D11" s="26" t="str">
        <x:v>Composition ledger rows</x:v>
      </x:c>
    </x:row>
    <x:row r="12">
      <x:c r="A12" s="26" t="str">
        <x:v>Holdout commitments</x:v>
      </x:c>
      <x:c r="B12" s="27" t="n">
        <x:f>COUNTA('07 Holdouts'!A5:A7)</x:f>
        <x:v>3</x:v>
      </x:c>
      <x:c r="C12" s="28" t="n">
        <x:v>3</x:v>
      </x:c>
      <x:c r="D12" s="26" t="str">
        <x:v>One per archetype; composition withheld</x:v>
      </x:c>
    </x:row>
    <x:row r="13">
      <x:c r="A13" s="26" t="str">
        <x:v>Outcome columns</x:v>
      </x:c>
      <x:c r="B13" s="27" t="n">
        <x:f>0</x:f>
        <x:v>0</x:v>
      </x:c>
      <x:c r="C13" s="28" t="n">
        <x:v>0</x:v>
      </x:c>
      <x:c r="D13" s="26" t="str">
        <x:v>No A2/S3 results</x:v>
      </x:c>
    </x:row>
    <x:row r="14">
      <x:c r="A14" s="26" t="str">
        <x:v>Rendering authorization</x:v>
      </x:c>
      <x:c r="B14" s="27" t="n">
        <x:f>0</x:f>
        <x:v>0</x:v>
      </x:c>
      <x:c r="C14" s="28" t="n">
        <x:v>0</x:v>
      </x:c>
      <x:c r="D14" s="26" t="str">
        <x:v>Not yet earned</x:v>
      </x:c>
    </x:row>
    <x:row r="15">
      <x:c r="A15" s="26" t="str">
        <x:v>External salted custody</x:v>
      </x:c>
      <x:c r="B15" s="27" t="n">
        <x:f>0</x:f>
        <x:v>0</x:v>
      </x:c>
      <x:c r="C15" s="28" t="n">
        <x:v>0</x:v>
      </x:c>
      <x:c r="D15" s="26" t="str">
        <x:v>Required before holdout secrecy is credible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6" hidden="0" customWidth="1"/>
    <x:col min="2" max="2" width="37.88999938964844" hidden="0" customWidth="1"/>
    <x:col min="3" max="3" width="14" hidden="0" customWidth="1"/>
    <x:col min="4" max="4" width="7.110000133514404" hidden="0" customWidth="1"/>
    <x:col min="5" max="5" width="7.110000133514404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</x:cols>
  <x:sheetData>
    <x:row r="1" ht="30" customHeight="1">
      <x:c r="A1" s="45" t="str">
        <x:v>02 Sources</x:v>
      </x:c>
    </x:row>
    <x:row r="2" ht="34" customHeight="1">
      <x:c r="A2" s="21" t="str">
        <x:v>Frozen source inventory. SHA-256 applies to the exact downloaded bytes used for this artifact; URLs reconstruct the declared query surface.</x:v>
      </x:c>
    </x:row>
    <x:row r="4" ht="34" customHeight="1">
      <x:c r="A4" s="24" t="str">
        <x:v>Source ID</x:v>
      </x:c>
      <x:c r="B4" s="24" t="str">
        <x:v>Title</x:v>
      </x:c>
      <x:c r="C4" s="24" t="str">
        <x:v>Retrieved UTC</x:v>
      </x:c>
      <x:c r="D4" s="24" t="str">
        <x:v>Rows</x:v>
      </x:c>
      <x:c r="E4" s="24" t="str">
        <x:v>Bytes</x:v>
      </x:c>
      <x:c r="F4" s="24" t="str">
        <x:v>SHA-256</x:v>
      </x:c>
      <x:c r="G4" s="24" t="str">
        <x:v>Metadata SHA-256</x:v>
      </x:c>
      <x:c r="H4" s="24" t="str">
        <x:v>Reconstructable URL</x:v>
      </x:c>
      <x:c r="I4" s="24" t="str">
        <x:v>Inferential boundary</x:v>
      </x:c>
    </x:row>
    <x:row r="5">
      <x:c r="A5" s="32" t="str">
        <x:v>NYC-TRACTS26B</x:v>
      </x:c>
      <x:c r="B5" s="32" t="str">
        <x:v>NYC DCP 2020 Census Tracts 26b</x:v>
      </x:c>
      <x:c r="C5" s="33" t="n">
        <x:v>46270.8821044213</x:v>
      </x:c>
      <x:c r="D5" s="34" t="n">
        <x:v>2325</x:v>
      </x:c>
      <x:c r="E5" s="34" t="n">
        <x:v>7766422</x:v>
      </x:c>
      <x:c r="F5" s="32" t="str">
        <x:v>2cf430498a673e69382cce3c16603a0d635cd28e38a49ede818afcc719170e18</x:v>
      </x:c>
      <x:c r="G5" s="32" t="str">
        <x:v>b312e9c40b624cd75f2bdbde0419dfef085d2a607ca3511d8be78e2c51830006</x:v>
      </x:c>
      <x:c r="H5" s="32" t="str">
        <x:v>https://data.cityofnewyork.us/resource/63ge-mke6.geojson?$limit=5000</x:v>
      </x:c>
      <x:c r="I5" s="32" t="str">
        <x:v>modified land geometry; not a street network</x:v>
      </x:c>
    </x:row>
    <x:row r="6">
      <x:c r="A6" s="32" t="str">
        <x:v>NYC-HVI24</x:v>
      </x:c>
      <x:c r="B6" s="32" t="str">
        <x:v>NYC DOHMH Heat Vulnerability Index Rankings</x:v>
      </x:c>
      <x:c r="C6" s="33" t="n">
        <x:v>46270.88210899306</x:v>
      </x:c>
      <x:c r="D6" s="34" t="n">
        <x:v>184</x:v>
      </x:c>
      <x:c r="E6" s="34" t="n">
        <x:v>2223</x:v>
      </x:c>
      <x:c r="F6" s="32" t="str">
        <x:v>f6d545a38fe19aff8a3d722d71568bb380ceb40ecf9bea1cd2037a4ed3e91166</x:v>
      </x:c>
      <x:c r="G6" s="32" t="str">
        <x:v>bf49faa782922ee5a0b05cb0779a8d7f4e12a638f2718eb18a4d15685a2ce40a</x:v>
      </x:c>
      <x:c r="H6" s="32" t="str">
        <x:v>https://data.cityofnewyork.us/resource/4mhf-duep.csv?$limit=5000</x:v>
      </x:c>
      <x:c r="I6" s="32" t="str">
        <x:v>ZCTA planning index; not person-level risk</x:v>
      </x:c>
    </x:row>
    <x:row r="7">
      <x:c r="A7" s="32" t="str">
        <x:v>NYC-PLUTO</x:v>
      </x:c>
      <x:c r="B7" s="32" t="str">
        <x:v>NYC DCP PLUTO residential extraction</x:v>
      </x:c>
      <x:c r="C7" s="33" t="n">
        <x:v>46270.88250363426</x:v>
      </x:c>
      <x:c r="D7" s="34" t="n">
        <x:v>767349</x:v>
      </x:c>
      <x:c r="E7" s="34" t="n">
        <x:v>80635540</x:v>
      </x:c>
      <x:c r="F7" s="32" t="str">
        <x:v>099c56f47e64c81b07e8674570ca873b1e88bd1165332da6de9ecf15b762b3d0</x:v>
      </x:c>
      <x:c r="G7" s="32" t="str">
        <x:v>61ca3398101f4ebc368117ec903dd01673363616ee89cadbfe5a9e690c364504</x:v>
      </x:c>
      <x:c r="H7" s="32" t="str">
        <x:v>https://data.cityofnewyork.us/resource/64uk-42ks.csv?$select=bbl,bct2020,zipcode,numfloors,unitsres,numbldgs,bldgarea,lotarea,landuse,latitude,longitude&amp;$where=unitsres%3E0%20and%20bct2020%20is%20not%20null&amp;$order=bbl&amp;$limit=1000000</x:v>
      </x:c>
      <x:c r="I7" s="32" t="str">
        <x:v>administrative lot records; not occupancy or operability</x:v>
      </x:c>
    </x:row>
    <x:row r="8">
      <x:c r="A8" s="32" t="str">
        <x:v>NYC-BUILDINGS</x:v>
      </x:c>
      <x:c r="B8" s="32" t="str">
        <x:v>NYC OTI Building Footprints aggregated by MapPLUTO BBL</x:v>
      </x:c>
      <x:c r="C8" s="33" t="n">
        <x:v>46270.884333761576</x:v>
      </x:c>
      <x:c r="D8" s="34" t="n">
        <x:v>815086</x:v>
      </x:c>
      <x:c r="E8" s="34" t="n">
        <x:v>32632383</x:v>
      </x:c>
      <x:c r="F8" s="32" t="str">
        <x:v>203ba9d5b526df3830329c8c02aeeeb74b4b479b924982cdc21aac7084b45df2</x:v>
      </x:c>
      <x:c r="G8" s="32" t="str">
        <x:v>af7822017380268635d1cba3c6320e6276de05b7609ca7d8517152db3c5b78bf</x:v>
      </x:c>
      <x:c r="H8" s="32" t="str">
        <x:v>https://data.cityofnewyork.us/resource/5zhs-2jue.csv?$select=mappluto_bbl,count(*)%20as%20footprint_count,max(height_roof)%20as%20max_roof_ft,sum(shape_area)%20as%20footprint_area&amp;$where=mappluto_bbl%20is%20not%20null%20and%20last_status_type=%27Constructed%27&amp;$group=mappluto_bbl&amp;$order=mappluto_bbl&amp;$limit=1000000</x:v>
      </x:c>
      <x:c r="I8" s="32" t="str">
        <x:v>footprint and roof geometry; not interior access</x:v>
      </x:c>
    </x:row>
    <x:row r="9">
      <x:c r="A9" s="32" t="str">
        <x:v>NYC-ELEV-COMPLIANCE</x:v>
      </x:c>
      <x:c r="B9" s="32" t="str">
        <x:v>NYC DOB elevator safety compliance extraction</x:v>
      </x:c>
      <x:c r="C9" s="33" t="n">
        <x:v>46270.885409131944</x:v>
      </x:c>
      <x:c r="D9" s="34" t="n">
        <x:v>120403</x:v>
      </x:c>
      <x:c r="E9" s="34" t="n">
        <x:v>13860708</x:v>
      </x:c>
      <x:c r="F9" s="32" t="str">
        <x:v>cfac37f246b507e91bb53b27320ca3a6a6a9772b3b8a4a1b267bb7fb76d0814d</x:v>
      </x:c>
      <x:c r="G9" s="32" t="str">
        <x:v>fb99a80fc8d5f941d0aba48065713b4a85eaf8054f6a25227382b893ab87e794</x:v>
      </x:c>
      <x:c r="H9" s="32" t="str">
        <x:v>https://data.cityofnewyork.us/resource/e5aq-a4j2.csv?$select=device_number,device_type,device_status,status_date,equipment_type,bin,bbl,censustract,latitude,longitude&amp;$order=device_number,status_date&amp;$limit=500000</x:v>
      </x:c>
      <x:c r="I9" s="32" t="str">
        <x:v>administrative compliance device record; not incident availability</x:v>
      </x:c>
    </x:row>
    <x:row r="10">
      <x:c r="A10" s="32" t="str">
        <x:v>NYC-FACDB26V1</x:v>
      </x:c>
      <x:c r="B10" s="32" t="str">
        <x:v>NYC DCP Facilities Database extraction</x:v>
      </x:c>
      <x:c r="C10" s="33" t="n">
        <x:v>46270.88454988426</x:v>
      </x:c>
      <x:c r="D10" s="34" t="n">
        <x:v>34446</x:v>
      </x:c>
      <x:c r="E10" s="34" t="n">
        <x:v>7255698</x:v>
      </x:c>
      <x:c r="F10" s="32" t="str">
        <x:v>31eba4bcd32861ae461d3d6342a758f9157f661a374d84854a74aeb69c1a783a</x:v>
      </x:c>
      <x:c r="G10" s="32" t="str">
        <x:v>0b6f571d562c2a4554c153fdc0e6219d75ccd803ab7eb995f524a31401815154</x:v>
      </x:c>
      <x:c r="H10" s="32" t="str">
        <x:v>https://data.cityofnewyork.us/resource/ji82-xba5.csv?$select=uid,facname,boro,latitude,longitude,ct2020,facgroup,facsubgrp,factype,capacity,optype,servarea&amp;$where=latitude%20is%20not%20null%20and%20longitude%20is%20not%20null&amp;$order=uid&amp;$limit=100000</x:v>
      </x:c>
      <x:c r="I10" s="32" t="str">
        <x:v>facility presence; not emergency service, cooling, access or capacity</x:v>
      </x:c>
    </x:row>
    <x:row r="11">
      <x:c r="A11" s="32" t="str">
        <x:v>CENSUS20-TRACT-POP</x:v>
      </x:c>
      <x:c r="B11" s="32" t="str">
        <x:v>2020 Census tract population and housing units via TIGERweb</x:v>
      </x:c>
      <x:c r="C11" s="33" t="n">
        <x:v>46270.89040042824</x:v>
      </x:c>
      <x:c r="D11" s="34" t="n">
        <x:v>2327</x:v>
      </x:c>
      <x:c r="E11" s="34" t="n">
        <x:v>409736</x:v>
      </x:c>
      <x:c r="F11" s="32" t="str">
        <x:v>6ca54dc32bf4a5d085258a8efa7533f42540ad504567587c7a0f2fd21ea74417</x:v>
      </x:c>
      <x:c r="G11" s="32" t="str">
        <x:v>584e62502f5037bb36dfb2b0d5f0a8d53ac63aa84627e2ffdf2082a0a10c599d</x:v>
      </x:c>
      <x:c r="H11" s="32" t="str">
        <x:v>https://tigerweb.geo.census.gov/arcgis/rest/services/TIGERweb/tigerWMS_Census2020/MapServer/6/query?where=STATE%3D%2736%27%20AND%20COUNTY%20IN%20%28%27005%27%2C%27047%27%2C%27061%27%2C%27081%27%2C%27085%27%29&amp;outFields=GEOID%2CSTATE%2CCOUNTY%2CTRACT%2CAREALAND%2CAREAWATER%2CHU100%2CPOP100&amp;returnGeometry=false&amp;f=geojson</x:v>
      </x:c>
      <x:c r="I11" s="32" t="str">
        <x:v>exact 2020 census count; not current event demand or demographic vulnerability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e277747f11d428b"/>
  </x:tableParts>
</x:worksheet>
</file>

<file path=xl/worksheets/sheet4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10.220000267028809" hidden="0" customWidth="1"/>
    <x:col min="3" max="3" width="12.779999732971191" hidden="0" customWidth="1"/>
    <x:col min="4" max="4" width="8.329999923706055" hidden="0" customWidth="1"/>
    <x:col min="5" max="5" width="40.33000183105469" hidden="0" customWidth="1"/>
  </x:cols>
  <x:sheetData>
    <x:row r="1" ht="30" customHeight="1">
      <x:c r="A1" s="45" t="str">
        <x:v>03 Coverage</x:v>
      </x:c>
    </x:row>
    <x:row r="2" ht="34" customHeight="1">
      <x:c r="A2" s="21" t="str">
        <x:v>Coverage is reported before interpretation. A high join rate does not convert an administrative record into an operational measurement.</x:v>
      </x:c>
    </x:row>
    <x:row r="4" ht="34" customHeight="1">
      <x:c r="A4" s="24" t="str">
        <x:v>Measure</x:v>
      </x:c>
      <x:c r="B4" s="24" t="str">
        <x:v>Observed</x:v>
      </x:c>
      <x:c r="C4" s="24" t="str">
        <x:v>Denominator</x:v>
      </x:c>
      <x:c r="D4" s="24" t="str">
        <x:v>Share</x:v>
      </x:c>
      <x:c r="E4" s="24" t="str">
        <x:v>Meaning</x:v>
      </x:c>
    </x:row>
    <x:row r="5">
      <x:c r="A5" s="32" t="str">
        <x:v>DCP land tracts</x:v>
      </x:c>
      <x:c r="B5" s="35" t="n">
        <x:v>2325</x:v>
      </x:c>
      <x:c r="C5" s="35" t="n">
        <x:v>2325</x:v>
      </x:c>
      <x:c r="D5" s="36" t="n">
        <x:v>1</x:v>
      </x:c>
      <x:c r="E5" s="32" t="str">
        <x:v>rows in 26b tract geometry</x:v>
      </x:c>
    </x:row>
    <x:row r="6">
      <x:c r="A6" s="32" t="str">
        <x:v>tracts with positive 2020 Census population</x:v>
      </x:c>
      <x:c r="B6" s="35" t="n">
        <x:v>2292</x:v>
      </x:c>
      <x:c r="C6" s="35" t="n">
        <x:v>2325</x:v>
      </x:c>
      <x:c r="D6" s="36" t="n">
        <x:v>0.9858064516129033</x:v>
      </x:c>
      <x:c r="E6" s="32" t="str">
        <x:v>zero-population tracts excluded from candidate growth</x:v>
      </x:c>
    </x:row>
    <x:row r="7">
      <x:c r="A7" s="32" t="str">
        <x:v>eligible contiguous residential tracts</x:v>
      </x:c>
      <x:c r="B7" s="35" t="n">
        <x:v>2222</x:v>
      </x:c>
      <x:c r="C7" s="35" t="n">
        <x:v>2325</x:v>
      </x:c>
      <x:c r="D7" s="36" t="n">
        <x:v>0.9556989247311828</x:v>
      </x:c>
      <x:c r="E7" s="32" t="str">
        <x:v>positive population, residential PLUTO units, and polygon neighbor</x:v>
      </x:c>
    </x:row>
    <x:row r="8">
      <x:c r="A8" s="32" t="str">
        <x:v>PLUTO residential units with HVI ZIP match</x:v>
      </x:c>
      <x:c r="B8" s="35" t="n">
        <x:v>3733330</x:v>
      </x:c>
      <x:c r="C8" s="35" t="n">
        <x:v>3734341</x:v>
      </x:c>
      <x:c r="D8" s="36" t="n">
        <x:v>0.9997292695016337</x:v>
      </x:c>
      <x:c r="E8" s="32" t="str">
        <x:v>HVI transferred through lot postcode</x:v>
      </x:c>
    </x:row>
    <x:row r="9">
      <x:c r="A9" s="32" t="str">
        <x:v>PLUTO residential units with roof-height match</x:v>
      </x:c>
      <x:c r="B9" s="35" t="n">
        <x:v>3661695</x:v>
      </x:c>
      <x:c r="C9" s="35" t="n">
        <x:v>3734341</x:v>
      </x:c>
      <x:c r="D9" s="36" t="n">
        <x:v>0.9805465007078893</x:v>
      </x:c>
      <x:c r="E9" s="32" t="str">
        <x:v>building-footprint BBL match with positive roof height</x:v>
      </x:c>
    </x:row>
    <x:row r="10">
      <x:c r="A10" s="32" t="str">
        <x:v>deduplicated elevator records with PLUTO tract join</x:v>
      </x:c>
      <x:c r="B10" s="35" t="n">
        <x:v>62982</x:v>
      </x:c>
      <x:c r="C10" s="35" t="n">
        <x:v>120187</x:v>
      </x:c>
      <x:c r="D10" s="36" t="n">
        <x:v>0.5240333813141188</x:v>
      </x:c>
      <x:c r="E10" s="32" t="str">
        <x:v>BBL join; administrative device activity only</x:v>
      </x:c>
    </x:row>
    <x:row r="11">
      <x:c r="A11" s="32" t="str">
        <x:v>public candidate-service facilities used</x:v>
      </x:c>
      <x:c r="B11" s="35" t="n">
        <x:v>2708</x:v>
      </x:c>
      <x:c r="C11" s="35" t="n">
        <x:v>34446</x:v>
      </x:c>
      <x:c r="D11" s="36" t="n">
        <x:v>0.07861580444754108</x:v>
      </x:c>
      <x:c r="E11" s="32" t="str">
        <x:v>public facilities in seven service-relevant groups with coordinates</x:v>
      </x:c>
    </x:row>
    <x:row r="12">
      <x:c r="A12" s="32" t="str">
        <x:v>unique contiguous 32k–38k candidates</x:v>
      </x:c>
      <x:c r="B12" s="35" t="n">
        <x:v>844</x:v>
      </x:c>
      <x:c r="C12" s="35" t="n">
        <x:v>2222</x:v>
      </x:c>
      <x:c r="D12" s="36" t="n">
        <x:v>0.37983798379837985</x:v>
      </x:c>
      <x:c r="E12" s="32" t="str">
        <x:v>one deterministic compact growth attempt per tract, deduplicated</x:v>
      </x:c>
    </x:row>
    <x:row r="15">
      <x:c r="A15" s="9" t="str">
        <x:v>MISSINGNESS</x:v>
      </x:c>
      <x:c r="B15" s="9" t="str">
        <x:v>Missing tracts</x:v>
      </x:c>
      <x:c r="C15" s="9" t="str">
        <x:v>All tracts</x:v>
      </x:c>
      <x:c r="D15" s="9" t="str">
        <x:v>Missing share</x:v>
      </x:c>
      <x:c r="E15" s="9" t="str">
        <x:v>Rule</x:v>
      </x:c>
    </x:row>
    <x:row r="16">
      <x:c r="A16" s="26" t="str">
        <x:v>2020 Census population</x:v>
      </x:c>
      <x:c r="B16" s="26" t="n">
        <x:v>0</x:v>
      </x:c>
      <x:c r="C16" s="26" t="n">
        <x:v>2325</x:v>
      </x:c>
      <x:c r="D16" s="37" t="n">
        <x:v>0</x:v>
      </x:c>
      <x:c r="E16" s="26" t="str">
        <x:v>retain missing; no plausible-zero substitution</x:v>
      </x:c>
    </x:row>
    <x:row r="17">
      <x:c r="A17" s="26" t="str">
        <x:v>civilian noninstitutionalized population (not acquired in L0)</x:v>
      </x:c>
      <x:c r="B17" s="26" t="n">
        <x:v>2325</x:v>
      </x:c>
      <x:c r="C17" s="26" t="n">
        <x:v>2325</x:v>
      </x:c>
      <x:c r="D17" s="37" t="n">
        <x:v>1</x:v>
      </x:c>
      <x:c r="E17" s="26" t="str">
        <x:v>retain missing; no plausible-zero substitution</x:v>
      </x:c>
    </x:row>
    <x:row r="18">
      <x:c r="A18" s="26" t="str">
        <x:v>disability count (not acquired in L0)</x:v>
      </x:c>
      <x:c r="B18" s="26" t="n">
        <x:v>2325</x:v>
      </x:c>
      <x:c r="C18" s="26" t="n">
        <x:v>2325</x:v>
      </x:c>
      <x:c r="D18" s="37" t="n">
        <x:v>1</x:v>
      </x:c>
      <x:c r="E18" s="26" t="str">
        <x:v>retain missing; no plausible-zero substitution</x:v>
      </x:c>
    </x:row>
    <x:row r="19">
      <x:c r="A19" s="26" t="str">
        <x:v>age 65+ count (not acquired in L0)</x:v>
      </x:c>
      <x:c r="B19" s="26" t="n">
        <x:v>2325</x:v>
      </x:c>
      <x:c r="C19" s="26" t="n">
        <x:v>2325</x:v>
      </x:c>
      <x:c r="D19" s="37" t="n">
        <x:v>1</x:v>
      </x:c>
      <x:c r="E19" s="26" t="str">
        <x:v>retain missing; no plausible-zero substitution</x:v>
      </x:c>
    </x:row>
    <x:row r="20">
      <x:c r="A20" s="26" t="str">
        <x:v>PLUTO residential units</x:v>
      </x:c>
      <x:c r="B20" s="26" t="n">
        <x:v>99</x:v>
      </x:c>
      <x:c r="C20" s="26" t="n">
        <x:v>2325</x:v>
      </x:c>
      <x:c r="D20" s="37" t="n">
        <x:v>0.04258064516129032</x:v>
      </x:c>
      <x:c r="E20" s="26" t="str">
        <x:v>retain missing; no plausible-zero substitution</x:v>
      </x:c>
    </x:row>
    <x:row r="21">
      <x:c r="A21" s="26" t="str">
        <x:v>residential-weighted floor count</x:v>
      </x:c>
      <x:c r="B21" s="26" t="n">
        <x:v>101</x:v>
      </x:c>
      <x:c r="C21" s="26" t="n">
        <x:v>2325</x:v>
      </x:c>
      <x:c r="D21" s="37" t="n">
        <x:v>0.043440860215053764</x:v>
      </x:c>
      <x:c r="E21" s="26" t="str">
        <x:v>retain missing; no plausible-zero substitution</x:v>
      </x:c>
    </x:row>
    <x:row r="22">
      <x:c r="A22" s="26" t="str">
        <x:v>residential-weighted roof height</x:v>
      </x:c>
      <x:c r="B22" s="26" t="n">
        <x:v>103</x:v>
      </x:c>
      <x:c r="C22" s="26" t="n">
        <x:v>2325</x:v>
      </x:c>
      <x:c r="D22" s="37" t="n">
        <x:v>0.04430107526881721</x:v>
      </x:c>
      <x:c r="E22" s="26" t="str">
        <x:v>retain missing; no plausible-zero substitution</x:v>
      </x:c>
    </x:row>
    <x:row r="23">
      <x:c r="A23" s="26" t="str">
        <x:v>residential-weighted HVI</x:v>
      </x:c>
      <x:c r="B23" s="26" t="n">
        <x:v>100</x:v>
      </x:c>
      <x:c r="C23" s="26" t="n">
        <x:v>2325</x:v>
      </x:c>
      <x:c r="D23" s="37" t="n">
        <x:v>0.043010752688172046</x:v>
      </x:c>
      <x:c r="E23" s="26" t="str">
        <x:v>retain missing; no plausible-zero substitution</x:v>
      </x:c>
    </x:row>
    <x:row r="24">
      <x:c r="A24" s="26" t="str">
        <x:v>public-facility distance</x:v>
      </x:c>
      <x:c r="B24" s="26" t="n">
        <x:v>0</x:v>
      </x:c>
      <x:c r="C24" s="26" t="n">
        <x:v>2325</x:v>
      </x:c>
      <x:c r="D24" s="37" t="n">
        <x:v>0</x:v>
      </x:c>
      <x:c r="E24" s="26" t="str">
        <x:v>retain missing; no plausible-zero substitution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3a0160296b3489a"/>
  </x:tableParts>
</x:worksheet>
</file>

<file path=xl/worksheets/sheet5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0.670000076293945" hidden="0" customWidth="1"/>
    <x:col min="3" max="3" width="24.559999465942383" hidden="0" customWidth="1"/>
    <x:col min="4" max="4" width="23.670000076293945" hidden="0" customWidth="1"/>
    <x:col min="5" max="5" width="12.5600004196167" hidden="0" customWidth="1"/>
    <x:col min="6" max="6" width="9.329999923706055" hidden="0" customWidth="1"/>
  </x:cols>
  <x:sheetData>
    <x:row r="1" ht="30" customHeight="1">
      <x:c r="A1" s="45" t="str">
        <x:v>04 Thresholds</x:v>
      </x:c>
    </x:row>
    <x:row r="2" ht="34" customHeight="1">
      <x:c r="A2" s="21" t="str">
        <x:v>Frozen L0 rules operate only on pre-outcome covariates. Percentiles are calculated across the 844-candidate universe.</x:v>
      </x:c>
    </x:row>
    <x:row r="4" ht="34" customHeight="1">
      <x:c r="A4" s="24" t="str">
        <x:v>ID</x:v>
      </x:c>
      <x:c r="B4" s="24" t="str">
        <x:v>Archetype</x:v>
      </x:c>
      <x:c r="C4" s="24" t="str">
        <x:v>Measure</x:v>
      </x:c>
      <x:c r="D4" s="24" t="str">
        <x:v>Rule</x:v>
      </x:c>
      <x:c r="E4" s="24" t="str">
        <x:v>Frozen value</x:v>
      </x:c>
      <x:c r="F4" s="24" t="str">
        <x:v>Unit</x:v>
      </x:c>
    </x:row>
    <x:row r="5">
      <x:c r="A5" s="32" t="str">
        <x:v>T01</x:v>
      </x:c>
      <x:c r="B5" s="32" t="str">
        <x:v>V1</x:v>
      </x:c>
      <x:c r="C5" s="32" t="str">
        <x:v>mean floors</x:v>
      </x:c>
      <x:c r="D5" s="32" t="str">
        <x:v>at or above candidate P80</x:v>
      </x:c>
      <x:c r="E5" s="38" t="n">
        <x:v>8.519344154003363</x:v>
      </x:c>
      <x:c r="F5" s="32" t="str">
        <x:v>floors</x:v>
      </x:c>
    </x:row>
    <x:row r="6">
      <x:c r="A6" s="32" t="str">
        <x:v>T02</x:v>
      </x:c>
      <x:c r="B6" s="32" t="str">
        <x:v>V1</x:v>
      </x:c>
      <x:c r="C6" s="32" t="str">
        <x:v>active relevant devices per 1,000 people</x:v>
      </x:c>
      <x:c r="D6" s="32" t="str">
        <x:v>at or above candidate P80</x:v>
      </x:c>
      <x:c r="E6" s="38" t="n">
        <x:v>7.684908671042304</x:v>
      </x:c>
      <x:c r="F6" s="32" t="str">
        <x:v>devices/1,000</x:v>
      </x:c>
    </x:row>
    <x:row r="7">
      <x:c r="A7" s="32" t="str">
        <x:v>T03</x:v>
      </x:c>
      <x:c r="B7" s="32" t="str">
        <x:v>V1</x:v>
      </x:c>
      <x:c r="C7" s="32" t="str">
        <x:v>population density</x:v>
      </x:c>
      <x:c r="D7" s="32" t="str">
        <x:v>at or above candidate P75</x:v>
      </x:c>
      <x:c r="E7" s="38" t="n">
        <x:v>75882.72612666784</x:v>
      </x:c>
      <x:c r="F7" s="32" t="str">
        <x:v>people/sq mi</x:v>
      </x:c>
    </x:row>
    <x:row r="8">
      <x:c r="A8" s="32" t="str">
        <x:v>T04</x:v>
      </x:c>
      <x:c r="B8" s="32" t="str">
        <x:v>V2</x:v>
      </x:c>
      <x:c r="C8" s="32" t="str">
        <x:v>mid-rise residential-unit share</x:v>
      </x:c>
      <x:c r="D8" s="32" t="str">
        <x:v>at least fixed minimum</x:v>
      </x:c>
      <x:c r="E8" s="38" t="n">
        <x:v>0.5</x:v>
      </x:c>
      <x:c r="F8" s="32" t="str">
        <x:v>share</x:v>
      </x:c>
    </x:row>
    <x:row r="9">
      <x:c r="A9" s="32" t="str">
        <x:v>T05</x:v>
      </x:c>
      <x:c r="B9" s="32" t="str">
        <x:v>V2</x:v>
      </x:c>
      <x:c r="C9" s="32" t="str">
        <x:v>HVI 4–5 residential-unit share</x:v>
      </x:c>
      <x:c r="D9" s="32" t="str">
        <x:v>at or above candidate P75</x:v>
      </x:c>
      <x:c r="E9" s="38" t="n">
        <x:v>1</x:v>
      </x:c>
      <x:c r="F9" s="32" t="str">
        <x:v>share</x:v>
      </x:c>
    </x:row>
    <x:row r="10">
      <x:c r="A10" s="32" t="str">
        <x:v>T06</x:v>
      </x:c>
      <x:c r="B10" s="32" t="str">
        <x:v>V3</x:v>
      </x:c>
      <x:c r="C10" s="32" t="str">
        <x:v>units on lots with at least three buildings</x:v>
      </x:c>
      <x:c r="D10" s="32" t="str">
        <x:v>at or above candidate P75</x:v>
      </x:c>
      <x:c r="E10" s="38" t="n">
        <x:v>0.1428775935882092</x:v>
      </x:c>
      <x:c r="F10" s="32" t="str">
        <x:v>share</x:v>
      </x:c>
    </x:row>
    <x:row r="11">
      <x:c r="A11" s="32" t="str">
        <x:v>T07</x:v>
      </x:c>
      <x:c r="B11" s="32" t="str">
        <x:v>V3</x:v>
      </x:c>
      <x:c r="C11" s="32" t="str">
        <x:v>active relevant devices per 1,000 people</x:v>
      </x:c>
      <x:c r="D11" s="32" t="str">
        <x:v>at or above candidate P60</x:v>
      </x:c>
      <x:c r="E11" s="38" t="n">
        <x:v>4.936464325370101</x:v>
      </x:c>
      <x:c r="F11" s="32" t="str">
        <x:v>devices/1,000</x:v>
      </x:c>
    </x:row>
    <x:row r="12">
      <x:c r="A12" s="32" t="str">
        <x:v>T08</x:v>
      </x:c>
      <x:c r="B12" s="32" t="str">
        <x:v>V3</x:v>
      </x:c>
      <x:c r="C12" s="32" t="str">
        <x:v>nearest public-service-facility proxy</x:v>
      </x:c>
      <x:c r="D12" s="32" t="str">
        <x:v>at or above candidate median distance</x:v>
      </x:c>
      <x:c r="E12" s="38" t="n">
        <x:v>0.15878893549404305</x:v>
      </x:c>
      <x:c r="F12" s="32" t="str">
        <x:v>straight-line mi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3ec081f7e954b58"/>
  </x:tableParts>
</x:worksheet>
</file>

<file path=xl/worksheets/sheet6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6" hidden="0" customWidth="1"/>
    <x:col min="2" max="2" width="10.670000076293945" hidden="0" customWidth="1"/>
    <x:col min="3" max="3" width="5.78000020980835" hidden="0" customWidth="1"/>
    <x:col min="4" max="4" width="12.779999732971191" hidden="0" customWidth="1"/>
    <x:col min="5" max="5" width="26" hidden="0" customWidth="1"/>
    <x:col min="6" max="6" width="7.559999942779541" hidden="0" customWidth="1"/>
    <x:col min="7" max="7" width="11.109999656677246" hidden="0" customWidth="1"/>
    <x:col min="8" max="8" width="15.779999732971191" hidden="0" customWidth="1"/>
    <x:col min="9" max="9" width="22.559999465942383" hidden="0" customWidth="1"/>
    <x:col min="10" max="10" width="14.220000267028809" hidden="0" customWidth="1"/>
    <x:col min="11" max="11" width="15.670000076293945" hidden="0" customWidth="1"/>
    <x:col min="12" max="12" width="12" hidden="0" customWidth="1"/>
    <x:col min="13" max="13" width="14.5600004196167" hidden="0" customWidth="1"/>
    <x:col min="14" max="14" width="13.890000343322754" hidden="0" customWidth="1"/>
    <x:col min="15" max="15" width="14" hidden="0" customWidth="1"/>
    <x:col min="16" max="16" width="12.220000267028809" hidden="0" customWidth="1"/>
    <x:col min="17" max="17" width="11.220000267028809" hidden="0" customWidth="1"/>
    <x:col min="18" max="18" width="14" hidden="0" customWidth="1"/>
    <x:col min="19" max="19" width="12.220000267028809" hidden="0" customWidth="1"/>
    <x:col min="20" max="20" width="10.220000267028809" hidden="0" customWidth="1"/>
    <x:col min="21" max="21" width="13.329999923706055" hidden="0" customWidth="1"/>
    <x:col min="22" max="22" width="17.670000076293945" hidden="0" customWidth="1"/>
    <x:col min="23" max="23" width="13.109999656677246" hidden="0" customWidth="1"/>
    <x:col min="24" max="24" width="14.109999656677246" hidden="0" customWidth="1"/>
    <x:col min="25" max="25" width="26" hidden="0" customWidth="1"/>
  </x:cols>
  <x:sheetData>
    <x:row r="1" ht="30" customHeight="1">
      <x:c r="A1" s="45" t="str">
        <x:v>05 References</x:v>
      </x:c>
    </x:row>
    <x:row r="2" ht="34" customHeight="1">
      <x:c r="A2" s="21" t="str">
        <x:v>Twelve disclosed, mutually disjoint provisional references from the operator rehearsal. Architecture outcomes remain absent.</x:v>
      </x:c>
    </x:row>
    <x:row r="4" ht="34" customHeight="1">
      <x:c r="A4" s="24" t="str">
        <x:v>Catchment</x:v>
      </x:c>
      <x:c r="B4" s="24" t="str">
        <x:v>Archetype</x:v>
      </x:c>
      <x:c r="C4" s="24" t="str">
        <x:v>Slot</x:v>
      </x:c>
      <x:c r="D4" s="24" t="str">
        <x:v>Candidate ID</x:v>
      </x:c>
      <x:c r="E4" s="24" t="str">
        <x:v>Selection hash</x:v>
      </x:c>
      <x:c r="F4" s="24" t="str">
        <x:v>Tracts</x:v>
      </x:c>
      <x:c r="G4" s="24" t="str">
        <x:v>Population</x:v>
      </x:c>
      <x:c r="H4" s="24" t="str">
        <x:v>Primary borough</x:v>
      </x:c>
      <x:c r="I4" s="24" t="str">
        <x:v>Dominant NTA</x:v>
      </x:c>
      <x:c r="J4" s="24" t="str">
        <x:v>Density / sq mi</x:v>
      </x:c>
      <x:c r="K4" s="24" t="str">
        <x:v>Residential units</x:v>
      </x:c>
      <x:c r="L4" s="24" t="str">
        <x:v>Mean floors</x:v>
      </x:c>
      <x:c r="M4" s="24" t="str">
        <x:v>High-rise share</x:v>
      </x:c>
      <x:c r="N4" s="24" t="str">
        <x:v>Mid-rise share</x:v>
      </x:c>
      <x:c r="O4" s="24" t="str">
        <x:v>Campus share</x:v>
      </x:c>
      <x:c r="P4" s="24" t="str">
        <x:v>Mean roof ft</x:v>
      </x:c>
      <x:c r="Q4" s="24" t="str">
        <x:v>Max roof ft</x:v>
      </x:c>
      <x:c r="R4" s="24" t="str">
        <x:v>Active devices</x:v>
      </x:c>
      <x:c r="S4" s="24" t="str">
        <x:v>Devices / 1k</x:v>
      </x:c>
      <x:c r="T4" s="24" t="str">
        <x:v>Mean HVI</x:v>
      </x:c>
      <x:c r="U4" s="24" t="str">
        <x:v>HVI 4–5 share</x:v>
      </x:c>
      <x:c r="V4" s="24" t="str">
        <x:v>Facility distance mi</x:v>
      </x:c>
      <x:c r="W4" s="24" t="str">
        <x:v>HVI coverage</x:v>
      </x:c>
      <x:c r="X4" s="24" t="str">
        <x:v>Roof coverage</x:v>
      </x:c>
      <x:c r="Y4" s="24" t="str">
        <x:v>Component GEOIDs</x:v>
      </x:c>
    </x:row>
    <x:row r="5">
      <x:c r="A5" s="32" t="str">
        <x:v>NYC-V1-R01</x:v>
      </x:c>
      <x:c r="B5" s="32" t="str">
        <x:v>V1</x:v>
      </x:c>
      <x:c r="C5" s="32" t="n">
        <x:v>1</x:v>
      </x:c>
      <x:c r="D5" s="32" t="str">
        <x:v>00d6a3b1015a0f41</x:v>
      </x:c>
      <x:c r="E5" s="32" t="str">
        <x:v>00d6a3b1015a0f41932b202861114cef9c7d6596ed795bf77df1da3d7445d070</x:v>
      </x:c>
      <x:c r="F5" s="32" t="n">
        <x:v>6</x:v>
      </x:c>
      <x:c r="G5" s="35" t="n">
        <x:v>34306</x:v>
      </x:c>
      <x:c r="H5" s="35" t="str">
        <x:v>Queens</x:v>
      </x:c>
      <x:c r="I5" s="35" t="str">
        <x:v>Flushing-Willets Point</x:v>
      </x:c>
      <x:c r="J5" s="35" t="n">
        <x:v>102734.7462355162</x:v>
      </x:c>
      <x:c r="K5" s="35" t="n">
        <x:v>13799</x:v>
      </x:c>
      <x:c r="L5" s="32" t="n">
        <x:v>8.588261913423063</x:v>
      </x:c>
      <x:c r="M5" s="36" t="n">
        <x:v>0.26161316037394017</x:v>
      </x:c>
      <x:c r="N5" s="36" t="n">
        <x:v>0.6973693745923618</x:v>
      </x:c>
      <x:c r="O5" s="36" t="n">
        <x:v>0.06572940068120878</x:v>
      </x:c>
      <x:c r="P5" s="32" t="n">
        <x:v>86.05107116299126</x:v>
      </x:c>
      <x:c r="Q5" s="32" t="n">
        <x:v>240</x:v>
      </x:c>
      <x:c r="R5" s="32" t="n">
        <x:v>282</x:v>
      </x:c>
      <x:c r="S5" s="32" t="n">
        <x:v>8.220136419285257</x:v>
      </x:c>
      <x:c r="T5" s="32" t="n">
        <x:v>4</x:v>
      </x:c>
      <x:c r="U5" s="36" t="n">
        <x:v>1</x:v>
      </x:c>
      <x:c r="V5" s="32" t="n">
        <x:v>0.1777756307838377</x:v>
      </x:c>
      <x:c r="W5" s="36" t="n">
        <x:v>1</x:v>
      </x:c>
      <x:c r="X5" s="36" t="n">
        <x:v>0.9787665772882093</x:v>
      </x:c>
      <x:c r="Y5" s="32" t="str">
        <x:v>36081079701 | 36081085300 | 36081085500 | 36081085700 | 36081085900 | 36081086100</x:v>
      </x:c>
    </x:row>
    <x:row r="6">
      <x:c r="A6" s="32" t="str">
        <x:v>NYC-V1-R02</x:v>
      </x:c>
      <x:c r="B6" s="32" t="str">
        <x:v>V1</x:v>
      </x:c>
      <x:c r="C6" s="32" t="n">
        <x:v>2</x:v>
      </x:c>
      <x:c r="D6" s="32" t="str">
        <x:v>01574acf9c3c438b</x:v>
      </x:c>
      <x:c r="E6" s="32" t="str">
        <x:v>01574acf9c3c438b3c069189615475246b3a29f089bbdd2251214bb58e387965</x:v>
      </x:c>
      <x:c r="F6" s="32" t="n">
        <x:v>4</x:v>
      </x:c>
      <x:c r="G6" s="35" t="n">
        <x:v>32165</x:v>
      </x:c>
      <x:c r="H6" s="35" t="str">
        <x:v>Manhattan</x:v>
      </x:c>
      <x:c r="I6" s="35" t="str">
        <x:v>Upper West Side-Manhattan Valley</x:v>
      </x:c>
      <x:c r="J6" s="35" t="n">
        <x:v>105416.71362864382</x:v>
      </x:c>
      <x:c r="K6" s="35" t="n">
        <x:v>17671</x:v>
      </x:c>
      <x:c r="L6" s="32" t="n">
        <x:v>13.448038658328596</x:v>
      </x:c>
      <x:c r="M6" s="36" t="n">
        <x:v>0.6778903287872786</x:v>
      </x:c>
      <x:c r="N6" s="36" t="n">
        <x:v>0.3140739064003169</x:v>
      </x:c>
      <x:c r="O6" s="36" t="n">
        <x:v>0.007809405240224096</x:v>
      </x:c>
      <x:c r="P6" s="32" t="n">
        <x:v>142.78293289984194</x:v>
      </x:c>
      <x:c r="Q6" s="32" t="n">
        <x:v>413.61488459</x:v>
      </x:c>
      <x:c r="R6" s="32" t="n">
        <x:v>437</x:v>
      </x:c>
      <x:c r="S6" s="32" t="n">
        <x:v>13.586196175967668</x:v>
      </x:c>
      <x:c r="T6" s="32" t="n">
        <x:v>2</x:v>
      </x:c>
      <x:c r="U6" s="36" t="n">
        <x:v>0</x:v>
      </x:c>
      <x:c r="V6" s="32" t="n">
        <x:v>0.15187742275999233</x:v>
      </x:c>
      <x:c r="W6" s="36" t="n">
        <x:v>1</x:v>
      </x:c>
      <x:c r="X6" s="36" t="n">
        <x:v>0.9954162186633467</x:v>
      </x:c>
      <x:c r="Y6" s="32" t="str">
        <x:v>36061018300 | 36061018500 | 36061018700 | 36061019100</x:v>
      </x:c>
    </x:row>
    <x:row r="7">
      <x:c r="A7" s="32" t="str">
        <x:v>NYC-V1-R03</x:v>
      </x:c>
      <x:c r="B7" s="32" t="str">
        <x:v>V1</x:v>
      </x:c>
      <x:c r="C7" s="32" t="n">
        <x:v>3</x:v>
      </x:c>
      <x:c r="D7" s="32" t="str">
        <x:v>01c4abc692b921c9</x:v>
      </x:c>
      <x:c r="E7" s="32" t="str">
        <x:v>01c4abc692b921c9ca2c052480335dc294d930b575d674a01338c9b4bd342c80</x:v>
      </x:c>
      <x:c r="F7" s="32" t="n">
        <x:v>5</x:v>
      </x:c>
      <x:c r="G7" s="35" t="n">
        <x:v>33788</x:v>
      </x:c>
      <x:c r="H7" s="35" t="str">
        <x:v>Manhattan</x:v>
      </x:c>
      <x:c r="I7" s="35" t="str">
        <x:v>Murray Hill-Kips Bay</x:v>
      </x:c>
      <x:c r="J7" s="35" t="n">
        <x:v>124692.53097081</x:v>
      </x:c>
      <x:c r="K7" s="35" t="n">
        <x:v>22853</x:v>
      </x:c>
      <x:c r="L7" s="32" t="n">
        <x:v>19.276355520546147</x:v>
      </x:c>
      <x:c r="M7" s="36" t="n">
        <x:v>0.7575373036362841</x:v>
      </x:c>
      <x:c r="N7" s="36" t="n">
        <x:v>0.24228766463921586</x:v>
      </x:c>
      <x:c r="O7" s="36" t="n">
        <x:v>0.07088784842252659</x:v>
      </x:c>
      <x:c r="P7" s="32" t="n">
        <x:v>187.00755092982104</x:v>
      </x:c>
      <x:c r="Q7" s="32" t="n">
        <x:v>526</x:v>
      </x:c>
      <x:c r="R7" s="32" t="n">
        <x:v>497</x:v>
      </x:c>
      <x:c r="S7" s="32" t="n">
        <x:v>14.709364271338936</x:v>
      </x:c>
      <x:c r="T7" s="32" t="n">
        <x:v>2</x:v>
      </x:c>
      <x:c r="U7" s="36" t="n">
        <x:v>0</x:v>
      </x:c>
      <x:c r="V7" s="32" t="n">
        <x:v>0.1432504659880712</x:v>
      </x:c>
      <x:c r="W7" s="36" t="n">
        <x:v>1</x:v>
      </x:c>
      <x:c r="X7" s="36" t="n">
        <x:v>0.997505797925874</x:v>
      </x:c>
      <x:c r="Y7" s="32" t="str">
        <x:v>36061007001 | 36061007002 | 36061007200 | 36061007800 | 36061008000</x:v>
      </x:c>
    </x:row>
    <x:row r="8">
      <x:c r="A8" s="32" t="str">
        <x:v>NYC-V1-R04</x:v>
      </x:c>
      <x:c r="B8" s="32" t="str">
        <x:v>V1</x:v>
      </x:c>
      <x:c r="C8" s="32" t="n">
        <x:v>4</x:v>
      </x:c>
      <x:c r="D8" s="32" t="str">
        <x:v>02b08e0f203096ff</x:v>
      </x:c>
      <x:c r="E8" s="32" t="str">
        <x:v>02b08e0f203096ff34dcbed9ec1b939d676c1bc5d3f386912a94975f76c4765b</x:v>
      </x:c>
      <x:c r="F8" s="32" t="n">
        <x:v>6</x:v>
      </x:c>
      <x:c r="G8" s="35" t="n">
        <x:v>33788</x:v>
      </x:c>
      <x:c r="H8" s="35" t="str">
        <x:v>Manhattan</x:v>
      </x:c>
      <x:c r="I8" s="35" t="str">
        <x:v>East Harlem (North)</x:v>
      </x:c>
      <x:c r="J8" s="35" t="n">
        <x:v>108697.57659627403</x:v>
      </x:c>
      <x:c r="K8" s="35" t="n">
        <x:v>14481</x:v>
      </x:c>
      <x:c r="L8" s="32" t="n">
        <x:v>12.478484953303354</x:v>
      </x:c>
      <x:c r="M8" s="36" t="n">
        <x:v>0.5167460810717492</x:v>
      </x:c>
      <x:c r="N8" s="36" t="n">
        <x:v>0.4810441267868241</x:v>
      </x:c>
      <x:c r="O8" s="36" t="n">
        <x:v>0.3633036392514329</x:v>
      </x:c>
      <x:c r="P8" s="32" t="n">
        <x:v>133.67030240800807</x:v>
      </x:c>
      <x:c r="Q8" s="32" t="n">
        <x:v>408.8</x:v>
      </x:c>
      <x:c r="R8" s="32" t="n">
        <x:v>264</x:v>
      </x:c>
      <x:c r="S8" s="32" t="n">
        <x:v>7.813424884574404</x:v>
      </x:c>
      <x:c r="T8" s="32" t="n">
        <x:v>4.249361231959119</x:v>
      </x:c>
      <x:c r="U8" s="36" t="n">
        <x:v>1</x:v>
      </x:c>
      <x:c r="V8" s="32" t="n">
        <x:v>0.0629640526431542</x:v>
      </x:c>
      <x:c r="W8" s="36" t="n">
        <x:v>1</x:v>
      </x:c>
      <x:c r="X8" s="36" t="n">
        <x:v>0.9946136316552724</x:v>
      </x:c>
      <x:c r="Y8" s="32" t="str">
        <x:v>36061017200 | 36061017401 | 36061017402 | 36061018200 | 36061018400 | 36061018600</x:v>
      </x:c>
    </x:row>
    <x:row r="9">
      <x:c r="A9" s="32" t="str">
        <x:v>NYC-V2-R01</x:v>
      </x:c>
      <x:c r="B9" s="32" t="str">
        <x:v>V2</x:v>
      </x:c>
      <x:c r="C9" s="32" t="n">
        <x:v>1</x:v>
      </x:c>
      <x:c r="D9" s="32" t="str">
        <x:v>06592cf23716214c</x:v>
      </x:c>
      <x:c r="E9" s="32" t="str">
        <x:v>06592cf23716214c5877227d2dddca6e8d75f24c89e5f5479811fbecf0acd8bb</x:v>
      </x:c>
      <x:c r="F9" s="32" t="n">
        <x:v>5</x:v>
      </x:c>
      <x:c r="G9" s="35" t="n">
        <x:v>33433</x:v>
      </x:c>
      <x:c r="H9" s="35" t="str">
        <x:v>Bronx</x:v>
      </x:c>
      <x:c r="I9" s="35" t="str">
        <x:v>University Heights (North)-Fordham</x:v>
      </x:c>
      <x:c r="J9" s="35" t="n">
        <x:v>115899.95799979966</x:v>
      </x:c>
      <x:c r="K9" s="35" t="n">
        <x:v>11198</x:v>
      </x:c>
      <x:c r="L9" s="32" t="n">
        <x:v>5.490065190212538</x:v>
      </x:c>
      <x:c r="M9" s="36" t="n">
        <x:v>0.04670476870869798</x:v>
      </x:c>
      <x:c r="N9" s="36" t="n">
        <x:v>0.9162350419717806</x:v>
      </x:c>
      <x:c r="O9" s="36" t="n">
        <x:v>0.0002679049830326844</x:v>
      </x:c>
      <x:c r="P9" s="32" t="n">
        <x:v>61.594307599566584</x:v>
      </x:c>
      <x:c r="Q9" s="32" t="n">
        <x:v>113</x:v>
      </x:c>
      <x:c r="R9" s="32" t="n">
        <x:v>128</x:v>
      </x:c>
      <x:c r="S9" s="32" t="n">
        <x:v>3.8285526276433464</x:v>
      </x:c>
      <x:c r="T9" s="32" t="n">
        <x:v>4.519199857117342</x:v>
      </x:c>
      <x:c r="U9" s="36" t="n">
        <x:v>1</x:v>
      </x:c>
      <x:c r="V9" s="32" t="n">
        <x:v>0.09576958686491434</x:v>
      </x:c>
      <x:c r="W9" s="36" t="n">
        <x:v>1</x:v>
      </x:c>
      <x:c r="X9" s="36" t="n">
        <x:v>0.9931237721021611</x:v>
      </x:c>
      <x:c r="Y9" s="32" t="str">
        <x:v>36005023704 | 36005023900 | 36005025100 | 36005025300 | 36005025500</x:v>
      </x:c>
    </x:row>
    <x:row r="10">
      <x:c r="A10" s="32" t="str">
        <x:v>NYC-V2-R02</x:v>
      </x:c>
      <x:c r="B10" s="32" t="str">
        <x:v>V2</x:v>
      </x:c>
      <x:c r="C10" s="32" t="n">
        <x:v>2</x:v>
      </x:c>
      <x:c r="D10" s="32" t="str">
        <x:v>0698e90a1e1a5465</x:v>
      </x:c>
      <x:c r="E10" s="32" t="str">
        <x:v>0698e90a1e1a5465d97fb8978f6681a50aac69086136cfa99cbe56970295fc1b</x:v>
      </x:c>
      <x:c r="F10" s="32" t="n">
        <x:v>10</x:v>
      </x:c>
      <x:c r="G10" s="35" t="n">
        <x:v>32813</x:v>
      </x:c>
      <x:c r="H10" s="35" t="str">
        <x:v>Brooklyn</x:v>
      </x:c>
      <x:c r="I10" s="35" t="str">
        <x:v>East Flatbush-Farragut</x:v>
      </x:c>
      <x:c r="J10" s="35" t="n">
        <x:v>60460.10494274864</x:v>
      </x:c>
      <x:c r="K10" s="35" t="n">
        <x:v>12906</x:v>
      </x:c>
      <x:c r="L10" s="32" t="n">
        <x:v>3.9764693118412895</x:v>
      </x:c>
      <x:c r="M10" s="36" t="n">
        <x:v>0.0006198667286533395</x:v>
      </x:c>
      <x:c r="N10" s="36" t="n">
        <x:v>0.636990547032388</x:v>
      </x:c>
      <x:c r="O10" s="36" t="n">
        <x:v>0.19789245312257864</x:v>
      </x:c>
      <x:c r="P10" s="32" t="n">
        <x:v>44.45099665795771</x:v>
      </x:c>
      <x:c r="Q10" s="32" t="n">
        <x:v>100</x:v>
      </x:c>
      <x:c r="R10" s="32" t="n">
        <x:v>117</x:v>
      </x:c>
      <x:c r="S10" s="32" t="n">
        <x:v>3.5656599518483527</x:v>
      </x:c>
      <x:c r="T10" s="32" t="n">
        <x:v>5</x:v>
      </x:c>
      <x:c r="U10" s="36" t="n">
        <x:v>1</x:v>
      </x:c>
      <x:c r="V10" s="32" t="n">
        <x:v>0.1886099059439165</x:v>
      </x:c>
      <x:c r="W10" s="36" t="n">
        <x:v>1</x:v>
      </x:c>
      <x:c r="X10" s="36" t="n">
        <x:v>0.9894622656128932</x:v>
      </x:c>
      <x:c r="Y10" s="32" t="str">
        <x:v>36047078200 | 36047078801 | 36047078802 | 36047079002 | 36047082600 | 36047082800 | 36047083000 | 36047083200 | 36047083400 | 36047085400</x:v>
      </x:c>
    </x:row>
    <x:row r="11">
      <x:c r="A11" s="32" t="str">
        <x:v>NYC-V2-R03</x:v>
      </x:c>
      <x:c r="B11" s="32" t="str">
        <x:v>V2</x:v>
      </x:c>
      <x:c r="C11" s="32" t="n">
        <x:v>3</x:v>
      </x:c>
      <x:c r="D11" s="32" t="str">
        <x:v>08fa536d163f483c</x:v>
      </x:c>
      <x:c r="E11" s="32" t="str">
        <x:v>08fa536d163f483c41539cd488439387246fdba892b388e7cd397fdd65e0aaeb</x:v>
      </x:c>
      <x:c r="F11" s="32" t="n">
        <x:v>10</x:v>
      </x:c>
      <x:c r="G11" s="35" t="n">
        <x:v>35451</x:v>
      </x:c>
      <x:c r="H11" s="35" t="str">
        <x:v>Brooklyn</x:v>
      </x:c>
      <x:c r="I11" s="35" t="str">
        <x:v>Bedford-Stuyvesant (East)</x:v>
      </x:c>
      <x:c r="J11" s="35" t="n">
        <x:v>54413.35977166159</x:v>
      </x:c>
      <x:c r="K11" s="35" t="n">
        <x:v>15556</x:v>
      </x:c>
      <x:c r="L11" s="32" t="n">
        <x:v>3.7648225806451614</x:v>
      </x:c>
      <x:c r="M11" s="36" t="n">
        <x:v>0.030599125739264592</x:v>
      </x:c>
      <x:c r="N11" s="36" t="n">
        <x:v>0.7865132424787863</x:v>
      </x:c>
      <x:c r="O11" s="36" t="n">
        <x:v>0.07302648495757263</x:v>
      </x:c>
      <x:c r="P11" s="32" t="n">
        <x:v>45.50880691988581</x:v>
      </x:c>
      <x:c r="Q11" s="32" t="n">
        <x:v>120</x:v>
      </x:c>
      <x:c r="R11" s="32" t="n">
        <x:v>101</x:v>
      </x:c>
      <x:c r="S11" s="32" t="n">
        <x:v>2.849002849002849</x:v>
      </x:c>
      <x:c r="T11" s="32" t="n">
        <x:v>4.486757521213679</x:v>
      </x:c>
      <x:c r="U11" s="36" t="n">
        <x:v>1</x:v>
      </x:c>
      <x:c r="V11" s="32" t="n">
        <x:v>0.13631597024211667</x:v>
      </x:c>
      <x:c r="W11" s="36" t="n">
        <x:v>1</x:v>
      </x:c>
      <x:c r="X11" s="36" t="n">
        <x:v>0.9852147081511957</x:v>
      </x:c>
      <x:c r="Y11" s="32" t="str">
        <x:v>36047026700 | 36047026900 | 36047027100 | 36047027300 | 36047027500 | 36047027700 | 36047029500 | 36047029700 | 36047030900 | 36047031100</x:v>
      </x:c>
    </x:row>
    <x:row r="12">
      <x:c r="A12" s="32" t="str">
        <x:v>NYC-V2-R04</x:v>
      </x:c>
      <x:c r="B12" s="32" t="str">
        <x:v>V2</x:v>
      </x:c>
      <x:c r="C12" s="32" t="n">
        <x:v>4</x:v>
      </x:c>
      <x:c r="D12" s="32" t="str">
        <x:v>0d367d673b5d3a75</x:v>
      </x:c>
      <x:c r="E12" s="32" t="str">
        <x:v>0d367d673b5d3a75581620fc2f834c16a982a83508d102b8ca3f43962a83d548</x:v>
      </x:c>
      <x:c r="F12" s="32" t="n">
        <x:v>9</x:v>
      </x:c>
      <x:c r="G12" s="35" t="n">
        <x:v>33190</x:v>
      </x:c>
      <x:c r="H12" s="35" t="str">
        <x:v>Brooklyn</x:v>
      </x:c>
      <x:c r="I12" s="35" t="str">
        <x:v>East New York-City Line</x:v>
      </x:c>
      <x:c r="J12" s="35" t="n">
        <x:v>53785.11656168476</x:v>
      </x:c>
      <x:c r="K12" s="35" t="n">
        <x:v>10108</x:v>
      </x:c>
      <x:c r="L12" s="32" t="n">
        <x:v>4.953205267848301</x:v>
      </x:c>
      <x:c r="M12" s="36" t="n">
        <x:v>0.038088642659279776</x:v>
      </x:c>
      <x:c r="N12" s="36" t="n">
        <x:v>0.5459042342698852</x:v>
      </x:c>
      <x:c r="O12" s="36" t="n">
        <x:v>0.34833795013850416</x:v>
      </x:c>
      <x:c r="P12" s="32" t="n">
        <x:v>51.3969751281534</x:v>
      </x:c>
      <x:c r="Q12" s="32" t="n">
        <x:v>179.14990429</x:v>
      </x:c>
      <x:c r="R12" s="32" t="n">
        <x:v>68</x:v>
      </x:c>
      <x:c r="S12" s="32" t="n">
        <x:v>2.0488098824947274</x:v>
      </x:c>
      <x:c r="T12" s="32" t="n">
        <x:v>4</x:v>
      </x:c>
      <x:c r="U12" s="36" t="n">
        <x:v>1</x:v>
      </x:c>
      <x:c r="V12" s="32" t="n">
        <x:v>0.13492058830211298</x:v>
      </x:c>
      <x:c r="W12" s="36" t="n">
        <x:v>1</x:v>
      </x:c>
      <x:c r="X12" s="36" t="n">
        <x:v>0.9970320538187574</x:v>
      </x:c>
      <x:c r="Y12" s="32" t="str">
        <x:v>36047119400 | 36047119600 | 36047120000 | 36047120200 | 36047120801 | 36047120802 | 36047120803 | 36047121000 | 36047121400</x:v>
      </x:c>
    </x:row>
    <x:row r="13">
      <x:c r="A13" s="32" t="str">
        <x:v>NYC-V3-R01</x:v>
      </x:c>
      <x:c r="B13" s="32" t="str">
        <x:v>V3</x:v>
      </x:c>
      <x:c r="C13" s="32" t="n">
        <x:v>1</x:v>
      </x:c>
      <x:c r="D13" s="32" t="str">
        <x:v>0d1e762a49f8604a</x:v>
      </x:c>
      <x:c r="E13" s="32" t="str">
        <x:v>0d1e762a49f8604a640131d3cd1a095db984d9ec03467267633b6b9f2cefb06b</x:v>
      </x:c>
      <x:c r="F13" s="32" t="n">
        <x:v>9</x:v>
      </x:c>
      <x:c r="G13" s="35" t="n">
        <x:v>36648</x:v>
      </x:c>
      <x:c r="H13" s="35" t="str">
        <x:v>Queens</x:v>
      </x:c>
      <x:c r="I13" s="35" t="str">
        <x:v>Astoria (Central)</x:v>
      </x:c>
      <x:c r="J13" s="35" t="n">
        <x:v>61248.19253071008</x:v>
      </x:c>
      <x:c r="K13" s="35" t="n">
        <x:v>18764</x:v>
      </x:c>
      <x:c r="L13" s="32" t="n">
        <x:v>5.328944548620412</x:v>
      </x:c>
      <x:c r="M13" s="36" t="n">
        <x:v>0.08351097846940951</x:v>
      </x:c>
      <x:c r="N13" s="36" t="n">
        <x:v>0.7902366233212534</x:v>
      </x:c>
      <x:c r="O13" s="36" t="n">
        <x:v>0.1818908548283948</x:v>
      </x:c>
      <x:c r="P13" s="32" t="n">
        <x:v>56.73816131488024</x:v>
      </x:c>
      <x:c r="Q13" s="32" t="n">
        <x:v>138.72</x:v>
      </x:c>
      <x:c r="R13" s="32" t="n">
        <x:v>266</x:v>
      </x:c>
      <x:c r="S13" s="32" t="n">
        <x:v>7.25824055882995</x:v>
      </x:c>
      <x:c r="T13" s="32" t="n">
        <x:v>3.001758686847154</x:v>
      </x:c>
      <x:c r="U13" s="36" t="n">
        <x:v>0.0017586868471541248</x:v>
      </x:c>
      <x:c r="V13" s="32" t="n">
        <x:v>0.18235176958234284</x:v>
      </x:c>
      <x:c r="W13" s="36" t="n">
        <x:v>1</x:v>
      </x:c>
      <x:c r="X13" s="36" t="n">
        <x:v>0.9834790023449158</x:v>
      </x:c>
      <x:c r="Y13" s="32" t="str">
        <x:v>36081004300 | 36081004500 | 36081004700 | 36081005300 | 36081005900 | 36081006100 | 36081007300 | 36081007500 | 36081007700</x:v>
      </x:c>
    </x:row>
    <x:row r="14">
      <x:c r="A14" s="32" t="str">
        <x:v>NYC-V3-R02</x:v>
      </x:c>
      <x:c r="B14" s="32" t="str">
        <x:v>V3</x:v>
      </x:c>
      <x:c r="C14" s="32" t="n">
        <x:v>2</x:v>
      </x:c>
      <x:c r="D14" s="32" t="str">
        <x:v>3d252f9f8f42f57c</x:v>
      </x:c>
      <x:c r="E14" s="32" t="str">
        <x:v>3d252f9f8f42f57c5b61e635033b79a139ea417df9cec4122a41fd6c98e7f389</x:v>
      </x:c>
      <x:c r="F14" s="32" t="n">
        <x:v>7</x:v>
      </x:c>
      <x:c r="G14" s="35" t="n">
        <x:v>36560</x:v>
      </x:c>
      <x:c r="H14" s="35" t="str">
        <x:v>Bronx</x:v>
      </x:c>
      <x:c r="I14" s="35" t="str">
        <x:v>Parkchester</x:v>
      </x:c>
      <x:c r="J14" s="35" t="n">
        <x:v>86249.33456032084</x:v>
      </x:c>
      <x:c r="K14" s="35" t="n">
        <x:v>14661</x:v>
      </x:c>
      <x:c r="L14" s="32" t="n">
        <x:v>8.22307556497175</x:v>
      </x:c>
      <x:c r="M14" s="36" t="n">
        <x:v>0.27065002387285997</x:v>
      </x:c>
      <x:c r="N14" s="36" t="n">
        <x:v>0.19978173385171544</x:v>
      </x:c>
      <x:c r="O14" s="36" t="n">
        <x:v>0.6805129254484688</x:v>
      </x:c>
      <x:c r="P14" s="32" t="n">
        <x:v>112.53319398252135</x:v>
      </x:c>
      <x:c r="Q14" s="32" t="n">
        <x:v>154</x:v>
      </x:c>
      <x:c r="R14" s="32" t="n">
        <x:v>208</x:v>
      </x:c>
      <x:c r="S14" s="32" t="n">
        <x:v>5.689277899343544</x:v>
      </x:c>
      <x:c r="T14" s="32" t="n">
        <x:v>4.908464634063161</x:v>
      </x:c>
      <x:c r="U14" s="36" t="n">
        <x:v>1</x:v>
      </x:c>
      <x:c r="V14" s="32" t="n">
        <x:v>0.17930025655148404</x:v>
      </x:c>
      <x:c r="W14" s="36" t="n">
        <x:v>1</x:v>
      </x:c>
      <x:c r="X14" s="36" t="n">
        <x:v>0.9979537548598322</x:v>
      </x:c>
      <x:c r="Y14" s="32" t="str">
        <x:v>36005020200 | 36005020400 | 36005020601 | 36005021001 | 36005021002 | 36005021200 | 36005022200</x:v>
      </x:c>
    </x:row>
    <x:row r="15">
      <x:c r="A15" s="32" t="str">
        <x:v>NYC-V3-R03</x:v>
      </x:c>
      <x:c r="B15" s="32" t="str">
        <x:v>V3</x:v>
      </x:c>
      <x:c r="C15" s="32" t="n">
        <x:v>3</x:v>
      </x:c>
      <x:c r="D15" s="32" t="str">
        <x:v>3ba846f61e7e90b8</x:v>
      </x:c>
      <x:c r="E15" s="32" t="str">
        <x:v>3ba846f61e7e90b87d2477a482000a367a9d231e5864e8c638b958d977051b80</x:v>
      </x:c>
      <x:c r="F15" s="32" t="n">
        <x:v>9</x:v>
      </x:c>
      <x:c r="G15" s="35" t="n">
        <x:v>37606</x:v>
      </x:c>
      <x:c r="H15" s="35" t="str">
        <x:v>Queens</x:v>
      </x:c>
      <x:c r="I15" s="35" t="str">
        <x:v>Rockaway Beach-Arverne-Edgemere</x:v>
      </x:c>
      <x:c r="J15" s="35" t="n">
        <x:v>17618.96287527423</x:v>
      </x:c>
      <x:c r="K15" s="35" t="n">
        <x:v>16844</x:v>
      </x:c>
      <x:c r="L15" s="32" t="n">
        <x:v>5.579809621660824</x:v>
      </x:c>
      <x:c r="M15" s="36" t="n">
        <x:v>0.25825219662787935</x:v>
      </x:c>
      <x:c r="N15" s="36" t="n">
        <x:v>0.28140584184279266</x:v>
      </x:c>
      <x:c r="O15" s="36" t="n">
        <x:v>0.2703039658038471</x:v>
      </x:c>
      <x:c r="P15" s="32" t="n">
        <x:v>59.2239923324021</x:v>
      </x:c>
      <x:c r="Q15" s="32" t="n">
        <x:v>126</x:v>
      </x:c>
      <x:c r="R15" s="32" t="n">
        <x:v>206</x:v>
      </x:c>
      <x:c r="S15" s="32" t="n">
        <x:v>5.4778492793703135</x:v>
      </x:c>
      <x:c r="T15" s="32" t="n">
        <x:v>4.209926383281881</x:v>
      </x:c>
      <x:c r="U15" s="36" t="n">
        <x:v>1</x:v>
      </x:c>
      <x:c r="V15" s="32" t="n">
        <x:v>0.22097577974533145</x:v>
      </x:c>
      <x:c r="W15" s="36" t="n">
        <x:v>1</x:v>
      </x:c>
      <x:c r="X15" s="36" t="n">
        <x:v>0.9883638090714795</x:v>
      </x:c>
      <x:c r="Y15" s="32" t="str">
        <x:v>36081092200 | 36081092800 | 36081093401 | 36081093402 | 36081093800 | 36081094201 | 36081094202 | 36081094203 | 36081095400</x:v>
      </x:c>
    </x:row>
    <x:row r="16">
      <x:c r="A16" s="32" t="str">
        <x:v>NYC-V3-R04</x:v>
      </x:c>
      <x:c r="B16" s="32" t="str">
        <x:v>V3</x:v>
      </x:c>
      <x:c r="C16" s="32" t="n">
        <x:v>4</x:v>
      </x:c>
      <x:c r="D16" s="32" t="str">
        <x:v>3bd31640c9517c61</x:v>
      </x:c>
      <x:c r="E16" s="32" t="str">
        <x:v>3bd31640c9517c6152ffe67fbcf4b6c8655bc65940469bffd5321ce2bff8eb70</x:v>
      </x:c>
      <x:c r="F16" s="32" t="n">
        <x:v>7</x:v>
      </x:c>
      <x:c r="G16" s="35" t="n">
        <x:v>34486</x:v>
      </x:c>
      <x:c r="H16" s="35" t="str">
        <x:v>Queens</x:v>
      </x:c>
      <x:c r="I16" s="35" t="str">
        <x:v>Forest Hills</x:v>
      </x:c>
      <x:c r="J16" s="35" t="n">
        <x:v>65111.40847846997</x:v>
      </x:c>
      <x:c r="K16" s="35" t="n">
        <x:v>17858</x:v>
      </x:c>
      <x:c r="L16" s="32" t="n">
        <x:v>8.912645872998095</x:v>
      </x:c>
      <x:c r="M16" s="36" t="n">
        <x:v>0.23597267331168104</x:v>
      </x:c>
      <x:c r="N16" s="36" t="n">
        <x:v>0.6744876245940195</x:v>
      </x:c>
      <x:c r="O16" s="36" t="n">
        <x:v>0.22124538022174936</x:v>
      </x:c>
      <x:c r="P16" s="32" t="n">
        <x:v>90.95678606997815</x:v>
      </x:c>
      <x:c r="Q16" s="32" t="n">
        <x:v>273</x:v>
      </x:c>
      <x:c r="R16" s="32" t="n">
        <x:v>295</x:v>
      </x:c>
      <x:c r="S16" s="32" t="n">
        <x:v>8.554195905584875</x:v>
      </x:c>
      <x:c r="T16" s="32" t="n">
        <x:v>2.3286482248852054</x:v>
      </x:c>
      <x:c r="U16" s="36" t="n">
        <x:v>0</x:v>
      </x:c>
      <x:c r="V16" s="32" t="n">
        <x:v>0.1802955563767331</x:v>
      </x:c>
      <x:c r="W16" s="36" t="n">
        <x:v>1</x:v>
      </x:c>
      <x:c r="X16" s="36" t="n">
        <x:v>0.999944002687871</x:v>
      </x:c>
      <x:c r="Y16" s="32" t="str">
        <x:v>36081070900 | 36081071100 | 36081071303 | 36081071304 | 36081071305 | 36081071306 | 36081074100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97171176ab94597"/>
  </x:tableParts>
</x:worksheet>
</file>

<file path=xl/worksheets/sheet7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4" hidden="0" customWidth="1"/>
    <x:col min="2" max="2" width="10.670000076293945" hidden="0" customWidth="1"/>
    <x:col min="3" max="3" width="8.670000076293945" hidden="0" customWidth="1"/>
    <x:col min="4" max="4" width="9.4399995803833" hidden="0" customWidth="1"/>
    <x:col min="5" max="5" width="34" hidden="0" customWidth="1"/>
    <x:col min="6" max="6" width="11.109999656677246" hidden="0" customWidth="1"/>
    <x:col min="7" max="7" width="15.670000076293945" hidden="0" customWidth="1"/>
    <x:col min="8" max="8" width="12" hidden="0" customWidth="1"/>
    <x:col min="9" max="9" width="14" hidden="0" customWidth="1"/>
    <x:col min="10" max="10" width="13.329999923706055" hidden="0" customWidth="1"/>
    <x:col min="11" max="11" width="17.670000076293945" hidden="0" customWidth="1"/>
  </x:cols>
  <x:sheetData>
    <x:row r="1" ht="30" customHeight="1">
      <x:c r="A1" s="45" t="str">
        <x:v>06 Reference Tracts</x:v>
      </x:c>
    </x:row>
    <x:row r="2" ht="34" customHeight="1">
      <x:c r="A2" s="21" t="str">
        <x:v>Full disclosed tract composition for the twelve reference catchments; this is the join ledger for independent reproduction.</x:v>
      </x:c>
    </x:row>
    <x:row r="4" ht="34" customHeight="1">
      <x:c r="A4" s="24" t="str">
        <x:v>Catchment</x:v>
      </x:c>
      <x:c r="B4" s="24" t="str">
        <x:v>Archetype</x:v>
      </x:c>
      <x:c r="C4" s="24" t="str">
        <x:v>GEOID</x:v>
      </x:c>
      <x:c r="D4" s="24" t="str">
        <x:v>Borough</x:v>
      </x:c>
      <x:c r="E4" s="24" t="str">
        <x:v>NTA</x:v>
      </x:c>
      <x:c r="F4" s="24" t="str">
        <x:v>Population</x:v>
      </x:c>
      <x:c r="G4" s="24" t="str">
        <x:v>Residential units</x:v>
      </x:c>
      <x:c r="H4" s="24" t="str">
        <x:v>Mean floors</x:v>
      </x:c>
      <x:c r="I4" s="24" t="str">
        <x:v>Active devices</x:v>
      </x:c>
      <x:c r="J4" s="24" t="str">
        <x:v>HVI 4–5 share</x:v>
      </x:c>
      <x:c r="K4" s="24" t="str">
        <x:v>Facility distance mi</x:v>
      </x:c>
    </x:row>
    <x:row r="5">
      <x:c r="A5" s="32" t="str">
        <x:v>NYC-V1-R01</x:v>
      </x:c>
      <x:c r="B5" s="32" t="str">
        <x:v>V1</x:v>
      </x:c>
      <x:c r="C5" s="32" t="str">
        <x:v>36081079701</x:v>
      </x:c>
      <x:c r="D5" s="32" t="str">
        <x:v>Queens</x:v>
      </x:c>
      <x:c r="E5" s="32" t="str">
        <x:v>Flushing-Willets Point</x:v>
      </x:c>
      <x:c r="F5" s="35" t="n">
        <x:v>7620</x:v>
      </x:c>
      <x:c r="G5" s="35" t="n">
        <x:v>3033</x:v>
      </x:c>
      <x:c r="H5" s="35" t="n">
        <x:v>15.875370919881306</x:v>
      </x:c>
      <x:c r="I5" s="35" t="n">
        <x:v>42</x:v>
      </x:c>
      <x:c r="J5" s="36" t="n">
        <x:v>1</x:v>
      </x:c>
      <x:c r="K5" s="32" t="n">
        <x:v>0.31489607105274536</x:v>
      </x:c>
    </x:row>
    <x:row r="6">
      <x:c r="A6" s="32" t="str">
        <x:v>NYC-V1-R01</x:v>
      </x:c>
      <x:c r="B6" s="32" t="str">
        <x:v>V1</x:v>
      </x:c>
      <x:c r="C6" s="32" t="str">
        <x:v>36081085300</x:v>
      </x:c>
      <x:c r="D6" s="32" t="str">
        <x:v>Queens</x:v>
      </x:c>
      <x:c r="E6" s="32" t="str">
        <x:v>Flushing-Willets Point</x:v>
      </x:c>
      <x:c r="F6" s="35" t="n">
        <x:v>5415</x:v>
      </x:c>
      <x:c r="G6" s="35" t="n">
        <x:v>2472</x:v>
      </x:c>
      <x:c r="H6" s="35" t="n">
        <x:v>8.85301779935275</x:v>
      </x:c>
      <x:c r="I6" s="35" t="n">
        <x:v>60</x:v>
      </x:c>
      <x:c r="J6" s="36" t="n">
        <x:v>1</x:v>
      </x:c>
      <x:c r="K6" s="32" t="n">
        <x:v>0.07800571791733084</x:v>
      </x:c>
    </x:row>
    <x:row r="7">
      <x:c r="A7" s="32" t="str">
        <x:v>NYC-V1-R01</x:v>
      </x:c>
      <x:c r="B7" s="32" t="str">
        <x:v>V1</x:v>
      </x:c>
      <x:c r="C7" s="32" t="str">
        <x:v>36081085500</x:v>
      </x:c>
      <x:c r="D7" s="32" t="str">
        <x:v>Queens</x:v>
      </x:c>
      <x:c r="E7" s="32" t="str">
        <x:v>Flushing-Willets Point</x:v>
      </x:c>
      <x:c r="F7" s="35" t="n">
        <x:v>6889</x:v>
      </x:c>
      <x:c r="G7" s="35" t="n">
        <x:v>2708</x:v>
      </x:c>
      <x:c r="H7" s="35" t="n">
        <x:v>5.942023633677991</x:v>
      </x:c>
      <x:c r="I7" s="35" t="n">
        <x:v>52</x:v>
      </x:c>
      <x:c r="J7" s="36" t="n">
        <x:v>1</x:v>
      </x:c>
      <x:c r="K7" s="32" t="n">
        <x:v>0.08405442209353788</x:v>
      </x:c>
    </x:row>
    <x:row r="8">
      <x:c r="A8" s="32" t="str">
        <x:v>NYC-V1-R01</x:v>
      </x:c>
      <x:c r="B8" s="32" t="str">
        <x:v>V1</x:v>
      </x:c>
      <x:c r="C8" s="32" t="str">
        <x:v>36081085700</x:v>
      </x:c>
      <x:c r="D8" s="32" t="str">
        <x:v>Queens</x:v>
      </x:c>
      <x:c r="E8" s="32" t="str">
        <x:v>Flushing-Willets Point</x:v>
      </x:c>
      <x:c r="F8" s="35" t="n">
        <x:v>5770</x:v>
      </x:c>
      <x:c r="G8" s="35" t="n">
        <x:v>2192</x:v>
      </x:c>
      <x:c r="H8" s="35" t="n">
        <x:v>6.0962869003690034</x:v>
      </x:c>
      <x:c r="I8" s="35" t="n">
        <x:v>43</x:v>
      </x:c>
      <x:c r="J8" s="36" t="n">
        <x:v>1</x:v>
      </x:c>
      <x:c r="K8" s="32" t="n">
        <x:v>0.10937367359333369</x:v>
      </x:c>
    </x:row>
    <x:row r="9">
      <x:c r="A9" s="32" t="str">
        <x:v>NYC-V1-R01</x:v>
      </x:c>
      <x:c r="B9" s="32" t="str">
        <x:v>V1</x:v>
      </x:c>
      <x:c r="C9" s="32" t="str">
        <x:v>36081085900</x:v>
      </x:c>
      <x:c r="D9" s="32" t="str">
        <x:v>Queens</x:v>
      </x:c>
      <x:c r="E9" s="32" t="str">
        <x:v>Flushing-Willets Point</x:v>
      </x:c>
      <x:c r="F9" s="35" t="n">
        <x:v>6162</x:v>
      </x:c>
      <x:c r="G9" s="35" t="n">
        <x:v>2293</x:v>
      </x:c>
      <x:c r="H9" s="35" t="n">
        <x:v>5.822310405643739</x:v>
      </x:c>
      <x:c r="I9" s="35" t="n">
        <x:v>65</x:v>
      </x:c>
      <x:c r="J9" s="36" t="n">
        <x:v>1</x:v>
      </x:c>
      <x:c r="K9" s="32" t="n">
        <x:v>0.24517353383575222</x:v>
      </x:c>
    </x:row>
    <x:row r="10">
      <x:c r="A10" s="32" t="str">
        <x:v>NYC-V1-R01</x:v>
      </x:c>
      <x:c r="B10" s="32" t="str">
        <x:v>V1</x:v>
      </x:c>
      <x:c r="C10" s="32" t="str">
        <x:v>36081086100</x:v>
      </x:c>
      <x:c r="D10" s="32" t="str">
        <x:v>Queens</x:v>
      </x:c>
      <x:c r="E10" s="32" t="str">
        <x:v>East Flushing</x:v>
      </x:c>
      <x:c r="F10" s="35" t="n">
        <x:v>2450</x:v>
      </x:c>
      <x:c r="G10" s="35" t="n">
        <x:v>1101</x:v>
      </x:c>
      <x:c r="H10" s="35" t="n">
        <x:v>5.016651459854015</x:v>
      </x:c>
      <x:c r="I10" s="35" t="n">
        <x:v>20</x:v>
      </x:c>
      <x:c r="J10" s="36" t="n">
        <x:v>1</x:v>
      </x:c>
      <x:c r="K10" s="32" t="n">
        <x:v>0.22692466930377436</x:v>
      </x:c>
    </x:row>
    <x:row r="11">
      <x:c r="A11" s="32" t="str">
        <x:v>NYC-V1-R02</x:v>
      </x:c>
      <x:c r="B11" s="32" t="str">
        <x:v>V1</x:v>
      </x:c>
      <x:c r="C11" s="32" t="str">
        <x:v>36061018300</x:v>
      </x:c>
      <x:c r="D11" s="32" t="str">
        <x:v>Manhattan</x:v>
      </x:c>
      <x:c r="E11" s="32" t="str">
        <x:v>Upper West Side (Central)</x:v>
      </x:c>
      <x:c r="F11" s="35" t="n">
        <x:v>8534</x:v>
      </x:c>
      <x:c r="G11" s="35" t="n">
        <x:v>4763</x:v>
      </x:c>
      <x:c r="H11" s="35" t="n">
        <x:v>13.68864161242914</x:v>
      </x:c>
      <x:c r="I11" s="35" t="n">
        <x:v>110</x:v>
      </x:c>
      <x:c r="J11" s="36" t="n">
        <x:v>0</x:v>
      </x:c>
      <x:c r="K11" s="32" t="n">
        <x:v>0.02798626799096573</x:v>
      </x:c>
    </x:row>
    <x:row r="12">
      <x:c r="A12" s="32" t="str">
        <x:v>NYC-V1-R02</x:v>
      </x:c>
      <x:c r="B12" s="32" t="str">
        <x:v>V1</x:v>
      </x:c>
      <x:c r="C12" s="32" t="str">
        <x:v>36061018500</x:v>
      </x:c>
      <x:c r="D12" s="32" t="str">
        <x:v>Manhattan</x:v>
      </x:c>
      <x:c r="E12" s="32" t="str">
        <x:v>Upper West Side-Manhattan Valley</x:v>
      </x:c>
      <x:c r="F12" s="35" t="n">
        <x:v>5243</x:v>
      </x:c>
      <x:c r="G12" s="35" t="n">
        <x:v>3363</x:v>
      </x:c>
      <x:c r="H12" s="35" t="n">
        <x:v>18.705025275052037</x:v>
      </x:c>
      <x:c r="I12" s="35" t="n">
        <x:v>70</x:v>
      </x:c>
      <x:c r="J12" s="36" t="n">
        <x:v>0</x:v>
      </x:c>
      <x:c r="K12" s="32" t="n">
        <x:v>0.11752239054426175</x:v>
      </x:c>
    </x:row>
    <x:row r="13">
      <x:c r="A13" s="32" t="str">
        <x:v>NYC-V1-R02</x:v>
      </x:c>
      <x:c r="B13" s="32" t="str">
        <x:v>V1</x:v>
      </x:c>
      <x:c r="C13" s="32" t="str">
        <x:v>36061018700</x:v>
      </x:c>
      <x:c r="D13" s="32" t="str">
        <x:v>Manhattan</x:v>
      </x:c>
      <x:c r="E13" s="32" t="str">
        <x:v>Upper West Side-Manhattan Valley</x:v>
      </x:c>
      <x:c r="F13" s="35" t="n">
        <x:v>9383</x:v>
      </x:c>
      <x:c r="G13" s="35" t="n">
        <x:v>4533</x:v>
      </x:c>
      <x:c r="H13" s="35" t="n">
        <x:v>11.723803220825062</x:v>
      </x:c>
      <x:c r="I13" s="35" t="n">
        <x:v>136</x:v>
      </x:c>
      <x:c r="J13" s="36" t="n">
        <x:v>0</x:v>
      </x:c>
      <x:c r="K13" s="32" t="n">
        <x:v>0.22935650428254134</x:v>
      </x:c>
    </x:row>
    <x:row r="14">
      <x:c r="A14" s="32" t="str">
        <x:v>NYC-V1-R02</x:v>
      </x:c>
      <x:c r="B14" s="32" t="str">
        <x:v>V1</x:v>
      </x:c>
      <x:c r="C14" s="32" t="str">
        <x:v>36061019100</x:v>
      </x:c>
      <x:c r="D14" s="32" t="str">
        <x:v>Manhattan</x:v>
      </x:c>
      <x:c r="E14" s="32" t="str">
        <x:v>Upper West Side-Manhattan Valley</x:v>
      </x:c>
      <x:c r="F14" s="35" t="n">
        <x:v>9005</x:v>
      </x:c>
      <x:c r="G14" s="35" t="n">
        <x:v>5012</x:v>
      </x:c>
      <x:c r="H14" s="35" t="n">
        <x:v>11.21537213546948</x:v>
      </x:c>
      <x:c r="I14" s="35" t="n">
        <x:v>121</x:v>
      </x:c>
      <x:c r="J14" s="36" t="n">
        <x:v>0</x:v>
      </x:c>
      <x:c r="K14" s="32" t="n">
        <x:v>0.20855974666669638</x:v>
      </x:c>
    </x:row>
    <x:row r="15">
      <x:c r="A15" s="32" t="str">
        <x:v>NYC-V1-R03</x:v>
      </x:c>
      <x:c r="B15" s="32" t="str">
        <x:v>V1</x:v>
      </x:c>
      <x:c r="C15" s="32" t="str">
        <x:v>36061007001</x:v>
      </x:c>
      <x:c r="D15" s="32" t="str">
        <x:v>Manhattan</x:v>
      </x:c>
      <x:c r="E15" s="32" t="str">
        <x:v>Murray Hill-Kips Bay</x:v>
      </x:c>
      <x:c r="F15" s="35" t="n">
        <x:v>4550</x:v>
      </x:c>
      <x:c r="G15" s="35" t="n">
        <x:v>2799</x:v>
      </x:c>
      <x:c r="H15" s="35" t="n">
        <x:v>18.806002143622724</x:v>
      </x:c>
      <x:c r="I15" s="35" t="n">
        <x:v>44</x:v>
      </x:c>
      <x:c r="J15" s="36" t="n">
        <x:v>0</x:v>
      </x:c>
      <x:c r="K15" s="32" t="n">
        <x:v>0.16030796722844937</x:v>
      </x:c>
    </x:row>
    <x:row r="16">
      <x:c r="A16" s="32" t="str">
        <x:v>NYC-V1-R03</x:v>
      </x:c>
      <x:c r="B16" s="32" t="str">
        <x:v>V1</x:v>
      </x:c>
      <x:c r="C16" s="32" t="str">
        <x:v>36061007002</x:v>
      </x:c>
      <x:c r="D16" s="32" t="str">
        <x:v>Manhattan</x:v>
      </x:c>
      <x:c r="E16" s="32" t="str">
        <x:v>Murray Hill-Kips Bay</x:v>
      </x:c>
      <x:c r="F16" s="35" t="n">
        <x:v>4865</x:v>
      </x:c>
      <x:c r="G16" s="35" t="n">
        <x:v>3347</x:v>
      </x:c>
      <x:c r="H16" s="35" t="n">
        <x:v>14.645279354645952</x:v>
      </x:c>
      <x:c r="I16" s="35" t="n">
        <x:v>56</x:v>
      </x:c>
      <x:c r="J16" s="36" t="n">
        <x:v>0</x:v>
      </x:c>
      <x:c r="K16" s="32" t="n">
        <x:v>0.06018166822564029</x:v>
      </x:c>
    </x:row>
    <x:row r="17">
      <x:c r="A17" s="32" t="str">
        <x:v>NYC-V1-R03</x:v>
      </x:c>
      <x:c r="B17" s="32" t="str">
        <x:v>V1</x:v>
      </x:c>
      <x:c r="C17" s="32" t="str">
        <x:v>36061007200</x:v>
      </x:c>
      <x:c r="D17" s="32" t="str">
        <x:v>Manhattan</x:v>
      </x:c>
      <x:c r="E17" s="32" t="str">
        <x:v>Murray Hill-Kips Bay</x:v>
      </x:c>
      <x:c r="F17" s="35" t="n">
        <x:v>9358</x:v>
      </x:c>
      <x:c r="G17" s="35" t="n">
        <x:v>5921</x:v>
      </x:c>
      <x:c r="H17" s="35" t="n">
        <x:v>18.562763980402096</x:v>
      </x:c>
      <x:c r="I17" s="35" t="n">
        <x:v>144</x:v>
      </x:c>
      <x:c r="J17" s="36" t="n">
        <x:v>0</x:v>
      </x:c>
      <x:c r="K17" s="32" t="n">
        <x:v>0.08562473820069788</x:v>
      </x:c>
    </x:row>
    <x:row r="18">
      <x:c r="A18" s="32" t="str">
        <x:v>NYC-V1-R03</x:v>
      </x:c>
      <x:c r="B18" s="32" t="str">
        <x:v>V1</x:v>
      </x:c>
      <x:c r="C18" s="32" t="str">
        <x:v>36061007800</x:v>
      </x:c>
      <x:c r="D18" s="32" t="str">
        <x:v>Manhattan</x:v>
      </x:c>
      <x:c r="E18" s="32" t="str">
        <x:v>Murray Hill-Kips Bay</x:v>
      </x:c>
      <x:c r="F18" s="35" t="n">
        <x:v>9109</x:v>
      </x:c>
      <x:c r="G18" s="35" t="n">
        <x:v>6544</x:v>
      </x:c>
      <x:c r="H18" s="35" t="n">
        <x:v>25.055012224938874</x:v>
      </x:c>
      <x:c r="I18" s="35" t="n">
        <x:v>114</x:v>
      </x:c>
      <x:c r="J18" s="36" t="n">
        <x:v>0</x:v>
      </x:c>
      <x:c r="K18" s="32" t="n">
        <x:v>0.1745189326871794</x:v>
      </x:c>
    </x:row>
    <x:row r="19">
      <x:c r="A19" s="32" t="str">
        <x:v>NYC-V1-R03</x:v>
      </x:c>
      <x:c r="B19" s="32" t="str">
        <x:v>V1</x:v>
      </x:c>
      <x:c r="C19" s="32" t="str">
        <x:v>36061008000</x:v>
      </x:c>
      <x:c r="D19" s="32" t="str">
        <x:v>Manhattan</x:v>
      </x:c>
      <x:c r="E19" s="32" t="str">
        <x:v>Murray Hill-Kips Bay</x:v>
      </x:c>
      <x:c r="F19" s="35" t="n">
        <x:v>5906</x:v>
      </x:c>
      <x:c r="G19" s="35" t="n">
        <x:v>4242</x:v>
      </x:c>
      <x:c r="H19" s="35" t="n">
        <x:v>15.321841112682696</x:v>
      </x:c>
      <x:c r="I19" s="35" t="n">
        <x:v>139</x:v>
      </x:c>
      <x:c r="J19" s="36" t="n">
        <x:v>0</x:v>
      </x:c>
      <x:c r="K19" s="32" t="n">
        <x:v>0.24161740942568855</x:v>
      </x:c>
    </x:row>
    <x:row r="20">
      <x:c r="A20" s="32" t="str">
        <x:v>NYC-V1-R04</x:v>
      </x:c>
      <x:c r="B20" s="32" t="str">
        <x:v>V1</x:v>
      </x:c>
      <x:c r="C20" s="32" t="str">
        <x:v>36061017200</x:v>
      </x:c>
      <x:c r="D20" s="32" t="str">
        <x:v>Manhattan</x:v>
      </x:c>
      <x:c r="E20" s="32" t="str">
        <x:v>East Harlem (South)</x:v>
      </x:c>
      <x:c r="F20" s="35" t="n">
        <x:v>5441</x:v>
      </x:c>
      <x:c r="G20" s="35" t="n">
        <x:v>2942</x:v>
      </x:c>
      <x:c r="H20" s="35" t="n">
        <x:v>9.099252209381373</x:v>
      </x:c>
      <x:c r="I20" s="35" t="n">
        <x:v>34</x:v>
      </x:c>
      <x:c r="J20" s="36" t="n">
        <x:v>1</x:v>
      </x:c>
      <x:c r="K20" s="32" t="n">
        <x:v>0.07689795437584582</x:v>
      </x:c>
    </x:row>
    <x:row r="21">
      <x:c r="A21" s="32" t="str">
        <x:v>NYC-V1-R04</x:v>
      </x:c>
      <x:c r="B21" s="32" t="str">
        <x:v>V1</x:v>
      </x:c>
      <x:c r="C21" s="32" t="str">
        <x:v>36061017401</x:v>
      </x:c>
      <x:c r="D21" s="32" t="str">
        <x:v>Manhattan</x:v>
      </x:c>
      <x:c r="E21" s="32" t="str">
        <x:v>East Harlem (South)</x:v>
      </x:c>
      <x:c r="F21" s="35" t="n">
        <x:v>5449</x:v>
      </x:c>
      <x:c r="G21" s="35" t="n">
        <x:v>2103</x:v>
      </x:c>
      <x:c r="H21" s="35" t="n">
        <x:v>15.116024726581074</x:v>
      </x:c>
      <x:c r="I21" s="35" t="n">
        <x:v>40</x:v>
      </x:c>
      <x:c r="J21" s="36" t="n">
        <x:v>1</x:v>
      </x:c>
      <x:c r="K21" s="32" t="n">
        <x:v>0.03160121574379561</x:v>
      </x:c>
    </x:row>
    <x:row r="22">
      <x:c r="A22" s="32" t="str">
        <x:v>NYC-V1-R04</x:v>
      </x:c>
      <x:c r="B22" s="32" t="str">
        <x:v>V1</x:v>
      </x:c>
      <x:c r="C22" s="32" t="str">
        <x:v>36061017402</x:v>
      </x:c>
      <x:c r="D22" s="32" t="str">
        <x:v>Manhattan</x:v>
      </x:c>
      <x:c r="E22" s="32" t="str">
        <x:v>East Harlem (South)</x:v>
      </x:c>
      <x:c r="F22" s="35" t="n">
        <x:v>2276</x:v>
      </x:c>
      <x:c r="G22" s="35" t="n">
        <x:v>1822</x:v>
      </x:c>
      <x:c r="H22" s="35" t="n">
        <x:v>23.100110619469028</x:v>
      </x:c>
      <x:c r="I22" s="35" t="n">
        <x:v>38</x:v>
      </x:c>
      <x:c r="J22" s="36" t="n">
        <x:v>1</x:v>
      </x:c>
      <x:c r="K22" s="32" t="n">
        <x:v>0.055658041816848206</x:v>
      </x:c>
    </x:row>
    <x:row r="23">
      <x:c r="A23" s="32" t="str">
        <x:v>NYC-V1-R04</x:v>
      </x:c>
      <x:c r="B23" s="32" t="str">
        <x:v>V1</x:v>
      </x:c>
      <x:c r="C23" s="32" t="str">
        <x:v>36061018200</x:v>
      </x:c>
      <x:c r="D23" s="32" t="str">
        <x:v>Manhattan</x:v>
      </x:c>
      <x:c r="E23" s="32" t="str">
        <x:v>East Harlem (North)</x:v>
      </x:c>
      <x:c r="F23" s="35" t="n">
        <x:v>7675</x:v>
      </x:c>
      <x:c r="G23" s="35" t="n">
        <x:v>3155</x:v>
      </x:c>
      <x:c r="H23" s="35" t="n">
        <x:v>9.706331530384983</x:v>
      </x:c>
      <x:c r="I23" s="35" t="n">
        <x:v>65</x:v>
      </x:c>
      <x:c r="J23" s="36" t="n">
        <x:v>1</x:v>
      </x:c>
      <x:c r="K23" s="32" t="n">
        <x:v>0.0656101265495046</x:v>
      </x:c>
    </x:row>
    <x:row r="24">
      <x:c r="A24" s="32" t="str">
        <x:v>NYC-V1-R04</x:v>
      </x:c>
      <x:c r="B24" s="32" t="str">
        <x:v>V1</x:v>
      </x:c>
      <x:c r="C24" s="32" t="str">
        <x:v>36061018400</x:v>
      </x:c>
      <x:c r="D24" s="32" t="str">
        <x:v>Manhattan</x:v>
      </x:c>
      <x:c r="E24" s="32" t="str">
        <x:v>East Harlem (North)</x:v>
      </x:c>
      <x:c r="F24" s="35" t="n">
        <x:v>7820</x:v>
      </x:c>
      <x:c r="G24" s="35" t="n">
        <x:v>3237</x:v>
      </x:c>
      <x:c r="H24" s="35" t="n">
        <x:v>11.90268767377201</x:v>
      </x:c>
      <x:c r="I24" s="35" t="n">
        <x:v>53</x:v>
      </x:c>
      <x:c r="J24" s="36" t="n">
        <x:v>1</x:v>
      </x:c>
      <x:c r="K24" s="32" t="n">
        <x:v>0.08593903714647858</x:v>
      </x:c>
    </x:row>
    <x:row r="25">
      <x:c r="A25" s="32" t="str">
        <x:v>NYC-V1-R04</x:v>
      </x:c>
      <x:c r="B25" s="32" t="str">
        <x:v>V1</x:v>
      </x:c>
      <x:c r="C25" s="32" t="str">
        <x:v>36061018600</x:v>
      </x:c>
      <x:c r="D25" s="32" t="str">
        <x:v>Manhattan</x:v>
      </x:c>
      <x:c r="E25" s="32" t="str">
        <x:v>Harlem (South)</x:v>
      </x:c>
      <x:c r="F25" s="35" t="n">
        <x:v>5127</x:v>
      </x:c>
      <x:c r="G25" s="35" t="n">
        <x:v>1222</x:v>
      </x:c>
      <x:c r="H25" s="35" t="n">
        <x:v>9.015139116202946</x:v>
      </x:c>
      <x:c r="I25" s="35" t="n">
        <x:v>34</x:v>
      </x:c>
      <x:c r="J25" s="36" t="n">
        <x:v>1</x:v>
      </x:c>
      <x:c r="K25" s="32" t="n">
        <x:v>0.04574876563914925</x:v>
      </x:c>
    </x:row>
    <x:row r="26">
      <x:c r="A26" s="32" t="str">
        <x:v>NYC-V2-R01</x:v>
      </x:c>
      <x:c r="B26" s="32" t="str">
        <x:v>V2</x:v>
      </x:c>
      <x:c r="C26" s="32" t="str">
        <x:v>36005023704</x:v>
      </x:c>
      <x:c r="D26" s="32" t="str">
        <x:v>Bronx</x:v>
      </x:c>
      <x:c r="E26" s="32" t="str">
        <x:v>Fordham Heights</x:v>
      </x:c>
      <x:c r="F26" s="35" t="n">
        <x:v>3970</x:v>
      </x:c>
      <x:c r="G26" s="35" t="n">
        <x:v>1420</x:v>
      </x:c>
      <x:c r="H26" s="35" t="n">
        <x:v>6.195070422535212</x:v>
      </x:c>
      <x:c r="I26" s="35" t="n">
        <x:v>26</x:v>
      </x:c>
      <x:c r="J26" s="36" t="n">
        <x:v>1</x:v>
      </x:c>
      <x:c r="K26" s="32" t="n">
        <x:v>0.09343312730042759</x:v>
      </x:c>
    </x:row>
    <x:row r="27">
      <x:c r="A27" s="32" t="str">
        <x:v>NYC-V2-R01</x:v>
      </x:c>
      <x:c r="B27" s="32" t="str">
        <x:v>V2</x:v>
      </x:c>
      <x:c r="C27" s="32" t="str">
        <x:v>36005023900</x:v>
      </x:c>
      <x:c r="D27" s="32" t="str">
        <x:v>Bronx</x:v>
      </x:c>
      <x:c r="E27" s="32" t="str">
        <x:v>Fordham Heights</x:v>
      </x:c>
      <x:c r="F27" s="35" t="n">
        <x:v>8213</x:v>
      </x:c>
      <x:c r="G27" s="35" t="n">
        <x:v>3046</x:v>
      </x:c>
      <x:c r="H27" s="35" t="n">
        <x:v>5.97242284963887</x:v>
      </x:c>
      <x:c r="I27" s="35" t="n">
        <x:v>39</x:v>
      </x:c>
      <x:c r="J27" s="36" t="n">
        <x:v>1</x:v>
      </x:c>
      <x:c r="K27" s="32" t="n">
        <x:v>0.08018123736002458</x:v>
      </x:c>
    </x:row>
    <x:row r="28">
      <x:c r="A28" s="32" t="str">
        <x:v>NYC-V2-R01</x:v>
      </x:c>
      <x:c r="B28" s="32" t="str">
        <x:v>V2</x:v>
      </x:c>
      <x:c r="C28" s="32" t="str">
        <x:v>36005025100</x:v>
      </x:c>
      <x:c r="D28" s="32" t="str">
        <x:v>Bronx</x:v>
      </x:c>
      <x:c r="E28" s="32" t="str">
        <x:v>University Heights (South)-Morris Heights</x:v>
      </x:c>
      <x:c r="F28" s="35" t="n">
        <x:v>6924</x:v>
      </x:c>
      <x:c r="G28" s="35" t="n">
        <x:v>2441</x:v>
      </x:c>
      <x:c r="H28" s="35" t="n">
        <x:v>4.818824252355592</x:v>
      </x:c>
      <x:c r="I28" s="35" t="n">
        <x:v>23</x:v>
      </x:c>
      <x:c r="J28" s="36" t="n">
        <x:v>1</x:v>
      </x:c>
      <x:c r="K28" s="32" t="n">
        <x:v>0.08054930968456757</x:v>
      </x:c>
    </x:row>
    <x:row r="29">
      <x:c r="A29" s="32" t="str">
        <x:v>NYC-V2-R01</x:v>
      </x:c>
      <x:c r="B29" s="32" t="str">
        <x:v>V2</x:v>
      </x:c>
      <x:c r="C29" s="32" t="str">
        <x:v>36005025300</x:v>
      </x:c>
      <x:c r="D29" s="32" t="str">
        <x:v>Bronx</x:v>
      </x:c>
      <x:c r="E29" s="32" t="str">
        <x:v>University Heights (North)-Fordham</x:v>
      </x:c>
      <x:c r="F29" s="35" t="n">
        <x:v>6234</x:v>
      </x:c>
      <x:c r="G29" s="35" t="n">
        <x:v>2040</x:v>
      </x:c>
      <x:c r="H29" s="35" t="n">
        <x:v>5.069730392156862</x:v>
      </x:c>
      <x:c r="I29" s="35" t="n">
        <x:v>12</x:v>
      </x:c>
      <x:c r="J29" s="36" t="n">
        <x:v>1</x:v>
      </x:c>
      <x:c r="K29" s="32" t="n">
        <x:v>0.12381837533903162</x:v>
      </x:c>
    </x:row>
    <x:row r="30">
      <x:c r="A30" s="32" t="str">
        <x:v>NYC-V2-R01</x:v>
      </x:c>
      <x:c r="B30" s="32" t="str">
        <x:v>V2</x:v>
      </x:c>
      <x:c r="C30" s="32" t="str">
        <x:v>36005025500</x:v>
      </x:c>
      <x:c r="D30" s="32" t="str">
        <x:v>Bronx</x:v>
      </x:c>
      <x:c r="E30" s="32" t="str">
        <x:v>University Heights (North)-Fordham</x:v>
      </x:c>
      <x:c r="F30" s="35" t="n">
        <x:v>8092</x:v>
      </x:c>
      <x:c r="G30" s="35" t="n">
        <x:v>2251</x:v>
      </x:c>
      <x:c r="H30" s="35" t="n">
        <x:v>5.5014438027543315</x:v>
      </x:c>
      <x:c r="I30" s="35" t="n">
        <x:v>28</x:v>
      </x:c>
      <x:c r="J30" s="36" t="n">
        <x:v>1</x:v>
      </x:c>
      <x:c r="K30" s="32" t="n">
        <x:v>0.10415217594100745</x:v>
      </x:c>
    </x:row>
    <x:row r="31">
      <x:c r="A31" s="32" t="str">
        <x:v>NYC-V2-R02</x:v>
      </x:c>
      <x:c r="B31" s="32" t="str">
        <x:v>V2</x:v>
      </x:c>
      <x:c r="C31" s="32" t="str">
        <x:v>36047078200</x:v>
      </x:c>
      <x:c r="D31" s="32" t="str">
        <x:v>Brooklyn</x:v>
      </x:c>
      <x:c r="E31" s="32" t="str">
        <x:v>East Flatbush-Farragut</x:v>
      </x:c>
      <x:c r="F31" s="35" t="n">
        <x:v>4081</x:v>
      </x:c>
      <x:c r="G31" s="35" t="n">
        <x:v>1677</x:v>
      </x:c>
      <x:c r="H31" s="35" t="n">
        <x:v>4.678537313432836</x:v>
      </x:c>
      <x:c r="I31" s="35" t="n">
        <x:v>26</x:v>
      </x:c>
      <x:c r="J31" s="36" t="n">
        <x:v>1</x:v>
      </x:c>
      <x:c r="K31" s="32" t="n">
        <x:v>0.23263157831512224</x:v>
      </x:c>
    </x:row>
    <x:row r="32">
      <x:c r="A32" s="32" t="str">
        <x:v>NYC-V2-R02</x:v>
      </x:c>
      <x:c r="B32" s="32" t="str">
        <x:v>V2</x:v>
      </x:c>
      <x:c r="C32" s="32" t="str">
        <x:v>36047078801</x:v>
      </x:c>
      <x:c r="D32" s="32" t="str">
        <x:v>Brooklyn</x:v>
      </x:c>
      <x:c r="E32" s="32" t="str">
        <x:v>Flatbush</x:v>
      </x:c>
      <x:c r="F32" s="35" t="n">
        <x:v>2040</x:v>
      </x:c>
      <x:c r="G32" s="35" t="n">
        <x:v>884</x:v>
      </x:c>
      <x:c r="H32" s="35" t="n">
        <x:v>4.373868778280543</x:v>
      </x:c>
      <x:c r="I32" s="35" t="n">
        <x:v>8</x:v>
      </x:c>
      <x:c r="J32" s="36" t="n">
        <x:v>1</x:v>
      </x:c>
      <x:c r="K32" s="32" t="n">
        <x:v>0.13762021972774505</x:v>
      </x:c>
    </x:row>
    <x:row r="33">
      <x:c r="A33" s="32" t="str">
        <x:v>NYC-V2-R02</x:v>
      </x:c>
      <x:c r="B33" s="32" t="str">
        <x:v>V2</x:v>
      </x:c>
      <x:c r="C33" s="32" t="str">
        <x:v>36047078802</x:v>
      </x:c>
      <x:c r="D33" s="32" t="str">
        <x:v>Brooklyn</x:v>
      </x:c>
      <x:c r="E33" s="32" t="str">
        <x:v>East Flatbush-Farragut</x:v>
      </x:c>
      <x:c r="F33" s="35" t="n">
        <x:v>1328</x:v>
      </x:c>
      <x:c r="G33" s="35" t="n">
        <x:v>658</x:v>
      </x:c>
      <x:c r="H33" s="35" t="n">
        <x:v>5.560790273556231</x:v>
      </x:c>
      <x:c r="I33" s="35" t="n">
        <x:v>13</x:v>
      </x:c>
      <x:c r="J33" s="36" t="n">
        <x:v>1</x:v>
      </x:c>
      <x:c r="K33" s="32" t="n">
        <x:v>0.05489672518163839</x:v>
      </x:c>
    </x:row>
    <x:row r="34">
      <x:c r="A34" s="32" t="str">
        <x:v>NYC-V2-R02</x:v>
      </x:c>
      <x:c r="B34" s="32" t="str">
        <x:v>V2</x:v>
      </x:c>
      <x:c r="C34" s="32" t="str">
        <x:v>36047079002</x:v>
      </x:c>
      <x:c r="D34" s="32" t="str">
        <x:v>Brooklyn</x:v>
      </x:c>
      <x:c r="E34" s="32" t="str">
        <x:v>East Flatbush-Erasmus</x:v>
      </x:c>
      <x:c r="F34" s="35" t="n">
        <x:v>3769</x:v>
      </x:c>
      <x:c r="G34" s="35" t="n">
        <x:v>1470</x:v>
      </x:c>
      <x:c r="H34" s="35" t="n">
        <x:v>4.226401360544218</x:v>
      </x:c>
      <x:c r="I34" s="35" t="n">
        <x:v>11</x:v>
      </x:c>
      <x:c r="J34" s="36" t="n">
        <x:v>1</x:v>
      </x:c>
      <x:c r="K34" s="32" t="n">
        <x:v>0.2279177856777689</x:v>
      </x:c>
    </x:row>
    <x:row r="35">
      <x:c r="A35" s="32" t="str">
        <x:v>NYC-V2-R02</x:v>
      </x:c>
      <x:c r="B35" s="32" t="str">
        <x:v>V2</x:v>
      </x:c>
      <x:c r="C35" s="32" t="str">
        <x:v>36047082600</x:v>
      </x:c>
      <x:c r="D35" s="32" t="str">
        <x:v>Brooklyn</x:v>
      </x:c>
      <x:c r="E35" s="32" t="str">
        <x:v>East Flatbush-Erasmus</x:v>
      </x:c>
      <x:c r="F35" s="35" t="n">
        <x:v>5165</x:v>
      </x:c>
      <x:c r="G35" s="35" t="n">
        <x:v>2146</x:v>
      </x:c>
      <x:c r="H35" s="35" t="n">
        <x:v>3.372763280521901</x:v>
      </x:c>
      <x:c r="I35" s="35" t="n">
        <x:v>6</x:v>
      </x:c>
      <x:c r="J35" s="36" t="n">
        <x:v>1</x:v>
      </x:c>
      <x:c r="K35" s="32" t="n">
        <x:v>0.26486334003749795</x:v>
      </x:c>
    </x:row>
    <x:row r="36">
      <x:c r="A36" s="32" t="str">
        <x:v>NYC-V2-R02</x:v>
      </x:c>
      <x:c r="B36" s="32" t="str">
        <x:v>V2</x:v>
      </x:c>
      <x:c r="C36" s="32" t="str">
        <x:v>36047082800</x:v>
      </x:c>
      <x:c r="D36" s="32" t="str">
        <x:v>Brooklyn</x:v>
      </x:c>
      <x:c r="E36" s="32" t="str">
        <x:v>East Flatbush-Erasmus</x:v>
      </x:c>
      <x:c r="F36" s="35" t="n">
        <x:v>4206</x:v>
      </x:c>
      <x:c r="G36" s="35" t="n">
        <x:v>1583</x:v>
      </x:c>
      <x:c r="H36" s="35" t="n">
        <x:v>3.667624763108023</x:v>
      </x:c>
      <x:c r="I36" s="35" t="n">
        <x:v>10</x:v>
      </x:c>
      <x:c r="J36" s="36" t="n">
        <x:v>1</x:v>
      </x:c>
      <x:c r="K36" s="32" t="n">
        <x:v>0.07441448696189563</x:v>
      </x:c>
    </x:row>
    <x:row r="37">
      <x:c r="A37" s="32" t="str">
        <x:v>NYC-V2-R02</x:v>
      </x:c>
      <x:c r="B37" s="32" t="str">
        <x:v>V2</x:v>
      </x:c>
      <x:c r="C37" s="32" t="str">
        <x:v>36047083000</x:v>
      </x:c>
      <x:c r="D37" s="32" t="str">
        <x:v>Brooklyn</x:v>
      </x:c>
      <x:c r="E37" s="32" t="str">
        <x:v>East Flatbush-Farragut</x:v>
      </x:c>
      <x:c r="F37" s="35" t="n">
        <x:v>6167</x:v>
      </x:c>
      <x:c r="G37" s="35" t="n">
        <x:v>2382</x:v>
      </x:c>
      <x:c r="H37" s="35" t="n">
        <x:v>4.853169605373636</x:v>
      </x:c>
      <x:c r="I37" s="35" t="n">
        <x:v>39</x:v>
      </x:c>
      <x:c r="J37" s="36" t="n">
        <x:v>1</x:v>
      </x:c>
      <x:c r="K37" s="32" t="n">
        <x:v>0.08942152525206652</x:v>
      </x:c>
    </x:row>
    <x:row r="38">
      <x:c r="A38" s="32" t="str">
        <x:v>NYC-V2-R02</x:v>
      </x:c>
      <x:c r="B38" s="32" t="str">
        <x:v>V2</x:v>
      </x:c>
      <x:c r="C38" s="32" t="str">
        <x:v>36047083200</x:v>
      </x:c>
      <x:c r="D38" s="32" t="str">
        <x:v>Brooklyn</x:v>
      </x:c>
      <x:c r="E38" s="32" t="str">
        <x:v>East Flatbush-Farragut</x:v>
      </x:c>
      <x:c r="F38" s="35" t="n">
        <x:v>2362</x:v>
      </x:c>
      <x:c r="G38" s="35" t="n">
        <x:v>743</x:v>
      </x:c>
      <x:c r="H38" s="35" t="n">
        <x:v>2.678694481830417</x:v>
      </x:c>
      <x:c r="I38" s="35" t="n">
        <x:v>2</x:v>
      </x:c>
      <x:c r="J38" s="36" t="n">
        <x:v>1</x:v>
      </x:c>
      <x:c r="K38" s="32" t="n">
        <x:v>0.2964277405363732</x:v>
      </x:c>
    </x:row>
    <x:row r="39">
      <x:c r="A39" s="32" t="str">
        <x:v>NYC-V2-R02</x:v>
      </x:c>
      <x:c r="B39" s="32" t="str">
        <x:v>V2</x:v>
      </x:c>
      <x:c r="C39" s="32" t="str">
        <x:v>36047083400</x:v>
      </x:c>
      <x:c r="D39" s="32" t="str">
        <x:v>Brooklyn</x:v>
      </x:c>
      <x:c r="E39" s="32" t="str">
        <x:v>East Flatbush-Farragut</x:v>
      </x:c>
      <x:c r="F39" s="35" t="n">
        <x:v>1733</x:v>
      </x:c>
      <x:c r="G39" s="35" t="n">
        <x:v>599</x:v>
      </x:c>
      <x:c r="H39" s="35" t="n">
        <x:v>2.103806343906511</x:v>
      </x:c>
      <x:c r="I39" s="35" t="n">
        <x:v>0</x:v>
      </x:c>
      <x:c r="J39" s="36" t="n">
        <x:v>1</x:v>
      </x:c>
      <x:c r="K39" s="32" t="n">
        <x:v>0.29595079181820294</x:v>
      </x:c>
    </x:row>
    <x:row r="40">
      <x:c r="A40" s="32" t="str">
        <x:v>NYC-V2-R02</x:v>
      </x:c>
      <x:c r="B40" s="32" t="str">
        <x:v>V2</x:v>
      </x:c>
      <x:c r="C40" s="32" t="str">
        <x:v>36047085400</x:v>
      </x:c>
      <x:c r="D40" s="32" t="str">
        <x:v>Brooklyn</x:v>
      </x:c>
      <x:c r="E40" s="32" t="str">
        <x:v>East Flatbush-Farragut</x:v>
      </x:c>
      <x:c r="F40" s="35" t="n">
        <x:v>1962</x:v>
      </x:c>
      <x:c r="G40" s="35" t="n">
        <x:v>764</x:v>
      </x:c>
      <x:c r="H40" s="35" t="n">
        <x:v>2.4646596858638743</x:v>
      </x:c>
      <x:c r="I40" s="35" t="n">
        <x:v>2</x:v>
      </x:c>
      <x:c r="J40" s="36" t="n">
        <x:v>1</x:v>
      </x:c>
      <x:c r="K40" s="32" t="n">
        <x:v>0.2962808685400753</x:v>
      </x:c>
    </x:row>
    <x:row r="41">
      <x:c r="A41" s="32" t="str">
        <x:v>NYC-V2-R03</x:v>
      </x:c>
      <x:c r="B41" s="32" t="str">
        <x:v>V2</x:v>
      </x:c>
      <x:c r="C41" s="32" t="str">
        <x:v>36047026700</x:v>
      </x:c>
      <x:c r="D41" s="32" t="str">
        <x:v>Brooklyn</x:v>
      </x:c>
      <x:c r="E41" s="32" t="str">
        <x:v>Bedford-Stuyvesant (West)</x:v>
      </x:c>
      <x:c r="F41" s="35" t="n">
        <x:v>4228</x:v>
      </x:c>
      <x:c r="G41" s="35" t="n">
        <x:v>1851</x:v>
      </x:c>
      <x:c r="H41" s="35" t="n">
        <x:v>3.3126706717640633</x:v>
      </x:c>
      <x:c r="I41" s="35" t="n">
        <x:v>6</x:v>
      </x:c>
      <x:c r="J41" s="36" t="n">
        <x:v>1</x:v>
      </x:c>
      <x:c r="K41" s="32" t="n">
        <x:v>0.13827681379135326</x:v>
      </x:c>
    </x:row>
    <x:row r="42">
      <x:c r="A42" s="32" t="str">
        <x:v>NYC-V2-R03</x:v>
      </x:c>
      <x:c r="B42" s="32" t="str">
        <x:v>V2</x:v>
      </x:c>
      <x:c r="C42" s="32" t="str">
        <x:v>36047026900</x:v>
      </x:c>
      <x:c r="D42" s="32" t="str">
        <x:v>Brooklyn</x:v>
      </x:c>
      <x:c r="E42" s="32" t="str">
        <x:v>Bedford-Stuyvesant (West)</x:v>
      </x:c>
      <x:c r="F42" s="35" t="n">
        <x:v>3005</x:v>
      </x:c>
      <x:c r="G42" s="35" t="n">
        <x:v>1331</x:v>
      </x:c>
      <x:c r="H42" s="35" t="n">
        <x:v>3.74305033809166</x:v>
      </x:c>
      <x:c r="I42" s="35" t="n">
        <x:v>6</x:v>
      </x:c>
      <x:c r="J42" s="36" t="n">
        <x:v>1</x:v>
      </x:c>
      <x:c r="K42" s="32" t="n">
        <x:v>0.12635767690835742</x:v>
      </x:c>
    </x:row>
    <x:row r="43">
      <x:c r="A43" s="32" t="str">
        <x:v>NYC-V2-R03</x:v>
      </x:c>
      <x:c r="B43" s="32" t="str">
        <x:v>V2</x:v>
      </x:c>
      <x:c r="C43" s="32" t="str">
        <x:v>36047027100</x:v>
      </x:c>
      <x:c r="D43" s="32" t="str">
        <x:v>Brooklyn</x:v>
      </x:c>
      <x:c r="E43" s="32" t="str">
        <x:v>Bedford-Stuyvesant (East)</x:v>
      </x:c>
      <x:c r="F43" s="35" t="n">
        <x:v>3493</x:v>
      </x:c>
      <x:c r="G43" s="35" t="n">
        <x:v>1825</x:v>
      </x:c>
      <x:c r="H43" s="35" t="n">
        <x:v>5.6476712328767125</x:v>
      </x:c>
      <x:c r="I43" s="35" t="n">
        <x:v>33</x:v>
      </x:c>
      <x:c r="J43" s="36" t="n">
        <x:v>1</x:v>
      </x:c>
      <x:c r="K43" s="32" t="n">
        <x:v>0.2076498162707923</x:v>
      </x:c>
    </x:row>
    <x:row r="44">
      <x:c r="A44" s="32" t="str">
        <x:v>NYC-V2-R03</x:v>
      </x:c>
      <x:c r="B44" s="32" t="str">
        <x:v>V2</x:v>
      </x:c>
      <x:c r="C44" s="32" t="str">
        <x:v>36047027300</x:v>
      </x:c>
      <x:c r="D44" s="32" t="str">
        <x:v>Brooklyn</x:v>
      </x:c>
      <x:c r="E44" s="32" t="str">
        <x:v>Bedford-Stuyvesant (East)</x:v>
      </x:c>
      <x:c r="F44" s="35" t="n">
        <x:v>3131</x:v>
      </x:c>
      <x:c r="G44" s="35" t="n">
        <x:v>1406</x:v>
      </x:c>
      <x:c r="H44" s="35" t="n">
        <x:v>4.246088193456615</x:v>
      </x:c>
      <x:c r="I44" s="35" t="n">
        <x:v>17</x:v>
      </x:c>
      <x:c r="J44" s="36" t="n">
        <x:v>1</x:v>
      </x:c>
      <x:c r="K44" s="32" t="n">
        <x:v>0.09717998229202017</x:v>
      </x:c>
    </x:row>
    <x:row r="45">
      <x:c r="A45" s="32" t="str">
        <x:v>NYC-V2-R03</x:v>
      </x:c>
      <x:c r="B45" s="32" t="str">
        <x:v>V2</x:v>
      </x:c>
      <x:c r="C45" s="32" t="str">
        <x:v>36047027500</x:v>
      </x:c>
      <x:c r="D45" s="32" t="str">
        <x:v>Brooklyn</x:v>
      </x:c>
      <x:c r="E45" s="32" t="str">
        <x:v>Bedford-Stuyvesant (East)</x:v>
      </x:c>
      <x:c r="F45" s="35" t="n">
        <x:v>4071</x:v>
      </x:c>
      <x:c r="G45" s="35" t="n">
        <x:v>1640</x:v>
      </x:c>
      <x:c r="H45" s="35" t="n">
        <x:v>3.053702570379437</x:v>
      </x:c>
      <x:c r="I45" s="35" t="n">
        <x:v>0</x:v>
      </x:c>
      <x:c r="J45" s="36" t="n">
        <x:v>1</x:v>
      </x:c>
      <x:c r="K45" s="32" t="n">
        <x:v>0.16190604388161972</x:v>
      </x:c>
    </x:row>
    <x:row r="46">
      <x:c r="A46" s="32" t="str">
        <x:v>NYC-V2-R03</x:v>
      </x:c>
      <x:c r="B46" s="32" t="str">
        <x:v>V2</x:v>
      </x:c>
      <x:c r="C46" s="32" t="str">
        <x:v>36047027700</x:v>
      </x:c>
      <x:c r="D46" s="32" t="str">
        <x:v>Brooklyn</x:v>
      </x:c>
      <x:c r="E46" s="32" t="str">
        <x:v>Bedford-Stuyvesant (East)</x:v>
      </x:c>
      <x:c r="F46" s="35" t="n">
        <x:v>4351</x:v>
      </x:c>
      <x:c r="G46" s="35" t="n">
        <x:v>1741</x:v>
      </x:c>
      <x:c r="H46" s="35" t="n">
        <x:v>3.9640796306982113</x:v>
      </x:c>
      <x:c r="I46" s="35" t="n">
        <x:v>20</x:v>
      </x:c>
      <x:c r="J46" s="36" t="n">
        <x:v>1</x:v>
      </x:c>
      <x:c r="K46" s="32" t="n">
        <x:v>0.12145761246518946</x:v>
      </x:c>
    </x:row>
    <x:row r="47">
      <x:c r="A47" s="32" t="str">
        <x:v>NYC-V2-R03</x:v>
      </x:c>
      <x:c r="B47" s="32" t="str">
        <x:v>V2</x:v>
      </x:c>
      <x:c r="C47" s="32" t="str">
        <x:v>36047029500</x:v>
      </x:c>
      <x:c r="D47" s="32" t="str">
        <x:v>Brooklyn</x:v>
      </x:c>
      <x:c r="E47" s="32" t="str">
        <x:v>Bedford-Stuyvesant (East)</x:v>
      </x:c>
      <x:c r="F47" s="35" t="n">
        <x:v>3851</x:v>
      </x:c>
      <x:c r="G47" s="35" t="n">
        <x:v>1795</x:v>
      </x:c>
      <x:c r="H47" s="35" t="n">
        <x:v>2.994568245125348</x:v>
      </x:c>
      <x:c r="I47" s="35" t="n">
        <x:v>3</x:v>
      </x:c>
      <x:c r="J47" s="36" t="n">
        <x:v>1</x:v>
      </x:c>
      <x:c r="K47" s="32" t="n">
        <x:v>0.1669004550636962</x:v>
      </x:c>
    </x:row>
    <x:row r="48">
      <x:c r="A48" s="32" t="str">
        <x:v>NYC-V2-R03</x:v>
      </x:c>
      <x:c r="B48" s="32" t="str">
        <x:v>V2</x:v>
      </x:c>
      <x:c r="C48" s="32" t="str">
        <x:v>36047029700</x:v>
      </x:c>
      <x:c r="D48" s="32" t="str">
        <x:v>Brooklyn</x:v>
      </x:c>
      <x:c r="E48" s="32" t="str">
        <x:v>Bedford-Stuyvesant (East)</x:v>
      </x:c>
      <x:c r="F48" s="35" t="n">
        <x:v>3921</x:v>
      </x:c>
      <x:c r="G48" s="35" t="n">
        <x:v>1756</x:v>
      </x:c>
      <x:c r="H48" s="35" t="n">
        <x:v>3.4310933940774486</x:v>
      </x:c>
      <x:c r="I48" s="35" t="n">
        <x:v>9</x:v>
      </x:c>
      <x:c r="J48" s="36" t="n">
        <x:v>1</x:v>
      </x:c>
      <x:c r="K48" s="32" t="n">
        <x:v>0.15553429996531062</x:v>
      </x:c>
    </x:row>
    <x:row r="49">
      <x:c r="A49" s="32" t="str">
        <x:v>NYC-V2-R03</x:v>
      </x:c>
      <x:c r="B49" s="32" t="str">
        <x:v>V2</x:v>
      </x:c>
      <x:c r="C49" s="32" t="str">
        <x:v>36047030900</x:v>
      </x:c>
      <x:c r="D49" s="32" t="str">
        <x:v>Brooklyn</x:v>
      </x:c>
      <x:c r="E49" s="32" t="str">
        <x:v>Crown Heights (North)</x:v>
      </x:c>
      <x:c r="F49" s="35" t="n">
        <x:v>2209</x:v>
      </x:c>
      <x:c r="G49" s="35" t="n">
        <x:v>888</x:v>
      </x:c>
      <x:c r="H49" s="35" t="n">
        <x:v>3.819977426636569</x:v>
      </x:c>
      <x:c r="I49" s="35" t="n">
        <x:v>4</x:v>
      </x:c>
      <x:c r="J49" s="36" t="n">
        <x:v>1</x:v>
      </x:c>
      <x:c r="K49" s="32" t="n">
        <x:v>0.11945739828537257</x:v>
      </x:c>
    </x:row>
    <x:row r="50">
      <x:c r="A50" s="32" t="str">
        <x:v>NYC-V2-R03</x:v>
      </x:c>
      <x:c r="B50" s="32" t="str">
        <x:v>V2</x:v>
      </x:c>
      <x:c r="C50" s="32" t="str">
        <x:v>36047031100</x:v>
      </x:c>
      <x:c r="D50" s="32" t="str">
        <x:v>Brooklyn</x:v>
      </x:c>
      <x:c r="E50" s="32" t="str">
        <x:v>Crown Heights (North)</x:v>
      </x:c>
      <x:c r="F50" s="35" t="n">
        <x:v>3191</x:v>
      </x:c>
      <x:c r="G50" s="35" t="n">
        <x:v>1323</x:v>
      </x:c>
      <x:c r="H50" s="35" t="n">
        <x:v>3.366078280890253</x:v>
      </x:c>
      <x:c r="I50" s="35" t="n">
        <x:v>3</x:v>
      </x:c>
      <x:c r="J50" s="36" t="n">
        <x:v>1</x:v>
      </x:c>
      <x:c r="K50" s="32" t="n">
        <x:v>0.04216870214316867</x:v>
      </x:c>
    </x:row>
    <x:row r="51">
      <x:c r="A51" s="32" t="str">
        <x:v>NYC-V2-R04</x:v>
      </x:c>
      <x:c r="B51" s="32" t="str">
        <x:v>V2</x:v>
      </x:c>
      <x:c r="C51" s="32" t="str">
        <x:v>36047119400</x:v>
      </x:c>
      <x:c r="D51" s="32" t="str">
        <x:v>Brooklyn</x:v>
      </x:c>
      <x:c r="E51" s="32" t="str">
        <x:v>East New York (North)</x:v>
      </x:c>
      <x:c r="F51" s="35" t="n">
        <x:v>4320</x:v>
      </x:c>
      <x:c r="G51" s="35" t="n">
        <x:v>1358</x:v>
      </x:c>
      <x:c r="H51" s="35" t="n">
        <x:v>2.629793510324484</x:v>
      </x:c>
      <x:c r="I51" s="35" t="n">
        <x:v>2</x:v>
      </x:c>
      <x:c r="J51" s="36" t="n">
        <x:v>1</x:v>
      </x:c>
      <x:c r="K51" s="32" t="n">
        <x:v>0.06057749989241472</x:v>
      </x:c>
    </x:row>
    <x:row r="52">
      <x:c r="A52" s="32" t="str">
        <x:v>NYC-V2-R04</x:v>
      </x:c>
      <x:c r="B52" s="32" t="str">
        <x:v>V2</x:v>
      </x:c>
      <x:c r="C52" s="32" t="str">
        <x:v>36047119600</x:v>
      </x:c>
      <x:c r="D52" s="32" t="str">
        <x:v>Brooklyn</x:v>
      </x:c>
      <x:c r="E52" s="32" t="str">
        <x:v>East New York-City Line</x:v>
      </x:c>
      <x:c r="F52" s="35" t="n">
        <x:v>6458</x:v>
      </x:c>
      <x:c r="G52" s="35" t="n">
        <x:v>2003</x:v>
      </x:c>
      <x:c r="H52" s="35" t="n">
        <x:v>3.0387306346826586</x:v>
      </x:c>
      <x:c r="I52" s="35" t="n">
        <x:v>2</x:v>
      </x:c>
      <x:c r="J52" s="36" t="n">
        <x:v>1</x:v>
      </x:c>
      <x:c r="K52" s="32" t="n">
        <x:v>0.08716694162868323</x:v>
      </x:c>
    </x:row>
    <x:row r="53">
      <x:c r="A53" s="32" t="str">
        <x:v>NYC-V2-R04</x:v>
      </x:c>
      <x:c r="B53" s="32" t="str">
        <x:v>V2</x:v>
      </x:c>
      <x:c r="C53" s="32" t="str">
        <x:v>36047120000</x:v>
      </x:c>
      <x:c r="D53" s="32" t="str">
        <x:v>Brooklyn</x:v>
      </x:c>
      <x:c r="E53" s="32" t="str">
        <x:v>East New York-City Line</x:v>
      </x:c>
      <x:c r="F53" s="35" t="n">
        <x:v>2873</x:v>
      </x:c>
      <x:c r="G53" s="35" t="n">
        <x:v>810</x:v>
      </x:c>
      <x:c r="H53" s="35" t="n">
        <x:v>3.364071782178218</x:v>
      </x:c>
      <x:c r="I53" s="35" t="n">
        <x:v>6</x:v>
      </x:c>
      <x:c r="J53" s="36" t="n">
        <x:v>1</x:v>
      </x:c>
      <x:c r="K53" s="32" t="n">
        <x:v>0.14904324870382976</x:v>
      </x:c>
    </x:row>
    <x:row r="54">
      <x:c r="A54" s="32" t="str">
        <x:v>NYC-V2-R04</x:v>
      </x:c>
      <x:c r="B54" s="32" t="str">
        <x:v>V2</x:v>
      </x:c>
      <x:c r="C54" s="32" t="str">
        <x:v>36047120200</x:v>
      </x:c>
      <x:c r="D54" s="32" t="str">
        <x:v>Brooklyn</x:v>
      </x:c>
      <x:c r="E54" s="32" t="str">
        <x:v>East New York-City Line</x:v>
      </x:c>
      <x:c r="F54" s="35" t="n">
        <x:v>1972</x:v>
      </x:c>
      <x:c r="G54" s="35" t="n">
        <x:v>437</x:v>
      </x:c>
      <x:c r="H54" s="35" t="n">
        <x:v>2.2025171624713957</x:v>
      </x:c>
      <x:c r="I54" s="35" t="n">
        <x:v>0</x:v>
      </x:c>
      <x:c r="J54" s="36" t="n">
        <x:v>1</x:v>
      </x:c>
      <x:c r="K54" s="32" t="n">
        <x:v>0.06578451377204687</x:v>
      </x:c>
    </x:row>
    <x:row r="55">
      <x:c r="A55" s="32" t="str">
        <x:v>NYC-V2-R04</x:v>
      </x:c>
      <x:c r="B55" s="32" t="str">
        <x:v>V2</x:v>
      </x:c>
      <x:c r="C55" s="32" t="str">
        <x:v>36047120801</x:v>
      </x:c>
      <x:c r="D55" s="32" t="str">
        <x:v>Brooklyn</x:v>
      </x:c>
      <x:c r="E55" s="32" t="str">
        <x:v>East New York-City Line</x:v>
      </x:c>
      <x:c r="F55" s="35" t="n">
        <x:v>3999</x:v>
      </x:c>
      <x:c r="G55" s="35" t="n">
        <x:v>1237</x:v>
      </x:c>
      <x:c r="H55" s="35" t="n">
        <x:v>2.076596604688763</x:v>
      </x:c>
      <x:c r="I55" s="35" t="n">
        <x:v>0</x:v>
      </x:c>
      <x:c r="J55" s="36" t="n">
        <x:v>1</x:v>
      </x:c>
      <x:c r="K55" s="32" t="n">
        <x:v>0.254732298234055</x:v>
      </x:c>
    </x:row>
    <x:row r="56">
      <x:c r="A56" s="32" t="str">
        <x:v>NYC-V2-R04</x:v>
      </x:c>
      <x:c r="B56" s="32" t="str">
        <x:v>V2</x:v>
      </x:c>
      <x:c r="C56" s="32" t="str">
        <x:v>36047120802</x:v>
      </x:c>
      <x:c r="D56" s="32" t="str">
        <x:v>Brooklyn</x:v>
      </x:c>
      <x:c r="E56" s="32" t="str">
        <x:v>East New York-City Line</x:v>
      </x:c>
      <x:c r="F56" s="35" t="n">
        <x:v>3770</x:v>
      </x:c>
      <x:c r="G56" s="35" t="n">
        <x:v>319</x:v>
      </x:c>
      <x:c r="H56" s="35" t="n">
        <x:v>20</x:v>
      </x:c>
      <x:c r="I56" s="35" t="n">
        <x:v>3</x:v>
      </x:c>
      <x:c r="J56" s="36" t="n">
        <x:v>1</x:v>
      </x:c>
      <x:c r="K56" s="32" t="n">
        <x:v>0.19081630202133673</x:v>
      </x:c>
    </x:row>
    <x:row r="57">
      <x:c r="A57" s="32" t="str">
        <x:v>NYC-V2-R04</x:v>
      </x:c>
      <x:c r="B57" s="32" t="str">
        <x:v>V2</x:v>
      </x:c>
      <x:c r="C57" s="32" t="str">
        <x:v>36047120803</x:v>
      </x:c>
      <x:c r="D57" s="32" t="str">
        <x:v>Brooklyn</x:v>
      </x:c>
      <x:c r="E57" s="32" t="str">
        <x:v>East New York-City Line</x:v>
      </x:c>
      <x:c r="F57" s="35" t="n">
        <x:v>2010</x:v>
      </x:c>
      <x:c r="G57" s="35" t="n">
        <x:v>581</x:v>
      </x:c>
      <x:c r="H57" s="35" t="n">
        <x:v>3.9558823529411766</x:v>
      </x:c>
      <x:c r="I57" s="35" t="n">
        <x:v>4</x:v>
      </x:c>
      <x:c r="J57" s="36" t="n">
        <x:v>1</x:v>
      </x:c>
      <x:c r="K57" s="32" t="n">
        <x:v>0.2644567945223784</x:v>
      </x:c>
    </x:row>
    <x:row r="58">
      <x:c r="A58" s="32" t="str">
        <x:v>NYC-V2-R04</x:v>
      </x:c>
      <x:c r="B58" s="32" t="str">
        <x:v>V2</x:v>
      </x:c>
      <x:c r="C58" s="32" t="str">
        <x:v>36047121000</x:v>
      </x:c>
      <x:c r="D58" s="32" t="str">
        <x:v>Brooklyn</x:v>
      </x:c>
      <x:c r="E58" s="32" t="str">
        <x:v>East New York-City Line</x:v>
      </x:c>
      <x:c r="F58" s="35" t="n">
        <x:v>3688</x:v>
      </x:c>
      <x:c r="G58" s="35" t="n">
        <x:v>1444</x:v>
      </x:c>
      <x:c r="H58" s="35" t="n">
        <x:v>7</x:v>
      </x:c>
      <x:c r="I58" s="35" t="n">
        <x:v>30</x:v>
      </x:c>
      <x:c r="J58" s="36" t="n">
        <x:v>1</x:v>
      </x:c>
      <x:c r="K58" s="32" t="n">
        <x:v>0.11967097560609545</x:v>
      </x:c>
    </x:row>
    <x:row r="59">
      <x:c r="A59" s="32" t="str">
        <x:v>NYC-V2-R04</x:v>
      </x:c>
      <x:c r="B59" s="32" t="str">
        <x:v>V2</x:v>
      </x:c>
      <x:c r="C59" s="32" t="str">
        <x:v>36047121400</x:v>
      </x:c>
      <x:c r="D59" s="32" t="str">
        <x:v>Brooklyn</x:v>
      </x:c>
      <x:c r="E59" s="32" t="str">
        <x:v>East New York-City Line</x:v>
      </x:c>
      <x:c r="F59" s="35" t="n">
        <x:v>4100</x:v>
      </x:c>
      <x:c r="G59" s="35" t="n">
        <x:v>1919</x:v>
      </x:c>
      <x:c r="H59" s="35" t="n">
        <x:v>8</x:v>
      </x:c>
      <x:c r="I59" s="35" t="n">
        <x:v>21</x:v>
      </x:c>
      <x:c r="J59" s="36" t="n">
        <x:v>1</x:v>
      </x:c>
      <x:c r="K59" s="32" t="n">
        <x:v>0.0937830410257553</x:v>
      </x:c>
    </x:row>
    <x:row r="60">
      <x:c r="A60" s="32" t="str">
        <x:v>NYC-V3-R01</x:v>
      </x:c>
      <x:c r="B60" s="32" t="str">
        <x:v>V3</x:v>
      </x:c>
      <x:c r="C60" s="32" t="str">
        <x:v>36081004300</x:v>
      </x:c>
      <x:c r="D60" s="32" t="str">
        <x:v>Queens</x:v>
      </x:c>
      <x:c r="E60" s="32" t="str">
        <x:v>Queensbridge-Ravenswood-Dutch Kills</x:v>
      </x:c>
      <x:c r="F60" s="35" t="n">
        <x:v>2326</x:v>
      </x:c>
      <x:c r="G60" s="35" t="n">
        <x:v>1061</x:v>
      </x:c>
      <x:c r="H60" s="35" t="n">
        <x:v>5.866163996229972</x:v>
      </x:c>
      <x:c r="I60" s="35" t="n">
        <x:v>20</x:v>
      </x:c>
      <x:c r="J60" s="36" t="n">
        <x:v>0.011310084825636193</x:v>
      </x:c>
      <x:c r="K60" s="32" t="n">
        <x:v>0.025516674568176283</x:v>
      </x:c>
    </x:row>
    <x:row r="61">
      <x:c r="A61" s="32" t="str">
        <x:v>NYC-V3-R01</x:v>
      </x:c>
      <x:c r="B61" s="32" t="str">
        <x:v>V3</x:v>
      </x:c>
      <x:c r="C61" s="32" t="str">
        <x:v>36081004500</x:v>
      </x:c>
      <x:c r="D61" s="32" t="str">
        <x:v>Queens</x:v>
      </x:c>
      <x:c r="E61" s="32" t="str">
        <x:v>Queensbridge-Ravenswood-Dutch Kills</x:v>
      </x:c>
      <x:c r="F61" s="35" t="n">
        <x:v>3252</x:v>
      </x:c>
      <x:c r="G61" s="35" t="n">
        <x:v>1587</x:v>
      </x:c>
      <x:c r="H61" s="35" t="n">
        <x:v>11.333648393194707</x:v>
      </x:c>
      <x:c r="I61" s="35" t="n">
        <x:v>44</x:v>
      </x:c>
      <x:c r="J61" s="36" t="n">
        <x:v>0</x:v>
      </x:c>
      <x:c r="K61" s="32" t="n">
        <x:v>0.07709789256181795</x:v>
      </x:c>
    </x:row>
    <x:row r="62">
      <x:c r="A62" s="32" t="str">
        <x:v>NYC-V3-R01</x:v>
      </x:c>
      <x:c r="B62" s="32" t="str">
        <x:v>V3</x:v>
      </x:c>
      <x:c r="C62" s="32" t="str">
        <x:v>36081004700</x:v>
      </x:c>
      <x:c r="D62" s="32" t="str">
        <x:v>Queens</x:v>
      </x:c>
      <x:c r="E62" s="32" t="str">
        <x:v>Queensbridge-Ravenswood-Dutch Kills</x:v>
      </x:c>
      <x:c r="F62" s="35" t="n">
        <x:v>4090</x:v>
      </x:c>
      <x:c r="G62" s="35" t="n">
        <x:v>1634</x:v>
      </x:c>
      <x:c r="H62" s="35" t="n">
        <x:v>5.037331701346389</x:v>
      </x:c>
      <x:c r="I62" s="35" t="n">
        <x:v>28</x:v>
      </x:c>
      <x:c r="J62" s="36" t="n">
        <x:v>0</x:v>
      </x:c>
      <x:c r="K62" s="32" t="n">
        <x:v>0.18443519066398517</x:v>
      </x:c>
    </x:row>
    <x:row r="63">
      <x:c r="A63" s="32" t="str">
        <x:v>NYC-V3-R01</x:v>
      </x:c>
      <x:c r="B63" s="32" t="str">
        <x:v>V3</x:v>
      </x:c>
      <x:c r="C63" s="32" t="str">
        <x:v>36081005300</x:v>
      </x:c>
      <x:c r="D63" s="32" t="str">
        <x:v>Queens</x:v>
      </x:c>
      <x:c r="E63" s="32" t="str">
        <x:v>Astoria (Central)</x:v>
      </x:c>
      <x:c r="F63" s="35" t="n">
        <x:v>5397</x:v>
      </x:c>
      <x:c r="G63" s="35" t="n">
        <x:v>2615</x:v>
      </x:c>
      <x:c r="H63" s="35" t="n">
        <x:v>3.927941740130318</x:v>
      </x:c>
      <x:c r="I63" s="35" t="n">
        <x:v>20</x:v>
      </x:c>
      <x:c r="J63" s="36" t="n">
        <x:v>0</x:v>
      </x:c>
      <x:c r="K63" s="32" t="n">
        <x:v>0.2522404030493048</x:v>
      </x:c>
    </x:row>
    <x:row r="64">
      <x:c r="A64" s="32" t="str">
        <x:v>NYC-V3-R01</x:v>
      </x:c>
      <x:c r="B64" s="32" t="str">
        <x:v>V3</x:v>
      </x:c>
      <x:c r="C64" s="32" t="str">
        <x:v>36081005900</x:v>
      </x:c>
      <x:c r="D64" s="32" t="str">
        <x:v>Queens</x:v>
      </x:c>
      <x:c r="E64" s="32" t="str">
        <x:v>Astoria (Central)</x:v>
      </x:c>
      <x:c r="F64" s="35" t="n">
        <x:v>4231</x:v>
      </x:c>
      <x:c r="G64" s="35" t="n">
        <x:v>1971</x:v>
      </x:c>
      <x:c r="H64" s="35" t="n">
        <x:v>3.5877727042110603</x:v>
      </x:c>
      <x:c r="I64" s="35" t="n">
        <x:v>9</x:v>
      </x:c>
      <x:c r="J64" s="36" t="n">
        <x:v>0.0106544901065449</x:v>
      </x:c>
      <x:c r="K64" s="32" t="n">
        <x:v>0.19429244276416952</x:v>
      </x:c>
    </x:row>
    <x:row r="65">
      <x:c r="A65" s="32" t="str">
        <x:v>NYC-V3-R01</x:v>
      </x:c>
      <x:c r="B65" s="32" t="str">
        <x:v>V3</x:v>
      </x:c>
      <x:c r="C65" s="32" t="str">
        <x:v>36081006100</x:v>
      </x:c>
      <x:c r="D65" s="32" t="str">
        <x:v>Queens</x:v>
      </x:c>
      <x:c r="E65" s="32" t="str">
        <x:v>Astoria (Central)</x:v>
      </x:c>
      <x:c r="F65" s="35" t="n">
        <x:v>6291</x:v>
      </x:c>
      <x:c r="G65" s="35" t="n">
        <x:v>3384</x:v>
      </x:c>
      <x:c r="H65" s="35" t="n">
        <x:v>3.9708320994965947</x:v>
      </x:c>
      <x:c r="I65" s="35" t="n">
        <x:v>16</x:v>
      </x:c>
      <x:c r="J65" s="36" t="n">
        <x:v>0</x:v>
      </x:c>
      <x:c r="K65" s="32" t="n">
        <x:v>0.3005323235073561</x:v>
      </x:c>
    </x:row>
    <x:row r="66">
      <x:c r="A66" s="32" t="str">
        <x:v>NYC-V3-R01</x:v>
      </x:c>
      <x:c r="B66" s="32" t="str">
        <x:v>V3</x:v>
      </x:c>
      <x:c r="C66" s="32" t="str">
        <x:v>36081007300</x:v>
      </x:c>
      <x:c r="D66" s="32" t="str">
        <x:v>Queens</x:v>
      </x:c>
      <x:c r="E66" s="32" t="str">
        <x:v>Astoria (Central)</x:v>
      </x:c>
      <x:c r="F66" s="35" t="n">
        <x:v>4470</x:v>
      </x:c>
      <x:c r="G66" s="35" t="n">
        <x:v>2650</x:v>
      </x:c>
      <x:c r="H66" s="35" t="n">
        <x:v>5.458301083591332</x:v>
      </x:c>
      <x:c r="I66" s="35" t="n">
        <x:v>54</x:v>
      </x:c>
      <x:c r="J66" s="36" t="n">
        <x:v>0</x:v>
      </x:c>
      <x:c r="K66" s="32" t="n">
        <x:v>0.11925090759237093</x:v>
      </x:c>
    </x:row>
    <x:row r="67">
      <x:c r="A67" s="32" t="str">
        <x:v>NYC-V3-R01</x:v>
      </x:c>
      <x:c r="B67" s="32" t="str">
        <x:v>V3</x:v>
      </x:c>
      <x:c r="C67" s="32" t="str">
        <x:v>36081007500</x:v>
      </x:c>
      <x:c r="D67" s="32" t="str">
        <x:v>Queens</x:v>
      </x:c>
      <x:c r="E67" s="32" t="str">
        <x:v>Astoria (Central)</x:v>
      </x:c>
      <x:c r="F67" s="35" t="n">
        <x:v>4477</x:v>
      </x:c>
      <x:c r="G67" s="35" t="n">
        <x:v>2680</x:v>
      </x:c>
      <x:c r="H67" s="35" t="n">
        <x:v>5.665168539325843</x:v>
      </x:c>
      <x:c r="I67" s="35" t="n">
        <x:v>44</x:v>
      </x:c>
      <x:c r="J67" s="36" t="n">
        <x:v>0</x:v>
      </x:c>
      <x:c r="K67" s="32" t="n">
        <x:v>0.18038560535816842</x:v>
      </x:c>
    </x:row>
    <x:row r="68">
      <x:c r="A68" s="32" t="str">
        <x:v>NYC-V3-R01</x:v>
      </x:c>
      <x:c r="B68" s="32" t="str">
        <x:v>V3</x:v>
      </x:c>
      <x:c r="C68" s="32" t="str">
        <x:v>36081007700</x:v>
      </x:c>
      <x:c r="D68" s="32" t="str">
        <x:v>Queens</x:v>
      </x:c>
      <x:c r="E68" s="32" t="str">
        <x:v>Old Astoria-Hallets Point</x:v>
      </x:c>
      <x:c r="F68" s="35" t="n">
        <x:v>2114</x:v>
      </x:c>
      <x:c r="G68" s="35" t="n">
        <x:v>1182</x:v>
      </x:c>
      <x:c r="H68" s="35" t="n">
        <x:v>6.027303754266212</x:v>
      </x:c>
      <x:c r="I68" s="35" t="n">
        <x:v>31</x:v>
      </x:c>
      <x:c r="J68" s="36" t="n">
        <x:v>0</x:v>
      </x:c>
      <x:c r="K68" s="32" t="n">
        <x:v>0.09637372293183387</x:v>
      </x:c>
    </x:row>
    <x:row r="69">
      <x:c r="A69" s="32" t="str">
        <x:v>NYC-V3-R02</x:v>
      </x:c>
      <x:c r="B69" s="32" t="str">
        <x:v>V3</x:v>
      </x:c>
      <x:c r="C69" s="32" t="str">
        <x:v>36005020200</x:v>
      </x:c>
      <x:c r="D69" s="32" t="str">
        <x:v>Bronx</x:v>
      </x:c>
      <x:c r="E69" s="32" t="str">
        <x:v>Westchester Square</x:v>
      </x:c>
      <x:c r="F69" s="35" t="n">
        <x:v>2789</x:v>
      </x:c>
      <x:c r="G69" s="35" t="n">
        <x:v>875</x:v>
      </x:c>
      <x:c r="H69" s="35" t="n">
        <x:v>3.9354285714285715</x:v>
      </x:c>
      <x:c r="I69" s="35" t="n">
        <x:v>5</x:v>
      </x:c>
      <x:c r="J69" s="36" t="n">
        <x:v>1</x:v>
      </x:c>
      <x:c r="K69" s="32" t="n">
        <x:v>0.18824413716357896</x:v>
      </x:c>
    </x:row>
    <x:row r="70">
      <x:c r="A70" s="32" t="str">
        <x:v>NYC-V3-R02</x:v>
      </x:c>
      <x:c r="B70" s="32" t="str">
        <x:v>V3</x:v>
      </x:c>
      <x:c r="C70" s="32" t="str">
        <x:v>36005020400</x:v>
      </x:c>
      <x:c r="D70" s="32" t="str">
        <x:v>Bronx</x:v>
      </x:c>
      <x:c r="E70" s="32" t="str">
        <x:v>Westchester Square</x:v>
      </x:c>
      <x:c r="F70" s="35" t="n">
        <x:v>3129</x:v>
      </x:c>
      <x:c r="G70" s="35" t="n">
        <x:v>1110</x:v>
      </x:c>
      <x:c r="H70" s="35" t="n">
        <x:v>3.483108108108108</x:v>
      </x:c>
      <x:c r="I70" s="35" t="n">
        <x:v>4</x:v>
      </x:c>
      <x:c r="J70" s="36" t="n">
        <x:v>1</x:v>
      </x:c>
      <x:c r="K70" s="32" t="n">
        <x:v>0.20839358281528397</x:v>
      </x:c>
    </x:row>
    <x:row r="71">
      <x:c r="A71" s="32" t="str">
        <x:v>NYC-V3-R02</x:v>
      </x:c>
      <x:c r="B71" s="32" t="str">
        <x:v>V3</x:v>
      </x:c>
      <x:c r="C71" s="32" t="str">
        <x:v>36005020601</x:v>
      </x:c>
      <x:c r="D71" s="32" t="str">
        <x:v>Bronx</x:v>
      </x:c>
      <x:c r="E71" s="32" t="str">
        <x:v>Westchester Square</x:v>
      </x:c>
      <x:c r="F71" s="35" t="n">
        <x:v>3277</x:v>
      </x:c>
      <x:c r="G71" s="35" t="n">
        <x:v>1084</x:v>
      </x:c>
      <x:c r="H71" s="35" t="n">
        <x:v>4.151522140221402</x:v>
      </x:c>
      <x:c r="I71" s="35" t="n">
        <x:v>5</x:v>
      </x:c>
      <x:c r="J71" s="36" t="n">
        <x:v>1</x:v>
      </x:c>
      <x:c r="K71" s="32" t="n">
        <x:v>0.10563153751135033</x:v>
      </x:c>
    </x:row>
    <x:row r="72">
      <x:c r="A72" s="32" t="str">
        <x:v>NYC-V3-R02</x:v>
      </x:c>
      <x:c r="B72" s="32" t="str">
        <x:v>V3</x:v>
      </x:c>
      <x:c r="C72" s="32" t="str">
        <x:v>36005021001</x:v>
      </x:c>
      <x:c r="D72" s="32" t="str">
        <x:v>Bronx</x:v>
      </x:c>
      <x:c r="E72" s="32" t="str">
        <x:v>Parkchester</x:v>
      </x:c>
      <x:c r="F72" s="35" t="n">
        <x:v>8946</x:v>
      </x:c>
      <x:c r="G72" s="35" t="n">
        <x:v>3985</x:v>
      </x:c>
      <x:c r="H72" s="35" t="n">
        <x:v>13</x:v>
      </x:c>
      <x:c r="I72" s="35" t="n">
        <x:v>67</x:v>
      </x:c>
      <x:c r="J72" s="36" t="n">
        <x:v>1</x:v>
      </x:c>
      <x:c r="K72" s="32" t="n">
        <x:v>0.2934029259752807</x:v>
      </x:c>
    </x:row>
    <x:row r="73">
      <x:c r="A73" s="32" t="str">
        <x:v>NYC-V3-R02</x:v>
      </x:c>
      <x:c r="B73" s="32" t="str">
        <x:v>V3</x:v>
      </x:c>
      <x:c r="C73" s="32" t="str">
        <x:v>36005021002</x:v>
      </x:c>
      <x:c r="D73" s="32" t="str">
        <x:v>Bronx</x:v>
      </x:c>
      <x:c r="E73" s="32" t="str">
        <x:v>Parkchester</x:v>
      </x:c>
      <x:c r="F73" s="35" t="n">
        <x:v>7855</x:v>
      </x:c>
      <x:c r="G73" s="35" t="n">
        <x:v>3602</x:v>
      </x:c>
      <x:c r="H73" s="35" t="n">
        <x:v>7.919642857142857</x:v>
      </x:c>
      <x:c r="I73" s="35" t="n">
        <x:v>58</x:v>
      </x:c>
      <x:c r="J73" s="36" t="n">
        <x:v>1</x:v>
      </x:c>
      <x:c r="K73" s="32" t="n">
        <x:v>0.13884584540086933</x:v>
      </x:c>
    </x:row>
    <x:row r="74">
      <x:c r="A74" s="32" t="str">
        <x:v>NYC-V3-R02</x:v>
      </x:c>
      <x:c r="B74" s="32" t="str">
        <x:v>V3</x:v>
      </x:c>
      <x:c r="C74" s="32" t="str">
        <x:v>36005021200</x:v>
      </x:c>
      <x:c r="D74" s="32" t="str">
        <x:v>Bronx</x:v>
      </x:c>
      <x:c r="E74" s="32" t="str">
        <x:v>Parkchester</x:v>
      </x:c>
      <x:c r="F74" s="35" t="n">
        <x:v>6596</x:v>
      </x:c>
      <x:c r="G74" s="35" t="n">
        <x:v>2659</x:v>
      </x:c>
      <x:c r="H74" s="35"/>
      <x:c r="I74" s="35" t="n">
        <x:v>53</x:v>
      </x:c>
      <x:c r="J74" s="36" t="n">
        <x:v>1</x:v>
      </x:c>
      <x:c r="K74" s="32" t="n">
        <x:v>0.14556272573297344</x:v>
      </x:c>
    </x:row>
    <x:row r="75">
      <x:c r="A75" s="32" t="str">
        <x:v>NYC-V3-R02</x:v>
      </x:c>
      <x:c r="B75" s="32" t="str">
        <x:v>V3</x:v>
      </x:c>
      <x:c r="C75" s="32" t="str">
        <x:v>36005022200</x:v>
      </x:c>
      <x:c r="D75" s="32" t="str">
        <x:v>Bronx</x:v>
      </x:c>
      <x:c r="E75" s="32" t="str">
        <x:v>Parkchester</x:v>
      </x:c>
      <x:c r="F75" s="35" t="n">
        <x:v>3968</x:v>
      </x:c>
      <x:c r="G75" s="35" t="n">
        <x:v>1346</x:v>
      </x:c>
      <x:c r="H75" s="35" t="n">
        <x:v>4.560364041604755</x:v>
      </x:c>
      <x:c r="I75" s="35" t="n">
        <x:v>16</x:v>
      </x:c>
      <x:c r="J75" s="36" t="n">
        <x:v>1</x:v>
      </x:c>
      <x:c r="K75" s="32" t="n">
        <x:v>0.08982812035935824</x:v>
      </x:c>
    </x:row>
    <x:row r="76">
      <x:c r="A76" s="32" t="str">
        <x:v>NYC-V3-R03</x:v>
      </x:c>
      <x:c r="B76" s="32" t="str">
        <x:v>V3</x:v>
      </x:c>
      <x:c r="C76" s="32" t="str">
        <x:v>36081092200</x:v>
      </x:c>
      <x:c r="D76" s="32" t="str">
        <x:v>Queens</x:v>
      </x:c>
      <x:c r="E76" s="32" t="str">
        <x:v>Breezy Point-Belle Harbor-Rockaway Park-Broad Channel</x:v>
      </x:c>
      <x:c r="F76" s="35" t="n">
        <x:v>2208</x:v>
      </x:c>
      <x:c r="G76" s="35" t="n">
        <x:v>894</x:v>
      </x:c>
      <x:c r="H76" s="35" t="n">
        <x:v>1.9439641657334827</x:v>
      </x:c>
      <x:c r="I76" s="35" t="n">
        <x:v>12</x:v>
      </x:c>
      <x:c r="J76" s="36" t="n">
        <x:v>1</x:v>
      </x:c>
      <x:c r="K76" s="32" t="n">
        <x:v>0.47553421991299677</x:v>
      </x:c>
    </x:row>
    <x:row r="77">
      <x:c r="A77" s="32" t="str">
        <x:v>NYC-V3-R03</x:v>
      </x:c>
      <x:c r="B77" s="32" t="str">
        <x:v>V3</x:v>
      </x:c>
      <x:c r="C77" s="32" t="str">
        <x:v>36081092800</x:v>
      </x:c>
      <x:c r="D77" s="32" t="str">
        <x:v>Queens</x:v>
      </x:c>
      <x:c r="E77" s="32" t="str">
        <x:v>Breezy Point-Belle Harbor-Rockaway Park-Broad Channel</x:v>
      </x:c>
      <x:c r="F77" s="35" t="n">
        <x:v>3204</x:v>
      </x:c>
      <x:c r="G77" s="35" t="n">
        <x:v>1395</x:v>
      </x:c>
      <x:c r="H77" s="35" t="n">
        <x:v>2.1186236559139786</x:v>
      </x:c>
      <x:c r="I77" s="35" t="n">
        <x:v>12</x:v>
      </x:c>
      <x:c r="J77" s="36" t="n">
        <x:v>1</x:v>
      </x:c>
      <x:c r="K77" s="32" t="n">
        <x:v>0.21176928506765103</x:v>
      </x:c>
    </x:row>
    <x:row r="78">
      <x:c r="A78" s="32" t="str">
        <x:v>NYC-V3-R03</x:v>
      </x:c>
      <x:c r="B78" s="32" t="str">
        <x:v>V3</x:v>
      </x:c>
      <x:c r="C78" s="32" t="str">
        <x:v>36081093401</x:v>
      </x:c>
      <x:c r="D78" s="32" t="str">
        <x:v>Queens</x:v>
      </x:c>
      <x:c r="E78" s="32" t="str">
        <x:v>Breezy Point-Belle Harbor-Rockaway Park-Broad Channel</x:v>
      </x:c>
      <x:c r="F78" s="35" t="n">
        <x:v>3732</x:v>
      </x:c>
      <x:c r="G78" s="35" t="n">
        <x:v>1804</x:v>
      </x:c>
      <x:c r="H78" s="35" t="n">
        <x:v>2.6037652947719687</x:v>
      </x:c>
      <x:c r="I78" s="35" t="n">
        <x:v>12</x:v>
      </x:c>
      <x:c r="J78" s="36" t="n">
        <x:v>1</x:v>
      </x:c>
      <x:c r="K78" s="32" t="n">
        <x:v>0.40932377403142833</x:v>
      </x:c>
    </x:row>
    <x:row r="79">
      <x:c r="A79" s="32" t="str">
        <x:v>NYC-V3-R03</x:v>
      </x:c>
      <x:c r="B79" s="32" t="str">
        <x:v>V3</x:v>
      </x:c>
      <x:c r="C79" s="32" t="str">
        <x:v>36081093402</x:v>
      </x:c>
      <x:c r="D79" s="32" t="str">
        <x:v>Queens</x:v>
      </x:c>
      <x:c r="E79" s="32" t="str">
        <x:v>Breezy Point-Belle Harbor-Rockaway Park-Broad Channel</x:v>
      </x:c>
      <x:c r="F79" s="35" t="n">
        <x:v>3704</x:v>
      </x:c>
      <x:c r="G79" s="35" t="n">
        <x:v>2020</x:v>
      </x:c>
      <x:c r="H79" s="35" t="n">
        <x:v>4.2109359104781285</x:v>
      </x:c>
      <x:c r="I79" s="35" t="n">
        <x:v>19</x:v>
      </x:c>
      <x:c r="J79" s="36" t="n">
        <x:v>1</x:v>
      </x:c>
      <x:c r="K79" s="32" t="n">
        <x:v>0.1393177365877894</x:v>
      </x:c>
    </x:row>
    <x:row r="80">
      <x:c r="A80" s="32" t="str">
        <x:v>NYC-V3-R03</x:v>
      </x:c>
      <x:c r="B80" s="32" t="str">
        <x:v>V3</x:v>
      </x:c>
      <x:c r="C80" s="32" t="str">
        <x:v>36081093800</x:v>
      </x:c>
      <x:c r="D80" s="32" t="str">
        <x:v>Queens</x:v>
      </x:c>
      <x:c r="E80" s="32" t="str">
        <x:v>Breezy Point-Belle Harbor-Rockaway Park-Broad Channel</x:v>
      </x:c>
      <x:c r="F80" s="35" t="n">
        <x:v>4460</x:v>
      </x:c>
      <x:c r="G80" s="35" t="n">
        <x:v>2442</x:v>
      </x:c>
      <x:c r="H80" s="35" t="n">
        <x:v>8.843903528360876</x:v>
      </x:c>
      <x:c r="I80" s="35" t="n">
        <x:v>33</x:v>
      </x:c>
      <x:c r="J80" s="36" t="n">
        <x:v>1</x:v>
      </x:c>
      <x:c r="K80" s="32" t="n">
        <x:v>0.09275079754871081</x:v>
      </x:c>
    </x:row>
    <x:row r="81">
      <x:c r="A81" s="32" t="str">
        <x:v>NYC-V3-R03</x:v>
      </x:c>
      <x:c r="B81" s="32" t="str">
        <x:v>V3</x:v>
      </x:c>
      <x:c r="C81" s="32" t="str">
        <x:v>36081094201</x:v>
      </x:c>
      <x:c r="D81" s="32" t="str">
        <x:v>Queens</x:v>
      </x:c>
      <x:c r="E81" s="32" t="str">
        <x:v>Rockaway Beach-Arverne-Edgemere</x:v>
      </x:c>
      <x:c r="F81" s="35" t="n">
        <x:v>3729</x:v>
      </x:c>
      <x:c r="G81" s="35" t="n">
        <x:v>1427</x:v>
      </x:c>
      <x:c r="H81" s="35" t="n">
        <x:v>5.841519434628975</x:v>
      </x:c>
      <x:c r="I81" s="35" t="n">
        <x:v>15</x:v>
      </x:c>
      <x:c r="J81" s="36" t="n">
        <x:v>1</x:v>
      </x:c>
      <x:c r="K81" s="32" t="n">
        <x:v>0.2125918622990201</x:v>
      </x:c>
    </x:row>
    <x:row r="82">
      <x:c r="A82" s="32" t="str">
        <x:v>NYC-V3-R03</x:v>
      </x:c>
      <x:c r="B82" s="32" t="str">
        <x:v>V3</x:v>
      </x:c>
      <x:c r="C82" s="32" t="str">
        <x:v>36081094202</x:v>
      </x:c>
      <x:c r="D82" s="32" t="str">
        <x:v>Queens</x:v>
      </x:c>
      <x:c r="E82" s="32" t="str">
        <x:v>Rockaway Beach-Arverne-Edgemere</x:v>
      </x:c>
      <x:c r="F82" s="35" t="n">
        <x:v>4785</x:v>
      </x:c>
      <x:c r="G82" s="35" t="n">
        <x:v>1866</x:v>
      </x:c>
      <x:c r="H82" s="35" t="n">
        <x:v>4.477209051724138</x:v>
      </x:c>
      <x:c r="I82" s="35" t="n">
        <x:v>25</x:v>
      </x:c>
      <x:c r="J82" s="36" t="n">
        <x:v>1</x:v>
      </x:c>
      <x:c r="K82" s="32" t="n">
        <x:v>0.12717174585063024</x:v>
      </x:c>
    </x:row>
    <x:row r="83">
      <x:c r="A83" s="32" t="str">
        <x:v>NYC-V3-R03</x:v>
      </x:c>
      <x:c r="B83" s="32" t="str">
        <x:v>V3</x:v>
      </x:c>
      <x:c r="C83" s="32" t="str">
        <x:v>36081094203</x:v>
      </x:c>
      <x:c r="D83" s="32" t="str">
        <x:v>Queens</x:v>
      </x:c>
      <x:c r="E83" s="32" t="str">
        <x:v>Rockaway Beach-Arverne-Edgemere</x:v>
      </x:c>
      <x:c r="F83" s="35" t="n">
        <x:v>5676</x:v>
      </x:c>
      <x:c r="G83" s="35" t="n">
        <x:v>2776</x:v>
      </x:c>
      <x:c r="H83" s="35" t="n">
        <x:v>11.220190922190202</x:v>
      </x:c>
      <x:c r="I83" s="35" t="n">
        <x:v>36</x:v>
      </x:c>
      <x:c r="J83" s="36" t="n">
        <x:v>1</x:v>
      </x:c>
      <x:c r="K83" s="32" t="n">
        <x:v>0.18805879695366362</x:v>
      </x:c>
    </x:row>
    <x:row r="84">
      <x:c r="A84" s="32" t="str">
        <x:v>NYC-V3-R03</x:v>
      </x:c>
      <x:c r="B84" s="32" t="str">
        <x:v>V3</x:v>
      </x:c>
      <x:c r="C84" s="32" t="str">
        <x:v>36081095400</x:v>
      </x:c>
      <x:c r="D84" s="32" t="str">
        <x:v>Queens</x:v>
      </x:c>
      <x:c r="E84" s="32" t="str">
        <x:v>Rockaway Beach-Arverne-Edgemere</x:v>
      </x:c>
      <x:c r="F84" s="35" t="n">
        <x:v>6108</x:v>
      </x:c>
      <x:c r="G84" s="35" t="n">
        <x:v>2220</x:v>
      </x:c>
      <x:c r="H84" s="35" t="n">
        <x:v>3.2371467391304347</x:v>
      </x:c>
      <x:c r="I84" s="35" t="n">
        <x:v>42</x:v>
      </x:c>
      <x:c r="J84" s="36" t="n">
        <x:v>1</x:v>
      </x:c>
      <x:c r="K84" s="32" t="n">
        <x:v>0.27104378817735175</x:v>
      </x:c>
    </x:row>
    <x:row r="85">
      <x:c r="A85" s="32" t="str">
        <x:v>NYC-V3-R04</x:v>
      </x:c>
      <x:c r="B85" s="32" t="str">
        <x:v>V3</x:v>
      </x:c>
      <x:c r="C85" s="32" t="str">
        <x:v>36081070900</x:v>
      </x:c>
      <x:c r="D85" s="32" t="str">
        <x:v>Queens</x:v>
      </x:c>
      <x:c r="E85" s="32" t="str">
        <x:v>Forest Hills</x:v>
      </x:c>
      <x:c r="F85" s="35" t="n">
        <x:v>2635</x:v>
      </x:c>
      <x:c r="G85" s="35" t="n">
        <x:v>1093</x:v>
      </x:c>
      <x:c r="H85" s="35" t="n">
        <x:v>3.373513266239707</x:v>
      </x:c>
      <x:c r="I85" s="35" t="n">
        <x:v>8</x:v>
      </x:c>
      <x:c r="J85" s="36" t="n">
        <x:v>0</x:v>
      </x:c>
      <x:c r="K85" s="32" t="n">
        <x:v>0.3072570093189956</x:v>
      </x:c>
    </x:row>
    <x:row r="86">
      <x:c r="A86" s="32" t="str">
        <x:v>NYC-V3-R04</x:v>
      </x:c>
      <x:c r="B86" s="32" t="str">
        <x:v>V3</x:v>
      </x:c>
      <x:c r="C86" s="32" t="str">
        <x:v>36081071100</x:v>
      </x:c>
      <x:c r="D86" s="32" t="str">
        <x:v>Queens</x:v>
      </x:c>
      <x:c r="E86" s="32" t="str">
        <x:v>Forest Hills</x:v>
      </x:c>
      <x:c r="F86" s="35" t="n">
        <x:v>5687</x:v>
      </x:c>
      <x:c r="G86" s="35" t="n">
        <x:v>3163</x:v>
      </x:c>
      <x:c r="H86" s="35" t="n">
        <x:v>9.630787227315839</x:v>
      </x:c>
      <x:c r="I86" s="35" t="n">
        <x:v>51</x:v>
      </x:c>
      <x:c r="J86" s="36" t="n">
        <x:v>0</x:v>
      </x:c>
      <x:c r="K86" s="32" t="n">
        <x:v>0.0858137350476916</x:v>
      </x:c>
    </x:row>
    <x:row r="87">
      <x:c r="A87" s="32" t="str">
        <x:v>NYC-V3-R04</x:v>
      </x:c>
      <x:c r="B87" s="32" t="str">
        <x:v>V3</x:v>
      </x:c>
      <x:c r="C87" s="32" t="str">
        <x:v>36081071303</x:v>
      </x:c>
      <x:c r="D87" s="32" t="str">
        <x:v>Queens</x:v>
      </x:c>
      <x:c r="E87" s="32" t="str">
        <x:v>Forest Hills</x:v>
      </x:c>
      <x:c r="F87" s="35" t="n">
        <x:v>5307</x:v>
      </x:c>
      <x:c r="G87" s="35" t="n">
        <x:v>2778</x:v>
      </x:c>
      <x:c r="H87" s="35" t="n">
        <x:v>5.982001439884809</x:v>
      </x:c>
      <x:c r="I87" s="35" t="n">
        <x:v>50</x:v>
      </x:c>
      <x:c r="J87" s="36" t="n">
        <x:v>0</x:v>
      </x:c>
      <x:c r="K87" s="32" t="n">
        <x:v>0.21450744854656542</x:v>
      </x:c>
    </x:row>
    <x:row r="88">
      <x:c r="A88" s="32" t="str">
        <x:v>NYC-V3-R04</x:v>
      </x:c>
      <x:c r="B88" s="32" t="str">
        <x:v>V3</x:v>
      </x:c>
      <x:c r="C88" s="32" t="str">
        <x:v>36081071304</x:v>
      </x:c>
      <x:c r="D88" s="32" t="str">
        <x:v>Queens</x:v>
      </x:c>
      <x:c r="E88" s="32" t="str">
        <x:v>Forest Hills</x:v>
      </x:c>
      <x:c r="F88" s="35" t="n">
        <x:v>6386</x:v>
      </x:c>
      <x:c r="G88" s="35" t="n">
        <x:v>3453</x:v>
      </x:c>
      <x:c r="H88" s="35" t="n">
        <x:v>12.568201563857516</x:v>
      </x:c>
      <x:c r="I88" s="35" t="n">
        <x:v>66</x:v>
      </x:c>
      <x:c r="J88" s="36" t="n">
        <x:v>0</x:v>
      </x:c>
      <x:c r="K88" s="32" t="n">
        <x:v>0.16042317575333895</x:v>
      </x:c>
    </x:row>
    <x:row r="89">
      <x:c r="A89" s="32" t="str">
        <x:v>NYC-V3-R04</x:v>
      </x:c>
      <x:c r="B89" s="32" t="str">
        <x:v>V3</x:v>
      </x:c>
      <x:c r="C89" s="32" t="str">
        <x:v>36081071305</x:v>
      </x:c>
      <x:c r="D89" s="32" t="str">
        <x:v>Queens</x:v>
      </x:c>
      <x:c r="E89" s="32" t="str">
        <x:v>Forest Hills</x:v>
      </x:c>
      <x:c r="F89" s="35" t="n">
        <x:v>5126</x:v>
      </x:c>
      <x:c r="G89" s="35" t="n">
        <x:v>2567</x:v>
      </x:c>
      <x:c r="H89" s="35" t="n">
        <x:v>13.309894818854694</x:v>
      </x:c>
      <x:c r="I89" s="35" t="n">
        <x:v>37</x:v>
      </x:c>
      <x:c r="J89" s="36" t="n">
        <x:v>0</x:v>
      </x:c>
      <x:c r="K89" s="32" t="n">
        <x:v>0.07085230045933409</x:v>
      </x:c>
    </x:row>
    <x:row r="90">
      <x:c r="A90" s="32" t="str">
        <x:v>NYC-V3-R04</x:v>
      </x:c>
      <x:c r="B90" s="32" t="str">
        <x:v>V3</x:v>
      </x:c>
      <x:c r="C90" s="32" t="str">
        <x:v>36081071306</x:v>
      </x:c>
      <x:c r="D90" s="32" t="str">
        <x:v>Queens</x:v>
      </x:c>
      <x:c r="E90" s="32" t="str">
        <x:v>Forest Hills</x:v>
      </x:c>
      <x:c r="F90" s="35" t="n">
        <x:v>6181</x:v>
      </x:c>
      <x:c r="G90" s="35" t="n">
        <x:v>3182</x:v>
      </x:c>
      <x:c r="H90" s="35" t="n">
        <x:v>6.778101822752985</x:v>
      </x:c>
      <x:c r="I90" s="35" t="n">
        <x:v>47</x:v>
      </x:c>
      <x:c r="J90" s="36" t="n">
        <x:v>0</x:v>
      </x:c>
      <x:c r="K90" s="32" t="n">
        <x:v>0.3060103847843342</x:v>
      </x:c>
    </x:row>
    <x:row r="91">
      <x:c r="A91" s="32" t="str">
        <x:v>NYC-V3-R04</x:v>
      </x:c>
      <x:c r="B91" s="32" t="str">
        <x:v>V3</x:v>
      </x:c>
      <x:c r="C91" s="32" t="str">
        <x:v>36081074100</x:v>
      </x:c>
      <x:c r="D91" s="32" t="str">
        <x:v>Queens</x:v>
      </x:c>
      <x:c r="E91" s="32" t="str">
        <x:v>Forest Hills</x:v>
      </x:c>
      <x:c r="F91" s="35" t="n">
        <x:v>3164</x:v>
      </x:c>
      <x:c r="G91" s="35" t="n">
        <x:v>1622</x:v>
      </x:c>
      <x:c r="H91" s="35" t="n">
        <x:v>5.710345252774353</x:v>
      </x:c>
      <x:c r="I91" s="35" t="n">
        <x:v>36</x:v>
      </x:c>
      <x:c r="J91" s="36" t="n">
        <x:v>0</x:v>
      </x:c>
      <x:c r="K91" s="32" t="n">
        <x:v>0.15882905061070862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8b51f5ff4b54aaa"/>
  </x:tableParts>
</x:worksheet>
</file>

<file path=xl/worksheets/sheet8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6" hidden="0" customWidth="1"/>
    <x:col min="2" max="2" width="10.670000076293945" hidden="0" customWidth="1"/>
    <x:col min="3" max="3" width="5.78000020980835" hidden="0" customWidth="1"/>
    <x:col min="4" max="4" width="46.560001373291016" hidden="0" customWidth="1"/>
    <x:col min="5" max="5" width="15.4399995803833" hidden="0" customWidth="1"/>
    <x:col min="6" max="6" width="35.560001373291016" hidden="0" customWidth="1"/>
    <x:col min="7" max="7" width="56" hidden="0" customWidth="1"/>
  </x:cols>
  <x:sheetData>
    <x:row r="1" ht="30" customHeight="1">
      <x:c r="A1" s="45" t="str">
        <x:v>07 Holdouts</x:v>
      </x:c>
    </x:row>
    <x:row r="2" ht="34" customHeight="1">
      <x:c r="A2" s="21" t="str">
        <x:v>Rehearsal commitments only. External salted custody is still required; deterministic public selection is commitment evidence, not secrecy.</x:v>
      </x:c>
    </x:row>
    <x:row r="4" ht="34" customHeight="1">
      <x:c r="A4" s="24" t="str">
        <x:v>Holdout</x:v>
      </x:c>
      <x:c r="B4" s="24" t="str">
        <x:v>Archetype</x:v>
      </x:c>
      <x:c r="C4" s="24" t="str">
        <x:v>Slot</x:v>
      </x:c>
      <x:c r="D4" s="24" t="str">
        <x:v>SHA-256 commitment</x:v>
      </x:c>
      <x:c r="E4" s="24" t="str">
        <x:v>Population band</x:v>
      </x:c>
      <x:c r="F4" s="24" t="str">
        <x:v>State</x:v>
      </x:c>
      <x:c r="G4" s="24" t="str">
        <x:v>Disclosure</x:v>
      </x:c>
    </x:row>
    <x:row r="5">
      <x:c r="A5" s="32" t="str">
        <x:v>NYC-V1-H01</x:v>
      </x:c>
      <x:c r="B5" s="32" t="str">
        <x:v>V1</x:v>
      </x:c>
      <x:c r="C5" s="32" t="n">
        <x:v>5</x:v>
      </x:c>
      <x:c r="D5" s="32" t="str">
        <x:v>2a5fbcafb3f8c6a3a673021cf7ac54c817131e9384d38c3886566bd118011d39</x:v>
      </x:c>
      <x:c r="E5" s="32" t="str">
        <x:v>32,000–38,000</x:v>
      </x:c>
      <x:c r="F5" s="39" t="str">
        <x:v>FROZEN COMMITMENT; EXTERNAL CUSTODY PENDING</x:v>
      </x:c>
      <x:c r="G5" s="32" t="str">
        <x:v>GEOIDs and metrics withheld from workbook; deterministic candidate set remains inferable without an independent salted custodian</x:v>
      </x:c>
    </x:row>
    <x:row r="6">
      <x:c r="A6" s="32" t="str">
        <x:v>NYC-V2-H01</x:v>
      </x:c>
      <x:c r="B6" s="32" t="str">
        <x:v>V2</x:v>
      </x:c>
      <x:c r="C6" s="32" t="n">
        <x:v>5</x:v>
      </x:c>
      <x:c r="D6" s="32" t="str">
        <x:v>2f1b5528a53efb9288f3c9e70f3a3f592ef2f10bebf7f6366858f8fcf529ecc6</x:v>
      </x:c>
      <x:c r="E6" s="32" t="str">
        <x:v>32,000–38,000</x:v>
      </x:c>
      <x:c r="F6" s="39" t="str">
        <x:v>FROZEN COMMITMENT; EXTERNAL CUSTODY PENDING</x:v>
      </x:c>
      <x:c r="G6" s="32" t="str">
        <x:v>GEOIDs and metrics withheld from workbook; deterministic candidate set remains inferable without an independent salted custodian</x:v>
      </x:c>
    </x:row>
    <x:row r="7">
      <x:c r="A7" s="32" t="str">
        <x:v>NYC-V3-H01</x:v>
      </x:c>
      <x:c r="B7" s="32" t="str">
        <x:v>V3</x:v>
      </x:c>
      <x:c r="C7" s="32" t="n">
        <x:v>5</x:v>
      </x:c>
      <x:c r="D7" s="32" t="str">
        <x:v>284f1a756375147329171dc38e34e45899f75cbf67492bf2e0c9fcc09b602315</x:v>
      </x:c>
      <x:c r="E7" s="32" t="str">
        <x:v>32,000–38,000</x:v>
      </x:c>
      <x:c r="F7" s="39" t="str">
        <x:v>FROZEN COMMITMENT; EXTERNAL CUSTODY PENDING</x:v>
      </x:c>
      <x:c r="G7" s="32" t="str">
        <x:v>GEOIDs and metrics withheld from workbook; deterministic candidate set remains inferable without an independent salted custodian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61e0be126634170"/>
  </x:tableParts>
</x:worksheet>
</file>

<file path=xl/worksheets/sheet9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7.559999942779541" hidden="0" customWidth="1"/>
    <x:col min="4" max="4" width="11.109999656677246" hidden="0" customWidth="1"/>
    <x:col min="5" max="5" width="15.779999732971191" hidden="0" customWidth="1"/>
    <x:col min="6" max="6" width="24" hidden="0" customWidth="1"/>
    <x:col min="7" max="7" width="14.220000267028809" hidden="0" customWidth="1"/>
    <x:col min="8" max="8" width="15.670000076293945" hidden="0" customWidth="1"/>
    <x:col min="9" max="9" width="12" hidden="0" customWidth="1"/>
    <x:col min="10" max="10" width="14.5600004196167" hidden="0" customWidth="1"/>
    <x:col min="11" max="11" width="13.890000343322754" hidden="0" customWidth="1"/>
    <x:col min="12" max="12" width="14" hidden="0" customWidth="1"/>
    <x:col min="13" max="13" width="12.220000267028809" hidden="0" customWidth="1"/>
    <x:col min="14" max="14" width="14" hidden="0" customWidth="1"/>
    <x:col min="15" max="15" width="12.220000267028809" hidden="0" customWidth="1"/>
    <x:col min="16" max="16" width="10.220000267028809" hidden="0" customWidth="1"/>
    <x:col min="17" max="17" width="13.329999923706055" hidden="0" customWidth="1"/>
    <x:col min="18" max="18" width="17.670000076293945" hidden="0" customWidth="1"/>
    <x:col min="19" max="19" width="14.5600004196167" hidden="0" customWidth="1"/>
    <x:col min="20" max="20" width="13.779999732971191" hidden="0" customWidth="1"/>
    <x:col min="21" max="21" width="13.109999656677246" hidden="0" customWidth="1"/>
    <x:col min="22" max="22" width="14.109999656677246" hidden="0" customWidth="1"/>
    <x:col min="23" max="23" width="15.5600004196167" hidden="0" customWidth="1"/>
    <x:col min="24" max="24" width="13.329999923706055" hidden="0" customWidth="1"/>
    <x:col min="25" max="25" width="10.779999732971191" hidden="0" customWidth="1"/>
    <x:col min="26" max="26" width="10.779999732971191" hidden="0" customWidth="1"/>
    <x:col min="27" max="27" width="10.779999732971191" hidden="0" customWidth="1"/>
    <x:col min="28" max="28" width="17.670000076293945" hidden="0" customWidth="1"/>
    <x:col min="29" max="29" width="19.440000534057617" hidden="0" customWidth="1"/>
  </x:cols>
  <x:sheetData>
    <x:row r="1" ht="30" customHeight="1">
      <x:c r="A1" s="45" t="str">
        <x:v>08 Candidates</x:v>
      </x:c>
    </x:row>
    <x:row r="2" ht="34" customHeight="1">
      <x:c r="A2" s="21" t="str">
        <x:v>Complete deterministic universe, ordered by selection hash. Eligibility flags are 1/0 for formula audit. Disability and age are blank by design and did not affect any eligibility or selection rule.</x:v>
      </x:c>
    </x:row>
    <x:row r="4" ht="34" customHeight="1">
      <x:c r="A4" s="24" t="str">
        <x:v>Candidate ID</x:v>
      </x:c>
      <x:c r="B4" s="24" t="str">
        <x:v>Selection hash</x:v>
      </x:c>
      <x:c r="C4" s="24" t="str">
        <x:v>Tracts</x:v>
      </x:c>
      <x:c r="D4" s="24" t="str">
        <x:v>Population</x:v>
      </x:c>
      <x:c r="E4" s="24" t="str">
        <x:v>Primary borough</x:v>
      </x:c>
      <x:c r="F4" s="24" t="str">
        <x:v>Dominant NTA</x:v>
      </x:c>
      <x:c r="G4" s="24" t="str">
        <x:v>Density / sq mi</x:v>
      </x:c>
      <x:c r="H4" s="24" t="str">
        <x:v>Residential units</x:v>
      </x:c>
      <x:c r="I4" s="24" t="str">
        <x:v>Mean floors</x:v>
      </x:c>
      <x:c r="J4" s="24" t="str">
        <x:v>High-rise share</x:v>
      </x:c>
      <x:c r="K4" s="24" t="str">
        <x:v>Mid-rise share</x:v>
      </x:c>
      <x:c r="L4" s="24" t="str">
        <x:v>Campus share</x:v>
      </x:c>
      <x:c r="M4" s="24" t="str">
        <x:v>Mean roof ft</x:v>
      </x:c>
      <x:c r="N4" s="24" t="str">
        <x:v>Active devices</x:v>
      </x:c>
      <x:c r="O4" s="24" t="str">
        <x:v>Devices / 1k</x:v>
      </x:c>
      <x:c r="P4" s="24" t="str">
        <x:v>Mean HVI</x:v>
      </x:c>
      <x:c r="Q4" s="24" t="str">
        <x:v>HVI 4–5 share</x:v>
      </x:c>
      <x:c r="R4" s="24" t="str">
        <x:v>Facility distance mi</x:v>
      </x:c>
      <x:c r="S4" s="24" t="str">
        <x:v>Disability share</x:v>
      </x:c>
      <x:c r="T4" s="24" t="str">
        <x:v>Age 65+ share</x:v>
      </x:c>
      <x:c r="U4" s="24" t="str">
        <x:v>HVI coverage</x:v>
      </x:c>
      <x:c r="V4" s="24" t="str">
        <x:v>Roof coverage</x:v>
      </x:c>
      <x:c r="W4" s="24" t="str">
        <x:v>Archetype count</x:v>
      </x:c>
      <x:c r="X4" s="24" t="str">
        <x:v>Selection role</x:v>
      </x:c>
      <x:c r="Y4" s="24" t="str">
        <x:v>Eligible V1</x:v>
      </x:c>
      <x:c r="Z4" s="24" t="str">
        <x:v>Eligible V2</x:v>
      </x:c>
      <x:c r="AA4" s="24" t="str">
        <x:v>Eligible V3</x:v>
      </x:c>
      <x:c r="AB4" s="24" t="str">
        <x:v>Selected archetype</x:v>
      </x:c>
      <x:c r="AC4" s="24" t="str">
        <x:v>Reference catchment</x:v>
      </x:c>
    </x:row>
    <x:row r="5">
      <x:c r="A5" s="31" t="str">
        <x:v>001cf18f0bd173fe</x:v>
      </x:c>
      <x:c r="B5" s="31" t="str">
        <x:v>001cf18f0bd173feef4688b75a5c94ddd154ec343015756b4806fb7f58144b12</x:v>
      </x:c>
      <x:c r="C5" s="31" t="n">
        <x:v>5</x:v>
      </x:c>
      <x:c r="D5" s="31" t="n">
        <x:v>35740</x:v>
      </x:c>
      <x:c r="E5" s="31" t="str">
        <x:v>Manhattan</x:v>
      </x:c>
      <x:c r="F5" s="31" t="str">
        <x:v>Chinatown-Two Bridges</x:v>
      </x:c>
      <x:c r="G5" s="31" t="n">
        <x:v>108640.20227949183</x:v>
      </x:c>
      <x:c r="H5" s="31" t="n">
        <x:v>14651</x:v>
      </x:c>
      <x:c r="I5" s="31" t="n">
        <x:v>16.222919937205653</x:v>
      </x:c>
      <x:c r="J5" s="40" t="n">
        <x:v>0.5808477237048666</x:v>
      </x:c>
      <x:c r="K5" s="40" t="n">
        <x:v>0.4190157668418538</x:v>
      </x:c>
      <x:c r="L5" s="40" t="n">
        <x:v>0.29793188178281343</x:v>
      </x:c>
      <x:c r="M5" s="31" t="n">
        <x:v>153.9345435960682</x:v>
      </x:c>
      <x:c r="N5" s="31" t="n">
        <x:v>225</x:v>
      </x:c>
      <x:c r="O5" s="31" t="n">
        <x:v>6.29546726357023</x:v>
      </x:c>
      <x:c r="P5" s="31" t="n">
        <x:v>2.8747525766159305</x:v>
      </x:c>
      <x:c r="Q5" s="40" t="n">
        <x:v>0</x:v>
      </x:c>
      <x:c r="R5" s="31" t="n">
        <x:v>0.08636306937736883</x:v>
      </x:c>
      <x:c r="S5" s="40"/>
      <x:c r="T5" s="40"/>
      <x:c r="U5" s="40" t="n">
        <x:v>1</x:v>
      </x:c>
      <x:c r="V5" s="40" t="n">
        <x:v>0.9926284895228995</x:v>
      </x:c>
      <x:c r="W5" s="31" t="n">
        <x:v>0</x:v>
      </x:c>
      <x:c r="X5" s="31" t="str"/>
      <x:c r="Y5" s="31" t="n">
        <x:v>0</x:v>
      </x:c>
      <x:c r="Z5" s="31" t="n">
        <x:v>0</x:v>
      </x:c>
      <x:c r="AA5" s="31" t="n">
        <x:v>0</x:v>
      </x:c>
      <x:c r="AB5" s="31" t="str"/>
      <x:c r="AC5" s="31" t="str"/>
    </x:row>
    <x:row r="6">
      <x:c r="A6" s="31" t="str">
        <x:v>001d57b2f5bb9cce</x:v>
      </x:c>
      <x:c r="B6" s="31" t="str">
        <x:v>001d57b2f5bb9ccee78823cb5115be5f7bde74e3accfcdca0b5e34f47d94861a</x:v>
      </x:c>
      <x:c r="C6" s="31" t="n">
        <x:v>6</x:v>
      </x:c>
      <x:c r="D6" s="31" t="n">
        <x:v>36963</x:v>
      </x:c>
      <x:c r="E6" s="31" t="str">
        <x:v>Queens</x:v>
      </x:c>
      <x:c r="F6" s="31" t="str">
        <x:v>Howard Beach-Lindenwood</x:v>
      </x:c>
      <x:c r="G6" s="31" t="n">
        <x:v>16152.690676670154</x:v>
      </x:c>
      <x:c r="H6" s="31" t="n">
        <x:v>14013</x:v>
      </x:c>
      <x:c r="I6" s="31" t="n">
        <x:v>2.605075502755314</x:v>
      </x:c>
      <x:c r="J6" s="40" t="n">
        <x:v>0</x:v>
      </x:c>
      <x:c r="K6" s="40" t="n">
        <x:v>0.25319346321273106</x:v>
      </x:c>
      <x:c r="L6" s="40" t="n">
        <x:v>0.1245985870263327</x:v>
      </x:c>
      <x:c r="M6" s="31" t="n">
        <x:v>33.16974144957339</x:v>
      </x:c>
      <x:c r="N6" s="31" t="n">
        <x:v>51</x:v>
      </x:c>
      <x:c r="O6" s="31" t="n">
        <x:v>1.3797581365148932</x:v>
      </x:c>
      <x:c r="P6" s="31" t="n">
        <x:v>2.236566045814601</x:v>
      </x:c>
      <x:c r="Q6" s="40" t="n">
        <x:v>0</x:v>
      </x:c>
      <x:c r="R6" s="31" t="n">
        <x:v>0.1868968285640842</x:v>
      </x:c>
      <x:c r="S6" s="40"/>
      <x:c r="T6" s="40"/>
      <x:c r="U6" s="40" t="n">
        <x:v>1</x:v>
      </x:c>
      <x:c r="V6" s="40" t="n">
        <x:v>0.9952900877756369</x:v>
      </x:c>
      <x:c r="W6" s="31" t="n">
        <x:v>0</x:v>
      </x:c>
      <x:c r="X6" s="31" t="str"/>
      <x:c r="Y6" s="31" t="n">
        <x:v>0</x:v>
      </x:c>
      <x:c r="Z6" s="31" t="n">
        <x:v>0</x:v>
      </x:c>
      <x:c r="AA6" s="31" t="n">
        <x:v>0</x:v>
      </x:c>
      <x:c r="AB6" s="31" t="str"/>
      <x:c r="AC6" s="31" t="str"/>
    </x:row>
    <x:row r="7">
      <x:c r="A7" s="31" t="str">
        <x:v>00d44d311aeddbb3</x:v>
      </x:c>
      <x:c r="B7" s="31" t="str">
        <x:v>00d44d311aeddbb318e8f3c74bd8a882a1a2dbec91886dfa1806862762466a47</x:v>
      </x:c>
      <x:c r="C7" s="31" t="n">
        <x:v>8</x:v>
      </x:c>
      <x:c r="D7" s="31" t="n">
        <x:v>35308</x:v>
      </x:c>
      <x:c r="E7" s="31" t="str">
        <x:v>Brooklyn</x:v>
      </x:c>
      <x:c r="F7" s="31" t="str">
        <x:v>Bedford-Stuyvesant (West)</x:v>
      </x:c>
      <x:c r="G7" s="31" t="n">
        <x:v>66665.11516371802</x:v>
      </x:c>
      <x:c r="H7" s="31" t="n">
        <x:v>16959</x:v>
      </x:c>
      <x:c r="I7" s="31" t="n">
        <x:v>5.402212798766383</x:v>
      </x:c>
      <x:c r="J7" s="40" t="n">
        <x:v>0.13007842443540302</x:v>
      </x:c>
      <x:c r="K7" s="40" t="n">
        <x:v>0.7889616133026711</x:v>
      </x:c>
      <x:c r="L7" s="40" t="n">
        <x:v>0.08373135208443894</x:v>
      </x:c>
      <x:c r="M7" s="31" t="n">
        <x:v>57.49493431496549</x:v>
      </x:c>
      <x:c r="N7" s="31" t="n">
        <x:v>146</x:v>
      </x:c>
      <x:c r="O7" s="31" t="n">
        <x:v>4.135040217514445</x:v>
      </x:c>
      <x:c r="P7" s="31" t="n">
        <x:v>3.232973642313816</x:v>
      </x:c>
      <x:c r="Q7" s="40" t="n">
        <x:v>0.6164868211569078</x:v>
      </x:c>
      <x:c r="R7" s="31" t="n">
        <x:v>0.13192929649922555</x:v>
      </x:c>
      <x:c r="S7" s="40"/>
      <x:c r="T7" s="40"/>
      <x:c r="U7" s="40" t="n">
        <x:v>1</x:v>
      </x:c>
      <x:c r="V7" s="40" t="n">
        <x:v>0.9483460109676278</x:v>
      </x:c>
      <x:c r="W7" s="31" t="n">
        <x:v>0</x:v>
      </x:c>
      <x:c r="X7" s="31" t="str"/>
      <x:c r="Y7" s="31" t="n">
        <x:v>0</x:v>
      </x:c>
      <x:c r="Z7" s="31" t="n">
        <x:v>0</x:v>
      </x:c>
      <x:c r="AA7" s="31" t="n">
        <x:v>0</x:v>
      </x:c>
      <x:c r="AB7" s="31" t="str"/>
      <x:c r="AC7" s="31" t="str"/>
    </x:row>
    <x:row r="8">
      <x:c r="A8" s="31" t="str">
        <x:v>00d6a3b1015a0f41</x:v>
      </x:c>
      <x:c r="B8" s="31" t="str">
        <x:v>00d6a3b1015a0f41932b202861114cef9c7d6596ed795bf77df1da3d7445d070</x:v>
      </x:c>
      <x:c r="C8" s="31" t="n">
        <x:v>6</x:v>
      </x:c>
      <x:c r="D8" s="31" t="n">
        <x:v>34306</x:v>
      </x:c>
      <x:c r="E8" s="31" t="str">
        <x:v>Queens</x:v>
      </x:c>
      <x:c r="F8" s="31" t="str">
        <x:v>Flushing-Willets Point</x:v>
      </x:c>
      <x:c r="G8" s="31" t="n">
        <x:v>102734.7462355162</x:v>
      </x:c>
      <x:c r="H8" s="31" t="n">
        <x:v>13799</x:v>
      </x:c>
      <x:c r="I8" s="31" t="n">
        <x:v>8.588261913423063</x:v>
      </x:c>
      <x:c r="J8" s="40" t="n">
        <x:v>0.26161316037394017</x:v>
      </x:c>
      <x:c r="K8" s="40" t="n">
        <x:v>0.6973693745923618</x:v>
      </x:c>
      <x:c r="L8" s="40" t="n">
        <x:v>0.06572940068120878</x:v>
      </x:c>
      <x:c r="M8" s="31" t="n">
        <x:v>86.05107116299126</x:v>
      </x:c>
      <x:c r="N8" s="31" t="n">
        <x:v>282</x:v>
      </x:c>
      <x:c r="O8" s="31" t="n">
        <x:v>8.220136419285257</x:v>
      </x:c>
      <x:c r="P8" s="31" t="n">
        <x:v>4</x:v>
      </x:c>
      <x:c r="Q8" s="40" t="n">
        <x:v>1</x:v>
      </x:c>
      <x:c r="R8" s="31" t="n">
        <x:v>0.1777756307838377</x:v>
      </x:c>
      <x:c r="S8" s="40"/>
      <x:c r="T8" s="40"/>
      <x:c r="U8" s="40" t="n">
        <x:v>1</x:v>
      </x:c>
      <x:c r="V8" s="40" t="n">
        <x:v>0.9787665772882093</x:v>
      </x:c>
      <x:c r="W8" s="31" t="n">
        <x:v>2</x:v>
      </x:c>
      <x:c r="X8" s="31" t="str">
        <x:v>reference</x:v>
      </x:c>
      <x:c r="Y8" s="31" t="n">
        <x:v>1</x:v>
      </x:c>
      <x:c r="Z8" s="31" t="n">
        <x:v>1</x:v>
      </x:c>
      <x:c r="AA8" s="31" t="n">
        <x:v>0</x:v>
      </x:c>
      <x:c r="AB8" s="31" t="str">
        <x:v>V1</x:v>
      </x:c>
      <x:c r="AC8" s="31" t="str">
        <x:v>NYC-V1-R01</x:v>
      </x:c>
    </x:row>
    <x:row r="9">
      <x:c r="A9" s="31" t="str">
        <x:v>01574acf9c3c438b</x:v>
      </x:c>
      <x:c r="B9" s="31" t="str">
        <x:v>01574acf9c3c438b3c069189615475246b3a29f089bbdd2251214bb58e387965</x:v>
      </x:c>
      <x:c r="C9" s="31" t="n">
        <x:v>4</x:v>
      </x:c>
      <x:c r="D9" s="31" t="n">
        <x:v>32165</x:v>
      </x:c>
      <x:c r="E9" s="31" t="str">
        <x:v>Manhattan</x:v>
      </x:c>
      <x:c r="F9" s="31" t="str">
        <x:v>Upper West Side-Manhattan Valley</x:v>
      </x:c>
      <x:c r="G9" s="31" t="n">
        <x:v>105416.71362864382</x:v>
      </x:c>
      <x:c r="H9" s="31" t="n">
        <x:v>17671</x:v>
      </x:c>
      <x:c r="I9" s="31" t="n">
        <x:v>13.448038658328596</x:v>
      </x:c>
      <x:c r="J9" s="40" t="n">
        <x:v>0.6778903287872786</x:v>
      </x:c>
      <x:c r="K9" s="40" t="n">
        <x:v>0.3140739064003169</x:v>
      </x:c>
      <x:c r="L9" s="40" t="n">
        <x:v>0.007809405240224096</x:v>
      </x:c>
      <x:c r="M9" s="31" t="n">
        <x:v>142.78293289984194</x:v>
      </x:c>
      <x:c r="N9" s="31" t="n">
        <x:v>437</x:v>
      </x:c>
      <x:c r="O9" s="31" t="n">
        <x:v>13.586196175967668</x:v>
      </x:c>
      <x:c r="P9" s="31" t="n">
        <x:v>2</x:v>
      </x:c>
      <x:c r="Q9" s="40" t="n">
        <x:v>0</x:v>
      </x:c>
      <x:c r="R9" s="31" t="n">
        <x:v>0.15187742275999233</x:v>
      </x:c>
      <x:c r="S9" s="40"/>
      <x:c r="T9" s="40"/>
      <x:c r="U9" s="40" t="n">
        <x:v>1</x:v>
      </x:c>
      <x:c r="V9" s="40" t="n">
        <x:v>0.9954162186633467</x:v>
      </x:c>
      <x:c r="W9" s="31" t="n">
        <x:v>1</x:v>
      </x:c>
      <x:c r="X9" s="31" t="str">
        <x:v>reference</x:v>
      </x:c>
      <x:c r="Y9" s="31" t="n">
        <x:v>1</x:v>
      </x:c>
      <x:c r="Z9" s="31" t="n">
        <x:v>0</x:v>
      </x:c>
      <x:c r="AA9" s="31" t="n">
        <x:v>0</x:v>
      </x:c>
      <x:c r="AB9" s="31" t="str">
        <x:v>V1</x:v>
      </x:c>
      <x:c r="AC9" s="31" t="str">
        <x:v>NYC-V1-R02</x:v>
      </x:c>
    </x:row>
    <x:row r="10">
      <x:c r="A10" s="31" t="str">
        <x:v>01c4abc692b921c9</x:v>
      </x:c>
      <x:c r="B10" s="31" t="str">
        <x:v>01c4abc692b921c9ca2c052480335dc294d930b575d674a01338c9b4bd342c80</x:v>
      </x:c>
      <x:c r="C10" s="31" t="n">
        <x:v>5</x:v>
      </x:c>
      <x:c r="D10" s="31" t="n">
        <x:v>33788</x:v>
      </x:c>
      <x:c r="E10" s="31" t="str">
        <x:v>Manhattan</x:v>
      </x:c>
      <x:c r="F10" s="31" t="str">
        <x:v>Murray Hill-Kips Bay</x:v>
      </x:c>
      <x:c r="G10" s="31" t="n">
        <x:v>124692.53097081</x:v>
      </x:c>
      <x:c r="H10" s="31" t="n">
        <x:v>22853</x:v>
      </x:c>
      <x:c r="I10" s="31" t="n">
        <x:v>19.276355520546147</x:v>
      </x:c>
      <x:c r="J10" s="40" t="n">
        <x:v>0.7575373036362841</x:v>
      </x:c>
      <x:c r="K10" s="40" t="n">
        <x:v>0.24228766463921586</x:v>
      </x:c>
      <x:c r="L10" s="40" t="n">
        <x:v>0.07088784842252659</x:v>
      </x:c>
      <x:c r="M10" s="31" t="n">
        <x:v>187.00755092982104</x:v>
      </x:c>
      <x:c r="N10" s="31" t="n">
        <x:v>497</x:v>
      </x:c>
      <x:c r="O10" s="31" t="n">
        <x:v>14.709364271338936</x:v>
      </x:c>
      <x:c r="P10" s="31" t="n">
        <x:v>2</x:v>
      </x:c>
      <x:c r="Q10" s="40" t="n">
        <x:v>0</x:v>
      </x:c>
      <x:c r="R10" s="31" t="n">
        <x:v>0.1432504659880712</x:v>
      </x:c>
      <x:c r="S10" s="40"/>
      <x:c r="T10" s="40"/>
      <x:c r="U10" s="40" t="n">
        <x:v>1</x:v>
      </x:c>
      <x:c r="V10" s="40" t="n">
        <x:v>0.997505797925874</x:v>
      </x:c>
      <x:c r="W10" s="31" t="n">
        <x:v>1</x:v>
      </x:c>
      <x:c r="X10" s="31" t="str">
        <x:v>reference</x:v>
      </x:c>
      <x:c r="Y10" s="31" t="n">
        <x:v>1</x:v>
      </x:c>
      <x:c r="Z10" s="31" t="n">
        <x:v>0</x:v>
      </x:c>
      <x:c r="AA10" s="31" t="n">
        <x:v>0</x:v>
      </x:c>
      <x:c r="AB10" s="31" t="str">
        <x:v>V1</x:v>
      </x:c>
      <x:c r="AC10" s="31" t="str">
        <x:v>NYC-V1-R03</x:v>
      </x:c>
    </x:row>
    <x:row r="11">
      <x:c r="A11" s="31" t="str">
        <x:v>0231262b6b268d93</x:v>
      </x:c>
      <x:c r="B11" s="31" t="str">
        <x:v>0231262b6b268d937dc06e11eaa6fdcd4f0042659a208f3d533a94742be43d82</x:v>
      </x:c>
      <x:c r="C11" s="31" t="n">
        <x:v>10</x:v>
      </x:c>
      <x:c r="D11" s="31" t="n">
        <x:v>33385</x:v>
      </x:c>
      <x:c r="E11" s="31" t="str">
        <x:v>Brooklyn</x:v>
      </x:c>
      <x:c r="F11" s="31" t="str">
        <x:v>Fort Greene</x:v>
      </x:c>
      <x:c r="G11" s="31" t="n">
        <x:v>54297.164592611305</x:v>
      </x:c>
      <x:c r="H11" s="31" t="n">
        <x:v>20005</x:v>
      </x:c>
      <x:c r="I11" s="31" t="n">
        <x:v>11.417670245476083</x:v>
      </x:c>
      <x:c r="J11" s="40" t="n">
        <x:v>0.3700074981254686</x:v>
      </x:c>
      <x:c r="K11" s="40" t="n">
        <x:v>0.5910522369407648</x:v>
      </x:c>
      <x:c r="L11" s="40" t="n">
        <x:v>0.05073731567108223</x:v>
      </x:c>
      <x:c r="M11" s="31" t="n">
        <x:v>127.61677259113682</x:v>
      </x:c>
      <x:c r="N11" s="31" t="n">
        <x:v>250</x:v>
      </x:c>
      <x:c r="O11" s="31" t="n">
        <x:v>7.488392990864161</x:v>
      </x:c>
      <x:c r="P11" s="31" t="n">
        <x:v>2.1314671332166957</x:v>
      </x:c>
      <x:c r="Q11" s="40" t="n">
        <x:v>0.06573356660834791</x:v>
      </x:c>
      <x:c r="R11" s="31" t="n">
        <x:v>0.10768854513588723</x:v>
      </x:c>
      <x:c r="S11" s="40"/>
      <x:c r="T11" s="40"/>
      <x:c r="U11" s="40" t="n">
        <x:v>1</x:v>
      </x:c>
      <x:c r="V11" s="40" t="n">
        <x:v>0.9937515621094727</x:v>
      </x:c>
      <x:c r="W11" s="31" t="n">
        <x:v>0</x:v>
      </x:c>
      <x:c r="X11" s="31" t="str"/>
      <x:c r="Y11" s="31" t="n">
        <x:v>0</x:v>
      </x:c>
      <x:c r="Z11" s="31" t="n">
        <x:v>0</x:v>
      </x:c>
      <x:c r="AA11" s="31" t="n">
        <x:v>0</x:v>
      </x:c>
      <x:c r="AB11" s="31" t="str"/>
      <x:c r="AC11" s="31" t="str"/>
    </x:row>
    <x:row r="12">
      <x:c r="A12" s="31" t="str">
        <x:v>024619e18dd8618e</x:v>
      </x:c>
      <x:c r="B12" s="31" t="str">
        <x:v>024619e18dd8618e7b845894767a4b7bc3c6812fec5c05c1e0c4e0c9255c156f</x:v>
      </x:c>
      <x:c r="C12" s="31" t="n">
        <x:v>8</x:v>
      </x:c>
      <x:c r="D12" s="31" t="n">
        <x:v>36459</x:v>
      </x:c>
      <x:c r="E12" s="31" t="str">
        <x:v>Bronx</x:v>
      </x:c>
      <x:c r="F12" s="31" t="str">
        <x:v>University Heights (South)-Morris Heights</x:v>
      </x:c>
      <x:c r="G12" s="31" t="n">
        <x:v>90376.49047536697</x:v>
      </x:c>
      <x:c r="H12" s="31" t="n">
        <x:v>19742</x:v>
      </x:c>
      <x:c r="I12" s="31" t="n">
        <x:v>12.510118022490122</x:v>
      </x:c>
      <x:c r="J12" s="40" t="n">
        <x:v>0.48860297842163913</x:v>
      </x:c>
      <x:c r="K12" s="40" t="n">
        <x:v>0.4635801843784824</x:v>
      </x:c>
      <x:c r="L12" s="40" t="n">
        <x:v>0.36247593962111235</x:v>
      </x:c>
      <x:c r="M12" s="31" t="n">
        <x:v>138.47686124153188</x:v>
      </x:c>
      <x:c r="N12" s="31" t="n">
        <x:v>199</x:v>
      </x:c>
      <x:c r="O12" s="31" t="n">
        <x:v>5.458185907457692</x:v>
      </x:c>
      <x:c r="P12" s="31" t="n">
        <x:v>5</x:v>
      </x:c>
      <x:c r="Q12" s="40" t="n">
        <x:v>1</x:v>
      </x:c>
      <x:c r="R12" s="31" t="n">
        <x:v>0.0883846025391726</x:v>
      </x:c>
      <x:c r="S12" s="40"/>
      <x:c r="T12" s="40"/>
      <x:c r="U12" s="40" t="n">
        <x:v>1</x:v>
      </x:c>
      <x:c r="V12" s="40" t="n">
        <x:v>0.977104649984804</x:v>
      </x:c>
      <x:c r="W12" s="31" t="n">
        <x:v>0</x:v>
      </x:c>
      <x:c r="X12" s="31" t="str"/>
      <x:c r="Y12" s="31" t="n">
        <x:v>0</x:v>
      </x:c>
      <x:c r="Z12" s="31" t="n">
        <x:v>0</x:v>
      </x:c>
      <x:c r="AA12" s="31" t="n">
        <x:v>0</x:v>
      </x:c>
      <x:c r="AB12" s="31" t="str"/>
      <x:c r="AC12" s="31" t="str"/>
    </x:row>
    <x:row r="13">
      <x:c r="A13" s="31" t="str">
        <x:v>025bd2fd78bdc916</x:v>
      </x:c>
      <x:c r="B13" s="31" t="str">
        <x:v>025bd2fd78bdc9163d549e74419fe98aa452839e270ac430cf21a608fd915537</x:v>
      </x:c>
      <x:c r="C13" s="31" t="n">
        <x:v>9</x:v>
      </x:c>
      <x:c r="D13" s="31" t="n">
        <x:v>33401</x:v>
      </x:c>
      <x:c r="E13" s="31" t="str">
        <x:v>Brooklyn</x:v>
      </x:c>
      <x:c r="F13" s="31" t="str">
        <x:v>Sunset Park (Central)</x:v>
      </x:c>
      <x:c r="G13" s="31" t="n">
        <x:v>87877.36887281403</x:v>
      </x:c>
      <x:c r="H13" s="31" t="n">
        <x:v>8542</x:v>
      </x:c>
      <x:c r="I13" s="31" t="n">
        <x:v>3.1455031114242105</x:v>
      </x:c>
      <x:c r="J13" s="40" t="n">
        <x:v>0.002926715055022243</x:v>
      </x:c>
      <x:c r="K13" s="40" t="n">
        <x:v>0.5948255677827207</x:v>
      </x:c>
      <x:c r="L13" s="40" t="n">
        <x:v>0.0033949894638258017</x:v>
      </x:c>
      <x:c r="M13" s="31" t="n">
        <x:v>35.86983435090952</x:v>
      </x:c>
      <x:c r="N13" s="31" t="n">
        <x:v>288</x:v>
      </x:c>
      <x:c r="O13" s="31" t="n">
        <x:v>8.622496332445136</x:v>
      </x:c>
      <x:c r="P13" s="31" t="n">
        <x:v>3.1702177476000934</x:v>
      </x:c>
      <x:c r="Q13" s="40" t="n">
        <x:v>0.17021774760009364</x:v>
      </x:c>
      <x:c r="R13" s="31" t="n">
        <x:v>0.20272846102983888</x:v>
      </x:c>
      <x:c r="S13" s="40"/>
      <x:c r="T13" s="40"/>
      <x:c r="U13" s="40" t="n">
        <x:v>1</x:v>
      </x:c>
      <x:c r="V13" s="40" t="n">
        <x:v>0.9795129946148443</x:v>
      </x:c>
      <x:c r="W13" s="31" t="n">
        <x:v>0</x:v>
      </x:c>
      <x:c r="X13" s="31" t="str"/>
      <x:c r="Y13" s="31" t="n">
        <x:v>0</x:v>
      </x:c>
      <x:c r="Z13" s="31" t="n">
        <x:v>0</x:v>
      </x:c>
      <x:c r="AA13" s="31" t="n">
        <x:v>0</x:v>
      </x:c>
      <x:c r="AB13" s="31" t="str"/>
      <x:c r="AC13" s="31" t="str"/>
    </x:row>
    <x:row r="14">
      <x:c r="A14" s="31" t="str">
        <x:v>02866a483ef0ab09</x:v>
      </x:c>
      <x:c r="B14" s="31" t="str">
        <x:v>02866a483ef0ab09196765ad82f1e96f5ab6659892304f4f35d37d4483b502eb</x:v>
      </x:c>
      <x:c r="C14" s="31" t="n">
        <x:v>11</x:v>
      </x:c>
      <x:c r="D14" s="31" t="n">
        <x:v>33417</x:v>
      </x:c>
      <x:c r="E14" s="31" t="str">
        <x:v>Brooklyn</x:v>
      </x:c>
      <x:c r="F14" s="31" t="str">
        <x:v>Windsor Terrace-South Slope</x:v>
      </x:c>
      <x:c r="G14" s="31" t="n">
        <x:v>48448.50414590753</x:v>
      </x:c>
      <x:c r="H14" s="31" t="n">
        <x:v>16480</x:v>
      </x:c>
      <x:c r="I14" s="31" t="n">
        <x:v>3.552247294074482</x:v>
      </x:c>
      <x:c r="J14" s="40" t="n">
        <x:v>0.022390776699029127</x:v>
      </x:c>
      <x:c r="K14" s="40" t="n">
        <x:v>0.6719053398058252</x:v>
      </x:c>
      <x:c r="L14" s="40" t="n">
        <x:v>0.01972087378640777</x:v>
      </x:c>
      <x:c r="M14" s="31" t="n">
        <x:v>42.8322299186904</x:v>
      </x:c>
      <x:c r="N14" s="31" t="n">
        <x:v>106</x:v>
      </x:c>
      <x:c r="O14" s="31" t="n">
        <x:v>3.172038184157764</x:v>
      </x:c>
      <x:c r="P14" s="31" t="n">
        <x:v>1.3644417475728154</x:v>
      </x:c>
      <x:c r="Q14" s="40" t="n">
        <x:v>0</x:v>
      </x:c>
      <x:c r="R14" s="31" t="n">
        <x:v>0.14398749668674354</x:v>
      </x:c>
      <x:c r="S14" s="40"/>
      <x:c r="T14" s="40"/>
      <x:c r="U14" s="40" t="n">
        <x:v>1</x:v>
      </x:c>
      <x:c r="V14" s="40" t="n">
        <x:v>0.9952669902912621</x:v>
      </x:c>
      <x:c r="W14" s="31" t="n">
        <x:v>0</x:v>
      </x:c>
      <x:c r="X14" s="31" t="str"/>
      <x:c r="Y14" s="31" t="n">
        <x:v>0</x:v>
      </x:c>
      <x:c r="Z14" s="31" t="n">
        <x:v>0</x:v>
      </x:c>
      <x:c r="AA14" s="31" t="n">
        <x:v>0</x:v>
      </x:c>
      <x:c r="AB14" s="31" t="str"/>
      <x:c r="AC14" s="31" t="str"/>
    </x:row>
    <x:row r="15">
      <x:c r="A15" s="31" t="str">
        <x:v>02b08e0f203096ff</x:v>
      </x:c>
      <x:c r="B15" s="31" t="str">
        <x:v>02b08e0f203096ff34dcbed9ec1b939d676c1bc5d3f386912a94975f76c4765b</x:v>
      </x:c>
      <x:c r="C15" s="31" t="n">
        <x:v>6</x:v>
      </x:c>
      <x:c r="D15" s="31" t="n">
        <x:v>33788</x:v>
      </x:c>
      <x:c r="E15" s="31" t="str">
        <x:v>Manhattan</x:v>
      </x:c>
      <x:c r="F15" s="31" t="str">
        <x:v>East Harlem (North)</x:v>
      </x:c>
      <x:c r="G15" s="31" t="n">
        <x:v>108697.57659627403</x:v>
      </x:c>
      <x:c r="H15" s="31" t="n">
        <x:v>14481</x:v>
      </x:c>
      <x:c r="I15" s="31" t="n">
        <x:v>12.478484953303354</x:v>
      </x:c>
      <x:c r="J15" s="40" t="n">
        <x:v>0.5167460810717492</x:v>
      </x:c>
      <x:c r="K15" s="40" t="n">
        <x:v>0.4810441267868241</x:v>
      </x:c>
      <x:c r="L15" s="40" t="n">
        <x:v>0.3633036392514329</x:v>
      </x:c>
      <x:c r="M15" s="31" t="n">
        <x:v>133.67030240800807</x:v>
      </x:c>
      <x:c r="N15" s="31" t="n">
        <x:v>264</x:v>
      </x:c>
      <x:c r="O15" s="31" t="n">
        <x:v>7.813424884574404</x:v>
      </x:c>
      <x:c r="P15" s="31" t="n">
        <x:v>4.249361231959119</x:v>
      </x:c>
      <x:c r="Q15" s="40" t="n">
        <x:v>1</x:v>
      </x:c>
      <x:c r="R15" s="31" t="n">
        <x:v>0.0629640526431542</x:v>
      </x:c>
      <x:c r="S15" s="40"/>
      <x:c r="T15" s="40"/>
      <x:c r="U15" s="40" t="n">
        <x:v>1</x:v>
      </x:c>
      <x:c r="V15" s="40" t="n">
        <x:v>0.9946136316552724</x:v>
      </x:c>
      <x:c r="W15" s="31" t="n">
        <x:v>1</x:v>
      </x:c>
      <x:c r="X15" s="31" t="str">
        <x:v>reference</x:v>
      </x:c>
      <x:c r="Y15" s="31" t="n">
        <x:v>1</x:v>
      </x:c>
      <x:c r="Z15" s="31" t="n">
        <x:v>0</x:v>
      </x:c>
      <x:c r="AA15" s="31" t="n">
        <x:v>0</x:v>
      </x:c>
      <x:c r="AB15" s="31" t="str">
        <x:v>V1</x:v>
      </x:c>
      <x:c r="AC15" s="31" t="str">
        <x:v>NYC-V1-R04</x:v>
      </x:c>
    </x:row>
    <x:row r="16">
      <x:c r="A16" s="31" t="str">
        <x:v>03a7366e0125d912</x:v>
      </x:c>
      <x:c r="B16" s="31" t="str">
        <x:v>03a7366e0125d912660cbfeb846959eaf8881c1a6144958db22c415a0e6a633f</x:v>
      </x:c>
      <x:c r="C16" s="31" t="n">
        <x:v>7</x:v>
      </x:c>
      <x:c r="D16" s="31" t="n">
        <x:v>36377</x:v>
      </x:c>
      <x:c r="E16" s="31" t="str">
        <x:v>Queens</x:v>
      </x:c>
      <x:c r="F16" s="31" t="str">
        <x:v>Murray Hill-Broadway Flushing</x:v>
      </x:c>
      <x:c r="G16" s="31" t="n">
        <x:v>80590.31814540726</x:v>
      </x:c>
      <x:c r="H16" s="31" t="n">
        <x:v>15375</x:v>
      </x:c>
      <x:c r="I16" s="31" t="n">
        <x:v>6.055945642250158</x:v>
      </x:c>
      <x:c r="J16" s="40" t="n">
        <x:v>0.08117073170731708</x:v>
      </x:c>
      <x:c r="K16" s="40" t="n">
        <x:v>0.8024065040650407</x:v>
      </x:c>
      <x:c r="L16" s="40" t="n">
        <x:v>0.04214634146341464</x:v>
      </x:c>
      <x:c r="M16" s="31" t="n">
        <x:v>64.69517051559134</x:v>
      </x:c>
      <x:c r="N16" s="31" t="n">
        <x:v>280</x:v>
      </x:c>
      <x:c r="O16" s="31" t="n">
        <x:v>7.69717128955109</x:v>
      </x:c>
      <x:c r="P16" s="31" t="n">
        <x:v>4</x:v>
      </x:c>
      <x:c r="Q16" s="40" t="n">
        <x:v>1</x:v>
      </x:c>
      <x:c r="R16" s="31" t="n">
        <x:v>0.17929619498861377</x:v>
      </x:c>
      <x:c r="S16" s="40"/>
      <x:c r="T16" s="40"/>
      <x:c r="U16" s="40" t="n">
        <x:v>1</x:v>
      </x:c>
      <x:c r="V16" s="40" t="n">
        <x:v>0.912910569105691</x:v>
      </x:c>
      <x:c r="W16" s="31" t="n">
        <x:v>1</x:v>
      </x:c>
      <x:c r="X16" s="31" t="str"/>
      <x:c r="Y16" s="31" t="n">
        <x:v>0</x:v>
      </x:c>
      <x:c r="Z16" s="31" t="n">
        <x:v>1</x:v>
      </x:c>
      <x:c r="AA16" s="31" t="n">
        <x:v>0</x:v>
      </x:c>
      <x:c r="AB16" s="31" t="str"/>
      <x:c r="AC16" s="31" t="str"/>
    </x:row>
    <x:row r="17">
      <x:c r="A17" s="31" t="str">
        <x:v>0452fab57e41343a</x:v>
      </x:c>
      <x:c r="B17" s="31" t="str">
        <x:v>0452fab57e41343a58a134857609f7f0b56d5e68fbbfa5ebf1a8e1dc4211197f</x:v>
      </x:c>
      <x:c r="C17" s="31" t="n">
        <x:v>12</x:v>
      </x:c>
      <x:c r="D17" s="31" t="n">
        <x:v>32833</x:v>
      </x:c>
      <x:c r="E17" s="31" t="str">
        <x:v>Queens</x:v>
      </x:c>
      <x:c r="F17" s="31" t="str">
        <x:v>Baisley Park</x:v>
      </x:c>
      <x:c r="G17" s="31" t="n">
        <x:v>26209.709675267037</x:v>
      </x:c>
      <x:c r="H17" s="31" t="n">
        <x:v>14338</x:v>
      </x:c>
      <x:c r="I17" s="31" t="n">
        <x:v>7.594654474382242</x:v>
      </x:c>
      <x:c r="J17" s="40" t="n">
        <x:v>0.42014227925791603</x:v>
      </x:c>
      <x:c r="K17" s="40" t="n">
        <x:v>0.0991072674013112</x:v>
      </x:c>
      <x:c r="L17" s="40" t="n">
        <x:v>0.5005579578741804</x:v>
      </x:c>
      <x:c r="M17" s="31" t="n">
        <x:v>73.150598300331</x:v>
      </x:c>
      <x:c r="N17" s="31" t="n">
        <x:v>141</x:v>
      </x:c>
      <x:c r="O17" s="31" t="n">
        <x:v>4.294459842231901</x:v>
      </x:c>
      <x:c r="P17" s="31" t="n">
        <x:v>4.997628679034733</x:v>
      </x:c>
      <x:c r="Q17" s="40" t="n">
        <x:v>1</x:v>
      </x:c>
      <x:c r="R17" s="31" t="n">
        <x:v>0.2290885152265909</x:v>
      </x:c>
      <x:c r="S17" s="40"/>
      <x:c r="T17" s="40"/>
      <x:c r="U17" s="40" t="n">
        <x:v>1</x:v>
      </x:c>
      <x:c r="V17" s="40" t="n">
        <x:v>0.996652252754917</x:v>
      </x:c>
      <x:c r="W17" s="31" t="n">
        <x:v>0</x:v>
      </x:c>
      <x:c r="X17" s="31" t="str"/>
      <x:c r="Y17" s="31" t="n">
        <x:v>0</x:v>
      </x:c>
      <x:c r="Z17" s="31" t="n">
        <x:v>0</x:v>
      </x:c>
      <x:c r="AA17" s="31" t="n">
        <x:v>0</x:v>
      </x:c>
      <x:c r="AB17" s="31" t="str"/>
      <x:c r="AC17" s="31" t="str"/>
    </x:row>
    <x:row r="18">
      <x:c r="A18" s="31" t="str">
        <x:v>045e9906652f5484</x:v>
      </x:c>
      <x:c r="B18" s="31" t="str">
        <x:v>045e9906652f5484860cdc6d5294bbf1ffa63664b12ccb52a99e3eba6687acd2</x:v>
      </x:c>
      <x:c r="C18" s="31" t="n">
        <x:v>12</x:v>
      </x:c>
      <x:c r="D18" s="31" t="n">
        <x:v>32140</x:v>
      </x:c>
      <x:c r="E18" s="31" t="str">
        <x:v>Queens</x:v>
      </x:c>
      <x:c r="F18" s="31" t="str">
        <x:v>Queens Village</x:v>
      </x:c>
      <x:c r="G18" s="31" t="n">
        <x:v>20897.4077729591</x:v>
      </x:c>
      <x:c r="H18" s="31" t="n">
        <x:v>9845</x:v>
      </x:c>
      <x:c r="I18" s="31" t="n">
        <x:v>2.48323344169037</x:v>
      </x:c>
      <x:c r="J18" s="40" t="n">
        <x:v>0</x:v>
      </x:c>
      <x:c r="K18" s="40" t="n">
        <x:v>0.21350939563230065</x:v>
      </x:c>
      <x:c r="L18" s="40" t="n">
        <x:v>0.19746063991874047</x:v>
      </x:c>
      <x:c r="M18" s="31" t="n">
        <x:v>30.28138815621279</x:v>
      </x:c>
      <x:c r="N18" s="31" t="n">
        <x:v>13</x:v>
      </x:c>
      <x:c r="O18" s="31" t="n">
        <x:v>0.4044803982576229</x:v>
      </x:c>
      <x:c r="P18" s="31" t="n">
        <x:v>3.426917216861351</x:v>
      </x:c>
      <x:c r="Q18" s="40" t="n">
        <x:v>0.44713052310817675</x:v>
      </x:c>
      <x:c r="R18" s="31" t="n">
        <x:v>0.25058587304866303</x:v>
      </x:c>
      <x:c r="S18" s="40"/>
      <x:c r="T18" s="40"/>
      <x:c r="U18" s="40" t="n">
        <x:v>1</x:v>
      </x:c>
      <x:c r="V18" s="40" t="n">
        <x:v>0.9995937023869985</x:v>
      </x:c>
      <x:c r="W18" s="31" t="n">
        <x:v>0</x:v>
      </x:c>
      <x:c r="X18" s="31" t="str"/>
      <x:c r="Y18" s="31" t="n">
        <x:v>0</x:v>
      </x:c>
      <x:c r="Z18" s="31" t="n">
        <x:v>0</x:v>
      </x:c>
      <x:c r="AA18" s="31" t="n">
        <x:v>0</x:v>
      </x:c>
      <x:c r="AB18" s="31" t="str"/>
      <x:c r="AC18" s="31" t="str"/>
    </x:row>
    <x:row r="19">
      <x:c r="A19" s="31" t="str">
        <x:v>0476808c957acb4c</x:v>
      </x:c>
      <x:c r="B19" s="31" t="str">
        <x:v>0476808c957acb4c3de50df73c53cfe86ddec8a7059d659da411ce23c5a7921a</x:v>
      </x:c>
      <x:c r="C19" s="31" t="n">
        <x:v>11</x:v>
      </x:c>
      <x:c r="D19" s="31" t="n">
        <x:v>34751</x:v>
      </x:c>
      <x:c r="E19" s="31" t="str">
        <x:v>Queens</x:v>
      </x:c>
      <x:c r="F19" s="31" t="str">
        <x:v>Woodhaven</x:v>
      </x:c>
      <x:c r="G19" s="31" t="n">
        <x:v>45764.656811669636</x:v>
      </x:c>
      <x:c r="H19" s="31" t="n">
        <x:v>9676</x:v>
      </x:c>
      <x:c r="I19" s="31" t="n">
        <x:v>2.484184411825512</x:v>
      </x:c>
      <x:c r="J19" s="40" t="n">
        <x:v>0</x:v>
      </x:c>
      <x:c r="K19" s="40" t="n">
        <x:v>0.17930963207937164</x:v>
      </x:c>
      <x:c r="L19" s="40" t="n">
        <x:v>0.005994212484497726</x:v>
      </x:c>
      <x:c r="M19" s="31" t="n">
        <x:v>30.868226498578373</x:v>
      </x:c>
      <x:c r="N19" s="31" t="n">
        <x:v>15</x:v>
      </x:c>
      <x:c r="O19" s="31" t="n">
        <x:v>0.4316422548991396</x:v>
      </x:c>
      <x:c r="P19" s="31" t="n">
        <x:v>2.1333195535345184</x:v>
      </x:c>
      <x:c r="Q19" s="40" t="n">
        <x:v>0.0666597767672592</x:v>
      </x:c>
      <x:c r="R19" s="31" t="n">
        <x:v>0.1946869638749747</x:v>
      </x:c>
      <x:c r="S19" s="40"/>
      <x:c r="T19" s="40"/>
      <x:c r="U19" s="40" t="n">
        <x:v>1</x:v>
      </x:c>
      <x:c r="V19" s="40" t="n">
        <x:v>0.9995866060355518</x:v>
      </x:c>
      <x:c r="W19" s="31" t="n">
        <x:v>0</x:v>
      </x:c>
      <x:c r="X19" s="31" t="str"/>
      <x:c r="Y19" s="31" t="n">
        <x:v>0</x:v>
      </x:c>
      <x:c r="Z19" s="31" t="n">
        <x:v>0</x:v>
      </x:c>
      <x:c r="AA19" s="31" t="n">
        <x:v>0</x:v>
      </x:c>
      <x:c r="AB19" s="31" t="str"/>
      <x:c r="AC19" s="31" t="str"/>
    </x:row>
    <x:row r="20">
      <x:c r="A20" s="31" t="str">
        <x:v>04dd8a6c57106ec3</x:v>
      </x:c>
      <x:c r="B20" s="31" t="str">
        <x:v>04dd8a6c57106ec3602160187101ef63c60d281b1f65dce5934884ffa52ea194</x:v>
      </x:c>
      <x:c r="C20" s="31" t="n">
        <x:v>8</x:v>
      </x:c>
      <x:c r="D20" s="31" t="n">
        <x:v>34023</x:v>
      </x:c>
      <x:c r="E20" s="31" t="str">
        <x:v>Staten Island</x:v>
      </x:c>
      <x:c r="F20" s="31" t="str">
        <x:v>New Dorp-Midland Beach</x:v>
      </x:c>
      <x:c r="G20" s="31" t="n">
        <x:v>12797.67145261467</x:v>
      </x:c>
      <x:c r="H20" s="31" t="n">
        <x:v>12919</x:v>
      </x:c>
      <x:c r="I20" s="31" t="n">
        <x:v>2.4112011779293243</x:v>
      </x:c>
      <x:c r="J20" s="40" t="n">
        <x:v>0</x:v>
      </x:c>
      <x:c r="K20" s="40" t="n">
        <x:v>0.19808034677606626</x:v>
      </x:c>
      <x:c r="L20" s="40" t="n">
        <x:v>0.09977552442139484</x:v>
      </x:c>
      <x:c r="M20" s="31" t="n">
        <x:v>29.86199464717983</x:v>
      </x:c>
      <x:c r="N20" s="31" t="n">
        <x:v>92</x:v>
      </x:c>
      <x:c r="O20" s="31" t="n">
        <x:v>2.7040531405225874</x:v>
      </x:c>
      <x:c r="P20" s="31" t="n">
        <x:v>1</x:v>
      </x:c>
      <x:c r="Q20" s="40" t="n">
        <x:v>0</x:v>
      </x:c>
      <x:c r="R20" s="31" t="n">
        <x:v>0.34861433777757744</x:v>
      </x:c>
      <x:c r="S20" s="40"/>
      <x:c r="T20" s="40"/>
      <x:c r="U20" s="40" t="n">
        <x:v>1</x:v>
      </x:c>
      <x:c r="V20" s="40" t="n">
        <x:v>0.9900147070206672</x:v>
      </x:c>
      <x:c r="W20" s="31" t="n">
        <x:v>0</x:v>
      </x:c>
      <x:c r="X20" s="31" t="str"/>
      <x:c r="Y20" s="31" t="n">
        <x:v>0</x:v>
      </x:c>
      <x:c r="Z20" s="31" t="n">
        <x:v>0</x:v>
      </x:c>
      <x:c r="AA20" s="31" t="n">
        <x:v>0</x:v>
      </x:c>
      <x:c r="AB20" s="31" t="str"/>
      <x:c r="AC20" s="31" t="str"/>
    </x:row>
    <x:row r="21">
      <x:c r="A21" s="31" t="str">
        <x:v>0511e4ed217ad6de</x:v>
      </x:c>
      <x:c r="B21" s="31" t="str">
        <x:v>0511e4ed217ad6dee222827b408a37bb78d7741d90990615ae04ed15666f16af</x:v>
      </x:c>
      <x:c r="C21" s="31" t="n">
        <x:v>8</x:v>
      </x:c>
      <x:c r="D21" s="31" t="n">
        <x:v>35573</x:v>
      </x:c>
      <x:c r="E21" s="31" t="str">
        <x:v>Queens</x:v>
      </x:c>
      <x:c r="F21" s="31" t="str">
        <x:v>Astoria (Central)</x:v>
      </x:c>
      <x:c r="G21" s="31" t="n">
        <x:v>66646.8935526351</x:v>
      </x:c>
      <x:c r="H21" s="31" t="n">
        <x:v>18587</x:v>
      </x:c>
      <x:c r="I21" s="31" t="n">
        <x:v>4.325641651744533</x:v>
      </x:c>
      <x:c r="J21" s="40" t="n">
        <x:v>0.027492333351267016</x:v>
      </x:c>
      <x:c r="K21" s="40" t="n">
        <x:v>0.8305805132619573</x:v>
      </x:c>
      <x:c r="L21" s="40" t="n">
        <x:v>0.013557863022542638</x:v>
      </x:c>
      <x:c r="M21" s="31" t="n">
        <x:v>47.202155931985104</x:v>
      </x:c>
      <x:c r="N21" s="31" t="n">
        <x:v>237</x:v>
      </x:c>
      <x:c r="O21" s="31" t="n">
        <x:v>6.662356281449414</x:v>
      </x:c>
      <x:c r="P21" s="31" t="n">
        <x:v>3</x:v>
      </x:c>
      <x:c r="Q21" s="40" t="n">
        <x:v>0</x:v>
      </x:c>
      <x:c r="R21" s="31" t="n">
        <x:v>0.19733384808606783</x:v>
      </x:c>
      <x:c r="S21" s="40"/>
      <x:c r="T21" s="40"/>
      <x:c r="U21" s="40" t="n">
        <x:v>1</x:v>
      </x:c>
      <x:c r="V21" s="40" t="n">
        <x:v>0.9819228493032764</x:v>
      </x:c>
      <x:c r="W21" s="31" t="n">
        <x:v>0</x:v>
      </x:c>
      <x:c r="X21" s="31" t="str"/>
      <x:c r="Y21" s="31" t="n">
        <x:v>0</x:v>
      </x:c>
      <x:c r="Z21" s="31" t="n">
        <x:v>0</x:v>
      </x:c>
      <x:c r="AA21" s="31" t="n">
        <x:v>0</x:v>
      </x:c>
      <x:c r="AB21" s="31" t="str"/>
      <x:c r="AC21" s="31" t="str"/>
    </x:row>
    <x:row r="22">
      <x:c r="A22" s="31" t="str">
        <x:v>05402a418c513c57</x:v>
      </x:c>
      <x:c r="B22" s="31" t="str">
        <x:v>05402a418c513c57f7c336f63d4a2459b0cb76979ceaa88d3280d93a644eca56</x:v>
      </x:c>
      <x:c r="C22" s="31" t="n">
        <x:v>12</x:v>
      </x:c>
      <x:c r="D22" s="31" t="n">
        <x:v>32285</x:v>
      </x:c>
      <x:c r="E22" s="31" t="str">
        <x:v>Queens</x:v>
      </x:c>
      <x:c r="F22" s="31" t="str">
        <x:v>Ozone Park (North)</x:v>
      </x:c>
      <x:c r="G22" s="31" t="n">
        <x:v>35158.42767657194</x:v>
      </x:c>
      <x:c r="H22" s="31" t="n">
        <x:v>9227</x:v>
      </x:c>
      <x:c r="I22" s="31" t="n">
        <x:v>2.299707063035695</x:v>
      </x:c>
      <x:c r="J22" s="40" t="n">
        <x:v>0</x:v>
      </x:c>
      <x:c r="K22" s="40" t="n">
        <x:v>0.16169936057223366</x:v>
      </x:c>
      <x:c r="L22" s="40" t="n">
        <x:v>0.01582312777717568</x:v>
      </x:c>
      <x:c r="M22" s="31" t="n">
        <x:v>28.17917794391787</x:v>
      </x:c>
      <x:c r="N22" s="31" t="n">
        <x:v>6</x:v>
      </x:c>
      <x:c r="O22" s="31" t="n">
        <x:v>0.18584481957565432</x:v>
      </x:c>
      <x:c r="P22" s="31" t="n">
        <x:v>3.5090495285574943</x:v>
      </x:c>
      <x:c r="Q22" s="40" t="n">
        <x:v>0.5090495285574943</x:v>
      </x:c>
      <x:c r="R22" s="31" t="n">
        <x:v>0.12981871051912044</x:v>
      </x:c>
      <x:c r="S22" s="40"/>
      <x:c r="T22" s="40"/>
      <x:c r="U22" s="40" t="n">
        <x:v>1</x:v>
      </x:c>
      <x:c r="V22" s="40" t="n">
        <x:v>0.9950146309743145</x:v>
      </x:c>
      <x:c r="W22" s="31" t="n">
        <x:v>0</x:v>
      </x:c>
      <x:c r="X22" s="31" t="str"/>
      <x:c r="Y22" s="31" t="n">
        <x:v>0</x:v>
      </x:c>
      <x:c r="Z22" s="31" t="n">
        <x:v>0</x:v>
      </x:c>
      <x:c r="AA22" s="31" t="n">
        <x:v>0</x:v>
      </x:c>
      <x:c r="AB22" s="31" t="str"/>
      <x:c r="AC22" s="31" t="str"/>
    </x:row>
    <x:row r="23">
      <x:c r="A23" s="31" t="str">
        <x:v>0560106dec7c707d</x:v>
      </x:c>
      <x:c r="B23" s="31" t="str">
        <x:v>0560106dec7c707d2f238222d96d80d292516223875e6a4d8cec7a405e66bce3</x:v>
      </x:c>
      <x:c r="C23" s="31" t="n">
        <x:v>8</x:v>
      </x:c>
      <x:c r="D23" s="31" t="n">
        <x:v>33434</x:v>
      </x:c>
      <x:c r="E23" s="31" t="str">
        <x:v>Brooklyn</x:v>
      </x:c>
      <x:c r="F23" s="31" t="str">
        <x:v>Brownsville</x:v>
      </x:c>
      <x:c r="G23" s="31" t="n">
        <x:v>54632.779370700286</x:v>
      </x:c>
      <x:c r="H23" s="31" t="n">
        <x:v>14289</x:v>
      </x:c>
      <x:c r="I23" s="31" t="n">
        <x:v>7.629288998938804</x:v>
      </x:c>
      <x:c r="J23" s="40" t="n">
        <x:v>0.3525789068514242</x:v>
      </x:c>
      <x:c r="K23" s="40" t="n">
        <x:v>0.43676954300510884</x:v>
      </x:c>
      <x:c r="L23" s="40" t="n">
        <x:v>0.3777731121841976</x:v>
      </x:c>
      <x:c r="M23" s="31" t="n">
        <x:v>80.28885384358698</x:v>
      </x:c>
      <x:c r="N23" s="31" t="n">
        <x:v>174</x:v>
      </x:c>
      <x:c r="O23" s="31" t="n">
        <x:v>5.204283065143267</x:v>
      </x:c>
      <x:c r="P23" s="31" t="n">
        <x:v>5</x:v>
      </x:c>
      <x:c r="Q23" s="40" t="n">
        <x:v>1</x:v>
      </x:c>
      <x:c r="R23" s="31" t="n">
        <x:v>0.09988999423654893</x:v>
      </x:c>
      <x:c r="S23" s="40"/>
      <x:c r="T23" s="40"/>
      <x:c r="U23" s="40" t="n">
        <x:v>1</x:v>
      </x:c>
      <x:c r="V23" s="40" t="n">
        <x:v>0.9675274686822031</x:v>
      </x:c>
      <x:c r="W23" s="31" t="n">
        <x:v>0</x:v>
      </x:c>
      <x:c r="X23" s="31" t="str"/>
      <x:c r="Y23" s="31" t="n">
        <x:v>0</x:v>
      </x:c>
      <x:c r="Z23" s="31" t="n">
        <x:v>0</x:v>
      </x:c>
      <x:c r="AA23" s="31" t="n">
        <x:v>0</x:v>
      </x:c>
      <x:c r="AB23" s="31" t="str"/>
      <x:c r="AC23" s="31" t="str"/>
    </x:row>
    <x:row r="24">
      <x:c r="A24" s="31" t="str">
        <x:v>059e12e47113e751</x:v>
      </x:c>
      <x:c r="B24" s="31" t="str">
        <x:v>059e12e47113e7511b6e71a4ca09daae48251e571dac9d4fa20f52f82644bcaf</x:v>
      </x:c>
      <x:c r="C24" s="31" t="n">
        <x:v>13</x:v>
      </x:c>
      <x:c r="D24" s="31" t="n">
        <x:v>32568</x:v>
      </x:c>
      <x:c r="E24" s="31" t="str">
        <x:v>Queens</x:v>
      </x:c>
      <x:c r="F24" s="31" t="str">
        <x:v>Auburndale</x:v>
      </x:c>
      <x:c r="G24" s="31" t="n">
        <x:v>18801.774438338773</x:v>
      </x:c>
      <x:c r="H24" s="31" t="n">
        <x:v>12276</x:v>
      </x:c>
      <x:c r="I24" s="31" t="n">
        <x:v>2.3002388600609502</x:v>
      </x:c>
      <x:c r="J24" s="40" t="n">
        <x:v>0</x:v>
      </x:c>
      <x:c r="K24" s="40" t="n">
        <x:v>0.19403714565004887</x:v>
      </x:c>
      <x:c r="L24" s="40" t="n">
        <x:v>0.10850439882697947</x:v>
      </x:c>
      <x:c r="M24" s="31" t="n">
        <x:v>28.8603433246396</x:v>
      </x:c>
      <x:c r="N24" s="31" t="n">
        <x:v>26</x:v>
      </x:c>
      <x:c r="O24" s="31" t="n">
        <x:v>0.7983296487349546</x:v>
      </x:c>
      <x:c r="P24" s="31" t="n">
        <x:v>2.275252525252525</x:v>
      </x:c>
      <x:c r="Q24" s="40" t="n">
        <x:v>0</x:v>
      </x:c>
      <x:c r="R24" s="31" t="n">
        <x:v>0.2294805193206246</x:v>
      </x:c>
      <x:c r="S24" s="40"/>
      <x:c r="T24" s="40"/>
      <x:c r="U24" s="40" t="n">
        <x:v>1</x:v>
      </x:c>
      <x:c r="V24" s="40" t="n">
        <x:v>0.9911208862821766</x:v>
      </x:c>
      <x:c r="W24" s="31" t="n">
        <x:v>0</x:v>
      </x:c>
      <x:c r="X24" s="31" t="str"/>
      <x:c r="Y24" s="31" t="n">
        <x:v>0</x:v>
      </x:c>
      <x:c r="Z24" s="31" t="n">
        <x:v>0</x:v>
      </x:c>
      <x:c r="AA24" s="31" t="n">
        <x:v>0</x:v>
      </x:c>
      <x:c r="AB24" s="31" t="str"/>
      <x:c r="AC24" s="31" t="str"/>
    </x:row>
    <x:row r="25">
      <x:c r="A25" s="31" t="str">
        <x:v>06592cf23716214c</x:v>
      </x:c>
      <x:c r="B25" s="31" t="str">
        <x:v>06592cf23716214c5877227d2dddca6e8d75f24c89e5f5479811fbecf0acd8bb</x:v>
      </x:c>
      <x:c r="C25" s="31" t="n">
        <x:v>5</x:v>
      </x:c>
      <x:c r="D25" s="31" t="n">
        <x:v>33433</x:v>
      </x:c>
      <x:c r="E25" s="31" t="str">
        <x:v>Bronx</x:v>
      </x:c>
      <x:c r="F25" s="31" t="str">
        <x:v>University Heights (North)-Fordham</x:v>
      </x:c>
      <x:c r="G25" s="31" t="n">
        <x:v>115899.95799979966</x:v>
      </x:c>
      <x:c r="H25" s="31" t="n">
        <x:v>11198</x:v>
      </x:c>
      <x:c r="I25" s="31" t="n">
        <x:v>5.490065190212538</x:v>
      </x:c>
      <x:c r="J25" s="40" t="n">
        <x:v>0.04670476870869798</x:v>
      </x:c>
      <x:c r="K25" s="40" t="n">
        <x:v>0.9162350419717806</x:v>
      </x:c>
      <x:c r="L25" s="40" t="n">
        <x:v>0.0002679049830326844</x:v>
      </x:c>
      <x:c r="M25" s="31" t="n">
        <x:v>61.594307599566584</x:v>
      </x:c>
      <x:c r="N25" s="31" t="n">
        <x:v>128</x:v>
      </x:c>
      <x:c r="O25" s="31" t="n">
        <x:v>3.8285526276433464</x:v>
      </x:c>
      <x:c r="P25" s="31" t="n">
        <x:v>4.519199857117342</x:v>
      </x:c>
      <x:c r="Q25" s="40" t="n">
        <x:v>1</x:v>
      </x:c>
      <x:c r="R25" s="31" t="n">
        <x:v>0.09576958686491434</x:v>
      </x:c>
      <x:c r="S25" s="40"/>
      <x:c r="T25" s="40"/>
      <x:c r="U25" s="40" t="n">
        <x:v>1</x:v>
      </x:c>
      <x:c r="V25" s="40" t="n">
        <x:v>0.9931237721021611</x:v>
      </x:c>
      <x:c r="W25" s="31" t="n">
        <x:v>1</x:v>
      </x:c>
      <x:c r="X25" s="31" t="str">
        <x:v>reference</x:v>
      </x:c>
      <x:c r="Y25" s="31" t="n">
        <x:v>0</x:v>
      </x:c>
      <x:c r="Z25" s="31" t="n">
        <x:v>1</x:v>
      </x:c>
      <x:c r="AA25" s="31" t="n">
        <x:v>0</x:v>
      </x:c>
      <x:c r="AB25" s="31" t="str">
        <x:v>V2</x:v>
      </x:c>
      <x:c r="AC25" s="31" t="str">
        <x:v>NYC-V2-R01</x:v>
      </x:c>
    </x:row>
    <x:row r="26">
      <x:c r="A26" s="31" t="str">
        <x:v>0698e90a1e1a5465</x:v>
      </x:c>
      <x:c r="B26" s="31" t="str">
        <x:v>0698e90a1e1a5465d97fb8978f6681a50aac69086136cfa99cbe56970295fc1b</x:v>
      </x:c>
      <x:c r="C26" s="31" t="n">
        <x:v>10</x:v>
      </x:c>
      <x:c r="D26" s="31" t="n">
        <x:v>32813</x:v>
      </x:c>
      <x:c r="E26" s="31" t="str">
        <x:v>Brooklyn</x:v>
      </x:c>
      <x:c r="F26" s="31" t="str">
        <x:v>East Flatbush-Farragut</x:v>
      </x:c>
      <x:c r="G26" s="31" t="n">
        <x:v>60460.10494274864</x:v>
      </x:c>
      <x:c r="H26" s="31" t="n">
        <x:v>12906</x:v>
      </x:c>
      <x:c r="I26" s="31" t="n">
        <x:v>3.9764693118412895</x:v>
      </x:c>
      <x:c r="J26" s="40" t="n">
        <x:v>0.0006198667286533395</x:v>
      </x:c>
      <x:c r="K26" s="40" t="n">
        <x:v>0.636990547032388</x:v>
      </x:c>
      <x:c r="L26" s="40" t="n">
        <x:v>0.19789245312257864</x:v>
      </x:c>
      <x:c r="M26" s="31" t="n">
        <x:v>44.45099665795771</x:v>
      </x:c>
      <x:c r="N26" s="31" t="n">
        <x:v>117</x:v>
      </x:c>
      <x:c r="O26" s="31" t="n">
        <x:v>3.5656599518483527</x:v>
      </x:c>
      <x:c r="P26" s="31" t="n">
        <x:v>5</x:v>
      </x:c>
      <x:c r="Q26" s="40" t="n">
        <x:v>1</x:v>
      </x:c>
      <x:c r="R26" s="31" t="n">
        <x:v>0.1886099059439165</x:v>
      </x:c>
      <x:c r="S26" s="40"/>
      <x:c r="T26" s="40"/>
      <x:c r="U26" s="40" t="n">
        <x:v>1</x:v>
      </x:c>
      <x:c r="V26" s="40" t="n">
        <x:v>0.9894622656128932</x:v>
      </x:c>
      <x:c r="W26" s="31" t="n">
        <x:v>1</x:v>
      </x:c>
      <x:c r="X26" s="31" t="str">
        <x:v>reference</x:v>
      </x:c>
      <x:c r="Y26" s="31" t="n">
        <x:v>0</x:v>
      </x:c>
      <x:c r="Z26" s="31" t="n">
        <x:v>1</x:v>
      </x:c>
      <x:c r="AA26" s="31" t="n">
        <x:v>0</x:v>
      </x:c>
      <x:c r="AB26" s="31" t="str">
        <x:v>V2</x:v>
      </x:c>
      <x:c r="AC26" s="31" t="str">
        <x:v>NYC-V2-R02</x:v>
      </x:c>
    </x:row>
    <x:row r="27">
      <x:c r="A27" s="31" t="str">
        <x:v>06d38819f497b60f</x:v>
      </x:c>
      <x:c r="B27" s="31" t="str">
        <x:v>06d38819f497b60f24b84e7bfc092caff7810202081619b9ebc53ea311aaa9db</x:v>
      </x:c>
      <x:c r="C27" s="31" t="n">
        <x:v>4</x:v>
      </x:c>
      <x:c r="D27" s="31" t="n">
        <x:v>33125</x:v>
      </x:c>
      <x:c r="E27" s="31" t="str">
        <x:v>Manhattan</x:v>
      </x:c>
      <x:c r="F27" s="31" t="str">
        <x:v>Upper East Side-Yorkville</x:v>
      </x:c>
      <x:c r="G27" s="31" t="n">
        <x:v>181926.21238183827</x:v>
      </x:c>
      <x:c r="H27" s="31" t="n">
        <x:v>21518</x:v>
      </x:c>
      <x:c r="I27" s="31" t="n">
        <x:v>14.766722446892576</x:v>
      </x:c>
      <x:c r="J27" s="40" t="n">
        <x:v>0.537131703689934</x:v>
      </x:c>
      <x:c r="K27" s="40" t="n">
        <x:v>0.4622176782228832</x:v>
      </x:c>
      <x:c r="L27" s="40" t="n">
        <x:v>0.01686959754624036</x:v>
      </x:c>
      <x:c r="M27" s="31" t="n">
        <x:v>149.2174364569948</x:v>
      </x:c>
      <x:c r="N27" s="31" t="n">
        <x:v>365</x:v>
      </x:c>
      <x:c r="O27" s="31" t="n">
        <x:v>11.018867924528301</x:v>
      </x:c>
      <x:c r="P27" s="31" t="n">
        <x:v>1.6477832512315271</x:v>
      </x:c>
      <x:c r="Q27" s="40" t="n">
        <x:v>0</x:v>
      </x:c>
      <x:c r="R27" s="31" t="n">
        <x:v>0.08096817520249336</x:v>
      </x:c>
      <x:c r="S27" s="40"/>
      <x:c r="T27" s="40"/>
      <x:c r="U27" s="40" t="n">
        <x:v>1</x:v>
      </x:c>
      <x:c r="V27" s="40" t="n">
        <x:v>0.9938656008922763</x:v>
      </x:c>
      <x:c r="W27" s="31" t="n">
        <x:v>1</x:v>
      </x:c>
      <x:c r="X27" s="31" t="str"/>
      <x:c r="Y27" s="31" t="n">
        <x:v>1</x:v>
      </x:c>
      <x:c r="Z27" s="31" t="n">
        <x:v>0</x:v>
      </x:c>
      <x:c r="AA27" s="31" t="n">
        <x:v>0</x:v>
      </x:c>
      <x:c r="AB27" s="31" t="str"/>
      <x:c r="AC27" s="31" t="str"/>
    </x:row>
    <x:row r="28">
      <x:c r="A28" s="31" t="str">
        <x:v>071f3c8f92d9ddaf</x:v>
      </x:c>
      <x:c r="B28" s="31" t="str">
        <x:v>071f3c8f92d9ddaf9f542e81e1a454fdc9e9969dbd6a29f858761ec74ea87c56</x:v>
      </x:c>
      <x:c r="C28" s="31" t="n">
        <x:v>4</x:v>
      </x:c>
      <x:c r="D28" s="31" t="n">
        <x:v>36343</x:v>
      </x:c>
      <x:c r="E28" s="31" t="str">
        <x:v>Manhattan</x:v>
      </x:c>
      <x:c r="F28" s="31" t="str">
        <x:v>Stuyvesant Town-Peter Cooper Village</x:v>
      </x:c>
      <x:c r="G28" s="31" t="n">
        <x:v>109324.36668240053</x:v>
      </x:c>
      <x:c r="H28" s="31" t="n">
        <x:v>20190</x:v>
      </x:c>
      <x:c r="I28" s="31" t="n">
        <x:v>11.23001239157373</x:v>
      </x:c>
      <x:c r="J28" s="40" t="n">
        <x:v>0.6638434868746904</x:v>
      </x:c>
      <x:c r="K28" s="40" t="n">
        <x:v>0.33531451213472013</x:v>
      </x:c>
      <x:c r="L28" s="40" t="n">
        <x:v>0.6112431896978703</x:v>
      </x:c>
      <x:c r="M28" s="31" t="n">
        <x:v>126.16890400598264</x:v>
      </x:c>
      <x:c r="N28" s="31" t="n">
        <x:v>390</x:v>
      </x:c>
      <x:c r="O28" s="31" t="n">
        <x:v>10.731089893514568</x:v>
      </x:c>
      <x:c r="P28" s="31" t="n">
        <x:v>1.8766220901436355</x:v>
      </x:c>
      <x:c r="Q28" s="40" t="n">
        <x:v>0</x:v>
      </x:c>
      <x:c r="R28" s="31" t="n">
        <x:v>0.13963726630167395</x:v>
      </x:c>
      <x:c r="S28" s="40"/>
      <x:c r="T28" s="40"/>
      <x:c r="U28" s="40" t="n">
        <x:v>1</x:v>
      </x:c>
      <x:c r="V28" s="40" t="n">
        <x:v>0.9985141158989599</x:v>
      </x:c>
      <x:c r="W28" s="31" t="n">
        <x:v>1</x:v>
      </x:c>
      <x:c r="X28" s="31" t="str"/>
      <x:c r="Y28" s="31" t="n">
        <x:v>1</x:v>
      </x:c>
      <x:c r="Z28" s="31" t="n">
        <x:v>0</x:v>
      </x:c>
      <x:c r="AA28" s="31" t="n">
        <x:v>0</x:v>
      </x:c>
      <x:c r="AB28" s="31" t="str"/>
      <x:c r="AC28" s="31" t="str"/>
    </x:row>
    <x:row r="29">
      <x:c r="A29" s="31" t="str">
        <x:v>072d16382643e7b2</x:v>
      </x:c>
      <x:c r="B29" s="31" t="str">
        <x:v>072d16382643e7b20f32a4a40309e8b016c5a6ac40b66a7790d71249c5375eec</x:v>
      </x:c>
      <x:c r="C29" s="31" t="n">
        <x:v>6</x:v>
      </x:c>
      <x:c r="D29" s="31" t="n">
        <x:v>32019</x:v>
      </x:c>
      <x:c r="E29" s="31" t="str">
        <x:v>Bronx</x:v>
      </x:c>
      <x:c r="F29" s="31" t="str">
        <x:v>Mount Hope</x:v>
      </x:c>
      <x:c r="G29" s="31" t="n">
        <x:v>116979.18968621653</x:v>
      </x:c>
      <x:c r="H29" s="31" t="n">
        <x:v>13110</x:v>
      </x:c>
      <x:c r="I29" s="31" t="n">
        <x:v>7.295232646834478</x:v>
      </x:c>
      <x:c r="J29" s="40" t="n">
        <x:v>0.2578947368421053</x:v>
      </x:c>
      <x:c r="K29" s="40" t="n">
        <x:v>0.7124332570556827</x:v>
      </x:c>
      <x:c r="L29" s="40" t="n">
        <x:v>0.0004576659038901602</x:v>
      </x:c>
      <x:c r="M29" s="31" t="n">
        <x:v>77.92434925650389</x:v>
      </x:c>
      <x:c r="N29" s="31" t="n">
        <x:v>177</x:v>
      </x:c>
      <x:c r="O29" s="31" t="n">
        <x:v>5.527967769137075</x:v>
      </x:c>
      <x:c r="P29" s="31" t="n">
        <x:v>5</x:v>
      </x:c>
      <x:c r="Q29" s="40" t="n">
        <x:v>1</x:v>
      </x:c>
      <x:c r="R29" s="31" t="n">
        <x:v>0.11236367746411324</x:v>
      </x:c>
      <x:c r="S29" s="40"/>
      <x:c r="T29" s="40"/>
      <x:c r="U29" s="40" t="n">
        <x:v>1</x:v>
      </x:c>
      <x:c r="V29" s="40" t="n">
        <x:v>0.9636918382913806</x:v>
      </x:c>
      <x:c r="W29" s="31" t="n">
        <x:v>1</x:v>
      </x:c>
      <x:c r="X29" s="31" t="str"/>
      <x:c r="Y29" s="31" t="n">
        <x:v>0</x:v>
      </x:c>
      <x:c r="Z29" s="31" t="n">
        <x:v>1</x:v>
      </x:c>
      <x:c r="AA29" s="31" t="n">
        <x:v>0</x:v>
      </x:c>
      <x:c r="AB29" s="31" t="str"/>
      <x:c r="AC29" s="31" t="str"/>
    </x:row>
    <x:row r="30">
      <x:c r="A30" s="31" t="str">
        <x:v>0759187ed0a5d1a7</x:v>
      </x:c>
      <x:c r="B30" s="31" t="str">
        <x:v>0759187ed0a5d1a7aaf56cda1adacc7736b0ee6ba7ee93e320b23dc53f50c24d</x:v>
      </x:c>
      <x:c r="C30" s="31" t="n">
        <x:v>9</x:v>
      </x:c>
      <x:c r="D30" s="31" t="n">
        <x:v>33208</x:v>
      </x:c>
      <x:c r="E30" s="31" t="str">
        <x:v>Staten Island</x:v>
      </x:c>
      <x:c r="F30" s="31" t="str">
        <x:v>Grasmere-Arrochar-South Beach-Dongan Hills</x:v>
      </x:c>
      <x:c r="G30" s="31" t="n">
        <x:v>11752.82263098296</x:v>
      </x:c>
      <x:c r="H30" s="31" t="n">
        <x:v>11821</x:v>
      </x:c>
      <x:c r="I30" s="31" t="n">
        <x:v>2.3602175385136275</x:v>
      </x:c>
      <x:c r="J30" s="40" t="n">
        <x:v>0</x:v>
      </x:c>
      <x:c r="K30" s="40" t="n">
        <x:v>0.19592251078588951</x:v>
      </x:c>
      <x:c r="L30" s="40" t="n">
        <x:v>0.09339311394975044</x:v>
      </x:c>
      <x:c r="M30" s="31" t="n">
        <x:v>30.366860481679254</x:v>
      </x:c>
      <x:c r="N30" s="31" t="n">
        <x:v>55</x:v>
      </x:c>
      <x:c r="O30" s="31" t="n">
        <x:v>1.6562274150807035</x:v>
      </x:c>
      <x:c r="P30" s="31" t="n">
        <x:v>2.432027747229507</x:v>
      </x:c>
      <x:c r="Q30" s="40" t="n">
        <x:v>0</x:v>
      </x:c>
      <x:c r="R30" s="31" t="n">
        <x:v>0.2832810116410051</x:v>
      </x:c>
      <x:c r="S30" s="40"/>
      <x:c r="T30" s="40"/>
      <x:c r="U30" s="40" t="n">
        <x:v>1</x:v>
      </x:c>
      <x:c r="V30" s="40" t="n">
        <x:v>0.985872599610862</x:v>
      </x:c>
      <x:c r="W30" s="31" t="n">
        <x:v>0</x:v>
      </x:c>
      <x:c r="X30" s="31" t="str"/>
      <x:c r="Y30" s="31" t="n">
        <x:v>0</x:v>
      </x:c>
      <x:c r="Z30" s="31" t="n">
        <x:v>0</x:v>
      </x:c>
      <x:c r="AA30" s="31" t="n">
        <x:v>0</x:v>
      </x:c>
      <x:c r="AB30" s="31" t="str"/>
      <x:c r="AC30" s="31" t="str"/>
    </x:row>
    <x:row r="31">
      <x:c r="A31" s="31" t="str">
        <x:v>085fbb61e16ac209</x:v>
      </x:c>
      <x:c r="B31" s="31" t="str">
        <x:v>085fbb61e16ac2092dea6488e08de37306d96911975051a074ee63590d7b8afb</x:v>
      </x:c>
      <x:c r="C31" s="31" t="n">
        <x:v>10</x:v>
      </x:c>
      <x:c r="D31" s="31" t="n">
        <x:v>37307</x:v>
      </x:c>
      <x:c r="E31" s="31" t="str">
        <x:v>Manhattan</x:v>
      </x:c>
      <x:c r="F31" s="31" t="str">
        <x:v>Harlem (South)</x:v>
      </x:c>
      <x:c r="G31" s="31" t="n">
        <x:v>76450.90138253554</x:v>
      </x:c>
      <x:c r="H31" s="31" t="n">
        <x:v>17364</x:v>
      </x:c>
      <x:c r="I31" s="31" t="n">
        <x:v>8.182587915978287</x:v>
      </x:c>
      <x:c r="J31" s="40" t="n">
        <x:v>0.29198341395991706</x:v>
      </x:c>
      <x:c r="K31" s="40" t="n">
        <x:v>0.6837134300852338</x:v>
      </x:c>
      <x:c r="L31" s="40" t="n">
        <x:v>0.0789564616447823</x:v>
      </x:c>
      <x:c r="M31" s="31" t="n">
        <x:v>94.06691283010854</x:v>
      </x:c>
      <x:c r="N31" s="31" t="n">
        <x:v>347</x:v>
      </x:c>
      <x:c r="O31" s="31" t="n">
        <x:v>9.30120352748814</x:v>
      </x:c>
      <x:c r="P31" s="31" t="n">
        <x:v>4.3534323888504955</x:v>
      </x:c>
      <x:c r="Q31" s="40" t="n">
        <x:v>0.931870536742686</x:v>
      </x:c>
      <x:c r="R31" s="31" t="n">
        <x:v>0.1094223370843768</x:v>
      </x:c>
      <x:c r="S31" s="40"/>
      <x:c r="T31" s="40"/>
      <x:c r="U31" s="40" t="n">
        <x:v>1</x:v>
      </x:c>
      <x:c r="V31" s="40" t="n">
        <x:v>0.9712047915226906</x:v>
      </x:c>
      <x:c r="W31" s="31" t="n">
        <x:v>0</x:v>
      </x:c>
      <x:c r="X31" s="31" t="str"/>
      <x:c r="Y31" s="31" t="n">
        <x:v>0</x:v>
      </x:c>
      <x:c r="Z31" s="31" t="n">
        <x:v>0</x:v>
      </x:c>
      <x:c r="AA31" s="31" t="n">
        <x:v>0</x:v>
      </x:c>
      <x:c r="AB31" s="31" t="str"/>
      <x:c r="AC31" s="31" t="str"/>
    </x:row>
    <x:row r="32">
      <x:c r="A32" s="31" t="str">
        <x:v>08fa536d163f483c</x:v>
      </x:c>
      <x:c r="B32" s="31" t="str">
        <x:v>08fa536d163f483c41539cd488439387246fdba892b388e7cd397fdd65e0aaeb</x:v>
      </x:c>
      <x:c r="C32" s="31" t="n">
        <x:v>10</x:v>
      </x:c>
      <x:c r="D32" s="31" t="n">
        <x:v>35451</x:v>
      </x:c>
      <x:c r="E32" s="31" t="str">
        <x:v>Brooklyn</x:v>
      </x:c>
      <x:c r="F32" s="31" t="str">
        <x:v>Bedford-Stuyvesant (East)</x:v>
      </x:c>
      <x:c r="G32" s="31" t="n">
        <x:v>54413.35977166159</x:v>
      </x:c>
      <x:c r="H32" s="31" t="n">
        <x:v>15556</x:v>
      </x:c>
      <x:c r="I32" s="31" t="n">
        <x:v>3.7648225806451614</x:v>
      </x:c>
      <x:c r="J32" s="40" t="n">
        <x:v>0.030599125739264592</x:v>
      </x:c>
      <x:c r="K32" s="40" t="n">
        <x:v>0.7865132424787863</x:v>
      </x:c>
      <x:c r="L32" s="40" t="n">
        <x:v>0.07302648495757263</x:v>
      </x:c>
      <x:c r="M32" s="31" t="n">
        <x:v>45.50880691988581</x:v>
      </x:c>
      <x:c r="N32" s="31" t="n">
        <x:v>101</x:v>
      </x:c>
      <x:c r="O32" s="31" t="n">
        <x:v>2.849002849002849</x:v>
      </x:c>
      <x:c r="P32" s="31" t="n">
        <x:v>4.486757521213679</x:v>
      </x:c>
      <x:c r="Q32" s="40" t="n">
        <x:v>1</x:v>
      </x:c>
      <x:c r="R32" s="31" t="n">
        <x:v>0.13631597024211667</x:v>
      </x:c>
      <x:c r="S32" s="40"/>
      <x:c r="T32" s="40"/>
      <x:c r="U32" s="40" t="n">
        <x:v>1</x:v>
      </x:c>
      <x:c r="V32" s="40" t="n">
        <x:v>0.9852147081511957</x:v>
      </x:c>
      <x:c r="W32" s="31" t="n">
        <x:v>1</x:v>
      </x:c>
      <x:c r="X32" s="31" t="str">
        <x:v>reference</x:v>
      </x:c>
      <x:c r="Y32" s="31" t="n">
        <x:v>0</x:v>
      </x:c>
      <x:c r="Z32" s="31" t="n">
        <x:v>1</x:v>
      </x:c>
      <x:c r="AA32" s="31" t="n">
        <x:v>0</x:v>
      </x:c>
      <x:c r="AB32" s="31" t="str">
        <x:v>V2</x:v>
      </x:c>
      <x:c r="AC32" s="31" t="str">
        <x:v>NYC-V2-R03</x:v>
      </x:c>
    </x:row>
    <x:row r="33">
      <x:c r="A33" s="31" t="str">
        <x:v>09bc3a6960e566d7</x:v>
      </x:c>
      <x:c r="B33" s="31" t="str">
        <x:v>09bc3a6960e566d73a181191c24d9ef12f748410fecf2abc9b624b561e8df083</x:v>
      </x:c>
      <x:c r="C33" s="31" t="n">
        <x:v>7</x:v>
      </x:c>
      <x:c r="D33" s="31" t="n">
        <x:v>33749</x:v>
      </x:c>
      <x:c r="E33" s="31" t="str">
        <x:v>Queens</x:v>
      </x:c>
      <x:c r="F33" s="31" t="str">
        <x:v>Elmhurst</x:v>
      </x:c>
      <x:c r="G33" s="31" t="n">
        <x:v>139800.89934597228</x:v>
      </x:c>
      <x:c r="H33" s="31" t="n">
        <x:v>10387</x:v>
      </x:c>
      <x:c r="I33" s="31" t="n">
        <x:v>5.191373324332144</x:v>
      </x:c>
      <x:c r="J33" s="40" t="n">
        <x:v>0</x:v>
      </x:c>
      <x:c r="K33" s="40" t="n">
        <x:v>0.9063252142100703</x:v>
      </x:c>
      <x:c r="L33" s="40" t="n">
        <x:v>0.03831712717820352</x:v>
      </x:c>
      <x:c r="M33" s="31" t="n">
        <x:v>56.53486279398977</x:v>
      </x:c>
      <x:c r="N33" s="31" t="n">
        <x:v>150</x:v>
      </x:c>
      <x:c r="O33" s="31" t="n">
        <x:v>4.444576135589203</x:v>
      </x:c>
      <x:c r="P33" s="31" t="n">
        <x:v>3</x:v>
      </x:c>
      <x:c r="Q33" s="40" t="n">
        <x:v>0</x:v>
      </x:c>
      <x:c r="R33" s="31" t="n">
        <x:v>0.16937258675784414</x:v>
      </x:c>
      <x:c r="S33" s="40"/>
      <x:c r="T33" s="40"/>
      <x:c r="U33" s="40" t="n">
        <x:v>1</x:v>
      </x:c>
      <x:c r="V33" s="40" t="n">
        <x:v>0.9977856936555309</x:v>
      </x:c>
      <x:c r="W33" s="31" t="n">
        <x:v>0</x:v>
      </x:c>
      <x:c r="X33" s="31" t="str"/>
      <x:c r="Y33" s="31" t="n">
        <x:v>0</x:v>
      </x:c>
      <x:c r="Z33" s="31" t="n">
        <x:v>0</x:v>
      </x:c>
      <x:c r="AA33" s="31" t="n">
        <x:v>0</x:v>
      </x:c>
      <x:c r="AB33" s="31" t="str"/>
      <x:c r="AC33" s="31" t="str"/>
    </x:row>
    <x:row r="34">
      <x:c r="A34" s="31" t="str">
        <x:v>09d8fa3da51657b6</x:v>
      </x:c>
      <x:c r="B34" s="31" t="str">
        <x:v>09d8fa3da51657b6da6829888382eb31702e770243a795a57c0f5307e3f1df9f</x:v>
      </x:c>
      <x:c r="C34" s="31" t="n">
        <x:v>6</x:v>
      </x:c>
      <x:c r="D34" s="31" t="n">
        <x:v>34794</x:v>
      </x:c>
      <x:c r="E34" s="31" t="str">
        <x:v>Manhattan</x:v>
      </x:c>
      <x:c r="F34" s="31" t="str">
        <x:v>Chelsea-Hudson Yards</x:v>
      </x:c>
      <x:c r="G34" s="31" t="n">
        <x:v>86149.37341281542</x:v>
      </x:c>
      <x:c r="H34" s="31" t="n">
        <x:v>21467</x:v>
      </x:c>
      <x:c r="I34" s="31" t="n">
        <x:v>17.12057459295721</x:v>
      </x:c>
      <x:c r="J34" s="40" t="n">
        <x:v>0.6675362183817022</x:v>
      </x:c>
      <x:c r="K34" s="40" t="n">
        <x:v>0.3164857688545209</x:v>
      </x:c>
      <x:c r="L34" s="40" t="n">
        <x:v>0.10993618111520008</x:v>
      </x:c>
      <x:c r="M34" s="31" t="n">
        <x:v>184.8193453057809</x:v>
      </x:c>
      <x:c r="N34" s="31" t="n">
        <x:v>671</x:v>
      </x:c>
      <x:c r="O34" s="31" t="n">
        <x:v>19.284934184054723</x:v>
      </x:c>
      <x:c r="P34" s="31" t="n">
        <x:v>1.4130060092234593</x:v>
      </x:c>
      <x:c r="Q34" s="40" t="n">
        <x:v>0</x:v>
      </x:c>
      <x:c r="R34" s="31" t="n">
        <x:v>0.10263328914824985</x:v>
      </x:c>
      <x:c r="S34" s="40"/>
      <x:c r="T34" s="40"/>
      <x:c r="U34" s="40" t="n">
        <x:v>1</x:v>
      </x:c>
      <x:c r="V34" s="40" t="n">
        <x:v>0.9729352028695206</x:v>
      </x:c>
      <x:c r="W34" s="31" t="n">
        <x:v>1</x:v>
      </x:c>
      <x:c r="X34" s="31" t="str"/>
      <x:c r="Y34" s="31" t="n">
        <x:v>1</x:v>
      </x:c>
      <x:c r="Z34" s="31" t="n">
        <x:v>0</x:v>
      </x:c>
      <x:c r="AA34" s="31" t="n">
        <x:v>0</x:v>
      </x:c>
      <x:c r="AB34" s="31" t="str"/>
      <x:c r="AC34" s="31" t="str"/>
    </x:row>
    <x:row r="35">
      <x:c r="A35" s="31" t="str">
        <x:v>0af78e3bca495ccf</x:v>
      </x:c>
      <x:c r="B35" s="31" t="str">
        <x:v>0af78e3bca495ccfbd0ee6c0039c39934eb0edb134a7172d0fe1bcec8bb89737</x:v>
      </x:c>
      <x:c r="C35" s="31" t="n">
        <x:v>7</x:v>
      </x:c>
      <x:c r="D35" s="31" t="n">
        <x:v>33625</x:v>
      </x:c>
      <x:c r="E35" s="31" t="str">
        <x:v>Queens</x:v>
      </x:c>
      <x:c r="F35" s="31" t="str">
        <x:v>College Point</x:v>
      </x:c>
      <x:c r="G35" s="31" t="n">
        <x:v>14052.185596281439</x:v>
      </x:c>
      <x:c r="H35" s="31" t="n">
        <x:v>10024</x:v>
      </x:c>
      <x:c r="I35" s="31" t="n">
        <x:v>2.2699499248873307</x:v>
      </x:c>
      <x:c r="J35" s="40" t="n">
        <x:v>0</x:v>
      </x:c>
      <x:c r="K35" s="40" t="n">
        <x:v>0.225658419792498</x:v>
      </x:c>
      <x:c r="L35" s="40" t="n">
        <x:v>0.08250199521149242</x:v>
      </x:c>
      <x:c r="M35" s="31" t="n">
        <x:v>28.798334850217124</x:v>
      </x:c>
      <x:c r="N35" s="31" t="n">
        <x:v>32</x:v>
      </x:c>
      <x:c r="O35" s="31" t="n">
        <x:v>0.9516728624535317</x:v>
      </x:c>
      <x:c r="P35" s="31" t="n">
        <x:v>3.0224461292897047</x:v>
      </x:c>
      <x:c r="Q35" s="40" t="n">
        <x:v>0.08838786911412609</x:v>
      </x:c>
      <x:c r="R35" s="31" t="n">
        <x:v>0.2197817494530209</x:v>
      </x:c>
      <x:c r="S35" s="40"/>
      <x:c r="T35" s="40"/>
      <x:c r="U35" s="40" t="n">
        <x:v>1</x:v>
      </x:c>
      <x:c r="V35" s="40" t="n">
        <x:v>0.9786512370311253</x:v>
      </x:c>
      <x:c r="W35" s="31" t="n">
        <x:v>0</x:v>
      </x:c>
      <x:c r="X35" s="31" t="str"/>
      <x:c r="Y35" s="31" t="n">
        <x:v>0</x:v>
      </x:c>
      <x:c r="Z35" s="31" t="n">
        <x:v>0</x:v>
      </x:c>
      <x:c r="AA35" s="31" t="n">
        <x:v>0</x:v>
      </x:c>
      <x:c r="AB35" s="31" t="str"/>
      <x:c r="AC35" s="31" t="str"/>
    </x:row>
    <x:row r="36">
      <x:c r="A36" s="31" t="str">
        <x:v>0bbe473264676afe</x:v>
      </x:c>
      <x:c r="B36" s="31" t="str">
        <x:v>0bbe473264676afe0e4cc0597ba1a5abd120b1ab8a4907a41e17c5620064f76b</x:v>
      </x:c>
      <x:c r="C36" s="31" t="n">
        <x:v>11</x:v>
      </x:c>
      <x:c r="D36" s="31" t="n">
        <x:v>32573</x:v>
      </x:c>
      <x:c r="E36" s="31" t="str">
        <x:v>Queens</x:v>
      </x:c>
      <x:c r="F36" s="31" t="str">
        <x:v>South Ozone Park</x:v>
      </x:c>
      <x:c r="G36" s="31" t="n">
        <x:v>44336.217072313724</x:v>
      </x:c>
      <x:c r="H36" s="31" t="n">
        <x:v>8882</x:v>
      </x:c>
      <x:c r="I36" s="31" t="n">
        <x:v>2.3929631715283253</x:v>
      </x:c>
      <x:c r="J36" s="40" t="n">
        <x:v>0</x:v>
      </x:c>
      <x:c r="K36" s="40" t="n">
        <x:v>0.1674172483674848</x:v>
      </x:c>
      <x:c r="L36" s="40" t="n">
        <x:v>0.013510470614726412</x:v>
      </x:c>
      <x:c r="M36" s="31" t="n">
        <x:v>28.491567459192844</x:v>
      </x:c>
      <x:c r="N36" s="31" t="n">
        <x:v>7</x:v>
      </x:c>
      <x:c r="O36" s="31" t="n">
        <x:v>0.21490191262702238</x:v>
      </x:c>
      <x:c r="P36" s="31" t="n">
        <x:v>3.8071380319747803</x:v>
      </x:c>
      <x:c r="Q36" s="40" t="n">
        <x:v>0.8071380319747804</x:v>
      </x:c>
      <x:c r="R36" s="31" t="n">
        <x:v>0.18098022708191086</x:v>
      </x:c>
      <x:c r="S36" s="40"/>
      <x:c r="T36" s="40"/>
      <x:c r="U36" s="40" t="n">
        <x:v>1</x:v>
      </x:c>
      <x:c r="V36" s="40" t="n">
        <x:v>0.9889664489979735</x:v>
      </x:c>
      <x:c r="W36" s="31" t="n">
        <x:v>0</x:v>
      </x:c>
      <x:c r="X36" s="31" t="str"/>
      <x:c r="Y36" s="31" t="n">
        <x:v>0</x:v>
      </x:c>
      <x:c r="Z36" s="31" t="n">
        <x:v>0</x:v>
      </x:c>
      <x:c r="AA36" s="31" t="n">
        <x:v>0</x:v>
      </x:c>
      <x:c r="AB36" s="31" t="str"/>
      <x:c r="AC36" s="31" t="str"/>
    </x:row>
    <x:row r="37">
      <x:c r="A37" s="31" t="str">
        <x:v>0d1e762a49f8604a</x:v>
      </x:c>
      <x:c r="B37" s="31" t="str">
        <x:v>0d1e762a49f8604a640131d3cd1a095db984d9ec03467267633b6b9f2cefb06b</x:v>
      </x:c>
      <x:c r="C37" s="31" t="n">
        <x:v>9</x:v>
      </x:c>
      <x:c r="D37" s="31" t="n">
        <x:v>36648</x:v>
      </x:c>
      <x:c r="E37" s="31" t="str">
        <x:v>Queens</x:v>
      </x:c>
      <x:c r="F37" s="31" t="str">
        <x:v>Astoria (Central)</x:v>
      </x:c>
      <x:c r="G37" s="31" t="n">
        <x:v>61248.19253071008</x:v>
      </x:c>
      <x:c r="H37" s="31" t="n">
        <x:v>18764</x:v>
      </x:c>
      <x:c r="I37" s="31" t="n">
        <x:v>5.328944548620412</x:v>
      </x:c>
      <x:c r="J37" s="40" t="n">
        <x:v>0.08351097846940951</x:v>
      </x:c>
      <x:c r="K37" s="40" t="n">
        <x:v>0.7902366233212534</x:v>
      </x:c>
      <x:c r="L37" s="40" t="n">
        <x:v>0.1818908548283948</x:v>
      </x:c>
      <x:c r="M37" s="31" t="n">
        <x:v>56.73816131488024</x:v>
      </x:c>
      <x:c r="N37" s="31" t="n">
        <x:v>266</x:v>
      </x:c>
      <x:c r="O37" s="31" t="n">
        <x:v>7.25824055882995</x:v>
      </x:c>
      <x:c r="P37" s="31" t="n">
        <x:v>3.001758686847154</x:v>
      </x:c>
      <x:c r="Q37" s="40" t="n">
        <x:v>0.0017586868471541248</x:v>
      </x:c>
      <x:c r="R37" s="31" t="n">
        <x:v>0.18235176958234284</x:v>
      </x:c>
      <x:c r="S37" s="40"/>
      <x:c r="T37" s="40"/>
      <x:c r="U37" s="40" t="n">
        <x:v>1</x:v>
      </x:c>
      <x:c r="V37" s="40" t="n">
        <x:v>0.9834790023449158</x:v>
      </x:c>
      <x:c r="W37" s="31" t="n">
        <x:v>1</x:v>
      </x:c>
      <x:c r="X37" s="31" t="str">
        <x:v>reference</x:v>
      </x:c>
      <x:c r="Y37" s="31" t="n">
        <x:v>0</x:v>
      </x:c>
      <x:c r="Z37" s="31" t="n">
        <x:v>0</x:v>
      </x:c>
      <x:c r="AA37" s="31" t="n">
        <x:v>1</x:v>
      </x:c>
      <x:c r="AB37" s="31" t="str">
        <x:v>V3</x:v>
      </x:c>
      <x:c r="AC37" s="31" t="str">
        <x:v>NYC-V3-R01</x:v>
      </x:c>
    </x:row>
    <x:row r="38">
      <x:c r="A38" s="31" t="str">
        <x:v>0d367d673b5d3a75</x:v>
      </x:c>
      <x:c r="B38" s="31" t="str">
        <x:v>0d367d673b5d3a75581620fc2f834c16a982a83508d102b8ca3f43962a83d548</x:v>
      </x:c>
      <x:c r="C38" s="31" t="n">
        <x:v>9</x:v>
      </x:c>
      <x:c r="D38" s="31" t="n">
        <x:v>33190</x:v>
      </x:c>
      <x:c r="E38" s="31" t="str">
        <x:v>Brooklyn</x:v>
      </x:c>
      <x:c r="F38" s="31" t="str">
        <x:v>East New York-City Line</x:v>
      </x:c>
      <x:c r="G38" s="31" t="n">
        <x:v>53785.11656168476</x:v>
      </x:c>
      <x:c r="H38" s="31" t="n">
        <x:v>10108</x:v>
      </x:c>
      <x:c r="I38" s="31" t="n">
        <x:v>4.953205267848301</x:v>
      </x:c>
      <x:c r="J38" s="40" t="n">
        <x:v>0.038088642659279776</x:v>
      </x:c>
      <x:c r="K38" s="40" t="n">
        <x:v>0.5459042342698852</x:v>
      </x:c>
      <x:c r="L38" s="40" t="n">
        <x:v>0.34833795013850416</x:v>
      </x:c>
      <x:c r="M38" s="31" t="n">
        <x:v>51.3969751281534</x:v>
      </x:c>
      <x:c r="N38" s="31" t="n">
        <x:v>68</x:v>
      </x:c>
      <x:c r="O38" s="31" t="n">
        <x:v>2.0488098824947274</x:v>
      </x:c>
      <x:c r="P38" s="31" t="n">
        <x:v>4</x:v>
      </x:c>
      <x:c r="Q38" s="40" t="n">
        <x:v>1</x:v>
      </x:c>
      <x:c r="R38" s="31" t="n">
        <x:v>0.13492058830211298</x:v>
      </x:c>
      <x:c r="S38" s="40"/>
      <x:c r="T38" s="40"/>
      <x:c r="U38" s="40" t="n">
        <x:v>1</x:v>
      </x:c>
      <x:c r="V38" s="40" t="n">
        <x:v>0.9970320538187574</x:v>
      </x:c>
      <x:c r="W38" s="31" t="n">
        <x:v>1</x:v>
      </x:c>
      <x:c r="X38" s="31" t="str">
        <x:v>reference</x:v>
      </x:c>
      <x:c r="Y38" s="31" t="n">
        <x:v>0</x:v>
      </x:c>
      <x:c r="Z38" s="31" t="n">
        <x:v>1</x:v>
      </x:c>
      <x:c r="AA38" s="31" t="n">
        <x:v>0</x:v>
      </x:c>
      <x:c r="AB38" s="31" t="str">
        <x:v>V2</x:v>
      </x:c>
      <x:c r="AC38" s="31" t="str">
        <x:v>NYC-V2-R04</x:v>
      </x:c>
    </x:row>
    <x:row r="39">
      <x:c r="A39" s="31" t="str">
        <x:v>0d3dfa79ab38dc87</x:v>
      </x:c>
      <x:c r="B39" s="31" t="str">
        <x:v>0d3dfa79ab38dc87e06f8678136528022ca7c5f77bc6b3c6594d3b487020f118</x:v>
      </x:c>
      <x:c r="C39" s="31" t="n">
        <x:v>9</x:v>
      </x:c>
      <x:c r="D39" s="31" t="n">
        <x:v>32957</x:v>
      </x:c>
      <x:c r="E39" s="31" t="str">
        <x:v>Staten Island</x:v>
      </x:c>
      <x:c r="F39" s="31" t="str">
        <x:v>Port Richmond</x:v>
      </x:c>
      <x:c r="G39" s="31" t="n">
        <x:v>15969.528510262948</x:v>
      </x:c>
      <x:c r="H39" s="31" t="n">
        <x:v>11042</x:v>
      </x:c>
      <x:c r="I39" s="31" t="n">
        <x:v>2.2765509741730856</x:v>
      </x:c>
      <x:c r="J39" s="40" t="n">
        <x:v>0</x:v>
      </x:c>
      <x:c r="K39" s="40" t="n">
        <x:v>0.10423836261546822</x:v>
      </x:c>
      <x:c r="L39" s="40" t="n">
        <x:v>0.041568556420938235</x:v>
      </x:c>
      <x:c r="M39" s="31" t="n">
        <x:v>29.982505764049204</x:v>
      </x:c>
      <x:c r="N39" s="31" t="n">
        <x:v>16</x:v>
      </x:c>
      <x:c r="O39" s="31" t="n">
        <x:v>0.48548108140910884</x:v>
      </x:c>
      <x:c r="P39" s="31" t="n">
        <x:v>2.9304473827205215</x:v>
      </x:c>
      <x:c r="Q39" s="40" t="n">
        <x:v>0.42999456620177506</x:v>
      </x:c>
      <x:c r="R39" s="31" t="n">
        <x:v>0.20989097736656062</x:v>
      </x:c>
      <x:c r="S39" s="40"/>
      <x:c r="T39" s="40"/>
      <x:c r="U39" s="40" t="n">
        <x:v>1</x:v>
      </x:c>
      <x:c r="V39" s="40" t="n">
        <x:v>0.9939322586487955</x:v>
      </x:c>
      <x:c r="W39" s="31" t="n">
        <x:v>0</x:v>
      </x:c>
      <x:c r="X39" s="31" t="str"/>
      <x:c r="Y39" s="31" t="n">
        <x:v>0</x:v>
      </x:c>
      <x:c r="Z39" s="31" t="n">
        <x:v>0</x:v>
      </x:c>
      <x:c r="AA39" s="31" t="n">
        <x:v>0</x:v>
      </x:c>
      <x:c r="AB39" s="31" t="str"/>
      <x:c r="AC39" s="31" t="str"/>
    </x:row>
    <x:row r="40">
      <x:c r="A40" s="31" t="str">
        <x:v>0d4bbf748e2242d4</x:v>
      </x:c>
      <x:c r="B40" s="31" t="str">
        <x:v>0d4bbf748e2242d4996bcc82432d581bcfee77fc9123a315eda82baadfaf4dce</x:v>
      </x:c>
      <x:c r="C40" s="31" t="n">
        <x:v>14</x:v>
      </x:c>
      <x:c r="D40" s="31" t="n">
        <x:v>32669</x:v>
      </x:c>
      <x:c r="E40" s="31" t="str">
        <x:v>Brooklyn</x:v>
      </x:c>
      <x:c r="F40" s="31" t="str">
        <x:v>Canarsie</x:v>
      </x:c>
      <x:c r="G40" s="31" t="n">
        <x:v>38071.57933695125</x:v>
      </x:c>
      <x:c r="H40" s="31" t="n">
        <x:v>9929</x:v>
      </x:c>
      <x:c r="I40" s="31" t="n">
        <x:v>2.0107101843457236</x:v>
      </x:c>
      <x:c r="J40" s="40" t="n">
        <x:v>0</x:v>
      </x:c>
      <x:c r="K40" s="40" t="n">
        <x:v>0.1715177762110988</x:v>
      </x:c>
      <x:c r="L40" s="40" t="n">
        <x:v>0.02578305972404069</x:v>
      </x:c>
      <x:c r="M40" s="31" t="n">
        <x:v>26.665256087588254</x:v>
      </x:c>
      <x:c r="N40" s="31" t="n">
        <x:v>5</x:v>
      </x:c>
      <x:c r="O40" s="31" t="n">
        <x:v>0.15305029232605832</x:v>
      </x:c>
      <x:c r="P40" s="31" t="n">
        <x:v>5</x:v>
      </x:c>
      <x:c r="Q40" s="40" t="n">
        <x:v>1</x:v>
      </x:c>
      <x:c r="R40" s="31" t="n">
        <x:v>0.17495561565916476</x:v>
      </x:c>
      <x:c r="S40" s="40"/>
      <x:c r="T40" s="40"/>
      <x:c r="U40" s="40" t="n">
        <x:v>1</x:v>
      </x:c>
      <x:c r="V40" s="40" t="n">
        <x:v>0.9984892738442945</x:v>
      </x:c>
      <x:c r="W40" s="31" t="n">
        <x:v>0</x:v>
      </x:c>
      <x:c r="X40" s="31" t="str"/>
      <x:c r="Y40" s="31" t="n">
        <x:v>0</x:v>
      </x:c>
      <x:c r="Z40" s="31" t="n">
        <x:v>0</x:v>
      </x:c>
      <x:c r="AA40" s="31" t="n">
        <x:v>0</x:v>
      </x:c>
      <x:c r="AB40" s="31" t="str"/>
      <x:c r="AC40" s="31" t="str"/>
    </x:row>
    <x:row r="41">
      <x:c r="A41" s="31" t="str">
        <x:v>0d8c76ac586ee978</x:v>
      </x:c>
      <x:c r="B41" s="31" t="str">
        <x:v>0d8c76ac586ee978defcc5fc6adcad49e291cd08e942cf92beafeda5a4e420bb</x:v>
      </x:c>
      <x:c r="C41" s="31" t="n">
        <x:v>8</x:v>
      </x:c>
      <x:c r="D41" s="31" t="n">
        <x:v>35626</x:v>
      </x:c>
      <x:c r="E41" s="31" t="str">
        <x:v>Queens</x:v>
      </x:c>
      <x:c r="F41" s="31" t="str">
        <x:v>Jackson Heights</x:v>
      </x:c>
      <x:c r="G41" s="31" t="n">
        <x:v>44513.959781527934</x:v>
      </x:c>
      <x:c r="H41" s="31" t="n">
        <x:v>10944</x:v>
      </x:c>
      <x:c r="I41" s="31" t="n">
        <x:v>3.06265442251462</x:v>
      </x:c>
      <x:c r="J41" s="40" t="n">
        <x:v>0</x:v>
      </x:c>
      <x:c r="K41" s="40" t="n">
        <x:v>0.5</x:v>
      </x:c>
      <x:c r="L41" s="40" t="n">
        <x:v>0.0200109649122807</x:v>
      </x:c>
      <x:c r="M41" s="31" t="n">
        <x:v>35.28512877303285</x:v>
      </x:c>
      <x:c r="N41" s="31" t="n">
        <x:v>86</x:v>
      </x:c>
      <x:c r="O41" s="31" t="n">
        <x:v>2.41396732723292</x:v>
      </x:c>
      <x:c r="P41" s="31" t="n">
        <x:v>3.099963450292398</x:v>
      </x:c>
      <x:c r="Q41" s="40" t="n">
        <x:v>0.09996345029239766</x:v>
      </x:c>
      <x:c r="R41" s="31" t="n">
        <x:v>0.3187854097457722</x:v>
      </x:c>
      <x:c r="S41" s="40"/>
      <x:c r="T41" s="40"/>
      <x:c r="U41" s="40" t="n">
        <x:v>1</x:v>
      </x:c>
      <x:c r="V41" s="40" t="n">
        <x:v>0.9984466374269005</x:v>
      </x:c>
      <x:c r="W41" s="31" t="n">
        <x:v>0</x:v>
      </x:c>
      <x:c r="X41" s="31" t="str"/>
      <x:c r="Y41" s="31" t="n">
        <x:v>0</x:v>
      </x:c>
      <x:c r="Z41" s="31" t="n">
        <x:v>0</x:v>
      </x:c>
      <x:c r="AA41" s="31" t="n">
        <x:v>0</x:v>
      </x:c>
      <x:c r="AB41" s="31" t="str"/>
      <x:c r="AC41" s="31" t="str"/>
    </x:row>
    <x:row r="42">
      <x:c r="A42" s="31" t="str">
        <x:v>0dd4e1279c994e34</x:v>
      </x:c>
      <x:c r="B42" s="31" t="str">
        <x:v>0dd4e1279c994e3414bf13b9107b12c323de6b988ada2da9190e86bfa8ea9237</x:v>
      </x:c>
      <x:c r="C42" s="31" t="n">
        <x:v>10</x:v>
      </x:c>
      <x:c r="D42" s="31" t="n">
        <x:v>34779</x:v>
      </x:c>
      <x:c r="E42" s="31" t="str">
        <x:v>Queens</x:v>
      </x:c>
      <x:c r="F42" s="31" t="str">
        <x:v>Woodside</x:v>
      </x:c>
      <x:c r="G42" s="31" t="n">
        <x:v>55746.03521497112</x:v>
      </x:c>
      <x:c r="H42" s="31" t="n">
        <x:v>11703</x:v>
      </x:c>
      <x:c r="I42" s="31" t="n">
        <x:v>4.199282899246059</x:v>
      </x:c>
      <x:c r="J42" s="40" t="n">
        <x:v>0.048278219260018795</x:v>
      </x:c>
      <x:c r="K42" s="40" t="n">
        <x:v>0.662906946936683</x:v>
      </x:c>
      <x:c r="L42" s="40" t="n">
        <x:v>0.04409125865162779</x:v>
      </x:c>
      <x:c r="M42" s="31" t="n">
        <x:v>46.309612389795134</x:v>
      </x:c>
      <x:c r="N42" s="31" t="n">
        <x:v>93</x:v>
      </x:c>
      <x:c r="O42" s="31" t="n">
        <x:v>2.6740274303458986</x:v>
      </x:c>
      <x:c r="P42" s="31" t="n">
        <x:v>3</x:v>
      </x:c>
      <x:c r="Q42" s="40" t="n">
        <x:v>0</x:v>
      </x:c>
      <x:c r="R42" s="31" t="n">
        <x:v>0.21176549999396335</x:v>
      </x:c>
      <x:c r="S42" s="40"/>
      <x:c r="T42" s="40"/>
      <x:c r="U42" s="40" t="n">
        <x:v>1</x:v>
      </x:c>
      <x:c r="V42" s="40" t="n">
        <x:v>0.9843629838502947</x:v>
      </x:c>
      <x:c r="W42" s="31" t="n">
        <x:v>0</x:v>
      </x:c>
      <x:c r="X42" s="31" t="str"/>
      <x:c r="Y42" s="31" t="n">
        <x:v>0</x:v>
      </x:c>
      <x:c r="Z42" s="31" t="n">
        <x:v>0</x:v>
      </x:c>
      <x:c r="AA42" s="31" t="n">
        <x:v>0</x:v>
      </x:c>
      <x:c r="AB42" s="31" t="str"/>
      <x:c r="AC42" s="31" t="str"/>
    </x:row>
    <x:row r="43">
      <x:c r="A43" s="31" t="str">
        <x:v>0ebe98652366da65</x:v>
      </x:c>
      <x:c r="B43" s="31" t="str">
        <x:v>0ebe98652366da658b1d5018415457aef7b69369dada2816ab3929c67cc56607</x:v>
      </x:c>
      <x:c r="C43" s="31" t="n">
        <x:v>8</x:v>
      </x:c>
      <x:c r="D43" s="31" t="n">
        <x:v>35164</x:v>
      </x:c>
      <x:c r="E43" s="31" t="str">
        <x:v>Bronx</x:v>
      </x:c>
      <x:c r="F43" s="31" t="str">
        <x:v>Soundview-Bruckner-Bronx River</x:v>
      </x:c>
      <x:c r="G43" s="31" t="n">
        <x:v>60874.30660356144</x:v>
      </x:c>
      <x:c r="H43" s="31" t="n">
        <x:v>11257</x:v>
      </x:c>
      <x:c r="I43" s="31" t="n">
        <x:v>4.95035000444168</x:v>
      </x:c>
      <x:c r="J43" s="40" t="n">
        <x:v>0.10393532912854224</x:v>
      </x:c>
      <x:c r="K43" s="40" t="n">
        <x:v>0.537088034112108</x:v>
      </x:c>
      <x:c r="L43" s="40" t="n">
        <x:v>0.14222261703828729</x:v>
      </x:c>
      <x:c r="M43" s="31" t="n">
        <x:v>53.52090058637962</x:v>
      </x:c>
      <x:c r="N43" s="31" t="n">
        <x:v>76</x:v>
      </x:c>
      <x:c r="O43" s="31" t="n">
        <x:v>2.161301330906609</x:v>
      </x:c>
      <x:c r="P43" s="31" t="n">
        <x:v>4</x:v>
      </x:c>
      <x:c r="Q43" s="40" t="n">
        <x:v>1</x:v>
      </x:c>
      <x:c r="R43" s="31" t="n">
        <x:v>0.13614558532870236</x:v>
      </x:c>
      <x:c r="S43" s="40"/>
      <x:c r="T43" s="40"/>
      <x:c r="U43" s="40" t="n">
        <x:v>1</x:v>
      </x:c>
      <x:c r="V43" s="40" t="n">
        <x:v>0.9954694856533712</x:v>
      </x:c>
      <x:c r="W43" s="31" t="n">
        <x:v>1</x:v>
      </x:c>
      <x:c r="X43" s="31" t="str">
        <x:v>holdout</x:v>
      </x:c>
      <x:c r="Y43" s="31" t="n">
        <x:v>0</x:v>
      </x:c>
      <x:c r="Z43" s="31" t="n">
        <x:v>1</x:v>
      </x:c>
      <x:c r="AA43" s="31" t="n">
        <x:v>0</x:v>
      </x:c>
      <x:c r="AB43" s="31" t="str">
        <x:v>V2</x:v>
      </x:c>
      <x:c r="AC43" s="31" t="str"/>
    </x:row>
    <x:row r="44">
      <x:c r="A44" s="31" t="str">
        <x:v>0ed8d26c3f19e578</x:v>
      </x:c>
      <x:c r="B44" s="31" t="str">
        <x:v>0ed8d26c3f19e57817acda2ac60a1c1ed4224ffe41f51ac9da2198c9cb85ce5a</x:v>
      </x:c>
      <x:c r="C44" s="31" t="n">
        <x:v>6</x:v>
      </x:c>
      <x:c r="D44" s="31" t="n">
        <x:v>32065</x:v>
      </x:c>
      <x:c r="E44" s="31" t="str">
        <x:v>Bronx</x:v>
      </x:c>
      <x:c r="F44" s="31" t="str">
        <x:v>Mount Hope</x:v>
      </x:c>
      <x:c r="G44" s="31" t="n">
        <x:v>114262.07222538516</x:v>
      </x:c>
      <x:c r="H44" s="31" t="n">
        <x:v>13076</x:v>
      </x:c>
      <x:c r="I44" s="31" t="n">
        <x:v>6.581599877638421</x:v>
      </x:c>
      <x:c r="J44" s="40" t="n">
        <x:v>0.16625879473845212</x:v>
      </x:c>
      <x:c r="K44" s="40" t="n">
        <x:v>0.8011624349954114</x:v>
      </x:c>
      <x:c r="L44" s="40" t="n">
        <x:v>0.0004588559192413582</x:v>
      </x:c>
      <x:c r="M44" s="31" t="n">
        <x:v>69.65932133971594</x:v>
      </x:c>
      <x:c r="N44" s="31" t="n">
        <x:v>174</x:v>
      </x:c>
      <x:c r="O44" s="31" t="n">
        <x:v>5.426477467643849</x:v>
      </x:c>
      <x:c r="P44" s="31" t="n">
        <x:v>5</x:v>
      </x:c>
      <x:c r="Q44" s="40" t="n">
        <x:v>1</x:v>
      </x:c>
      <x:c r="R44" s="31" t="n">
        <x:v>0.12124820248483575</x:v>
      </x:c>
      <x:c r="S44" s="40"/>
      <x:c r="T44" s="40"/>
      <x:c r="U44" s="40" t="n">
        <x:v>1</x:v>
      </x:c>
      <x:c r="V44" s="40" t="n">
        <x:v>0.963826858366473</x:v>
      </x:c>
      <x:c r="W44" s="31" t="n">
        <x:v>1</x:v>
      </x:c>
      <x:c r="X44" s="31" t="str"/>
      <x:c r="Y44" s="31" t="n">
        <x:v>0</x:v>
      </x:c>
      <x:c r="Z44" s="31" t="n">
        <x:v>1</x:v>
      </x:c>
      <x:c r="AA44" s="31" t="n">
        <x:v>0</x:v>
      </x:c>
      <x:c r="AB44" s="31" t="str"/>
      <x:c r="AC44" s="31" t="str"/>
    </x:row>
    <x:row r="45">
      <x:c r="A45" s="31" t="str">
        <x:v>0f39746f98dd7707</x:v>
      </x:c>
      <x:c r="B45" s="31" t="str">
        <x:v>0f39746f98dd77077a6aa33a85ff28fb198e74aa295f124cb5b403841db719ad</x:v>
      </x:c>
      <x:c r="C45" s="31" t="n">
        <x:v>9</x:v>
      </x:c>
      <x:c r="D45" s="31" t="n">
        <x:v>33938</x:v>
      </x:c>
      <x:c r="E45" s="31" t="str">
        <x:v>Brooklyn</x:v>
      </x:c>
      <x:c r="F45" s="31" t="str">
        <x:v>East Flatbush-Remsen Village</x:v>
      </x:c>
      <x:c r="G45" s="31" t="n">
        <x:v>60046.28514468639</x:v>
      </x:c>
      <x:c r="H45" s="31" t="n">
        <x:v>12554</x:v>
      </x:c>
      <x:c r="I45" s="31" t="n">
        <x:v>3.462391235059761</x:v>
      </x:c>
      <x:c r="J45" s="40" t="n">
        <x:v>0.034968934204237696</x:v>
      </x:c>
      <x:c r="K45" s="40" t="n">
        <x:v>0.4700493866496734</x:v>
      </x:c>
      <x:c r="L45" s="40" t="n">
        <x:v>0.04755456428230046</x:v>
      </x:c>
      <x:c r="M45" s="31" t="n">
        <x:v>40.1939891794979</x:v>
      </x:c>
      <x:c r="N45" s="31" t="n">
        <x:v>57</x:v>
      </x:c>
      <x:c r="O45" s="31" t="n">
        <x:v>1.679533266544876</x:v>
      </x:c>
      <x:c r="P45" s="31" t="n">
        <x:v>5</x:v>
      </x:c>
      <x:c r="Q45" s="40" t="n">
        <x:v>1</x:v>
      </x:c>
      <x:c r="R45" s="31" t="n">
        <x:v>0.1444895796146361</x:v>
      </x:c>
      <x:c r="S45" s="40"/>
      <x:c r="T45" s="40"/>
      <x:c r="U45" s="40" t="n">
        <x:v>1</x:v>
      </x:c>
      <x:c r="V45" s="40" t="n">
        <x:v>0.9851840050979768</x:v>
      </x:c>
      <x:c r="W45" s="31" t="n">
        <x:v>0</x:v>
      </x:c>
      <x:c r="X45" s="31" t="str"/>
      <x:c r="Y45" s="31" t="n">
        <x:v>0</x:v>
      </x:c>
      <x:c r="Z45" s="31" t="n">
        <x:v>0</x:v>
      </x:c>
      <x:c r="AA45" s="31" t="n">
        <x:v>0</x:v>
      </x:c>
      <x:c r="AB45" s="31" t="str"/>
      <x:c r="AC45" s="31" t="str"/>
    </x:row>
    <x:row r="46">
      <x:c r="A46" s="31" t="str">
        <x:v>105deff4f5564fb3</x:v>
      </x:c>
      <x:c r="B46" s="31" t="str">
        <x:v>105deff4f5564fb36f2396fc45062c3da124c32167f41383664ae98e09572318</x:v>
      </x:c>
      <x:c r="C46" s="31" t="n">
        <x:v>9</x:v>
      </x:c>
      <x:c r="D46" s="31" t="n">
        <x:v>32354</x:v>
      </x:c>
      <x:c r="E46" s="31" t="str">
        <x:v>Brooklyn</x:v>
      </x:c>
      <x:c r="F46" s="31" t="str">
        <x:v>Midwood</x:v>
      </x:c>
      <x:c r="G46" s="31" t="n">
        <x:v>49978.14230063674</x:v>
      </x:c>
      <x:c r="H46" s="31" t="n">
        <x:v>12017</x:v>
      </x:c>
      <x:c r="I46" s="31" t="n">
        <x:v>4.708336395523634</x:v>
      </x:c>
      <x:c r="J46" s="40" t="n">
        <x:v>0.027294665889989182</x:v>
      </x:c>
      <x:c r="K46" s="40" t="n">
        <x:v>0.6767912124490305</x:v>
      </x:c>
      <x:c r="L46" s="40" t="n">
        <x:v>0.006740451027710743</x:v>
      </x:c>
      <x:c r="M46" s="31" t="n">
        <x:v>53.09047352394913</x:v>
      </x:c>
      <x:c r="N46" s="31" t="n">
        <x:v>169</x:v>
      </x:c>
      <x:c r="O46" s="31" t="n">
        <x:v>5.223465413859183</x:v>
      </x:c>
      <x:c r="P46" s="31" t="n">
        <x:v>4.068236664724973</x:v>
      </x:c>
      <x:c r="Q46" s="40" t="n">
        <x:v>1</x:v>
      </x:c>
      <x:c r="R46" s="31" t="n">
        <x:v>0.15104575076901638</x:v>
      </x:c>
      <x:c r="S46" s="40"/>
      <x:c r="T46" s="40"/>
      <x:c r="U46" s="40" t="n">
        <x:v>1</x:v>
      </x:c>
      <x:c r="V46" s="40" t="n">
        <x:v>0.9945909960888741</x:v>
      </x:c>
      <x:c r="W46" s="31" t="n">
        <x:v>1</x:v>
      </x:c>
      <x:c r="X46" s="31" t="str"/>
      <x:c r="Y46" s="31" t="n">
        <x:v>0</x:v>
      </x:c>
      <x:c r="Z46" s="31" t="n">
        <x:v>1</x:v>
      </x:c>
      <x:c r="AA46" s="31" t="n">
        <x:v>0</x:v>
      </x:c>
      <x:c r="AB46" s="31" t="str"/>
      <x:c r="AC46" s="31" t="str"/>
    </x:row>
    <x:row r="47">
      <x:c r="A47" s="31" t="str">
        <x:v>10cdd4159697b073</x:v>
      </x:c>
      <x:c r="B47" s="31" t="str">
        <x:v>10cdd4159697b0739f1439663a05d2b88c2ad15557045ae53bded42cce0c0822</x:v>
      </x:c>
      <x:c r="C47" s="31" t="n">
        <x:v>9</x:v>
      </x:c>
      <x:c r="D47" s="31" t="n">
        <x:v>32778</x:v>
      </x:c>
      <x:c r="E47" s="31" t="str">
        <x:v>Brooklyn</x:v>
      </x:c>
      <x:c r="F47" s="31" t="str">
        <x:v>Brownsville</x:v>
      </x:c>
      <x:c r="G47" s="31" t="n">
        <x:v>35558.24372973711</x:v>
      </x:c>
      <x:c r="H47" s="31" t="n">
        <x:v>13174</x:v>
      </x:c>
      <x:c r="I47" s="31" t="n">
        <x:v>5.101288189694483</x:v>
      </x:c>
      <x:c r="J47" s="40" t="n">
        <x:v>0.18787004706239563</x:v>
      </x:c>
      <x:c r="K47" s="40" t="n">
        <x:v>0.40230757552755425</x:v>
      </x:c>
      <x:c r="L47" s="40" t="n">
        <x:v>0.11879459541521178</x:v>
      </x:c>
      <x:c r="M47" s="31" t="n">
        <x:v>53.314562099273516</x:v>
      </x:c>
      <x:c r="N47" s="31" t="n">
        <x:v>91</x:v>
      </x:c>
      <x:c r="O47" s="31" t="n">
        <x:v>2.77625236439075</x:v>
      </x:c>
      <x:c r="P47" s="31" t="n">
        <x:v>5</x:v>
      </x:c>
      <x:c r="Q47" s="40" t="n">
        <x:v>1</x:v>
      </x:c>
      <x:c r="R47" s="31" t="n">
        <x:v>0.13052197208506125</x:v>
      </x:c>
      <x:c r="S47" s="40"/>
      <x:c r="T47" s="40"/>
      <x:c r="U47" s="40" t="n">
        <x:v>1</x:v>
      </x:c>
      <x:c r="V47" s="40" t="n">
        <x:v>0.9685744648550174</x:v>
      </x:c>
      <x:c r="W47" s="31" t="n">
        <x:v>0</x:v>
      </x:c>
      <x:c r="X47" s="31" t="str"/>
      <x:c r="Y47" s="31" t="n">
        <x:v>0</x:v>
      </x:c>
      <x:c r="Z47" s="31" t="n">
        <x:v>0</x:v>
      </x:c>
      <x:c r="AA47" s="31" t="n">
        <x:v>0</x:v>
      </x:c>
      <x:c r="AB47" s="31" t="str"/>
      <x:c r="AC47" s="31" t="str"/>
    </x:row>
    <x:row r="48">
      <x:c r="A48" s="31" t="str">
        <x:v>10e8173a403dae4f</x:v>
      </x:c>
      <x:c r="B48" s="31" t="str">
        <x:v>10e8173a403dae4fa0755b7c3ad3eebda69bdbf4b4f61e4c9eaef10399048d01</x:v>
      </x:c>
      <x:c r="C48" s="31" t="n">
        <x:v>8</x:v>
      </x:c>
      <x:c r="D48" s="31" t="n">
        <x:v>33332</x:v>
      </x:c>
      <x:c r="E48" s="31" t="str">
        <x:v>Staten Island</x:v>
      </x:c>
      <x:c r="F48" s="31" t="str">
        <x:v>Great Kills-Eltingville</x:v>
      </x:c>
      <x:c r="G48" s="31" t="n">
        <x:v>8244.90861969555</x:v>
      </x:c>
      <x:c r="H48" s="31" t="n">
        <x:v>12390</x:v>
      </x:c>
      <x:c r="I48" s="31" t="n">
        <x:v>2.058943983064647</x:v>
      </x:c>
      <x:c r="J48" s="40" t="n">
        <x:v>0</x:v>
      </x:c>
      <x:c r="K48" s="40" t="n">
        <x:v>0.14164648910411623</x:v>
      </x:c>
      <x:c r="L48" s="40" t="n">
        <x:v>0.04075867635189669</x:v>
      </x:c>
      <x:c r="M48" s="31" t="n">
        <x:v>26.518070195042167</x:v>
      </x:c>
      <x:c r="N48" s="31" t="n">
        <x:v>7</x:v>
      </x:c>
      <x:c r="O48" s="31" t="n">
        <x:v>0.21000840033601345</x:v>
      </x:c>
      <x:c r="P48" s="31" t="n">
        <x:v>1.2024213075060532</x:v>
      </x:c>
      <x:c r="Q48" s="40" t="n">
        <x:v>0</x:v>
      </x:c>
      <x:c r="R48" s="31" t="n">
        <x:v>0.45143989751312674</x:v>
      </x:c>
      <x:c r="S48" s="40"/>
      <x:c r="T48" s="40"/>
      <x:c r="U48" s="40" t="n">
        <x:v>1</x:v>
      </x:c>
      <x:c r="V48" s="40" t="n">
        <x:v>0.995318805488297</x:v>
      </x:c>
      <x:c r="W48" s="31" t="n">
        <x:v>0</x:v>
      </x:c>
      <x:c r="X48" s="31" t="str"/>
      <x:c r="Y48" s="31" t="n">
        <x:v>0</x:v>
      </x:c>
      <x:c r="Z48" s="31" t="n">
        <x:v>0</x:v>
      </x:c>
      <x:c r="AA48" s="31" t="n">
        <x:v>0</x:v>
      </x:c>
      <x:c r="AB48" s="31" t="str"/>
      <x:c r="AC48" s="31" t="str"/>
    </x:row>
    <x:row r="49">
      <x:c r="A49" s="31" t="str">
        <x:v>110e84ff82febe33</x:v>
      </x:c>
      <x:c r="B49" s="31" t="str">
        <x:v>110e84ff82febe33dc9e77e9ad13bb80f7ea0dbae3f7233b435fdc572e976359</x:v>
      </x:c>
      <x:c r="C49" s="31" t="n">
        <x:v>12</x:v>
      </x:c>
      <x:c r="D49" s="31" t="n">
        <x:v>34054</x:v>
      </x:c>
      <x:c r="E49" s="31" t="str">
        <x:v>Queens</x:v>
      </x:c>
      <x:c r="F49" s="31" t="str">
        <x:v>Queensbridge-Ravenswood-Dutch Kills</x:v>
      </x:c>
      <x:c r="G49" s="31" t="n">
        <x:v>35043.702929761435</x:v>
      </x:c>
      <x:c r="H49" s="31" t="n">
        <x:v>16383</x:v>
      </x:c>
      <x:c r="I49" s="31" t="n">
        <x:v>5.785504676896742</x:v>
      </x:c>
      <x:c r="J49" s="40" t="n">
        <x:v>0.1182933528657755</x:v>
      </x:c>
      <x:c r="K49" s="40" t="n">
        <x:v>0.7438198132210218</x:v>
      </x:c>
      <x:c r="L49" s="40" t="n">
        <x:v>0.20271012635048527</x:v>
      </x:c>
      <x:c r="M49" s="31" t="n">
        <x:v>60.590061971994984</x:v>
      </x:c>
      <x:c r="N49" s="31" t="n">
        <x:v>236</x:v>
      </x:c>
      <x:c r="O49" s="31" t="n">
        <x:v>6.930169730428143</x:v>
      </x:c>
      <x:c r="P49" s="31" t="n">
        <x:v>3.1046816822315817</x:v>
      </x:c>
      <x:c r="Q49" s="40" t="n">
        <x:v>0.10468168223158152</x:v>
      </x:c>
      <x:c r="R49" s="31" t="n">
        <x:v>0.13254039645188778</x:v>
      </x:c>
      <x:c r="S49" s="40"/>
      <x:c r="T49" s="40"/>
      <x:c r="U49" s="40" t="n">
        <x:v>1</x:v>
      </x:c>
      <x:c r="V49" s="40" t="n">
        <x:v>0.9717389977415614</x:v>
      </x:c>
      <x:c r="W49" s="31" t="n">
        <x:v>0</x:v>
      </x:c>
      <x:c r="X49" s="31" t="str"/>
      <x:c r="Y49" s="31" t="n">
        <x:v>0</x:v>
      </x:c>
      <x:c r="Z49" s="31" t="n">
        <x:v>0</x:v>
      </x:c>
      <x:c r="AA49" s="31" t="n">
        <x:v>0</x:v>
      </x:c>
      <x:c r="AB49" s="31" t="str"/>
      <x:c r="AC49" s="31" t="str"/>
    </x:row>
    <x:row r="50">
      <x:c r="A50" s="31" t="str">
        <x:v>1184432c69308498</x:v>
      </x:c>
      <x:c r="B50" s="31" t="str">
        <x:v>1184432c69308498c41f82a357a1333dba00ec40ebe1b974a4a86385f41c6f82</x:v>
      </x:c>
      <x:c r="C50" s="31" t="n">
        <x:v>10</x:v>
      </x:c>
      <x:c r="D50" s="31" t="n">
        <x:v>33889</x:v>
      </x:c>
      <x:c r="E50" s="31" t="str">
        <x:v>Brooklyn</x:v>
      </x:c>
      <x:c r="F50" s="31" t="str">
        <x:v>Bedford-Stuyvesant (West)</x:v>
      </x:c>
      <x:c r="G50" s="31" t="n">
        <x:v>66546.63608314563</x:v>
      </x:c>
      <x:c r="H50" s="31" t="n">
        <x:v>16948</x:v>
      </x:c>
      <x:c r="I50" s="31" t="n">
        <x:v>7.396469855948782</x:v>
      </x:c>
      <x:c r="J50" s="40" t="n">
        <x:v>0.2896506962473448</x:v>
      </x:c>
      <x:c r="K50" s="40" t="n">
        <x:v>0.6129336794902054</x:v>
      </x:c>
      <x:c r="L50" s="40" t="n">
        <x:v>0.21748878923766815</x:v>
      </x:c>
      <x:c r="M50" s="31" t="n">
        <x:v>79.92228421736914</x:v>
      </x:c>
      <x:c r="N50" s="31" t="n">
        <x:v>201</x:v>
      </x:c>
      <x:c r="O50" s="31" t="n">
        <x:v>5.931128094661985</x:v>
      </x:c>
      <x:c r="P50" s="31" t="n">
        <x:v>4</x:v>
      </x:c>
      <x:c r="Q50" s="40" t="n">
        <x:v>1</x:v>
      </x:c>
      <x:c r="R50" s="31" t="n">
        <x:v>0.09377260637022175</x:v>
      </x:c>
      <x:c r="S50" s="40"/>
      <x:c r="T50" s="40"/>
      <x:c r="U50" s="40" t="n">
        <x:v>1</x:v>
      </x:c>
      <x:c r="V50" s="40" t="n">
        <x:v>0.9480174651876327</x:v>
      </x:c>
      <x:c r="W50" s="31" t="n">
        <x:v>1</x:v>
      </x:c>
      <x:c r="X50" s="31" t="str"/>
      <x:c r="Y50" s="31" t="n">
        <x:v>0</x:v>
      </x:c>
      <x:c r="Z50" s="31" t="n">
        <x:v>1</x:v>
      </x:c>
      <x:c r="AA50" s="31" t="n">
        <x:v>0</x:v>
      </x:c>
      <x:c r="AB50" s="31" t="str"/>
      <x:c r="AC50" s="31" t="str"/>
    </x:row>
    <x:row r="51">
      <x:c r="A51" s="31" t="str">
        <x:v>1213c028c9ca9f7a</x:v>
      </x:c>
      <x:c r="B51" s="31" t="str">
        <x:v>1213c028c9ca9f7aa103c0b1bd8f32a03d7219c4132900a42a05d678466683a2</x:v>
      </x:c>
      <x:c r="C51" s="31" t="n">
        <x:v>8</x:v>
      </x:c>
      <x:c r="D51" s="31" t="n">
        <x:v>35644</x:v>
      </x:c>
      <x:c r="E51" s="31" t="str">
        <x:v>Queens</x:v>
      </x:c>
      <x:c r="F51" s="31" t="str">
        <x:v>Elmhurst</x:v>
      </x:c>
      <x:c r="G51" s="31" t="n">
        <x:v>91319.11138151595</x:v>
      </x:c>
      <x:c r="H51" s="31" t="n">
        <x:v>10139</x:v>
      </x:c>
      <x:c r="I51" s="31" t="n">
        <x:v>4.225868982630273</x:v>
      </x:c>
      <x:c r="J51" s="40" t="n">
        <x:v>0.01075056711707269</x:v>
      </x:c>
      <x:c r="K51" s="40" t="n">
        <x:v>0.7531314725318079</x:v>
      </x:c>
      <x:c r="L51" s="40" t="n">
        <x:v>0.020416214616826116</x:v>
      </x:c>
      <x:c r="M51" s="31" t="n">
        <x:v>47.22428130271016</x:v>
      </x:c>
      <x:c r="N51" s="31" t="n">
        <x:v>85</x:v>
      </x:c>
      <x:c r="O51" s="31" t="n">
        <x:v>2.384693075973516</x:v>
      </x:c>
      <x:c r="P51" s="31" t="n">
        <x:v>3.0069040339283952</x:v>
      </x:c>
      <x:c r="Q51" s="40" t="n">
        <x:v>0.0069040339283953055</x:v>
      </x:c>
      <x:c r="R51" s="31" t="n">
        <x:v>0.15736868358322323</x:v>
      </x:c>
      <x:c r="S51" s="40"/>
      <x:c r="T51" s="40"/>
      <x:c r="U51" s="40" t="n">
        <x:v>1</x:v>
      </x:c>
      <x:c r="V51" s="40" t="n">
        <x:v>0.9960548377552026</x:v>
      </x:c>
      <x:c r="W51" s="31" t="n">
        <x:v>0</x:v>
      </x:c>
      <x:c r="X51" s="31" t="str"/>
      <x:c r="Y51" s="31" t="n">
        <x:v>0</x:v>
      </x:c>
      <x:c r="Z51" s="31" t="n">
        <x:v>0</x:v>
      </x:c>
      <x:c r="AA51" s="31" t="n">
        <x:v>0</x:v>
      </x:c>
      <x:c r="AB51" s="31" t="str"/>
      <x:c r="AC51" s="31" t="str"/>
    </x:row>
    <x:row r="52">
      <x:c r="A52" s="31" t="str">
        <x:v>126f7609263f5e8e</x:v>
      </x:c>
      <x:c r="B52" s="31" t="str">
        <x:v>126f7609263f5e8e14b1dc8685fe66e0ad8fd50bba1ee68ccc89d3d4d7ebf4db</x:v>
      </x:c>
      <x:c r="C52" s="31" t="n">
        <x:v>8</x:v>
      </x:c>
      <x:c r="D52" s="31" t="n">
        <x:v>33640</x:v>
      </x:c>
      <x:c r="E52" s="31" t="str">
        <x:v>Brooklyn</x:v>
      </x:c>
      <x:c r="F52" s="31" t="str">
        <x:v>Bushwick (East)</x:v>
      </x:c>
      <x:c r="G52" s="31" t="n">
        <x:v>65913.07737274388</x:v>
      </x:c>
      <x:c r="H52" s="31" t="n">
        <x:v>12515</x:v>
      </x:c>
      <x:c r="I52" s="31" t="n">
        <x:v>3.6016755105322398</x:v>
      </x:c>
      <x:c r="J52" s="40" t="n">
        <x:v>0.049460647223332</x:v>
      </x:c>
      <x:c r="K52" s="40" t="n">
        <x:v>0.6611266480223732</x:v>
      </x:c>
      <x:c r="L52" s="40" t="n">
        <x:v>0.027487015581302437</x:v>
      </x:c>
      <x:c r="M52" s="31" t="n">
        <x:v>41.60467785039021</x:v>
      </x:c>
      <x:c r="N52" s="31" t="n">
        <x:v>66</x:v>
      </x:c>
      <x:c r="O52" s="31" t="n">
        <x:v>1.961950059453032</x:v>
      </x:c>
      <x:c r="P52" s="31" t="n">
        <x:v>4.107151418298042</x:v>
      </x:c>
      <x:c r="Q52" s="40" t="n">
        <x:v>1</x:v>
      </x:c>
      <x:c r="R52" s="31" t="n">
        <x:v>0.07655112758365507</x:v>
      </x:c>
      <x:c r="S52" s="40"/>
      <x:c r="T52" s="40"/>
      <x:c r="U52" s="40" t="n">
        <x:v>1</x:v>
      </x:c>
      <x:c r="V52" s="40" t="n">
        <x:v>0.9829005193767479</x:v>
      </x:c>
      <x:c r="W52" s="31" t="n">
        <x:v>1</x:v>
      </x:c>
      <x:c r="X52" s="31" t="str"/>
      <x:c r="Y52" s="31" t="n">
        <x:v>0</x:v>
      </x:c>
      <x:c r="Z52" s="31" t="n">
        <x:v>1</x:v>
      </x:c>
      <x:c r="AA52" s="31" t="n">
        <x:v>0</x:v>
      </x:c>
      <x:c r="AB52" s="31" t="str"/>
      <x:c r="AC52" s="31" t="str"/>
    </x:row>
    <x:row r="53">
      <x:c r="A53" s="31" t="str">
        <x:v>1276b3dca24f3a0b</x:v>
      </x:c>
      <x:c r="B53" s="31" t="str">
        <x:v>1276b3dca24f3a0b80544b0f00b70ad2e782f32629faf89d33363ea98071c2fe</x:v>
      </x:c>
      <x:c r="C53" s="31" t="n">
        <x:v>13</x:v>
      </x:c>
      <x:c r="D53" s="31" t="n">
        <x:v>34126</x:v>
      </x:c>
      <x:c r="E53" s="31" t="str">
        <x:v>Queens</x:v>
      </x:c>
      <x:c r="F53" s="31" t="str">
        <x:v>Murray Hill-Broadway Flushing</x:v>
      </x:c>
      <x:c r="G53" s="31" t="n">
        <x:v>23831.58170607888</x:v>
      </x:c>
      <x:c r="H53" s="31" t="n">
        <x:v>11683</x:v>
      </x:c>
      <x:c r="I53" s="31" t="n">
        <x:v>2.8066274879890183</x:v>
      </x:c>
      <x:c r="J53" s="40" t="n">
        <x:v>0</x:v>
      </x:c>
      <x:c r="K53" s="40" t="n">
        <x:v>0.341521869382864</x:v>
      </x:c>
      <x:c r="L53" s="40" t="n">
        <x:v>0.04390995463493966</x:v>
      </x:c>
      <x:c r="M53" s="31" t="n">
        <x:v>34.00977964204599</x:v>
      </x:c>
      <x:c r="N53" s="31" t="n">
        <x:v>47</x:v>
      </x:c>
      <x:c r="O53" s="31" t="n">
        <x:v>1.3772490183437847</x:v>
      </x:c>
      <x:c r="P53" s="31" t="n">
        <x:v>3.236668663870581</x:v>
      </x:c>
      <x:c r="Q53" s="40" t="n">
        <x:v>0.23769579731233417</x:v>
      </x:c>
      <x:c r="R53" s="31" t="n">
        <x:v>0.24196638052949013</x:v>
      </x:c>
      <x:c r="S53" s="40"/>
      <x:c r="T53" s="40"/>
      <x:c r="U53" s="40" t="n">
        <x:v>1</x:v>
      </x:c>
      <x:c r="V53" s="40" t="n">
        <x:v>0.9902422323033467</x:v>
      </x:c>
      <x:c r="W53" s="31" t="n">
        <x:v>0</x:v>
      </x:c>
      <x:c r="X53" s="31" t="str"/>
      <x:c r="Y53" s="31" t="n">
        <x:v>0</x:v>
      </x:c>
      <x:c r="Z53" s="31" t="n">
        <x:v>0</x:v>
      </x:c>
      <x:c r="AA53" s="31" t="n">
        <x:v>0</x:v>
      </x:c>
      <x:c r="AB53" s="31" t="str"/>
      <x:c r="AC53" s="31" t="str"/>
    </x:row>
    <x:row r="54">
      <x:c r="A54" s="31" t="str">
        <x:v>12ab097a1e1faf3b</x:v>
      </x:c>
      <x:c r="B54" s="31" t="str">
        <x:v>12ab097a1e1faf3b6adab36b52a9ab637bcb596cd65deba893d4ba8697ce46a0</x:v>
      </x:c>
      <x:c r="C54" s="31" t="n">
        <x:v>11</x:v>
      </x:c>
      <x:c r="D54" s="31" t="n">
        <x:v>34943</x:v>
      </x:c>
      <x:c r="E54" s="31" t="str">
        <x:v>Queens</x:v>
      </x:c>
      <x:c r="F54" s="31" t="str">
        <x:v>Corona</x:v>
      </x:c>
      <x:c r="G54" s="31" t="n">
        <x:v>86350.21267934093</x:v>
      </x:c>
      <x:c r="H54" s="31" t="n">
        <x:v>7811</x:v>
      </x:c>
      <x:c r="I54" s="31" t="n">
        <x:v>2.801330655610262</x:v>
      </x:c>
      <x:c r="J54" s="40" t="n">
        <x:v>0</x:v>
      </x:c>
      <x:c r="K54" s="40" t="n">
        <x:v>0.48534118550761746</x:v>
      </x:c>
      <x:c r="L54" s="40" t="n">
        <x:v>0.012802458071949815</x:v>
      </x:c>
      <x:c r="M54" s="31" t="n">
        <x:v>32.603565320479866</x:v>
      </x:c>
      <x:c r="N54" s="31" t="n">
        <x:v>35</x:v>
      </x:c>
      <x:c r="O54" s="31" t="n">
        <x:v>1.0016312279998856</x:v>
      </x:c>
      <x:c r="P54" s="31" t="n">
        <x:v>3.8840097298681346</x:v>
      </x:c>
      <x:c r="Q54" s="40" t="n">
        <x:v>0.8840097298681346</x:v>
      </x:c>
      <x:c r="R54" s="31" t="n">
        <x:v>0.13939684358530993</x:v>
      </x:c>
      <x:c r="S54" s="40"/>
      <x:c r="T54" s="40"/>
      <x:c r="U54" s="40" t="n">
        <x:v>1</x:v>
      </x:c>
      <x:c r="V54" s="40" t="n">
        <x:v>0.9951350659326591</x:v>
      </x:c>
      <x:c r="W54" s="31" t="n">
        <x:v>0</x:v>
      </x:c>
      <x:c r="X54" s="31" t="str"/>
      <x:c r="Y54" s="31" t="n">
        <x:v>0</x:v>
      </x:c>
      <x:c r="Z54" s="31" t="n">
        <x:v>0</x:v>
      </x:c>
      <x:c r="AA54" s="31" t="n">
        <x:v>0</x:v>
      </x:c>
      <x:c r="AB54" s="31" t="str"/>
      <x:c r="AC54" s="31" t="str"/>
    </x:row>
    <x:row r="55">
      <x:c r="A55" s="31" t="str">
        <x:v>12d3831c445cd6d2</x:v>
      </x:c>
      <x:c r="B55" s="31" t="str">
        <x:v>12d3831c445cd6d2419beab1549101befbc644367b1de582e3b6678630c7ed02</x:v>
      </x:c>
      <x:c r="C55" s="31" t="n">
        <x:v>7</x:v>
      </x:c>
      <x:c r="D55" s="31" t="n">
        <x:v>33569</x:v>
      </x:c>
      <x:c r="E55" s="31" t="str">
        <x:v>Brooklyn</x:v>
      </x:c>
      <x:c r="F55" s="31" t="str">
        <x:v>Borough Park</x:v>
      </x:c>
      <x:c r="G55" s="31" t="n">
        <x:v>72501.85846071858</x:v>
      </x:c>
      <x:c r="H55" s="31" t="n">
        <x:v>9434</x:v>
      </x:c>
      <x:c r="I55" s="31" t="n">
        <x:v>3.556727601232862</x:v>
      </x:c>
      <x:c r="J55" s="40" t="n">
        <x:v>0.022365910536357853</x:v>
      </x:c>
      <x:c r="K55" s="40" t="n">
        <x:v>0.6918592325630697</x:v>
      </x:c>
      <x:c r="L55" s="40" t="n">
        <x:v>0.022577909688361247</x:v>
      </x:c>
      <x:c r="M55" s="31" t="n">
        <x:v>41.77297001203378</x:v>
      </x:c>
      <x:c r="N55" s="31" t="n">
        <x:v>122</x:v>
      </x:c>
      <x:c r="O55" s="31" t="n">
        <x:v>3.6343054603950073</x:v>
      </x:c>
      <x:c r="P55" s="31" t="n">
        <x:v>3.84937460250159</x:v>
      </x:c>
      <x:c r="Q55" s="40" t="n">
        <x:v>0.84937460250159</x:v>
      </x:c>
      <x:c r="R55" s="31" t="n">
        <x:v>0.16487882672834983</x:v>
      </x:c>
      <x:c r="S55" s="40"/>
      <x:c r="T55" s="40"/>
      <x:c r="U55" s="40" t="n">
        <x:v>1</x:v>
      </x:c>
      <x:c r="V55" s="40" t="n">
        <x:v>0.9913080347678609</x:v>
      </x:c>
      <x:c r="W55" s="31" t="n">
        <x:v>0</x:v>
      </x:c>
      <x:c r="X55" s="31" t="str"/>
      <x:c r="Y55" s="31" t="n">
        <x:v>0</x:v>
      </x:c>
      <x:c r="Z55" s="31" t="n">
        <x:v>0</x:v>
      </x:c>
      <x:c r="AA55" s="31" t="n">
        <x:v>0</x:v>
      </x:c>
      <x:c r="AB55" s="31" t="str"/>
      <x:c r="AC55" s="31" t="str"/>
    </x:row>
    <x:row r="56">
      <x:c r="A56" s="31" t="str">
        <x:v>12d678a7f335ba0d</x:v>
      </x:c>
      <x:c r="B56" s="31" t="str">
        <x:v>12d678a7f335ba0d1c25addf646be731c65d977289396da3657c9af5f328f21f</x:v>
      </x:c>
      <x:c r="C56" s="31" t="n">
        <x:v>7</x:v>
      </x:c>
      <x:c r="D56" s="31" t="n">
        <x:v>34539</x:v>
      </x:c>
      <x:c r="E56" s="31" t="str">
        <x:v>Bronx</x:v>
      </x:c>
      <x:c r="F56" s="31" t="str">
        <x:v>Claremont Village-Claremont (East)</x:v>
      </x:c>
      <x:c r="G56" s="31" t="n">
        <x:v>95932.42058936864</x:v>
      </x:c>
      <x:c r="H56" s="31" t="n">
        <x:v>12359</x:v>
      </x:c>
      <x:c r="I56" s="31" t="n">
        <x:v>10.054631203951097</x:v>
      </x:c>
      <x:c r="J56" s="40" t="n">
        <x:v>0.4012460555061089</x:v>
      </x:c>
      <x:c r="K56" s="40" t="n">
        <x:v>0.5447042640990372</x:v>
      </x:c>
      <x:c r="L56" s="40" t="n">
        <x:v>0.32324621733149933</x:v>
      </x:c>
      <x:c r="M56" s="31" t="n">
        <x:v>104.450160778903</x:v>
      </x:c>
      <x:c r="N56" s="31" t="n">
        <x:v>138</x:v>
      </x:c>
      <x:c r="O56" s="31" t="n">
        <x:v>3.9954833666290277</x:v>
      </x:c>
      <x:c r="P56" s="31" t="n">
        <x:v>5</x:v>
      </x:c>
      <x:c r="Q56" s="40" t="n">
        <x:v>1</x:v>
      </x:c>
      <x:c r="R56" s="31" t="n">
        <x:v>0.07045960617082464</x:v>
      </x:c>
      <x:c r="S56" s="40"/>
      <x:c r="T56" s="40"/>
      <x:c r="U56" s="40" t="n">
        <x:v>1</x:v>
      </x:c>
      <x:c r="V56" s="40" t="n">
        <x:v>0.9883485718909297</x:v>
      </x:c>
      <x:c r="W56" s="31" t="n">
        <x:v>1</x:v>
      </x:c>
      <x:c r="X56" s="31" t="str"/>
      <x:c r="Y56" s="31" t="n">
        <x:v>0</x:v>
      </x:c>
      <x:c r="Z56" s="31" t="n">
        <x:v>1</x:v>
      </x:c>
      <x:c r="AA56" s="31" t="n">
        <x:v>0</x:v>
      </x:c>
      <x:c r="AB56" s="31" t="str"/>
      <x:c r="AC56" s="31" t="str"/>
    </x:row>
    <x:row r="57">
      <x:c r="A57" s="31" t="str">
        <x:v>13129fd91454fcef</x:v>
      </x:c>
      <x:c r="B57" s="31" t="str">
        <x:v>13129fd91454fcef89f393dd76f805bb9c800ce33fac31b7dd3f87bdf2cb78f9</x:v>
      </x:c>
      <x:c r="C57" s="31" t="n">
        <x:v>13</x:v>
      </x:c>
      <x:c r="D57" s="31" t="n">
        <x:v>33789</x:v>
      </x:c>
      <x:c r="E57" s="31" t="str">
        <x:v>Queens</x:v>
      </x:c>
      <x:c r="F57" s="31" t="str">
        <x:v>Glendale</x:v>
      </x:c>
      <x:c r="G57" s="31" t="n">
        <x:v>29138.23576169862</x:v>
      </x:c>
      <x:c r="H57" s="31" t="n">
        <x:v>13100</x:v>
      </x:c>
      <x:c r="I57" s="31" t="n">
        <x:v>2.555013378182096</x:v>
      </x:c>
      <x:c r="J57" s="40" t="n">
        <x:v>0.018396946564885497</x:v>
      </x:c>
      <x:c r="K57" s="40" t="n">
        <x:v>0.15748091603053435</x:v>
      </x:c>
      <x:c r="L57" s="40" t="n">
        <x:v>0.022442748091603053</x:v>
      </x:c>
      <x:c r="M57" s="31" t="n">
        <x:v>30.2255087043446</x:v>
      </x:c>
      <x:c r="N57" s="31" t="n">
        <x:v>26</x:v>
      </x:c>
      <x:c r="O57" s="31" t="n">
        <x:v>0.7694811921039392</x:v>
      </x:c>
      <x:c r="P57" s="31" t="n">
        <x:v>1.0074809160305342</x:v>
      </x:c>
      <x:c r="Q57" s="40" t="n">
        <x:v>0</x:v>
      </x:c>
      <x:c r="R57" s="31" t="n">
        <x:v>0.19268818042232583</x:v>
      </x:c>
      <x:c r="S57" s="40"/>
      <x:c r="T57" s="40"/>
      <x:c r="U57" s="40" t="n">
        <x:v>1</x:v>
      </x:c>
      <x:c r="V57" s="40" t="n">
        <x:v>0.996412213740458</x:v>
      </x:c>
      <x:c r="W57" s="31" t="n">
        <x:v>0</x:v>
      </x:c>
      <x:c r="X57" s="31" t="str"/>
      <x:c r="Y57" s="31" t="n">
        <x:v>0</x:v>
      </x:c>
      <x:c r="Z57" s="31" t="n">
        <x:v>0</x:v>
      </x:c>
      <x:c r="AA57" s="31" t="n">
        <x:v>0</x:v>
      </x:c>
      <x:c r="AB57" s="31" t="str"/>
      <x:c r="AC57" s="31" t="str"/>
    </x:row>
    <x:row r="58">
      <x:c r="A58" s="31" t="str">
        <x:v>1387fd3f708cfb0c</x:v>
      </x:c>
      <x:c r="B58" s="31" t="str">
        <x:v>1387fd3f708cfb0c567bc55fde6eef1cfc33c0ab2306e4878a68928ca68cd9cb</x:v>
      </x:c>
      <x:c r="C58" s="31" t="n">
        <x:v>11</x:v>
      </x:c>
      <x:c r="D58" s="31" t="n">
        <x:v>33108</x:v>
      </x:c>
      <x:c r="E58" s="31" t="str">
        <x:v>Bronx</x:v>
      </x:c>
      <x:c r="F58" s="31" t="str">
        <x:v>Wakefield-Woodlawn</x:v>
      </x:c>
      <x:c r="G58" s="31" t="n">
        <x:v>39229.56274556053</x:v>
      </x:c>
      <x:c r="H58" s="31" t="n">
        <x:v>13372</x:v>
      </x:c>
      <x:c r="I58" s="31" t="n">
        <x:v>4.506489863095683</x:v>
      </x:c>
      <x:c r="J58" s="40" t="n">
        <x:v>0.05070296141190547</x:v>
      </x:c>
      <x:c r="K58" s="40" t="n">
        <x:v>0.6284774154950643</x:v>
      </x:c>
      <x:c r="L58" s="40" t="n">
        <x:v>0.012862698175291655</x:v>
      </x:c>
      <x:c r="M58" s="31" t="n">
        <x:v>48.74417746474964</x:v>
      </x:c>
      <x:c r="N58" s="31" t="n">
        <x:v>105</x:v>
      </x:c>
      <x:c r="O58" s="31" t="n">
        <x:v>3.171438927147517</x:v>
      </x:c>
      <x:c r="P58" s="31" t="n">
        <x:v>4.30638647921029</x:v>
      </x:c>
      <x:c r="Q58" s="40" t="n">
        <x:v>0.7028118456476219</x:v>
      </x:c>
      <x:c r="R58" s="31" t="n">
        <x:v>0.18295932904967274</x:v>
      </x:c>
      <x:c r="S58" s="40"/>
      <x:c r="T58" s="40"/>
      <x:c r="U58" s="40" t="n">
        <x:v>1</x:v>
      </x:c>
      <x:c r="V58" s="40" t="n">
        <x:v>0.9872120849536344</x:v>
      </x:c>
      <x:c r="W58" s="31" t="n">
        <x:v>0</x:v>
      </x:c>
      <x:c r="X58" s="31" t="str"/>
      <x:c r="Y58" s="31" t="n">
        <x:v>0</x:v>
      </x:c>
      <x:c r="Z58" s="31" t="n">
        <x:v>0</x:v>
      </x:c>
      <x:c r="AA58" s="31" t="n">
        <x:v>0</x:v>
      </x:c>
      <x:c r="AB58" s="31" t="str"/>
      <x:c r="AC58" s="31" t="str"/>
    </x:row>
    <x:row r="59">
      <x:c r="A59" s="31" t="str">
        <x:v>143a2630e60b45cb</x:v>
      </x:c>
      <x:c r="B59" s="31" t="str">
        <x:v>143a2630e60b45cb90c5ec9fc490bcbe06da5325aba8771769c0252230a7c9be</x:v>
      </x:c>
      <x:c r="C59" s="31" t="n">
        <x:v>9</x:v>
      </x:c>
      <x:c r="D59" s="31" t="n">
        <x:v>34316</x:v>
      </x:c>
      <x:c r="E59" s="31" t="str">
        <x:v>Bronx</x:v>
      </x:c>
      <x:c r="F59" s="31" t="str">
        <x:v>Pelham Bay-Country Club-City Island</x:v>
      </x:c>
      <x:c r="G59" s="31" t="n">
        <x:v>23163.7943797687</x:v>
      </x:c>
      <x:c r="H59" s="31" t="n">
        <x:v>13095</x:v>
      </x:c>
      <x:c r="I59" s="31" t="n">
        <x:v>3.636495863970588</x:v>
      </x:c>
      <x:c r="J59" s="40" t="n">
        <x:v>0.07079037800687285</x:v>
      </x:c>
      <x:c r="K59" s="40" t="n">
        <x:v>0.3117220313096602</x:v>
      </x:c>
      <x:c r="L59" s="40" t="n">
        <x:v>0.013134784268804888</x:v>
      </x:c>
      <x:c r="M59" s="31" t="n">
        <x:v>42.00100050300022</x:v>
      </x:c>
      <x:c r="N59" s="31" t="n">
        <x:v>51</x:v>
      </x:c>
      <x:c r="O59" s="31" t="n">
        <x:v>1.4861872013055135</x:v>
      </x:c>
      <x:c r="P59" s="31" t="n">
        <x:v>2.9667812142038947</x:v>
      </x:c>
      <x:c r="Q59" s="40" t="n">
        <x:v>0.6555937380679648</x:v>
      </x:c>
      <x:c r="R59" s="31" t="n">
        <x:v>0.26253848407392566</x:v>
      </x:c>
      <x:c r="S59" s="40"/>
      <x:c r="T59" s="40"/>
      <x:c r="U59" s="40" t="n">
        <x:v>1</x:v>
      </x:c>
      <x:c r="V59" s="40" t="n">
        <x:v>0.9980145093547156</x:v>
      </x:c>
      <x:c r="W59" s="31" t="n">
        <x:v>0</x:v>
      </x:c>
      <x:c r="X59" s="31" t="str"/>
      <x:c r="Y59" s="31" t="n">
        <x:v>0</x:v>
      </x:c>
      <x:c r="Z59" s="31" t="n">
        <x:v>0</x:v>
      </x:c>
      <x:c r="AA59" s="31" t="n">
        <x:v>0</x:v>
      </x:c>
      <x:c r="AB59" s="31" t="str"/>
      <x:c r="AC59" s="31" t="str"/>
    </x:row>
    <x:row r="60">
      <x:c r="A60" s="31" t="str">
        <x:v>14ec4953ebc2dca3</x:v>
      </x:c>
      <x:c r="B60" s="31" t="str">
        <x:v>14ec4953ebc2dca320f1ae4b1c0174471c98540cff016909a57b46d13aa86010</x:v>
      </x:c>
      <x:c r="C60" s="31" t="n">
        <x:v>13</x:v>
      </x:c>
      <x:c r="D60" s="31" t="n">
        <x:v>33165</x:v>
      </x:c>
      <x:c r="E60" s="31" t="str">
        <x:v>Queens</x:v>
      </x:c>
      <x:c r="F60" s="31" t="str">
        <x:v>Auburndale</x:v>
      </x:c>
      <x:c r="G60" s="31" t="n">
        <x:v>16680.480234673996</x:v>
      </x:c>
      <x:c r="H60" s="31" t="n">
        <x:v>12577</x:v>
      </x:c>
      <x:c r="I60" s="31" t="n">
        <x:v>2.290772497796298</x:v>
      </x:c>
      <x:c r="J60" s="40" t="n">
        <x:v>0</x:v>
      </x:c>
      <x:c r="K60" s="40" t="n">
        <x:v>0.2068855847976465</x:v>
      </x:c>
      <x:c r="L60" s="40" t="n">
        <x:v>0.10439691500357796</x:v>
      </x:c>
      <x:c r="M60" s="31" t="n">
        <x:v>28.720441518701087</x:v>
      </x:c>
      <x:c r="N60" s="31" t="n">
        <x:v>29</x:v>
      </x:c>
      <x:c r="O60" s="31" t="n">
        <x:v>0.8744157997889341</x:v>
      </x:c>
      <x:c r="P60" s="31" t="n">
        <x:v>2.2755824123399857</x:v>
      </x:c>
      <x:c r="Q60" s="40" t="n">
        <x:v>0</x:v>
      </x:c>
      <x:c r="R60" s="31" t="n">
        <x:v>0.21800182276892782</x:v>
      </x:c>
      <x:c r="S60" s="40"/>
      <x:c r="T60" s="40"/>
      <x:c r="U60" s="40" t="n">
        <x:v>1</x:v>
      </x:c>
      <x:c r="V60" s="40" t="n">
        <x:v>0.9916514272083963</x:v>
      </x:c>
      <x:c r="W60" s="31" t="n">
        <x:v>0</x:v>
      </x:c>
      <x:c r="X60" s="31" t="str"/>
      <x:c r="Y60" s="31" t="n">
        <x:v>0</x:v>
      </x:c>
      <x:c r="Z60" s="31" t="n">
        <x:v>0</x:v>
      </x:c>
      <x:c r="AA60" s="31" t="n">
        <x:v>0</x:v>
      </x:c>
      <x:c r="AB60" s="31" t="str"/>
      <x:c r="AC60" s="31" t="str"/>
    </x:row>
    <x:row r="61">
      <x:c r="A61" s="31" t="str">
        <x:v>154553a9769cbc14</x:v>
      </x:c>
      <x:c r="B61" s="31" t="str">
        <x:v>154553a9769cbc1458b53def464a419fc9076fa43e07a585adc88b7521b96800</x:v>
      </x:c>
      <x:c r="C61" s="31" t="n">
        <x:v>9</x:v>
      </x:c>
      <x:c r="D61" s="31" t="n">
        <x:v>33313</x:v>
      </x:c>
      <x:c r="E61" s="31" t="str">
        <x:v>Queens</x:v>
      </x:c>
      <x:c r="F61" s="31" t="str">
        <x:v>Astoria (Central)</x:v>
      </x:c>
      <x:c r="G61" s="31" t="n">
        <x:v>62809.68202276121</x:v>
      </x:c>
      <x:c r="H61" s="31" t="n">
        <x:v>16493</x:v>
      </x:c>
      <x:c r="I61" s="31" t="n">
        <x:v>3.6368165752589885</x:v>
      </x:c>
      <x:c r="J61" s="40" t="n">
        <x:v>0</x:v>
      </x:c>
      <x:c r="K61" s="40" t="n">
        <x:v>0.8083429333656703</x:v>
      </x:c>
      <x:c r="L61" s="40" t="n">
        <x:v>0.007578972897592918</x:v>
      </x:c>
      <x:c r="M61" s="31" t="n">
        <x:v>41.556154763603764</x:v>
      </x:c>
      <x:c r="N61" s="31" t="n">
        <x:v>114</x:v>
      </x:c>
      <x:c r="O61" s="31" t="n">
        <x:v>3.422087473358749</x:v>
      </x:c>
      <x:c r="P61" s="31" t="n">
        <x:v>3.0003637906990845</x:v>
      </x:c>
      <x:c r="Q61" s="40" t="n">
        <x:v>0.0003637906990844601</x:v>
      </x:c>
      <x:c r="R61" s="31" t="n">
        <x:v>0.24310668184622156</x:v>
      </x:c>
      <x:c r="S61" s="40"/>
      <x:c r="T61" s="40"/>
      <x:c r="U61" s="40" t="n">
        <x:v>1</x:v>
      </x:c>
      <x:c r="V61" s="40" t="n">
        <x:v>0.9909658643060693</x:v>
      </x:c>
      <x:c r="W61" s="31" t="n">
        <x:v>0</x:v>
      </x:c>
      <x:c r="X61" s="31" t="str"/>
      <x:c r="Y61" s="31" t="n">
        <x:v>0</x:v>
      </x:c>
      <x:c r="Z61" s="31" t="n">
        <x:v>0</x:v>
      </x:c>
      <x:c r="AA61" s="31" t="n">
        <x:v>0</x:v>
      </x:c>
      <x:c r="AB61" s="31" t="str"/>
      <x:c r="AC61" s="31" t="str"/>
    </x:row>
    <x:row r="62">
      <x:c r="A62" s="31" t="str">
        <x:v>1568294a4f438087</x:v>
      </x:c>
      <x:c r="B62" s="31" t="str">
        <x:v>1568294a4f438087a30907edb225b5a1774aa2e60aec4a45bf3ccfebb85da8db</x:v>
      </x:c>
      <x:c r="C62" s="31" t="n">
        <x:v>12</x:v>
      </x:c>
      <x:c r="D62" s="31" t="n">
        <x:v>32878</x:v>
      </x:c>
      <x:c r="E62" s="31" t="str">
        <x:v>Brooklyn</x:v>
      </x:c>
      <x:c r="F62" s="31" t="str">
        <x:v>Flatlands</x:v>
      </x:c>
      <x:c r="G62" s="31" t="n">
        <x:v>39504.889106791255</x:v>
      </x:c>
      <x:c r="H62" s="31" t="n">
        <x:v>10735</x:v>
      </x:c>
      <x:c r="I62" s="31" t="n">
        <x:v>4.235220883534136</x:v>
      </x:c>
      <x:c r="J62" s="40" t="n">
        <x:v>0.059059152305542616</x:v>
      </x:c>
      <x:c r="K62" s="40" t="n">
        <x:v>0.34056823474615744</x:v>
      </x:c>
      <x:c r="L62" s="40" t="n">
        <x:v>0.04257102934326968</x:v>
      </x:c>
      <x:c r="M62" s="31" t="n">
        <x:v>46.613346867263644</x:v>
      </x:c>
      <x:c r="N62" s="31" t="n">
        <x:v>68</x:v>
      </x:c>
      <x:c r="O62" s="31" t="n">
        <x:v>2.0682523267838677</x:v>
      </x:c>
      <x:c r="P62" s="31" t="n">
        <x:v>4.311411271541686</x:v>
      </x:c>
      <x:c r="Q62" s="40" t="n">
        <x:v>0.7704704238472286</x:v>
      </x:c>
      <x:c r="R62" s="31" t="n">
        <x:v>0.2509992880643838</x:v>
      </x:c>
      <x:c r="S62" s="40"/>
      <x:c r="T62" s="40"/>
      <x:c r="U62" s="40" t="n">
        <x:v>1</x:v>
      </x:c>
      <x:c r="V62" s="40" t="n">
        <x:v>0.9971122496506754</x:v>
      </x:c>
      <x:c r="W62" s="31" t="n">
        <x:v>0</x:v>
      </x:c>
      <x:c r="X62" s="31" t="str"/>
      <x:c r="Y62" s="31" t="n">
        <x:v>0</x:v>
      </x:c>
      <x:c r="Z62" s="31" t="n">
        <x:v>0</x:v>
      </x:c>
      <x:c r="AA62" s="31" t="n">
        <x:v>0</x:v>
      </x:c>
      <x:c r="AB62" s="31" t="str"/>
      <x:c r="AC62" s="31" t="str"/>
    </x:row>
    <x:row r="63">
      <x:c r="A63" s="31" t="str">
        <x:v>15d620a882a2420d</x:v>
      </x:c>
      <x:c r="B63" s="31" t="str">
        <x:v>15d620a882a2420d6d12fcaab019c804a0c8e5edec3d7a3ce8d6fdee964f20d2</x:v>
      </x:c>
      <x:c r="C63" s="31" t="n">
        <x:v>13</x:v>
      </x:c>
      <x:c r="D63" s="31" t="n">
        <x:v>35098</x:v>
      </x:c>
      <x:c r="E63" s="31" t="str">
        <x:v>Brooklyn</x:v>
      </x:c>
      <x:c r="F63" s="31" t="str">
        <x:v>Madison</x:v>
      </x:c>
      <x:c r="G63" s="31" t="n">
        <x:v>42283.19383008553</x:v>
      </x:c>
      <x:c r="H63" s="31" t="n">
        <x:v>13587</x:v>
      </x:c>
      <x:c r="I63" s="31" t="n">
        <x:v>4.040810989982322</x:v>
      </x:c>
      <x:c r="J63" s="40" t="n">
        <x:v>0.020166335467726504</x:v>
      </x:c>
      <x:c r="K63" s="40" t="n">
        <x:v>0.4981968057702215</x:v>
      </x:c>
      <x:c r="L63" s="40" t="n">
        <x:v>0.011187164201074556</x:v>
      </x:c>
      <x:c r="M63" s="31" t="n">
        <x:v>46.70487714858182</x:v>
      </x:c>
      <x:c r="N63" s="31" t="n">
        <x:v>180</x:v>
      </x:c>
      <x:c r="O63" s="31" t="n">
        <x:v>5.128497350276369</x:v>
      </x:c>
      <x:c r="P63" s="31" t="n">
        <x:v>3.027820710973725</x:v>
      </x:c>
      <x:c r="Q63" s="40" t="n">
        <x:v>0.01449915360270847</x:v>
      </x:c>
      <x:c r="R63" s="31" t="n">
        <x:v>0.16052110847383624</x:v>
      </x:c>
      <x:c r="S63" s="40"/>
      <x:c r="T63" s="40"/>
      <x:c r="U63" s="40" t="n">
        <x:v>1</x:v>
      </x:c>
      <x:c r="V63" s="40" t="n">
        <x:v>0.9912416280267903</x:v>
      </x:c>
      <x:c r="W63" s="31" t="n">
        <x:v>0</x:v>
      </x:c>
      <x:c r="X63" s="31" t="str"/>
      <x:c r="Y63" s="31" t="n">
        <x:v>0</x:v>
      </x:c>
      <x:c r="Z63" s="31" t="n">
        <x:v>0</x:v>
      </x:c>
      <x:c r="AA63" s="31" t="n">
        <x:v>0</x:v>
      </x:c>
      <x:c r="AB63" s="31" t="str"/>
      <x:c r="AC63" s="31" t="str"/>
    </x:row>
    <x:row r="64">
      <x:c r="A64" s="31" t="str">
        <x:v>160a18e78bcb5b2c</x:v>
      </x:c>
      <x:c r="B64" s="31" t="str">
        <x:v>160a18e78bcb5b2c5a2e34cc049295e76b957ed81a84448961a84afcff13ce7c</x:v>
      </x:c>
      <x:c r="C64" s="31" t="n">
        <x:v>6</x:v>
      </x:c>
      <x:c r="D64" s="31" t="n">
        <x:v>32540</x:v>
      </x:c>
      <x:c r="E64" s="31" t="str">
        <x:v>Brooklyn</x:v>
      </x:c>
      <x:c r="F64" s="31" t="str">
        <x:v>Williamsburg</x:v>
      </x:c>
      <x:c r="G64" s="31" t="n">
        <x:v>84504.7365419391</x:v>
      </x:c>
      <x:c r="H64" s="31" t="n">
        <x:v>14245</x:v>
      </x:c>
      <x:c r="I64" s="31" t="n">
        <x:v>10.952992209631729</x:v>
      </x:c>
      <x:c r="J64" s="40" t="n">
        <x:v>0.31407511407511407</x:v>
      </x:c>
      <x:c r="K64" s="40" t="n">
        <x:v>0.6628992628992629</x:v>
      </x:c>
      <x:c r="L64" s="40" t="n">
        <x:v>0.09041769041769042</x:v>
      </x:c>
      <x:c r="M64" s="31" t="n">
        <x:v>116.76474933972197</x:v>
      </x:c>
      <x:c r="N64" s="31" t="n">
        <x:v>338</x:v>
      </x:c>
      <x:c r="O64" s="31" t="n">
        <x:v>10.38721573448064</x:v>
      </x:c>
      <x:c r="P64" s="31" t="n">
        <x:v>3</x:v>
      </x:c>
      <x:c r="Q64" s="40" t="n">
        <x:v>0</x:v>
      </x:c>
      <x:c r="R64" s="31" t="n">
        <x:v>0.1436102597091361</x:v>
      </x:c>
      <x:c r="S64" s="40"/>
      <x:c r="T64" s="40"/>
      <x:c r="U64" s="40" t="n">
        <x:v>1</x:v>
      </x:c>
      <x:c r="V64" s="40" t="n">
        <x:v>0.9771849771849772</x:v>
      </x:c>
      <x:c r="W64" s="31" t="n">
        <x:v>1</x:v>
      </x:c>
      <x:c r="X64" s="31" t="str">
        <x:v>holdout</x:v>
      </x:c>
      <x:c r="Y64" s="31" t="n">
        <x:v>1</x:v>
      </x:c>
      <x:c r="Z64" s="31" t="n">
        <x:v>0</x:v>
      </x:c>
      <x:c r="AA64" s="31" t="n">
        <x:v>0</x:v>
      </x:c>
      <x:c r="AB64" s="31" t="str">
        <x:v>V1</x:v>
      </x:c>
      <x:c r="AC64" s="31" t="str"/>
    </x:row>
    <x:row r="65">
      <x:c r="A65" s="31" t="str">
        <x:v>16794909223c488c</x:v>
      </x:c>
      <x:c r="B65" s="31" t="str">
        <x:v>16794909223c488cf41777ffa86c111406c72347aa8a285cf90499517ac58bba</x:v>
      </x:c>
      <x:c r="C65" s="31" t="n">
        <x:v>10</x:v>
      </x:c>
      <x:c r="D65" s="31" t="n">
        <x:v>35095</x:v>
      </x:c>
      <x:c r="E65" s="31" t="str">
        <x:v>Staten Island</x:v>
      </x:c>
      <x:c r="F65" s="31" t="str">
        <x:v>West New Brighton-Silver Lake-Grymes Hill</x:v>
      </x:c>
      <x:c r="G65" s="31" t="n">
        <x:v>11812.842827436842</x:v>
      </x:c>
      <x:c r="H65" s="31" t="n">
        <x:v>12737</x:v>
      </x:c>
      <x:c r="I65" s="31" t="n">
        <x:v>2.7278423823367643</x:v>
      </x:c>
      <x:c r="J65" s="40" t="n">
        <x:v>0.025908769725995134</x:v>
      </x:c>
      <x:c r="K65" s="40" t="n">
        <x:v>0.13182067990892674</x:v>
      </x:c>
      <x:c r="L65" s="40" t="n">
        <x:v>0.06916856402606579</x:v>
      </x:c>
      <x:c r="M65" s="31" t="n">
        <x:v>33.83801282199795</x:v>
      </x:c>
      <x:c r="N65" s="31" t="n">
        <x:v>34</x:v>
      </x:c>
      <x:c r="O65" s="31" t="n">
        <x:v>0.9687989742128508</x:v>
      </x:c>
      <x:c r="P65" s="31" t="n">
        <x:v>2.387218340268509</x:v>
      </x:c>
      <x:c r="Q65" s="40" t="n">
        <x:v>0.013896521943942844</x:v>
      </x:c>
      <x:c r="R65" s="31" t="n">
        <x:v>0.2389430900321928</x:v>
      </x:c>
      <x:c r="S65" s="40"/>
      <x:c r="T65" s="40"/>
      <x:c r="U65" s="40" t="n">
        <x:v>1</x:v>
      </x:c>
      <x:c r="V65" s="40" t="n">
        <x:v>0.9937975975504436</x:v>
      </x:c>
      <x:c r="W65" s="31" t="n">
        <x:v>0</x:v>
      </x:c>
      <x:c r="X65" s="31" t="str"/>
      <x:c r="Y65" s="31" t="n">
        <x:v>0</x:v>
      </x:c>
      <x:c r="Z65" s="31" t="n">
        <x:v>0</x:v>
      </x:c>
      <x:c r="AA65" s="31" t="n">
        <x:v>0</x:v>
      </x:c>
      <x:c r="AB65" s="31" t="str"/>
      <x:c r="AC65" s="31" t="str"/>
    </x:row>
    <x:row r="66">
      <x:c r="A66" s="31" t="str">
        <x:v>1682dbe3c513be6c</x:v>
      </x:c>
      <x:c r="B66" s="31" t="str">
        <x:v>1682dbe3c513be6c818a01753f0f784dcd8ccf51eb8d1465456bfa43c8393b54</x:v>
      </x:c>
      <x:c r="C66" s="31" t="n">
        <x:v>10</x:v>
      </x:c>
      <x:c r="D66" s="31" t="n">
        <x:v>34222</x:v>
      </x:c>
      <x:c r="E66" s="31" t="str">
        <x:v>Brooklyn</x:v>
      </x:c>
      <x:c r="F66" s="31" t="str">
        <x:v>Gravesend (West)</x:v>
      </x:c>
      <x:c r="G66" s="31" t="n">
        <x:v>50803.23067455864</x:v>
      </x:c>
      <x:c r="H66" s="31" t="n">
        <x:v>11086</x:v>
      </x:c>
      <x:c r="I66" s="31" t="n">
        <x:v>2.8214753950338602</x:v>
      </x:c>
      <x:c r="J66" s="40" t="n">
        <x:v>0</x:v>
      </x:c>
      <x:c r="K66" s="40" t="n">
        <x:v>0.32311022911780624</x:v>
      </x:c>
      <x:c r="L66" s="40" t="n">
        <x:v>0.014883637019664442</x:v>
      </x:c>
      <x:c r="M66" s="31" t="n">
        <x:v>34.11866498141875</x:v>
      </x:c>
      <x:c r="N66" s="31" t="n">
        <x:v>59</x:v>
      </x:c>
      <x:c r="O66" s="31" t="n">
        <x:v>1.7240371690725265</x:v>
      </x:c>
      <x:c r="P66" s="31" t="n">
        <x:v>4</x:v>
      </x:c>
      <x:c r="Q66" s="40" t="n">
        <x:v>1</x:v>
      </x:c>
      <x:c r="R66" s="31" t="n">
        <x:v>0.1441180828005419</x:v>
      </x:c>
      <x:c r="S66" s="40"/>
      <x:c r="T66" s="40"/>
      <x:c r="U66" s="40" t="n">
        <x:v>1</x:v>
      </x:c>
      <x:c r="V66" s="40" t="n">
        <x:v>0.9975644957604185</x:v>
      </x:c>
      <x:c r="W66" s="31" t="n">
        <x:v>0</x:v>
      </x:c>
      <x:c r="X66" s="31" t="str"/>
      <x:c r="Y66" s="31" t="n">
        <x:v>0</x:v>
      </x:c>
      <x:c r="Z66" s="31" t="n">
        <x:v>0</x:v>
      </x:c>
      <x:c r="AA66" s="31" t="n">
        <x:v>0</x:v>
      </x:c>
      <x:c r="AB66" s="31" t="str"/>
      <x:c r="AC66" s="31" t="str"/>
    </x:row>
    <x:row r="67">
      <x:c r="A67" s="31" t="str">
        <x:v>16b57da092693c52</x:v>
      </x:c>
      <x:c r="B67" s="31" t="str">
        <x:v>16b57da092693c52c6df0574a3aeb45b0853e9da1ea099f86d8978efa6d3871c</x:v>
      </x:c>
      <x:c r="C67" s="31" t="n">
        <x:v>11</x:v>
      </x:c>
      <x:c r="D67" s="31" t="n">
        <x:v>32512</x:v>
      </x:c>
      <x:c r="E67" s="31" t="str">
        <x:v>Brooklyn</x:v>
      </x:c>
      <x:c r="F67" s="31" t="str">
        <x:v>Sunset Park (West)</x:v>
      </x:c>
      <x:c r="G67" s="31" t="n">
        <x:v>40114.79656524168</x:v>
      </x:c>
      <x:c r="H67" s="31" t="n">
        <x:v>15381</x:v>
      </x:c>
      <x:c r="I67" s="31" t="n">
        <x:v>4.445571568948575</x:v>
      </x:c>
      <x:c r="J67" s="40" t="n">
        <x:v>0.09960340680059813</x:v>
      </x:c>
      <x:c r="K67" s="40" t="n">
        <x:v>0.6734932709186658</x:v>
      </x:c>
      <x:c r="L67" s="40" t="n">
        <x:v>0.010077368181522658</x:v>
      </x:c>
      <x:c r="M67" s="31" t="n">
        <x:v>48.27832648462286</x:v>
      </x:c>
      <x:c r="N67" s="31" t="n">
        <x:v>154</x:v>
      </x:c>
      <x:c r="O67" s="31" t="n">
        <x:v>4.736712598425197</x:v>
      </x:c>
      <x:c r="P67" s="31" t="n">
        <x:v>1.7169884922956895</x:v>
      </x:c>
      <x:c r="Q67" s="40" t="n">
        <x:v>0.23899616409856317</x:v>
      </x:c>
      <x:c r="R67" s="31" t="n">
        <x:v>0.14073442495468796</x:v>
      </x:c>
      <x:c r="S67" s="40"/>
      <x:c r="T67" s="40"/>
      <x:c r="U67" s="40" t="n">
        <x:v>1</x:v>
      </x:c>
      <x:c r="V67" s="40" t="n">
        <x:v>0.9223067420843898</x:v>
      </x:c>
      <x:c r="W67" s="31" t="n">
        <x:v>0</x:v>
      </x:c>
      <x:c r="X67" s="31" t="str"/>
      <x:c r="Y67" s="31" t="n">
        <x:v>0</x:v>
      </x:c>
      <x:c r="Z67" s="31" t="n">
        <x:v>0</x:v>
      </x:c>
      <x:c r="AA67" s="31" t="n">
        <x:v>0</x:v>
      </x:c>
      <x:c r="AB67" s="31" t="str"/>
      <x:c r="AC67" s="31" t="str"/>
    </x:row>
    <x:row r="68">
      <x:c r="A68" s="31" t="str">
        <x:v>16d3d4870ba9abe5</x:v>
      </x:c>
      <x:c r="B68" s="31" t="str">
        <x:v>16d3d4870ba9abe5c5b19067ad2557c94cf950a464c8f4b9607e8d03944d5191</x:v>
      </x:c>
      <x:c r="C68" s="31" t="n">
        <x:v>9</x:v>
      </x:c>
      <x:c r="D68" s="31" t="n">
        <x:v>32324</x:v>
      </x:c>
      <x:c r="E68" s="31" t="str">
        <x:v>Brooklyn</x:v>
      </x:c>
      <x:c r="F68" s="31" t="str">
        <x:v>Gravesend (West)</x:v>
      </x:c>
      <x:c r="G68" s="31" t="n">
        <x:v>54167.00540814694</x:v>
      </x:c>
      <x:c r="H68" s="31" t="n">
        <x:v>10420</x:v>
      </x:c>
      <x:c r="I68" s="31" t="n">
        <x:v>2.865245460659045</x:v>
      </x:c>
      <x:c r="J68" s="40" t="n">
        <x:v>0</x:v>
      </x:c>
      <x:c r="K68" s="40" t="n">
        <x:v>0.33464491362763915</x:v>
      </x:c>
      <x:c r="L68" s="40" t="n">
        <x:v>0.00508637236084453</x:v>
      </x:c>
      <x:c r="M68" s="31" t="n">
        <x:v>34.725712123091284</x:v>
      </x:c>
      <x:c r="N68" s="31" t="n">
        <x:v>52</x:v>
      </x:c>
      <x:c r="O68" s="31" t="n">
        <x:v>1.608711793094914</x:v>
      </x:c>
      <x:c r="P68" s="31" t="n">
        <x:v>4</x:v>
      </x:c>
      <x:c r="Q68" s="40" t="n">
        <x:v>1</x:v>
      </x:c>
      <x:c r="R68" s="31" t="n">
        <x:v>0.15732541668052058</x:v>
      </x:c>
      <x:c r="S68" s="40"/>
      <x:c r="T68" s="40"/>
      <x:c r="U68" s="40" t="n">
        <x:v>1</x:v>
      </x:c>
      <x:c r="V68" s="40" t="n">
        <x:v>0.9977927063339731</x:v>
      </x:c>
      <x:c r="W68" s="31" t="n">
        <x:v>0</x:v>
      </x:c>
      <x:c r="X68" s="31" t="str"/>
      <x:c r="Y68" s="31" t="n">
        <x:v>0</x:v>
      </x:c>
      <x:c r="Z68" s="31" t="n">
        <x:v>0</x:v>
      </x:c>
      <x:c r="AA68" s="31" t="n">
        <x:v>0</x:v>
      </x:c>
      <x:c r="AB68" s="31" t="str"/>
      <x:c r="AC68" s="31" t="str"/>
    </x:row>
    <x:row r="69">
      <x:c r="A69" s="31" t="str">
        <x:v>171f39d1cd18acfc</x:v>
      </x:c>
      <x:c r="B69" s="31" t="str">
        <x:v>171f39d1cd18acfce9da51b090c0a32a4f56015d5e604343ce523e4098e121ac</x:v>
      </x:c>
      <x:c r="C69" s="31" t="n">
        <x:v>6</x:v>
      </x:c>
      <x:c r="D69" s="31" t="n">
        <x:v>33640</x:v>
      </x:c>
      <x:c r="E69" s="31" t="str">
        <x:v>Queens</x:v>
      </x:c>
      <x:c r="F69" s="31" t="str">
        <x:v>Flushing-Willets Point</x:v>
      </x:c>
      <x:c r="G69" s="31" t="n">
        <x:v>106674.23218561475</x:v>
      </x:c>
      <x:c r="H69" s="31" t="n">
        <x:v>14545</x:v>
      </x:c>
      <x:c r="I69" s="31" t="n">
        <x:v>6.199391427718041</x:v>
      </x:c>
      <x:c r="J69" s="40" t="n">
        <x:v>0.08442763836369886</x:v>
      </x:c>
      <x:c r="K69" s="40" t="n">
        <x:v>0.8268820900653145</x:v>
      </x:c>
      <x:c r="L69" s="40" t="n">
        <x:v>0.05128910278446201</x:v>
      </x:c>
      <x:c r="M69" s="31" t="n">
        <x:v>66.23565204246783</x:v>
      </x:c>
      <x:c r="N69" s="31" t="n">
        <x:v>276</x:v>
      </x:c>
      <x:c r="O69" s="31" t="n">
        <x:v>8.204518430439952</x:v>
      </x:c>
      <x:c r="P69" s="31" t="n">
        <x:v>4</x:v>
      </x:c>
      <x:c r="Q69" s="40" t="n">
        <x:v>1</x:v>
      </x:c>
      <x:c r="R69" s="31" t="n">
        <x:v>0.15532831501689684</x:v>
      </x:c>
      <x:c r="S69" s="40"/>
      <x:c r="T69" s="40"/>
      <x:c r="U69" s="40" t="n">
        <x:v>1</x:v>
      </x:c>
      <x:c r="V69" s="40" t="n">
        <x:v>0.9082158817463045</x:v>
      </x:c>
      <x:c r="W69" s="31" t="n">
        <x:v>1</x:v>
      </x:c>
      <x:c r="X69" s="31" t="str"/>
      <x:c r="Y69" s="31" t="n">
        <x:v>0</x:v>
      </x:c>
      <x:c r="Z69" s="31" t="n">
        <x:v>1</x:v>
      </x:c>
      <x:c r="AA69" s="31" t="n">
        <x:v>0</x:v>
      </x:c>
      <x:c r="AB69" s="31" t="str"/>
      <x:c r="AC69" s="31" t="str"/>
    </x:row>
    <x:row r="70">
      <x:c r="A70" s="31" t="str">
        <x:v>175d05078f3c8b24</x:v>
      </x:c>
      <x:c r="B70" s="31" t="str">
        <x:v>175d05078f3c8b242866ac0f8751c4267a8b4cdd3ec281550072e3c8812b8c3f</x:v>
      </x:c>
      <x:c r="C70" s="31" t="n">
        <x:v>15</x:v>
      </x:c>
      <x:c r="D70" s="31" t="n">
        <x:v>32243</x:v>
      </x:c>
      <x:c r="E70" s="31" t="str">
        <x:v>Queens</x:v>
      </x:c>
      <x:c r="F70" s="31" t="str">
        <x:v>Baisley Park</x:v>
      </x:c>
      <x:c r="G70" s="31" t="n">
        <x:v>28097.300338488192</x:v>
      </x:c>
      <x:c r="H70" s="31" t="n">
        <x:v>9964</x:v>
      </x:c>
      <x:c r="I70" s="31" t="n">
        <x:v>3.135586373228821</x:v>
      </x:c>
      <x:c r="J70" s="40" t="n">
        <x:v>0</x:v>
      </x:c>
      <x:c r="K70" s="40" t="n">
        <x:v>0.2109594540345243</x:v>
      </x:c>
      <x:c r="L70" s="40" t="n">
        <x:v>0.1504415897230028</x:v>
      </x:c>
      <x:c r="M70" s="31" t="n">
        <x:v>35.13103089357835</x:v>
      </x:c>
      <x:c r="N70" s="31" t="n">
        <x:v>26</x:v>
      </x:c>
      <x:c r="O70" s="31" t="n">
        <x:v>0.8063765778618615</x:v>
      </x:c>
      <x:c r="P70" s="31" t="n">
        <x:v>4.97059413890004</x:v>
      </x:c>
      <x:c r="Q70" s="40" t="n">
        <x:v>1</x:v>
      </x:c>
      <x:c r="R70" s="31" t="n">
        <x:v>0.19649683403627083</x:v>
      </x:c>
      <x:c r="S70" s="40"/>
      <x:c r="T70" s="40"/>
      <x:c r="U70" s="40" t="n">
        <x:v>1</x:v>
      </x:c>
      <x:c r="V70" s="40" t="n">
        <x:v>0.9939783219590526</x:v>
      </x:c>
      <x:c r="W70" s="31" t="n">
        <x:v>0</x:v>
      </x:c>
      <x:c r="X70" s="31" t="str"/>
      <x:c r="Y70" s="31" t="n">
        <x:v>0</x:v>
      </x:c>
      <x:c r="Z70" s="31" t="n">
        <x:v>0</x:v>
      </x:c>
      <x:c r="AA70" s="31" t="n">
        <x:v>0</x:v>
      </x:c>
      <x:c r="AB70" s="31" t="str"/>
      <x:c r="AC70" s="31" t="str"/>
    </x:row>
    <x:row r="71">
      <x:c r="A71" s="31" t="str">
        <x:v>176887765f108a4f</x:v>
      </x:c>
      <x:c r="B71" s="31" t="str">
        <x:v>176887765f108a4f357aa56b7e8dba3336a5b9bbe453804a052d1cdaac9635d3</x:v>
      </x:c>
      <x:c r="C71" s="31" t="n">
        <x:v>7</x:v>
      </x:c>
      <x:c r="D71" s="31" t="n">
        <x:v>34211</x:v>
      </x:c>
      <x:c r="E71" s="31" t="str">
        <x:v>Bronx</x:v>
      </x:c>
      <x:c r="F71" s="31" t="str">
        <x:v>University Heights (South)-Morris Heights</x:v>
      </x:c>
      <x:c r="G71" s="31" t="n">
        <x:v>99557.63629380724</x:v>
      </x:c>
      <x:c r="H71" s="31" t="n">
        <x:v>13758</x:v>
      </x:c>
      <x:c r="I71" s="31" t="n">
        <x:v>6.604757232155837</x:v>
      </x:c>
      <x:c r="J71" s="40" t="n">
        <x:v>0.1738624800116296</x:v>
      </x:c>
      <x:c r="K71" s="40" t="n">
        <x:v>0.7481465329262974</x:v>
      </x:c>
      <x:c r="L71" s="40" t="n">
        <x:v>0.0032708242477104232</x:v>
      </x:c>
      <x:c r="M71" s="31" t="n">
        <x:v>73.23857237189038</x:v>
      </x:c>
      <x:c r="N71" s="31" t="n">
        <x:v>200</x:v>
      </x:c>
      <x:c r="O71" s="31" t="n">
        <x:v>5.8460729005290695</x:v>
      </x:c>
      <x:c r="P71" s="31" t="n">
        <x:v>5</x:v>
      </x:c>
      <x:c r="Q71" s="40" t="n">
        <x:v>1</x:v>
      </x:c>
      <x:c r="R71" s="31" t="n">
        <x:v>0.08648205518035594</x:v>
      </x:c>
      <x:c r="S71" s="40"/>
      <x:c r="T71" s="40"/>
      <x:c r="U71" s="40" t="n">
        <x:v>1</x:v>
      </x:c>
      <x:c r="V71" s="40" t="n">
        <x:v>0.953554295682512</x:v>
      </x:c>
      <x:c r="W71" s="31" t="n">
        <x:v>1</x:v>
      </x:c>
      <x:c r="X71" s="31" t="str"/>
      <x:c r="Y71" s="31" t="n">
        <x:v>0</x:v>
      </x:c>
      <x:c r="Z71" s="31" t="n">
        <x:v>1</x:v>
      </x:c>
      <x:c r="AA71" s="31" t="n">
        <x:v>0</x:v>
      </x:c>
      <x:c r="AB71" s="31" t="str"/>
      <x:c r="AC71" s="31" t="str"/>
    </x:row>
    <x:row r="72">
      <x:c r="A72" s="31" t="str">
        <x:v>1801732549d24b08</x:v>
      </x:c>
      <x:c r="B72" s="31" t="str">
        <x:v>1801732549d24b087f523a805cec55b4c9ca9d94c86581b00c49d0e47d8c0a9d</x:v>
      </x:c>
      <x:c r="C72" s="31" t="n">
        <x:v>10</x:v>
      </x:c>
      <x:c r="D72" s="31" t="n">
        <x:v>33004</x:v>
      </x:c>
      <x:c r="E72" s="31" t="str">
        <x:v>Brooklyn</x:v>
      </x:c>
      <x:c r="F72" s="31" t="str">
        <x:v>Dyker Heights</x:v>
      </x:c>
      <x:c r="G72" s="31" t="n">
        <x:v>54763.97889927041</x:v>
      </x:c>
      <x:c r="H72" s="31" t="n">
        <x:v>10322</x:v>
      </x:c>
      <x:c r="I72" s="31" t="n">
        <x:v>2.4573606668605215</x:v>
      </x:c>
      <x:c r="J72" s="40" t="n">
        <x:v>0.00019376089905057158</x:v>
      </x:c>
      <x:c r="K72" s="40" t="n">
        <x:v>0.31670218949815926</x:v>
      </x:c>
      <x:c r="L72" s="40" t="n">
        <x:v>0.018504165859329586</x:v>
      </x:c>
      <x:c r="M72" s="31" t="n">
        <x:v>31.01934528020977</x:v>
      </x:c>
      <x:c r="N72" s="31" t="n">
        <x:v>32</x:v>
      </x:c>
      <x:c r="O72" s="31" t="n">
        <x:v>0.9695794449157678</x:v>
      </x:c>
      <x:c r="P72" s="31" t="n">
        <x:v>3.477523735710134</x:v>
      </x:c>
      <x:c r="Q72" s="40" t="n">
        <x:v>0.4775237357101337</x:v>
      </x:c>
      <x:c r="R72" s="31" t="n">
        <x:v>0.18328813888402612</x:v>
      </x:c>
      <x:c r="S72" s="40"/>
      <x:c r="T72" s="40"/>
      <x:c r="U72" s="40" t="n">
        <x:v>1</x:v>
      </x:c>
      <x:c r="V72" s="40" t="n">
        <x:v>0.9975779887618679</x:v>
      </x:c>
      <x:c r="W72" s="31" t="n">
        <x:v>0</x:v>
      </x:c>
      <x:c r="X72" s="31" t="str"/>
      <x:c r="Y72" s="31" t="n">
        <x:v>0</x:v>
      </x:c>
      <x:c r="Z72" s="31" t="n">
        <x:v>0</x:v>
      </x:c>
      <x:c r="AA72" s="31" t="n">
        <x:v>0</x:v>
      </x:c>
      <x:c r="AB72" s="31" t="str"/>
      <x:c r="AC72" s="31" t="str"/>
    </x:row>
    <x:row r="73">
      <x:c r="A73" s="31" t="str">
        <x:v>181fe35351b223b7</x:v>
      </x:c>
      <x:c r="B73" s="31" t="str">
        <x:v>181fe35351b223b7a635f0777270a3ded8a0f57342fc641d226c5e311e69f181</x:v>
      </x:c>
      <x:c r="C73" s="31" t="n">
        <x:v>6</x:v>
      </x:c>
      <x:c r="D73" s="31" t="n">
        <x:v>37071</x:v>
      </x:c>
      <x:c r="E73" s="31" t="str">
        <x:v>Queens</x:v>
      </x:c>
      <x:c r="F73" s="31" t="str">
        <x:v>Far Rockaway-Bayswater</x:v>
      </x:c>
      <x:c r="G73" s="31" t="n">
        <x:v>35200.023102230436</x:v>
      </x:c>
      <x:c r="H73" s="31" t="n">
        <x:v>13581</x:v>
      </x:c>
      <x:c r="I73" s="31" t="n">
        <x:v>6.05211747100636</x:v>
      </x:c>
      <x:c r="J73" s="40" t="n">
        <x:v>0.20337235844194096</x:v>
      </x:c>
      <x:c r="K73" s="40" t="n">
        <x:v>0.4850158309402842</x:v>
      </x:c>
      <x:c r="L73" s="40" t="n">
        <x:v>0.2786981812826743</x:v>
      </x:c>
      <x:c r="M73" s="31" t="n">
        <x:v>71.8053739903737</x:v>
      </x:c>
      <x:c r="N73" s="31" t="n">
        <x:v>170</x:v>
      </x:c>
      <x:c r="O73" s="31" t="n">
        <x:v>4.585794826144426</x:v>
      </x:c>
      <x:c r="P73" s="31" t="n">
        <x:v>5</x:v>
      </x:c>
      <x:c r="Q73" s="40" t="n">
        <x:v>1</x:v>
      </x:c>
      <x:c r="R73" s="31" t="n">
        <x:v>0.17362625837265605</x:v>
      </x:c>
      <x:c r="S73" s="40"/>
      <x:c r="T73" s="40"/>
      <x:c r="U73" s="40" t="n">
        <x:v>1</x:v>
      </x:c>
      <x:c r="V73" s="40" t="n">
        <x:v>0.9674545320668582</x:v>
      </x:c>
      <x:c r="W73" s="31" t="n">
        <x:v>0</x:v>
      </x:c>
      <x:c r="X73" s="31" t="str"/>
      <x:c r="Y73" s="31" t="n">
        <x:v>0</x:v>
      </x:c>
      <x:c r="Z73" s="31" t="n">
        <x:v>0</x:v>
      </x:c>
      <x:c r="AA73" s="31" t="n">
        <x:v>0</x:v>
      </x:c>
      <x:c r="AB73" s="31" t="str"/>
      <x:c r="AC73" s="31" t="str"/>
    </x:row>
    <x:row r="74">
      <x:c r="A74" s="31" t="str">
        <x:v>186da1089a71235e</x:v>
      </x:c>
      <x:c r="B74" s="31" t="str">
        <x:v>186da1089a71235e18f2e234e26cf985f701b7ef9cf6dda25696897d6938ac99</x:v>
      </x:c>
      <x:c r="C74" s="31" t="n">
        <x:v>9</x:v>
      </x:c>
      <x:c r="D74" s="31" t="n">
        <x:v>34130</x:v>
      </x:c>
      <x:c r="E74" s="31" t="str">
        <x:v>Bronx</x:v>
      </x:c>
      <x:c r="F74" s="31" t="str">
        <x:v>Tremont</x:v>
      </x:c>
      <x:c r="G74" s="31" t="n">
        <x:v>75770.06231448567</x:v>
      </x:c>
      <x:c r="H74" s="31" t="n">
        <x:v>15644</x:v>
      </x:c>
      <x:c r="I74" s="31" t="n">
        <x:v>7.957356007297368</x:v>
      </x:c>
      <x:c r="J74" s="40" t="n">
        <x:v>0.24699565328560472</x:v>
      </x:c>
      <x:c r="K74" s="40" t="n">
        <x:v>0.6883789312196369</x:v>
      </x:c>
      <x:c r="L74" s="40" t="n">
        <x:v>0.023779084633086166</x:v>
      </x:c>
      <x:c r="M74" s="31" t="n">
        <x:v>81.35266727436893</x:v>
      </x:c>
      <x:c r="N74" s="31" t="n">
        <x:v>211</x:v>
      </x:c>
      <x:c r="O74" s="31" t="n">
        <x:v>6.182244359800762</x:v>
      </x:c>
      <x:c r="P74" s="31" t="n">
        <x:v>5</x:v>
      </x:c>
      <x:c r="Q74" s="40" t="n">
        <x:v>1</x:v>
      </x:c>
      <x:c r="R74" s="31" t="n">
        <x:v>0.08064284080054789</x:v>
      </x:c>
      <x:c r="S74" s="40"/>
      <x:c r="T74" s="40"/>
      <x:c r="U74" s="40" t="n">
        <x:v>1</x:v>
      </x:c>
      <x:c r="V74" s="40" t="n">
        <x:v>0.9668243416006137</x:v>
      </x:c>
      <x:c r="W74" s="31" t="n">
        <x:v>1</x:v>
      </x:c>
      <x:c r="X74" s="31" t="str"/>
      <x:c r="Y74" s="31" t="n">
        <x:v>0</x:v>
      </x:c>
      <x:c r="Z74" s="31" t="n">
        <x:v>1</x:v>
      </x:c>
      <x:c r="AA74" s="31" t="n">
        <x:v>0</x:v>
      </x:c>
      <x:c r="AB74" s="31" t="str"/>
      <x:c r="AC74" s="31" t="str"/>
    </x:row>
    <x:row r="75">
      <x:c r="A75" s="31" t="str">
        <x:v>1890a5805c6c4d1f</x:v>
      </x:c>
      <x:c r="B75" s="31" t="str">
        <x:v>1890a5805c6c4d1fcddad84fa9bfba76cdf10751d9d9c2538420ecd861870c83</x:v>
      </x:c>
      <x:c r="C75" s="31" t="n">
        <x:v>8</x:v>
      </x:c>
      <x:c r="D75" s="31" t="n">
        <x:v>33021</x:v>
      </x:c>
      <x:c r="E75" s="31" t="str">
        <x:v>Brooklyn</x:v>
      </x:c>
      <x:c r="F75" s="31" t="str">
        <x:v>Park Slope</x:v>
      </x:c>
      <x:c r="G75" s="31" t="n">
        <x:v>62827.57356529642</x:v>
      </x:c>
      <x:c r="H75" s="31" t="n">
        <x:v>16243</x:v>
      </x:c>
      <x:c r="I75" s="31" t="n">
        <x:v>4.49058020905051</x:v>
      </x:c>
      <x:c r="J75" s="40" t="n">
        <x:v>0.07424736809702641</x:v>
      </x:c>
      <x:c r="K75" s="40" t="n">
        <x:v>0.8498430092963123</x:v>
      </x:c>
      <x:c r="L75" s="40" t="n">
        <x:v>0.009481007203102874</x:v>
      </x:c>
      <x:c r="M75" s="31" t="n">
        <x:v>55.806028039681415</x:v>
      </x:c>
      <x:c r="N75" s="31" t="n">
        <x:v>179</x:v>
      </x:c>
      <x:c r="O75" s="31" t="n">
        <x:v>5.4207928288059115</x:v>
      </x:c>
      <x:c r="P75" s="31" t="n">
        <x:v>1.259988918303269</x:v>
      </x:c>
      <x:c r="Q75" s="40" t="n">
        <x:v>0</x:v>
      </x:c>
      <x:c r="R75" s="31" t="n">
        <x:v>0.15718359781336705</x:v>
      </x:c>
      <x:c r="S75" s="40"/>
      <x:c r="T75" s="40"/>
      <x:c r="U75" s="40" t="n">
        <x:v>1</x:v>
      </x:c>
      <x:c r="V75" s="40" t="n">
        <x:v>0.993289416979622</x:v>
      </x:c>
      <x:c r="W75" s="31" t="n">
        <x:v>0</x:v>
      </x:c>
      <x:c r="X75" s="31" t="str"/>
      <x:c r="Y75" s="31" t="n">
        <x:v>0</x:v>
      </x:c>
      <x:c r="Z75" s="31" t="n">
        <x:v>0</x:v>
      </x:c>
      <x:c r="AA75" s="31" t="n">
        <x:v>0</x:v>
      </x:c>
      <x:c r="AB75" s="31" t="str"/>
      <x:c r="AC75" s="31" t="str"/>
    </x:row>
    <x:row r="76">
      <x:c r="A76" s="31" t="str">
        <x:v>18d4ec65d089ca86</x:v>
      </x:c>
      <x:c r="B76" s="31" t="str">
        <x:v>18d4ec65d089ca8663f4e1de2e9fa845b3a60d85acbfca15e08641120aeafd86</x:v>
      </x:c>
      <x:c r="C76" s="31" t="n">
        <x:v>11</x:v>
      </x:c>
      <x:c r="D76" s="31" t="n">
        <x:v>34497</x:v>
      </x:c>
      <x:c r="E76" s="31" t="str">
        <x:v>Queens</x:v>
      </x:c>
      <x:c r="F76" s="31" t="str">
        <x:v>Ozone Park (North)</x:v>
      </x:c>
      <x:c r="G76" s="31" t="n">
        <x:v>42074.93677902779</x:v>
      </x:c>
      <x:c r="H76" s="31" t="n">
        <x:v>9390</x:v>
      </x:c>
      <x:c r="I76" s="31" t="n">
        <x:v>2.2645235557450434</x:v>
      </x:c>
      <x:c r="J76" s="40" t="n">
        <x:v>0</x:v>
      </x:c>
      <x:c r="K76" s="40" t="n">
        <x:v>0.16826411075612355</x:v>
      </x:c>
      <x:c r="L76" s="40" t="n">
        <x:v>0.00926517571884984</x:v>
      </x:c>
      <x:c r="M76" s="31" t="n">
        <x:v>28.19588134804719</x:v>
      </x:c>
      <x:c r="N76" s="31" t="n">
        <x:v>7</x:v>
      </x:c>
      <x:c r="O76" s="31" t="n">
        <x:v>0.20291619561121257</x:v>
      </x:c>
      <x:c r="P76" s="31" t="n">
        <x:v>3.3990415335463258</x:v>
      </x:c>
      <x:c r="Q76" s="40" t="n">
        <x:v>0.5887113951011714</x:v>
      </x:c>
      <x:c r="R76" s="31" t="n">
        <x:v>0.1524231622956081</x:v>
      </x:c>
      <x:c r="S76" s="40"/>
      <x:c r="T76" s="40"/>
      <x:c r="U76" s="40" t="n">
        <x:v>1</x:v>
      </x:c>
      <x:c r="V76" s="40" t="n">
        <x:v>0.997444089456869</x:v>
      </x:c>
      <x:c r="W76" s="31" t="n">
        <x:v>0</x:v>
      </x:c>
      <x:c r="X76" s="31" t="str"/>
      <x:c r="Y76" s="31" t="n">
        <x:v>0</x:v>
      </x:c>
      <x:c r="Z76" s="31" t="n">
        <x:v>0</x:v>
      </x:c>
      <x:c r="AA76" s="31" t="n">
        <x:v>0</x:v>
      </x:c>
      <x:c r="AB76" s="31" t="str"/>
      <x:c r="AC76" s="31" t="str"/>
    </x:row>
    <x:row r="77">
      <x:c r="A77" s="31" t="str">
        <x:v>193b3319ee793a23</x:v>
      </x:c>
      <x:c r="B77" s="31" t="str">
        <x:v>193b3319ee793a23292efa0536c39f2c8145a5da116cf3cec309e6e3a571526f</x:v>
      </x:c>
      <x:c r="C77" s="31" t="n">
        <x:v>11</x:v>
      </x:c>
      <x:c r="D77" s="31" t="n">
        <x:v>35452</x:v>
      </x:c>
      <x:c r="E77" s="31" t="str">
        <x:v>Brooklyn</x:v>
      </x:c>
      <x:c r="F77" s="31" t="str">
        <x:v>Borough Park</x:v>
      </x:c>
      <x:c r="G77" s="31" t="n">
        <x:v>45242.97782841991</x:v>
      </x:c>
      <x:c r="H77" s="31" t="n">
        <x:v>10741</x:v>
      </x:c>
      <x:c r="I77" s="31" t="n">
        <x:v>3.4010699821041728</x:v>
      </x:c>
      <x:c r="J77" s="40" t="n">
        <x:v>0.040871427241411414</x:v>
      </x:c>
      <x:c r="K77" s="40" t="n">
        <x:v>0.4780746671632064</x:v>
      </x:c>
      <x:c r="L77" s="40" t="n">
        <x:v>0.010892840517642678</x:v>
      </x:c>
      <x:c r="M77" s="31" t="n">
        <x:v>40.42085589221867</x:v>
      </x:c>
      <x:c r="N77" s="31" t="n">
        <x:v>188</x:v>
      </x:c>
      <x:c r="O77" s="31" t="n">
        <x:v>5.302944826808078</x:v>
      </x:c>
      <x:c r="P77" s="31" t="n">
        <x:v>3.9177916395121497</x:v>
      </x:c>
      <x:c r="Q77" s="40" t="n">
        <x:v>0.9177916395121497</x:v>
      </x:c>
      <x:c r="R77" s="31" t="n">
        <x:v>0.15660904681985355</x:v>
      </x:c>
      <x:c r="S77" s="40"/>
      <x:c r="T77" s="40"/>
      <x:c r="U77" s="40" t="n">
        <x:v>1</x:v>
      </x:c>
      <x:c r="V77" s="40" t="n">
        <x:v>0.9878037426682804</x:v>
      </x:c>
      <x:c r="W77" s="31" t="n">
        <x:v>0</x:v>
      </x:c>
      <x:c r="X77" s="31" t="str"/>
      <x:c r="Y77" s="31" t="n">
        <x:v>0</x:v>
      </x:c>
      <x:c r="Z77" s="31" t="n">
        <x:v>0</x:v>
      </x:c>
      <x:c r="AA77" s="31" t="n">
        <x:v>0</x:v>
      </x:c>
      <x:c r="AB77" s="31" t="str"/>
      <x:c r="AC77" s="31" t="str"/>
    </x:row>
    <x:row r="78">
      <x:c r="A78" s="31" t="str">
        <x:v>196efac4a219874d</x:v>
      </x:c>
      <x:c r="B78" s="31" t="str">
        <x:v>196efac4a219874d69377ec7ccba85aa033784106ba599c929a49c5ce58e7895</x:v>
      </x:c>
      <x:c r="C78" s="31" t="n">
        <x:v>6</x:v>
      </x:c>
      <x:c r="D78" s="31" t="n">
        <x:v>36476</x:v>
      </x:c>
      <x:c r="E78" s="31" t="str">
        <x:v>Queens</x:v>
      </x:c>
      <x:c r="F78" s="31" t="str">
        <x:v>Jackson Heights</x:v>
      </x:c>
      <x:c r="G78" s="31" t="n">
        <x:v>89444.46507077952</x:v>
      </x:c>
      <x:c r="H78" s="31" t="n">
        <x:v>15014</x:v>
      </x:c>
      <x:c r="I78" s="31" t="n">
        <x:v>5.602953909684294</x:v>
      </x:c>
      <x:c r="J78" s="40" t="n">
        <x:v>0.03976288797122685</x:v>
      </x:c>
      <x:c r="K78" s="40" t="n">
        <x:v>0.9144132143332889</x:v>
      </x:c>
      <x:c r="L78" s="40" t="n">
        <x:v>0.07846010390302384</x:v>
      </x:c>
      <x:c r="M78" s="31" t="n">
        <x:v>62.05962370908216</x:v>
      </x:c>
      <x:c r="N78" s="31" t="n">
        <x:v>305</x:v>
      </x:c>
      <x:c r="O78" s="31" t="n">
        <x:v>8.361662462989363</x:v>
      </x:c>
      <x:c r="P78" s="31" t="n">
        <x:v>3</x:v>
      </x:c>
      <x:c r="Q78" s="40" t="n">
        <x:v>0</x:v>
      </x:c>
      <x:c r="R78" s="31" t="n">
        <x:v>0.13937547572966683</x:v>
      </x:c>
      <x:c r="S78" s="40"/>
      <x:c r="T78" s="40"/>
      <x:c r="U78" s="40" t="n">
        <x:v>1</x:v>
      </x:c>
      <x:c r="V78" s="40" t="n">
        <x:v>0.9970694018915679</x:v>
      </x:c>
      <x:c r="W78" s="31" t="n">
        <x:v>0</x:v>
      </x:c>
      <x:c r="X78" s="31" t="str"/>
      <x:c r="Y78" s="31" t="n">
        <x:v>0</x:v>
      </x:c>
      <x:c r="Z78" s="31" t="n">
        <x:v>0</x:v>
      </x:c>
      <x:c r="AA78" s="31" t="n">
        <x:v>0</x:v>
      </x:c>
      <x:c r="AB78" s="31" t="str"/>
      <x:c r="AC78" s="31" t="str"/>
    </x:row>
    <x:row r="79">
      <x:c r="A79" s="31" t="str">
        <x:v>19840685a348d844</x:v>
      </x:c>
      <x:c r="B79" s="31" t="str">
        <x:v>19840685a348d844b69a7bb28825869839cb5fb8b0950ec978736ab24a8f5083</x:v>
      </x:c>
      <x:c r="C79" s="31" t="n">
        <x:v>12</x:v>
      </x:c>
      <x:c r="D79" s="31" t="n">
        <x:v>33837</x:v>
      </x:c>
      <x:c r="E79" s="31" t="str">
        <x:v>Brooklyn</x:v>
      </x:c>
      <x:c r="F79" s="31" t="str">
        <x:v>Greenpoint</x:v>
      </x:c>
      <x:c r="G79" s="31" t="n">
        <x:v>36462.34114531402</x:v>
      </x:c>
      <x:c r="H79" s="31" t="n">
        <x:v>19846</x:v>
      </x:c>
      <x:c r="I79" s="31" t="n">
        <x:v>5.225604446503011</x:v>
      </x:c>
      <x:c r="J79" s="40" t="n">
        <x:v>0.05754308172931573</x:v>
      </x:c>
      <x:c r="K79" s="40" t="n">
        <x:v>0.8076690516980751</x:v>
      </x:c>
      <x:c r="L79" s="40" t="n">
        <x:v>0.012445832913433437</x:v>
      </x:c>
      <x:c r="M79" s="31" t="n">
        <x:v>59.45262870247738</x:v>
      </x:c>
      <x:c r="N79" s="31" t="n">
        <x:v>280</x:v>
      </x:c>
      <x:c r="O79" s="31" t="n">
        <x:v>8.274965274699293</x:v>
      </x:c>
      <x:c r="P79" s="31" t="n">
        <x:v>3</x:v>
      </x:c>
      <x:c r="Q79" s="40" t="n">
        <x:v>0</x:v>
      </x:c>
      <x:c r="R79" s="31" t="n">
        <x:v>0.1396770060005001</x:v>
      </x:c>
      <x:c r="S79" s="40"/>
      <x:c r="T79" s="40"/>
      <x:c r="U79" s="40" t="n">
        <x:v>1</x:v>
      </x:c>
      <x:c r="V79" s="40" t="n">
        <x:v>0.9685578957976418</x:v>
      </x:c>
      <x:c r="W79" s="31" t="n">
        <x:v>0</x:v>
      </x:c>
      <x:c r="X79" s="31" t="str"/>
      <x:c r="Y79" s="31" t="n">
        <x:v>0</x:v>
      </x:c>
      <x:c r="Z79" s="31" t="n">
        <x:v>0</x:v>
      </x:c>
      <x:c r="AA79" s="31" t="n">
        <x:v>0</x:v>
      </x:c>
      <x:c r="AB79" s="31" t="str"/>
      <x:c r="AC79" s="31" t="str"/>
    </x:row>
    <x:row r="80">
      <x:c r="A80" s="31" t="str">
        <x:v>19bbb41f063cb587</x:v>
      </x:c>
      <x:c r="B80" s="31" t="str">
        <x:v>19bbb41f063cb58723c0eba4fa586211769b39f9738b67b9a25baac41db1b396</x:v>
      </x:c>
      <x:c r="C80" s="31" t="n">
        <x:v>12</x:v>
      </x:c>
      <x:c r="D80" s="31" t="n">
        <x:v>35077</x:v>
      </x:c>
      <x:c r="E80" s="31" t="str">
        <x:v>Brooklyn</x:v>
      </x:c>
      <x:c r="F80" s="31" t="str">
        <x:v>Park Slope</x:v>
      </x:c>
      <x:c r="G80" s="31" t="n">
        <x:v>54595.85678511335</x:v>
      </x:c>
      <x:c r="H80" s="31" t="n">
        <x:v>18316</x:v>
      </x:c>
      <x:c r="I80" s="31" t="n">
        <x:v>4.399317121918721</x:v>
      </x:c>
      <x:c r="J80" s="40" t="n">
        <x:v>0.0900851714348111</x:v>
      </x:c>
      <x:c r="K80" s="40" t="n">
        <x:v>0.7281065734876611</x:v>
      </x:c>
      <x:c r="L80" s="40" t="n">
        <x:v>0.012065953264905002</x:v>
      </x:c>
      <x:c r="M80" s="31" t="n">
        <x:v>51.67690502752218</x:v>
      </x:c>
      <x:c r="N80" s="31" t="n">
        <x:v>168</x:v>
      </x:c>
      <x:c r="O80" s="31" t="n">
        <x:v>4.789463181001796</x:v>
      </x:c>
      <x:c r="P80" s="31" t="n">
        <x:v>1</x:v>
      </x:c>
      <x:c r="Q80" s="40" t="n">
        <x:v>0</x:v>
      </x:c>
      <x:c r="R80" s="31" t="n">
        <x:v>0.1422641250019318</x:v>
      </x:c>
      <x:c r="S80" s="40"/>
      <x:c r="T80" s="40"/>
      <x:c r="U80" s="40" t="n">
        <x:v>1</x:v>
      </x:c>
      <x:c r="V80" s="40" t="n">
        <x:v>0.9479143917886002</x:v>
      </x:c>
      <x:c r="W80" s="31" t="n">
        <x:v>0</x:v>
      </x:c>
      <x:c r="X80" s="31" t="str"/>
      <x:c r="Y80" s="31" t="n">
        <x:v>0</x:v>
      </x:c>
      <x:c r="Z80" s="31" t="n">
        <x:v>0</x:v>
      </x:c>
      <x:c r="AA80" s="31" t="n">
        <x:v>0</x:v>
      </x:c>
      <x:c r="AB80" s="31" t="str"/>
      <x:c r="AC80" s="31" t="str"/>
    </x:row>
    <x:row r="81">
      <x:c r="A81" s="31" t="str">
        <x:v>1a15f4e073f4344d</x:v>
      </x:c>
      <x:c r="B81" s="31" t="str">
        <x:v>1a15f4e073f4344dd72506262bf0a174fc58b33cb23370d9b0bb6a5f96fc6ebe</x:v>
      </x:c>
      <x:c r="C81" s="31" t="n">
        <x:v>9</x:v>
      </x:c>
      <x:c r="D81" s="31" t="n">
        <x:v>33680</x:v>
      </x:c>
      <x:c r="E81" s="31" t="str">
        <x:v>Queens</x:v>
      </x:c>
      <x:c r="F81" s="31" t="str">
        <x:v>Ridgewood</x:v>
      </x:c>
      <x:c r="G81" s="31" t="n">
        <x:v>44513.103639092486</x:v>
      </x:c>
      <x:c r="H81" s="31" t="n">
        <x:v>12638</x:v>
      </x:c>
      <x:c r="I81" s="31" t="n">
        <x:v>2.661641874154801</x:v>
      </x:c>
      <x:c r="J81" s="40" t="n">
        <x:v>0</x:v>
      </x:c>
      <x:c r="K81" s="40" t="n">
        <x:v>0.5112359550561798</x:v>
      </x:c>
      <x:c r="L81" s="40" t="n">
        <x:v>0.00996993195125811</x:v>
      </x:c>
      <x:c r="M81" s="31" t="n">
        <x:v>32.76809098928056</x:v>
      </x:c>
      <x:c r="N81" s="31" t="n">
        <x:v>8</x:v>
      </x:c>
      <x:c r="O81" s="31" t="n">
        <x:v>0.2375296912114014</x:v>
      </x:c>
      <x:c r="P81" s="31" t="n">
        <x:v>1</x:v>
      </x:c>
      <x:c r="Q81" s="40" t="n">
        <x:v>0</x:v>
      </x:c>
      <x:c r="R81" s="31" t="n">
        <x:v>0.22502674957732852</x:v>
      </x:c>
      <x:c r="S81" s="40"/>
      <x:c r="T81" s="40"/>
      <x:c r="U81" s="40" t="n">
        <x:v>1</x:v>
      </x:c>
      <x:c r="V81" s="40" t="n">
        <x:v>0.9975470802342142</x:v>
      </x:c>
      <x:c r="W81" s="31" t="n">
        <x:v>0</x:v>
      </x:c>
      <x:c r="X81" s="31" t="str"/>
      <x:c r="Y81" s="31" t="n">
        <x:v>0</x:v>
      </x:c>
      <x:c r="Z81" s="31" t="n">
        <x:v>0</x:v>
      </x:c>
      <x:c r="AA81" s="31" t="n">
        <x:v>0</x:v>
      </x:c>
      <x:c r="AB81" s="31" t="str"/>
      <x:c r="AC81" s="31" t="str"/>
    </x:row>
    <x:row r="82">
      <x:c r="A82" s="31" t="str">
        <x:v>1a4cf87a405cb067</x:v>
      </x:c>
      <x:c r="B82" s="31" t="str">
        <x:v>1a4cf87a405cb067c9e8fbf9946e425c1b2e83626670599254e33f0e49bec8e2</x:v>
      </x:c>
      <x:c r="C82" s="31" t="n">
        <x:v>8</x:v>
      </x:c>
      <x:c r="D82" s="31" t="n">
        <x:v>33492</x:v>
      </x:c>
      <x:c r="E82" s="31" t="str">
        <x:v>Staten Island</x:v>
      </x:c>
      <x:c r="F82" s="31" t="str">
        <x:v>Mariner's Harbor-Arlington-Graniteville</x:v>
      </x:c>
      <x:c r="G82" s="31" t="n">
        <x:v>10445.346992627026</x:v>
      </x:c>
      <x:c r="H82" s="31" t="n">
        <x:v>10611</x:v>
      </x:c>
      <x:c r="I82" s="31" t="n">
        <x:v>2.883802775605942</x:v>
      </x:c>
      <x:c r="J82" s="40" t="n">
        <x:v>0.05051361794364339</x:v>
      </x:c>
      <x:c r="K82" s="40" t="n">
        <x:v>0.12421072471963057</x:v>
      </x:c>
      <x:c r="L82" s="40" t="n">
        <x:v>0.26717557251908397</x:v>
      </x:c>
      <x:c r="M82" s="31" t="n">
        <x:v>34.13438986836097</x:v>
      </x:c>
      <x:c r="N82" s="31" t="n">
        <x:v>22</x:v>
      </x:c>
      <x:c r="O82" s="31" t="n">
        <x:v>0.6568732831721008</x:v>
      </x:c>
      <x:c r="P82" s="31" t="n">
        <x:v>2.597210441994157</x:v>
      </x:c>
      <x:c r="Q82" s="40" t="n">
        <x:v>0</x:v>
      </x:c>
      <x:c r="R82" s="31" t="n">
        <x:v>0.25054854557257406</x:v>
      </x:c>
      <x:c r="S82" s="40"/>
      <x:c r="T82" s="40"/>
      <x:c r="U82" s="40" t="n">
        <x:v>1</x:v>
      </x:c>
      <x:c r="V82" s="40" t="n">
        <x:v>0.9889737065309584</x:v>
      </x:c>
      <x:c r="W82" s="31" t="n">
        <x:v>0</x:v>
      </x:c>
      <x:c r="X82" s="31" t="str"/>
      <x:c r="Y82" s="31" t="n">
        <x:v>0</x:v>
      </x:c>
      <x:c r="Z82" s="31" t="n">
        <x:v>0</x:v>
      </x:c>
      <x:c r="AA82" s="31" t="n">
        <x:v>0</x:v>
      </x:c>
      <x:c r="AB82" s="31" t="str"/>
      <x:c r="AC82" s="31" t="str"/>
    </x:row>
    <x:row r="83">
      <x:c r="A83" s="31" t="str">
        <x:v>1a51dcfe49f89575</x:v>
      </x:c>
      <x:c r="B83" s="31" t="str">
        <x:v>1a51dcfe49f89575176802fb1ccc87cef625c258cde69c5c48b1fe6dea9b8fe9</x:v>
      </x:c>
      <x:c r="C83" s="31" t="n">
        <x:v>15</x:v>
      </x:c>
      <x:c r="D83" s="31" t="n">
        <x:v>33831</x:v>
      </x:c>
      <x:c r="E83" s="31" t="str">
        <x:v>Queens</x:v>
      </x:c>
      <x:c r="F83" s="31" t="str">
        <x:v>Laurelton</x:v>
      </x:c>
      <x:c r="G83" s="31" t="n">
        <x:v>16430.524550579725</x:v>
      </x:c>
      <x:c r="H83" s="31" t="n">
        <x:v>10246</x:v>
      </x:c>
      <x:c r="I83" s="31" t="n">
        <x:v>1.895404666601582</x:v>
      </x:c>
      <x:c r="J83" s="40" t="n">
        <x:v>0</x:v>
      </x:c>
      <x:c r="K83" s="40" t="n">
        <x:v>0.006636736287331642</x:v>
      </x:c>
      <x:c r="L83" s="40" t="n">
        <x:v>0.04684755026351747</x:v>
      </x:c>
      <x:c r="M83" s="31" t="n">
        <x:v>25.149295652864975</x:v>
      </x:c>
      <x:c r="N83" s="31" t="n">
        <x:v>4</x:v>
      </x:c>
      <x:c r="O83" s="31" t="n">
        <x:v>0.11823475510626348</x:v>
      </x:c>
      <x:c r="P83" s="31" t="n">
        <x:v>4.083252000780792</x:v>
      </x:c>
      <x:c r="Q83" s="40" t="n">
        <x:v>1</x:v>
      </x:c>
      <x:c r="R83" s="31" t="n">
        <x:v>0.20093667271269294</x:v>
      </x:c>
      <x:c r="S83" s="40"/>
      <x:c r="T83" s="40"/>
      <x:c r="U83" s="40" t="n">
        <x:v>1</x:v>
      </x:c>
      <x:c r="V83" s="40" t="n">
        <x:v>0.9967792309193831</x:v>
      </x:c>
      <x:c r="W83" s="31" t="n">
        <x:v>0</x:v>
      </x:c>
      <x:c r="X83" s="31" t="str"/>
      <x:c r="Y83" s="31" t="n">
        <x:v>0</x:v>
      </x:c>
      <x:c r="Z83" s="31" t="n">
        <x:v>0</x:v>
      </x:c>
      <x:c r="AA83" s="31" t="n">
        <x:v>0</x:v>
      </x:c>
      <x:c r="AB83" s="31" t="str"/>
      <x:c r="AC83" s="31" t="str"/>
    </x:row>
    <x:row r="84">
      <x:c r="A84" s="31" t="str">
        <x:v>1a54067fab29accf</x:v>
      </x:c>
      <x:c r="B84" s="31" t="str">
        <x:v>1a54067fab29accfa246497dacf24aaa4b660ed56021713201a76a8ed73609db</x:v>
      </x:c>
      <x:c r="C84" s="31" t="n">
        <x:v>8</x:v>
      </x:c>
      <x:c r="D84" s="31" t="n">
        <x:v>35682</x:v>
      </x:c>
      <x:c r="E84" s="31" t="str">
        <x:v>Staten Island</x:v>
      </x:c>
      <x:c r="F84" s="31" t="str">
        <x:v>Mariner's Harbor-Arlington-Graniteville</x:v>
      </x:c>
      <x:c r="G84" s="31" t="n">
        <x:v>17002.449155263683</x:v>
      </x:c>
      <x:c r="H84" s="31" t="n">
        <x:v>11562</x:v>
      </x:c>
      <x:c r="I84" s="31" t="n">
        <x:v>2.256347411203393</x:v>
      </x:c>
      <x:c r="J84" s="40" t="n">
        <x:v>0</x:v>
      </x:c>
      <x:c r="K84" s="40" t="n">
        <x:v>0.11857810067462377</x:v>
      </x:c>
      <x:c r="L84" s="40" t="n">
        <x:v>0.20930634838263276</x:v>
      </x:c>
      <x:c r="M84" s="31" t="n">
        <x:v>29.134022968041887</x:v>
      </x:c>
      <x:c r="N84" s="31" t="n">
        <x:v>17</x:v>
      </x:c>
      <x:c r="O84" s="31" t="n">
        <x:v>0.4764306933467855</x:v>
      </x:c>
      <x:c r="P84" s="31" t="n">
        <x:v>2.533644698149109</x:v>
      </x:c>
      <x:c r="Q84" s="40" t="n">
        <x:v>0.14997405293201868</x:v>
      </x:c>
      <x:c r="R84" s="31" t="n">
        <x:v>0.2516542331008976</x:v>
      </x:c>
      <x:c r="S84" s="40"/>
      <x:c r="T84" s="40"/>
      <x:c r="U84" s="40" t="n">
        <x:v>1</x:v>
      </x:c>
      <x:c r="V84" s="40" t="n">
        <x:v>0.9911779968863519</x:v>
      </x:c>
      <x:c r="W84" s="31" t="n">
        <x:v>0</x:v>
      </x:c>
      <x:c r="X84" s="31" t="str"/>
      <x:c r="Y84" s="31" t="n">
        <x:v>0</x:v>
      </x:c>
      <x:c r="Z84" s="31" t="n">
        <x:v>0</x:v>
      </x:c>
      <x:c r="AA84" s="31" t="n">
        <x:v>0</x:v>
      </x:c>
      <x:c r="AB84" s="31" t="str"/>
      <x:c r="AC84" s="31" t="str"/>
    </x:row>
    <x:row r="85">
      <x:c r="A85" s="31" t="str">
        <x:v>1ab9f8b4347e4f32</x:v>
      </x:c>
      <x:c r="B85" s="31" t="str">
        <x:v>1ab9f8b4347e4f32f3fed7dbc37d0ff7a7331f2f4351ef3870f9af21ff006d0e</x:v>
      </x:c>
      <x:c r="C85" s="31" t="n">
        <x:v>14</x:v>
      </x:c>
      <x:c r="D85" s="31" t="n">
        <x:v>33126</x:v>
      </x:c>
      <x:c r="E85" s="31" t="str">
        <x:v>Brooklyn</x:v>
      </x:c>
      <x:c r="F85" s="31" t="str">
        <x:v>Canarsie</x:v>
      </x:c>
      <x:c r="G85" s="31" t="n">
        <x:v>39182.672776783904</x:v>
      </x:c>
      <x:c r="H85" s="31" t="n">
        <x:v>10309</x:v>
      </x:c>
      <x:c r="I85" s="31" t="n">
        <x:v>2.9287253855854107</x:v>
      </x:c>
      <x:c r="J85" s="40" t="n">
        <x:v>0</x:v>
      </x:c>
      <x:c r="K85" s="40" t="n">
        <x:v>0.3368900960325929</x:v>
      </x:c>
      <x:c r="L85" s="40" t="n">
        <x:v>0.18042487147152972</x:v>
      </x:c>
      <x:c r="M85" s="31" t="n">
        <x:v>34.45681148488738</x:v>
      </x:c>
      <x:c r="N85" s="31" t="n">
        <x:v>34</x:v>
      </x:c>
      <x:c r="O85" s="31" t="n">
        <x:v>1.0263841091589687</x:v>
      </x:c>
      <x:c r="P85" s="31" t="n">
        <x:v>5</x:v>
      </x:c>
      <x:c r="Q85" s="40" t="n">
        <x:v>1</x:v>
      </x:c>
      <x:c r="R85" s="31" t="n">
        <x:v>0.19833685094642978</x:v>
      </x:c>
      <x:c r="S85" s="40"/>
      <x:c r="T85" s="40"/>
      <x:c r="U85" s="40" t="n">
        <x:v>1</x:v>
      </x:c>
      <x:c r="V85" s="40" t="n">
        <x:v>0.9991269764283636</x:v>
      </x:c>
      <x:c r="W85" s="31" t="n">
        <x:v>0</x:v>
      </x:c>
      <x:c r="X85" s="31" t="str"/>
      <x:c r="Y85" s="31" t="n">
        <x:v>0</x:v>
      </x:c>
      <x:c r="Z85" s="31" t="n">
        <x:v>0</x:v>
      </x:c>
      <x:c r="AA85" s="31" t="n">
        <x:v>0</x:v>
      </x:c>
      <x:c r="AB85" s="31" t="str"/>
      <x:c r="AC85" s="31" t="str"/>
    </x:row>
    <x:row r="86">
      <x:c r="A86" s="31" t="str">
        <x:v>1ada4cf88d7090c2</x:v>
      </x:c>
      <x:c r="B86" s="31" t="str">
        <x:v>1ada4cf88d7090c2a0f2a3d1e471803f46091f925085bd9bb102acfa708194e0</x:v>
      </x:c>
      <x:c r="C86" s="31" t="n">
        <x:v>11</x:v>
      </x:c>
      <x:c r="D86" s="31" t="n">
        <x:v>33560</x:v>
      </x:c>
      <x:c r="E86" s="31" t="str">
        <x:v>Brooklyn</x:v>
      </x:c>
      <x:c r="F86" s="31" t="str">
        <x:v>Gravesend (East)-Homecrest</x:v>
      </x:c>
      <x:c r="G86" s="31" t="n">
        <x:v>45227.9509926927</x:v>
      </x:c>
      <x:c r="H86" s="31" t="n">
        <x:v>12513</x:v>
      </x:c>
      <x:c r="I86" s="31" t="n">
        <x:v>3.7255402703351197</x:v>
      </x:c>
      <x:c r="J86" s="40" t="n">
        <x:v>0.002397506593143131</x:v>
      </x:c>
      <x:c r="K86" s="40" t="n">
        <x:v>0.5475905058738911</x:v>
      </x:c>
      <x:c r="L86" s="40" t="n">
        <x:v>0.011747782306401342</x:v>
      </x:c>
      <x:c r="M86" s="31" t="n">
        <x:v>43.17004681593576</x:v>
      </x:c>
      <x:c r="N86" s="31" t="n">
        <x:v>136</x:v>
      </x:c>
      <x:c r="O86" s="31" t="n">
        <x:v>4.052443384982122</x:v>
      </x:c>
      <x:c r="P86" s="31" t="n">
        <x:v>3.236633900743227</x:v>
      </x:c>
      <x:c r="Q86" s="40" t="n">
        <x:v>0.23663390074322704</x:v>
      </x:c>
      <x:c r="R86" s="31" t="n">
        <x:v>0.20336631391630575</x:v>
      </x:c>
      <x:c r="S86" s="40"/>
      <x:c r="T86" s="40"/>
      <x:c r="U86" s="40" t="n">
        <x:v>1</x:v>
      </x:c>
      <x:c r="V86" s="40" t="n">
        <x:v>0.9953648205865899</x:v>
      </x:c>
      <x:c r="W86" s="31" t="n">
        <x:v>0</x:v>
      </x:c>
      <x:c r="X86" s="31" t="str"/>
      <x:c r="Y86" s="31" t="n">
        <x:v>0</x:v>
      </x:c>
      <x:c r="Z86" s="31" t="n">
        <x:v>0</x:v>
      </x:c>
      <x:c r="AA86" s="31" t="n">
        <x:v>0</x:v>
      </x:c>
      <x:c r="AB86" s="31" t="str"/>
      <x:c r="AC86" s="31" t="str"/>
    </x:row>
    <x:row r="87">
      <x:c r="A87" s="31" t="str">
        <x:v>1af25c12ef7fe10b</x:v>
      </x:c>
      <x:c r="B87" s="31" t="str">
        <x:v>1af25c12ef7fe10b840ef3a142d3531e5fafc53bf3046a906acf600530dd2156</x:v>
      </x:c>
      <x:c r="C87" s="31" t="n">
        <x:v>8</x:v>
      </x:c>
      <x:c r="D87" s="31" t="n">
        <x:v>35839</x:v>
      </x:c>
      <x:c r="E87" s="31" t="str">
        <x:v>Brooklyn</x:v>
      </x:c>
      <x:c r="F87" s="31" t="str">
        <x:v>Bushwick (West)</x:v>
      </x:c>
      <x:c r="G87" s="31" t="n">
        <x:v>69748.93227626615</x:v>
      </x:c>
      <x:c r="H87" s="31" t="n">
        <x:v>14296</x:v>
      </x:c>
      <x:c r="I87" s="31" t="n">
        <x:v>3.750754054623324</x:v>
      </x:c>
      <x:c r="J87" s="40" t="n">
        <x:v>0.021964185786233912</x:v>
      </x:c>
      <x:c r="K87" s="40" t="n">
        <x:v>0.8577224398433129</x:v>
      </x:c>
      <x:c r="L87" s="40" t="n">
        <x:v>0.04581701175153889</x:v>
      </x:c>
      <x:c r="M87" s="31" t="n">
        <x:v>43.44892741361093</x:v>
      </x:c>
      <x:c r="N87" s="31" t="n">
        <x:v>96</x:v>
      </x:c>
      <x:c r="O87" s="31" t="n">
        <x:v>2.6786461675828006</x:v>
      </x:c>
      <x:c r="P87" s="31" t="n">
        <x:v>4</x:v>
      </x:c>
      <x:c r="Q87" s="40" t="n">
        <x:v>1</x:v>
      </x:c>
      <x:c r="R87" s="31" t="n">
        <x:v>0.14182653794846592</x:v>
      </x:c>
      <x:c r="S87" s="40"/>
      <x:c r="T87" s="40"/>
      <x:c r="U87" s="40" t="n">
        <x:v>1</x:v>
      </x:c>
      <x:c r="V87" s="40" t="n">
        <x:v>0.96005875769446</x:v>
      </x:c>
      <x:c r="W87" s="31" t="n">
        <x:v>1</x:v>
      </x:c>
      <x:c r="X87" s="31" t="str"/>
      <x:c r="Y87" s="31" t="n">
        <x:v>0</x:v>
      </x:c>
      <x:c r="Z87" s="31" t="n">
        <x:v>1</x:v>
      </x:c>
      <x:c r="AA87" s="31" t="n">
        <x:v>0</x:v>
      </x:c>
      <x:c r="AB87" s="31" t="str"/>
      <x:c r="AC87" s="31" t="str"/>
    </x:row>
    <x:row r="88">
      <x:c r="A88" s="31" t="str">
        <x:v>1b0a6e10dba1945e</x:v>
      </x:c>
      <x:c r="B88" s="31" t="str">
        <x:v>1b0a6e10dba1945e221ec991e373812e9e0975c1a4c9ba4545bf61fccd7f2b0c</x:v>
      </x:c>
      <x:c r="C88" s="31" t="n">
        <x:v>10</x:v>
      </x:c>
      <x:c r="D88" s="31" t="n">
        <x:v>35172</x:v>
      </x:c>
      <x:c r="E88" s="31" t="str">
        <x:v>Brooklyn</x:v>
      </x:c>
      <x:c r="F88" s="31" t="str">
        <x:v>Bushwick (East)</x:v>
      </x:c>
      <x:c r="G88" s="31" t="n">
        <x:v>56495.81075906185</x:v>
      </x:c>
      <x:c r="H88" s="31" t="n">
        <x:v>12622</x:v>
      </x:c>
      <x:c r="I88" s="31" t="n">
        <x:v>3.029743855729333</x:v>
      </x:c>
      <x:c r="J88" s="40" t="n">
        <x:v>0.010774837585168753</x:v>
      </x:c>
      <x:c r="K88" s="40" t="n">
        <x:v>0.6090160038028839</x:v>
      </x:c>
      <x:c r="L88" s="40" t="n">
        <x:v>0.004515924576136904</x:v>
      </x:c>
      <x:c r="M88" s="31" t="n">
        <x:v>36.32994876064092</x:v>
      </x:c>
      <x:c r="N88" s="31" t="n">
        <x:v>60</x:v>
      </x:c>
      <x:c r="O88" s="31" t="n">
        <x:v>1.7059024223814399</x:v>
      </x:c>
      <x:c r="P88" s="31" t="n">
        <x:v>3.7101093329107906</x:v>
      </x:c>
      <x:c r="Q88" s="40" t="n">
        <x:v>0.8166693075582316</x:v>
      </x:c>
      <x:c r="R88" s="31" t="n">
        <x:v>0.09903913007866941</x:v>
      </x:c>
      <x:c r="S88" s="40"/>
      <x:c r="T88" s="40"/>
      <x:c r="U88" s="40" t="n">
        <x:v>1</x:v>
      </x:c>
      <x:c r="V88" s="40" t="n">
        <x:v>0.9889082554270322</x:v>
      </x:c>
      <x:c r="W88" s="31" t="n">
        <x:v>0</x:v>
      </x:c>
      <x:c r="X88" s="31" t="str"/>
      <x:c r="Y88" s="31" t="n">
        <x:v>0</x:v>
      </x:c>
      <x:c r="Z88" s="31" t="n">
        <x:v>0</x:v>
      </x:c>
      <x:c r="AA88" s="31" t="n">
        <x:v>0</x:v>
      </x:c>
      <x:c r="AB88" s="31" t="str"/>
      <x:c r="AC88" s="31" t="str"/>
    </x:row>
    <x:row r="89">
      <x:c r="A89" s="31" t="str">
        <x:v>1b68647c60047a8f</x:v>
      </x:c>
      <x:c r="B89" s="31" t="str">
        <x:v>1b68647c60047a8f70a3ca204753d8515a38dfdfc58ffbb0394a3775adff1ca0</x:v>
      </x:c>
      <x:c r="C89" s="31" t="n">
        <x:v>14</x:v>
      </x:c>
      <x:c r="D89" s="31" t="n">
        <x:v>34493</x:v>
      </x:c>
      <x:c r="E89" s="31" t="str">
        <x:v>Brooklyn</x:v>
      </x:c>
      <x:c r="F89" s="31" t="str">
        <x:v>Flatlands</x:v>
      </x:c>
      <x:c r="G89" s="31" t="n">
        <x:v>30591.84446856097</x:v>
      </x:c>
      <x:c r="H89" s="31" t="n">
        <x:v>11253</x:v>
      </x:c>
      <x:c r="I89" s="31" t="n">
        <x:v>2.8086781506604783</x:v>
      </x:c>
      <x:c r="J89" s="40" t="n">
        <x:v>0</x:v>
      </x:c>
      <x:c r="K89" s="40" t="n">
        <x:v>0.35803785657158094</x:v>
      </x:c>
      <x:c r="L89" s="40" t="n">
        <x:v>0.12805474095796676</x:v>
      </x:c>
      <x:c r="M89" s="31" t="n">
        <x:v>33.000408219917304</x:v>
      </x:c>
      <x:c r="N89" s="31" t="n">
        <x:v>59</x:v>
      </x:c>
      <x:c r="O89" s="31" t="n">
        <x:v>1.7104919838807873</x:v>
      </x:c>
      <x:c r="P89" s="31" t="n">
        <x:v>2.2391362303385764</x:v>
      </x:c>
      <x:c r="Q89" s="40" t="n">
        <x:v>0.07971207677952546</x:v>
      </x:c>
      <x:c r="R89" s="31" t="n">
        <x:v>0.24536580476298359</x:v>
      </x:c>
      <x:c r="S89" s="40"/>
      <x:c r="T89" s="40"/>
      <x:c r="U89" s="40" t="n">
        <x:v>1</x:v>
      </x:c>
      <x:c r="V89" s="40" t="n">
        <x:v>0.9993779436594686</x:v>
      </x:c>
      <x:c r="W89" s="31" t="n">
        <x:v>0</x:v>
      </x:c>
      <x:c r="X89" s="31" t="str"/>
      <x:c r="Y89" s="31" t="n">
        <x:v>0</x:v>
      </x:c>
      <x:c r="Z89" s="31" t="n">
        <x:v>0</x:v>
      </x:c>
      <x:c r="AA89" s="31" t="n">
        <x:v>0</x:v>
      </x:c>
      <x:c r="AB89" s="31" t="str"/>
      <x:c r="AC89" s="31" t="str"/>
    </x:row>
    <x:row r="90">
      <x:c r="A90" s="31" t="str">
        <x:v>1b89b1dec0b0b8ab</x:v>
      </x:c>
      <x:c r="B90" s="31" t="str">
        <x:v>1b89b1dec0b0b8abfef31bde52a71309310a55a9ffb34cf567d256f0abd8c82f</x:v>
      </x:c>
      <x:c r="C90" s="31" t="n">
        <x:v>9</x:v>
      </x:c>
      <x:c r="D90" s="31" t="n">
        <x:v>34020</x:v>
      </x:c>
      <x:c r="E90" s="31" t="str">
        <x:v>Brooklyn</x:v>
      </x:c>
      <x:c r="F90" s="31" t="str">
        <x:v>East New York (North)</x:v>
      </x:c>
      <x:c r="G90" s="31" t="n">
        <x:v>44800.58138807214</x:v>
      </x:c>
      <x:c r="H90" s="31" t="n">
        <x:v>11019</x:v>
      </x:c>
      <x:c r="I90" s="31" t="n">
        <x:v>3.3213668213668215</x:v>
      </x:c>
      <x:c r="J90" s="40" t="n">
        <x:v>0.005989654233596515</x:v>
      </x:c>
      <x:c r="K90" s="40" t="n">
        <x:v>0.4488610581722479</x:v>
      </x:c>
      <x:c r="L90" s="40" t="n">
        <x:v>0.16453398675015882</x:v>
      </x:c>
      <x:c r="M90" s="31" t="n">
        <x:v>37.07669938015464</x:v>
      </x:c>
      <x:c r="N90" s="31" t="n">
        <x:v>45</x:v>
      </x:c>
      <x:c r="O90" s="31" t="n">
        <x:v>1.3227513227513228</x:v>
      </x:c>
      <x:c r="P90" s="31" t="n">
        <x:v>4.085488701334059</x:v>
      </x:c>
      <x:c r="Q90" s="40" t="n">
        <x:v>1</x:v>
      </x:c>
      <x:c r="R90" s="31" t="n">
        <x:v>0.12019954456105807</x:v>
      </x:c>
      <x:c r="S90" s="40"/>
      <x:c r="T90" s="40"/>
      <x:c r="U90" s="40" t="n">
        <x:v>1</x:v>
      </x:c>
      <x:c r="V90" s="40" t="n">
        <x:v>0.9800344858880116</x:v>
      </x:c>
      <x:c r="W90" s="31" t="n">
        <x:v>0</x:v>
      </x:c>
      <x:c r="X90" s="31" t="str"/>
      <x:c r="Y90" s="31" t="n">
        <x:v>0</x:v>
      </x:c>
      <x:c r="Z90" s="31" t="n">
        <x:v>0</x:v>
      </x:c>
      <x:c r="AA90" s="31" t="n">
        <x:v>0</x:v>
      </x:c>
      <x:c r="AB90" s="31" t="str"/>
      <x:c r="AC90" s="31" t="str"/>
    </x:row>
    <x:row r="91">
      <x:c r="A91" s="31" t="str">
        <x:v>1bee33e39c0c90be</x:v>
      </x:c>
      <x:c r="B91" s="31" t="str">
        <x:v>1bee33e39c0c90be1d64e93261ce7d62f406fbfb2ab8d01beb204337b7c66bb4</x:v>
      </x:c>
      <x:c r="C91" s="31" t="n">
        <x:v>6</x:v>
      </x:c>
      <x:c r="D91" s="31" t="n">
        <x:v>33829</x:v>
      </x:c>
      <x:c r="E91" s="31" t="str">
        <x:v>Bronx</x:v>
      </x:c>
      <x:c r="F91" s="31" t="str">
        <x:v>Melrose</x:v>
      </x:c>
      <x:c r="G91" s="31" t="n">
        <x:v>70154.03270025025</x:v>
      </x:c>
      <x:c r="H91" s="31" t="n">
        <x:v>13510</x:v>
      </x:c>
      <x:c r="I91" s="31" t="n">
        <x:v>10.455514208389715</x:v>
      </x:c>
      <x:c r="J91" s="40" t="n">
        <x:v>0.5274611398963731</x:v>
      </x:c>
      <x:c r="K91" s="40" t="n">
        <x:v>0.44174685418208737</x:v>
      </x:c>
      <x:c r="L91" s="40" t="n">
        <x:v>0.24789045151739453</x:v>
      </x:c>
      <x:c r="M91" s="31" t="n">
        <x:v>101.76756808963394</x:v>
      </x:c>
      <x:c r="N91" s="31" t="n">
        <x:v>167</x:v>
      </x:c>
      <x:c r="O91" s="31" t="n">
        <x:v>4.936592864110675</x:v>
      </x:c>
      <x:c r="P91" s="31" t="n">
        <x:v>5</x:v>
      </x:c>
      <x:c r="Q91" s="40" t="n">
        <x:v>1</x:v>
      </x:c>
      <x:c r="R91" s="31" t="n">
        <x:v>0.0911316215889528</x:v>
      </x:c>
      <x:c r="S91" s="40"/>
      <x:c r="T91" s="40"/>
      <x:c r="U91" s="40" t="n">
        <x:v>1</x:v>
      </x:c>
      <x:c r="V91" s="40" t="n">
        <x:v>0.9847520355292376</x:v>
      </x:c>
      <x:c r="W91" s="31" t="n">
        <x:v>0</x:v>
      </x:c>
      <x:c r="X91" s="31" t="str"/>
      <x:c r="Y91" s="31" t="n">
        <x:v>0</x:v>
      </x:c>
      <x:c r="Z91" s="31" t="n">
        <x:v>0</x:v>
      </x:c>
      <x:c r="AA91" s="31" t="n">
        <x:v>0</x:v>
      </x:c>
      <x:c r="AB91" s="31" t="str"/>
      <x:c r="AC91" s="31" t="str"/>
    </x:row>
    <x:row r="92">
      <x:c r="A92" s="31" t="str">
        <x:v>1c015a7f58696340</x:v>
      </x:c>
      <x:c r="B92" s="31" t="str">
        <x:v>1c015a7f58696340a5c246ee921e76d6e7a426c997e6476cda40bb73220ae062</x:v>
      </x:c>
      <x:c r="C92" s="31" t="n">
        <x:v>10</x:v>
      </x:c>
      <x:c r="D92" s="31" t="n">
        <x:v>32781</x:v>
      </x:c>
      <x:c r="E92" s="31" t="str">
        <x:v>Queens</x:v>
      </x:c>
      <x:c r="F92" s="31" t="str">
        <x:v>Queensbridge-Ravenswood-Dutch Kills</x:v>
      </x:c>
      <x:c r="G92" s="31" t="n">
        <x:v>35923.407817856125</x:v>
      </x:c>
      <x:c r="H92" s="31" t="n">
        <x:v>27317</x:v>
      </x:c>
      <x:c r="I92" s="31" t="n">
        <x:v>29.71804789576933</x:v>
      </x:c>
      <x:c r="J92" s="40" t="n">
        <x:v>0.7060804627155252</x:v>
      </x:c>
      <x:c r="K92" s="40" t="n">
        <x:v>0.2527729984991031</x:v>
      </x:c>
      <x:c r="L92" s="40" t="n">
        <x:v>0.11619138265548926</x:v>
      </x:c>
      <x:c r="M92" s="31" t="n">
        <x:v>322.5706389451402</x:v>
      </x:c>
      <x:c r="N92" s="31" t="n">
        <x:v>466</x:v>
      </x:c>
      <x:c r="O92" s="31" t="n">
        <x:v>14.21555169152863</x:v>
      </x:c>
      <x:c r="P92" s="31" t="n">
        <x:v>3.9545704140278946</x:v>
      </x:c>
      <x:c r="Q92" s="40" t="n">
        <x:v>0.9545704140278947</x:v>
      </x:c>
      <x:c r="R92" s="31" t="n">
        <x:v>0.10002379235690852</x:v>
      </x:c>
      <x:c r="S92" s="40"/>
      <x:c r="T92" s="40"/>
      <x:c r="U92" s="40" t="n">
        <x:v>1</x:v>
      </x:c>
      <x:c r="V92" s="40" t="n">
        <x:v>0.91386316213347</x:v>
      </x:c>
      <x:c r="W92" s="31" t="n">
        <x:v>0</x:v>
      </x:c>
      <x:c r="X92" s="31" t="str"/>
      <x:c r="Y92" s="31" t="n">
        <x:v>0</x:v>
      </x:c>
      <x:c r="Z92" s="31" t="n">
        <x:v>0</x:v>
      </x:c>
      <x:c r="AA92" s="31" t="n">
        <x:v>0</x:v>
      </x:c>
      <x:c r="AB92" s="31" t="str"/>
      <x:c r="AC92" s="31" t="str"/>
    </x:row>
    <x:row r="93">
      <x:c r="A93" s="31" t="str">
        <x:v>1d0cf548b7a5aade</x:v>
      </x:c>
      <x:c r="B93" s="31" t="str">
        <x:v>1d0cf548b7a5aade158422d1313089fdaafa28309ad7ba4e949dbbd721693fc0</x:v>
      </x:c>
      <x:c r="C93" s="31" t="n">
        <x:v>20</x:v>
      </x:c>
      <x:c r="D93" s="31" t="n">
        <x:v>33323</x:v>
      </x:c>
      <x:c r="E93" s="31" t="str">
        <x:v>Queens</x:v>
      </x:c>
      <x:c r="F93" s="31" t="str">
        <x:v>Cambria Heights</x:v>
      </x:c>
      <x:c r="G93" s="31" t="n">
        <x:v>19074.28729798705</x:v>
      </x:c>
      <x:c r="H93" s="31" t="n">
        <x:v>10010</x:v>
      </x:c>
      <x:c r="I93" s="31" t="n">
        <x:v>1.9723913260717503</x:v>
      </x:c>
      <x:c r="J93" s="40" t="n">
        <x:v>0</x:v>
      </x:c>
      <x:c r="K93" s="40" t="n">
        <x:v>0.004295704295704296</x:v>
      </x:c>
      <x:c r="L93" s="40" t="n">
        <x:v>0.01078921078921079</x:v>
      </x:c>
      <x:c r="M93" s="31" t="n">
        <x:v>25.341357298701222</x:v>
      </x:c>
      <x:c r="N93" s="31" t="n">
        <x:v>4</x:v>
      </x:c>
      <x:c r="O93" s="31" t="n">
        <x:v>0.12003721153557603</x:v>
      </x:c>
      <x:c r="P93" s="31" t="n">
        <x:v>4.9998001998002</x:v>
      </x:c>
      <x:c r="Q93" s="40" t="n">
        <x:v>1</x:v>
      </x:c>
      <x:c r="R93" s="31" t="n">
        <x:v>0.2761848713293022</x:v>
      </x:c>
      <x:c r="S93" s="40"/>
      <x:c r="T93" s="40"/>
      <x:c r="U93" s="40" t="n">
        <x:v>1</x:v>
      </x:c>
      <x:c r="V93" s="40" t="n">
        <x:v>0.9984015984015984</x:v>
      </x:c>
      <x:c r="W93" s="31" t="n">
        <x:v>0</x:v>
      </x:c>
      <x:c r="X93" s="31" t="str"/>
      <x:c r="Y93" s="31" t="n">
        <x:v>0</x:v>
      </x:c>
      <x:c r="Z93" s="31" t="n">
        <x:v>0</x:v>
      </x:c>
      <x:c r="AA93" s="31" t="n">
        <x:v>0</x:v>
      </x:c>
      <x:c r="AB93" s="31" t="str"/>
      <x:c r="AC93" s="31" t="str"/>
    </x:row>
    <x:row r="94">
      <x:c r="A94" s="31" t="str">
        <x:v>1d265f6b4a2df6aa</x:v>
      </x:c>
      <x:c r="B94" s="31" t="str">
        <x:v>1d265f6b4a2df6aaa78aea98e1e3d60e2c29d21540b9bef785b7704861d4ff9e</x:v>
      </x:c>
      <x:c r="C94" s="31" t="n">
        <x:v>13</x:v>
      </x:c>
      <x:c r="D94" s="31" t="n">
        <x:v>36675</x:v>
      </x:c>
      <x:c r="E94" s="31" t="str">
        <x:v>Queens</x:v>
      </x:c>
      <x:c r="F94" s="31" t="str">
        <x:v>East Flushing</x:v>
      </x:c>
      <x:c r="G94" s="31" t="n">
        <x:v>38225.56950820983</x:v>
      </x:c>
      <x:c r="H94" s="31" t="n">
        <x:v>12450</x:v>
      </x:c>
      <x:c r="I94" s="31" t="n">
        <x:v>3.8206829348182114</x:v>
      </x:c>
      <x:c r="J94" s="40" t="n">
        <x:v>0.007550200803212851</x:v>
      </x:c>
      <x:c r="K94" s="40" t="n">
        <x:v>0.5767871485943775</x:v>
      </x:c>
      <x:c r="L94" s="40" t="n">
        <x:v>0.0744578313253012</x:v>
      </x:c>
      <x:c r="M94" s="31" t="n">
        <x:v>43.321464599693876</x:v>
      </x:c>
      <x:c r="N94" s="31" t="n">
        <x:v>118</x:v>
      </x:c>
      <x:c r="O94" s="31" t="n">
        <x:v>3.2174505794137698</x:v>
      </x:c>
      <x:c r="P94" s="31" t="n">
        <x:v>3.685140562248996</x:v>
      </x:c>
      <x:c r="Q94" s="40" t="n">
        <x:v>0.685140562248996</x:v>
      </x:c>
      <x:c r="R94" s="31" t="n">
        <x:v>0.2211219418844995</x:v>
      </x:c>
      <x:c r="S94" s="40"/>
      <x:c r="T94" s="40"/>
      <x:c r="U94" s="40" t="n">
        <x:v>1</x:v>
      </x:c>
      <x:c r="V94" s="40" t="n">
        <x:v>0.9839357429718876</x:v>
      </x:c>
      <x:c r="W94" s="31" t="n">
        <x:v>0</x:v>
      </x:c>
      <x:c r="X94" s="31" t="str"/>
      <x:c r="Y94" s="31" t="n">
        <x:v>0</x:v>
      </x:c>
      <x:c r="Z94" s="31" t="n">
        <x:v>0</x:v>
      </x:c>
      <x:c r="AA94" s="31" t="n">
        <x:v>0</x:v>
      </x:c>
      <x:c r="AB94" s="31" t="str"/>
      <x:c r="AC94" s="31" t="str"/>
    </x:row>
    <x:row r="95">
      <x:c r="A95" s="31" t="str">
        <x:v>1d31b636d432fa0c</x:v>
      </x:c>
      <x:c r="B95" s="31" t="str">
        <x:v>1d31b636d432fa0cea3edef480f64b8ef392b70e3123297dd6e95972ebc997d3</x:v>
      </x:c>
      <x:c r="C95" s="31" t="n">
        <x:v>9</x:v>
      </x:c>
      <x:c r="D95" s="31" t="n">
        <x:v>32477</x:v>
      </x:c>
      <x:c r="E95" s="31" t="str">
        <x:v>Brooklyn</x:v>
      </x:c>
      <x:c r="F95" s="31" t="str">
        <x:v>Sunset Park (Central)</x:v>
      </x:c>
      <x:c r="G95" s="31" t="n">
        <x:v>74196.15966983733</x:v>
      </x:c>
      <x:c r="H95" s="31" t="n">
        <x:v>7931</x:v>
      </x:c>
      <x:c r="I95" s="31" t="n">
        <x:v>3.083099570381602</x:v>
      </x:c>
      <x:c r="J95" s="40" t="n">
        <x:v>0.0031521876182070358</x:v>
      </x:c>
      <x:c r="K95" s="40" t="n">
        <x:v>0.5861808094817803</x:v>
      </x:c>
      <x:c r="L95" s="40" t="n">
        <x:v>0.0010087000378262514</x:v>
      </x:c>
      <x:c r="M95" s="31" t="n">
        <x:v>35.88900476968678</x:v>
      </x:c>
      <x:c r="N95" s="31" t="n">
        <x:v>224</x:v>
      </x:c>
      <x:c r="O95" s="31" t="n">
        <x:v>6.897188779751824</x:v>
      </x:c>
      <x:c r="P95" s="31" t="n">
        <x:v>3.0365653763712017</x:v>
      </x:c>
      <x:c r="Q95" s="40" t="n">
        <x:v>0.036565376371201615</x:v>
      </x:c>
      <x:c r="R95" s="31" t="n">
        <x:v>0.23793738507188117</x:v>
      </x:c>
      <x:c r="S95" s="40"/>
      <x:c r="T95" s="40"/>
      <x:c r="U95" s="40" t="n">
        <x:v>1</x:v>
      </x:c>
      <x:c r="V95" s="40" t="n">
        <x:v>0.9822216618333123</x:v>
      </x:c>
      <x:c r="W95" s="31" t="n">
        <x:v>0</x:v>
      </x:c>
      <x:c r="X95" s="31" t="str"/>
      <x:c r="Y95" s="31" t="n">
        <x:v>0</x:v>
      </x:c>
      <x:c r="Z95" s="31" t="n">
        <x:v>0</x:v>
      </x:c>
      <x:c r="AA95" s="31" t="n">
        <x:v>0</x:v>
      </x:c>
      <x:c r="AB95" s="31" t="str"/>
      <x:c r="AC95" s="31" t="str"/>
    </x:row>
    <x:row r="96">
      <x:c r="A96" s="31" t="str">
        <x:v>1d59ff75fd2b89fc</x:v>
      </x:c>
      <x:c r="B96" s="31" t="str">
        <x:v>1d59ff75fd2b89fcb5b820abd14162ebd6103a301badca55ea92ab760f37debc</x:v>
      </x:c>
      <x:c r="C96" s="31" t="n">
        <x:v>9</x:v>
      </x:c>
      <x:c r="D96" s="31" t="n">
        <x:v>36292</x:v>
      </x:c>
      <x:c r="E96" s="31" t="str">
        <x:v>Staten Island</x:v>
      </x:c>
      <x:c r="F96" s="31" t="str">
        <x:v>Westerleigh-Castleton Corners</x:v>
      </x:c>
      <x:c r="G96" s="31" t="n">
        <x:v>15168.040696391114</x:v>
      </x:c>
      <x:c r="H96" s="31" t="n">
        <x:v>12877</x:v>
      </x:c>
      <x:c r="I96" s="31" t="n">
        <x:v>2.055422661171164</x:v>
      </x:c>
      <x:c r="J96" s="40" t="n">
        <x:v>0</x:v>
      </x:c>
      <x:c r="K96" s="40" t="n">
        <x:v>0.0559136444824105</x:v>
      </x:c>
      <x:c r="L96" s="40" t="n">
        <x:v>0.05335093577696669</x:v>
      </x:c>
      <x:c r="M96" s="31" t="n">
        <x:v>27.740982876687475</x:v>
      </x:c>
      <x:c r="N96" s="31" t="n">
        <x:v>14</x:v>
      </x:c>
      <x:c r="O96" s="31" t="n">
        <x:v>0.3857599470957787</x:v>
      </x:c>
      <x:c r="P96" s="31" t="n">
        <x:v>2.246951929797313</x:v>
      </x:c>
      <x:c r="Q96" s="40" t="n">
        <x:v>0.3380445755999068</x:v>
      </x:c>
      <x:c r="R96" s="31" t="n">
        <x:v>0.3162909242501592</x:v>
      </x:c>
      <x:c r="S96" s="40"/>
      <x:c r="T96" s="40"/>
      <x:c r="U96" s="40" t="n">
        <x:v>1</x:v>
      </x:c>
      <x:c r="V96" s="40" t="n">
        <x:v>0.9951852139473479</x:v>
      </x:c>
      <x:c r="W96" s="31" t="n">
        <x:v>0</x:v>
      </x:c>
      <x:c r="X96" s="31" t="str"/>
      <x:c r="Y96" s="31" t="n">
        <x:v>0</x:v>
      </x:c>
      <x:c r="Z96" s="31" t="n">
        <x:v>0</x:v>
      </x:c>
      <x:c r="AA96" s="31" t="n">
        <x:v>0</x:v>
      </x:c>
      <x:c r="AB96" s="31" t="str"/>
      <x:c r="AC96" s="31" t="str"/>
    </x:row>
    <x:row r="97">
      <x:c r="A97" s="31" t="str">
        <x:v>1d64ff367e97c4ef</x:v>
      </x:c>
      <x:c r="B97" s="31" t="str">
        <x:v>1d64ff367e97c4ef5fd691993ab67d09973fffdff0a728cc3b27f7696471b2a4</x:v>
      </x:c>
      <x:c r="C97" s="31" t="n">
        <x:v>7</x:v>
      </x:c>
      <x:c r="D97" s="31" t="n">
        <x:v>34223</x:v>
      </x:c>
      <x:c r="E97" s="31" t="str">
        <x:v>Manhattan</x:v>
      </x:c>
      <x:c r="F97" s="31" t="str">
        <x:v>East Midtown-Turtle Bay</x:v>
      </x:c>
      <x:c r="G97" s="31" t="n">
        <x:v>107603.75630134266</x:v>
      </x:c>
      <x:c r="H97" s="31" t="n">
        <x:v>25369</x:v>
      </x:c>
      <x:c r="I97" s="31" t="n">
        <x:v>20.736490504698093</x:v>
      </x:c>
      <x:c r="J97" s="40" t="n">
        <x:v>0.7918719697268319</x:v>
      </x:c>
      <x:c r="K97" s="40" t="n">
        <x:v>0.2022153021404076</x:v>
      </x:c>
      <x:c r="L97" s="40" t="n">
        <x:v>0.019866766526075132</x:v>
      </x:c>
      <x:c r="M97" s="31" t="n">
        <x:v>216.06582884844093</x:v>
      </x:c>
      <x:c r="N97" s="31" t="n">
        <x:v>667</x:v>
      </x:c>
      <x:c r="O97" s="31" t="n">
        <x:v>19.48981678987815</x:v>
      </x:c>
      <x:c r="P97" s="31" t="n">
        <x:v>1.292325278883677</x:v>
      </x:c>
      <x:c r="Q97" s="40" t="n">
        <x:v>0</x:v>
      </x:c>
      <x:c r="R97" s="31" t="n">
        <x:v>0.21076538482852594</x:v>
      </x:c>
      <x:c r="S97" s="40"/>
      <x:c r="T97" s="40"/>
      <x:c r="U97" s="40" t="n">
        <x:v>1</x:v>
      </x:c>
      <x:c r="V97" s="40" t="n">
        <x:v>0.9842721431668572</x:v>
      </x:c>
      <x:c r="W97" s="31" t="n">
        <x:v>1</x:v>
      </x:c>
      <x:c r="X97" s="31" t="str"/>
      <x:c r="Y97" s="31" t="n">
        <x:v>1</x:v>
      </x:c>
      <x:c r="Z97" s="31" t="n">
        <x:v>0</x:v>
      </x:c>
      <x:c r="AA97" s="31" t="n">
        <x:v>0</x:v>
      </x:c>
      <x:c r="AB97" s="31" t="str"/>
      <x:c r="AC97" s="31" t="str"/>
    </x:row>
    <x:row r="98">
      <x:c r="A98" s="31" t="str">
        <x:v>1e39c847729418e2</x:v>
      </x:c>
      <x:c r="B98" s="31" t="str">
        <x:v>1e39c847729418e296bef2a367ec9f549cb4afdf31f5ed26462f847d8f96b382</x:v>
      </x:c>
      <x:c r="C98" s="31" t="n">
        <x:v>7</x:v>
      </x:c>
      <x:c r="D98" s="31" t="n">
        <x:v>32589</x:v>
      </x:c>
      <x:c r="E98" s="31" t="str">
        <x:v>Queens</x:v>
      </x:c>
      <x:c r="F98" s="31" t="str">
        <x:v>Ozone Park</x:v>
      </x:c>
      <x:c r="G98" s="31" t="n">
        <x:v>24111.426982961824</x:v>
      </x:c>
      <x:c r="H98" s="31" t="n">
        <x:v>11777</x:v>
      </x:c>
      <x:c r="I98" s="31" t="n">
        <x:v>2.9972580095432857</x:v>
      </x:c>
      <x:c r="J98" s="40" t="n">
        <x:v>0</x:v>
      </x:c>
      <x:c r="K98" s="40" t="n">
        <x:v>0.32996518638023264</x:v>
      </x:c>
      <x:c r="L98" s="40" t="n">
        <x:v>0.15224590303133226</x:v>
      </x:c>
      <x:c r="M98" s="31" t="n">
        <x:v>36.46338589931991</x:v>
      </x:c>
      <x:c r="N98" s="31" t="n">
        <x:v>34</x:v>
      </x:c>
      <x:c r="O98" s="31" t="n">
        <x:v>1.0432968179447053</x:v>
      </x:c>
      <x:c r="P98" s="31" t="n">
        <x:v>2.6125498853697886</x:v>
      </x:c>
      <x:c r="Q98" s="40" t="n">
        <x:v>0.05960770994310945</x:v>
      </x:c>
      <x:c r="R98" s="31" t="n">
        <x:v>0.20351632037407397</x:v>
      </x:c>
      <x:c r="S98" s="40"/>
      <x:c r="T98" s="40"/>
      <x:c r="U98" s="40" t="n">
        <x:v>1</x:v>
      </x:c>
      <x:c r="V98" s="40" t="n">
        <x:v>0.9950751464719368</x:v>
      </x:c>
      <x:c r="W98" s="31" t="n">
        <x:v>0</x:v>
      </x:c>
      <x:c r="X98" s="31" t="str"/>
      <x:c r="Y98" s="31" t="n">
        <x:v>0</x:v>
      </x:c>
      <x:c r="Z98" s="31" t="n">
        <x:v>0</x:v>
      </x:c>
      <x:c r="AA98" s="31" t="n">
        <x:v>0</x:v>
      </x:c>
      <x:c r="AB98" s="31" t="str"/>
      <x:c r="AC98" s="31" t="str"/>
    </x:row>
    <x:row r="99">
      <x:c r="A99" s="31" t="str">
        <x:v>1e71d4dcb9497be7</x:v>
      </x:c>
      <x:c r="B99" s="31" t="str">
        <x:v>1e71d4dcb9497be7aa867e8c80c877f5a555fac0aa0631bdc97840dbb2abd968</x:v>
      </x:c>
      <x:c r="C99" s="31" t="n">
        <x:v>11</x:v>
      </x:c>
      <x:c r="D99" s="31" t="n">
        <x:v>35172</x:v>
      </x:c>
      <x:c r="E99" s="31" t="str">
        <x:v>Brooklyn</x:v>
      </x:c>
      <x:c r="F99" s="31" t="str">
        <x:v>Bensonhurst</x:v>
      </x:c>
      <x:c r="G99" s="31" t="n">
        <x:v>50872.84007164676</x:v>
      </x:c>
      <x:c r="H99" s="31" t="n">
        <x:v>11932</x:v>
      </x:c>
      <x:c r="I99" s="31" t="n">
        <x:v>2.629354351836324</x:v>
      </x:c>
      <x:c r="J99" s="40" t="n">
        <x:v>0</x:v>
      </x:c>
      <x:c r="K99" s="40" t="n">
        <x:v>0.3291149849145156</x:v>
      </x:c>
      <x:c r="L99" s="40" t="n">
        <x:v>0.01391216895742541</x:v>
      </x:c>
      <x:c r="M99" s="31" t="n">
        <x:v>32.97910757106121</x:v>
      </x:c>
      <x:c r="N99" s="31" t="n">
        <x:v>23</x:v>
      </x:c>
      <x:c r="O99" s="31" t="n">
        <x:v>0.6539292619128853</x:v>
      </x:c>
      <x:c r="P99" s="31" t="n">
        <x:v>3.6185048608783106</x:v>
      </x:c>
      <x:c r="Q99" s="40" t="n">
        <x:v>0.6185048608783105</x:v>
      </x:c>
      <x:c r="R99" s="31" t="n">
        <x:v>0.13099615288898406</x:v>
      </x:c>
      <x:c r="S99" s="40"/>
      <x:c r="T99" s="40"/>
      <x:c r="U99" s="40" t="n">
        <x:v>1</x:v>
      </x:c>
      <x:c r="V99" s="40" t="n">
        <x:v>0.9966476701307408</x:v>
      </x:c>
      <x:c r="W99" s="31" t="n">
        <x:v>0</x:v>
      </x:c>
      <x:c r="X99" s="31" t="str"/>
      <x:c r="Y99" s="31" t="n">
        <x:v>0</x:v>
      </x:c>
      <x:c r="Z99" s="31" t="n">
        <x:v>0</x:v>
      </x:c>
      <x:c r="AA99" s="31" t="n">
        <x:v>0</x:v>
      </x:c>
      <x:c r="AB99" s="31" t="str"/>
      <x:c r="AC99" s="31" t="str"/>
    </x:row>
    <x:row r="100">
      <x:c r="A100" s="31" t="str">
        <x:v>1ed6b987eeb0134a</x:v>
      </x:c>
      <x:c r="B100" s="31" t="str">
        <x:v>1ed6b987eeb0134a94a125cb0abda5149fdb1891781907be5bc78c33b9e48b84</x:v>
      </x:c>
      <x:c r="C100" s="31" t="n">
        <x:v>6</x:v>
      </x:c>
      <x:c r="D100" s="31" t="n">
        <x:v>32999</x:v>
      </x:c>
      <x:c r="E100" s="31" t="str">
        <x:v>Queens</x:v>
      </x:c>
      <x:c r="F100" s="31" t="str">
        <x:v>Flushing-Willets Point</x:v>
      </x:c>
      <x:c r="G100" s="31" t="n">
        <x:v>64014.6088236252</x:v>
      </x:c>
      <x:c r="H100" s="31" t="n">
        <x:v>11728</x:v>
      </x:c>
      <x:c r="I100" s="31" t="n">
        <x:v>8.048670052509253</x:v>
      </x:c>
      <x:c r="J100" s="40" t="n">
        <x:v>0.28359481582537516</x:v>
      </x:c>
      <x:c r="K100" s="40" t="n">
        <x:v>0.4983799454297408</x:v>
      </x:c>
      <x:c r="L100" s="40" t="n">
        <x:v>0.09029672578444747</x:v>
      </x:c>
      <x:c r="M100" s="31" t="n">
        <x:v>78.90234023340317</x:v>
      </x:c>
      <x:c r="N100" s="31" t="n">
        <x:v>171</x:v>
      </x:c>
      <x:c r="O100" s="31" t="n">
        <x:v>5.181975211370041</x:v>
      </x:c>
      <x:c r="P100" s="31" t="n">
        <x:v>4</x:v>
      </x:c>
      <x:c r="Q100" s="40" t="n">
        <x:v>1</x:v>
      </x:c>
      <x:c r="R100" s="31" t="n">
        <x:v>0.2279706905684044</x:v>
      </x:c>
      <x:c r="S100" s="40"/>
      <x:c r="T100" s="40"/>
      <x:c r="U100" s="40" t="n">
        <x:v>1</x:v>
      </x:c>
      <x:c r="V100" s="40" t="n">
        <x:v>0.9809004092769441</x:v>
      </x:c>
      <x:c r="W100" s="31" t="n">
        <x:v>0</x:v>
      </x:c>
      <x:c r="X100" s="31" t="str"/>
      <x:c r="Y100" s="31" t="n">
        <x:v>0</x:v>
      </x:c>
      <x:c r="Z100" s="31" t="n">
        <x:v>0</x:v>
      </x:c>
      <x:c r="AA100" s="31" t="n">
        <x:v>0</x:v>
      </x:c>
      <x:c r="AB100" s="31" t="str"/>
      <x:c r="AC100" s="31" t="str"/>
    </x:row>
    <x:row r="101">
      <x:c r="A101" s="31" t="str">
        <x:v>1fd97863e1922eb7</x:v>
      </x:c>
      <x:c r="B101" s="31" t="str">
        <x:v>1fd97863e1922eb7a537157624e570a8f79f6ec1cf51a88cf6923da882fb26dd</x:v>
      </x:c>
      <x:c r="C101" s="31" t="n">
        <x:v>7</x:v>
      </x:c>
      <x:c r="D101" s="31" t="n">
        <x:v>36950</x:v>
      </x:c>
      <x:c r="E101" s="31" t="str">
        <x:v>Queens</x:v>
      </x:c>
      <x:c r="F101" s="31" t="str">
        <x:v>Kew Gardens Hills</x:v>
      </x:c>
      <x:c r="G101" s="31" t="n">
        <x:v>33506.03171858546</x:v>
      </x:c>
      <x:c r="H101" s="31" t="n">
        <x:v>14407</x:v>
      </x:c>
      <x:c r="I101" s="31" t="n">
        <x:v>4.795615486202823</x:v>
      </x:c>
      <x:c r="J101" s="40" t="n">
        <x:v>0.056916776566946624</x:v>
      </x:c>
      <x:c r="K101" s="40" t="n">
        <x:v>0.6194905254390227</x:v>
      </x:c>
      <x:c r="L101" s="40" t="n">
        <x:v>0.6453807177066704</x:v>
      </x:c>
      <x:c r="M101" s="31" t="n">
        <x:v>55.30264925954334</x:v>
      </x:c>
      <x:c r="N101" s="31" t="n">
        <x:v>180</x:v>
      </x:c>
      <x:c r="O101" s="31" t="n">
        <x:v>4.871447902571043</x:v>
      </x:c>
      <x:c r="P101" s="31" t="n">
        <x:v>1.9934753939057404</x:v>
      </x:c>
      <x:c r="Q101" s="40" t="n">
        <x:v>0</x:v>
      </x:c>
      <x:c r="R101" s="31" t="n">
        <x:v>0.13333521043751684</x:v>
      </x:c>
      <x:c r="S101" s="40"/>
      <x:c r="T101" s="40"/>
      <x:c r="U101" s="40" t="n">
        <x:v>1</x:v>
      </x:c>
      <x:c r="V101" s="40" t="n">
        <x:v>0.995557714999653</x:v>
      </x:c>
      <x:c r="W101" s="31" t="n">
        <x:v>0</x:v>
      </x:c>
      <x:c r="X101" s="31" t="str"/>
      <x:c r="Y101" s="31" t="n">
        <x:v>0</x:v>
      </x:c>
      <x:c r="Z101" s="31" t="n">
        <x:v>0</x:v>
      </x:c>
      <x:c r="AA101" s="31" t="n">
        <x:v>0</x:v>
      </x:c>
      <x:c r="AB101" s="31" t="str"/>
      <x:c r="AC101" s="31" t="str"/>
    </x:row>
    <x:row r="102">
      <x:c r="A102" s="31" t="str">
        <x:v>2006f52e96ad8d97</x:v>
      </x:c>
      <x:c r="B102" s="31" t="str">
        <x:v>2006f52e96ad8d97dbb5241ec0254d62829712fddb5ad5ff85e1dc9743599e1b</x:v>
      </x:c>
      <x:c r="C102" s="31" t="n">
        <x:v>9</x:v>
      </x:c>
      <x:c r="D102" s="31" t="n">
        <x:v>35314</x:v>
      </x:c>
      <x:c r="E102" s="31" t="str">
        <x:v>Brooklyn</x:v>
      </x:c>
      <x:c r="F102" s="31" t="str">
        <x:v>Ocean Hill</x:v>
      </x:c>
      <x:c r="G102" s="31" t="n">
        <x:v>55137.44407457131</x:v>
      </x:c>
      <x:c r="H102" s="31" t="n">
        <x:v>14483</x:v>
      </x:c>
      <x:c r="I102" s="31" t="n">
        <x:v>3.787514116318464</x:v>
      </x:c>
      <x:c r="J102" s="40" t="n">
        <x:v>0.058620451563902505</x:v>
      </x:c>
      <x:c r="K102" s="40" t="n">
        <x:v>0.6294966512462887</x:v>
      </x:c>
      <x:c r="L102" s="40" t="n">
        <x:v>0.021197265759856383</x:v>
      </x:c>
      <x:c r="M102" s="31" t="n">
        <x:v>44.37808789566026</x:v>
      </x:c>
      <x:c r="N102" s="31" t="n">
        <x:v>72</x:v>
      </x:c>
      <x:c r="O102" s="31" t="n">
        <x:v>2.03885144701818</x:v>
      </x:c>
      <x:c r="P102" s="31" t="n">
        <x:v>4.98619070634537</x:v>
      </x:c>
      <x:c r="Q102" s="40" t="n">
        <x:v>1</x:v>
      </x:c>
      <x:c r="R102" s="31" t="n">
        <x:v>0.10371458262494554</x:v>
      </x:c>
      <x:c r="S102" s="40"/>
      <x:c r="T102" s="40"/>
      <x:c r="U102" s="40" t="n">
        <x:v>1</x:v>
      </x:c>
      <x:c r="V102" s="40" t="n">
        <x:v>0.9767313401919492</x:v>
      </x:c>
      <x:c r="W102" s="31" t="n">
        <x:v>1</x:v>
      </x:c>
      <x:c r="X102" s="31" t="str"/>
      <x:c r="Y102" s="31" t="n">
        <x:v>0</x:v>
      </x:c>
      <x:c r="Z102" s="31" t="n">
        <x:v>1</x:v>
      </x:c>
      <x:c r="AA102" s="31" t="n">
        <x:v>0</x:v>
      </x:c>
      <x:c r="AB102" s="31" t="str"/>
      <x:c r="AC102" s="31" t="str"/>
    </x:row>
    <x:row r="103">
      <x:c r="A103" s="31" t="str">
        <x:v>20815d35ce09b1ee</x:v>
      </x:c>
      <x:c r="B103" s="31" t="str">
        <x:v>20815d35ce09b1ee6f2eb2f0d413393f33ccb0637d9e164dee61f1b01c4ece7a</x:v>
      </x:c>
      <x:c r="C103" s="31" t="n">
        <x:v>6</x:v>
      </x:c>
      <x:c r="D103" s="31" t="n">
        <x:v>35645</x:v>
      </x:c>
      <x:c r="E103" s="31" t="str">
        <x:v>Manhattan</x:v>
      </x:c>
      <x:c r="F103" s="31" t="str">
        <x:v>Upper East Side-Carnegie Hill</x:v>
      </x:c>
      <x:c r="G103" s="31" t="n">
        <x:v>128578.07931201288</x:v>
      </x:c>
      <x:c r="H103" s="31" t="n">
        <x:v>22696</x:v>
      </x:c>
      <x:c r="I103" s="31" t="n">
        <x:v>14.58259105741247</x:v>
      </x:c>
      <x:c r="J103" s="40" t="n">
        <x:v>0.6170690870637998</x:v>
      </x:c>
      <x:c r="K103" s="40" t="n">
        <x:v>0.38196157913288686</x:v>
      </x:c>
      <x:c r="L103" s="40" t="n">
        <x:v>0.021589707437433908</x:v>
      </x:c>
      <x:c r="M103" s="31" t="n">
        <x:v>153.19028490819898</x:v>
      </x:c>
      <x:c r="N103" s="31" t="n">
        <x:v>882</x:v>
      </x:c>
      <x:c r="O103" s="31" t="n">
        <x:v>24.74400336653107</x:v>
      </x:c>
      <x:c r="P103" s="31" t="n">
        <x:v>1.2793443778639408</x:v>
      </x:c>
      <x:c r="Q103" s="40" t="n">
        <x:v>0</x:v>
      </x:c>
      <x:c r="R103" s="31" t="n">
        <x:v>0.08596828077414881</x:v>
      </x:c>
      <x:c r="S103" s="40"/>
      <x:c r="T103" s="40"/>
      <x:c r="U103" s="40" t="n">
        <x:v>1</x:v>
      </x:c>
      <x:c r="V103" s="40" t="n">
        <x:v>0.9814945364821995</x:v>
      </x:c>
      <x:c r="W103" s="31" t="n">
        <x:v>1</x:v>
      </x:c>
      <x:c r="X103" s="31" t="str"/>
      <x:c r="Y103" s="31" t="n">
        <x:v>1</x:v>
      </x:c>
      <x:c r="Z103" s="31" t="n">
        <x:v>0</x:v>
      </x:c>
      <x:c r="AA103" s="31" t="n">
        <x:v>0</x:v>
      </x:c>
      <x:c r="AB103" s="31" t="str"/>
      <x:c r="AC103" s="31" t="str"/>
    </x:row>
    <x:row r="104">
      <x:c r="A104" s="31" t="str">
        <x:v>208f086350a0b67a</x:v>
      </x:c>
      <x:c r="B104" s="31" t="str">
        <x:v>208f086350a0b67adfc99135f8ba3b5f804f24b8710e1184ea784e2522a8466c</x:v>
      </x:c>
      <x:c r="C104" s="31" t="n">
        <x:v>8</x:v>
      </x:c>
      <x:c r="D104" s="31" t="n">
        <x:v>34265</x:v>
      </x:c>
      <x:c r="E104" s="31" t="str">
        <x:v>Bronx</x:v>
      </x:c>
      <x:c r="F104" s="31" t="str">
        <x:v>Mount Eden-Claremont (West)</x:v>
      </x:c>
      <x:c r="G104" s="31" t="n">
        <x:v>123559.57661407051</x:v>
      </x:c>
      <x:c r="H104" s="31" t="n">
        <x:v>12222</x:v>
      </x:c>
      <x:c r="I104" s="31" t="n">
        <x:v>6.2069628538700705</x:v>
      </x:c>
      <x:c r="J104" s="40" t="n">
        <x:v>0.07911962035673376</x:v>
      </x:c>
      <x:c r="K104" s="40" t="n">
        <x:v>0.8949435444280806</x:v>
      </x:c>
      <x:c r="L104" s="40" t="n">
        <x:v>0.04131893307151039</x:v>
      </x:c>
      <x:c r="M104" s="31" t="n">
        <x:v>72.3799377762349</x:v>
      </x:c>
      <x:c r="N104" s="31" t="n">
        <x:v>152</x:v>
      </x:c>
      <x:c r="O104" s="31" t="n">
        <x:v>4.43601342477747</x:v>
      </x:c>
      <x:c r="P104" s="31" t="n">
        <x:v>5</x:v>
      </x:c>
      <x:c r="Q104" s="40" t="n">
        <x:v>1</x:v>
      </x:c>
      <x:c r="R104" s="31" t="n">
        <x:v>0.0983524802805856</x:v>
      </x:c>
      <x:c r="S104" s="40"/>
      <x:c r="T104" s="40"/>
      <x:c r="U104" s="40" t="n">
        <x:v>1</x:v>
      </x:c>
      <x:c r="V104" s="40" t="n">
        <x:v>0.9948453608247423</x:v>
      </x:c>
      <x:c r="W104" s="31" t="n">
        <x:v>1</x:v>
      </x:c>
      <x:c r="X104" s="31" t="str"/>
      <x:c r="Y104" s="31" t="n">
        <x:v>0</x:v>
      </x:c>
      <x:c r="Z104" s="31" t="n">
        <x:v>1</x:v>
      </x:c>
      <x:c r="AA104" s="31" t="n">
        <x:v>0</x:v>
      </x:c>
      <x:c r="AB104" s="31" t="str"/>
      <x:c r="AC104" s="31" t="str"/>
    </x:row>
    <x:row r="105">
      <x:c r="A105" s="31" t="str">
        <x:v>208f36bc6726d6b5</x:v>
      </x:c>
      <x:c r="B105" s="31" t="str">
        <x:v>208f36bc6726d6b57f941875e1c07ec5b6f581b54a08dc5d453d61b58bc38242</x:v>
      </x:c>
      <x:c r="C105" s="31" t="n">
        <x:v>13</x:v>
      </x:c>
      <x:c r="D105" s="31" t="n">
        <x:v>34492</x:v>
      </x:c>
      <x:c r="E105" s="31" t="str">
        <x:v>Queens</x:v>
      </x:c>
      <x:c r="F105" s="31" t="str">
        <x:v>Middle Village</x:v>
      </x:c>
      <x:c r="G105" s="31" t="n">
        <x:v>29356.246437205835</x:v>
      </x:c>
      <x:c r="H105" s="31" t="n">
        <x:v>13682</x:v>
      </x:c>
      <x:c r="I105" s="31" t="n">
        <x:v>2.4453271437970616</x:v>
      </x:c>
      <x:c r="J105" s="40" t="n">
        <x:v>0</x:v>
      </x:c>
      <x:c r="K105" s="40" t="n">
        <x:v>0.2277444818009063</x:v>
      </x:c>
      <x:c r="L105" s="40" t="n">
        <x:v>0.07857038444671832</x:v>
      </x:c>
      <x:c r="M105" s="31" t="n">
        <x:v>29.02464347162821</x:v>
      </x:c>
      <x:c r="N105" s="31" t="n">
        <x:v>36</x:v>
      </x:c>
      <x:c r="O105" s="31" t="n">
        <x:v>1.0437202829641656</x:v>
      </x:c>
      <x:c r="P105" s="31" t="n">
        <x:v>1.065048969448911</x:v>
      </x:c>
      <x:c r="Q105" s="40" t="n">
        <x:v>0</x:v>
      </x:c>
      <x:c r="R105" s="31" t="n">
        <x:v>0.27385467329928403</x:v>
      </x:c>
      <x:c r="S105" s="40"/>
      <x:c r="T105" s="40"/>
      <x:c r="U105" s="40" t="n">
        <x:v>1</x:v>
      </x:c>
      <x:c r="V105" s="40" t="n">
        <x:v>0.9978804268381816</x:v>
      </x:c>
      <x:c r="W105" s="31" t="n">
        <x:v>0</x:v>
      </x:c>
      <x:c r="X105" s="31" t="str"/>
      <x:c r="Y105" s="31" t="n">
        <x:v>0</x:v>
      </x:c>
      <x:c r="Z105" s="31" t="n">
        <x:v>0</x:v>
      </x:c>
      <x:c r="AA105" s="31" t="n">
        <x:v>0</x:v>
      </x:c>
      <x:c r="AB105" s="31" t="str"/>
      <x:c r="AC105" s="31" t="str"/>
    </x:row>
    <x:row r="106">
      <x:c r="A106" s="31" t="str">
        <x:v>212bbbb5ffc2a58b</x:v>
      </x:c>
      <x:c r="B106" s="31" t="str">
        <x:v>212bbbb5ffc2a58bfdf4624e42adea2f227024a9659fd839cfdd173c210b145f</x:v>
      </x:c>
      <x:c r="C106" s="31" t="n">
        <x:v>8</x:v>
      </x:c>
      <x:c r="D106" s="31" t="n">
        <x:v>32646</x:v>
      </x:c>
      <x:c r="E106" s="31" t="str">
        <x:v>Manhattan</x:v>
      </x:c>
      <x:c r="F106" s="31" t="str">
        <x:v>Upper East Side-Yorkville</x:v>
      </x:c>
      <x:c r="G106" s="31" t="n">
        <x:v>171242.401293079</x:v>
      </x:c>
      <x:c r="H106" s="31" t="n">
        <x:v>20123</x:v>
      </x:c>
      <x:c r="I106" s="31" t="n">
        <x:v>14.256944789544303</x:v>
      </x:c>
      <x:c r="J106" s="40" t="n">
        <x:v>0.5377428812801273</x:v>
      </x:c>
      <x:c r="K106" s="40" t="n">
        <x:v>0.46180986930378176</x:v>
      </x:c>
      <x:c r="L106" s="40" t="n">
        <x:v>0.032102569199423545</x:v>
      </x:c>
      <x:c r="M106" s="31" t="n">
        <x:v>135.75954763076794</x:v>
      </x:c>
      <x:c r="N106" s="31" t="n">
        <x:v>350</x:v>
      </x:c>
      <x:c r="O106" s="31" t="n">
        <x:v>10.721068431048215</x:v>
      </x:c>
      <x:c r="P106" s="31" t="n">
        <x:v>1.4819360930278787</x:v>
      </x:c>
      <x:c r="Q106" s="40" t="n">
        <x:v>0</x:v>
      </x:c>
      <x:c r="R106" s="31" t="n">
        <x:v>0.15359898650607406</x:v>
      </x:c>
      <x:c r="S106" s="40"/>
      <x:c r="T106" s="40"/>
      <x:c r="U106" s="40" t="n">
        <x:v>1</x:v>
      </x:c>
      <x:c r="V106" s="40" t="n">
        <x:v>0.9978631416786762</x:v>
      </x:c>
      <x:c r="W106" s="31" t="n">
        <x:v>1</x:v>
      </x:c>
      <x:c r="X106" s="31" t="str"/>
      <x:c r="Y106" s="31" t="n">
        <x:v>1</x:v>
      </x:c>
      <x:c r="Z106" s="31" t="n">
        <x:v>0</x:v>
      </x:c>
      <x:c r="AA106" s="31" t="n">
        <x:v>0</x:v>
      </x:c>
      <x:c r="AB106" s="31" t="str"/>
      <x:c r="AC106" s="31" t="str"/>
    </x:row>
    <x:row r="107">
      <x:c r="A107" s="31" t="str">
        <x:v>21805dab74179ce8</x:v>
      </x:c>
      <x:c r="B107" s="31" t="str">
        <x:v>21805dab74179ce8022fc0679d3fdfacd88ec2a4586566941732c5e8f6cbd99f</x:v>
      </x:c>
      <x:c r="C107" s="31" t="n">
        <x:v>7</x:v>
      </x:c>
      <x:c r="D107" s="31" t="n">
        <x:v>33507</x:v>
      </x:c>
      <x:c r="E107" s="31" t="str">
        <x:v>Brooklyn</x:v>
      </x:c>
      <x:c r="F107" s="31" t="str">
        <x:v>Sunset Park (Central)</x:v>
      </x:c>
      <x:c r="G107" s="31" t="n">
        <x:v>114647.10860198818</x:v>
      </x:c>
      <x:c r="H107" s="31" t="n">
        <x:v>7795</x:v>
      </x:c>
      <x:c r="I107" s="31" t="n">
        <x:v>2.9630987543341467</x:v>
      </x:c>
      <x:c r="J107" s="40" t="n">
        <x:v>0</x:v>
      </x:c>
      <x:c r="K107" s="40" t="n">
        <x:v>0.5713919178960872</x:v>
      </x:c>
      <x:c r="L107" s="40" t="n">
        <x:v>0.0021808851828094933</x:v>
      </x:c>
      <x:c r="M107" s="31" t="n">
        <x:v>34.95223773700899</x:v>
      </x:c>
      <x:c r="N107" s="31" t="n">
        <x:v>202</x:v>
      </x:c>
      <x:c r="O107" s="31" t="n">
        <x:v>6.028591040678068</x:v>
      </x:c>
      <x:c r="P107" s="31" t="n">
        <x:v>3</x:v>
      </x:c>
      <x:c r="Q107" s="40" t="n">
        <x:v>0</x:v>
      </x:c>
      <x:c r="R107" s="31" t="n">
        <x:v>0.19191375217165146</x:v>
      </x:c>
      <x:c r="S107" s="40"/>
      <x:c r="T107" s="40"/>
      <x:c r="U107" s="40" t="n">
        <x:v>1</x:v>
      </x:c>
      <x:c r="V107" s="40" t="n">
        <x:v>0.9843489416292496</x:v>
      </x:c>
      <x:c r="W107" s="31" t="n">
        <x:v>0</x:v>
      </x:c>
      <x:c r="X107" s="31" t="str"/>
      <x:c r="Y107" s="31" t="n">
        <x:v>0</x:v>
      </x:c>
      <x:c r="Z107" s="31" t="n">
        <x:v>0</x:v>
      </x:c>
      <x:c r="AA107" s="31" t="n">
        <x:v>0</x:v>
      </x:c>
      <x:c r="AB107" s="31" t="str"/>
      <x:c r="AC107" s="31" t="str"/>
    </x:row>
    <x:row r="108">
      <x:c r="A108" s="31" t="str">
        <x:v>21ef6781856d1df8</x:v>
      </x:c>
      <x:c r="B108" s="31" t="str">
        <x:v>21ef6781856d1df8893bc70bef9138604eb5d9402d3f42c63aee73f7c0c3a1b3</x:v>
      </x:c>
      <x:c r="C108" s="31" t="n">
        <x:v>6</x:v>
      </x:c>
      <x:c r="D108" s="31" t="n">
        <x:v>34590</x:v>
      </x:c>
      <x:c r="E108" s="31" t="str">
        <x:v>Bronx</x:v>
      </x:c>
      <x:c r="F108" s="31" t="str">
        <x:v>Kingsbridge Heights-Van Cortlandt Village</x:v>
      </x:c>
      <x:c r="G108" s="31" t="n">
        <x:v>77933.55081813967</x:v>
      </x:c>
      <x:c r="H108" s="31" t="n">
        <x:v>13268</x:v>
      </x:c>
      <x:c r="I108" s="31" t="n">
        <x:v>7.506463405442075</x:v>
      </x:c>
      <x:c r="J108" s="40" t="n">
        <x:v>0.17410310521555622</x:v>
      </x:c>
      <x:c r="K108" s="40" t="n">
        <x:v>0.7594211637021405</x:v>
      </x:c>
      <x:c r="L108" s="40" t="n">
        <x:v>0.1156918902622852</x:v>
      </x:c>
      <x:c r="M108" s="31" t="n">
        <x:v>82.99113494996745</x:v>
      </x:c>
      <x:c r="N108" s="31" t="n">
        <x:v>153</x:v>
      </x:c>
      <x:c r="O108" s="31" t="n">
        <x:v>4.423243712055508</x:v>
      </x:c>
      <x:c r="P108" s="31" t="n">
        <x:v>2.071073258968948</x:v>
      </x:c>
      <x:c r="Q108" s="40" t="n">
        <x:v>0.35702441965631593</x:v>
      </x:c>
      <x:c r="R108" s="31" t="n">
        <x:v>0.08591364726222503</x:v>
      </x:c>
      <x:c r="S108" s="40"/>
      <x:c r="T108" s="40"/>
      <x:c r="U108" s="40" t="n">
        <x:v>1</x:v>
      </x:c>
      <x:c r="V108" s="40" t="n">
        <x:v>0.9724148326801326</x:v>
      </x:c>
      <x:c r="W108" s="31" t="n">
        <x:v>0</x:v>
      </x:c>
      <x:c r="X108" s="31" t="str"/>
      <x:c r="Y108" s="31" t="n">
        <x:v>0</x:v>
      </x:c>
      <x:c r="Z108" s="31" t="n">
        <x:v>0</x:v>
      </x:c>
      <x:c r="AA108" s="31" t="n">
        <x:v>0</x:v>
      </x:c>
      <x:c r="AB108" s="31" t="str"/>
      <x:c r="AC108" s="31" t="str"/>
    </x:row>
    <x:row r="109">
      <x:c r="A109" s="31" t="str">
        <x:v>22151d0c1f394c30</x:v>
      </x:c>
      <x:c r="B109" s="31" t="str">
        <x:v>22151d0c1f394c30e77adfa637fb9e310a0c21a55efb3fb60ca37ec2c753114c</x:v>
      </x:c>
      <x:c r="C109" s="31" t="n">
        <x:v>11</x:v>
      </x:c>
      <x:c r="D109" s="31" t="n">
        <x:v>32224</x:v>
      </x:c>
      <x:c r="E109" s="31" t="str">
        <x:v>Queens</x:v>
      </x:c>
      <x:c r="F109" s="31" t="str">
        <x:v>South Ozone Park</x:v>
      </x:c>
      <x:c r="G109" s="31" t="n">
        <x:v>37931.939184670846</x:v>
      </x:c>
      <x:c r="H109" s="31" t="n">
        <x:v>8545</x:v>
      </x:c>
      <x:c r="I109" s="31" t="n">
        <x:v>2.3850029284291905</x:v>
      </x:c>
      <x:c r="J109" s="40" t="n">
        <x:v>0</x:v>
      </x:c>
      <x:c r="K109" s="40" t="n">
        <x:v>0.10193095377413693</x:v>
      </x:c>
      <x:c r="L109" s="40" t="n">
        <x:v>0.01954359274429491</x:v>
      </x:c>
      <x:c r="M109" s="31" t="n">
        <x:v>29.22753071896208</x:v>
      </x:c>
      <x:c r="N109" s="31" t="n">
        <x:v>7</x:v>
      </x:c>
      <x:c r="O109" s="31" t="n">
        <x:v>0.21722939424031776</x:v>
      </x:c>
      <x:c r="P109" s="31" t="n">
        <x:v>4</x:v>
      </x:c>
      <x:c r="Q109" s="40" t="n">
        <x:v>1</x:v>
      </x:c>
      <x:c r="R109" s="31" t="n">
        <x:v>0.16807655430549523</x:v>
      </x:c>
      <x:c r="S109" s="40"/>
      <x:c r="T109" s="40"/>
      <x:c r="U109" s="40" t="n">
        <x:v>1</x:v>
      </x:c>
      <x:c r="V109" s="40" t="n">
        <x:v>0.9967232299590404</x:v>
      </x:c>
      <x:c r="W109" s="31" t="n">
        <x:v>0</x:v>
      </x:c>
      <x:c r="X109" s="31" t="str"/>
      <x:c r="Y109" s="31" t="n">
        <x:v>0</x:v>
      </x:c>
      <x:c r="Z109" s="31" t="n">
        <x:v>0</x:v>
      </x:c>
      <x:c r="AA109" s="31" t="n">
        <x:v>0</x:v>
      </x:c>
      <x:c r="AB109" s="31" t="str"/>
      <x:c r="AC109" s="31" t="str"/>
    </x:row>
    <x:row r="110">
      <x:c r="A110" s="31" t="str">
        <x:v>222b1a917bf733dd</x:v>
      </x:c>
      <x:c r="B110" s="31" t="str">
        <x:v>222b1a917bf733dd77a275637ff3ba6498fcccdeafff0c54df445cb2baf50434</x:v>
      </x:c>
      <x:c r="C110" s="31" t="n">
        <x:v>10</x:v>
      </x:c>
      <x:c r="D110" s="31" t="n">
        <x:v>37879</x:v>
      </x:c>
      <x:c r="E110" s="31" t="str">
        <x:v>Staten Island</x:v>
      </x:c>
      <x:c r="F110" s="31" t="str">
        <x:v>Grasmere-Arrochar-South Beach-Dongan Hills</x:v>
      </x:c>
      <x:c r="G110" s="31" t="n">
        <x:v>9784.608475178546</x:v>
      </x:c>
      <x:c r="H110" s="31" t="n">
        <x:v>13709</x:v>
      </x:c>
      <x:c r="I110" s="31" t="n">
        <x:v>2.42451466939133</x:v>
      </x:c>
      <x:c r="J110" s="40" t="n">
        <x:v>0</x:v>
      </x:c>
      <x:c r="K110" s="40" t="n">
        <x:v>0.2086950178714713</x:v>
      </x:c>
      <x:c r="L110" s="40" t="n">
        <x:v>0.11751404187030418</x:v>
      </x:c>
      <x:c r="M110" s="31" t="n">
        <x:v>31.34215600066263</x:v>
      </x:c>
      <x:c r="N110" s="31" t="n">
        <x:v>113</x:v>
      </x:c>
      <x:c r="O110" s="31" t="n">
        <x:v>2.9831832941735525</x:v>
      </x:c>
      <x:c r="P110" s="31" t="n">
        <x:v>2.3709971551535487</x:v>
      </x:c>
      <x:c r="Q110" s="40" t="n">
        <x:v>0</x:v>
      </x:c>
      <x:c r="R110" s="31" t="n">
        <x:v>0.2828961686397008</x:v>
      </x:c>
      <x:c r="S110" s="40"/>
      <x:c r="T110" s="40"/>
      <x:c r="U110" s="40" t="n">
        <x:v>1</x:v>
      </x:c>
      <x:c r="V110" s="40" t="n">
        <x:v>0.9874534977022394</x:v>
      </x:c>
      <x:c r="W110" s="31" t="n">
        <x:v>0</x:v>
      </x:c>
      <x:c r="X110" s="31" t="str"/>
      <x:c r="Y110" s="31" t="n">
        <x:v>0</x:v>
      </x:c>
      <x:c r="Z110" s="31" t="n">
        <x:v>0</x:v>
      </x:c>
      <x:c r="AA110" s="31" t="n">
        <x:v>0</x:v>
      </x:c>
      <x:c r="AB110" s="31" t="str"/>
      <x:c r="AC110" s="31" t="str"/>
    </x:row>
    <x:row r="111">
      <x:c r="A111" s="31" t="str">
        <x:v>226c53be5b401dae</x:v>
      </x:c>
      <x:c r="B111" s="31" t="str">
        <x:v>226c53be5b401daeeab3487208fb253ff49cffa995365afe75c32a7f82ed1b1d</x:v>
      </x:c>
      <x:c r="C111" s="31" t="n">
        <x:v>7</x:v>
      </x:c>
      <x:c r="D111" s="31" t="n">
        <x:v>37566</x:v>
      </x:c>
      <x:c r="E111" s="31" t="str">
        <x:v>Brooklyn</x:v>
      </x:c>
      <x:c r="F111" s="31" t="str">
        <x:v>Sunset Park (Central)</x:v>
      </x:c>
      <x:c r="G111" s="31" t="n">
        <x:v>95029.07462482627</x:v>
      </x:c>
      <x:c r="H111" s="31" t="n">
        <x:v>9727</x:v>
      </x:c>
      <x:c r="I111" s="31" t="n">
        <x:v>3.083393669838643</x:v>
      </x:c>
      <x:c r="J111" s="40" t="n">
        <x:v>0</x:v>
      </x:c>
      <x:c r="K111" s="40" t="n">
        <x:v>0.6095404544052637</x:v>
      </x:c>
      <x:c r="L111" s="40" t="n">
        <x:v>0.012233987868818751</x:v>
      </x:c>
      <x:c r="M111" s="31" t="n">
        <x:v>38.236924623061206</x:v>
      </x:c>
      <x:c r="N111" s="31" t="n">
        <x:v>73</x:v>
      </x:c>
      <x:c r="O111" s="31" t="n">
        <x:v>1.943246552733855</x:v>
      </x:c>
      <x:c r="P111" s="31" t="n">
        <x:v>3.0048319111750796</x:v>
      </x:c>
      <x:c r="Q111" s="40" t="n">
        <x:v>0.004831911175079675</x:v>
      </x:c>
      <x:c r="R111" s="31" t="n">
        <x:v>0.1255119060383907</x:v>
      </x:c>
      <x:c r="S111" s="40"/>
      <x:c r="T111" s="40"/>
      <x:c r="U111" s="40" t="n">
        <x:v>1</x:v>
      </x:c>
      <x:c r="V111" s="40" t="n">
        <x:v>0.9860182995784929</x:v>
      </x:c>
      <x:c r="W111" s="31" t="n">
        <x:v>0</x:v>
      </x:c>
      <x:c r="X111" s="31" t="str"/>
      <x:c r="Y111" s="31" t="n">
        <x:v>0</x:v>
      </x:c>
      <x:c r="Z111" s="31" t="n">
        <x:v>0</x:v>
      </x:c>
      <x:c r="AA111" s="31" t="n">
        <x:v>0</x:v>
      </x:c>
      <x:c r="AB111" s="31" t="str"/>
      <x:c r="AC111" s="31" t="str"/>
    </x:row>
    <x:row r="112">
      <x:c r="A112" s="31" t="str">
        <x:v>22749a8976ee1432</x:v>
      </x:c>
      <x:c r="B112" s="31" t="str">
        <x:v>22749a8976ee1432ab5252cc409d35b2f5da85e556f27353b0d8f569ebf9a094</x:v>
      </x:c>
      <x:c r="C112" s="31" t="n">
        <x:v>8</x:v>
      </x:c>
      <x:c r="D112" s="31" t="n">
        <x:v>34890</x:v>
      </x:c>
      <x:c r="E112" s="31" t="str">
        <x:v>Brooklyn</x:v>
      </x:c>
      <x:c r="F112" s="31" t="str">
        <x:v>Flatbush</x:v>
      </x:c>
      <x:c r="G112" s="31" t="n">
        <x:v>90273.73143230985</x:v>
      </x:c>
      <x:c r="H112" s="31" t="n">
        <x:v>14585</x:v>
      </x:c>
      <x:c r="I112" s="31" t="n">
        <x:v>5.65128954607978</x:v>
      </x:c>
      <x:c r="J112" s="40" t="n">
        <x:v>0.051696948920123414</x:v>
      </x:c>
      <x:c r="K112" s="40" t="n">
        <x:v>0.8953719574905725</x:v>
      </x:c>
      <x:c r="L112" s="40" t="n">
        <x:v>0.011724374357216318</x:v>
      </x:c>
      <x:c r="M112" s="31" t="n">
        <x:v>62.22361853594616</x:v>
      </x:c>
      <x:c r="N112" s="31" t="n">
        <x:v>240</x:v>
      </x:c>
      <x:c r="O112" s="31" t="n">
        <x:v>6.878761822871883</x:v>
      </x:c>
      <x:c r="P112" s="31" t="n">
        <x:v>4.831744943435036</x:v>
      </x:c>
      <x:c r="Q112" s="40" t="n">
        <x:v>0.915872471717518</x:v>
      </x:c>
      <x:c r="R112" s="31" t="n">
        <x:v>0.15495245951102582</x:v>
      </x:c>
      <x:c r="S112" s="40"/>
      <x:c r="T112" s="40"/>
      <x:c r="U112" s="40" t="n">
        <x:v>1</x:v>
      </x:c>
      <x:c r="V112" s="40" t="n">
        <x:v>0.9956804936578677</x:v>
      </x:c>
      <x:c r="W112" s="31" t="n">
        <x:v>0</x:v>
      </x:c>
      <x:c r="X112" s="31" t="str"/>
      <x:c r="Y112" s="31" t="n">
        <x:v>0</x:v>
      </x:c>
      <x:c r="Z112" s="31" t="n">
        <x:v>0</x:v>
      </x:c>
      <x:c r="AA112" s="31" t="n">
        <x:v>0</x:v>
      </x:c>
      <x:c r="AB112" s="31" t="str"/>
      <x:c r="AC112" s="31" t="str"/>
    </x:row>
    <x:row r="113">
      <x:c r="A113" s="31" t="str">
        <x:v>228fb9b914d313ea</x:v>
      </x:c>
      <x:c r="B113" s="31" t="str">
        <x:v>228fb9b914d313eaedead68aa95f66544c87a5cc678b56b81bf2d80722e7622b</x:v>
      </x:c>
      <x:c r="C113" s="31" t="n">
        <x:v>5</x:v>
      </x:c>
      <x:c r="D113" s="31" t="n">
        <x:v>34225</x:v>
      </x:c>
      <x:c r="E113" s="31" t="str">
        <x:v>Manhattan</x:v>
      </x:c>
      <x:c r="F113" s="31" t="str">
        <x:v>Chelsea-Hudson Yards</x:v>
      </x:c>
      <x:c r="G113" s="31" t="n">
        <x:v>102809.3525756061</x:v>
      </x:c>
      <x:c r="H113" s="31" t="n">
        <x:v>21109</x:v>
      </x:c>
      <x:c r="I113" s="31" t="n">
        <x:v>12.091476140783607</x:v>
      </x:c>
      <x:c r="J113" s="40" t="n">
        <x:v>0.5597612392818229</x:v>
      </x:c>
      <x:c r="K113" s="40" t="n">
        <x:v>0.4383912075418068</x:v>
      </x:c>
      <x:c r="L113" s="40" t="n">
        <x:v>0.18053910654223318</x:v>
      </x:c>
      <x:c r="M113" s="31" t="n">
        <x:v>126.67318187001779</x:v>
      </x:c>
      <x:c r="N113" s="31" t="n">
        <x:v>507</x:v>
      </x:c>
      <x:c r="O113" s="31" t="n">
        <x:v>14.81373265157049</x:v>
      </x:c>
      <x:c r="P113" s="31" t="n">
        <x:v>1.3401866502439717</x:v>
      </x:c>
      <x:c r="Q113" s="40" t="n">
        <x:v>0</x:v>
      </x:c>
      <x:c r="R113" s="31" t="n">
        <x:v>0.09350789186072674</x:v>
      </x:c>
      <x:c r="S113" s="40"/>
      <x:c r="T113" s="40"/>
      <x:c r="U113" s="40" t="n">
        <x:v>1</x:v>
      </x:c>
      <x:c r="V113" s="40" t="n">
        <x:v>0.9841773651049316</x:v>
      </x:c>
      <x:c r="W113" s="31" t="n">
        <x:v>1</x:v>
      </x:c>
      <x:c r="X113" s="31" t="str"/>
      <x:c r="Y113" s="31" t="n">
        <x:v>1</x:v>
      </x:c>
      <x:c r="Z113" s="31" t="n">
        <x:v>0</x:v>
      </x:c>
      <x:c r="AA113" s="31" t="n">
        <x:v>0</x:v>
      </x:c>
      <x:c r="AB113" s="31" t="str"/>
      <x:c r="AC113" s="31" t="str"/>
    </x:row>
    <x:row r="114">
      <x:c r="A114" s="31" t="str">
        <x:v>229f6963920d68fc</x:v>
      </x:c>
      <x:c r="B114" s="31" t="str">
        <x:v>229f6963920d68fcb2e503d34ae8a2a4d82b802542ee7c32c02a3b67b9c34d8e</x:v>
      </x:c>
      <x:c r="C114" s="31" t="n">
        <x:v>10</x:v>
      </x:c>
      <x:c r="D114" s="31" t="n">
        <x:v>32437</x:v>
      </x:c>
      <x:c r="E114" s="31" t="str">
        <x:v>Brooklyn</x:v>
      </x:c>
      <x:c r="F114" s="31" t="str">
        <x:v>Bay Ridge</x:v>
      </x:c>
      <x:c r="G114" s="31" t="n">
        <x:v>48123.27007399715</x:v>
      </x:c>
      <x:c r="H114" s="31" t="n">
        <x:v>11781</x:v>
      </x:c>
      <x:c r="I114" s="31" t="n">
        <x:v>3.1809256114130435</x:v>
      </x:c>
      <x:c r="J114" s="40" t="n">
        <x:v>0</x:v>
      </x:c>
      <x:c r="K114" s="40" t="n">
        <x:v>0.5231304643069349</x:v>
      </x:c>
      <x:c r="L114" s="40" t="n">
        <x:v>0.0071301247771836</x:v>
      </x:c>
      <x:c r="M114" s="31" t="n">
        <x:v>38.23108146677855</x:v>
      </x:c>
      <x:c r="N114" s="31" t="n">
        <x:v>56</x:v>
      </x:c>
      <x:c r="O114" s="31" t="n">
        <x:v>1.7264235286863767</x:v>
      </x:c>
      <x:c r="P114" s="31" t="n">
        <x:v>2.370426958662253</x:v>
      </x:c>
      <x:c r="Q114" s="40" t="n">
        <x:v>0.0009337068160597573</x:v>
      </x:c>
      <x:c r="R114" s="31" t="n">
        <x:v>0.19006461895904395</x:v>
      </x:c>
      <x:c r="S114" s="40"/>
      <x:c r="T114" s="40"/>
      <x:c r="U114" s="40" t="n">
        <x:v>1</x:v>
      </x:c>
      <x:c r="V114" s="40" t="n">
        <x:v>0.998896528308293</x:v>
      </x:c>
      <x:c r="W114" s="31" t="n">
        <x:v>0</x:v>
      </x:c>
      <x:c r="X114" s="31" t="str"/>
      <x:c r="Y114" s="31" t="n">
        <x:v>0</x:v>
      </x:c>
      <x:c r="Z114" s="31" t="n">
        <x:v>0</x:v>
      </x:c>
      <x:c r="AA114" s="31" t="n">
        <x:v>0</x:v>
      </x:c>
      <x:c r="AB114" s="31" t="str"/>
      <x:c r="AC114" s="31" t="str"/>
    </x:row>
    <x:row r="115">
      <x:c r="A115" s="31" t="str">
        <x:v>22bdfb2b69eb2797</x:v>
      </x:c>
      <x:c r="B115" s="31" t="str">
        <x:v>22bdfb2b69eb27977943566af7cc27ce84021dbf0b791bb5a7d2168a38b1a326</x:v>
      </x:c>
      <x:c r="C115" s="31" t="n">
        <x:v>9</x:v>
      </x:c>
      <x:c r="D115" s="31" t="n">
        <x:v>34419</x:v>
      </x:c>
      <x:c r="E115" s="31" t="str">
        <x:v>Queens</x:v>
      </x:c>
      <x:c r="F115" s="31" t="str">
        <x:v>Bayside</x:v>
      </x:c>
      <x:c r="G115" s="31" t="n">
        <x:v>18449.00320183684</x:v>
      </x:c>
      <x:c r="H115" s="31" t="n">
        <x:v>12256</x:v>
      </x:c>
      <x:c r="I115" s="31" t="n">
        <x:v>2.3522414638131024</x:v>
      </x:c>
      <x:c r="J115" s="40" t="n">
        <x:v>0.025620104438642297</x:v>
      </x:c>
      <x:c r="K115" s="40" t="n">
        <x:v>0.12116514360313316</x:v>
      </x:c>
      <x:c r="L115" s="40" t="n">
        <x:v>0.2912859007832898</x:v>
      </x:c>
      <x:c r="M115" s="31" t="n">
        <x:v>29.689775861967963</x:v>
      </x:c>
      <x:c r="N115" s="31" t="n">
        <x:v>14</x:v>
      </x:c>
      <x:c r="O115" s="31" t="n">
        <x:v>0.40675208460443363</x:v>
      </x:c>
      <x:c r="P115" s="31" t="n">
        <x:v>2</x:v>
      </x:c>
      <x:c r="Q115" s="40" t="n">
        <x:v>0</x:v>
      </x:c>
      <x:c r="R115" s="31" t="n">
        <x:v>0.18194656898998826</x:v>
      </x:c>
      <x:c r="S115" s="40"/>
      <x:c r="T115" s="40"/>
      <x:c r="U115" s="40" t="n">
        <x:v>1</x:v>
      </x:c>
      <x:c r="V115" s="40" t="n">
        <x:v>0.9780515665796344</x:v>
      </x:c>
      <x:c r="W115" s="31" t="n">
        <x:v>0</x:v>
      </x:c>
      <x:c r="X115" s="31" t="str"/>
      <x:c r="Y115" s="31" t="n">
        <x:v>0</x:v>
      </x:c>
      <x:c r="Z115" s="31" t="n">
        <x:v>0</x:v>
      </x:c>
      <x:c r="AA115" s="31" t="n">
        <x:v>0</x:v>
      </x:c>
      <x:c r="AB115" s="31" t="str"/>
      <x:c r="AC115" s="31" t="str"/>
    </x:row>
    <x:row r="116">
      <x:c r="A116" s="31" t="str">
        <x:v>22f5e3d23a8fe141</x:v>
      </x:c>
      <x:c r="B116" s="31" t="str">
        <x:v>22f5e3d23a8fe141c3a7e2e76297a775c1f3f2eb8d8ed932555c5e4a31a19aea</x:v>
      </x:c>
      <x:c r="C116" s="31" t="n">
        <x:v>9</x:v>
      </x:c>
      <x:c r="D116" s="31" t="n">
        <x:v>33750</x:v>
      </x:c>
      <x:c r="E116" s="31" t="str">
        <x:v>Queens</x:v>
      </x:c>
      <x:c r="F116" s="31" t="str">
        <x:v>Kew Gardens Hills</x:v>
      </x:c>
      <x:c r="G116" s="31" t="n">
        <x:v>32893.68416772411</x:v>
      </x:c>
      <x:c r="H116" s="31" t="n">
        <x:v>12458</x:v>
      </x:c>
      <x:c r="I116" s="31" t="n">
        <x:v>3.8411095846128984</x:v>
      </x:c>
      <x:c r="J116" s="40" t="n">
        <x:v>0.06790817145609247</x:v>
      </x:c>
      <x:c r="K116" s="40" t="n">
        <x:v>0.44244662064536844</x:v>
      </x:c>
      <x:c r="L116" s="40" t="n">
        <x:v>0.4077701075614063</x:v>
      </x:c>
      <x:c r="M116" s="31" t="n">
        <x:v>44.41628740082648</x:v>
      </x:c>
      <x:c r="N116" s="31" t="n">
        <x:v>82</x:v>
      </x:c>
      <x:c r="O116" s="31" t="n">
        <x:v>2.4296296296296296</x:v>
      </x:c>
      <x:c r="P116" s="31" t="n">
        <x:v>1.9783271793225237</x:v>
      </x:c>
      <x:c r="Q116" s="40" t="n">
        <x:v>0.05562690640552256</x:v>
      </x:c>
      <x:c r="R116" s="31" t="n">
        <x:v>0.17188433099235548</x:v>
      </x:c>
      <x:c r="S116" s="40"/>
      <x:c r="T116" s="40"/>
      <x:c r="U116" s="40" t="n">
        <x:v>1</x:v>
      </x:c>
      <x:c r="V116" s="40" t="n">
        <x:v>0.9945416599775245</x:v>
      </x:c>
      <x:c r="W116" s="31" t="n">
        <x:v>0</x:v>
      </x:c>
      <x:c r="X116" s="31" t="str"/>
      <x:c r="Y116" s="31" t="n">
        <x:v>0</x:v>
      </x:c>
      <x:c r="Z116" s="31" t="n">
        <x:v>0</x:v>
      </x:c>
      <x:c r="AA116" s="31" t="n">
        <x:v>0</x:v>
      </x:c>
      <x:c r="AB116" s="31" t="str"/>
      <x:c r="AC116" s="31" t="str"/>
    </x:row>
    <x:row r="117">
      <x:c r="A117" s="31" t="str">
        <x:v>232a65d9f0c41936</x:v>
      </x:c>
      <x:c r="B117" s="31" t="str">
        <x:v>232a65d9f0c41936921815a400ee597f2586b876f6223c7330a6686be91f42d4</x:v>
      </x:c>
      <x:c r="C117" s="31" t="n">
        <x:v>6</x:v>
      </x:c>
      <x:c r="D117" s="31" t="n">
        <x:v>35092</x:v>
      </x:c>
      <x:c r="E117" s="31" t="str">
        <x:v>Brooklyn</x:v>
      </x:c>
      <x:c r="F117" s="31" t="str">
        <x:v>Borough Park</x:v>
      </x:c>
      <x:c r="G117" s="31" t="n">
        <x:v>82631.58658026539</x:v>
      </x:c>
      <x:c r="H117" s="31" t="n">
        <x:v>9737</x:v>
      </x:c>
      <x:c r="I117" s="31" t="n">
        <x:v>4.015292964720445</x:v>
      </x:c>
      <x:c r="J117" s="40" t="n">
        <x:v>0</x:v>
      </x:c>
      <x:c r="K117" s="40" t="n">
        <x:v>0.820683988908288</x:v>
      </x:c>
      <x:c r="L117" s="40" t="n">
        <x:v>0.002156721782890007</x:v>
      </x:c>
      <x:c r="M117" s="31" t="n">
        <x:v>45.95027443494294</x:v>
      </x:c>
      <x:c r="N117" s="31" t="n">
        <x:v>179</x:v>
      </x:c>
      <x:c r="O117" s="31" t="n">
        <x:v>5.100877692921464</x:v>
      </x:c>
      <x:c r="P117" s="31" t="n">
        <x:v>3.9912704118311595</x:v>
      </x:c>
      <x:c r="Q117" s="40" t="n">
        <x:v>0.9912704118311595</x:v>
      </x:c>
      <x:c r="R117" s="31" t="n">
        <x:v>0.23979174402509074</x:v>
      </x:c>
      <x:c r="S117" s="40"/>
      <x:c r="T117" s="40"/>
      <x:c r="U117" s="40" t="n">
        <x:v>1</x:v>
      </x:c>
      <x:c r="V117" s="40" t="n">
        <x:v>0.9900379993837938</x:v>
      </x:c>
      <x:c r="W117" s="31" t="n">
        <x:v>0</x:v>
      </x:c>
      <x:c r="X117" s="31" t="str"/>
      <x:c r="Y117" s="31" t="n">
        <x:v>0</x:v>
      </x:c>
      <x:c r="Z117" s="31" t="n">
        <x:v>0</x:v>
      </x:c>
      <x:c r="AA117" s="31" t="n">
        <x:v>0</x:v>
      </x:c>
      <x:c r="AB117" s="31" t="str"/>
      <x:c r="AC117" s="31" t="str"/>
    </x:row>
    <x:row r="118">
      <x:c r="A118" s="31" t="str">
        <x:v>240169ce93ce257f</x:v>
      </x:c>
      <x:c r="B118" s="31" t="str">
        <x:v>240169ce93ce257fd76be36989eaecb66354541be23fc9f72b14b8ad469d9932</x:v>
      </x:c>
      <x:c r="C118" s="31" t="n">
        <x:v>10</x:v>
      </x:c>
      <x:c r="D118" s="31" t="n">
        <x:v>35351</x:v>
      </x:c>
      <x:c r="E118" s="31" t="str">
        <x:v>Brooklyn</x:v>
      </x:c>
      <x:c r="F118" s="31" t="str">
        <x:v>Park Slope</x:v>
      </x:c>
      <x:c r="G118" s="31" t="n">
        <x:v>55498.65471128154</x:v>
      </x:c>
      <x:c r="H118" s="31" t="n">
        <x:v>21216</x:v>
      </x:c>
      <x:c r="I118" s="31" t="n">
        <x:v>11.969833119383825</x:v>
      </x:c>
      <x:c r="J118" s="40" t="n">
        <x:v>0.38569947209653094</x:v>
      </x:c>
      <x:c r="K118" s="40" t="n">
        <x:v>0.5800810708898945</x:v>
      </x:c>
      <x:c r="L118" s="40" t="n">
        <x:v>0.0635840874811463</x:v>
      </x:c>
      <x:c r="M118" s="31" t="n">
        <x:v>130.97379890036322</x:v>
      </x:c>
      <x:c r="N118" s="31" t="n">
        <x:v>281</x:v>
      </x:c>
      <x:c r="O118" s="31" t="n">
        <x:v>7.948855760798845</x:v>
      </x:c>
      <x:c r="P118" s="31" t="n">
        <x:v>1.9764328808446456</x:v>
      </x:c>
      <x:c r="Q118" s="40" t="n">
        <x:v>0</x:v>
      </x:c>
      <x:c r="R118" s="31" t="n">
        <x:v>0.12343583213348502</x:v>
      </x:c>
      <x:c r="S118" s="40"/>
      <x:c r="T118" s="40"/>
      <x:c r="U118" s="40" t="n">
        <x:v>1</x:v>
      </x:c>
      <x:c r="V118" s="40" t="n">
        <x:v>0.9913273001508296</x:v>
      </x:c>
      <x:c r="W118" s="31" t="n">
        <x:v>0</x:v>
      </x:c>
      <x:c r="X118" s="31" t="str"/>
      <x:c r="Y118" s="31" t="n">
        <x:v>0</x:v>
      </x:c>
      <x:c r="Z118" s="31" t="n">
        <x:v>0</x:v>
      </x:c>
      <x:c r="AA118" s="31" t="n">
        <x:v>0</x:v>
      </x:c>
      <x:c r="AB118" s="31" t="str"/>
      <x:c r="AC118" s="31" t="str"/>
    </x:row>
    <x:row r="119">
      <x:c r="A119" s="31" t="str">
        <x:v>241691acdec659bf</x:v>
      </x:c>
      <x:c r="B119" s="31" t="str">
        <x:v>241691acdec659bf04b1798ad11d46adbcdfbf096c9f523ec4e9f0d8cc6e0a42</x:v>
      </x:c>
      <x:c r="C119" s="31" t="n">
        <x:v>13</x:v>
      </x:c>
      <x:c r="D119" s="31" t="n">
        <x:v>33342</x:v>
      </x:c>
      <x:c r="E119" s="31" t="str">
        <x:v>Queens</x:v>
      </x:c>
      <x:c r="F119" s="31" t="str">
        <x:v>Queens Village</x:v>
      </x:c>
      <x:c r="G119" s="31" t="n">
        <x:v>24197.02331816357</x:v>
      </x:c>
      <x:c r="H119" s="31" t="n">
        <x:v>9498</x:v>
      </x:c>
      <x:c r="I119" s="31" t="n">
        <x:v>2.3667726650521215</x:v>
      </x:c>
      <x:c r="J119" s="40" t="n">
        <x:v>0</x:v>
      </x:c>
      <x:c r="K119" s="40" t="n">
        <x:v>0.0990734891556117</x:v>
      </x:c>
      <x:c r="L119" s="40" t="n">
        <x:v>0.062118340703305956</x:v>
      </x:c>
      <x:c r="M119" s="31" t="n">
        <x:v>28.821254880960257</x:v>
      </x:c>
      <x:c r="N119" s="31" t="n">
        <x:v>8</x:v>
      </x:c>
      <x:c r="O119" s="31" t="n">
        <x:v>0.23993761621978285</x:v>
      </x:c>
      <x:c r="P119" s="31" t="n">
        <x:v>3.822699515687513</x:v>
      </x:c>
      <x:c r="Q119" s="40" t="n">
        <x:v>0.6944619919983155</x:v>
      </x:c>
      <x:c r="R119" s="31" t="n">
        <x:v>0.25360884050921223</x:v>
      </x:c>
      <x:c r="S119" s="40"/>
      <x:c r="T119" s="40"/>
      <x:c r="U119" s="40" t="n">
        <x:v>1</x:v>
      </x:c>
      <x:c r="V119" s="40" t="n">
        <x:v>0.9988418614445146</x:v>
      </x:c>
      <x:c r="W119" s="31" t="n">
        <x:v>0</x:v>
      </x:c>
      <x:c r="X119" s="31" t="str"/>
      <x:c r="Y119" s="31" t="n">
        <x:v>0</x:v>
      </x:c>
      <x:c r="Z119" s="31" t="n">
        <x:v>0</x:v>
      </x:c>
      <x:c r="AA119" s="31" t="n">
        <x:v>0</x:v>
      </x:c>
      <x:c r="AB119" s="31" t="str"/>
      <x:c r="AC119" s="31" t="str"/>
    </x:row>
    <x:row r="120">
      <x:c r="A120" s="31" t="str">
        <x:v>243e69e91c18d153</x:v>
      </x:c>
      <x:c r="B120" s="31" t="str">
        <x:v>243e69e91c18d15325599bec339d6274e530f218475561df58ac5059733145c8</x:v>
      </x:c>
      <x:c r="C120" s="31" t="n">
        <x:v>11</x:v>
      </x:c>
      <x:c r="D120" s="31" t="n">
        <x:v>32611</x:v>
      </x:c>
      <x:c r="E120" s="31" t="str">
        <x:v>Bronx</x:v>
      </x:c>
      <x:c r="F120" s="31" t="str">
        <x:v>Pelham Gardens</x:v>
      </x:c>
      <x:c r="G120" s="31" t="n">
        <x:v>22513.001085800548</x:v>
      </x:c>
      <x:c r="H120" s="31" t="n">
        <x:v>10201</x:v>
      </x:c>
      <x:c r="I120" s="31" t="n">
        <x:v>2.885900834560628</x:v>
      </x:c>
      <x:c r="J120" s="40" t="n">
        <x:v>0</x:v>
      </x:c>
      <x:c r="K120" s="40" t="n">
        <x:v>0.273796686599353</x:v>
      </x:c>
      <x:c r="L120" s="40" t="n">
        <x:v>0.09146162140966572</x:v>
      </x:c>
      <x:c r="M120" s="31" t="n">
        <x:v>35.57829413634298</x:v>
      </x:c>
      <x:c r="N120" s="31" t="n">
        <x:v>41</x:v>
      </x:c>
      <x:c r="O120" s="31" t="n">
        <x:v>1.2572444880561773</x:v>
      </x:c>
      <x:c r="P120" s="31" t="n">
        <x:v>4.897068914812273</x:v>
      </x:c>
      <x:c r="Q120" s="40" t="n">
        <x:v>1</x:v>
      </x:c>
      <x:c r="R120" s="31" t="n">
        <x:v>0.16290616470136532</x:v>
      </x:c>
      <x:c r="S120" s="40"/>
      <x:c r="T120" s="40"/>
      <x:c r="U120" s="40" t="n">
        <x:v>1</x:v>
      </x:c>
      <x:c r="V120" s="40" t="n">
        <x:v>0.992353690814626</x:v>
      </x:c>
      <x:c r="W120" s="31" t="n">
        <x:v>0</x:v>
      </x:c>
      <x:c r="X120" s="31" t="str"/>
      <x:c r="Y120" s="31" t="n">
        <x:v>0</x:v>
      </x:c>
      <x:c r="Z120" s="31" t="n">
        <x:v>0</x:v>
      </x:c>
      <x:c r="AA120" s="31" t="n">
        <x:v>0</x:v>
      </x:c>
      <x:c r="AB120" s="31" t="str"/>
      <x:c r="AC120" s="31" t="str"/>
    </x:row>
    <x:row r="121">
      <x:c r="A121" s="31" t="str">
        <x:v>2471106becf81687</x:v>
      </x:c>
      <x:c r="B121" s="31" t="str">
        <x:v>2471106becf81687fd1222d9cc38fc51a3d26c5176d8849b3ae991da2586c305</x:v>
      </x:c>
      <x:c r="C121" s="31" t="n">
        <x:v>12</x:v>
      </x:c>
      <x:c r="D121" s="31" t="n">
        <x:v>33450</x:v>
      </x:c>
      <x:c r="E121" s="31" t="str">
        <x:v>Queens</x:v>
      </x:c>
      <x:c r="F121" s="31" t="str">
        <x:v>Forest Hills</x:v>
      </x:c>
      <x:c r="G121" s="31" t="n">
        <x:v>31078.10402574958</x:v>
      </x:c>
      <x:c r="H121" s="31" t="n">
        <x:v>16632</x:v>
      </x:c>
      <x:c r="I121" s="31" t="n">
        <x:v>6.641201328658424</x:v>
      </x:c>
      <x:c r="J121" s="40" t="n">
        <x:v>0.13792688792688793</x:v>
      </x:c>
      <x:c r="K121" s="40" t="n">
        <x:v>0.6828403078403078</x:v>
      </x:c>
      <x:c r="L121" s="40" t="n">
        <x:v>0.010281385281385282</x:v>
      </x:c>
      <x:c r="M121" s="31" t="n">
        <x:v>73.17926320224477</x:v>
      </x:c>
      <x:c r="N121" s="31" t="n">
        <x:v>309</x:v>
      </x:c>
      <x:c r="O121" s="31" t="n">
        <x:v>9.237668161434977</x:v>
      </x:c>
      <x:c r="P121" s="31" t="n">
        <x:v>2.0983645983645984</x:v>
      </x:c>
      <x:c r="Q121" s="40" t="n">
        <x:v>0</x:v>
      </x:c>
      <x:c r="R121" s="31" t="n">
        <x:v>0.3077518220985355</x:v>
      </x:c>
      <x:c r="S121" s="40"/>
      <x:c r="T121" s="40"/>
      <x:c r="U121" s="40" t="n">
        <x:v>1</x:v>
      </x:c>
      <x:c r="V121" s="40" t="n">
        <x:v>0.9894179894179894</x:v>
      </x:c>
      <x:c r="W121" s="31" t="n">
        <x:v>0</x:v>
      </x:c>
      <x:c r="X121" s="31" t="str"/>
      <x:c r="Y121" s="31" t="n">
        <x:v>0</x:v>
      </x:c>
      <x:c r="Z121" s="31" t="n">
        <x:v>0</x:v>
      </x:c>
      <x:c r="AA121" s="31" t="n">
        <x:v>0</x:v>
      </x:c>
      <x:c r="AB121" s="31" t="str"/>
      <x:c r="AC121" s="31" t="str"/>
    </x:row>
    <x:row r="122">
      <x:c r="A122" s="31" t="str">
        <x:v>24a5f67884dadf9f</x:v>
      </x:c>
      <x:c r="B122" s="31" t="str">
        <x:v>24a5f67884dadf9fd8d6e2302be2d392679a66beed60c7fa097d9a1f953a9544</x:v>
      </x:c>
      <x:c r="C122" s="31" t="n">
        <x:v>11</x:v>
      </x:c>
      <x:c r="D122" s="31" t="n">
        <x:v>35174</x:v>
      </x:c>
      <x:c r="E122" s="31" t="str">
        <x:v>Brooklyn</x:v>
      </x:c>
      <x:c r="F122" s="31" t="str">
        <x:v>Crown Heights (North)</x:v>
      </x:c>
      <x:c r="G122" s="31" t="n">
        <x:v>77071.6251701194</x:v>
      </x:c>
      <x:c r="H122" s="31" t="n">
        <x:v>14241</x:v>
      </x:c>
      <x:c r="I122" s="31" t="n">
        <x:v>4.043404972608513</x:v>
      </x:c>
      <x:c r="J122" s="40" t="n">
        <x:v>0.009339231795519978</x:v>
      </x:c>
      <x:c r="K122" s="40" t="n">
        <x:v>0.8061231655080402</x:v>
      </x:c>
      <x:c r="L122" s="40" t="n">
        <x:v>0.012569342040587038</x:v>
      </x:c>
      <x:c r="M122" s="31" t="n">
        <x:v>46.32030964403994</x:v>
      </x:c>
      <x:c r="N122" s="31" t="n">
        <x:v>111</x:v>
      </x:c>
      <x:c r="O122" s="31" t="n">
        <x:v>3.155740035253312</x:v>
      </x:c>
      <x:c r="P122" s="31" t="n">
        <x:v>5</x:v>
      </x:c>
      <x:c r="Q122" s="40" t="n">
        <x:v>1</x:v>
      </x:c>
      <x:c r="R122" s="31" t="n">
        <x:v>0.1121531685952302</x:v>
      </x:c>
      <x:c r="S122" s="40"/>
      <x:c r="T122" s="40"/>
      <x:c r="U122" s="40" t="n">
        <x:v>1</x:v>
      </x:c>
      <x:c r="V122" s="40" t="n">
        <x:v>0.9917842848114599</x:v>
      </x:c>
      <x:c r="W122" s="31" t="n">
        <x:v>1</x:v>
      </x:c>
      <x:c r="X122" s="31" t="str"/>
      <x:c r="Y122" s="31" t="n">
        <x:v>0</x:v>
      </x:c>
      <x:c r="Z122" s="31" t="n">
        <x:v>1</x:v>
      </x:c>
      <x:c r="AA122" s="31" t="n">
        <x:v>0</x:v>
      </x:c>
      <x:c r="AB122" s="31" t="str"/>
      <x:c r="AC122" s="31" t="str"/>
    </x:row>
    <x:row r="123">
      <x:c r="A123" s="31" t="str">
        <x:v>24b166967df1c0e5</x:v>
      </x:c>
      <x:c r="B123" s="31" t="str">
        <x:v>24b166967df1c0e5273259eb7213228fbfa0349cfdbca524052e15436f216ea6</x:v>
      </x:c>
      <x:c r="C123" s="31" t="n">
        <x:v>11</x:v>
      </x:c>
      <x:c r="D123" s="31" t="n">
        <x:v>32056</x:v>
      </x:c>
      <x:c r="E123" s="31" t="str">
        <x:v>Brooklyn</x:v>
      </x:c>
      <x:c r="F123" s="31" t="str">
        <x:v>Midwood</x:v>
      </x:c>
      <x:c r="G123" s="31" t="n">
        <x:v>45362.765476385764</x:v>
      </x:c>
      <x:c r="H123" s="31" t="n">
        <x:v>11301</x:v>
      </x:c>
      <x:c r="I123" s="31" t="n">
        <x:v>4.675997875918223</x:v>
      </x:c>
      <x:c r="J123" s="40" t="n">
        <x:v>0.02477656844527033</x:v>
      </x:c>
      <x:c r="K123" s="40" t="n">
        <x:v>0.6766657817892222</x:v>
      </x:c>
      <x:c r="L123" s="40" t="n">
        <x:v>0.008406335722502434</x:v>
      </x:c>
      <x:c r="M123" s="31" t="n">
        <x:v>53.726972018355355</x:v>
      </x:c>
      <x:c r="N123" s="31" t="n">
        <x:v>161</x:v>
      </x:c>
      <x:c r="O123" s="31" t="n">
        <x:v>5.022460693785875</x:v>
      </x:c>
      <x:c r="P123" s="31" t="n">
        <x:v>4.096982567914344</x:v>
      </x:c>
      <x:c r="Q123" s="40" t="n">
        <x:v>1</x:v>
      </x:c>
      <x:c r="R123" s="31" t="n">
        <x:v>0.20081703448026927</x:v>
      </x:c>
      <x:c r="S123" s="40"/>
      <x:c r="T123" s="40"/>
      <x:c r="U123" s="40" t="n">
        <x:v>1</x:v>
      </x:c>
      <x:c r="V123" s="40" t="n">
        <x:v>0.997522343155473</x:v>
      </x:c>
      <x:c r="W123" s="31" t="n">
        <x:v>1</x:v>
      </x:c>
      <x:c r="X123" s="31" t="str"/>
      <x:c r="Y123" s="31" t="n">
        <x:v>0</x:v>
      </x:c>
      <x:c r="Z123" s="31" t="n">
        <x:v>1</x:v>
      </x:c>
      <x:c r="AA123" s="31" t="n">
        <x:v>0</x:v>
      </x:c>
      <x:c r="AB123" s="31" t="str"/>
      <x:c r="AC123" s="31" t="str"/>
    </x:row>
    <x:row r="124">
      <x:c r="A124" s="31" t="str">
        <x:v>24baf830ea4f8386</x:v>
      </x:c>
      <x:c r="B124" s="31" t="str">
        <x:v>24baf830ea4f83860d613bfb7b08cde3852d4919e2626e9e25ba5ffa6201f9d9</x:v>
      </x:c>
      <x:c r="C124" s="31" t="n">
        <x:v>9</x:v>
      </x:c>
      <x:c r="D124" s="31" t="n">
        <x:v>35952</x:v>
      </x:c>
      <x:c r="E124" s="31" t="str">
        <x:v>Brooklyn</x:v>
      </x:c>
      <x:c r="F124" s="31" t="str">
        <x:v>East New York-New Lots</x:v>
      </x:c>
      <x:c r="G124" s="31" t="n">
        <x:v>33967.39232835935</x:v>
      </x:c>
      <x:c r="H124" s="31" t="n">
        <x:v>12670</x:v>
      </x:c>
      <x:c r="I124" s="31" t="n">
        <x:v>4.533660528144545</x:v>
      </x:c>
      <x:c r="J124" s="40" t="n">
        <x:v>0.0861878453038674</x:v>
      </x:c>
      <x:c r="K124" s="40" t="n">
        <x:v>0.42596685082872926</x:v>
      </x:c>
      <x:c r="L124" s="40" t="n">
        <x:v>0.3797947908445146</x:v>
      </x:c>
      <x:c r="M124" s="31" t="n">
        <x:v>60.14669945866038</x:v>
      </x:c>
      <x:c r="N124" s="31" t="n">
        <x:v>99</x:v>
      </x:c>
      <x:c r="O124" s="31" t="n">
        <x:v>2.753671562082777</x:v>
      </x:c>
      <x:c r="P124" s="31" t="n">
        <x:v>4.854459352801895</x:v>
      </x:c>
      <x:c r="Q124" s="40" t="n">
        <x:v>1</x:v>
      </x:c>
      <x:c r="R124" s="31" t="n">
        <x:v>0.14506260928770795</x:v>
      </x:c>
      <x:c r="S124" s="40"/>
      <x:c r="T124" s="40"/>
      <x:c r="U124" s="40" t="n">
        <x:v>1</x:v>
      </x:c>
      <x:c r="V124" s="40" t="n">
        <x:v>0.9951065509076559</x:v>
      </x:c>
      <x:c r="W124" s="31" t="n">
        <x:v>0</x:v>
      </x:c>
      <x:c r="X124" s="31" t="str"/>
      <x:c r="Y124" s="31" t="n">
        <x:v>0</x:v>
      </x:c>
      <x:c r="Z124" s="31" t="n">
        <x:v>0</x:v>
      </x:c>
      <x:c r="AA124" s="31" t="n">
        <x:v>0</x:v>
      </x:c>
      <x:c r="AB124" s="31" t="str"/>
      <x:c r="AC124" s="31" t="str"/>
    </x:row>
    <x:row r="125">
      <x:c r="A125" s="31" t="str">
        <x:v>24eff54d24272308</x:v>
      </x:c>
      <x:c r="B125" s="31" t="str">
        <x:v>24eff54d24272308a61ad228107e30bfedefcf5b5affe4bcf2b5a77f6b1bcac8</x:v>
      </x:c>
      <x:c r="C125" s="31" t="n">
        <x:v>7</x:v>
      </x:c>
      <x:c r="D125" s="31" t="n">
        <x:v>34008</x:v>
      </x:c>
      <x:c r="E125" s="31" t="str">
        <x:v>Queens</x:v>
      </x:c>
      <x:c r="F125" s="31" t="str">
        <x:v>Far Rockaway-Bayswater</x:v>
      </x:c>
      <x:c r="G125" s="31" t="n">
        <x:v>28843.716782960062</x:v>
      </x:c>
      <x:c r="H125" s="31" t="n">
        <x:v>12333</x:v>
      </x:c>
      <x:c r="I125" s="31" t="n">
        <x:v>6.3863032395987505</x:v>
      </x:c>
      <x:c r="J125" s="40" t="n">
        <x:v>0.22516824779048084</x:v>
      </x:c>
      <x:c r="K125" s="40" t="n">
        <x:v>0.4040379469715398</x:v>
      </x:c>
      <x:c r="L125" s="40" t="n">
        <x:v>0.19168085623935782</x:v>
      </x:c>
      <x:c r="M125" s="31" t="n">
        <x:v>65.32990462352758</x:v>
      </x:c>
      <x:c r="N125" s="31" t="n">
        <x:v>154</x:v>
      </x:c>
      <x:c r="O125" s="31" t="n">
        <x:v>4.528346271465537</x:v>
      </x:c>
      <x:c r="P125" s="31" t="n">
        <x:v>5</x:v>
      </x:c>
      <x:c r="Q125" s="40" t="n">
        <x:v>1</x:v>
      </x:c>
      <x:c r="R125" s="31" t="n">
        <x:v>0.15074255607375647</x:v>
      </x:c>
      <x:c r="S125" s="40"/>
      <x:c r="T125" s="40"/>
      <x:c r="U125" s="40" t="n">
        <x:v>1</x:v>
      </x:c>
      <x:c r="V125" s="40" t="n">
        <x:v>0.9697559393497122</x:v>
      </x:c>
      <x:c r="W125" s="31" t="n">
        <x:v>0</x:v>
      </x:c>
      <x:c r="X125" s="31" t="str"/>
      <x:c r="Y125" s="31" t="n">
        <x:v>0</x:v>
      </x:c>
      <x:c r="Z125" s="31" t="n">
        <x:v>0</x:v>
      </x:c>
      <x:c r="AA125" s="31" t="n">
        <x:v>0</x:v>
      </x:c>
      <x:c r="AB125" s="31" t="str"/>
      <x:c r="AC125" s="31" t="str"/>
    </x:row>
    <x:row r="126">
      <x:c r="A126" s="31" t="str">
        <x:v>250891acdba0098f</x:v>
      </x:c>
      <x:c r="B126" s="31" t="str">
        <x:v>250891acdba0098f0121cd5e285e3a7c4d97c8aee607fcb65c2146d3b253ae32</x:v>
      </x:c>
      <x:c r="C126" s="31" t="n">
        <x:v>10</x:v>
      </x:c>
      <x:c r="D126" s="31" t="n">
        <x:v>33721</x:v>
      </x:c>
      <x:c r="E126" s="31" t="str">
        <x:v>Brooklyn</x:v>
      </x:c>
      <x:c r="F126" s="31" t="str">
        <x:v>Bay Ridge</x:v>
      </x:c>
      <x:c r="G126" s="31" t="n">
        <x:v>46349.55540421524</x:v>
      </x:c>
      <x:c r="H126" s="31" t="n">
        <x:v>13241</x:v>
      </x:c>
      <x:c r="I126" s="31" t="n">
        <x:v>4.637222935710509</x:v>
      </x:c>
      <x:c r="J126" s="40" t="n">
        <x:v>0.06389245525262442</x:v>
      </x:c>
      <x:c r="K126" s="40" t="n">
        <x:v>0.6053923419681293</x:v>
      </x:c>
      <x:c r="L126" s="40" t="n">
        <x:v>0.04433199909372404</x:v>
      </x:c>
      <x:c r="M126" s="31" t="n">
        <x:v>51.36091742125975</x:v>
      </x:c>
      <x:c r="N126" s="31" t="n">
        <x:v>105</x:v>
      </x:c>
      <x:c r="O126" s="31" t="n">
        <x:v>3.113786661131046</x:v>
      </x:c>
      <x:c r="P126" s="31" t="n">
        <x:v>2.299071067139944</x:v>
      </x:c>
      <x:c r="Q126" s="40" t="n">
        <x:v>0</x:v>
      </x:c>
      <x:c r="R126" s="31" t="n">
        <x:v>0.1934711785039821</x:v>
      </x:c>
      <x:c r="S126" s="40"/>
      <x:c r="T126" s="40"/>
      <x:c r="U126" s="40" t="n">
        <x:v>1</x:v>
      </x:c>
      <x:c r="V126" s="40" t="n">
        <x:v>0.9975832641039196</x:v>
      </x:c>
      <x:c r="W126" s="31" t="n">
        <x:v>0</x:v>
      </x:c>
      <x:c r="X126" s="31" t="str"/>
      <x:c r="Y126" s="31" t="n">
        <x:v>0</x:v>
      </x:c>
      <x:c r="Z126" s="31" t="n">
        <x:v>0</x:v>
      </x:c>
      <x:c r="AA126" s="31" t="n">
        <x:v>0</x:v>
      </x:c>
      <x:c r="AB126" s="31" t="str"/>
      <x:c r="AC126" s="31" t="str"/>
    </x:row>
    <x:row r="127">
      <x:c r="A127" s="31" t="str">
        <x:v>251c04a10147ac57</x:v>
      </x:c>
      <x:c r="B127" s="31" t="str">
        <x:v>251c04a10147ac572cd0891681ddb9648559fe77350603169ab3cd85300b95ac</x:v>
      </x:c>
      <x:c r="C127" s="31" t="n">
        <x:v>11</x:v>
      </x:c>
      <x:c r="D127" s="31" t="n">
        <x:v>35759</x:v>
      </x:c>
      <x:c r="E127" s="31" t="str">
        <x:v>Brooklyn</x:v>
      </x:c>
      <x:c r="F127" s="31" t="str">
        <x:v>Flatbush</x:v>
      </x:c>
      <x:c r="G127" s="31" t="n">
        <x:v>54880.21805474089</x:v>
      </x:c>
      <x:c r="H127" s="31" t="n">
        <x:v>13906</x:v>
      </x:c>
      <x:c r="I127" s="31" t="n">
        <x:v>4.77302873190754</x:v>
      </x:c>
      <x:c r="J127" s="40" t="n">
        <x:v>0.00956421688479793</x:v>
      </x:c>
      <x:c r="K127" s="40" t="n">
        <x:v>0.8132460808284194</x:v>
      </x:c>
      <x:c r="L127" s="40" t="n">
        <x:v>0.010858622177477347</x:v>
      </x:c>
      <x:c r="M127" s="31" t="n">
        <x:v>53.85535410158118</x:v>
      </x:c>
      <x:c r="N127" s="31" t="n">
        <x:v>168</x:v>
      </x:c>
      <x:c r="O127" s="31" t="n">
        <x:v>4.698117956318689</x:v>
      </x:c>
      <x:c r="P127" s="31" t="n">
        <x:v>4.780526391485689</x:v>
      </x:c>
      <x:c r="Q127" s="40" t="n">
        <x:v>0.9848986049187402</x:v>
      </x:c>
      <x:c r="R127" s="31" t="n">
        <x:v>0.2622698393097788</x:v>
      </x:c>
      <x:c r="S127" s="40"/>
      <x:c r="T127" s="40"/>
      <x:c r="U127" s="40" t="n">
        <x:v>1</x:v>
      </x:c>
      <x:c r="V127" s="40" t="n">
        <x:v>0.9800805407737667</x:v>
      </x:c>
      <x:c r="W127" s="31" t="n">
        <x:v>0</x:v>
      </x:c>
      <x:c r="X127" s="31" t="str"/>
      <x:c r="Y127" s="31" t="n">
        <x:v>0</x:v>
      </x:c>
      <x:c r="Z127" s="31" t="n">
        <x:v>0</x:v>
      </x:c>
      <x:c r="AA127" s="31" t="n">
        <x:v>0</x:v>
      </x:c>
      <x:c r="AB127" s="31" t="str"/>
      <x:c r="AC127" s="31" t="str"/>
    </x:row>
    <x:row r="128">
      <x:c r="A128" s="31" t="str">
        <x:v>2528cb46e9e678ad</x:v>
      </x:c>
      <x:c r="B128" s="31" t="str">
        <x:v>2528cb46e9e678ad4e22ba2a41fd249776c11a331d00e6677d71be0928d4652e</x:v>
      </x:c>
      <x:c r="C128" s="31" t="n">
        <x:v>10</x:v>
      </x:c>
      <x:c r="D128" s="31" t="n">
        <x:v>32831</x:v>
      </x:c>
      <x:c r="E128" s="31" t="str">
        <x:v>Brooklyn</x:v>
      </x:c>
      <x:c r="F128" s="31" t="str">
        <x:v>Gravesend (East)-Homecrest</x:v>
      </x:c>
      <x:c r="G128" s="31" t="n">
        <x:v>48242.74897769871</x:v>
      </x:c>
      <x:c r="H128" s="31" t="n">
        <x:v>12321</x:v>
      </x:c>
      <x:c r="I128" s="31" t="n">
        <x:v>3.816907082521117</x:v>
      </x:c>
      <x:c r="J128" s="40" t="n">
        <x:v>0.0024348672997321647</x:v>
      </x:c>
      <x:c r="K128" s="40" t="n">
        <x:v>0.559857154451749</x:v>
      </x:c>
      <x:c r="L128" s="40" t="n">
        <x:v>0.011443876308741174</x:v>
      </x:c>
      <x:c r="M128" s="31" t="n">
        <x:v>43.84264200157131</x:v>
      </x:c>
      <x:c r="N128" s="31" t="n">
        <x:v>133</x:v>
      </x:c>
      <x:c r="O128" s="31" t="n">
        <x:v>4.051049313149158</x:v>
      </x:c>
      <x:c r="P128" s="31" t="n">
        <x:v>3.1136271406541676</x:v>
      </x:c>
      <x:c r="Q128" s="40" t="n">
        <x:v>0.11362714065416768</x:v>
      </x:c>
      <x:c r="R128" s="31" t="n">
        <x:v>0.18326707260889646</x:v>
      </x:c>
      <x:c r="S128" s="40"/>
      <x:c r="T128" s="40"/>
      <x:c r="U128" s="40" t="n">
        <x:v>1</x:v>
      </x:c>
      <x:c r="V128" s="40" t="n">
        <x:v>0.997402808213619</x:v>
      </x:c>
      <x:c r="W128" s="31" t="n">
        <x:v>0</x:v>
      </x:c>
      <x:c r="X128" s="31" t="str"/>
      <x:c r="Y128" s="31" t="n">
        <x:v>0</x:v>
      </x:c>
      <x:c r="Z128" s="31" t="n">
        <x:v>0</x:v>
      </x:c>
      <x:c r="AA128" s="31" t="n">
        <x:v>0</x:v>
      </x:c>
      <x:c r="AB128" s="31" t="str"/>
      <x:c r="AC128" s="31" t="str"/>
    </x:row>
    <x:row r="129">
      <x:c r="A129" s="31" t="str">
        <x:v>25b850ab768e62c9</x:v>
      </x:c>
      <x:c r="B129" s="31" t="str">
        <x:v>25b850ab768e62c9cf1070397ceb59c6e680ac6a09e42e15a1ffc7e1aab58e95</x:v>
      </x:c>
      <x:c r="C129" s="31" t="n">
        <x:v>11</x:v>
      </x:c>
      <x:c r="D129" s="31" t="n">
        <x:v>32186</x:v>
      </x:c>
      <x:c r="E129" s="31" t="str">
        <x:v>Queens</x:v>
      </x:c>
      <x:c r="F129" s="31" t="str">
        <x:v>South Ozone Park</x:v>
      </x:c>
      <x:c r="G129" s="31" t="n">
        <x:v>38490.67760706438</x:v>
      </x:c>
      <x:c r="H129" s="31" t="n">
        <x:v>8468</x:v>
      </x:c>
      <x:c r="I129" s="31" t="n">
        <x:v>2.3863510638297876</x:v>
      </x:c>
      <x:c r="J129" s="40" t="n">
        <x:v>0</x:v>
      </x:c>
      <x:c r="K129" s="40" t="n">
        <x:v>0.11277751535191309</x:v>
      </x:c>
      <x:c r="L129" s="40" t="n">
        <x:v>0.019248937175247994</x:v>
      </x:c>
      <x:c r="M129" s="31" t="n">
        <x:v>29.269321284125045</x:v>
      </x:c>
      <x:c r="N129" s="31" t="n">
        <x:v>7</x:v>
      </x:c>
      <x:c r="O129" s="31" t="n">
        <x:v>0.21748586341887777</x:v>
      </x:c>
      <x:c r="P129" s="31" t="n">
        <x:v>4</x:v>
      </x:c>
      <x:c r="Q129" s="40" t="n">
        <x:v>1</x:v>
      </x:c>
      <x:c r="R129" s="31" t="n">
        <x:v>0.1798257203974275</x:v>
      </x:c>
      <x:c r="S129" s="40"/>
      <x:c r="T129" s="40"/>
      <x:c r="U129" s="40" t="n">
        <x:v>1</x:v>
      </x:c>
      <x:c r="V129" s="40" t="n">
        <x:v>0.9953944260746339</x:v>
      </x:c>
      <x:c r="W129" s="31" t="n">
        <x:v>0</x:v>
      </x:c>
      <x:c r="X129" s="31" t="str"/>
      <x:c r="Y129" s="31" t="n">
        <x:v>0</x:v>
      </x:c>
      <x:c r="Z129" s="31" t="n">
        <x:v>0</x:v>
      </x:c>
      <x:c r="AA129" s="31" t="n">
        <x:v>0</x:v>
      </x:c>
      <x:c r="AB129" s="31" t="str"/>
      <x:c r="AC129" s="31" t="str"/>
    </x:row>
    <x:row r="130">
      <x:c r="A130" s="31" t="str">
        <x:v>25bea5a4b3d258a6</x:v>
      </x:c>
      <x:c r="B130" s="31" t="str">
        <x:v>25bea5a4b3d258a6b8cf1844f2a9bc45ba02c211175eedb6c9ba02c7649648ee</x:v>
      </x:c>
      <x:c r="C130" s="31" t="n">
        <x:v>13</x:v>
      </x:c>
      <x:c r="D130" s="31" t="n">
        <x:v>32845</x:v>
      </x:c>
      <x:c r="E130" s="31" t="str">
        <x:v>Queens</x:v>
      </x:c>
      <x:c r="F130" s="31" t="str">
        <x:v>Glendale</x:v>
      </x:c>
      <x:c r="G130" s="31" t="n">
        <x:v>28788.363734787334</x:v>
      </x:c>
      <x:c r="H130" s="31" t="n">
        <x:v>12697</x:v>
      </x:c>
      <x:c r="I130" s="31" t="n">
        <x:v>2.217459791863765</x:v>
      </x:c>
      <x:c r="J130" s="40" t="n">
        <x:v>0</x:v>
      </x:c>
      <x:c r="K130" s="40" t="n">
        <x:v>0.16066787430101598</x:v>
      </x:c>
      <x:c r="L130" s="40" t="n">
        <x:v>0.023155076002205247</x:v>
      </x:c>
      <x:c r="M130" s="31" t="n">
        <x:v>27.211098593133293</x:v>
      </x:c>
      <x:c r="N130" s="31" t="n">
        <x:v>22</x:v>
      </x:c>
      <x:c r="O130" s="31" t="n">
        <x:v>0.6698127568884154</x:v>
      </x:c>
      <x:c r="P130" s="31" t="n">
        <x:v>1.0077183586674017</x:v>
      </x:c>
      <x:c r="Q130" s="40" t="n">
        <x:v>0</x:v>
      </x:c>
      <x:c r="R130" s="31" t="n">
        <x:v>0.18687114009596315</x:v>
      </x:c>
      <x:c r="S130" s="40"/>
      <x:c r="T130" s="40"/>
      <x:c r="U130" s="40" t="n">
        <x:v>1</x:v>
      </x:c>
      <x:c r="V130" s="40" t="n">
        <x:v>0.9974009608568953</x:v>
      </x:c>
      <x:c r="W130" s="31" t="n">
        <x:v>0</x:v>
      </x:c>
      <x:c r="X130" s="31" t="str"/>
      <x:c r="Y130" s="31" t="n">
        <x:v>0</x:v>
      </x:c>
      <x:c r="Z130" s="31" t="n">
        <x:v>0</x:v>
      </x:c>
      <x:c r="AA130" s="31" t="n">
        <x:v>0</x:v>
      </x:c>
      <x:c r="AB130" s="31" t="str"/>
      <x:c r="AC130" s="31" t="str"/>
    </x:row>
    <x:row r="131">
      <x:c r="A131" s="31" t="str">
        <x:v>26052048f6d715e5</x:v>
      </x:c>
      <x:c r="B131" s="31" t="str">
        <x:v>26052048f6d715e5e5a003ee1df5b30580a04f2d3423c23c0986e302b17dca1a</x:v>
      </x:c>
      <x:c r="C131" s="31" t="n">
        <x:v>14</x:v>
      </x:c>
      <x:c r="D131" s="31" t="n">
        <x:v>32648</x:v>
      </x:c>
      <x:c r="E131" s="31" t="str">
        <x:v>Queens</x:v>
      </x:c>
      <x:c r="F131" s="31" t="str">
        <x:v>Bayside</x:v>
      </x:c>
      <x:c r="G131" s="31" t="n">
        <x:v>18092.840807458542</x:v>
      </x:c>
      <x:c r="H131" s="31" t="n">
        <x:v>12297</x:v>
      </x:c>
      <x:c r="I131" s="31" t="n">
        <x:v>2.5655006982666553</x:v>
      </x:c>
      <x:c r="J131" s="40" t="n">
        <x:v>0.02553468325607872</x:v>
      </x:c>
      <x:c r="K131" s="40" t="n">
        <x:v>0.2215174432788485</x:v>
      </x:c>
      <x:c r="L131" s="40" t="n">
        <x:v>0.12100512320078068</x:v>
      </x:c>
      <x:c r="M131" s="31" t="n">
        <x:v>30.851582969786467</x:v>
      </x:c>
      <x:c r="N131" s="31" t="n">
        <x:v>27</x:v>
      </x:c>
      <x:c r="O131" s="31" t="n">
        <x:v>0.8270031854937515</x:v>
      </x:c>
      <x:c r="P131" s="31" t="n">
        <x:v>2.041229568187363</x:v>
      </x:c>
      <x:c r="Q131" s="40" t="n">
        <x:v>0</x:v>
      </x:c>
      <x:c r="R131" s="31" t="n">
        <x:v>0.22751819956075348</x:v>
      </x:c>
      <x:c r="S131" s="40"/>
      <x:c r="T131" s="40"/>
      <x:c r="U131" s="40" t="n">
        <x:v>1</x:v>
      </x:c>
      <x:c r="V131" s="40" t="n">
        <x:v>0.9901602016752054</x:v>
      </x:c>
      <x:c r="W131" s="31" t="n">
        <x:v>0</x:v>
      </x:c>
      <x:c r="X131" s="31" t="str"/>
      <x:c r="Y131" s="31" t="n">
        <x:v>0</x:v>
      </x:c>
      <x:c r="Z131" s="31" t="n">
        <x:v>0</x:v>
      </x:c>
      <x:c r="AA131" s="31" t="n">
        <x:v>0</x:v>
      </x:c>
      <x:c r="AB131" s="31" t="str"/>
      <x:c r="AC131" s="31" t="str"/>
    </x:row>
    <x:row r="132">
      <x:c r="A132" s="31" t="str">
        <x:v>262ccc02a4ff150c</x:v>
      </x:c>
      <x:c r="B132" s="31" t="str">
        <x:v>262ccc02a4ff150c342609bf17763aad6196c4643ffda2ad6966e7eedcd6e9ca</x:v>
      </x:c>
      <x:c r="C132" s="31" t="n">
        <x:v>10</x:v>
      </x:c>
      <x:c r="D132" s="31" t="n">
        <x:v>33918</x:v>
      </x:c>
      <x:c r="E132" s="31" t="str">
        <x:v>Bronx</x:v>
      </x:c>
      <x:c r="F132" s="31" t="str">
        <x:v>Riverdale-Spuyten Duyvil</x:v>
      </x:c>
      <x:c r="G132" s="31" t="n">
        <x:v>18243.92885133468</x:v>
      </x:c>
      <x:c r="H132" s="31" t="n">
        <x:v>15283</x:v>
      </x:c>
      <x:c r="I132" s="31" t="n">
        <x:v>8.911855150284854</x:v>
      </x:c>
      <x:c r="J132" s="40" t="n">
        <x:v>0.3482954917228293</x:v>
      </x:c>
      <x:c r="K132" s="40" t="n">
        <x:v>0.4840672642805732</x:v>
      </x:c>
      <x:c r="L132" s="40" t="n">
        <x:v>0.13609893345547341</x:v>
      </x:c>
      <x:c r="M132" s="31" t="n">
        <x:v>91.80578846104079</x:v>
      </x:c>
      <x:c r="N132" s="31" t="n">
        <x:v>270</x:v>
      </x:c>
      <x:c r="O132" s="31" t="n">
        <x:v>7.960375022112153</x:v>
      </x:c>
      <x:c r="P132" s="31" t="n">
        <x:v>1</x:v>
      </x:c>
      <x:c r="Q132" s="40" t="n">
        <x:v>0</x:v>
      </x:c>
      <x:c r="R132" s="31" t="n">
        <x:v>0.33445235248290944</x:v>
      </x:c>
      <x:c r="S132" s="40"/>
      <x:c r="T132" s="40"/>
      <x:c r="U132" s="40" t="n">
        <x:v>1</x:v>
      </x:c>
      <x:c r="V132" s="40" t="n">
        <x:v>0.9606098279133678</x:v>
      </x:c>
      <x:c r="W132" s="31" t="n">
        <x:v>0</x:v>
      </x:c>
      <x:c r="X132" s="31" t="str"/>
      <x:c r="Y132" s="31" t="n">
        <x:v>0</x:v>
      </x:c>
      <x:c r="Z132" s="31" t="n">
        <x:v>0</x:v>
      </x:c>
      <x:c r="AA132" s="31" t="n">
        <x:v>0</x:v>
      </x:c>
      <x:c r="AB132" s="31" t="str"/>
      <x:c r="AC132" s="31" t="str"/>
    </x:row>
    <x:row r="133">
      <x:c r="A133" s="31" t="str">
        <x:v>26a3f20412cf59bf</x:v>
      </x:c>
      <x:c r="B133" s="31" t="str">
        <x:v>26a3f20412cf59bf804659142442bc8d438047c4523840a0d6d789e7cf1eed3d</x:v>
      </x:c>
      <x:c r="C133" s="31" t="n">
        <x:v>12</x:v>
      </x:c>
      <x:c r="D133" s="31" t="n">
        <x:v>35024</x:v>
      </x:c>
      <x:c r="E133" s="31" t="str">
        <x:v>Brooklyn</x:v>
      </x:c>
      <x:c r="F133" s="31" t="str">
        <x:v>Park Slope</x:v>
      </x:c>
      <x:c r="G133" s="31" t="n">
        <x:v>43495.20613181104</x:v>
      </x:c>
      <x:c r="H133" s="31" t="n">
        <x:v>17025</x:v>
      </x:c>
      <x:c r="I133" s="31" t="n">
        <x:v>4.308935066483811</x:v>
      </x:c>
      <x:c r="J133" s="40" t="n">
        <x:v>0.0881057268722467</x:v>
      </x:c>
      <x:c r="K133" s="40" t="n">
        <x:v>0.7007929515418502</x:v>
      </x:c>
      <x:c r="L133" s="40" t="n">
        <x:v>0.011277533039647578</x:v>
      </x:c>
      <x:c r="M133" s="31" t="n">
        <x:v>48.936339666049534</x:v>
      </x:c>
      <x:c r="N133" s="31" t="n">
        <x:v>174</x:v>
      </x:c>
      <x:c r="O133" s="31" t="n">
        <x:v>4.968021927820923</x:v>
      </x:c>
      <x:c r="P133" s="31" t="n">
        <x:v>1.3296916299559471</x:v>
      </x:c>
      <x:c r="Q133" s="40" t="n">
        <x:v>0.10989720998531571</x:v>
      </x:c>
      <x:c r="R133" s="31" t="n">
        <x:v>0.15592638709809356</x:v>
      </x:c>
      <x:c r="S133" s="40"/>
      <x:c r="T133" s="40"/>
      <x:c r="U133" s="40" t="n">
        <x:v>1</x:v>
      </x:c>
      <x:c r="V133" s="40" t="n">
        <x:v>0.9295741556534508</x:v>
      </x:c>
      <x:c r="W133" s="31" t="n">
        <x:v>0</x:v>
      </x:c>
      <x:c r="X133" s="31" t="str"/>
      <x:c r="Y133" s="31" t="n">
        <x:v>0</x:v>
      </x:c>
      <x:c r="Z133" s="31" t="n">
        <x:v>0</x:v>
      </x:c>
      <x:c r="AA133" s="31" t="n">
        <x:v>0</x:v>
      </x:c>
      <x:c r="AB133" s="31" t="str"/>
      <x:c r="AC133" s="31" t="str"/>
    </x:row>
    <x:row r="134">
      <x:c r="A134" s="31" t="str">
        <x:v>26c781c038b9af5d</x:v>
      </x:c>
      <x:c r="B134" s="31" t="str">
        <x:v>26c781c038b9af5d2fd6879fa8fdeab99744073c9700e6414eaa3bdd69017203</x:v>
      </x:c>
      <x:c r="C134" s="31" t="n">
        <x:v>6</x:v>
      </x:c>
      <x:c r="D134" s="31" t="n">
        <x:v>34223</x:v>
      </x:c>
      <x:c r="E134" s="31" t="str">
        <x:v>Staten Island</x:v>
      </x:c>
      <x:c r="F134" s="31" t="str">
        <x:v>Mariner's Harbor-Arlington-Graniteville</x:v>
      </x:c>
      <x:c r="G134" s="31" t="n">
        <x:v>13560.424645772004</x:v>
      </x:c>
      <x:c r="H134" s="31" t="n">
        <x:v>11526</x:v>
      </x:c>
      <x:c r="I134" s="31" t="n">
        <x:v>2.021556185749734</x:v>
      </x:c>
      <x:c r="J134" s="40" t="n">
        <x:v>0</x:v>
      </x:c>
      <x:c r="K134" s="40" t="n">
        <x:v>0.07799757070969981</x:v>
      </x:c>
      <x:c r="L134" s="40" t="n">
        <x:v>0.17959396147839668</x:v>
      </x:c>
      <x:c r="M134" s="31" t="n">
        <x:v>27.004315587412492</x:v>
      </x:c>
      <x:c r="N134" s="31" t="n">
        <x:v>5</x:v>
      </x:c>
      <x:c r="O134" s="31" t="n">
        <x:v>0.14610057563626802</x:v>
      </x:c>
      <x:c r="P134" s="31" t="n">
        <x:v>1.7368558042686102</x:v>
      </x:c>
      <x:c r="Q134" s="40" t="n">
        <x:v>0.06758632656602465</x:v>
      </x:c>
      <x:c r="R134" s="31" t="n">
        <x:v>0.22585356083585564</x:v>
      </x:c>
      <x:c r="S134" s="40"/>
      <x:c r="T134" s="40"/>
      <x:c r="U134" s="40" t="n">
        <x:v>1</x:v>
      </x:c>
      <x:c r="V134" s="40" t="n">
        <x:v>0.9914974839493319</x:v>
      </x:c>
      <x:c r="W134" s="31" t="n">
        <x:v>0</x:v>
      </x:c>
      <x:c r="X134" s="31" t="str"/>
      <x:c r="Y134" s="31" t="n">
        <x:v>0</x:v>
      </x:c>
      <x:c r="Z134" s="31" t="n">
        <x:v>0</x:v>
      </x:c>
      <x:c r="AA134" s="31" t="n">
        <x:v>0</x:v>
      </x:c>
      <x:c r="AB134" s="31" t="str"/>
      <x:c r="AC134" s="31" t="str"/>
    </x:row>
    <x:row r="135">
      <x:c r="A135" s="31" t="str">
        <x:v>2704ce475216b9dd</x:v>
      </x:c>
      <x:c r="B135" s="31" t="str">
        <x:v>2704ce475216b9dd33e32c9b970aaba892042fdcc4971b5eca8940832da3ad5a</x:v>
      </x:c>
      <x:c r="C135" s="31" t="n">
        <x:v>6</x:v>
      </x:c>
      <x:c r="D135" s="31" t="n">
        <x:v>33362</x:v>
      </x:c>
      <x:c r="E135" s="31" t="str">
        <x:v>Queens</x:v>
      </x:c>
      <x:c r="F135" s="31" t="str">
        <x:v>Far Rockaway-Bayswater</x:v>
      </x:c>
      <x:c r="G135" s="31" t="n">
        <x:v>31535.16291718766</x:v>
      </x:c>
      <x:c r="H135" s="31" t="n">
        <x:v>11725</x:v>
      </x:c>
      <x:c r="I135" s="31" t="n">
        <x:v>6.594412426445136</x:v>
      </x:c>
      <x:c r="J135" s="40" t="n">
        <x:v>0.1880597014925373</x:v>
      </x:c>
      <x:c r="K135" s="40" t="n">
        <x:v>0.4511727078891258</x:v>
      </x:c>
      <x:c r="L135" s="40" t="n">
        <x:v>0.2273773987206823</x:v>
      </x:c>
      <x:c r="M135" s="31" t="n">
        <x:v>67.65412142715664</x:v>
      </x:c>
      <x:c r="N135" s="31" t="n">
        <x:v>121</x:v>
      </x:c>
      <x:c r="O135" s="31" t="n">
        <x:v>3.6268808824411005</x:v>
      </x:c>
      <x:c r="P135" s="31" t="n">
        <x:v>5</x:v>
      </x:c>
      <x:c r="Q135" s="40" t="n">
        <x:v>1</x:v>
      </x:c>
      <x:c r="R135" s="31" t="n">
        <x:v>0.19433884960602457</x:v>
      </x:c>
      <x:c r="S135" s="40"/>
      <x:c r="T135" s="40"/>
      <x:c r="U135" s="40" t="n">
        <x:v>1</x:v>
      </x:c>
      <x:c r="V135" s="40" t="n">
        <x:v>0.9817484008528785</x:v>
      </x:c>
      <x:c r="W135" s="31" t="n">
        <x:v>0</x:v>
      </x:c>
      <x:c r="X135" s="31" t="str"/>
      <x:c r="Y135" s="31" t="n">
        <x:v>0</x:v>
      </x:c>
      <x:c r="Z135" s="31" t="n">
        <x:v>0</x:v>
      </x:c>
      <x:c r="AA135" s="31" t="n">
        <x:v>0</x:v>
      </x:c>
      <x:c r="AB135" s="31" t="str"/>
      <x:c r="AC135" s="31" t="str"/>
    </x:row>
    <x:row r="136">
      <x:c r="A136" s="31" t="str">
        <x:v>2771105b08776abb</x:v>
      </x:c>
      <x:c r="B136" s="31" t="str">
        <x:v>2771105b08776abbd6ab27d96ac6b31e33ba057e552b85994d8e1c2f27c55746</x:v>
      </x:c>
      <x:c r="C136" s="31" t="n">
        <x:v>9</x:v>
      </x:c>
      <x:c r="D136" s="31" t="n">
        <x:v>34091</x:v>
      </x:c>
      <x:c r="E136" s="31" t="str">
        <x:v>Brooklyn</x:v>
      </x:c>
      <x:c r="F136" s="31" t="str">
        <x:v>East New York-New Lots</x:v>
      </x:c>
      <x:c r="G136" s="31" t="n">
        <x:v>58615.58696295756</x:v>
      </x:c>
      <x:c r="H136" s="31" t="n">
        <x:v>11840</x:v>
      </x:c>
      <x:c r="I136" s="31" t="n">
        <x:v>3.3885832187070153</x:v>
      </x:c>
      <x:c r="J136" s="40" t="n">
        <x:v>0.015540540540540541</x:v>
      </x:c>
      <x:c r="K136" s="40" t="n">
        <x:v>0.5146114864864865</x:v>
      </x:c>
      <x:c r="L136" s="40" t="n">
        <x:v>0.06047297297297297</x:v>
      </x:c>
      <x:c r="M136" s="31" t="n">
        <x:v>40.11845974788496</x:v>
      </x:c>
      <x:c r="N136" s="31" t="n">
        <x:v>69</x:v>
      </x:c>
      <x:c r="O136" s="31" t="n">
        <x:v>2.0239946026810594</x:v>
      </x:c>
      <x:c r="P136" s="31" t="n">
        <x:v>5</x:v>
      </x:c>
      <x:c r="Q136" s="40" t="n">
        <x:v>1</x:v>
      </x:c>
      <x:c r="R136" s="31" t="n">
        <x:v>0.101169827990173</x:v>
      </x:c>
      <x:c r="S136" s="40"/>
      <x:c r="T136" s="40"/>
      <x:c r="U136" s="40" t="n">
        <x:v>1</x:v>
      </x:c>
      <x:c r="V136" s="40" t="n">
        <x:v>0.9911317567567568</x:v>
      </x:c>
      <x:c r="W136" s="31" t="n">
        <x:v>1</x:v>
      </x:c>
      <x:c r="X136" s="31" t="str"/>
      <x:c r="Y136" s="31" t="n">
        <x:v>0</x:v>
      </x:c>
      <x:c r="Z136" s="31" t="n">
        <x:v>1</x:v>
      </x:c>
      <x:c r="AA136" s="31" t="n">
        <x:v>0</x:v>
      </x:c>
      <x:c r="AB136" s="31" t="str"/>
      <x:c r="AC136" s="31" t="str"/>
    </x:row>
    <x:row r="137">
      <x:c r="A137" s="31" t="str">
        <x:v>27cd768892fc30f0</x:v>
      </x:c>
      <x:c r="B137" s="31" t="str">
        <x:v>27cd768892fc30f044b5820868076e8f3f6dc91b9a18dbb2f868f37d2f68b8cf</x:v>
      </x:c>
      <x:c r="C137" s="31" t="n">
        <x:v>12</x:v>
      </x:c>
      <x:c r="D137" s="31" t="n">
        <x:v>33134</x:v>
      </x:c>
      <x:c r="E137" s="31" t="str">
        <x:v>Queens</x:v>
      </x:c>
      <x:c r="F137" s="31" t="str">
        <x:v>Ridgewood</x:v>
      </x:c>
      <x:c r="G137" s="31" t="n">
        <x:v>39160.22009739806</x:v>
      </x:c>
      <x:c r="H137" s="31" t="n">
        <x:v>12703</x:v>
      </x:c>
      <x:c r="I137" s="31" t="n">
        <x:v>2.3810363836824697</x:v>
      </x:c>
      <x:c r="J137" s="40" t="n">
        <x:v>0</x:v>
      </x:c>
      <x:c r="K137" s="40" t="n">
        <x:v>0.3266157600566795</x:v>
      </x:c>
      <x:c r="L137" s="40" t="n">
        <x:v>0.012280563646382744</x:v>
      </x:c>
      <x:c r="M137" s="31" t="n">
        <x:v>28.91347293285375</x:v>
      </x:c>
      <x:c r="N137" s="31" t="n">
        <x:v>7</x:v>
      </x:c>
      <x:c r="O137" s="31" t="n">
        <x:v>0.2112633548620752</x:v>
      </x:c>
      <x:c r="P137" s="31" t="n">
        <x:v>1.6469337951664962</x:v>
      </x:c>
      <x:c r="Q137" s="40" t="n">
        <x:v>0</x:v>
      </x:c>
      <x:c r="R137" s="31" t="n">
        <x:v>0.18090567785042</x:v>
      </x:c>
      <x:c r="S137" s="40"/>
      <x:c r="T137" s="40"/>
      <x:c r="U137" s="40" t="n">
        <x:v>1</x:v>
      </x:c>
      <x:c r="V137" s="40" t="n">
        <x:v>0.9947256553570023</x:v>
      </x:c>
      <x:c r="W137" s="31" t="n">
        <x:v>0</x:v>
      </x:c>
      <x:c r="X137" s="31" t="str"/>
      <x:c r="Y137" s="31" t="n">
        <x:v>0</x:v>
      </x:c>
      <x:c r="Z137" s="31" t="n">
        <x:v>0</x:v>
      </x:c>
      <x:c r="AA137" s="31" t="n">
        <x:v>0</x:v>
      </x:c>
      <x:c r="AB137" s="31" t="str"/>
      <x:c r="AC137" s="31" t="str"/>
    </x:row>
    <x:row r="138">
      <x:c r="A138" s="31" t="str">
        <x:v>27cf8a70d10d0215</x:v>
      </x:c>
      <x:c r="B138" s="31" t="str">
        <x:v>27cf8a70d10d0215fec1e0657ef9cc6dc3783fb6b941c33752b0e81e9860b1e2</x:v>
      </x:c>
      <x:c r="C138" s="31" t="n">
        <x:v>10</x:v>
      </x:c>
      <x:c r="D138" s="31" t="n">
        <x:v>33545</x:v>
      </x:c>
      <x:c r="E138" s="31" t="str">
        <x:v>Brooklyn</x:v>
      </x:c>
      <x:c r="F138" s="31" t="str">
        <x:v>Midwood</x:v>
      </x:c>
      <x:c r="G138" s="31" t="n">
        <x:v>47812.00589157729</x:v>
      </x:c>
      <x:c r="H138" s="31" t="n">
        <x:v>12296</x:v>
      </x:c>
      <x:c r="I138" s="31" t="n">
        <x:v>4.720131396392721</x:v>
      </x:c>
      <x:c r="J138" s="40" t="n">
        <x:v>0.026675341574495772</x:v>
      </x:c>
      <x:c r="K138" s="40" t="n">
        <x:v>0.6759108653220559</x:v>
      </x:c>
      <x:c r="L138" s="40" t="n">
        <x:v>0.006424853610930384</x:v>
      </x:c>
      <x:c r="M138" s="31" t="n">
        <x:v>53.29560354444499</x:v>
      </x:c>
      <x:c r="N138" s="31" t="n">
        <x:v>184</x:v>
      </x:c>
      <x:c r="O138" s="31" t="n">
        <x:v>5.485169175734089</x:v>
      </x:c>
      <x:c r="P138" s="31" t="n">
        <x:v>4.093770331815224</x:v>
      </x:c>
      <x:c r="Q138" s="40" t="n">
        <x:v>1</x:v>
      </x:c>
      <x:c r="R138" s="31" t="n">
        <x:v>0.16998494916021936</x:v>
      </x:c>
      <x:c r="S138" s="40"/>
      <x:c r="T138" s="40"/>
      <x:c r="U138" s="40" t="n">
        <x:v>1</x:v>
      </x:c>
      <x:c r="V138" s="40" t="n">
        <x:v>0.9949577098243331</x:v>
      </x:c>
      <x:c r="W138" s="31" t="n">
        <x:v>1</x:v>
      </x:c>
      <x:c r="X138" s="31" t="str"/>
      <x:c r="Y138" s="31" t="n">
        <x:v>0</x:v>
      </x:c>
      <x:c r="Z138" s="31" t="n">
        <x:v>1</x:v>
      </x:c>
      <x:c r="AA138" s="31" t="n">
        <x:v>0</x:v>
      </x:c>
      <x:c r="AB138" s="31" t="str"/>
      <x:c r="AC138" s="31" t="str"/>
    </x:row>
    <x:row r="139">
      <x:c r="A139" s="31" t="str">
        <x:v>27d7a5dea7a1abcc</x:v>
      </x:c>
      <x:c r="B139" s="31" t="str">
        <x:v>27d7a5dea7a1abccc6611aab3ab6f65c031fce7bb51969036808af99fc9dbb73</x:v>
      </x:c>
      <x:c r="C139" s="31" t="n">
        <x:v>7</x:v>
      </x:c>
      <x:c r="D139" s="31" t="n">
        <x:v>32329</x:v>
      </x:c>
      <x:c r="E139" s="31" t="str">
        <x:v>Queens</x:v>
      </x:c>
      <x:c r="F139" s="31" t="str">
        <x:v>Flushing-Willets Point</x:v>
      </x:c>
      <x:c r="G139" s="31" t="n">
        <x:v>47153.20267692081</x:v>
      </x:c>
      <x:c r="H139" s="31" t="n">
        <x:v>11222</x:v>
      </x:c>
      <x:c r="I139" s="31" t="n">
        <x:v>7.8805262686834325</x:v>
      </x:c>
      <x:c r="J139" s="40" t="n">
        <x:v>0.29593655319907325</x:v>
      </x:c>
      <x:c r="K139" s="40" t="n">
        <x:v>0.3603635715558724</x:v>
      </x:c>
      <x:c r="L139" s="40" t="n">
        <x:v>0.0740509713063625</x:v>
      </x:c>
      <x:c r="M139" s="31" t="n">
        <x:v>77.01545050690846</x:v>
      </x:c>
      <x:c r="N139" s="31" t="n">
        <x:v>144</x:v>
      </x:c>
      <x:c r="O139" s="31" t="n">
        <x:v>4.454205202759132</x:v>
      </x:c>
      <x:c r="P139" s="31" t="n">
        <x:v>3.970147923721262</x:v>
      </x:c>
      <x:c r="Q139" s="40" t="n">
        <x:v>0.9850294065229015</x:v>
      </x:c>
      <x:c r="R139" s="31" t="n">
        <x:v>0.23424395421402258</x:v>
      </x:c>
      <x:c r="S139" s="40"/>
      <x:c r="T139" s="40"/>
      <x:c r="U139" s="40" t="n">
        <x:v>1</x:v>
      </x:c>
      <x:c r="V139" s="40" t="n">
        <x:v>0.9803065407235787</x:v>
      </x:c>
      <x:c r="W139" s="31" t="n">
        <x:v>0</x:v>
      </x:c>
      <x:c r="X139" s="31" t="str"/>
      <x:c r="Y139" s="31" t="n">
        <x:v>0</x:v>
      </x:c>
      <x:c r="Z139" s="31" t="n">
        <x:v>0</x:v>
      </x:c>
      <x:c r="AA139" s="31" t="n">
        <x:v>0</x:v>
      </x:c>
      <x:c r="AB139" s="31" t="str"/>
      <x:c r="AC139" s="31" t="str"/>
    </x:row>
    <x:row r="140">
      <x:c r="A140" s="31" t="str">
        <x:v>27e9b69f93bc917d</x:v>
      </x:c>
      <x:c r="B140" s="31" t="str">
        <x:v>27e9b69f93bc917d4b34142cc6548005ef3c4a836cbc52b54f3372fd33046478</x:v>
      </x:c>
      <x:c r="C140" s="31" t="n">
        <x:v>6</x:v>
      </x:c>
      <x:c r="D140" s="31" t="n">
        <x:v>37789</x:v>
      </x:c>
      <x:c r="E140" s="31" t="str">
        <x:v>Manhattan</x:v>
      </x:c>
      <x:c r="F140" s="31" t="str">
        <x:v>Upper East Side-Yorkville</x:v>
      </x:c>
      <x:c r="G140" s="31" t="n">
        <x:v>180389.00694622548</x:v>
      </x:c>
      <x:c r="H140" s="31" t="n">
        <x:v>21980</x:v>
      </x:c>
      <x:c r="I140" s="31" t="n">
        <x:v>20.757176470588234</x:v>
      </x:c>
      <x:c r="J140" s="40" t="n">
        <x:v>0.6118289353958144</x:v>
      </x:c>
      <x:c r="K140" s="40" t="n">
        <x:v>0.35495905368516834</x:v>
      </x:c>
      <x:c r="L140" s="40" t="n">
        <x:v>0.1397179253867152</x:v>
      </x:c>
      <x:c r="M140" s="31" t="n">
        <x:v>212.31183002600588</x:v>
      </x:c>
      <x:c r="N140" s="31" t="n">
        <x:v>275</x:v>
      </x:c>
      <x:c r="O140" s="31" t="n">
        <x:v>7.277249993384318</x:v>
      </x:c>
      <x:c r="P140" s="31" t="n">
        <x:v>1</x:v>
      </x:c>
      <x:c r="Q140" s="40" t="n">
        <x:v>0</x:v>
      </x:c>
      <x:c r="R140" s="31" t="n">
        <x:v>0.12792232356061325</x:v>
      </x:c>
      <x:c r="S140" s="40"/>
      <x:c r="T140" s="40"/>
      <x:c r="U140" s="40" t="n">
        <x:v>1</x:v>
      </x:c>
      <x:c r="V140" s="40" t="n">
        <x:v>0.9900818926296633</x:v>
      </x:c>
      <x:c r="W140" s="31" t="n">
        <x:v>0</x:v>
      </x:c>
      <x:c r="X140" s="31" t="str"/>
      <x:c r="Y140" s="31" t="n">
        <x:v>0</x:v>
      </x:c>
      <x:c r="Z140" s="31" t="n">
        <x:v>0</x:v>
      </x:c>
      <x:c r="AA140" s="31" t="n">
        <x:v>0</x:v>
      </x:c>
      <x:c r="AB140" s="31" t="str"/>
      <x:c r="AC140" s="31" t="str"/>
    </x:row>
    <x:row r="141">
      <x:c r="A141" s="31" t="str">
        <x:v>28005d49fa82d041</x:v>
      </x:c>
      <x:c r="B141" s="31" t="str">
        <x:v>28005d49fa82d041534317b8098b93f5e6db1ec4b3ee45ed73624b9f09acd35f</x:v>
      </x:c>
      <x:c r="C141" s="31" t="n">
        <x:v>9</x:v>
      </x:c>
      <x:c r="D141" s="31" t="n">
        <x:v>34322</x:v>
      </x:c>
      <x:c r="E141" s="31" t="str">
        <x:v>Brooklyn</x:v>
      </x:c>
      <x:c r="F141" s="31" t="str">
        <x:v>Brownsville</x:v>
      </x:c>
      <x:c r="G141" s="31" t="n">
        <x:v>52114.05450473113</x:v>
      </x:c>
      <x:c r="H141" s="31" t="n">
        <x:v>13836</x:v>
      </x:c>
      <x:c r="I141" s="31" t="n">
        <x:v>5.0135775238646225</x:v>
      </x:c>
      <x:c r="J141" s="40" t="n">
        <x:v>0.17888117953165655</x:v>
      </x:c>
      <x:c r="K141" s="40" t="n">
        <x:v>0.39975426423821914</x:v>
      </x:c>
      <x:c r="L141" s="40" t="n">
        <x:v>0.11361665221162186</x:v>
      </x:c>
      <x:c r="M141" s="31" t="n">
        <x:v>52.750685500656104</x:v>
      </x:c>
      <x:c r="N141" s="31" t="n">
        <x:v>91</x:v>
      </x:c>
      <x:c r="O141" s="31" t="n">
        <x:v>2.651360643319154</x:v>
      </x:c>
      <x:c r="P141" s="31" t="n">
        <x:v>5</x:v>
      </x:c>
      <x:c r="Q141" s="40" t="n">
        <x:v>1</x:v>
      </x:c>
      <x:c r="R141" s="31" t="n">
        <x:v>0.11513602588228988</x:v>
      </x:c>
      <x:c r="S141" s="40"/>
      <x:c r="T141" s="40"/>
      <x:c r="U141" s="40" t="n">
        <x:v>1</x:v>
      </x:c>
      <x:c r="V141" s="40" t="n">
        <x:v>0.9715958369470945</x:v>
      </x:c>
      <x:c r="W141" s="31" t="n">
        <x:v>0</x:v>
      </x:c>
      <x:c r="X141" s="31" t="str"/>
      <x:c r="Y141" s="31" t="n">
        <x:v>0</x:v>
      </x:c>
      <x:c r="Z141" s="31" t="n">
        <x:v>0</x:v>
      </x:c>
      <x:c r="AA141" s="31" t="n">
        <x:v>0</x:v>
      </x:c>
      <x:c r="AB141" s="31" t="str"/>
      <x:c r="AC141" s="31" t="str"/>
    </x:row>
    <x:row r="142">
      <x:c r="A142" s="31" t="str">
        <x:v>2876c694d27ec27c</x:v>
      </x:c>
      <x:c r="B142" s="31" t="str">
        <x:v>2876c694d27ec27c5137c03bd3e90e34b57b7faf45d2d6160c8f940bd54fe60e</x:v>
      </x:c>
      <x:c r="C142" s="31" t="n">
        <x:v>11</x:v>
      </x:c>
      <x:c r="D142" s="31" t="n">
        <x:v>35003</x:v>
      </x:c>
      <x:c r="E142" s="31" t="str">
        <x:v>Queens</x:v>
      </x:c>
      <x:c r="F142" s="31" t="str">
        <x:v>South Ozone Park</x:v>
      </x:c>
      <x:c r="G142" s="31" t="n">
        <x:v>34162.35221476352</x:v>
      </x:c>
      <x:c r="H142" s="31" t="n">
        <x:v>9627</x:v>
      </x:c>
      <x:c r="I142" s="31" t="n">
        <x:v>2.2490316883116885</x:v>
      </x:c>
      <x:c r="J142" s="40" t="n">
        <x:v>0</x:v>
      </x:c>
      <x:c r="K142" s="40" t="n">
        <x:v>0.03884907032304975</x:v>
      </x:c>
      <x:c r="L142" s="40" t="n">
        <x:v>0.01661992313285551</x:v>
      </x:c>
      <x:c r="M142" s="31" t="n">
        <x:v>27.529171068535597</x:v>
      </x:c>
      <x:c r="N142" s="31" t="n">
        <x:v>7</x:v>
      </x:c>
      <x:c r="O142" s="31" t="n">
        <x:v>0.19998285861211895</x:v>
      </x:c>
      <x:c r="P142" s="31" t="n">
        <x:v>4</x:v>
      </x:c>
      <x:c r="Q142" s="40" t="n">
        <x:v>1</x:v>
      </x:c>
      <x:c r="R142" s="31" t="n">
        <x:v>0.12448186557248993</x:v>
      </x:c>
      <x:c r="S142" s="40"/>
      <x:c r="T142" s="40"/>
      <x:c r="U142" s="40" t="n">
        <x:v>1</x:v>
      </x:c>
      <x:c r="V142" s="40" t="n">
        <x:v>0.9980263841279734</x:v>
      </x:c>
      <x:c r="W142" s="31" t="n">
        <x:v>0</x:v>
      </x:c>
      <x:c r="X142" s="31" t="str"/>
      <x:c r="Y142" s="31" t="n">
        <x:v>0</x:v>
      </x:c>
      <x:c r="Z142" s="31" t="n">
        <x:v>0</x:v>
      </x:c>
      <x:c r="AA142" s="31" t="n">
        <x:v>0</x:v>
      </x:c>
      <x:c r="AB142" s="31" t="str"/>
      <x:c r="AC142" s="31" t="str"/>
    </x:row>
    <x:row r="143">
      <x:c r="A143" s="31" t="str">
        <x:v>293c49913b1a6cc1</x:v>
      </x:c>
      <x:c r="B143" s="31" t="str">
        <x:v>293c49913b1a6cc170c804b5c5eab0af5f3e50f1f591af717673b4681ef63cb3</x:v>
      </x:c>
      <x:c r="C143" s="31" t="n">
        <x:v>7</x:v>
      </x:c>
      <x:c r="D143" s="31" t="n">
        <x:v>32402</x:v>
      </x:c>
      <x:c r="E143" s="31" t="str">
        <x:v>Bronx</x:v>
      </x:c>
      <x:c r="F143" s="31" t="str">
        <x:v>Co-op City</x:v>
      </x:c>
      <x:c r="G143" s="31" t="n">
        <x:v>19725.759685708465</x:v>
      </x:c>
      <x:c r="H143" s="31" t="n">
        <x:v>16092</x:v>
      </x:c>
      <x:c r="I143" s="31" t="n">
        <x:v>23.993403037092357</x:v>
      </x:c>
      <x:c r="J143" s="40" t="n">
        <x:v>0.7401193139448173</x:v>
      </x:c>
      <x:c r="K143" s="40" t="n">
        <x:v>0.10756897837434751</x:v>
      </x:c>
      <x:c r="L143" s="40" t="n">
        <x:v>0.701590852597564</x:v>
      </x:c>
      <x:c r="M143" s="31" t="n">
        <x:v>213.73067995320648</x:v>
      </x:c>
      <x:c r="N143" s="31" t="n">
        <x:v>133</x:v>
      </x:c>
      <x:c r="O143" s="31" t="n">
        <x:v>4.104684895994074</x:v>
      </x:c>
      <x:c r="P143" s="31" t="n">
        <x:v>4.188126205737756</x:v>
      </x:c>
      <x:c r="Q143" s="40" t="n">
        <x:v>0.9985686725994151</x:v>
      </x:c>
      <x:c r="R143" s="31" t="n">
        <x:v>0.24538218736435666</x:v>
      </x:c>
      <x:c r="S143" s="40"/>
      <x:c r="T143" s="40"/>
      <x:c r="U143" s="40" t="n">
        <x:v>0.998570718369376</x:v>
      </x:c>
      <x:c r="V143" s="40" t="n">
        <x:v>0.9961471538652746</x:v>
      </x:c>
      <x:c r="W143" s="31" t="n">
        <x:v>0</x:v>
      </x:c>
      <x:c r="X143" s="31" t="str"/>
      <x:c r="Y143" s="31" t="n">
        <x:v>0</x:v>
      </x:c>
      <x:c r="Z143" s="31" t="n">
        <x:v>0</x:v>
      </x:c>
      <x:c r="AA143" s="31" t="n">
        <x:v>0</x:v>
      </x:c>
      <x:c r="AB143" s="31" t="str"/>
      <x:c r="AC143" s="31" t="str"/>
    </x:row>
    <x:row r="144">
      <x:c r="A144" s="31" t="str">
        <x:v>295a31ad53933ae3</x:v>
      </x:c>
      <x:c r="B144" s="31" t="str">
        <x:v>295a31ad53933ae37c0ec223a94f74135f7015e297d5d616d73e03054598f46c</x:v>
      </x:c>
      <x:c r="C144" s="31" t="n">
        <x:v>12</x:v>
      </x:c>
      <x:c r="D144" s="31" t="n">
        <x:v>33443</x:v>
      </x:c>
      <x:c r="E144" s="31" t="str">
        <x:v>Brooklyn</x:v>
      </x:c>
      <x:c r="F144" s="31" t="str">
        <x:v>Bay Ridge</x:v>
      </x:c>
      <x:c r="G144" s="31" t="n">
        <x:v>38931.67209845765</x:v>
      </x:c>
      <x:c r="H144" s="31" t="n">
        <x:v>16255</x:v>
      </x:c>
      <x:c r="I144" s="31" t="n">
        <x:v>4.632613972400197</x:v>
      </x:c>
      <x:c r="J144" s="40" t="n">
        <x:v>0.03894186404183328</x:v>
      </x:c>
      <x:c r="K144" s="40" t="n">
        <x:v>0.7039680098431252</x:v>
      </x:c>
      <x:c r="L144" s="40" t="n">
        <x:v>0.05143032912949862</x:v>
      </x:c>
      <x:c r="M144" s="31" t="n">
        <x:v>52.05884759453248</x:v>
      </x:c>
      <x:c r="N144" s="31" t="n">
        <x:v>183</x:v>
      </x:c>
      <x:c r="O144" s="31" t="n">
        <x:v>5.471997129444129</x:v>
      </x:c>
      <x:c r="P144" s="31" t="n">
        <x:v>2.041218086742541</x:v>
      </x:c>
      <x:c r="Q144" s="40" t="n">
        <x:v>0</x:v>
      </x:c>
      <x:c r="R144" s="31" t="n">
        <x:v>0.2292860601489154</x:v>
      </x:c>
      <x:c r="S144" s="40"/>
      <x:c r="T144" s="40"/>
      <x:c r="U144" s="40" t="n">
        <x:v>1</x:v>
      </x:c>
      <x:c r="V144" s="40" t="n">
        <x:v>0.9987080898185173</x:v>
      </x:c>
      <x:c r="W144" s="31" t="n">
        <x:v>0</x:v>
      </x:c>
      <x:c r="X144" s="31" t="str"/>
      <x:c r="Y144" s="31" t="n">
        <x:v>0</x:v>
      </x:c>
      <x:c r="Z144" s="31" t="n">
        <x:v>0</x:v>
      </x:c>
      <x:c r="AA144" s="31" t="n">
        <x:v>0</x:v>
      </x:c>
      <x:c r="AB144" s="31" t="str"/>
      <x:c r="AC144" s="31" t="str"/>
    </x:row>
    <x:row r="145">
      <x:c r="A145" s="31" t="str">
        <x:v>2988586aeb013dd0</x:v>
      </x:c>
      <x:c r="B145" s="31" t="str">
        <x:v>2988586aeb013dd02ff1f9ec29517825d681a9b6a9d192e03ef27d2f568d71e6</x:v>
      </x:c>
      <x:c r="C145" s="31" t="n">
        <x:v>9</x:v>
      </x:c>
      <x:c r="D145" s="31" t="n">
        <x:v>32554</x:v>
      </x:c>
      <x:c r="E145" s="31" t="str">
        <x:v>Brooklyn</x:v>
      </x:c>
      <x:c r="F145" s="31" t="str">
        <x:v>Midwood</x:v>
      </x:c>
      <x:c r="G145" s="31" t="n">
        <x:v>51910.43083483241</x:v>
      </x:c>
      <x:c r="H145" s="31" t="n">
        <x:v>12917</x:v>
      </x:c>
      <x:c r="I145" s="31" t="n">
        <x:v>4.857723577235772</x:v>
      </x:c>
      <x:c r="J145" s="40" t="n">
        <x:v>0.01037392583417202</x:v>
      </x:c>
      <x:c r="K145" s="40" t="n">
        <x:v>0.7341487961600991</x:v>
      </x:c>
      <x:c r="L145" s="40" t="n">
        <x:v>0.0027096074940001547</x:v>
      </x:c>
      <x:c r="M145" s="31" t="n">
        <x:v>53.90700794350157</x:v>
      </x:c>
      <x:c r="N145" s="31" t="n">
        <x:v>245</x:v>
      </x:c>
      <x:c r="O145" s="31" t="n">
        <x:v>7.525956871659397</x:v>
      </x:c>
      <x:c r="P145" s="31" t="n">
        <x:v>3.6427188975768368</x:v>
      </x:c>
      <x:c r="Q145" s="40" t="n">
        <x:v>0.5289928001858016</x:v>
      </x:c>
      <x:c r="R145" s="31" t="n">
        <x:v>0.16543211853700285</x:v>
      </x:c>
      <x:c r="S145" s="40"/>
      <x:c r="T145" s="40"/>
      <x:c r="U145" s="40" t="n">
        <x:v>1</x:v>
      </x:c>
      <x:c r="V145" s="40" t="n">
        <x:v>0.987845474955485</x:v>
      </x:c>
      <x:c r="W145" s="31" t="n">
        <x:v>0</x:v>
      </x:c>
      <x:c r="X145" s="31" t="str"/>
      <x:c r="Y145" s="31" t="n">
        <x:v>0</x:v>
      </x:c>
      <x:c r="Z145" s="31" t="n">
        <x:v>0</x:v>
      </x:c>
      <x:c r="AA145" s="31" t="n">
        <x:v>0</x:v>
      </x:c>
      <x:c r="AB145" s="31" t="str"/>
      <x:c r="AC145" s="31" t="str"/>
    </x:row>
    <x:row r="146">
      <x:c r="A146" s="31" t="str">
        <x:v>29d94302c516793b</x:v>
      </x:c>
      <x:c r="B146" s="31" t="str">
        <x:v>29d94302c516793b46602bb64f1e32832617fddadd5ebd0d86e85a2fe5b3b2de</x:v>
      </x:c>
      <x:c r="C146" s="31" t="n">
        <x:v>8</x:v>
      </x:c>
      <x:c r="D146" s="31" t="n">
        <x:v>36343</x:v>
      </x:c>
      <x:c r="E146" s="31" t="str">
        <x:v>Queens</x:v>
      </x:c>
      <x:c r="F146" s="31" t="str">
        <x:v>Jackson Heights</x:v>
      </x:c>
      <x:c r="G146" s="31" t="n">
        <x:v>98975.27803491073</x:v>
      </x:c>
      <x:c r="H146" s="31" t="n">
        <x:v>9771</x:v>
      </x:c>
      <x:c r="I146" s="31" t="n">
        <x:v>4.226023391812866</x:v>
      </x:c>
      <x:c r="J146" s="40" t="n">
        <x:v>0</x:v>
      </x:c>
      <x:c r="K146" s="40" t="n">
        <x:v>0.6796643127622557</x:v>
      </x:c>
      <x:c r="L146" s="40" t="n">
        <x:v>0.17459830109507726</x:v>
      </x:c>
      <x:c r="M146" s="31" t="n">
        <x:v>47.61162229980518</x:v>
      </x:c>
      <x:c r="N146" s="31" t="n">
        <x:v>94</x:v>
      </x:c>
      <x:c r="O146" s="31" t="n">
        <x:v>2.586467820488127</x:v>
      </x:c>
      <x:c r="P146" s="31" t="n">
        <x:v>3.3337427080135096</x:v>
      </x:c>
      <x:c r="Q146" s="40" t="n">
        <x:v>0.33374270801350936</x:v>
      </x:c>
      <x:c r="R146" s="31" t="n">
        <x:v>0.13396018038619564</x:v>
      </x:c>
      <x:c r="S146" s="40"/>
      <x:c r="T146" s="40"/>
      <x:c r="U146" s="40" t="n">
        <x:v>1</x:v>
      </x:c>
      <x:c r="V146" s="40" t="n">
        <x:v>0.9928359430969195</x:v>
      </x:c>
      <x:c r="W146" s="31" t="n">
        <x:v>0</x:v>
      </x:c>
      <x:c r="X146" s="31" t="str"/>
      <x:c r="Y146" s="31" t="n">
        <x:v>0</x:v>
      </x:c>
      <x:c r="Z146" s="31" t="n">
        <x:v>0</x:v>
      </x:c>
      <x:c r="AA146" s="31" t="n">
        <x:v>0</x:v>
      </x:c>
      <x:c r="AB146" s="31" t="str"/>
      <x:c r="AC146" s="31" t="str"/>
    </x:row>
    <x:row r="147">
      <x:c r="A147" s="31" t="str">
        <x:v>29dafd2d83d30f46</x:v>
      </x:c>
      <x:c r="B147" s="31" t="str">
        <x:v>29dafd2d83d30f46f47e2002b466c8614cc8942f7ee6e6995d5103c93ada177a</x:v>
      </x:c>
      <x:c r="C147" s="31" t="n">
        <x:v>12</x:v>
      </x:c>
      <x:c r="D147" s="31" t="n">
        <x:v>34334</x:v>
      </x:c>
      <x:c r="E147" s="31" t="str">
        <x:v>Brooklyn</x:v>
      </x:c>
      <x:c r="F147" s="31" t="str">
        <x:v>East Flatbush-Rugby</x:v>
      </x:c>
      <x:c r="G147" s="31" t="n">
        <x:v>49346.36413106957</x:v>
      </x:c>
      <x:c r="H147" s="31" t="n">
        <x:v>11374</x:v>
      </x:c>
      <x:c r="I147" s="31" t="n">
        <x:v>2.745536892093923</x:v>
      </x:c>
      <x:c r="J147" s="40" t="n">
        <x:v>0.00008791981712678038</x:v>
      </x:c>
      <x:c r="K147" s="40" t="n">
        <x:v>0.3759451380341129</x:v>
      </x:c>
      <x:c r="L147" s="40" t="n">
        <x:v>0.00958326006681906</x:v>
      </x:c>
      <x:c r="M147" s="31" t="n">
        <x:v>33.827918005146344</x:v>
      </x:c>
      <x:c r="N147" s="31" t="n">
        <x:v>30</x:v>
      </x:c>
      <x:c r="O147" s="31" t="n">
        <x:v>0.8737694413700705</x:v>
      </x:c>
      <x:c r="P147" s="31" t="n">
        <x:v>5</x:v>
      </x:c>
      <x:c r="Q147" s="40" t="n">
        <x:v>1</x:v>
      </x:c>
      <x:c r="R147" s="31" t="n">
        <x:v>0.1722777688943321</x:v>
      </x:c>
      <x:c r="S147" s="40"/>
      <x:c r="T147" s="40"/>
      <x:c r="U147" s="40" t="n">
        <x:v>1</x:v>
      </x:c>
      <x:c r="V147" s="40" t="n">
        <x:v>0.9883066643221382</x:v>
      </x:c>
      <x:c r="W147" s="31" t="n">
        <x:v>0</x:v>
      </x:c>
      <x:c r="X147" s="31" t="str"/>
      <x:c r="Y147" s="31" t="n">
        <x:v>0</x:v>
      </x:c>
      <x:c r="Z147" s="31" t="n">
        <x:v>0</x:v>
      </x:c>
      <x:c r="AA147" s="31" t="n">
        <x:v>0</x:v>
      </x:c>
      <x:c r="AB147" s="31" t="str"/>
      <x:c r="AC147" s="31" t="str"/>
    </x:row>
    <x:row r="148">
      <x:c r="A148" s="31" t="str">
        <x:v>29f159dd0fed13a8</x:v>
      </x:c>
      <x:c r="B148" s="31" t="str">
        <x:v>29f159dd0fed13a87e1b399778657ae8acf6d3e422c39c5d3eb7d51023fd5120</x:v>
      </x:c>
      <x:c r="C148" s="31" t="n">
        <x:v>15</x:v>
      </x:c>
      <x:c r="D148" s="31" t="n">
        <x:v>33546</x:v>
      </x:c>
      <x:c r="E148" s="31" t="str">
        <x:v>Brooklyn</x:v>
      </x:c>
      <x:c r="F148" s="31" t="str">
        <x:v>Canarsie</x:v>
      </x:c>
      <x:c r="G148" s="31" t="n">
        <x:v>36731.40464577926</x:v>
      </x:c>
      <x:c r="H148" s="31" t="n">
        <x:v>10272</x:v>
      </x:c>
      <x:c r="I148" s="31" t="n">
        <x:v>2.041073028237585</x:v>
      </x:c>
      <x:c r="J148" s="40" t="n">
        <x:v>0</x:v>
      </x:c>
      <x:c r="K148" s="40" t="n">
        <x:v>0.18623442367601245</x:v>
      </x:c>
      <x:c r="L148" s="40" t="n">
        <x:v>0.03757788161993769</x:v>
      </x:c>
      <x:c r="M148" s="31" t="n">
        <x:v>27.47267957768938</x:v>
      </x:c>
      <x:c r="N148" s="31" t="n">
        <x:v>7</x:v>
      </x:c>
      <x:c r="O148" s="31" t="n">
        <x:v>0.20866869373397723</x:v>
      </x:c>
      <x:c r="P148" s="31" t="n">
        <x:v>5</x:v>
      </x:c>
      <x:c r="Q148" s="40" t="n">
        <x:v>1</x:v>
      </x:c>
      <x:c r="R148" s="31" t="n">
        <x:v>0.1733203031483317</x:v>
      </x:c>
      <x:c r="S148" s="40"/>
      <x:c r="T148" s="40"/>
      <x:c r="U148" s="40" t="n">
        <x:v>1</x:v>
      </x:c>
      <x:c r="V148" s="40" t="n">
        <x:v>0.9985397196261683</x:v>
      </x:c>
      <x:c r="W148" s="31" t="n">
        <x:v>0</x:v>
      </x:c>
      <x:c r="X148" s="31" t="str"/>
      <x:c r="Y148" s="31" t="n">
        <x:v>0</x:v>
      </x:c>
      <x:c r="Z148" s="31" t="n">
        <x:v>0</x:v>
      </x:c>
      <x:c r="AA148" s="31" t="n">
        <x:v>0</x:v>
      </x:c>
      <x:c r="AB148" s="31" t="str"/>
      <x:c r="AC148" s="31" t="str"/>
    </x:row>
    <x:row r="149">
      <x:c r="A149" s="31" t="str">
        <x:v>2a1c4ceb89ad6b2c</x:v>
      </x:c>
      <x:c r="B149" s="31" t="str">
        <x:v>2a1c4ceb89ad6b2c82051aec9e6b5b0db03d70931e373e95199833621a5cde29</x:v>
      </x:c>
      <x:c r="C149" s="31" t="n">
        <x:v>5</x:v>
      </x:c>
      <x:c r="D149" s="31" t="n">
        <x:v>36985</x:v>
      </x:c>
      <x:c r="E149" s="31" t="str">
        <x:v>Manhattan</x:v>
      </x:c>
      <x:c r="F149" s="31" t="str">
        <x:v>Washington Heights (South)</x:v>
      </x:c>
      <x:c r="G149" s="31" t="n">
        <x:v>98100.42006154433</x:v>
      </x:c>
      <x:c r="H149" s="31" t="n">
        <x:v>15357</x:v>
      </x:c>
      <x:c r="I149" s="31" t="n">
        <x:v>7.073565800612099</x:v>
      </x:c>
      <x:c r="J149" s="40" t="n">
        <x:v>0.15504330272839748</x:v>
      </x:c>
      <x:c r="K149" s="40" t="n">
        <x:v>0.8444357621931367</x:v>
      </x:c>
      <x:c r="L149" s="40" t="n">
        <x:v>0.010744285993358077</x:v>
      </x:c>
      <x:c r="M149" s="31" t="n">
        <x:v>86.52217864610883</x:v>
      </x:c>
      <x:c r="N149" s="31" t="n">
        <x:v>229</x:v>
      </x:c>
      <x:c r="O149" s="31" t="n">
        <x:v>6.191699337569285</x:v>
      </x:c>
      <x:c r="P149" s="31" t="n">
        <x:v>3.1931366803412127</x:v>
      </x:c>
      <x:c r="Q149" s="40" t="n">
        <x:v>0.19313668034121248</x:v>
      </x:c>
      <x:c r="R149" s="31" t="n">
        <x:v>0.17358576829308633</x:v>
      </x:c>
      <x:c r="S149" s="40"/>
      <x:c r="T149" s="40"/>
      <x:c r="U149" s="40" t="n">
        <x:v>1</x:v>
      </x:c>
      <x:c r="V149" s="40" t="n">
        <x:v>0.9921859738230123</x:v>
      </x:c>
      <x:c r="W149" s="31" t="n">
        <x:v>0</x:v>
      </x:c>
      <x:c r="X149" s="31" t="str"/>
      <x:c r="Y149" s="31" t="n">
        <x:v>0</x:v>
      </x:c>
      <x:c r="Z149" s="31" t="n">
        <x:v>0</x:v>
      </x:c>
      <x:c r="AA149" s="31" t="n">
        <x:v>0</x:v>
      </x:c>
      <x:c r="AB149" s="31" t="str"/>
      <x:c r="AC149" s="31" t="str"/>
    </x:row>
    <x:row r="150">
      <x:c r="A150" s="31" t="str">
        <x:v>2a3f712afb50d5e6</x:v>
      </x:c>
      <x:c r="B150" s="31" t="str">
        <x:v>2a3f712afb50d5e637237647e8b957b98d9614360e3a882a989d5c0dade0cbca</x:v>
      </x:c>
      <x:c r="C150" s="31" t="n">
        <x:v>10</x:v>
      </x:c>
      <x:c r="D150" s="31" t="n">
        <x:v>32646</x:v>
      </x:c>
      <x:c r="E150" s="31" t="str">
        <x:v>Queens</x:v>
      </x:c>
      <x:c r="F150" s="31" t="str">
        <x:v>South Jamaica</x:v>
      </x:c>
      <x:c r="G150" s="31" t="n">
        <x:v>31878.59494685276</x:v>
      </x:c>
      <x:c r="H150" s="31" t="n">
        <x:v>9263</x:v>
      </x:c>
      <x:c r="I150" s="31" t="n">
        <x:v>2.9053062330623307</x:v>
      </x:c>
      <x:c r="J150" s="40" t="n">
        <x:v>0</x:v>
      </x:c>
      <x:c r="K150" s="40" t="n">
        <x:v>0.26352153729893124</x:v>
      </x:c>
      <x:c r="L150" s="40" t="n">
        <x:v>0.14109899600561374</x:v>
      </x:c>
      <x:c r="M150" s="31" t="n">
        <x:v>33.781716880324595</x:v>
      </x:c>
      <x:c r="N150" s="31" t="n">
        <x:v>30</x:v>
      </x:c>
      <x:c r="O150" s="31" t="n">
        <x:v>0.9189487226612755</x:v>
      </x:c>
      <x:c r="P150" s="31" t="n">
        <x:v>4.985857713483752</x:v>
      </x:c>
      <x:c r="Q150" s="40" t="n">
        <x:v>1</x:v>
      </x:c>
      <x:c r="R150" s="31" t="n">
        <x:v>0.1478297630359499</x:v>
      </x:c>
      <x:c r="S150" s="40"/>
      <x:c r="T150" s="40"/>
      <x:c r="U150" s="40" t="n">
        <x:v>1</x:v>
      </x:c>
      <x:c r="V150" s="40" t="n">
        <x:v>0.9911475763791429</x:v>
      </x:c>
      <x:c r="W150" s="31" t="n">
        <x:v>0</x:v>
      </x:c>
      <x:c r="X150" s="31" t="str"/>
      <x:c r="Y150" s="31" t="n">
        <x:v>0</x:v>
      </x:c>
      <x:c r="Z150" s="31" t="n">
        <x:v>0</x:v>
      </x:c>
      <x:c r="AA150" s="31" t="n">
        <x:v>0</x:v>
      </x:c>
      <x:c r="AB150" s="31" t="str"/>
      <x:c r="AC150" s="31" t="str"/>
    </x:row>
    <x:row r="151">
      <x:c r="A151" s="31" t="str">
        <x:v>2ac4ad1ff9143023</x:v>
      </x:c>
      <x:c r="B151" s="31" t="str">
        <x:v>2ac4ad1ff91430232c3a04fea7fe301e8333ca4ba50511fc21e23d8b66f08878</x:v>
      </x:c>
      <x:c r="C151" s="31" t="n">
        <x:v>7</x:v>
      </x:c>
      <x:c r="D151" s="31" t="n">
        <x:v>36351</x:v>
      </x:c>
      <x:c r="E151" s="31" t="str">
        <x:v>Bronx</x:v>
      </x:c>
      <x:c r="F151" s="31" t="str">
        <x:v>Concourse-Concourse Village</x:v>
      </x:c>
      <x:c r="G151" s="31" t="n">
        <x:v>84945.8408257033</x:v>
      </x:c>
      <x:c r="H151" s="31" t="n">
        <x:v>15071</x:v>
      </x:c>
      <x:c r="I151" s="31" t="n">
        <x:v>7.726275287317696</x:v>
      </x:c>
      <x:c r="J151" s="40" t="n">
        <x:v>0.35817132240727223</x:v>
      </x:c>
      <x:c r="K151" s="40" t="n">
        <x:v>0.6174772742352863</x:v>
      </x:c>
      <x:c r="L151" s="40" t="n">
        <x:v>0.07743348152080154</x:v>
      </x:c>
      <x:c r="M151" s="31" t="n">
        <x:v>79.99895344621882</x:v>
      </x:c>
      <x:c r="N151" s="31" t="n">
        <x:v>194</x:v>
      </x:c>
      <x:c r="O151" s="31" t="n">
        <x:v>5.336854556958543</x:v>
      </x:c>
      <x:c r="P151" s="31" t="n">
        <x:v>5</x:v>
      </x:c>
      <x:c r="Q151" s="40" t="n">
        <x:v>1</x:v>
      </x:c>
      <x:c r="R151" s="31" t="n">
        <x:v>0.11085058154660346</x:v>
      </x:c>
      <x:c r="S151" s="40"/>
      <x:c r="T151" s="40"/>
      <x:c r="U151" s="40" t="n">
        <x:v>1</x:v>
      </x:c>
      <x:c r="V151" s="40" t="n">
        <x:v>0.971468382987194</x:v>
      </x:c>
      <x:c r="W151" s="31" t="n">
        <x:v>1</x:v>
      </x:c>
      <x:c r="X151" s="31" t="str"/>
      <x:c r="Y151" s="31" t="n">
        <x:v>0</x:v>
      </x:c>
      <x:c r="Z151" s="31" t="n">
        <x:v>1</x:v>
      </x:c>
      <x:c r="AA151" s="31" t="n">
        <x:v>0</x:v>
      </x:c>
      <x:c r="AB151" s="31" t="str"/>
      <x:c r="AC151" s="31" t="str"/>
    </x:row>
    <x:row r="152">
      <x:c r="A152" s="31" t="str">
        <x:v>2acdeaacc1fd8478</x:v>
      </x:c>
      <x:c r="B152" s="31" t="str">
        <x:v>2acdeaacc1fd8478cdc42643e0b26543c929517f5e416178be14cd8ef9a93162</x:v>
      </x:c>
      <x:c r="C152" s="31" t="n">
        <x:v>11</x:v>
      </x:c>
      <x:c r="D152" s="31" t="n">
        <x:v>37959</x:v>
      </x:c>
      <x:c r="E152" s="31" t="str">
        <x:v>Brooklyn</x:v>
      </x:c>
      <x:c r="F152" s="31" t="str">
        <x:v>Sunset Park (Central)</x:v>
      </x:c>
      <x:c r="G152" s="31" t="n">
        <x:v>93083.11966726456</x:v>
      </x:c>
      <x:c r="H152" s="31" t="n">
        <x:v>10248</x:v>
      </x:c>
      <x:c r="I152" s="31" t="n">
        <x:v>3.1665754495699767</x:v>
      </x:c>
      <x:c r="J152" s="40" t="n">
        <x:v>0</x:v>
      </x:c>
      <x:c r="K152" s="40" t="n">
        <x:v>0.5905542544886807</x:v>
      </x:c>
      <x:c r="L152" s="40" t="n">
        <x:v>0.009660421545667448</x:v>
      </x:c>
      <x:c r="M152" s="31" t="n">
        <x:v>38.07911506944282</x:v>
      </x:c>
      <x:c r="N152" s="31" t="n">
        <x:v>104</x:v>
      </x:c>
      <x:c r="O152" s="31" t="n">
        <x:v>2.7397982033246397</x:v>
      </x:c>
      <x:c r="P152" s="31" t="n">
        <x:v>3.346701795472287</x:v>
      </x:c>
      <x:c r="Q152" s="40" t="n">
        <x:v>0.3467017954722873</x:v>
      </x:c>
      <x:c r="R152" s="31" t="n">
        <x:v>0.139075875360304</x:v>
      </x:c>
      <x:c r="S152" s="40"/>
      <x:c r="T152" s="40"/>
      <x:c r="U152" s="40" t="n">
        <x:v>1</x:v>
      </x:c>
      <x:c r="V152" s="40" t="n">
        <x:v>1</x:v>
      </x:c>
      <x:c r="W152" s="31" t="n">
        <x:v>0</x:v>
      </x:c>
      <x:c r="X152" s="31" t="str"/>
      <x:c r="Y152" s="31" t="n">
        <x:v>0</x:v>
      </x:c>
      <x:c r="Z152" s="31" t="n">
        <x:v>0</x:v>
      </x:c>
      <x:c r="AA152" s="31" t="n">
        <x:v>0</x:v>
      </x:c>
      <x:c r="AB152" s="31" t="str"/>
      <x:c r="AC152" s="31" t="str"/>
    </x:row>
    <x:row r="153">
      <x:c r="A153" s="31" t="str">
        <x:v>2ae285f2088ddc20</x:v>
      </x:c>
      <x:c r="B153" s="31" t="str">
        <x:v>2ae285f2088ddc208bf83d897c2ecee2084a645eb652df21ba62a4c2c79cba99</x:v>
      </x:c>
      <x:c r="C153" s="31" t="n">
        <x:v>8</x:v>
      </x:c>
      <x:c r="D153" s="31" t="n">
        <x:v>37548</x:v>
      </x:c>
      <x:c r="E153" s="31" t="str">
        <x:v>Bronx</x:v>
      </x:c>
      <x:c r="F153" s="31" t="str">
        <x:v>Morrisania</x:v>
      </x:c>
      <x:c r="G153" s="31" t="n">
        <x:v>70024.66024824718</x:v>
      </x:c>
      <x:c r="H153" s="31" t="n">
        <x:v>16223</x:v>
      </x:c>
      <x:c r="I153" s="31" t="n">
        <x:v>8.882249969017227</x:v>
      </x:c>
      <x:c r="J153" s="40" t="n">
        <x:v>0.4601491709301609</x:v>
      </x:c>
      <x:c r="K153" s="40" t="n">
        <x:v>0.49768846699130864</x:v>
      </x:c>
      <x:c r="L153" s="40" t="n">
        <x:v>0.2707883868581643</x:v>
      </x:c>
      <x:c r="M153" s="31" t="n">
        <x:v>94.52220855093917</x:v>
      </x:c>
      <x:c r="N153" s="31" t="n">
        <x:v>215</x:v>
      </x:c>
      <x:c r="O153" s="31" t="n">
        <x:v>5.726004048151699</x:v>
      </x:c>
      <x:c r="P153" s="31" t="n">
        <x:v>5</x:v>
      </x:c>
      <x:c r="Q153" s="40" t="n">
        <x:v>1</x:v>
      </x:c>
      <x:c r="R153" s="31" t="n">
        <x:v>0.10428271567408404</x:v>
      </x:c>
      <x:c r="S153" s="40"/>
      <x:c r="T153" s="40"/>
      <x:c r="U153" s="40" t="n">
        <x:v>1</x:v>
      </x:c>
      <x:c r="V153" s="40" t="n">
        <x:v>0.9818775812118598</x:v>
      </x:c>
      <x:c r="W153" s="31" t="n">
        <x:v>0</x:v>
      </x:c>
      <x:c r="X153" s="31" t="str"/>
      <x:c r="Y153" s="31" t="n">
        <x:v>0</x:v>
      </x:c>
      <x:c r="Z153" s="31" t="n">
        <x:v>0</x:v>
      </x:c>
      <x:c r="AA153" s="31" t="n">
        <x:v>0</x:v>
      </x:c>
      <x:c r="AB153" s="31" t="str"/>
      <x:c r="AC153" s="31" t="str"/>
    </x:row>
    <x:row r="154">
      <x:c r="A154" s="31" t="str">
        <x:v>2aead8b11ad06a09</x:v>
      </x:c>
      <x:c r="B154" s="31" t="str">
        <x:v>2aead8b11ad06a096589e8ea34061f28b1704134ec18c8d262d0febcbbae37c0</x:v>
      </x:c>
      <x:c r="C154" s="31" t="n">
        <x:v>9</x:v>
      </x:c>
      <x:c r="D154" s="31" t="n">
        <x:v>35431</x:v>
      </x:c>
      <x:c r="E154" s="31" t="str">
        <x:v>Manhattan</x:v>
      </x:c>
      <x:c r="F154" s="31" t="str">
        <x:v>Midtown-Times Square</x:v>
      </x:c>
      <x:c r="G154" s="31" t="n">
        <x:v>59735.72218944307</x:v>
      </x:c>
      <x:c r="H154" s="31" t="n">
        <x:v>27599</x:v>
      </x:c>
      <x:c r="I154" s="31" t="n">
        <x:v>24.044889276753572</x:v>
      </x:c>
      <x:c r="J154" s="40" t="n">
        <x:v>0.7287220551469256</x:v>
      </x:c>
      <x:c r="K154" s="40" t="n">
        <x:v>0.267256060002174</x:v>
      </x:c>
      <x:c r="L154" s="40" t="n">
        <x:v>0.018986195151998262</x:v>
      </x:c>
      <x:c r="M154" s="31" t="n">
        <x:v>260.07885554306233</x:v>
      </x:c>
      <x:c r="N154" s="31" t="n">
        <x:v>790</x:v>
      </x:c>
      <x:c r="O154" s="31" t="n">
        <x:v>22.296858683074145</x:v>
      </x:c>
      <x:c r="P154" s="31" t="n">
        <x:v>1.9978622413855573</x:v>
      </x:c>
      <x:c r="Q154" s="40" t="n">
        <x:v>0</x:v>
      </x:c>
      <x:c r="R154" s="31" t="n">
        <x:v>0.1424786731575183</x:v>
      </x:c>
      <x:c r="S154" s="40"/>
      <x:c r="T154" s="40"/>
      <x:c r="U154" s="40" t="n">
        <x:v>1</x:v>
      </x:c>
      <x:c r="V154" s="40" t="n">
        <x:v>0.9801442081234827</x:v>
      </x:c>
      <x:c r="W154" s="31" t="n">
        <x:v>0</x:v>
      </x:c>
      <x:c r="X154" s="31" t="str"/>
      <x:c r="Y154" s="31" t="n">
        <x:v>0</x:v>
      </x:c>
      <x:c r="Z154" s="31" t="n">
        <x:v>0</x:v>
      </x:c>
      <x:c r="AA154" s="31" t="n">
        <x:v>0</x:v>
      </x:c>
      <x:c r="AB154" s="31" t="str"/>
      <x:c r="AC154" s="31" t="str"/>
    </x:row>
    <x:row r="155">
      <x:c r="A155" s="31" t="str">
        <x:v>2b1897efa4d41609</x:v>
      </x:c>
      <x:c r="B155" s="31" t="str">
        <x:v>2b1897efa4d416091c5d345aff4f201c9f706425b5bb045cba55952fc8b1fa53</x:v>
      </x:c>
      <x:c r="C155" s="31" t="n">
        <x:v>5</x:v>
      </x:c>
      <x:c r="D155" s="31" t="n">
        <x:v>32872</x:v>
      </x:c>
      <x:c r="E155" s="31" t="str">
        <x:v>Manhattan</x:v>
      </x:c>
      <x:c r="F155" s="31" t="str">
        <x:v>Inwood</x:v>
      </x:c>
      <x:c r="G155" s="31" t="n">
        <x:v>67725.53870015245</x:v>
      </x:c>
      <x:c r="H155" s="31" t="n">
        <x:v>15460</x:v>
      </x:c>
      <x:c r="I155" s="31" t="n">
        <x:v>7.872639068564037</x:v>
      </x:c>
      <x:c r="J155" s="40" t="n">
        <x:v>0.1977360931435964</x:v>
      </x:c>
      <x:c r="K155" s="40" t="n">
        <x:v>0.7984476067270375</x:v>
      </x:c>
      <x:c r="L155" s="40" t="n">
        <x:v>0.11267787839586028</x:v>
      </x:c>
      <x:c r="M155" s="31" t="n">
        <x:v>75.28659604149726</x:v>
      </x:c>
      <x:c r="N155" s="31" t="n">
        <x:v>130</x:v>
      </x:c>
      <x:c r="O155" s="31" t="n">
        <x:v>3.9547335118033584</x:v>
      </x:c>
      <x:c r="P155" s="31" t="n">
        <x:v>1.0107373868046572</x:v>
      </x:c>
      <x:c r="Q155" s="40" t="n">
        <x:v>0</x:v>
      </x:c>
      <x:c r="R155" s="31" t="n">
        <x:v>0.08960292563907984</x:v>
      </x:c>
      <x:c r="S155" s="40"/>
      <x:c r="T155" s="40"/>
      <x:c r="U155" s="40" t="n">
        <x:v>1</x:v>
      </x:c>
      <x:c r="V155" s="40" t="n">
        <x:v>0.9603492884864165</x:v>
      </x:c>
      <x:c r="W155" s="31" t="n">
        <x:v>0</x:v>
      </x:c>
      <x:c r="X155" s="31" t="str"/>
      <x:c r="Y155" s="31" t="n">
        <x:v>0</x:v>
      </x:c>
      <x:c r="Z155" s="31" t="n">
        <x:v>0</x:v>
      </x:c>
      <x:c r="AA155" s="31" t="n">
        <x:v>0</x:v>
      </x:c>
      <x:c r="AB155" s="31" t="str"/>
      <x:c r="AC155" s="31" t="str"/>
    </x:row>
    <x:row r="156">
      <x:c r="A156" s="31" t="str">
        <x:v>2b8e10e2aacf5db6</x:v>
      </x:c>
      <x:c r="B156" s="31" t="str">
        <x:v>2b8e10e2aacf5db6d27e71307529ce52303488d70873df98ddec8d903ac46d76</x:v>
      </x:c>
      <x:c r="C156" s="31" t="n">
        <x:v>10</x:v>
      </x:c>
      <x:c r="D156" s="31" t="n">
        <x:v>35694</x:v>
      </x:c>
      <x:c r="E156" s="31" t="str">
        <x:v>Queens</x:v>
      </x:c>
      <x:c r="F156" s="31" t="str">
        <x:v>East Elmhurst</x:v>
      </x:c>
      <x:c r="G156" s="31" t="n">
        <x:v>59354.24215033573</x:v>
      </x:c>
      <x:c r="H156" s="31" t="n">
        <x:v>9231</x:v>
      </x:c>
      <x:c r="I156" s="31" t="n">
        <x:v>3.1582479141835518</x:v>
      </x:c>
      <x:c r="J156" s="40" t="n">
        <x:v>0</x:v>
      </x:c>
      <x:c r="K156" s="40" t="n">
        <x:v>0.4260643483912902</x:v>
      </x:c>
      <x:c r="L156" s="40" t="n">
        <x:v>0.03314917127071823</x:v>
      </x:c>
      <x:c r="M156" s="31" t="n">
        <x:v>36.26852723602471</x:v>
      </x:c>
      <x:c r="N156" s="31" t="n">
        <x:v>46</x:v>
      </x:c>
      <x:c r="O156" s="31" t="n">
        <x:v>1.2887319997758728</x:v>
      </x:c>
      <x:c r="P156" s="31" t="n">
        <x:v>3.8066298342541436</x:v>
      </x:c>
      <x:c r="Q156" s="40" t="n">
        <x:v>0.8066298342541437</x:v>
      </x:c>
      <x:c r="R156" s="31" t="n">
        <x:v>0.14278926693437247</x:v>
      </x:c>
      <x:c r="S156" s="40"/>
      <x:c r="T156" s="40"/>
      <x:c r="U156" s="40" t="n">
        <x:v>1</x:v>
      </x:c>
      <x:c r="V156" s="40" t="n">
        <x:v>0.9905752356191095</x:v>
      </x:c>
      <x:c r="W156" s="31" t="n">
        <x:v>0</x:v>
      </x:c>
      <x:c r="X156" s="31" t="str"/>
      <x:c r="Y156" s="31" t="n">
        <x:v>0</x:v>
      </x:c>
      <x:c r="Z156" s="31" t="n">
        <x:v>0</x:v>
      </x:c>
      <x:c r="AA156" s="31" t="n">
        <x:v>0</x:v>
      </x:c>
      <x:c r="AB156" s="31" t="str"/>
      <x:c r="AC156" s="31" t="str"/>
    </x:row>
    <x:row r="157">
      <x:c r="A157" s="31" t="str">
        <x:v>2c3c3ee01f651917</x:v>
      </x:c>
      <x:c r="B157" s="31" t="str">
        <x:v>2c3c3ee01f65191799b4ba495bc3a941e3f0f61e82df92880c5150ddf10af43f</x:v>
      </x:c>
      <x:c r="C157" s="31" t="n">
        <x:v>12</x:v>
      </x:c>
      <x:c r="D157" s="31" t="n">
        <x:v>33481</x:v>
      </x:c>
      <x:c r="E157" s="31" t="str">
        <x:v>Brooklyn</x:v>
      </x:c>
      <x:c r="F157" s="31" t="str">
        <x:v>Flatlands</x:v>
      </x:c>
      <x:c r="G157" s="31" t="n">
        <x:v>42026.20309679949</x:v>
      </x:c>
      <x:c r="H157" s="31" t="n">
        <x:v>11604</x:v>
      </x:c>
      <x:c r="I157" s="31" t="n">
        <x:v>4.7920024135850365</x:v>
      </x:c>
      <x:c r="J157" s="40" t="n">
        <x:v>0.083419510513616</x:v>
      </x:c>
      <x:c r="K157" s="40" t="n">
        <x:v>0.4227852464667356</x:v>
      </x:c>
      <x:c r="L157" s="40" t="n">
        <x:v>0.03895208548776284</x:v>
      </x:c>
      <x:c r="M157" s="31" t="n">
        <x:v>52.6330014609036</x:v>
      </x:c>
      <x:c r="N157" s="31" t="n">
        <x:v>97</x:v>
      </x:c>
      <x:c r="O157" s="31" t="n">
        <x:v>2.8971655565843313</x:v>
      </x:c>
      <x:c r="P157" s="31" t="n">
        <x:v>4.532488796966563</x:v>
      </x:c>
      <x:c r="Q157" s="40" t="n">
        <x:v>0.844105480868666</x:v>
      </x:c>
      <x:c r="R157" s="31" t="n">
        <x:v>0.24188430956774873</x:v>
      </x:c>
      <x:c r="S157" s="40"/>
      <x:c r="T157" s="40"/>
      <x:c r="U157" s="40" t="n">
        <x:v>1</x:v>
      </x:c>
      <x:c r="V157" s="40" t="n">
        <x:v>0.999482936918304</x:v>
      </x:c>
      <x:c r="W157" s="31" t="n">
        <x:v>0</x:v>
      </x:c>
      <x:c r="X157" s="31" t="str"/>
      <x:c r="Y157" s="31" t="n">
        <x:v>0</x:v>
      </x:c>
      <x:c r="Z157" s="31" t="n">
        <x:v>0</x:v>
      </x:c>
      <x:c r="AA157" s="31" t="n">
        <x:v>0</x:v>
      </x:c>
      <x:c r="AB157" s="31" t="str"/>
      <x:c r="AC157" s="31" t="str"/>
    </x:row>
    <x:row r="158">
      <x:c r="A158" s="31" t="str">
        <x:v>2cab3cea3fd90f49</x:v>
      </x:c>
      <x:c r="B158" s="31" t="str">
        <x:v>2cab3cea3fd90f4923f2955075d3287f50cbaac8a9b836505f9a1dde01b8743d</x:v>
      </x:c>
      <x:c r="C158" s="31" t="n">
        <x:v>7</x:v>
      </x:c>
      <x:c r="D158" s="31" t="n">
        <x:v>33868</x:v>
      </x:c>
      <x:c r="E158" s="31" t="str">
        <x:v>Manhattan</x:v>
      </x:c>
      <x:c r="F158" s="31" t="str">
        <x:v>Upper East Side-Carnegie Hill</x:v>
      </x:c>
      <x:c r="G158" s="31" t="n">
        <x:v>133351.6674539104</x:v>
      </x:c>
      <x:c r="H158" s="31" t="n">
        <x:v>18655</x:v>
      </x:c>
      <x:c r="I158" s="31" t="n">
        <x:v>17.18741635065804</x:v>
      </x:c>
      <x:c r="J158" s="40" t="n">
        <x:v>0.7221656392388099</x:v>
      </x:c>
      <x:c r="K158" s="40" t="n">
        <x:v>0.23859555079067274</x:v>
      </x:c>
      <x:c r="L158" s="40" t="n">
        <x:v>0.05585633878316805</x:v>
      </x:c>
      <x:c r="M158" s="31" t="n">
        <x:v>195.21768928787444</x:v>
      </x:c>
      <x:c r="N158" s="31" t="n">
        <x:v>755</x:v>
      </x:c>
      <x:c r="O158" s="31" t="n">
        <x:v>22.29242943191213</x:v>
      </x:c>
      <x:c r="P158" s="31" t="n">
        <x:v>1</x:v>
      </x:c>
      <x:c r="Q158" s="40" t="n">
        <x:v>0</x:v>
      </x:c>
      <x:c r="R158" s="31" t="n">
        <x:v>0.13395904288745622</x:v>
      </x:c>
      <x:c r="S158" s="40"/>
      <x:c r="T158" s="40"/>
      <x:c r="U158" s="40" t="n">
        <x:v>1</x:v>
      </x:c>
      <x:c r="V158" s="40" t="n">
        <x:v>0.9888501742160278</x:v>
      </x:c>
      <x:c r="W158" s="31" t="n">
        <x:v>1</x:v>
      </x:c>
      <x:c r="X158" s="31" t="str"/>
      <x:c r="Y158" s="31" t="n">
        <x:v>1</x:v>
      </x:c>
      <x:c r="Z158" s="31" t="n">
        <x:v>0</x:v>
      </x:c>
      <x:c r="AA158" s="31" t="n">
        <x:v>0</x:v>
      </x:c>
      <x:c r="AB158" s="31" t="str"/>
      <x:c r="AC158" s="31" t="str"/>
    </x:row>
    <x:row r="159">
      <x:c r="A159" s="31" t="str">
        <x:v>2d4f30502282e7f9</x:v>
      </x:c>
      <x:c r="B159" s="31" t="str">
        <x:v>2d4f30502282e7f91523a73b209e443da2297cd5230dc677d118b9a92dfde63d</x:v>
      </x:c>
      <x:c r="C159" s="31" t="n">
        <x:v>12</x:v>
      </x:c>
      <x:c r="D159" s="31" t="n">
        <x:v>37301</x:v>
      </x:c>
      <x:c r="E159" s="31" t="str">
        <x:v>Brooklyn</x:v>
      </x:c>
      <x:c r="F159" s="31" t="str">
        <x:v>Crown Heights (North)</x:v>
      </x:c>
      <x:c r="G159" s="31" t="n">
        <x:v>76476.90148842735</x:v>
      </x:c>
      <x:c r="H159" s="31" t="n">
        <x:v>15066</x:v>
      </x:c>
      <x:c r="I159" s="31" t="n">
        <x:v>4.115581225519485</x:v>
      </x:c>
      <x:c r="J159" s="40" t="n">
        <x:v>0.00882782424001062</x:v>
      </x:c>
      <x:c r="K159" s="40" t="n">
        <x:v>0.8059206159564583</x:v>
      </x:c>
      <x:c r="L159" s="40" t="n">
        <x:v>0.031395194477631755</x:v>
      </x:c>
      <x:c r="M159" s="31" t="n">
        <x:v>47.07642378135966</x:v>
      </x:c>
      <x:c r="N159" s="31" t="n">
        <x:v>127</x:v>
      </x:c>
      <x:c r="O159" s="31" t="n">
        <x:v>3.404734457521246</x:v>
      </x:c>
      <x:c r="P159" s="31" t="n">
        <x:v>5</x:v>
      </x:c>
      <x:c r="Q159" s="40" t="n">
        <x:v>1</x:v>
      </x:c>
      <x:c r="R159" s="31" t="n">
        <x:v>0.11626846947175627</x:v>
      </x:c>
      <x:c r="S159" s="40"/>
      <x:c r="T159" s="40"/>
      <x:c r="U159" s="40" t="n">
        <x:v>1</x:v>
      </x:c>
      <x:c r="V159" s="40" t="n">
        <x:v>0.9919686711801408</x:v>
      </x:c>
      <x:c r="W159" s="31" t="n">
        <x:v>1</x:v>
      </x:c>
      <x:c r="X159" s="31" t="str"/>
      <x:c r="Y159" s="31" t="n">
        <x:v>0</x:v>
      </x:c>
      <x:c r="Z159" s="31" t="n">
        <x:v>1</x:v>
      </x:c>
      <x:c r="AA159" s="31" t="n">
        <x:v>0</x:v>
      </x:c>
      <x:c r="AB159" s="31" t="str"/>
      <x:c r="AC159" s="31" t="str"/>
    </x:row>
    <x:row r="160">
      <x:c r="A160" s="31" t="str">
        <x:v>2d728ce5a4dd7a28</x:v>
      </x:c>
      <x:c r="B160" s="31" t="str">
        <x:v>2d728ce5a4dd7a288883d858dcfab92bfd10946ec91bf477a1c4c7d4e7ea63a7</x:v>
      </x:c>
      <x:c r="C160" s="31" t="n">
        <x:v>10</x:v>
      </x:c>
      <x:c r="D160" s="31" t="n">
        <x:v>36841</x:v>
      </x:c>
      <x:c r="E160" s="31" t="str">
        <x:v>Brooklyn</x:v>
      </x:c>
      <x:c r="F160" s="31" t="str">
        <x:v>East Flatbush-Erasmus</x:v>
      </x:c>
      <x:c r="G160" s="31" t="n">
        <x:v>61486.796362530295</x:v>
      </x:c>
      <x:c r="H160" s="31" t="n">
        <x:v>15575</x:v>
      </x:c>
      <x:c r="I160" s="31" t="n">
        <x:v>4.200916055104931</x:v>
      </x:c>
      <x:c r="J160" s="40" t="n">
        <x:v>0.010786516853932584</x:v>
      </x:c>
      <x:c r="K160" s="40" t="n">
        <x:v>0.72892455858748</x:v>
      </x:c>
      <x:c r="L160" s="40" t="n">
        <x:v>0.08436597110754414</x:v>
      </x:c>
      <x:c r="M160" s="31" t="n">
        <x:v>46.57952374891388</x:v>
      </x:c>
      <x:c r="N160" s="31" t="n">
        <x:v>134</x:v>
      </x:c>
      <x:c r="O160" s="31" t="n">
        <x:v>3.637251974702098</x:v>
      </x:c>
      <x:c r="P160" s="31" t="n">
        <x:v>5</x:v>
      </x:c>
      <x:c r="Q160" s="40" t="n">
        <x:v>1</x:v>
      </x:c>
      <x:c r="R160" s="31" t="n">
        <x:v>0.16131872186383014</x:v>
      </x:c>
      <x:c r="S160" s="40"/>
      <x:c r="T160" s="40"/>
      <x:c r="U160" s="40" t="n">
        <x:v>1</x:v>
      </x:c>
      <x:c r="V160" s="40" t="n">
        <x:v>0.9878009630818619</x:v>
      </x:c>
      <x:c r="W160" s="31" t="n">
        <x:v>1</x:v>
      </x:c>
      <x:c r="X160" s="31" t="str"/>
      <x:c r="Y160" s="31" t="n">
        <x:v>0</x:v>
      </x:c>
      <x:c r="Z160" s="31" t="n">
        <x:v>1</x:v>
      </x:c>
      <x:c r="AA160" s="31" t="n">
        <x:v>0</x:v>
      </x:c>
      <x:c r="AB160" s="31" t="str"/>
      <x:c r="AC160" s="31" t="str"/>
    </x:row>
    <x:row r="161">
      <x:c r="A161" s="31" t="str">
        <x:v>2d7b0427f2a4804f</x:v>
      </x:c>
      <x:c r="B161" s="31" t="str">
        <x:v>2d7b0427f2a4804fc69c2262f5e919c7d4b94f430f0a6ca841046cedc036ab4c</x:v>
      </x:c>
      <x:c r="C161" s="31" t="n">
        <x:v>9</x:v>
      </x:c>
      <x:c r="D161" s="31" t="n">
        <x:v>34297</x:v>
      </x:c>
      <x:c r="E161" s="31" t="str">
        <x:v>Queens</x:v>
      </x:c>
      <x:c r="F161" s="31" t="str">
        <x:v>Astoria (Central)</x:v>
      </x:c>
      <x:c r="G161" s="31" t="n">
        <x:v>57493.63733199218</x:v>
      </x:c>
      <x:c r="H161" s="31" t="n">
        <x:v>17617</x:v>
      </x:c>
      <x:c r="I161" s="31" t="n">
        <x:v>4.5186143003296575</x:v>
      </x:c>
      <x:c r="J161" s="40" t="n">
        <x:v>0.023556791735255718</x:v>
      </x:c>
      <x:c r="K161" s="40" t="n">
        <x:v>0.8311290231026849</x:v>
      </x:c>
      <x:c r="L161" s="40" t="n">
        <x:v>0.0661293069194528</x:v>
      </x:c>
      <x:c r="M161" s="31" t="n">
        <x:v>49.55154863864668</x:v>
      </x:c>
      <x:c r="N161" s="31" t="n">
        <x:v>176</x:v>
      </x:c>
      <x:c r="O161" s="31" t="n">
        <x:v>5.131644167128321</x:v>
      </x:c>
      <x:c r="P161" s="31" t="n">
        <x:v>3.1290231026849065</x:v>
      </x:c>
      <x:c r="Q161" s="40" t="n">
        <x:v>0.12902310268490663</x:v>
      </x:c>
      <x:c r="R161" s="31" t="n">
        <x:v>0.1880943989425972</x:v>
      </x:c>
      <x:c r="S161" s="40"/>
      <x:c r="T161" s="40"/>
      <x:c r="U161" s="40" t="n">
        <x:v>1</x:v>
      </x:c>
      <x:c r="V161" s="40" t="n">
        <x:v>0.980643696429585</x:v>
      </x:c>
      <x:c r="W161" s="31" t="n">
        <x:v>0</x:v>
      </x:c>
      <x:c r="X161" s="31" t="str"/>
      <x:c r="Y161" s="31" t="n">
        <x:v>0</x:v>
      </x:c>
      <x:c r="Z161" s="31" t="n">
        <x:v>0</x:v>
      </x:c>
      <x:c r="AA161" s="31" t="n">
        <x:v>0</x:v>
      </x:c>
      <x:c r="AB161" s="31" t="str"/>
      <x:c r="AC161" s="31" t="str"/>
    </x:row>
    <x:row r="162">
      <x:c r="A162" s="31" t="str">
        <x:v>2dbfa530e69db16e</x:v>
      </x:c>
      <x:c r="B162" s="31" t="str">
        <x:v>2dbfa530e69db16e8879f8cb6a5237a39544aea3631d07ddbc382b2f19ffb92f</x:v>
      </x:c>
      <x:c r="C162" s="31" t="n">
        <x:v>4</x:v>
      </x:c>
      <x:c r="D162" s="31" t="n">
        <x:v>37117</x:v>
      </x:c>
      <x:c r="E162" s="31" t="str">
        <x:v>Manhattan</x:v>
      </x:c>
      <x:c r="F162" s="31" t="str">
        <x:v>Upper West Side (Central)</x:v>
      </x:c>
      <x:c r="G162" s="31" t="n">
        <x:v>114287.80058175405</x:v>
      </x:c>
      <x:c r="H162" s="31" t="n">
        <x:v>19036</x:v>
      </x:c>
      <x:c r="I162" s="31" t="n">
        <x:v>11.768952355316285</x:v>
      </x:c>
      <x:c r="J162" s="40" t="n">
        <x:v>0.6496112628703509</x:v>
      </x:c>
      <x:c r="K162" s="40" t="n">
        <x:v>0.3257512082370246</x:v>
      </x:c>
      <x:c r="L162" s="40" t="n">
        <x:v>0.003256986761924774</x:v>
      </x:c>
      <x:c r="M162" s="31" t="n">
        <x:v>133.38454547556998</x:v>
      </x:c>
      <x:c r="N162" s="31" t="n">
        <x:v>615</x:v>
      </x:c>
      <x:c r="O162" s="31" t="n">
        <x:v>16.56922703882318</x:v>
      </x:c>
      <x:c r="P162" s="31" t="n">
        <x:v>1.1775057785249001</x:v>
      </x:c>
      <x:c r="Q162" s="40" t="n">
        <x:v>0</x:v>
      </x:c>
      <x:c r="R162" s="31" t="n">
        <x:v>0.17675919283124875</x:v>
      </x:c>
      <x:c r="S162" s="40"/>
      <x:c r="T162" s="40"/>
      <x:c r="U162" s="40" t="n">
        <x:v>1</x:v>
      </x:c>
      <x:c r="V162" s="40" t="n">
        <x:v>0.9990544231981509</x:v>
      </x:c>
      <x:c r="W162" s="31" t="n">
        <x:v>1</x:v>
      </x:c>
      <x:c r="X162" s="31" t="str"/>
      <x:c r="Y162" s="31" t="n">
        <x:v>1</x:v>
      </x:c>
      <x:c r="Z162" s="31" t="n">
        <x:v>0</x:v>
      </x:c>
      <x:c r="AA162" s="31" t="n">
        <x:v>0</x:v>
      </x:c>
      <x:c r="AB162" s="31" t="str"/>
      <x:c r="AC162" s="31" t="str"/>
    </x:row>
    <x:row r="163">
      <x:c r="A163" s="31" t="str">
        <x:v>2e1cd0ae4eda326f</x:v>
      </x:c>
      <x:c r="B163" s="31" t="str">
        <x:v>2e1cd0ae4eda326f93c8a27bf78be8ef6e461cb8ca97881ba7295d1cd857c9cd</x:v>
      </x:c>
      <x:c r="C163" s="31" t="n">
        <x:v>10</x:v>
      </x:c>
      <x:c r="D163" s="31" t="n">
        <x:v>34950</x:v>
      </x:c>
      <x:c r="E163" s="31" t="str">
        <x:v>Brooklyn</x:v>
      </x:c>
      <x:c r="F163" s="31" t="str">
        <x:v>Bath Beach</x:v>
      </x:c>
      <x:c r="G163" s="31" t="n">
        <x:v>55045.56127681355</x:v>
      </x:c>
      <x:c r="H163" s="31" t="n">
        <x:v>12813</x:v>
      </x:c>
      <x:c r="I163" s="31" t="n">
        <x:v>4.777829893683553</x:v>
      </x:c>
      <x:c r="J163" s="40" t="n">
        <x:v>0.06181222196206977</x:v>
      </x:c>
      <x:c r="K163" s="40" t="n">
        <x:v>0.6233512838523375</x:v>
      </x:c>
      <x:c r="L163" s="40" t="n">
        <x:v>0.16928119878248654</x:v>
      </x:c>
      <x:c r="M163" s="31" t="n">
        <x:v>54.75164684477318</x:v>
      </x:c>
      <x:c r="N163" s="31" t="n">
        <x:v>108</x:v>
      </x:c>
      <x:c r="O163" s="31" t="n">
        <x:v>3.0901287553648067</x:v>
      </x:c>
      <x:c r="P163" s="31" t="n">
        <x:v>4</x:v>
      </x:c>
      <x:c r="Q163" s="40" t="n">
        <x:v>1</x:v>
      </x:c>
      <x:c r="R163" s="31" t="n">
        <x:v>0.20147299660012064</x:v>
      </x:c>
      <x:c r="S163" s="40"/>
      <x:c r="T163" s="40"/>
      <x:c r="U163" s="40" t="n">
        <x:v>1</x:v>
      </x:c>
      <x:c r="V163" s="40" t="n">
        <x:v>0.9926637009287442</x:v>
      </x:c>
      <x:c r="W163" s="31" t="n">
        <x:v>1</x:v>
      </x:c>
      <x:c r="X163" s="31" t="str"/>
      <x:c r="Y163" s="31" t="n">
        <x:v>0</x:v>
      </x:c>
      <x:c r="Z163" s="31" t="n">
        <x:v>1</x:v>
      </x:c>
      <x:c r="AA163" s="31" t="n">
        <x:v>0</x:v>
      </x:c>
      <x:c r="AB163" s="31" t="str"/>
      <x:c r="AC163" s="31" t="str"/>
    </x:row>
    <x:row r="164">
      <x:c r="A164" s="31" t="str">
        <x:v>2e29ba3665246585</x:v>
      </x:c>
      <x:c r="B164" s="31" t="str">
        <x:v>2e29ba366524658593fbe85832e5e32fcecc8b85d5a1abb668e16641e39a5e18</x:v>
      </x:c>
      <x:c r="C164" s="31" t="n">
        <x:v>12</x:v>
      </x:c>
      <x:c r="D164" s="31" t="n">
        <x:v>32356</x:v>
      </x:c>
      <x:c r="E164" s="31" t="str">
        <x:v>Queens</x:v>
      </x:c>
      <x:c r="F164" s="31" t="str">
        <x:v>Auburndale</x:v>
      </x:c>
      <x:c r="G164" s="31" t="n">
        <x:v>21333.03369405811</x:v>
      </x:c>
      <x:c r="H164" s="31" t="n">
        <x:v>11574</x:v>
      </x:c>
      <x:c r="I164" s="31" t="n">
        <x:v>2.5571150181881173</x:v>
      </x:c>
      <x:c r="J164" s="40" t="n">
        <x:v>0</x:v>
      </x:c>
      <x:c r="K164" s="40" t="n">
        <x:v>0.24218074995679972</x:v>
      </x:c>
      <x:c r="L164" s="40" t="n">
        <x:v>0.06946604458268534</x:v>
      </x:c>
      <x:c r="M164" s="31" t="n">
        <x:v>31.478150851927655</x:v>
      </x:c>
      <x:c r="N164" s="31" t="n">
        <x:v>30</x:v>
      </x:c>
      <x:c r="O164" s="31" t="n">
        <x:v>0.9271850661392014</x:v>
      </x:c>
      <x:c r="P164" s="31" t="n">
        <x:v>2.839035769828927</x:v>
      </x:c>
      <x:c r="Q164" s="40" t="n">
        <x:v>0.01848971833419734</x:v>
      </x:c>
      <x:c r="R164" s="31" t="n">
        <x:v>0.23430853659294065</x:v>
      </x:c>
      <x:c r="S164" s="40"/>
      <x:c r="T164" s="40"/>
      <x:c r="U164" s="40" t="n">
        <x:v>1</x:v>
      </x:c>
      <x:c r="V164" s="40" t="n">
        <x:v>0.9936927596336617</x:v>
      </x:c>
      <x:c r="W164" s="31" t="n">
        <x:v>0</x:v>
      </x:c>
      <x:c r="X164" s="31" t="str"/>
      <x:c r="Y164" s="31" t="n">
        <x:v>0</x:v>
      </x:c>
      <x:c r="Z164" s="31" t="n">
        <x:v>0</x:v>
      </x:c>
      <x:c r="AA164" s="31" t="n">
        <x:v>0</x:v>
      </x:c>
      <x:c r="AB164" s="31" t="str"/>
      <x:c r="AC164" s="31" t="str"/>
    </x:row>
    <x:row r="165">
      <x:c r="A165" s="31" t="str">
        <x:v>2e698f3af8c1a229</x:v>
      </x:c>
      <x:c r="B165" s="31" t="str">
        <x:v>2e698f3af8c1a229519ab559a40dee6d8344567267a9d83b56f21e2ff2055b5f</x:v>
      </x:c>
      <x:c r="C165" s="31" t="n">
        <x:v>9</x:v>
      </x:c>
      <x:c r="D165" s="31" t="n">
        <x:v>34302</x:v>
      </x:c>
      <x:c r="E165" s="31" t="str">
        <x:v>Brooklyn</x:v>
      </x:c>
      <x:c r="F165" s="31" t="str">
        <x:v>Flatbush</x:v>
      </x:c>
      <x:c r="G165" s="31" t="n">
        <x:v>64503.931642778814</x:v>
      </x:c>
      <x:c r="H165" s="31" t="n">
        <x:v>14160</x:v>
      </x:c>
      <x:c r="I165" s="31" t="n">
        <x:v>5.363253531073446</x:v>
      </x:c>
      <x:c r="J165" s="40" t="n">
        <x:v>0.029872881355932204</x:v>
      </x:c>
      <x:c r="K165" s="40" t="n">
        <x:v>0.8751412429378531</x:v>
      </x:c>
      <x:c r="L165" s="40" t="n">
        <x:v>0.010310734463276836</x:v>
      </x:c>
      <x:c r="M165" s="31" t="n">
        <x:v>58.7720187676446</x:v>
      </x:c>
      <x:c r="N165" s="31" t="n">
        <x:v>243</x:v>
      </x:c>
      <x:c r="O165" s="31" t="n">
        <x:v>7.084135035857968</x:v>
      </x:c>
      <x:c r="P165" s="31" t="n">
        <x:v>4.872316384180791</x:v>
      </x:c>
      <x:c r="Q165" s="40" t="n">
        <x:v>0.9361581920903955</x:v>
      </x:c>
      <x:c r="R165" s="31" t="n">
        <x:v>0.1902178690960785</x:v>
      </x:c>
      <x:c r="S165" s="40"/>
      <x:c r="T165" s="40"/>
      <x:c r="U165" s="40" t="n">
        <x:v>1</x:v>
      </x:c>
      <x:c r="V165" s="40" t="n">
        <x:v>0.9804378531073447</x:v>
      </x:c>
      <x:c r="W165" s="31" t="n">
        <x:v>0</x:v>
      </x:c>
      <x:c r="X165" s="31" t="str"/>
      <x:c r="Y165" s="31" t="n">
        <x:v>0</x:v>
      </x:c>
      <x:c r="Z165" s="31" t="n">
        <x:v>0</x:v>
      </x:c>
      <x:c r="AA165" s="31" t="n">
        <x:v>0</x:v>
      </x:c>
      <x:c r="AB165" s="31" t="str"/>
      <x:c r="AC165" s="31" t="str"/>
    </x:row>
    <x:row r="166">
      <x:c r="A166" s="31" t="str">
        <x:v>2e89b31ed3e16c7a</x:v>
      </x:c>
      <x:c r="B166" s="31" t="str">
        <x:v>2e89b31ed3e16c7a39bed69209b656a331e848914a70c9995babd7b31cf54f4b</x:v>
      </x:c>
      <x:c r="C166" s="31" t="n">
        <x:v>8</x:v>
      </x:c>
      <x:c r="D166" s="31" t="n">
        <x:v>36357</x:v>
      </x:c>
      <x:c r="E166" s="31" t="str">
        <x:v>Queens</x:v>
      </x:c>
      <x:c r="F166" s="31" t="str">
        <x:v>Jackson Heights</x:v>
      </x:c>
      <x:c r="G166" s="31" t="n">
        <x:v>84234.911597333</x:v>
      </x:c>
      <x:c r="H166" s="31" t="n">
        <x:v>11888</x:v>
      </x:c>
      <x:c r="I166" s="31" t="n">
        <x:v>4.8012710296096905</x:v>
      </x:c>
      <x:c r="J166" s="40" t="n">
        <x:v>0.029273216689098252</x:v>
      </x:c>
      <x:c r="K166" s="40" t="n">
        <x:v>0.7255215343203231</x:v>
      </x:c>
      <x:c r="L166" s="40" t="n">
        <x:v>0.2632907133243607</x:v>
      </x:c>
      <x:c r="M166" s="31" t="n">
        <x:v>53.72594443733075</x:v>
      </x:c>
      <x:c r="N166" s="31" t="n">
        <x:v>131</x:v>
      </x:c>
      <x:c r="O166" s="31" t="n">
        <x:v>3.603157576257667</x:v>
      </x:c>
      <x:c r="P166" s="31" t="n">
        <x:v>3.326379542395693</x:v>
      </x:c>
      <x:c r="Q166" s="40" t="n">
        <x:v>0.3263795423956931</x:v>
      </x:c>
      <x:c r="R166" s="31" t="n">
        <x:v>0.14029654478542222</x:v>
      </x:c>
      <x:c r="S166" s="40"/>
      <x:c r="T166" s="40"/>
      <x:c r="U166" s="40" t="n">
        <x:v>1</x:v>
      </x:c>
      <x:c r="V166" s="40" t="n">
        <x:v>0.9964670255720054</x:v>
      </x:c>
      <x:c r="W166" s="31" t="n">
        <x:v>0</x:v>
      </x:c>
      <x:c r="X166" s="31" t="str"/>
      <x:c r="Y166" s="31" t="n">
        <x:v>0</x:v>
      </x:c>
      <x:c r="Z166" s="31" t="n">
        <x:v>0</x:v>
      </x:c>
      <x:c r="AA166" s="31" t="n">
        <x:v>0</x:v>
      </x:c>
      <x:c r="AB166" s="31" t="str"/>
      <x:c r="AC166" s="31" t="str"/>
    </x:row>
    <x:row r="167">
      <x:c r="A167" s="31" t="str">
        <x:v>2f39baa120ccbc55</x:v>
      </x:c>
      <x:c r="B167" s="31" t="str">
        <x:v>2f39baa120ccbc55f14e7fa022a6922065ab20c922b82eacb36f6612409dccd7</x:v>
      </x:c>
      <x:c r="C167" s="31" t="n">
        <x:v>6</x:v>
      </x:c>
      <x:c r="D167" s="31" t="n">
        <x:v>33661</x:v>
      </x:c>
      <x:c r="E167" s="31" t="str">
        <x:v>Manhattan</x:v>
      </x:c>
      <x:c r="F167" s="31" t="str">
        <x:v>Chelsea-Hudson Yards</x:v>
      </x:c>
      <x:c r="G167" s="31" t="n">
        <x:v>69081.05410256027</x:v>
      </x:c>
      <x:c r="H167" s="31" t="n">
        <x:v>20581</x:v>
      </x:c>
      <x:c r="I167" s="31" t="n">
        <x:v>13.1385981990752</x:v>
      </x:c>
      <x:c r="J167" s="40" t="n">
        <x:v>0.597444244691706</x:v>
      </x:c>
      <x:c r="K167" s="40" t="n">
        <x:v>0.4001263301102959</x:v>
      </x:c>
      <x:c r="L167" s="40" t="n">
        <x:v>0.20781303143676205</x:v>
      </x:c>
      <x:c r="M167" s="31" t="n">
        <x:v>139.39683100792965</x:v>
      </x:c>
      <x:c r="N167" s="31" t="n">
        <x:v>535</x:v>
      </x:c>
      <x:c r="O167" s="31" t="n">
        <x:v>15.893764296960875</x:v>
      </x:c>
      <x:c r="P167" s="31" t="n">
        <x:v>1.3504688790632136</x:v>
      </x:c>
      <x:c r="Q167" s="40" t="n">
        <x:v>0</x:v>
      </x:c>
      <x:c r="R167" s="31" t="n">
        <x:v>0.08870857503540895</x:v>
      </x:c>
      <x:c r="S167" s="40"/>
      <x:c r="T167" s="40"/>
      <x:c r="U167" s="40" t="n">
        <x:v>1</x:v>
      </x:c>
      <x:c r="V167" s="40" t="n">
        <x:v>0.9739565618774598</x:v>
      </x:c>
      <x:c r="W167" s="31" t="n">
        <x:v>0</x:v>
      </x:c>
      <x:c r="X167" s="31" t="str"/>
      <x:c r="Y167" s="31" t="n">
        <x:v>0</x:v>
      </x:c>
      <x:c r="Z167" s="31" t="n">
        <x:v>0</x:v>
      </x:c>
      <x:c r="AA167" s="31" t="n">
        <x:v>0</x:v>
      </x:c>
      <x:c r="AB167" s="31" t="str"/>
      <x:c r="AC167" s="31" t="str"/>
    </x:row>
    <x:row r="168">
      <x:c r="A168" s="31" t="str">
        <x:v>2f80ff685d5ad24a</x:v>
      </x:c>
      <x:c r="B168" s="31" t="str">
        <x:v>2f80ff685d5ad24ac18b0cf1fc76ee03474767cf4c23e77037fb7a9005d3c936</x:v>
      </x:c>
      <x:c r="C168" s="31" t="n">
        <x:v>7</x:v>
      </x:c>
      <x:c r="D168" s="31" t="n">
        <x:v>32690</x:v>
      </x:c>
      <x:c r="E168" s="31" t="str">
        <x:v>Brooklyn</x:v>
      </x:c>
      <x:c r="F168" s="31" t="str">
        <x:v>East Flatbush-Erasmus</x:v>
      </x:c>
      <x:c r="G168" s="31" t="n">
        <x:v>95829.46041963836</x:v>
      </x:c>
      <x:c r="H168" s="31" t="n">
        <x:v>16100</x:v>
      </x:c>
      <x:c r="I168" s="31" t="n">
        <x:v>5.976470886075949</x:v>
      </x:c>
      <x:c r="J168" s="40" t="n">
        <x:v>0.06130434782608696</x:v>
      </x:c>
      <x:c r="K168" s="40" t="n">
        <x:v>0.8664596273291926</x:v>
      </x:c>
      <x:c r="L168" s="40" t="n">
        <x:v>0.004409937888198758</x:v>
      </x:c>
      <x:c r="M168" s="31" t="n">
        <x:v>67.65723952965264</x:v>
      </x:c>
      <x:c r="N168" s="31" t="n">
        <x:v>255</x:v>
      </x:c>
      <x:c r="O168" s="31" t="n">
        <x:v>7.80055062710309</x:v>
      </x:c>
      <x:c r="P168" s="31" t="n">
        <x:v>5</x:v>
      </x:c>
      <x:c r="Q168" s="40" t="n">
        <x:v>1</x:v>
      </x:c>
      <x:c r="R168" s="31" t="n">
        <x:v>0.1640160792688531</x:v>
      </x:c>
      <x:c r="S168" s="40"/>
      <x:c r="T168" s="40"/>
      <x:c r="U168" s="40" t="n">
        <x:v>1</x:v>
      </x:c>
      <x:c r="V168" s="40" t="n">
        <x:v>0.9566459627329192</x:v>
      </x:c>
      <x:c r="W168" s="31" t="n">
        <x:v>1</x:v>
      </x:c>
      <x:c r="X168" s="31" t="str"/>
      <x:c r="Y168" s="31" t="n">
        <x:v>0</x:v>
      </x:c>
      <x:c r="Z168" s="31" t="n">
        <x:v>1</x:v>
      </x:c>
      <x:c r="AA168" s="31" t="n">
        <x:v>0</x:v>
      </x:c>
      <x:c r="AB168" s="31" t="str"/>
      <x:c r="AC168" s="31" t="str"/>
    </x:row>
    <x:row r="169">
      <x:c r="A169" s="31" t="str">
        <x:v>2fa20d5ea514758c</x:v>
      </x:c>
      <x:c r="B169" s="31" t="str">
        <x:v>2fa20d5ea514758ce1343b1aee9ddccccce3a8ad1a6f8d183308a8a26b43b1d8</x:v>
      </x:c>
      <x:c r="C169" s="31" t="n">
        <x:v>8</x:v>
      </x:c>
      <x:c r="D169" s="31" t="n">
        <x:v>35236</x:v>
      </x:c>
      <x:c r="E169" s="31" t="str">
        <x:v>Queens</x:v>
      </x:c>
      <x:c r="F169" s="31" t="str">
        <x:v>Ridgewood</x:v>
      </x:c>
      <x:c r="G169" s="31" t="n">
        <x:v>75520.15569870122</x:v>
      </x:c>
      <x:c r="H169" s="31" t="n">
        <x:v>13279</x:v>
      </x:c>
      <x:c r="I169" s="31" t="n">
        <x:v>3.0647566421921124</x:v>
      </x:c>
      <x:c r="J169" s="40" t="n">
        <x:v>0.009413359439716846</x:v>
      </x:c>
      <x:c r="K169" s="40" t="n">
        <x:v>0.7206867987047217</x:v>
      </x:c>
      <x:c r="L169" s="40" t="n">
        <x:v>0.005873936290383312</x:v>
      </x:c>
      <x:c r="M169" s="31" t="n">
        <x:v>36.65039090357496</x:v>
      </x:c>
      <x:c r="N169" s="31" t="n">
        <x:v>34</x:v>
      </x:c>
      <x:c r="O169" s="31" t="n">
        <x:v>0.9649222386195936</x:v>
      </x:c>
      <x:c r="P169" s="31" t="n">
        <x:v>1.438060094886663</x:v>
      </x:c>
      <x:c r="Q169" s="40" t="n">
        <x:v>0.14602003162888771</x:v>
      </x:c>
      <x:c r="R169" s="31" t="n">
        <x:v>0.15099738981441488</x:v>
      </x:c>
      <x:c r="S169" s="40"/>
      <x:c r="T169" s="40"/>
      <x:c r="U169" s="40" t="n">
        <x:v>1</x:v>
      </x:c>
      <x:c r="V169" s="40" t="n">
        <x:v>0.9921680849461556</x:v>
      </x:c>
      <x:c r="W169" s="31" t="n">
        <x:v>0</x:v>
      </x:c>
      <x:c r="X169" s="31" t="str"/>
      <x:c r="Y169" s="31" t="n">
        <x:v>0</x:v>
      </x:c>
      <x:c r="Z169" s="31" t="n">
        <x:v>0</x:v>
      </x:c>
      <x:c r="AA169" s="31" t="n">
        <x:v>0</x:v>
      </x:c>
      <x:c r="AB169" s="31" t="str"/>
      <x:c r="AC169" s="31" t="str"/>
    </x:row>
    <x:row r="170">
      <x:c r="A170" s="31" t="str">
        <x:v>2fcab96d01a3d92e</x:v>
      </x:c>
      <x:c r="B170" s="31" t="str">
        <x:v>2fcab96d01a3d92e3f0824893a01f939e1b22e2088b69702f895ec09c9321a5a</x:v>
      </x:c>
      <x:c r="C170" s="31" t="n">
        <x:v>9</x:v>
      </x:c>
      <x:c r="D170" s="31" t="n">
        <x:v>36184</x:v>
      </x:c>
      <x:c r="E170" s="31" t="str">
        <x:v>Brooklyn</x:v>
      </x:c>
      <x:c r="F170" s="31" t="str">
        <x:v>Bensonhurst</x:v>
      </x:c>
      <x:c r="G170" s="31" t="n">
        <x:v>62209.11321924526</x:v>
      </x:c>
      <x:c r="H170" s="31" t="n">
        <x:v>11601</x:v>
      </x:c>
      <x:c r="I170" s="31" t="n">
        <x:v>2.9026679893038905</x:v>
      </x:c>
      <x:c r="J170" s="40" t="n">
        <x:v>0</x:v>
      </x:c>
      <x:c r="K170" s="40" t="n">
        <x:v>0.36470993879837943</x:v>
      </x:c>
      <x:c r="L170" s="40" t="n">
        <x:v>0.005516765796052064</x:v>
      </x:c>
      <x:c r="M170" s="31" t="n">
        <x:v>34.68078901121861</x:v>
      </x:c>
      <x:c r="N170" s="31" t="n">
        <x:v>61</x:v>
      </x:c>
      <x:c r="O170" s="31" t="n">
        <x:v>1.6858279902719435</x:v>
      </x:c>
      <x:c r="P170" s="31" t="n">
        <x:v>4</x:v>
      </x:c>
      <x:c r="Q170" s="40" t="n">
        <x:v>1</x:v>
      </x:c>
      <x:c r="R170" s="31" t="n">
        <x:v>0.18088439274829993</x:v>
      </x:c>
      <x:c r="S170" s="40"/>
      <x:c r="T170" s="40"/>
      <x:c r="U170" s="40" t="n">
        <x:v>1</x:v>
      </x:c>
      <x:c r="V170" s="40" t="n">
        <x:v>0.9987932074821136</x:v>
      </x:c>
      <x:c r="W170" s="31" t="n">
        <x:v>0</x:v>
      </x:c>
      <x:c r="X170" s="31" t="str"/>
      <x:c r="Y170" s="31" t="n">
        <x:v>0</x:v>
      </x:c>
      <x:c r="Z170" s="31" t="n">
        <x:v>0</x:v>
      </x:c>
      <x:c r="AA170" s="31" t="n">
        <x:v>0</x:v>
      </x:c>
      <x:c r="AB170" s="31" t="str"/>
      <x:c r="AC170" s="31" t="str"/>
    </x:row>
    <x:row r="171">
      <x:c r="A171" s="31" t="str">
        <x:v>2fda878c294b9b38</x:v>
      </x:c>
      <x:c r="B171" s="31" t="str">
        <x:v>2fda878c294b9b386114c13a24f7f4993709f82281f256440a1951a05342427e</x:v>
      </x:c>
      <x:c r="C171" s="31" t="n">
        <x:v>7</x:v>
      </x:c>
      <x:c r="D171" s="31" t="n">
        <x:v>36289</x:v>
      </x:c>
      <x:c r="E171" s="31" t="str">
        <x:v>Queens</x:v>
      </x:c>
      <x:c r="F171" s="31" t="str">
        <x:v>Forest Hills</x:v>
      </x:c>
      <x:c r="G171" s="31" t="n">
        <x:v>60800.17056857559</x:v>
      </x:c>
      <x:c r="H171" s="31" t="n">
        <x:v>19333</x:v>
      </x:c>
      <x:c r="I171" s="31" t="n">
        <x:v>9.68802441673995</x:v>
      </x:c>
      <x:c r="J171" s="40" t="n">
        <x:v>0.3018672735736823</x:v>
      </x:c>
      <x:c r="K171" s="40" t="n">
        <x:v>0.6436145450783635</x:v>
      </x:c>
      <x:c r="L171" s="40" t="n">
        <x:v>0.2044173175399576</x:v>
      </x:c>
      <x:c r="M171" s="31" t="n">
        <x:v>94.27555664199897</x:v>
      </x:c>
      <x:c r="N171" s="31" t="n">
        <x:v>365</x:v>
      </x:c>
      <x:c r="O171" s="31" t="n">
        <x:v>10.058144341260437</x:v>
      </x:c>
      <x:c r="P171" s="31" t="n">
        <x:v>2.1621579682408316</x:v>
      </x:c>
      <x:c r="Q171" s="40" t="n">
        <x:v>0</x:v>
      </x:c>
      <x:c r="R171" s="31" t="n">
        <x:v>0.13981074475928634</x:v>
      </x:c>
      <x:c r="S171" s="40"/>
      <x:c r="T171" s="40"/>
      <x:c r="U171" s="40" t="n">
        <x:v>1</x:v>
      </x:c>
      <x:c r="V171" s="40" t="n">
        <x:v>0.999068949464646</x:v>
      </x:c>
      <x:c r="W171" s="31" t="n">
        <x:v>0</x:v>
      </x:c>
      <x:c r="X171" s="31" t="str"/>
      <x:c r="Y171" s="31" t="n">
        <x:v>0</x:v>
      </x:c>
      <x:c r="Z171" s="31" t="n">
        <x:v>0</x:v>
      </x:c>
      <x:c r="AA171" s="31" t="n">
        <x:v>0</x:v>
      </x:c>
      <x:c r="AB171" s="31" t="str"/>
      <x:c r="AC171" s="31" t="str"/>
    </x:row>
    <x:row r="172">
      <x:c r="A172" s="31" t="str">
        <x:v>3021d2c778af41a1</x:v>
      </x:c>
      <x:c r="B172" s="31" t="str">
        <x:v>3021d2c778af41a1e24124cbaf20d3ebce2a2d7523fd71de2e9121470029e2a4</x:v>
      </x:c>
      <x:c r="C172" s="31" t="n">
        <x:v>10</x:v>
      </x:c>
      <x:c r="D172" s="31" t="n">
        <x:v>34369</x:v>
      </x:c>
      <x:c r="E172" s="31" t="str">
        <x:v>Bronx</x:v>
      </x:c>
      <x:c r="F172" s="31" t="str">
        <x:v>Williamsbridge-Olinville</x:v>
      </x:c>
      <x:c r="G172" s="31" t="n">
        <x:v>46149.713002718774</x:v>
      </x:c>
      <x:c r="H172" s="31" t="n">
        <x:v>12692</x:v>
      </x:c>
      <x:c r="I172" s="31" t="n">
        <x:v>4.192471590909091</x:v>
      </x:c>
      <x:c r="J172" s="40" t="n">
        <x:v>0.04491017964071856</x:v>
      </x:c>
      <x:c r="K172" s="40" t="n">
        <x:v>0.6204695871415065</x:v>
      </x:c>
      <x:c r="L172" s="40" t="n">
        <x:v>0.019461077844311378</x:v>
      </x:c>
      <x:c r="M172" s="31" t="n">
        <x:v>44.82815425054169</x:v>
      </x:c>
      <x:c r="N172" s="31" t="n">
        <x:v>79</x:v>
      </x:c>
      <x:c r="O172" s="31" t="n">
        <x:v>2.2985830254007973</x:v>
      </x:c>
      <x:c r="P172" s="31" t="n">
        <x:v>4.670895052001261</x:v>
      </x:c>
      <x:c r="Q172" s="40" t="n">
        <x:v>1</x:v>
      </x:c>
      <x:c r="R172" s="31" t="n">
        <x:v>0.14638296581467777</x:v>
      </x:c>
      <x:c r="S172" s="40"/>
      <x:c r="T172" s="40"/>
      <x:c r="U172" s="40" t="n">
        <x:v>1</x:v>
      </x:c>
      <x:c r="V172" s="40" t="n">
        <x:v>0.978884336589978</x:v>
      </x:c>
      <x:c r="W172" s="31" t="n">
        <x:v>1</x:v>
      </x:c>
      <x:c r="X172" s="31" t="str"/>
      <x:c r="Y172" s="31" t="n">
        <x:v>0</x:v>
      </x:c>
      <x:c r="Z172" s="31" t="n">
        <x:v>1</x:v>
      </x:c>
      <x:c r="AA172" s="31" t="n">
        <x:v>0</x:v>
      </x:c>
      <x:c r="AB172" s="31" t="str"/>
      <x:c r="AC172" s="31" t="str"/>
    </x:row>
    <x:row r="173">
      <x:c r="A173" s="31" t="str">
        <x:v>314a8d446cccf002</x:v>
      </x:c>
      <x:c r="B173" s="31" t="str">
        <x:v>314a8d446cccf0023212178ebd1c3ac2852ca9bf8a37b22b2401cc412a796b39</x:v>
      </x:c>
      <x:c r="C173" s="31" t="n">
        <x:v>11</x:v>
      </x:c>
      <x:c r="D173" s="31" t="n">
        <x:v>34989</x:v>
      </x:c>
      <x:c r="E173" s="31" t="str">
        <x:v>Brooklyn</x:v>
      </x:c>
      <x:c r="F173" s="31" t="str">
        <x:v>Cypress Hills</x:v>
      </x:c>
      <x:c r="G173" s="31" t="n">
        <x:v>50898.105433092256</x:v>
      </x:c>
      <x:c r="H173" s="31" t="n">
        <x:v>11173</x:v>
      </x:c>
      <x:c r="I173" s="31" t="n">
        <x:v>3.3249336242953267</x:v>
      </x:c>
      <x:c r="J173" s="40" t="n">
        <x:v>0.045108744294280856</x:v>
      </x:c>
      <x:c r="K173" s="40" t="n">
        <x:v>0.39631253915689607</x:v>
      </x:c>
      <x:c r="L173" s="40" t="n">
        <x:v>0.04233419851427549</x:v>
      </x:c>
      <x:c r="M173" s="31" t="n">
        <x:v>38.03485118388379</x:v>
      </x:c>
      <x:c r="N173" s="31" t="n">
        <x:v>44</x:v>
      </x:c>
      <x:c r="O173" s="31" t="n">
        <x:v>1.257538083397639</x:v>
      </x:c>
      <x:c r="P173" s="31" t="n">
        <x:v>4.442047793788597</x:v>
      </x:c>
      <x:c r="Q173" s="40" t="n">
        <x:v>1</x:v>
      </x:c>
      <x:c r="R173" s="31" t="n">
        <x:v>0.12592893752082857</x:v>
      </x:c>
      <x:c r="S173" s="40"/>
      <x:c r="T173" s="40"/>
      <x:c r="U173" s="40" t="n">
        <x:v>1</x:v>
      </x:c>
      <x:c r="V173" s="40" t="n">
        <x:v>0.9549807571824935</x:v>
      </x:c>
      <x:c r="W173" s="31" t="n">
        <x:v>0</x:v>
      </x:c>
      <x:c r="X173" s="31" t="str"/>
      <x:c r="Y173" s="31" t="n">
        <x:v>0</x:v>
      </x:c>
      <x:c r="Z173" s="31" t="n">
        <x:v>0</x:v>
      </x:c>
      <x:c r="AA173" s="31" t="n">
        <x:v>0</x:v>
      </x:c>
      <x:c r="AB173" s="31" t="str"/>
      <x:c r="AC173" s="31" t="str"/>
    </x:row>
    <x:row r="174">
      <x:c r="A174" s="31" t="str">
        <x:v>3158ba3821584510</x:v>
      </x:c>
      <x:c r="B174" s="31" t="str">
        <x:v>3158ba3821584510866ae9d237e486b1caa14ca076181115660994bb487e779c</x:v>
      </x:c>
      <x:c r="C174" s="31" t="n">
        <x:v>5</x:v>
      </x:c>
      <x:c r="D174" s="31" t="n">
        <x:v>32074</x:v>
      </x:c>
      <x:c r="E174" s="31" t="str">
        <x:v>Manhattan</x:v>
      </x:c>
      <x:c r="F174" s="31" t="str">
        <x:v>Upper East Side-Yorkville</x:v>
      </x:c>
      <x:c r="G174" s="31" t="n">
        <x:v>181802.1692932735</x:v>
      </x:c>
      <x:c r="H174" s="31" t="n">
        <x:v>20485</x:v>
      </x:c>
      <x:c r="I174" s="31" t="n">
        <x:v>14.5357421875</x:v>
      </x:c>
      <x:c r="J174" s="40" t="n">
        <x:v>0.5108127898462289</x:v>
      </x:c>
      <x:c r="K174" s="40" t="n">
        <x:v>0.4884549670490603</x:v>
      </x:c>
      <x:c r="L174" s="40" t="n">
        <x:v>0.030363680742006346</x:v>
      </x:c>
      <x:c r="M174" s="31" t="n">
        <x:v>139.9916084105249</x:v>
      </x:c>
      <x:c r="N174" s="31" t="n">
        <x:v>357</x:v>
      </x:c>
      <x:c r="O174" s="31" t="n">
        <x:v>11.13051069402008</x:v>
      </x:c>
      <x:c r="P174" s="31" t="n">
        <x:v>1.177349279960947</x:v>
      </x:c>
      <x:c r="Q174" s="40" t="n">
        <x:v>0</x:v>
      </x:c>
      <x:c r="R174" s="31" t="n">
        <x:v>0.13088559856330448</x:v>
      </x:c>
      <x:c r="S174" s="40"/>
      <x:c r="T174" s="40"/>
      <x:c r="U174" s="40" t="n">
        <x:v>1</x:v>
      </x:c>
      <x:c r="V174" s="40" t="n">
        <x:v>0.9905296558457408</x:v>
      </x:c>
      <x:c r="W174" s="31" t="n">
        <x:v>1</x:v>
      </x:c>
      <x:c r="X174" s="31" t="str"/>
      <x:c r="Y174" s="31" t="n">
        <x:v>1</x:v>
      </x:c>
      <x:c r="Z174" s="31" t="n">
        <x:v>0</x:v>
      </x:c>
      <x:c r="AA174" s="31" t="n">
        <x:v>0</x:v>
      </x:c>
      <x:c r="AB174" s="31" t="str"/>
      <x:c r="AC174" s="31" t="str"/>
    </x:row>
    <x:row r="175">
      <x:c r="A175" s="31" t="str">
        <x:v>317113aebf4c8618</x:v>
      </x:c>
      <x:c r="B175" s="31" t="str">
        <x:v>317113aebf4c861825f7282f72f87eabae7b40d5c837e054e6b352dfc270a66b</x:v>
      </x:c>
      <x:c r="C175" s="31" t="n">
        <x:v>12</x:v>
      </x:c>
      <x:c r="D175" s="31" t="n">
        <x:v>33963</x:v>
      </x:c>
      <x:c r="E175" s="31" t="str">
        <x:v>Bronx</x:v>
      </x:c>
      <x:c r="F175" s="31" t="str">
        <x:v>Williamsbridge-Olinville</x:v>
      </x:c>
      <x:c r="G175" s="31" t="n">
        <x:v>41107.3013747746</x:v>
      </x:c>
      <x:c r="H175" s="31" t="n">
        <x:v>11362</x:v>
      </x:c>
      <x:c r="I175" s="31" t="n">
        <x:v>3.4902248583569406</x:v>
      </x:c>
      <x:c r="J175" s="40" t="n">
        <x:v>0.008801267382503081</x:v>
      </x:c>
      <x:c r="K175" s="40" t="n">
        <x:v>0.462946664319662</x:v>
      </x:c>
      <x:c r="L175" s="40" t="n">
        <x:v>0.08924485125858124</x:v>
      </x:c>
      <x:c r="M175" s="31" t="n">
        <x:v>39.744742340507415</x:v>
      </x:c>
      <x:c r="N175" s="31" t="n">
        <x:v>51</x:v>
      </x:c>
      <x:c r="O175" s="31" t="n">
        <x:v>1.5016341312604895</x:v>
      </x:c>
      <x:c r="P175" s="31" t="n">
        <x:v>4.649357507481077</x:v>
      </x:c>
      <x:c r="Q175" s="40" t="n">
        <x:v>1</x:v>
      </x:c>
      <x:c r="R175" s="31" t="n">
        <x:v>0.13387219999462477</x:v>
      </x:c>
      <x:c r="S175" s="40"/>
      <x:c r="T175" s="40"/>
      <x:c r="U175" s="40" t="n">
        <x:v>1</x:v>
      </x:c>
      <x:c r="V175" s="40" t="n">
        <x:v>0.9852138707973949</x:v>
      </x:c>
      <x:c r="W175" s="31" t="n">
        <x:v>0</x:v>
      </x:c>
      <x:c r="X175" s="31" t="str"/>
      <x:c r="Y175" s="31" t="n">
        <x:v>0</x:v>
      </x:c>
      <x:c r="Z175" s="31" t="n">
        <x:v>0</x:v>
      </x:c>
      <x:c r="AA175" s="31" t="n">
        <x:v>0</x:v>
      </x:c>
      <x:c r="AB175" s="31" t="str"/>
      <x:c r="AC175" s="31" t="str"/>
    </x:row>
    <x:row r="176">
      <x:c r="A176" s="31" t="str">
        <x:v>318cf88aaad1ab56</x:v>
      </x:c>
      <x:c r="B176" s="31" t="str">
        <x:v>318cf88aaad1ab560e75daf9b82fdf4a30bbcd6bb5ae2508cc7a0c649f1f479e</x:v>
      </x:c>
      <x:c r="C176" s="31" t="n">
        <x:v>13</x:v>
      </x:c>
      <x:c r="D176" s="31" t="n">
        <x:v>32514</x:v>
      </x:c>
      <x:c r="E176" s="31" t="str">
        <x:v>Brooklyn</x:v>
      </x:c>
      <x:c r="F176" s="31" t="str">
        <x:v>Flatlands</x:v>
      </x:c>
      <x:c r="G176" s="31" t="n">
        <x:v>33186.13518649064</x:v>
      </x:c>
      <x:c r="H176" s="31" t="n">
        <x:v>10767</x:v>
      </x:c>
      <x:c r="I176" s="31" t="n">
        <x:v>2.8452323628219487</x:v>
      </x:c>
      <x:c r="J176" s="40" t="n">
        <x:v>0</x:v>
      </x:c>
      <x:c r="K176" s="40" t="n">
        <x:v>0.37001950404012257</x:v>
      </x:c>
      <x:c r="L176" s="40" t="n">
        <x:v>0.13467075322745425</x:v>
      </x:c>
      <x:c r="M176" s="31" t="n">
        <x:v>33.16585674779296</x:v>
      </x:c>
      <x:c r="N176" s="31" t="n">
        <x:v>56</x:v>
      </x:c>
      <x:c r="O176" s="31" t="n">
        <x:v>1.7223349941563635</x:v>
      </x:c>
      <x:c r="P176" s="31" t="n">
        <x:v>2.08693229311786</x:v>
      </x:c>
      <x:c r="Q176" s="40" t="n">
        <x:v>0.02897743103928671</x:v>
      </x:c>
      <x:c r="R176" s="31" t="n">
        <x:v>0.2431810457206463</x:v>
      </x:c>
      <x:c r="S176" s="40"/>
      <x:c r="T176" s="40"/>
      <x:c r="U176" s="40" t="n">
        <x:v>1</x:v>
      </x:c>
      <x:c r="V176" s="40" t="n">
        <x:v>0.999442741710783</x:v>
      </x:c>
      <x:c r="W176" s="31" t="n">
        <x:v>0</x:v>
      </x:c>
      <x:c r="X176" s="31" t="str"/>
      <x:c r="Y176" s="31" t="n">
        <x:v>0</x:v>
      </x:c>
      <x:c r="Z176" s="31" t="n">
        <x:v>0</x:v>
      </x:c>
      <x:c r="AA176" s="31" t="n">
        <x:v>0</x:v>
      </x:c>
      <x:c r="AB176" s="31" t="str"/>
      <x:c r="AC176" s="31" t="str"/>
    </x:row>
    <x:row r="177">
      <x:c r="A177" s="31" t="str">
        <x:v>32738b1011bf8f2b</x:v>
      </x:c>
      <x:c r="B177" s="31" t="str">
        <x:v>32738b1011bf8f2b337a49fe166d74d17af8f2dcb699c65346eebd3e3edf675c</x:v>
      </x:c>
      <x:c r="C177" s="31" t="n">
        <x:v>8</x:v>
      </x:c>
      <x:c r="D177" s="31" t="n">
        <x:v>35946</x:v>
      </x:c>
      <x:c r="E177" s="31" t="str">
        <x:v>Bronx</x:v>
      </x:c>
      <x:c r="F177" s="31" t="str">
        <x:v>Kingsbridge-Marble Hill</x:v>
      </x:c>
      <x:c r="G177" s="31" t="n">
        <x:v>53023.21955590372</x:v>
      </x:c>
      <x:c r="H177" s="31" t="n">
        <x:v>16292</x:v>
      </x:c>
      <x:c r="I177" s="31" t="n">
        <x:v>7.8292816074188565</x:v>
      </x:c>
      <x:c r="J177" s="40" t="n">
        <x:v>0.23661919960716915</x:v>
      </x:c>
      <x:c r="K177" s="40" t="n">
        <x:v>0.6723545298305917</x:v>
      </x:c>
      <x:c r="L177" s="40" t="n">
        <x:v>0.036950650626074145</x:v>
      </x:c>
      <x:c r="M177" s="31" t="n">
        <x:v>82.66084127763091</x:v>
      </x:c>
      <x:c r="N177" s="31" t="n">
        <x:v>227</x:v>
      </x:c>
      <x:c r="O177" s="31" t="n">
        <x:v>6.3150280977021085</x:v>
      </x:c>
      <x:c r="P177" s="31" t="n">
        <x:v>1</x:v>
      </x:c>
      <x:c r="Q177" s="40" t="n">
        <x:v>0</x:v>
      </x:c>
      <x:c r="R177" s="31" t="n">
        <x:v>0.15843415711531597</x:v>
      </x:c>
      <x:c r="S177" s="40"/>
      <x:c r="T177" s="40"/>
      <x:c r="U177" s="40" t="n">
        <x:v>1</x:v>
      </x:c>
      <x:c r="V177" s="40" t="n">
        <x:v>0.9412595138718389</x:v>
      </x:c>
      <x:c r="W177" s="31" t="n">
        <x:v>0</x:v>
      </x:c>
      <x:c r="X177" s="31" t="str"/>
      <x:c r="Y177" s="31" t="n">
        <x:v>0</x:v>
      </x:c>
      <x:c r="Z177" s="31" t="n">
        <x:v>0</x:v>
      </x:c>
      <x:c r="AA177" s="31" t="n">
        <x:v>0</x:v>
      </x:c>
      <x:c r="AB177" s="31" t="str"/>
      <x:c r="AC177" s="31" t="str"/>
    </x:row>
    <x:row r="178">
      <x:c r="A178" s="31" t="str">
        <x:v>32fd1abc3e8598ae</x:v>
      </x:c>
      <x:c r="B178" s="31" t="str">
        <x:v>32fd1abc3e8598ae784f1f27f561f116917799dc1d119bd0d146d282a4462a6c</x:v>
      </x:c>
      <x:c r="C178" s="31" t="n">
        <x:v>11</x:v>
      </x:c>
      <x:c r="D178" s="31" t="n">
        <x:v>36814</x:v>
      </x:c>
      <x:c r="E178" s="31" t="str">
        <x:v>Queens</x:v>
      </x:c>
      <x:c r="F178" s="31" t="str">
        <x:v>Rego Park</x:v>
      </x:c>
      <x:c r="G178" s="31" t="n">
        <x:v>38559.63020555648</x:v>
      </x:c>
      <x:c r="H178" s="31" t="n">
        <x:v>16028</x:v>
      </x:c>
      <x:c r="I178" s="31" t="n">
        <x:v>5.64449921605519</x:v>
      </x:c>
      <x:c r="J178" s="40" t="n">
        <x:v>0.13582480658847018</x:v>
      </x:c>
      <x:c r="K178" s="40" t="n">
        <x:v>0.48920638881956574</x:v>
      </x:c>
      <x:c r="L178" s="40" t="n">
        <x:v>0.1565385575243324</x:v>
      </x:c>
      <x:c r="M178" s="31" t="n">
        <x:v>59.647765343457344</x:v>
      </x:c>
      <x:c r="N178" s="31" t="n">
        <x:v>178</x:v>
      </x:c>
      <x:c r="O178" s="31" t="n">
        <x:v>4.8351170750258055</x:v>
      </x:c>
      <x:c r="P178" s="31" t="n">
        <x:v>2.395308210631395</x:v>
      </x:c>
      <x:c r="Q178" s="40" t="n">
        <x:v>0</x:v>
      </x:c>
      <x:c r="R178" s="31" t="n">
        <x:v>0.227765011637737</x:v>
      </x:c>
      <x:c r="S178" s="40"/>
      <x:c r="T178" s="40"/>
      <x:c r="U178" s="40" t="n">
        <x:v>1</x:v>
      </x:c>
      <x:c r="V178" s="40" t="n">
        <x:v>0.994509608185675</x:v>
      </x:c>
      <x:c r="W178" s="31" t="n">
        <x:v>0</x:v>
      </x:c>
      <x:c r="X178" s="31" t="str"/>
      <x:c r="Y178" s="31" t="n">
        <x:v>0</x:v>
      </x:c>
      <x:c r="Z178" s="31" t="n">
        <x:v>0</x:v>
      </x:c>
      <x:c r="AA178" s="31" t="n">
        <x:v>0</x:v>
      </x:c>
      <x:c r="AB178" s="31" t="str"/>
      <x:c r="AC178" s="31" t="str"/>
    </x:row>
    <x:row r="179">
      <x:c r="A179" s="31" t="str">
        <x:v>33de6c729c3a30da</x:v>
      </x:c>
      <x:c r="B179" s="31" t="str">
        <x:v>33de6c729c3a30da71ba0bd12d0c03f1f85abbcae2a30a4f29cc652e61c977dd</x:v>
      </x:c>
      <x:c r="C179" s="31" t="n">
        <x:v>13</x:v>
      </x:c>
      <x:c r="D179" s="31" t="n">
        <x:v>32044</x:v>
      </x:c>
      <x:c r="E179" s="31" t="str">
        <x:v>Queens</x:v>
      </x:c>
      <x:c r="F179" s="31" t="str">
        <x:v>Baisley Park</x:v>
      </x:c>
      <x:c r="G179" s="31" t="n">
        <x:v>26745.97502346974</x:v>
      </x:c>
      <x:c r="H179" s="31" t="n">
        <x:v>9556</x:v>
      </x:c>
      <x:c r="I179" s="31" t="n">
        <x:v>2.7388265466345647</x:v>
      </x:c>
      <x:c r="J179" s="40" t="n">
        <x:v>0.06833403097530348</x:v>
      </x:c>
      <x:c r="K179" s="40" t="n">
        <x:v>0.02678945165341147</x:v>
      </x:c>
      <x:c r="L179" s="40" t="n">
        <x:v>0.025219757220594392</x:v>
      </x:c>
      <x:c r="M179" s="31" t="n">
        <x:v>28.90740295997712</x:v>
      </x:c>
      <x:c r="N179" s="31" t="n">
        <x:v>14</x:v>
      </x:c>
      <x:c r="O179" s="31" t="n">
        <x:v>0.4368992635126701</x:v>
      </x:c>
      <x:c r="P179" s="31" t="n">
        <x:v>4.540707408957723</x:v>
      </x:c>
      <x:c r="Q179" s="40" t="n">
        <x:v>1</x:v>
      </x:c>
      <x:c r="R179" s="31" t="n">
        <x:v>0.23386344397804756</x:v>
      </x:c>
      <x:c r="S179" s="40"/>
      <x:c r="T179" s="40"/>
      <x:c r="U179" s="40" t="n">
        <x:v>1</x:v>
      </x:c>
      <x:c r="V179" s="40" t="n">
        <x:v>0.9605483465885307</x:v>
      </x:c>
      <x:c r="W179" s="31" t="n">
        <x:v>0</x:v>
      </x:c>
      <x:c r="X179" s="31" t="str"/>
      <x:c r="Y179" s="31" t="n">
        <x:v>0</x:v>
      </x:c>
      <x:c r="Z179" s="31" t="n">
        <x:v>0</x:v>
      </x:c>
      <x:c r="AA179" s="31" t="n">
        <x:v>0</x:v>
      </x:c>
      <x:c r="AB179" s="31" t="str"/>
      <x:c r="AC179" s="31" t="str"/>
    </x:row>
    <x:row r="180">
      <x:c r="A180" s="31" t="str">
        <x:v>343d6cb927114c3e</x:v>
      </x:c>
      <x:c r="B180" s="31" t="str">
        <x:v>343d6cb927114c3e11d9e97f2ddeee288a60bc86dfa9feb18fa563415ee8c3af</x:v>
      </x:c>
      <x:c r="C180" s="31" t="n">
        <x:v>10</x:v>
      </x:c>
      <x:c r="D180" s="31" t="n">
        <x:v>33606</x:v>
      </x:c>
      <x:c r="E180" s="31" t="str">
        <x:v>Brooklyn</x:v>
      </x:c>
      <x:c r="F180" s="31" t="str">
        <x:v>Carroll Gardens-Cobble Hill-Gowanus-Red Hook</x:v>
      </x:c>
      <x:c r="G180" s="31" t="n">
        <x:v>48175.76713487756</x:v>
      </x:c>
      <x:c r="H180" s="31" t="n">
        <x:v>19823</x:v>
      </x:c>
      <x:c r="I180" s="31" t="n">
        <x:v>6.874004797386955</x:v>
      </x:c>
      <x:c r="J180" s="40" t="n">
        <x:v>0.20577107400494377</x:v>
      </x:c>
      <x:c r="K180" s="40" t="n">
        <x:v>0.704333350148817</x:v>
      </x:c>
      <x:c r="L180" s="40" t="n">
        <x:v>0.03889421379205973</x:v>
      </x:c>
      <x:c r="M180" s="31" t="n">
        <x:v>68.77456789379377</x:v>
      </x:c>
      <x:c r="N180" s="31" t="n">
        <x:v>183</x:v>
      </x:c>
      <x:c r="O180" s="31" t="n">
        <x:v>5.445456168541331</x:v>
      </x:c>
      <x:c r="P180" s="31" t="n">
        <x:v>2</x:v>
      </x:c>
      <x:c r="Q180" s="40" t="n">
        <x:v>0</x:v>
      </x:c>
      <x:c r="R180" s="31" t="n">
        <x:v>0.1580987194411505</x:v>
      </x:c>
      <x:c r="S180" s="40"/>
      <x:c r="T180" s="40"/>
      <x:c r="U180" s="40" t="n">
        <x:v>1</x:v>
      </x:c>
      <x:c r="V180" s="40" t="n">
        <x:v>0.9422388134994704</x:v>
      </x:c>
      <x:c r="W180" s="31" t="n">
        <x:v>0</x:v>
      </x:c>
      <x:c r="X180" s="31" t="str"/>
      <x:c r="Y180" s="31" t="n">
        <x:v>0</x:v>
      </x:c>
      <x:c r="Z180" s="31" t="n">
        <x:v>0</x:v>
      </x:c>
      <x:c r="AA180" s="31" t="n">
        <x:v>0</x:v>
      </x:c>
      <x:c r="AB180" s="31" t="str"/>
      <x:c r="AC180" s="31" t="str"/>
    </x:row>
    <x:row r="181">
      <x:c r="A181" s="31" t="str">
        <x:v>34e847b6bd163cbc</x:v>
      </x:c>
      <x:c r="B181" s="31" t="str">
        <x:v>34e847b6bd163cbc54387d2f40c1947846f4435cbf9df51e0f6d4fe7d7576c38</x:v>
      </x:c>
      <x:c r="C181" s="31" t="n">
        <x:v>6</x:v>
      </x:c>
      <x:c r="D181" s="31" t="n">
        <x:v>36189</x:v>
      </x:c>
      <x:c r="E181" s="31" t="str">
        <x:v>Queens</x:v>
      </x:c>
      <x:c r="F181" s="31" t="str">
        <x:v>Corona</x:v>
      </x:c>
      <x:c r="G181" s="31" t="n">
        <x:v>89322.32094974778</x:v>
      </x:c>
      <x:c r="H181" s="31" t="n">
        <x:v>14630</x:v>
      </x:c>
      <x:c r="I181" s="31" t="n">
        <x:v>11.515009569377991</x:v>
      </x:c>
      <x:c r="J181" s="40" t="n">
        <x:v>0.5896103896103896</x:v>
      </x:c>
      <x:c r="K181" s="40" t="n">
        <x:v>0.3525632262474368</x:v>
      </x:c>
      <x:c r="L181" s="40" t="n">
        <x:v>0.2548188653451811</x:v>
      </x:c>
      <x:c r="M181" s="31" t="n">
        <x:v>107.40161684771515</x:v>
      </x:c>
      <x:c r="N181" s="31" t="n">
        <x:v>212</x:v>
      </x:c>
      <x:c r="O181" s="31" t="n">
        <x:v>5.858133687031971</x:v>
      </x:c>
      <x:c r="P181" s="31" t="n">
        <x:v>3.4303485987696516</x:v>
      </x:c>
      <x:c r="Q181" s="40" t="n">
        <x:v>0.47696514012303487</x:v>
      </x:c>
      <x:c r="R181" s="31" t="n">
        <x:v>0.12958156140447424</x:v>
      </x:c>
      <x:c r="S181" s="40"/>
      <x:c r="T181" s="40"/>
      <x:c r="U181" s="40" t="n">
        <x:v>1</x:v>
      </x:c>
      <x:c r="V181" s="40" t="n">
        <x:v>0.9976760082023239</x:v>
      </x:c>
      <x:c r="W181" s="31" t="n">
        <x:v>0</x:v>
      </x:c>
      <x:c r="X181" s="31" t="str"/>
      <x:c r="Y181" s="31" t="n">
        <x:v>0</x:v>
      </x:c>
      <x:c r="Z181" s="31" t="n">
        <x:v>0</x:v>
      </x:c>
      <x:c r="AA181" s="31" t="n">
        <x:v>0</x:v>
      </x:c>
      <x:c r="AB181" s="31" t="str"/>
      <x:c r="AC181" s="31" t="str"/>
    </x:row>
    <x:row r="182">
      <x:c r="A182" s="31" t="str">
        <x:v>34ff41ebdc889117</x:v>
      </x:c>
      <x:c r="B182" s="31" t="str">
        <x:v>34ff41ebdc889117624a8093405eb3cdf206c6a3b789e4814d6ab1e1511a309b</x:v>
      </x:c>
      <x:c r="C182" s="31" t="n">
        <x:v>7</x:v>
      </x:c>
      <x:c r="D182" s="31" t="n">
        <x:v>32894</x:v>
      </x:c>
      <x:c r="E182" s="31" t="str">
        <x:v>Queens</x:v>
      </x:c>
      <x:c r="F182" s="31" t="str">
        <x:v>Astoria (Central)</x:v>
      </x:c>
      <x:c r="G182" s="31" t="n">
        <x:v>65820.4716133251</x:v>
      </x:c>
      <x:c r="H182" s="31" t="n">
        <x:v>16692</x:v>
      </x:c>
      <x:c r="I182" s="31" t="n">
        <x:v>4.153262057781248</x:v>
      </x:c>
      <x:c r="J182" s="40" t="n">
        <x:v>0.019769949676491733</x:v>
      </x:c>
      <x:c r="K182" s="40" t="n">
        <x:v>0.8176971004073808</x:v>
      </x:c>
      <x:c r="L182" s="40" t="n">
        <x:v>0.011682242990654205</x:v>
      </x:c>
      <x:c r="M182" s="31" t="n">
        <x:v>46.23226904480878</x:v>
      </x:c>
      <x:c r="N182" s="31" t="n">
        <x:v>145</x:v>
      </x:c>
      <x:c r="O182" s="31" t="n">
        <x:v>4.408098741411808</x:v>
      </x:c>
      <x:c r="P182" s="31" t="n">
        <x:v>3.0121016055595495</x:v>
      </x:c>
      <x:c r="Q182" s="40" t="n">
        <x:v>0.012101605559549485</x:v>
      </x:c>
      <x:c r="R182" s="31" t="n">
        <x:v>0.2049065318835776</x:v>
      </x:c>
      <x:c r="S182" s="40"/>
      <x:c r="T182" s="40"/>
      <x:c r="U182" s="40" t="n">
        <x:v>1</x:v>
      </x:c>
      <x:c r="V182" s="40" t="n">
        <x:v>0.9853223100886652</x:v>
      </x:c>
      <x:c r="W182" s="31" t="n">
        <x:v>0</x:v>
      </x:c>
      <x:c r="X182" s="31" t="str"/>
      <x:c r="Y182" s="31" t="n">
        <x:v>0</x:v>
      </x:c>
      <x:c r="Z182" s="31" t="n">
        <x:v>0</x:v>
      </x:c>
      <x:c r="AA182" s="31" t="n">
        <x:v>0</x:v>
      </x:c>
      <x:c r="AB182" s="31" t="str"/>
      <x:c r="AC182" s="31" t="str"/>
    </x:row>
    <x:row r="183">
      <x:c r="A183" s="31" t="str">
        <x:v>353d94e645f1f732</x:v>
      </x:c>
      <x:c r="B183" s="31" t="str">
        <x:v>353d94e645f1f7324f048602dd633e4c3f5e617dfb3eb2537f4fe43da00fff69</x:v>
      </x:c>
      <x:c r="C183" s="31" t="n">
        <x:v>9</x:v>
      </x:c>
      <x:c r="D183" s="31" t="n">
        <x:v>33097</x:v>
      </x:c>
      <x:c r="E183" s="31" t="str">
        <x:v>Staten Island</x:v>
      </x:c>
      <x:c r="F183" s="31" t="str">
        <x:v>Port Richmond</x:v>
      </x:c>
      <x:c r="G183" s="31" t="n">
        <x:v>17198.111480600932</x:v>
      </x:c>
      <x:c r="H183" s="31" t="n">
        <x:v>10334</x:v>
      </x:c>
      <x:c r="I183" s="31" t="n">
        <x:v>2.329487700949061</x:v>
      </x:c>
      <x:c r="J183" s="40" t="n">
        <x:v>0</x:v>
      </x:c>
      <x:c r="K183" s="40" t="n">
        <x:v>0.12337913682988194</x:v>
      </x:c>
      <x:c r="L183" s="40" t="n">
        <x:v>0.04402941745693826</x:v>
      </x:c>
      <x:c r="M183" s="31" t="n">
        <x:v>30.363754587782875</x:v>
      </x:c>
      <x:c r="N183" s="31" t="n">
        <x:v>14</x:v>
      </x:c>
      <x:c r="O183" s="31" t="n">
        <x:v>0.4229990633592169</x:v>
      </x:c>
      <x:c r="P183" s="31" t="n">
        <x:v>3.4524869363266886</x:v>
      </x:c>
      <x:c r="Q183" s="40" t="n">
        <x:v>0.5521579252951423</x:v>
      </x:c>
      <x:c r="R183" s="31" t="n">
        <x:v>0.19735325713763496</x:v>
      </x:c>
      <x:c r="S183" s="40"/>
      <x:c r="T183" s="40"/>
      <x:c r="U183" s="40" t="n">
        <x:v>1</x:v>
      </x:c>
      <x:c r="V183" s="40" t="n">
        <x:v>0.9920650280627056</x:v>
      </x:c>
      <x:c r="W183" s="31" t="n">
        <x:v>0</x:v>
      </x:c>
      <x:c r="X183" s="31" t="str"/>
      <x:c r="Y183" s="31" t="n">
        <x:v>0</x:v>
      </x:c>
      <x:c r="Z183" s="31" t="n">
        <x:v>0</x:v>
      </x:c>
      <x:c r="AA183" s="31" t="n">
        <x:v>0</x:v>
      </x:c>
      <x:c r="AB183" s="31" t="str"/>
      <x:c r="AC183" s="31" t="str"/>
    </x:row>
    <x:row r="184">
      <x:c r="A184" s="31" t="str">
        <x:v>355050debbda1c5e</x:v>
      </x:c>
      <x:c r="B184" s="31" t="str">
        <x:v>355050debbda1c5ef314e5b1bc35388f07145610f4896d56540711b984089f9c</x:v>
      </x:c>
      <x:c r="C184" s="31" t="n">
        <x:v>14</x:v>
      </x:c>
      <x:c r="D184" s="31" t="n">
        <x:v>35294</x:v>
      </x:c>
      <x:c r="E184" s="31" t="str">
        <x:v>Queens</x:v>
      </x:c>
      <x:c r="F184" s="31" t="str">
        <x:v>South Jamaica</x:v>
      </x:c>
      <x:c r="G184" s="31" t="n">
        <x:v>26401.706322644495</x:v>
      </x:c>
      <x:c r="H184" s="31" t="n">
        <x:v>10966</x:v>
      </x:c>
      <x:c r="I184" s="31" t="n">
        <x:v>3.3160258052708635</x:v>
      </x:c>
      <x:c r="J184" s="40" t="n">
        <x:v>0</x:v>
      </x:c>
      <x:c r="K184" s="40" t="n">
        <x:v>0.29135509757432065</x:v>
      </x:c>
      <x:c r="L184" s="40" t="n">
        <x:v>0.2194054349808499</x:v>
      </x:c>
      <x:c r="M184" s="31" t="n">
        <x:v>37.16594097862506</x:v>
      </x:c>
      <x:c r="N184" s="31" t="n">
        <x:v>39</x:v>
      </x:c>
      <x:c r="O184" s="31" t="n">
        <x:v>1.1050036833456112</x:v>
      </x:c>
      <x:c r="P184" s="31" t="n">
        <x:v>4.994072587999271</x:v>
      </x:c>
      <x:c r="Q184" s="40" t="n">
        <x:v>1</x:v>
      </x:c>
      <x:c r="R184" s="31" t="n">
        <x:v>0.15588398909269893</x:v>
      </x:c>
      <x:c r="S184" s="40"/>
      <x:c r="T184" s="40"/>
      <x:c r="U184" s="40" t="n">
        <x:v>1</x:v>
      </x:c>
      <x:c r="V184" s="40" t="n">
        <x:v>0.9935254422761262</x:v>
      </x:c>
      <x:c r="W184" s="31" t="n">
        <x:v>0</x:v>
      </x:c>
      <x:c r="X184" s="31" t="str"/>
      <x:c r="Y184" s="31" t="n">
        <x:v>0</x:v>
      </x:c>
      <x:c r="Z184" s="31" t="n">
        <x:v>0</x:v>
      </x:c>
      <x:c r="AA184" s="31" t="n">
        <x:v>0</x:v>
      </x:c>
      <x:c r="AB184" s="31" t="str"/>
      <x:c r="AC184" s="31" t="str"/>
    </x:row>
    <x:row r="185">
      <x:c r="A185" s="31" t="str">
        <x:v>35db2a8518b6fc08</x:v>
      </x:c>
      <x:c r="B185" s="31" t="str">
        <x:v>35db2a8518b6fc08742b90edcafacd38dc0dc359b46178fa218839f2cd3cb919</x:v>
      </x:c>
      <x:c r="C185" s="31" t="n">
        <x:v>16</x:v>
      </x:c>
      <x:c r="D185" s="31" t="n">
        <x:v>34699</x:v>
      </x:c>
      <x:c r="E185" s="31" t="str">
        <x:v>Brooklyn</x:v>
      </x:c>
      <x:c r="F185" s="31" t="str">
        <x:v>Flatlands</x:v>
      </x:c>
      <x:c r="G185" s="31" t="n">
        <x:v>32081.452850122696</x:v>
      </x:c>
      <x:c r="H185" s="31" t="n">
        <x:v>11221</x:v>
      </x:c>
      <x:c r="I185" s="31" t="n">
        <x:v>2.5788011409216507</x:v>
      </x:c>
      <x:c r="J185" s="40" t="n">
        <x:v>0</x:v>
      </x:c>
      <x:c r="K185" s="40" t="n">
        <x:v>0.22751982889225558</x:v>
      </x:c>
      <x:c r="L185" s="40" t="n">
        <x:v>0.008466268603511273</x:v>
      </x:c>
      <x:c r="M185" s="31" t="n">
        <x:v>31.50238481557588</x:v>
      </x:c>
      <x:c r="N185" s="31" t="n">
        <x:v>33</x:v>
      </x:c>
      <x:c r="O185" s="31" t="n">
        <x:v>0.9510360529121877</x:v>
      </x:c>
      <x:c r="P185" s="31" t="n">
        <x:v>2.2438285357811245</x:v>
      </x:c>
      <x:c r="Q185" s="40" t="n">
        <x:v>0.08127617859370823</x:v>
      </x:c>
      <x:c r="R185" s="31" t="n">
        <x:v>0.23467306671577332</x:v>
      </x:c>
      <x:c r="S185" s="40"/>
      <x:c r="T185" s="40"/>
      <x:c r="U185" s="40" t="n">
        <x:v>1</x:v>
      </x:c>
      <x:c r="V185" s="40" t="n">
        <x:v>0.9989305765974512</x:v>
      </x:c>
      <x:c r="W185" s="31" t="n">
        <x:v>0</x:v>
      </x:c>
      <x:c r="X185" s="31" t="str"/>
      <x:c r="Y185" s="31" t="n">
        <x:v>0</x:v>
      </x:c>
      <x:c r="Z185" s="31" t="n">
        <x:v>0</x:v>
      </x:c>
      <x:c r="AA185" s="31" t="n">
        <x:v>0</x:v>
      </x:c>
      <x:c r="AB185" s="31" t="str"/>
      <x:c r="AC185" s="31" t="str"/>
    </x:row>
    <x:row r="186">
      <x:c r="A186" s="31" t="str">
        <x:v>35e8913f0fe70e4d</x:v>
      </x:c>
      <x:c r="B186" s="31" t="str">
        <x:v>35e8913f0fe70e4ddf3208960faff1138ad7ded6d1bc9cd0648aff136ac05073</x:v>
      </x:c>
      <x:c r="C186" s="31" t="n">
        <x:v>9</x:v>
      </x:c>
      <x:c r="D186" s="31" t="n">
        <x:v>35675</x:v>
      </x:c>
      <x:c r="E186" s="31" t="str">
        <x:v>Brooklyn</x:v>
      </x:c>
      <x:c r="F186" s="31" t="str">
        <x:v>Sheepshead Bay-Manhattan Beach-Gerritsen Beach</x:v>
      </x:c>
      <x:c r="G186" s="31" t="n">
        <x:v>40225.587018104416</x:v>
      </x:c>
      <x:c r="H186" s="31" t="n">
        <x:v>14228</x:v>
      </x:c>
      <x:c r="I186" s="31" t="n">
        <x:v>3.909936454141072</x:v>
      </x:c>
      <x:c r="J186" s="40" t="n">
        <x:v>0.009136913129041326</x:v>
      </x:c>
      <x:c r="K186" s="40" t="n">
        <x:v>0.5354933933089683</x:v>
      </x:c>
      <x:c r="L186" s="40" t="n">
        <x:v>0.09411020522912567</x:v>
      </x:c>
      <x:c r="M186" s="31" t="n">
        <x:v>43.60644990781549</x:v>
      </x:c>
      <x:c r="N186" s="31" t="n">
        <x:v>168</x:v>
      </x:c>
      <x:c r="O186" s="31" t="n">
        <x:v>4.709180098107919</x:v>
      </x:c>
      <x:c r="P186" s="31" t="n">
        <x:v>3</x:v>
      </x:c>
      <x:c r="Q186" s="40" t="n">
        <x:v>0</x:v>
      </x:c>
      <x:c r="R186" s="31" t="n">
        <x:v>0.18595975450307972</x:v>
      </x:c>
      <x:c r="S186" s="40"/>
      <x:c r="T186" s="40"/>
      <x:c r="U186" s="40" t="n">
        <x:v>1</x:v>
      </x:c>
      <x:c r="V186" s="40" t="n">
        <x:v>0.9774388529659825</x:v>
      </x:c>
      <x:c r="W186" s="31" t="n">
        <x:v>0</x:v>
      </x:c>
      <x:c r="X186" s="31" t="str"/>
      <x:c r="Y186" s="31" t="n">
        <x:v>0</x:v>
      </x:c>
      <x:c r="Z186" s="31" t="n">
        <x:v>0</x:v>
      </x:c>
      <x:c r="AA186" s="31" t="n">
        <x:v>0</x:v>
      </x:c>
      <x:c r="AB186" s="31" t="str"/>
      <x:c r="AC186" s="31" t="str"/>
    </x:row>
    <x:row r="187">
      <x:c r="A187" s="31" t="str">
        <x:v>36fd7890d2035397</x:v>
      </x:c>
      <x:c r="B187" s="31" t="str">
        <x:v>36fd7890d20353972814407978da5be29f218f04bb2c8c909511f4db898916dc</x:v>
      </x:c>
      <x:c r="C187" s="31" t="n">
        <x:v>9</x:v>
      </x:c>
      <x:c r="D187" s="31" t="n">
        <x:v>35439</x:v>
      </x:c>
      <x:c r="E187" s="31" t="str">
        <x:v>Brooklyn</x:v>
      </x:c>
      <x:c r="F187" s="31" t="str">
        <x:v>Sunset Park (Central)</x:v>
      </x:c>
      <x:c r="G187" s="31" t="n">
        <x:v>77858.04199913375</x:v>
      </x:c>
      <x:c r="H187" s="31" t="n">
        <x:v>8755</x:v>
      </x:c>
      <x:c r="I187" s="31" t="n">
        <x:v>3.1043316548409248</x:v>
      </x:c>
      <x:c r="J187" s="40" t="n">
        <x:v>0.0028555111364934323</x:v>
      </x:c>
      <x:c r="K187" s="40" t="n">
        <x:v>0.5814962878355225</x:v>
      </x:c>
      <x:c r="L187" s="40" t="n">
        <x:v>0.0031981724728726442</x:v>
      </x:c>
      <x:c r="M187" s="31" t="n">
        <x:v>35.48280683768952</x:v>
      </x:c>
      <x:c r="N187" s="31" t="n">
        <x:v>276</x:v>
      </x:c>
      <x:c r="O187" s="31" t="n">
        <x:v>7.788030136290527</x:v>
      </x:c>
      <x:c r="P187" s="31" t="n">
        <x:v>3.1869788692175898</x:v>
      </x:c>
      <x:c r="Q187" s="40" t="n">
        <x:v>0.18697886921758994</x:v>
      </x:c>
      <x:c r="R187" s="31" t="n">
        <x:v>0.23658637193318846</x:v>
      </x:c>
      <x:c r="S187" s="40"/>
      <x:c r="T187" s="40"/>
      <x:c r="U187" s="40" t="n">
        <x:v>1</x:v>
      </x:c>
      <x:c r="V187" s="40" t="n">
        <x:v>0.9793260993717875</x:v>
      </x:c>
      <x:c r="W187" s="31" t="n">
        <x:v>0</x:v>
      </x:c>
      <x:c r="X187" s="31" t="str"/>
      <x:c r="Y187" s="31" t="n">
        <x:v>0</x:v>
      </x:c>
      <x:c r="Z187" s="31" t="n">
        <x:v>0</x:v>
      </x:c>
      <x:c r="AA187" s="31" t="n">
        <x:v>0</x:v>
      </x:c>
      <x:c r="AB187" s="31" t="str"/>
      <x:c r="AC187" s="31" t="str"/>
    </x:row>
    <x:row r="188">
      <x:c r="A188" s="31" t="str">
        <x:v>3719d8e7fc5319a9</x:v>
      </x:c>
      <x:c r="B188" s="31" t="str">
        <x:v>3719d8e7fc5319a965f965a466704b77f2d0a4ea3083c7588d9476780cfeb62f</x:v>
      </x:c>
      <x:c r="C188" s="31" t="n">
        <x:v>10</x:v>
      </x:c>
      <x:c r="D188" s="31" t="n">
        <x:v>33234</x:v>
      </x:c>
      <x:c r="E188" s="31" t="str">
        <x:v>Brooklyn</x:v>
      </x:c>
      <x:c r="F188" s="31" t="str">
        <x:v>Canarsie</x:v>
      </x:c>
      <x:c r="G188" s="31" t="n">
        <x:v>40211.93335414546</x:v>
      </x:c>
      <x:c r="H188" s="31" t="n">
        <x:v>9907</x:v>
      </x:c>
      <x:c r="I188" s="31" t="n">
        <x:v>2.84350202020202</x:v>
      </x:c>
      <x:c r="J188" s="40" t="n">
        <x:v>0</x:v>
      </x:c>
      <x:c r="K188" s="40" t="n">
        <x:v>0.5071161804784495</x:v>
      </x:c>
      <x:c r="L188" s="40" t="n">
        <x:v>0.1713939638639346</x:v>
      </x:c>
      <x:c r="M188" s="31" t="n">
        <x:v>32.706656657830436</x:v>
      </x:c>
      <x:c r="N188" s="31" t="n">
        <x:v>49</x:v>
      </x:c>
      <x:c r="O188" s="31" t="n">
        <x:v>1.474393693205753</x:v>
      </x:c>
      <x:c r="P188" s="31" t="n">
        <x:v>4.408297163621682</x:v>
      </x:c>
      <x:c r="Q188" s="40" t="n">
        <x:v>0.8027657212072272</x:v>
      </x:c>
      <x:c r="R188" s="31" t="n">
        <x:v>0.15255316418387865</x:v>
      </x:c>
      <x:c r="S188" s="40"/>
      <x:c r="T188" s="40"/>
      <x:c r="U188" s="40" t="n">
        <x:v>1</x:v>
      </x:c>
      <x:c r="V188" s="40" t="n">
        <x:v>0.9988896739679015</x:v>
      </x:c>
      <x:c r="W188" s="31" t="n">
        <x:v>0</x:v>
      </x:c>
      <x:c r="X188" s="31" t="str"/>
      <x:c r="Y188" s="31" t="n">
        <x:v>0</x:v>
      </x:c>
      <x:c r="Z188" s="31" t="n">
        <x:v>0</x:v>
      </x:c>
      <x:c r="AA188" s="31" t="n">
        <x:v>0</x:v>
      </x:c>
      <x:c r="AB188" s="31" t="str"/>
      <x:c r="AC188" s="31" t="str"/>
    </x:row>
    <x:row r="189">
      <x:c r="A189" s="31" t="str">
        <x:v>3789763a1f4b080c</x:v>
      </x:c>
      <x:c r="B189" s="31" t="str">
        <x:v>3789763a1f4b080c3226511e4555971c7e571fbc239eb25647722f56a666dc50</x:v>
      </x:c>
      <x:c r="C189" s="31" t="n">
        <x:v>8</x:v>
      </x:c>
      <x:c r="D189" s="31" t="n">
        <x:v>35833</x:v>
      </x:c>
      <x:c r="E189" s="31" t="str">
        <x:v>Manhattan</x:v>
      </x:c>
      <x:c r="F189" s="31" t="str">
        <x:v>East Harlem (North)</x:v>
      </x:c>
      <x:c r="G189" s="31" t="n">
        <x:v>79860.36062512523</x:v>
      </x:c>
      <x:c r="H189" s="31" t="n">
        <x:v>17249</x:v>
      </x:c>
      <x:c r="I189" s="31" t="n">
        <x:v>11.655434655434656</x:v>
      </x:c>
      <x:c r="J189" s="40" t="n">
        <x:v>0.49881152530581485</x:v>
      </x:c>
      <x:c r="K189" s="40" t="n">
        <x:v>0.49110093338744276</x:v>
      </x:c>
      <x:c r="L189" s="40" t="n">
        <x:v>0.25276827642182154</x:v>
      </x:c>
      <x:c r="M189" s="31" t="n">
        <x:v>123.90375074517578</x:v>
      </x:c>
      <x:c r="N189" s="31" t="n">
        <x:v>334</x:v>
      </x:c>
      <x:c r="O189" s="31" t="n">
        <x:v>9.321016939692463</x:v>
      </x:c>
      <x:c r="P189" s="31" t="n">
        <x:v>4.575975418864862</x:v>
      </x:c>
      <x:c r="Q189" s="40" t="n">
        <x:v>1</x:v>
      </x:c>
      <x:c r="R189" s="31" t="n">
        <x:v>0.07641605228143644</x:v>
      </x:c>
      <x:c r="S189" s="40"/>
      <x:c r="T189" s="40"/>
      <x:c r="U189" s="40" t="n">
        <x:v>1</x:v>
      </x:c>
      <x:c r="V189" s="40" t="n">
        <x:v>0.9762884804916228</x:v>
      </x:c>
      <x:c r="W189" s="31" t="n">
        <x:v>1</x:v>
      </x:c>
      <x:c r="X189" s="31" t="str"/>
      <x:c r="Y189" s="31" t="n">
        <x:v>1</x:v>
      </x:c>
      <x:c r="Z189" s="31" t="n">
        <x:v>0</x:v>
      </x:c>
      <x:c r="AA189" s="31" t="n">
        <x:v>0</x:v>
      </x:c>
      <x:c r="AB189" s="31" t="str"/>
      <x:c r="AC189" s="31" t="str"/>
    </x:row>
    <x:row r="190">
      <x:c r="A190" s="31" t="str">
        <x:v>378cb1ff066cee05</x:v>
      </x:c>
      <x:c r="B190" s="31" t="str">
        <x:v>378cb1ff066cee05608f33dbf13fe4c2c6420a572a57ffd5890750fa34ccfb31</x:v>
      </x:c>
      <x:c r="C190" s="31" t="n">
        <x:v>8</x:v>
      </x:c>
      <x:c r="D190" s="31" t="n">
        <x:v>32623</x:v>
      </x:c>
      <x:c r="E190" s="31" t="str">
        <x:v>Brooklyn</x:v>
      </x:c>
      <x:c r="F190" s="31" t="str">
        <x:v>East Williamsburg</x:v>
      </x:c>
      <x:c r="G190" s="31" t="n">
        <x:v>52250.098529052506</x:v>
      </x:c>
      <x:c r="H190" s="31" t="n">
        <x:v>15193</x:v>
      </x:c>
      <x:c r="I190" s="31" t="n">
        <x:v>9.575347245298065</x:v>
      </x:c>
      <x:c r="J190" s="40" t="n">
        <x:v>0.3092213519383927</x:v>
      </x:c>
      <x:c r="K190" s="40" t="n">
        <x:v>0.6599749884815376</x:v>
      </x:c>
      <x:c r="L190" s="40" t="n">
        <x:v>0.3514776541828474</x:v>
      </x:c>
      <x:c r="M190" s="31" t="n">
        <x:v>97.09855203873818</x:v>
      </x:c>
      <x:c r="N190" s="31" t="n">
        <x:v>249</x:v>
      </x:c>
      <x:c r="O190" s="31" t="n">
        <x:v>7.632651810072648</x:v>
      </x:c>
      <x:c r="P190" s="31" t="n">
        <x:v>3.9951951556637924</x:v>
      </x:c>
      <x:c r="Q190" s="40" t="n">
        <x:v>0.9951951556637926</x:v>
      </x:c>
      <x:c r="R190" s="31" t="n">
        <x:v>0.11821516414961528</x:v>
      </x:c>
      <x:c r="S190" s="40"/>
      <x:c r="T190" s="40"/>
      <x:c r="U190" s="40" t="n">
        <x:v>1</x:v>
      </x:c>
      <x:c r="V190" s="40" t="n">
        <x:v>0.9749226617521227</x:v>
      </x:c>
      <x:c r="W190" s="31" t="n">
        <x:v>0</x:v>
      </x:c>
      <x:c r="X190" s="31" t="str"/>
      <x:c r="Y190" s="31" t="n">
        <x:v>0</x:v>
      </x:c>
      <x:c r="Z190" s="31" t="n">
        <x:v>0</x:v>
      </x:c>
      <x:c r="AA190" s="31" t="n">
        <x:v>0</x:v>
      </x:c>
      <x:c r="AB190" s="31" t="str"/>
      <x:c r="AC190" s="31" t="str"/>
    </x:row>
    <x:row r="191">
      <x:c r="A191" s="31" t="str">
        <x:v>379f9d491533285c</x:v>
      </x:c>
      <x:c r="B191" s="31" t="str">
        <x:v>379f9d491533285c0ffff690164faf62bcde9d2e4125d93e9be6a94acee4f27b</x:v>
      </x:c>
      <x:c r="C191" s="31" t="n">
        <x:v>9</x:v>
      </x:c>
      <x:c r="D191" s="31" t="n">
        <x:v>32150</x:v>
      </x:c>
      <x:c r="E191" s="31" t="str">
        <x:v>Bronx</x:v>
      </x:c>
      <x:c r="F191" s="31" t="str">
        <x:v>Tremont</x:v>
      </x:c>
      <x:c r="G191" s="31" t="n">
        <x:v>56622.551140273055</x:v>
      </x:c>
      <x:c r="H191" s="31" t="n">
        <x:v>14442</x:v>
      </x:c>
      <x:c r="I191" s="31" t="n">
        <x:v>6.751178496134926</x:v>
      </x:c>
      <x:c r="J191" s="40" t="n">
        <x:v>0.16874394128237086</x:v>
      </x:c>
      <x:c r="K191" s="40" t="n">
        <x:v>0.7487882564741726</x:v>
      </x:c>
      <x:c r="L191" s="40" t="n">
        <x:v>0.009001523334718183</x:v>
      </x:c>
      <x:c r="M191" s="31" t="n">
        <x:v>72.3650108081267</x:v>
      </x:c>
      <x:c r="N191" s="31" t="n">
        <x:v>146</x:v>
      </x:c>
      <x:c r="O191" s="31" t="n">
        <x:v>4.541213063763608</x:v>
      </x:c>
      <x:c r="P191" s="31" t="n">
        <x:v>5</x:v>
      </x:c>
      <x:c r="Q191" s="40" t="n">
        <x:v>1</x:v>
      </x:c>
      <x:c r="R191" s="31" t="n">
        <x:v>0.089654097041981</x:v>
      </x:c>
      <x:c r="S191" s="40"/>
      <x:c r="T191" s="40"/>
      <x:c r="U191" s="40" t="n">
        <x:v>1</x:v>
      </x:c>
      <x:c r="V191" s="40" t="n">
        <x:v>0.9662096662512117</x:v>
      </x:c>
      <x:c r="W191" s="31" t="n">
        <x:v>1</x:v>
      </x:c>
      <x:c r="X191" s="31" t="str"/>
      <x:c r="Y191" s="31" t="n">
        <x:v>0</x:v>
      </x:c>
      <x:c r="Z191" s="31" t="n">
        <x:v>1</x:v>
      </x:c>
      <x:c r="AA191" s="31" t="n">
        <x:v>0</x:v>
      </x:c>
      <x:c r="AB191" s="31" t="str"/>
      <x:c r="AC191" s="31" t="str"/>
    </x:row>
    <x:row r="192">
      <x:c r="A192" s="31" t="str">
        <x:v>37b975ae3b97521b</x:v>
      </x:c>
      <x:c r="B192" s="31" t="str">
        <x:v>37b975ae3b97521b85517a8b7bea9cec9b4817dbf32c32d00edc09ebf56cb13e</x:v>
      </x:c>
      <x:c r="C192" s="31" t="n">
        <x:v>13</x:v>
      </x:c>
      <x:c r="D192" s="31" t="n">
        <x:v>32042</x:v>
      </x:c>
      <x:c r="E192" s="31" t="str">
        <x:v>Queens</x:v>
      </x:c>
      <x:c r="F192" s="31" t="str">
        <x:v>Ozone Park (North)</x:v>
      </x:c>
      <x:c r="G192" s="31" t="n">
        <x:v>39896.56322821163</x:v>
      </x:c>
      <x:c r="H192" s="31" t="n">
        <x:v>8974</x:v>
      </x:c>
      <x:c r="I192" s="31" t="n">
        <x:v>2.391292949576082</x:v>
      </x:c>
      <x:c r="J192" s="40" t="n">
        <x:v>0</x:v>
      </x:c>
      <x:c r="K192" s="40" t="n">
        <x:v>0.20815689770447962</x:v>
      </x:c>
      <x:c r="L192" s="40" t="n">
        <x:v>0.017049253398707376</x:v>
      </x:c>
      <x:c r="M192" s="31" t="n">
        <x:v>28.399590269584507</x:v>
      </x:c>
      <x:c r="N192" s="31" t="n">
        <x:v>9</x:v>
      </x:c>
      <x:c r="O192" s="31" t="n">
        <x:v>0.2808813432370015</x:v>
      </x:c>
      <x:c r="P192" s="31" t="n">
        <x:v>3.75607310006686</x:v>
      </x:c>
      <x:c r="Q192" s="40" t="n">
        <x:v>0.7560731000668598</x:v>
      </x:c>
      <x:c r="R192" s="31" t="n">
        <x:v>0.1576881510027928</x:v>
      </x:c>
      <x:c r="S192" s="40"/>
      <x:c r="T192" s="40"/>
      <x:c r="U192" s="40" t="n">
        <x:v>1</x:v>
      </x:c>
      <x:c r="V192" s="40" t="n">
        <x:v>0.9869623356362826</x:v>
      </x:c>
      <x:c r="W192" s="31" t="n">
        <x:v>0</x:v>
      </x:c>
      <x:c r="X192" s="31" t="str"/>
      <x:c r="Y192" s="31" t="n">
        <x:v>0</x:v>
      </x:c>
      <x:c r="Z192" s="31" t="n">
        <x:v>0</x:v>
      </x:c>
      <x:c r="AA192" s="31" t="n">
        <x:v>0</x:v>
      </x:c>
      <x:c r="AB192" s="31" t="str"/>
      <x:c r="AC192" s="31" t="str"/>
    </x:row>
    <x:row r="193">
      <x:c r="A193" s="31" t="str">
        <x:v>37e1a848d77b257f</x:v>
      </x:c>
      <x:c r="B193" s="31" t="str">
        <x:v>37e1a848d77b257f344df20c5dd8d1b268971f4aca5d81885c3102debb1371a4</x:v>
      </x:c>
      <x:c r="C193" s="31" t="n">
        <x:v>8</x:v>
      </x:c>
      <x:c r="D193" s="31" t="n">
        <x:v>33454</x:v>
      </x:c>
      <x:c r="E193" s="31" t="str">
        <x:v>Staten Island</x:v>
      </x:c>
      <x:c r="F193" s="31" t="str">
        <x:v>New Dorp-Midland Beach</x:v>
      </x:c>
      <x:c r="G193" s="31" t="n">
        <x:v>7953.646957601091</x:v>
      </x:c>
      <x:c r="H193" s="31" t="n">
        <x:v>12654</x:v>
      </x:c>
      <x:c r="I193" s="31" t="n">
        <x:v>2.374810417161403</x:v>
      </x:c>
      <x:c r="J193" s="40" t="n">
        <x:v>0</x:v>
      </x:c>
      <x:c r="K193" s="40" t="n">
        <x:v>0.1894262683736368</x:v>
      </x:c>
      <x:c r="L193" s="40" t="n">
        <x:v>0.07428481112691639</x:v>
      </x:c>
      <x:c r="M193" s="31" t="n">
        <x:v>30.55438351116318</x:v>
      </x:c>
      <x:c r="N193" s="31" t="n">
        <x:v>102</x:v>
      </x:c>
      <x:c r="O193" s="31" t="n">
        <x:v>3.0489627548275244</x:v>
      </x:c>
      <x:c r="P193" s="31" t="n">
        <x:v>1.4745535008692903</x:v>
      </x:c>
      <x:c r="Q193" s="40" t="n">
        <x:v>0</x:v>
      </x:c>
      <x:c r="R193" s="31" t="n">
        <x:v>0.2624371588931763</x:v>
      </x:c>
      <x:c r="S193" s="40"/>
      <x:c r="T193" s="40"/>
      <x:c r="U193" s="40" t="n">
        <x:v>1</x:v>
      </x:c>
      <x:c r="V193" s="40" t="n">
        <x:v>0.9898846214635688</x:v>
      </x:c>
      <x:c r="W193" s="31" t="n">
        <x:v>0</x:v>
      </x:c>
      <x:c r="X193" s="31" t="str"/>
      <x:c r="Y193" s="31" t="n">
        <x:v>0</x:v>
      </x:c>
      <x:c r="Z193" s="31" t="n">
        <x:v>0</x:v>
      </x:c>
      <x:c r="AA193" s="31" t="n">
        <x:v>0</x:v>
      </x:c>
      <x:c r="AB193" s="31" t="str"/>
      <x:c r="AC193" s="31" t="str"/>
    </x:row>
    <x:row r="194">
      <x:c r="A194" s="31" t="str">
        <x:v>37ef80b146f18e16</x:v>
      </x:c>
      <x:c r="B194" s="31" t="str">
        <x:v>37ef80b146f18e165acf253751c3b7998e1d780ffed1bbf2f50ba16b16c3d043</x:v>
      </x:c>
      <x:c r="C194" s="31" t="n">
        <x:v>9</x:v>
      </x:c>
      <x:c r="D194" s="31" t="n">
        <x:v>32810</x:v>
      </x:c>
      <x:c r="E194" s="31" t="str">
        <x:v>Brooklyn</x:v>
      </x:c>
      <x:c r="F194" s="31" t="str">
        <x:v>Park Slope</x:v>
      </x:c>
      <x:c r="G194" s="31" t="n">
        <x:v>49103.427112834754</x:v>
      </x:c>
      <x:c r="H194" s="31" t="n">
        <x:v>19262</x:v>
      </x:c>
      <x:c r="I194" s="31" t="n">
        <x:v>6.3530960740504305</x:v>
      </x:c>
      <x:c r="J194" s="40" t="n">
        <x:v>0.22609282525179109</x:v>
      </x:c>
      <x:c r="K194" s="40" t="n">
        <x:v>0.6819125739798567</x:v>
      </x:c>
      <x:c r="L194" s="40" t="n">
        <x:v>0.008514172983075486</x:v>
      </x:c>
      <x:c r="M194" s="31" t="n">
        <x:v>72.21830518122155</x:v>
      </x:c>
      <x:c r="N194" s="31" t="n">
        <x:v>191</x:v>
      </x:c>
      <x:c r="O194" s="31" t="n">
        <x:v>5.821395915879305</x:v>
      </x:c>
      <x:c r="P194" s="31" t="n">
        <x:v>1.1381476482192918</x:v>
      </x:c>
      <x:c r="Q194" s="40" t="n">
        <x:v>0</x:v>
      </x:c>
      <x:c r="R194" s="31" t="n">
        <x:v>0.14661824437775442</x:v>
      </x:c>
      <x:c r="S194" s="40"/>
      <x:c r="T194" s="40"/>
      <x:c r="U194" s="40" t="n">
        <x:v>1</x:v>
      </x:c>
      <x:c r="V194" s="40" t="n">
        <x:v>0.9536912054822968</x:v>
      </x:c>
      <x:c r="W194" s="31" t="n">
        <x:v>0</x:v>
      </x:c>
      <x:c r="X194" s="31" t="str"/>
      <x:c r="Y194" s="31" t="n">
        <x:v>0</x:v>
      </x:c>
      <x:c r="Z194" s="31" t="n">
        <x:v>0</x:v>
      </x:c>
      <x:c r="AA194" s="31" t="n">
        <x:v>0</x:v>
      </x:c>
      <x:c r="AB194" s="31" t="str"/>
      <x:c r="AC194" s="31" t="str"/>
    </x:row>
    <x:row r="195">
      <x:c r="A195" s="31" t="str">
        <x:v>37fbd2f977a4a275</x:v>
      </x:c>
      <x:c r="B195" s="31" t="str">
        <x:v>37fbd2f977a4a2752559e64c6366499b1157923d474554c011cd6affffcfb420</x:v>
      </x:c>
      <x:c r="C195" s="31" t="n">
        <x:v>9</x:v>
      </x:c>
      <x:c r="D195" s="31" t="n">
        <x:v>33691</x:v>
      </x:c>
      <x:c r="E195" s="31" t="str">
        <x:v>Queens</x:v>
      </x:c>
      <x:c r="F195" s="31" t="str">
        <x:v>Woodhaven</x:v>
      </x:c>
      <x:c r="G195" s="31" t="n">
        <x:v>50909.473274553755</x:v>
      </x:c>
      <x:c r="H195" s="31" t="n">
        <x:v>8799</x:v>
      </x:c>
      <x:c r="I195" s="31" t="n">
        <x:v>2.237768050028425</x:v>
      </x:c>
      <x:c r="J195" s="40" t="n">
        <x:v>0</x:v>
      </x:c>
      <x:c r="K195" s="40" t="n">
        <x:v>0.12262757131492215</x:v>
      </x:c>
      <x:c r="L195" s="40" t="n">
        <x:v>0.009319240822820775</x:v>
      </x:c>
      <x:c r="M195" s="31" t="n">
        <x:v>27.994980844808413</x:v>
      </x:c>
      <x:c r="N195" s="31" t="n">
        <x:v>9</x:v>
      </x:c>
      <x:c r="O195" s="31" t="n">
        <x:v>0.26713365587248816</x:v>
      </x:c>
      <x:c r="P195" s="31" t="n">
        <x:v>2.630980793271963</x:v>
      </x:c>
      <x:c r="Q195" s="40" t="n">
        <x:v>0.3154903966359814</x:v>
      </x:c>
      <x:c r="R195" s="31" t="n">
        <x:v>0.20742619024477768</x:v>
      </x:c>
      <x:c r="S195" s="40"/>
      <x:c r="T195" s="40"/>
      <x:c r="U195" s="40" t="n">
        <x:v>1</x:v>
      </x:c>
      <x:c r="V195" s="40" t="n">
        <x:v>0.9995454028866917</x:v>
      </x:c>
      <x:c r="W195" s="31" t="n">
        <x:v>0</x:v>
      </x:c>
      <x:c r="X195" s="31" t="str"/>
      <x:c r="Y195" s="31" t="n">
        <x:v>0</x:v>
      </x:c>
      <x:c r="Z195" s="31" t="n">
        <x:v>0</x:v>
      </x:c>
      <x:c r="AA195" s="31" t="n">
        <x:v>0</x:v>
      </x:c>
      <x:c r="AB195" s="31" t="str"/>
      <x:c r="AC195" s="31" t="str"/>
    </x:row>
    <x:row r="196">
      <x:c r="A196" s="31" t="str">
        <x:v>381cb87334033da9</x:v>
      </x:c>
      <x:c r="B196" s="31" t="str">
        <x:v>381cb87334033da9b888953125b41e3a3cfdc3dc5caacb205562a0512cc136b7</x:v>
      </x:c>
      <x:c r="C196" s="31" t="n">
        <x:v>11</x:v>
      </x:c>
      <x:c r="D196" s="31" t="n">
        <x:v>33372</x:v>
      </x:c>
      <x:c r="E196" s="31" t="str">
        <x:v>Queens</x:v>
      </x:c>
      <x:c r="F196" s="31" t="str">
        <x:v>Kew Gardens</x:v>
      </x:c>
      <x:c r="G196" s="31" t="n">
        <x:v>38163.39208509086</x:v>
      </x:c>
      <x:c r="H196" s="31" t="n">
        <x:v>13266</x:v>
      </x:c>
      <x:c r="I196" s="31" t="n">
        <x:v>4.807180737580007</x:v>
      </x:c>
      <x:c r="J196" s="40" t="n">
        <x:v>0.05276647067691844</x:v>
      </x:c>
      <x:c r="K196" s="40" t="n">
        <x:v>0.622192069953264</x:v>
      </x:c>
      <x:c r="L196" s="40" t="n">
        <x:v>0.019975878184833408</x:v>
      </x:c>
      <x:c r="M196" s="31" t="n">
        <x:v>52.95213769717098</x:v>
      </x:c>
      <x:c r="N196" s="31" t="n">
        <x:v>176</x:v>
      </x:c>
      <x:c r="O196" s="31" t="n">
        <x:v>5.273882296536018</x:v>
      </x:c>
      <x:c r="P196" s="31" t="n">
        <x:v>2.421453339363787</x:v>
      </x:c>
      <x:c r="Q196" s="40" t="n">
        <x:v>0</x:v>
      </x:c>
      <x:c r="R196" s="31" t="n">
        <x:v>0.2525894284223569</x:v>
      </x:c>
      <x:c r="S196" s="40"/>
      <x:c r="T196" s="40"/>
      <x:c r="U196" s="40" t="n">
        <x:v>1</x:v>
      </x:c>
      <x:c r="V196" s="40" t="n">
        <x:v>0.9840192974521332</x:v>
      </x:c>
      <x:c r="W196" s="31" t="n">
        <x:v>0</x:v>
      </x:c>
      <x:c r="X196" s="31" t="str"/>
      <x:c r="Y196" s="31" t="n">
        <x:v>0</x:v>
      </x:c>
      <x:c r="Z196" s="31" t="n">
        <x:v>0</x:v>
      </x:c>
      <x:c r="AA196" s="31" t="n">
        <x:v>0</x:v>
      </x:c>
      <x:c r="AB196" s="31" t="str"/>
      <x:c r="AC196" s="31" t="str"/>
    </x:row>
    <x:row r="197">
      <x:c r="A197" s="31" t="str">
        <x:v>3877c1267d3d3931</x:v>
      </x:c>
      <x:c r="B197" s="31" t="str">
        <x:v>3877c1267d3d393166928c688f1927637ef266b39e4b8050a4bda955cb7be953</x:v>
      </x:c>
      <x:c r="C197" s="31" t="n">
        <x:v>7</x:v>
      </x:c>
      <x:c r="D197" s="31" t="n">
        <x:v>32634</x:v>
      </x:c>
      <x:c r="E197" s="31" t="str">
        <x:v>Manhattan</x:v>
      </x:c>
      <x:c r="F197" s="31" t="str">
        <x:v>East Midtown-Turtle Bay</x:v>
      </x:c>
      <x:c r="G197" s="31" t="n">
        <x:v>123685.40006008516</x:v>
      </x:c>
      <x:c r="H197" s="31" t="n">
        <x:v>22374</x:v>
      </x:c>
      <x:c r="I197" s="31" t="n">
        <x:v>20.892142535971225</x:v>
      </x:c>
      <x:c r="J197" s="40" t="n">
        <x:v>0.8104496290336999</x:v>
      </x:c>
      <x:c r="K197" s="40" t="n">
        <x:v>0.18351658174667024</x:v>
      </x:c>
      <x:c r="L197" s="40" t="n">
        <x:v>0.03946545096987575</x:v>
      </x:c>
      <x:c r="M197" s="31" t="n">
        <x:v>218.93613303946083</x:v>
      </x:c>
      <x:c r="N197" s="31" t="n">
        <x:v>612</x:v>
      </x:c>
      <x:c r="O197" s="31" t="n">
        <x:v>18.753447324875896</x:v>
      </x:c>
      <x:c r="P197" s="31" t="n">
        <x:v>1</x:v>
      </x:c>
      <x:c r="Q197" s="40" t="n">
        <x:v>0</x:v>
      </x:c>
      <x:c r="R197" s="31" t="n">
        <x:v>0.1749486646771406</x:v>
      </x:c>
      <x:c r="S197" s="40"/>
      <x:c r="T197" s="40"/>
      <x:c r="U197" s="40" t="n">
        <x:v>1</x:v>
      </x:c>
      <x:c r="V197" s="40" t="n">
        <x:v>0.9997318315902387</x:v>
      </x:c>
      <x:c r="W197" s="31" t="n">
        <x:v>1</x:v>
      </x:c>
      <x:c r="X197" s="31" t="str"/>
      <x:c r="Y197" s="31" t="n">
        <x:v>1</x:v>
      </x:c>
      <x:c r="Z197" s="31" t="n">
        <x:v>0</x:v>
      </x:c>
      <x:c r="AA197" s="31" t="n">
        <x:v>0</x:v>
      </x:c>
      <x:c r="AB197" s="31" t="str"/>
      <x:c r="AC197" s="31" t="str"/>
    </x:row>
    <x:row r="198">
      <x:c r="A198" s="31" t="str">
        <x:v>3931adde338a007f</x:v>
      </x:c>
      <x:c r="B198" s="31" t="str">
        <x:v>3931adde338a007f354646496f4bdd577dcbcdf8631ecb1a5481d5ecb58847bb</x:v>
      </x:c>
      <x:c r="C198" s="31" t="n">
        <x:v>9</x:v>
      </x:c>
      <x:c r="D198" s="31" t="n">
        <x:v>36745</x:v>
      </x:c>
      <x:c r="E198" s="31" t="str">
        <x:v>Queens</x:v>
      </x:c>
      <x:c r="F198" s="31" t="str">
        <x:v>Jamaica</x:v>
      </x:c>
      <x:c r="G198" s="31" t="n">
        <x:v>50240.63245465555</x:v>
      </x:c>
      <x:c r="H198" s="31" t="n">
        <x:v>14461</x:v>
      </x:c>
      <x:c r="I198" s="31" t="n">
        <x:v>8.369775514446061</x:v>
      </x:c>
      <x:c r="J198" s="40" t="n">
        <x:v>0.3600027660604384</x:v>
      </x:c>
      <x:c r="K198" s="40" t="n">
        <x:v>0.46165548717239474</x:v>
      </x:c>
      <x:c r="L198" s="40" t="n">
        <x:v>0.01154830233040592</x:v>
      </x:c>
      <x:c r="M198" s="31" t="n">
        <x:v>87.76290681737639</x:v>
      </x:c>
      <x:c r="N198" s="31" t="n">
        <x:v>184</x:v>
      </x:c>
      <x:c r="O198" s="31" t="n">
        <x:v>5.007484011430126</x:v>
      </x:c>
      <x:c r="P198" s="31" t="n">
        <x:v>3.2420994398727614</x:v>
      </x:c>
      <x:c r="Q198" s="40" t="n">
        <x:v>0.17848004978908788</x:v>
      </x:c>
      <x:c r="R198" s="31" t="n">
        <x:v>0.09728800411126785</x:v>
      </x:c>
      <x:c r="S198" s="40"/>
      <x:c r="T198" s="40"/>
      <x:c r="U198" s="40" t="n">
        <x:v>1</x:v>
      </x:c>
      <x:c r="V198" s="40" t="n">
        <x:v>0.9048475209183321</x:v>
      </x:c>
      <x:c r="W198" s="31" t="n">
        <x:v>0</x:v>
      </x:c>
      <x:c r="X198" s="31" t="str"/>
      <x:c r="Y198" s="31" t="n">
        <x:v>0</x:v>
      </x:c>
      <x:c r="Z198" s="31" t="n">
        <x:v>0</x:v>
      </x:c>
      <x:c r="AA198" s="31" t="n">
        <x:v>0</x:v>
      </x:c>
      <x:c r="AB198" s="31" t="str"/>
      <x:c r="AC198" s="31" t="str"/>
    </x:row>
    <x:row r="199">
      <x:c r="A199" s="31" t="str">
        <x:v>39cd53430425b45c</x:v>
      </x:c>
      <x:c r="B199" s="31" t="str">
        <x:v>39cd53430425b45c2e7d29bd8c62ba3c567cc0422403361c0a251cf4d24a1f0d</x:v>
      </x:c>
      <x:c r="C199" s="31" t="n">
        <x:v>6</x:v>
      </x:c>
      <x:c r="D199" s="31" t="n">
        <x:v>34738</x:v>
      </x:c>
      <x:c r="E199" s="31" t="str">
        <x:v>Bronx</x:v>
      </x:c>
      <x:c r="F199" s="31" t="str">
        <x:v>Bedford Park</x:v>
      </x:c>
      <x:c r="G199" s="31" t="n">
        <x:v>93217.50819309133</x:v>
      </x:c>
      <x:c r="H199" s="31" t="n">
        <x:v>15934</x:v>
      </x:c>
      <x:c r="I199" s="31" t="n">
        <x:v>6.451024084961123</x:v>
      </x:c>
      <x:c r="J199" s="40" t="n">
        <x:v>0.1565834065520271</x:v>
      </x:c>
      <x:c r="K199" s="40" t="n">
        <x:v>0.8019957323961341</x:v>
      </x:c>
      <x:c r="L199" s="40" t="n">
        <x:v>0.014497301368143593</x:v>
      </x:c>
      <x:c r="M199" s="31" t="n">
        <x:v>71.0634375540206</x:v>
      </x:c>
      <x:c r="N199" s="31" t="n">
        <x:v>221</x:v>
      </x:c>
      <x:c r="O199" s="31" t="n">
        <x:v>6.36190914848293</x:v>
      </x:c>
      <x:c r="P199" s="31" t="n">
        <x:v>4.618990837203464</x:v>
      </x:c>
      <x:c r="Q199" s="40" t="n">
        <x:v>1</x:v>
      </x:c>
      <x:c r="R199" s="31" t="n">
        <x:v>0.16944546838880967</x:v>
      </x:c>
      <x:c r="S199" s="40"/>
      <x:c r="T199" s="40"/>
      <x:c r="U199" s="40" t="n">
        <x:v>1</x:v>
      </x:c>
      <x:c r="V199" s="40" t="n">
        <x:v>0.969499184134555</x:v>
      </x:c>
      <x:c r="W199" s="31" t="n">
        <x:v>1</x:v>
      </x:c>
      <x:c r="X199" s="31" t="str"/>
      <x:c r="Y199" s="31" t="n">
        <x:v>0</x:v>
      </x:c>
      <x:c r="Z199" s="31" t="n">
        <x:v>1</x:v>
      </x:c>
      <x:c r="AA199" s="31" t="n">
        <x:v>0</x:v>
      </x:c>
      <x:c r="AB199" s="31" t="str"/>
      <x:c r="AC199" s="31" t="str"/>
    </x:row>
    <x:row r="200">
      <x:c r="A200" s="31" t="str">
        <x:v>39e2216869d98a9c</x:v>
      </x:c>
      <x:c r="B200" s="31" t="str">
        <x:v>39e2216869d98a9cb575e240884b6a9ad317adea88f69ee0c76274f92fd95ab8</x:v>
      </x:c>
      <x:c r="C200" s="31" t="n">
        <x:v>11</x:v>
      </x:c>
      <x:c r="D200" s="31" t="n">
        <x:v>32313</x:v>
      </x:c>
      <x:c r="E200" s="31" t="str">
        <x:v>Queens</x:v>
      </x:c>
      <x:c r="F200" s="31" t="str">
        <x:v>Astoria (North)-Ditmars-Steinway</x:v>
      </x:c>
      <x:c r="G200" s="31" t="n">
        <x:v>29449.40101412184</x:v>
      </x:c>
      <x:c r="H200" s="31" t="n">
        <x:v>14408</x:v>
      </x:c>
      <x:c r="I200" s="31" t="n">
        <x:v>3.036958774498761</x:v>
      </x:c>
      <x:c r="J200" s="40" t="n">
        <x:v>0.00555247084952804</x:v>
      </x:c>
      <x:c r="K200" s="40" t="n">
        <x:v>0.5202665186007773</x:v>
      </x:c>
      <x:c r="L200" s="40" t="n">
        <x:v>0.12819267073847862</x:v>
      </x:c>
      <x:c r="M200" s="31" t="n">
        <x:v>34.54059215029664</x:v>
      </x:c>
      <x:c r="N200" s="31" t="n">
        <x:v>52</x:v>
      </x:c>
      <x:c r="O200" s="31" t="n">
        <x:v>1.6092594311886856</x:v>
      </x:c>
      <x:c r="P200" s="31" t="n">
        <x:v>3</x:v>
      </x:c>
      <x:c r="Q200" s="40" t="n">
        <x:v>0</x:v>
      </x:c>
      <x:c r="R200" s="31" t="n">
        <x:v>0.156344179273594</x:v>
      </x:c>
      <x:c r="S200" s="40"/>
      <x:c r="T200" s="40"/>
      <x:c r="U200" s="40" t="n">
        <x:v>1</x:v>
      </x:c>
      <x:c r="V200" s="40" t="n">
        <x:v>0.9779983342587452</x:v>
      </x:c>
      <x:c r="W200" s="31" t="n">
        <x:v>0</x:v>
      </x:c>
      <x:c r="X200" s="31" t="str"/>
      <x:c r="Y200" s="31" t="n">
        <x:v>0</x:v>
      </x:c>
      <x:c r="Z200" s="31" t="n">
        <x:v>0</x:v>
      </x:c>
      <x:c r="AA200" s="31" t="n">
        <x:v>0</x:v>
      </x:c>
      <x:c r="AB200" s="31" t="str"/>
      <x:c r="AC200" s="31" t="str"/>
    </x:row>
    <x:row r="201">
      <x:c r="A201" s="31" t="str">
        <x:v>39f3653b027bf04d</x:v>
      </x:c>
      <x:c r="B201" s="31" t="str">
        <x:v>39f3653b027bf04dd531337c08b782e0b711b88d45bc50940abcb2b5af0a86ea</x:v>
      </x:c>
      <x:c r="C201" s="31" t="n">
        <x:v>14</x:v>
      </x:c>
      <x:c r="D201" s="31" t="n">
        <x:v>35437</x:v>
      </x:c>
      <x:c r="E201" s="31" t="str">
        <x:v>Queens</x:v>
      </x:c>
      <x:c r="F201" s="31" t="str">
        <x:v>Maspeth</x:v>
      </x:c>
      <x:c r="G201" s="31" t="n">
        <x:v>22899.394116719144</x:v>
      </x:c>
      <x:c r="H201" s="31" t="n">
        <x:v>13499</x:v>
      </x:c>
      <x:c r="I201" s="31" t="n">
        <x:v>2.3180872980583964</x:v>
      </x:c>
      <x:c r="J201" s="40" t="n">
        <x:v>0</x:v>
      </x:c>
      <x:c r="K201" s="40" t="n">
        <x:v>0.2956515297429439</x:v>
      </x:c>
      <x:c r="L201" s="40" t="n">
        <x:v>0.01726053781761612</x:v>
      </x:c>
      <x:c r="M201" s="31" t="n">
        <x:v>28.25473335268354</x:v>
      </x:c>
      <x:c r="N201" s="31" t="n">
        <x:v>10</x:v>
      </x:c>
      <x:c r="O201" s="31" t="n">
        <x:v>0.2821909303834975</x:v>
      </x:c>
      <x:c r="P201" s="31" t="n">
        <x:v>1.9265871546040447</x:v>
      </x:c>
      <x:c r="Q201" s="40" t="n">
        <x:v>0</x:v>
      </x:c>
      <x:c r="R201" s="31" t="n">
        <x:v>0.2154868265486166</x:v>
      </x:c>
      <x:c r="S201" s="40"/>
      <x:c r="T201" s="40"/>
      <x:c r="U201" s="40" t="n">
        <x:v>1</x:v>
      </x:c>
      <x:c r="V201" s="40" t="n">
        <x:v>0.9948885102600192</x:v>
      </x:c>
      <x:c r="W201" s="31" t="n">
        <x:v>0</x:v>
      </x:c>
      <x:c r="X201" s="31" t="str"/>
      <x:c r="Y201" s="31" t="n">
        <x:v>0</x:v>
      </x:c>
      <x:c r="Z201" s="31" t="n">
        <x:v>0</x:v>
      </x:c>
      <x:c r="AA201" s="31" t="n">
        <x:v>0</x:v>
      </x:c>
      <x:c r="AB201" s="31" t="str"/>
      <x:c r="AC201" s="31" t="str"/>
    </x:row>
    <x:row r="202">
      <x:c r="A202" s="31" t="str">
        <x:v>3a3a98a15dd0a99e</x:v>
      </x:c>
      <x:c r="B202" s="31" t="str">
        <x:v>3a3a98a15dd0a99e24cbf5060e04dab06fdf5207f150824a95e721787e70d63f</x:v>
      </x:c>
      <x:c r="C202" s="31" t="n">
        <x:v>9</x:v>
      </x:c>
      <x:c r="D202" s="31" t="n">
        <x:v>32424</x:v>
      </x:c>
      <x:c r="E202" s="31" t="str">
        <x:v>Brooklyn</x:v>
      </x:c>
      <x:c r="F202" s="31" t="str">
        <x:v>Crown Heights (South)</x:v>
      </x:c>
      <x:c r="G202" s="31" t="n">
        <x:v>62494.83009622893</x:v>
      </x:c>
      <x:c r="H202" s="31" t="n">
        <x:v>12056</x:v>
      </x:c>
      <x:c r="I202" s="31" t="n">
        <x:v>4.553112033195021</x:v>
      </x:c>
      <x:c r="J202" s="40" t="n">
        <x:v>0.034588586595885866</x:v>
      </x:c>
      <x:c r="K202" s="40" t="n">
        <x:v>0.7041307232913072</x:v>
      </x:c>
      <x:c r="L202" s="40" t="n">
        <x:v>0.012358991373589914</x:v>
      </x:c>
      <x:c r="M202" s="31" t="n">
        <x:v>51.95134318133243</x:v>
      </x:c>
      <x:c r="N202" s="31" t="n">
        <x:v>162</x:v>
      </x:c>
      <x:c r="O202" s="31" t="n">
        <x:v>4.996299037749814</x:v>
      </x:c>
      <x:c r="P202" s="31" t="n">
        <x:v>4.998092236230923</x:v>
      </x:c>
      <x:c r="Q202" s="40" t="n">
        <x:v>1</x:v>
      </x:c>
      <x:c r="R202" s="31" t="n">
        <x:v>0.19158188318649963</x:v>
      </x:c>
      <x:c r="S202" s="40"/>
      <x:c r="T202" s="40"/>
      <x:c r="U202" s="40" t="n">
        <x:v>1</x:v>
      </x:c>
      <x:c r="V202" s="40" t="n">
        <x:v>0.9785998672859987</x:v>
      </x:c>
      <x:c r="W202" s="31" t="n">
        <x:v>1</x:v>
      </x:c>
      <x:c r="X202" s="31" t="str"/>
      <x:c r="Y202" s="31" t="n">
        <x:v>0</x:v>
      </x:c>
      <x:c r="Z202" s="31" t="n">
        <x:v>1</x:v>
      </x:c>
      <x:c r="AA202" s="31" t="n">
        <x:v>0</x:v>
      </x:c>
      <x:c r="AB202" s="31" t="str"/>
      <x:c r="AC202" s="31" t="str"/>
    </x:row>
    <x:row r="203">
      <x:c r="A203" s="31" t="str">
        <x:v>3a9a83b553759840</x:v>
      </x:c>
      <x:c r="B203" s="31" t="str">
        <x:v>3a9a83b5537598409bc7f18977a17fd16a930d7ff41b823b52f1c916ee29628e</x:v>
      </x:c>
      <x:c r="C203" s="31" t="n">
        <x:v>10</x:v>
      </x:c>
      <x:c r="D203" s="31" t="n">
        <x:v>35020</x:v>
      </x:c>
      <x:c r="E203" s="31" t="str">
        <x:v>Brooklyn</x:v>
      </x:c>
      <x:c r="F203" s="31" t="str">
        <x:v>Bensonhurst</x:v>
      </x:c>
      <x:c r="G203" s="31" t="n">
        <x:v>55335.785765855784</x:v>
      </x:c>
      <x:c r="H203" s="31" t="n">
        <x:v>11436</x:v>
      </x:c>
      <x:c r="I203" s="31" t="n">
        <x:v>2.454719425720038</x:v>
      </x:c>
      <x:c r="J203" s="40" t="n">
        <x:v>0</x:v>
      </x:c>
      <x:c r="K203" s="40" t="n">
        <x:v>0.30220356768100737</x:v>
      </x:c>
      <x:c r="L203" s="40" t="n">
        <x:v>0.02334732423924449</x:v>
      </x:c>
      <x:c r="M203" s="31" t="n">
        <x:v>30.642525478469217</x:v>
      </x:c>
      <x:c r="N203" s="31" t="n">
        <x:v>10</x:v>
      </x:c>
      <x:c r="O203" s="31" t="n">
        <x:v>0.2855511136493432</x:v>
      </x:c>
      <x:c r="P203" s="31" t="n">
        <x:v>3.7111752360965373</x:v>
      </x:c>
      <x:c r="Q203" s="40" t="n">
        <x:v>0.7111752360965372</x:v>
      </x:c>
      <x:c r="R203" s="31" t="n">
        <x:v>0.17167498468437367</x:v>
      </x:c>
      <x:c r="S203" s="40"/>
      <x:c r="T203" s="40"/>
      <x:c r="U203" s="40" t="n">
        <x:v>1</x:v>
      </x:c>
      <x:c r="V203" s="40" t="n">
        <x:v>0.9985134662469395</x:v>
      </x:c>
      <x:c r="W203" s="31" t="n">
        <x:v>0</x:v>
      </x:c>
      <x:c r="X203" s="31" t="str"/>
      <x:c r="Y203" s="31" t="n">
        <x:v>0</x:v>
      </x:c>
      <x:c r="Z203" s="31" t="n">
        <x:v>0</x:v>
      </x:c>
      <x:c r="AA203" s="31" t="n">
        <x:v>0</x:v>
      </x:c>
      <x:c r="AB203" s="31" t="str"/>
      <x:c r="AC203" s="31" t="str"/>
    </x:row>
    <x:row r="204">
      <x:c r="A204" s="31" t="str">
        <x:v>3ac7837de696b55b</x:v>
      </x:c>
      <x:c r="B204" s="31" t="str">
        <x:v>3ac7837de696b55b95266ac1b20186ad639eb9c367e101bf932395bf8780126b</x:v>
      </x:c>
      <x:c r="C204" s="31" t="n">
        <x:v>10</x:v>
      </x:c>
      <x:c r="D204" s="31" t="n">
        <x:v>35774</x:v>
      </x:c>
      <x:c r="E204" s="31" t="str">
        <x:v>Brooklyn</x:v>
      </x:c>
      <x:c r="F204" s="31" t="str">
        <x:v>Sheepshead Bay-Manhattan Beach-Gerritsen Beach</x:v>
      </x:c>
      <x:c r="G204" s="31" t="n">
        <x:v>39592.34600047854</x:v>
      </x:c>
      <x:c r="H204" s="31" t="n">
        <x:v>14541</x:v>
      </x:c>
      <x:c r="I204" s="31" t="n">
        <x:v>4.4885772582653205</x:v>
      </x:c>
      <x:c r="J204" s="40" t="n">
        <x:v>0.025170208376315246</x:v>
      </x:c>
      <x:c r="K204" s="40" t="n">
        <x:v>0.5862045251358229</x:v>
      </x:c>
      <x:c r="L204" s="40" t="n">
        <x:v>0.05501684890997868</x:v>
      </x:c>
      <x:c r="M204" s="31" t="n">
        <x:v>50.60117925309418</x:v>
      </x:c>
      <x:c r="N204" s="31" t="n">
        <x:v>204</x:v>
      </x:c>
      <x:c r="O204" s="31" t="n">
        <x:v>5.70246547772125</x:v>
      </x:c>
      <x:c r="P204" s="31" t="n">
        <x:v>3</x:v>
      </x:c>
      <x:c r="Q204" s="40" t="n">
        <x:v>0</x:v>
      </x:c>
      <x:c r="R204" s="31" t="n">
        <x:v>0.20425149449559932</x:v>
      </x:c>
      <x:c r="S204" s="40"/>
      <x:c r="T204" s="40"/>
      <x:c r="U204" s="40" t="n">
        <x:v>1</x:v>
      </x:c>
      <x:c r="V204" s="40" t="n">
        <x:v>0.9930541228251152</x:v>
      </x:c>
      <x:c r="W204" s="31" t="n">
        <x:v>0</x:v>
      </x:c>
      <x:c r="X204" s="31" t="str"/>
      <x:c r="Y204" s="31" t="n">
        <x:v>0</x:v>
      </x:c>
      <x:c r="Z204" s="31" t="n">
        <x:v>0</x:v>
      </x:c>
      <x:c r="AA204" s="31" t="n">
        <x:v>0</x:v>
      </x:c>
      <x:c r="AB204" s="31" t="str"/>
      <x:c r="AC204" s="31" t="str"/>
    </x:row>
    <x:row r="205">
      <x:c r="A205" s="31" t="str">
        <x:v>3b5620f1a6378aac</x:v>
      </x:c>
      <x:c r="B205" s="31" t="str">
        <x:v>3b5620f1a6378aac8850272cc8ed8377556a6dc0ac2957720e9fe8ee62a149a4</x:v>
      </x:c>
      <x:c r="C205" s="31" t="n">
        <x:v>11</x:v>
      </x:c>
      <x:c r="D205" s="31" t="n">
        <x:v>32598</x:v>
      </x:c>
      <x:c r="E205" s="31" t="str">
        <x:v>Brooklyn</x:v>
      </x:c>
      <x:c r="F205" s="31" t="str">
        <x:v>Cypress Hills</x:v>
      </x:c>
      <x:c r="G205" s="31" t="n">
        <x:v>42867.417596308675</x:v>
      </x:c>
      <x:c r="H205" s="31" t="n">
        <x:v>11417</x:v>
      </x:c>
      <x:c r="I205" s="31" t="n">
        <x:v>4.021443584070796</x:v>
      </x:c>
      <x:c r="J205" s="40" t="n">
        <x:v>0.10247875974424105</x:v>
      </x:c>
      <x:c r="K205" s="40" t="n">
        <x:v>0.3829377244460016</x:v>
      </x:c>
      <x:c r="L205" s="40" t="n">
        <x:v>0.02294823508802663</x:v>
      </x:c>
      <x:c r="M205" s="31" t="n">
        <x:v>44.506674586457976</x:v>
      </x:c>
      <x:c r="N205" s="31" t="n">
        <x:v>45</x:v>
      </x:c>
      <x:c r="O205" s="31" t="n">
        <x:v>1.3804527885146327</x:v>
      </x:c>
      <x:c r="P205" s="31" t="n">
        <x:v>4.681439957957432</x:v>
      </x:c>
      <x:c r="Q205" s="40" t="n">
        <x:v>1</x:v>
      </x:c>
      <x:c r="R205" s="31" t="n">
        <x:v>0.1321219616714516</x:v>
      </x:c>
      <x:c r="S205" s="40"/>
      <x:c r="T205" s="40"/>
      <x:c r="U205" s="40" t="n">
        <x:v>1</x:v>
      </x:c>
      <x:c r="V205" s="40" t="n">
        <x:v>0.9191556450906543</x:v>
      </x:c>
      <x:c r="W205" s="31" t="n">
        <x:v>0</x:v>
      </x:c>
      <x:c r="X205" s="31" t="str"/>
      <x:c r="Y205" s="31" t="n">
        <x:v>0</x:v>
      </x:c>
      <x:c r="Z205" s="31" t="n">
        <x:v>0</x:v>
      </x:c>
      <x:c r="AA205" s="31" t="n">
        <x:v>0</x:v>
      </x:c>
      <x:c r="AB205" s="31" t="str"/>
      <x:c r="AC205" s="31" t="str"/>
    </x:row>
    <x:row r="206">
      <x:c r="A206" s="31" t="str">
        <x:v>3b67ddd1cd5bdf92</x:v>
      </x:c>
      <x:c r="B206" s="31" t="str">
        <x:v>3b67ddd1cd5bdf92a45f0b514d65f335e24812f5e75a7173f99cfa58bdebb2e5</x:v>
      </x:c>
      <x:c r="C206" s="31" t="n">
        <x:v>7</x:v>
      </x:c>
      <x:c r="D206" s="31" t="n">
        <x:v>35039</x:v>
      </x:c>
      <x:c r="E206" s="31" t="str">
        <x:v>Bronx</x:v>
      </x:c>
      <x:c r="F206" s="31" t="str">
        <x:v>Pelham Bay-Country Club-City Island</x:v>
      </x:c>
      <x:c r="G206" s="31" t="n">
        <x:v>30270.342116371987</x:v>
      </x:c>
      <x:c r="H206" s="31" t="n">
        <x:v>14044</x:v>
      </x:c>
      <x:c r="I206" s="31" t="n">
        <x:v>3.912380544246839</x:v>
      </x:c>
      <x:c r="J206" s="40" t="n">
        <x:v>0.08145827399601253</x:v>
      </x:c>
      <x:c r="K206" s="40" t="n">
        <x:v>0.35972657362574767</x:v>
      </x:c>
      <x:c r="L206" s="40" t="n">
        <x:v>0.011819994303617203</x:v>
      </x:c>
      <x:c r="M206" s="31" t="n">
        <x:v>44.199453748027786</x:v>
      </x:c>
      <x:c r="N206" s="31" t="n">
        <x:v>69</x:v>
      </x:c>
      <x:c r="O206" s="31" t="n">
        <x:v>1.9692342818002795</x:v>
      </x:c>
      <x:c r="P206" s="31" t="n">
        <x:v>3.3189974366277415</x:v>
      </x:c>
      <x:c r="Q206" s="40" t="n">
        <x:v>0.7729991455425804</x:v>
      </x:c>
      <x:c r="R206" s="31" t="n">
        <x:v>0.3019624046641244</x:v>
      </x:c>
      <x:c r="S206" s="40"/>
      <x:c r="T206" s="40"/>
      <x:c r="U206" s="40" t="n">
        <x:v>1</x:v>
      </x:c>
      <x:c r="V206" s="40" t="n">
        <x:v>0.994303617203076</x:v>
      </x:c>
      <x:c r="W206" s="31" t="n">
        <x:v>0</x:v>
      </x:c>
      <x:c r="X206" s="31" t="str"/>
      <x:c r="Y206" s="31" t="n">
        <x:v>0</x:v>
      </x:c>
      <x:c r="Z206" s="31" t="n">
        <x:v>0</x:v>
      </x:c>
      <x:c r="AA206" s="31" t="n">
        <x:v>0</x:v>
      </x:c>
      <x:c r="AB206" s="31" t="str"/>
      <x:c r="AC206" s="31" t="str"/>
    </x:row>
    <x:row r="207">
      <x:c r="A207" s="31" t="str">
        <x:v>3ba4df8522ea0ccb</x:v>
      </x:c>
      <x:c r="B207" s="31" t="str">
        <x:v>3ba4df8522ea0ccb279297296805d30ed40bd3ce7053ccc462c6591e77a15fb4</x:v>
      </x:c>
      <x:c r="C207" s="31" t="n">
        <x:v>7</x:v>
      </x:c>
      <x:c r="D207" s="31" t="n">
        <x:v>33157</x:v>
      </x:c>
      <x:c r="E207" s="31" t="str">
        <x:v>Manhattan</x:v>
      </x:c>
      <x:c r="F207" s="31" t="str">
        <x:v>Hell's Kitchen</x:v>
      </x:c>
      <x:c r="G207" s="31" t="n">
        <x:v>72573.74950955619</x:v>
      </x:c>
      <x:c r="H207" s="31" t="n">
        <x:v>26265</x:v>
      </x:c>
      <x:c r="I207" s="31" t="n">
        <x:v>24.20531585584897</x:v>
      </x:c>
      <x:c r="J207" s="40" t="n">
        <x:v>0.7231296402055968</x:v>
      </x:c>
      <x:c r="K207" s="40" t="n">
        <x:v>0.2726442033123929</x:v>
      </x:c>
      <x:c r="L207" s="40" t="n">
        <x:v>0.019950504473634115</x:v>
      </x:c>
      <x:c r="M207" s="31" t="n">
        <x:v>260.4248493380635</x:v>
      </x:c>
      <x:c r="N207" s="31" t="n">
        <x:v>743</x:v>
      </x:c>
      <x:c r="O207" s="31" t="n">
        <x:v>22.408541182857316</x:v>
      </x:c>
      <x:c r="P207" s="31" t="n">
        <x:v>1.9977536645726253</x:v>
      </x:c>
      <x:c r="Q207" s="40" t="n">
        <x:v>0</x:v>
      </x:c>
      <x:c r="R207" s="31" t="n">
        <x:v>0.14351760612702472</x:v>
      </x:c>
      <x:c r="S207" s="40"/>
      <x:c r="T207" s="40"/>
      <x:c r="U207" s="40" t="n">
        <x:v>1</x:v>
      </x:c>
      <x:c r="V207" s="40" t="n">
        <x:v>0.979135731962688</x:v>
      </x:c>
      <x:c r="W207" s="31" t="n">
        <x:v>0</x:v>
      </x:c>
      <x:c r="X207" s="31" t="str"/>
      <x:c r="Y207" s="31" t="n">
        <x:v>0</x:v>
      </x:c>
      <x:c r="Z207" s="31" t="n">
        <x:v>0</x:v>
      </x:c>
      <x:c r="AA207" s="31" t="n">
        <x:v>0</x:v>
      </x:c>
      <x:c r="AB207" s="31" t="str"/>
      <x:c r="AC207" s="31" t="str"/>
    </x:row>
    <x:row r="208">
      <x:c r="A208" s="31" t="str">
        <x:v>3ba846f61e7e90b8</x:v>
      </x:c>
      <x:c r="B208" s="31" t="str">
        <x:v>3ba846f61e7e90b87d2477a482000a367a9d231e5864e8c638b958d977051b80</x:v>
      </x:c>
      <x:c r="C208" s="31" t="n">
        <x:v>9</x:v>
      </x:c>
      <x:c r="D208" s="31" t="n">
        <x:v>37606</x:v>
      </x:c>
      <x:c r="E208" s="31" t="str">
        <x:v>Queens</x:v>
      </x:c>
      <x:c r="F208" s="31" t="str">
        <x:v>Rockaway Beach-Arverne-Edgemere</x:v>
      </x:c>
      <x:c r="G208" s="31" t="n">
        <x:v>17618.96287527423</x:v>
      </x:c>
      <x:c r="H208" s="31" t="n">
        <x:v>16844</x:v>
      </x:c>
      <x:c r="I208" s="31" t="n">
        <x:v>5.579809621660824</x:v>
      </x:c>
      <x:c r="J208" s="40" t="n">
        <x:v>0.25825219662787935</x:v>
      </x:c>
      <x:c r="K208" s="40" t="n">
        <x:v>0.28140584184279266</x:v>
      </x:c>
      <x:c r="L208" s="40" t="n">
        <x:v>0.2703039658038471</x:v>
      </x:c>
      <x:c r="M208" s="31" t="n">
        <x:v>59.2239923324021</x:v>
      </x:c>
      <x:c r="N208" s="31" t="n">
        <x:v>206</x:v>
      </x:c>
      <x:c r="O208" s="31" t="n">
        <x:v>5.4778492793703135</x:v>
      </x:c>
      <x:c r="P208" s="31" t="n">
        <x:v>4.209926383281881</x:v>
      </x:c>
      <x:c r="Q208" s="40" t="n">
        <x:v>1</x:v>
      </x:c>
      <x:c r="R208" s="31" t="n">
        <x:v>0.22097577974533145</x:v>
      </x:c>
      <x:c r="S208" s="40"/>
      <x:c r="T208" s="40"/>
      <x:c r="U208" s="40" t="n">
        <x:v>1</x:v>
      </x:c>
      <x:c r="V208" s="40" t="n">
        <x:v>0.9883638090714795</x:v>
      </x:c>
      <x:c r="W208" s="31" t="n">
        <x:v>1</x:v>
      </x:c>
      <x:c r="X208" s="31" t="str">
        <x:v>reference</x:v>
      </x:c>
      <x:c r="Y208" s="31" t="n">
        <x:v>0</x:v>
      </x:c>
      <x:c r="Z208" s="31" t="n">
        <x:v>0</x:v>
      </x:c>
      <x:c r="AA208" s="31" t="n">
        <x:v>1</x:v>
      </x:c>
      <x:c r="AB208" s="31" t="str">
        <x:v>V3</x:v>
      </x:c>
      <x:c r="AC208" s="31" t="str">
        <x:v>NYC-V3-R03</x:v>
      </x:c>
    </x:row>
    <x:row r="209">
      <x:c r="A209" s="31" t="str">
        <x:v>3bd31640c9517c61</x:v>
      </x:c>
      <x:c r="B209" s="31" t="str">
        <x:v>3bd31640c9517c6152ffe67fbcf4b6c8655bc65940469bffd5321ce2bff8eb70</x:v>
      </x:c>
      <x:c r="C209" s="31" t="n">
        <x:v>7</x:v>
      </x:c>
      <x:c r="D209" s="31" t="n">
        <x:v>34486</x:v>
      </x:c>
      <x:c r="E209" s="31" t="str">
        <x:v>Queens</x:v>
      </x:c>
      <x:c r="F209" s="31" t="str">
        <x:v>Forest Hills</x:v>
      </x:c>
      <x:c r="G209" s="31" t="n">
        <x:v>65111.40847846997</x:v>
      </x:c>
      <x:c r="H209" s="31" t="n">
        <x:v>17858</x:v>
      </x:c>
      <x:c r="I209" s="31" t="n">
        <x:v>8.912645872998095</x:v>
      </x:c>
      <x:c r="J209" s="40" t="n">
        <x:v>0.23597267331168104</x:v>
      </x:c>
      <x:c r="K209" s="40" t="n">
        <x:v>0.6744876245940195</x:v>
      </x:c>
      <x:c r="L209" s="40" t="n">
        <x:v>0.22124538022174936</x:v>
      </x:c>
      <x:c r="M209" s="31" t="n">
        <x:v>90.95678606997815</x:v>
      </x:c>
      <x:c r="N209" s="31" t="n">
        <x:v>295</x:v>
      </x:c>
      <x:c r="O209" s="31" t="n">
        <x:v>8.554195905584875</x:v>
      </x:c>
      <x:c r="P209" s="31" t="n">
        <x:v>2.3286482248852054</x:v>
      </x:c>
      <x:c r="Q209" s="40" t="n">
        <x:v>0</x:v>
      </x:c>
      <x:c r="R209" s="31" t="n">
        <x:v>0.1802955563767331</x:v>
      </x:c>
      <x:c r="S209" s="40"/>
      <x:c r="T209" s="40"/>
      <x:c r="U209" s="40" t="n">
        <x:v>1</x:v>
      </x:c>
      <x:c r="V209" s="40" t="n">
        <x:v>0.999944002687871</x:v>
      </x:c>
      <x:c r="W209" s="31" t="n">
        <x:v>1</x:v>
      </x:c>
      <x:c r="X209" s="31" t="str">
        <x:v>reference</x:v>
      </x:c>
      <x:c r="Y209" s="31" t="n">
        <x:v>0</x:v>
      </x:c>
      <x:c r="Z209" s="31" t="n">
        <x:v>0</x:v>
      </x:c>
      <x:c r="AA209" s="31" t="n">
        <x:v>1</x:v>
      </x:c>
      <x:c r="AB209" s="31" t="str">
        <x:v>V3</x:v>
      </x:c>
      <x:c r="AC209" s="31" t="str">
        <x:v>NYC-V3-R04</x:v>
      </x:c>
    </x:row>
    <x:row r="210">
      <x:c r="A210" s="31" t="str">
        <x:v>3bdb1dec1688fd93</x:v>
      </x:c>
      <x:c r="B210" s="31" t="str">
        <x:v>3bdb1dec1688fd934f05010f9481bdcf30b8dabb3d095da5ea28265292bd9a09</x:v>
      </x:c>
      <x:c r="C210" s="31" t="n">
        <x:v>8</x:v>
      </x:c>
      <x:c r="D210" s="31" t="n">
        <x:v>34255</x:v>
      </x:c>
      <x:c r="E210" s="31" t="str">
        <x:v>Bronx</x:v>
      </x:c>
      <x:c r="F210" s="31" t="str">
        <x:v>Claremont Village-Claremont (East)</x:v>
      </x:c>
      <x:c r="G210" s="31" t="n">
        <x:v>72388.87076581093</x:v>
      </x:c>
      <x:c r="H210" s="31" t="n">
        <x:v>12483</x:v>
      </x:c>
      <x:c r="I210" s="31" t="n">
        <x:v>10.197895791583166</x:v>
      </x:c>
      <x:c r="J210" s="40" t="n">
        <x:v>0.42778178322518623</x:v>
      </x:c>
      <x:c r="K210" s="40" t="n">
        <x:v>0.5328046142754146</x:v>
      </x:c>
      <x:c r="L210" s="40" t="n">
        <x:v>0.319634703196347</x:v>
      </x:c>
      <x:c r="M210" s="31" t="n">
        <x:v>106.29305848627838</x:v>
      </x:c>
      <x:c r="N210" s="31" t="n">
        <x:v>146</x:v>
      </x:c>
      <x:c r="O210" s="31" t="n">
        <x:v>4.262151510728361</x:v>
      </x:c>
      <x:c r="P210" s="31" t="n">
        <x:v>5</x:v>
      </x:c>
      <x:c r="Q210" s="40" t="n">
        <x:v>1</x:v>
      </x:c>
      <x:c r="R210" s="31" t="n">
        <x:v>0.07492200372588771</x:v>
      </x:c>
      <x:c r="S210" s="40"/>
      <x:c r="T210" s="40"/>
      <x:c r="U210" s="40" t="n">
        <x:v>1</x:v>
      </x:c>
      <x:c r="V210" s="40" t="n">
        <x:v>0.9875831130337258</x:v>
      </x:c>
      <x:c r="W210" s="31" t="n">
        <x:v>1</x:v>
      </x:c>
      <x:c r="X210" s="31" t="str"/>
      <x:c r="Y210" s="31" t="n">
        <x:v>0</x:v>
      </x:c>
      <x:c r="Z210" s="31" t="n">
        <x:v>1</x:v>
      </x:c>
      <x:c r="AA210" s="31" t="n">
        <x:v>0</x:v>
      </x:c>
      <x:c r="AB210" s="31" t="str"/>
      <x:c r="AC210" s="31" t="str"/>
    </x:row>
    <x:row r="211">
      <x:c r="A211" s="31" t="str">
        <x:v>3c5c749a9d0e543e</x:v>
      </x:c>
      <x:c r="B211" s="31" t="str">
        <x:v>3c5c749a9d0e543efd53b8291b0fc0e198da7b4a4c1916702274d38a80ce6a27</x:v>
      </x:c>
      <x:c r="C211" s="31" t="n">
        <x:v>9</x:v>
      </x:c>
      <x:c r="D211" s="31" t="n">
        <x:v>36518</x:v>
      </x:c>
      <x:c r="E211" s="31" t="str">
        <x:v>Brooklyn</x:v>
      </x:c>
      <x:c r="F211" s="31" t="str">
        <x:v>Bensonhurst</x:v>
      </x:c>
      <x:c r="G211" s="31" t="n">
        <x:v>65019.801228952456</x:v>
      </x:c>
      <x:c r="H211" s="31" t="n">
        <x:v>12528</x:v>
      </x:c>
      <x:c r="I211" s="31" t="n">
        <x:v>3.636035129740519</x:v>
      </x:c>
      <x:c r="J211" s="40" t="n">
        <x:v>0.004150702426564496</x:v>
      </x:c>
      <x:c r="K211" s="40" t="n">
        <x:v>0.5902777777777778</x:v>
      </x:c>
      <x:c r="L211" s="40" t="n">
        <x:v>0.013649425287356323</x:v>
      </x:c>
      <x:c r="M211" s="31" t="n">
        <x:v>42.5091269826537</x:v>
      </x:c>
      <x:c r="N211" s="31" t="n">
        <x:v>91</x:v>
      </x:c>
      <x:c r="O211" s="31" t="n">
        <x:v>2.4919217919929895</x:v>
      </x:c>
      <x:c r="P211" s="31" t="n">
        <x:v>4</x:v>
      </x:c>
      <x:c r="Q211" s="40" t="n">
        <x:v>1</x:v>
      </x:c>
      <x:c r="R211" s="31" t="n">
        <x:v>0.172382488449361</x:v>
      </x:c>
      <x:c r="S211" s="40"/>
      <x:c r="T211" s="40"/>
      <x:c r="U211" s="40" t="n">
        <x:v>1</x:v>
      </x:c>
      <x:c r="V211" s="40" t="n">
        <x:v>0.9932151979565773</x:v>
      </x:c>
      <x:c r="W211" s="31" t="n">
        <x:v>1</x:v>
      </x:c>
      <x:c r="X211" s="31" t="str"/>
      <x:c r="Y211" s="31" t="n">
        <x:v>0</x:v>
      </x:c>
      <x:c r="Z211" s="31" t="n">
        <x:v>1</x:v>
      </x:c>
      <x:c r="AA211" s="31" t="n">
        <x:v>0</x:v>
      </x:c>
      <x:c r="AB211" s="31" t="str"/>
      <x:c r="AC211" s="31" t="str"/>
    </x:row>
    <x:row r="212">
      <x:c r="A212" s="31" t="str">
        <x:v>3cee0f93d0e58896</x:v>
      </x:c>
      <x:c r="B212" s="31" t="str">
        <x:v>3cee0f93d0e588966d865e95b56ef96803bcce569c8f3dbfc75f9625d4f32d2d</x:v>
      </x:c>
      <x:c r="C212" s="31" t="n">
        <x:v>10</x:v>
      </x:c>
      <x:c r="D212" s="31" t="n">
        <x:v>32641</x:v>
      </x:c>
      <x:c r="E212" s="31" t="str">
        <x:v>Queens</x:v>
      </x:c>
      <x:c r="F212" s="31" t="str">
        <x:v>Sunnyside</x:v>
      </x:c>
      <x:c r="G212" s="31" t="n">
        <x:v>59186.18086330572</x:v>
      </x:c>
      <x:c r="H212" s="31" t="n">
        <x:v>15280</x:v>
      </x:c>
      <x:c r="I212" s="31" t="n">
        <x:v>4.953549301344582</x:v>
      </x:c>
      <x:c r="J212" s="40" t="n">
        <x:v>0.02454188481675393</x:v>
      </x:c>
      <x:c r="K212" s="40" t="n">
        <x:v>0.8851439790575916</x:v>
      </x:c>
      <x:c r="L212" s="40" t="n">
        <x:v>0.11269633507853404</x:v>
      </x:c>
      <x:c r="M212" s="31" t="n">
        <x:v>54.65140792439932</x:v>
      </x:c>
      <x:c r="N212" s="31" t="n">
        <x:v>197</x:v>
      </x:c>
      <x:c r="O212" s="31" t="n">
        <x:v>6.035354308997886</x:v>
      </x:c>
      <x:c r="P212" s="31" t="n">
        <x:v>3.000261780104712</x:v>
      </x:c>
      <x:c r="Q212" s="40" t="n">
        <x:v>0.0002617801047120419</x:v>
      </x:c>
      <x:c r="R212" s="31" t="n">
        <x:v>0.15609394612309943</x:v>
      </x:c>
      <x:c r="S212" s="40"/>
      <x:c r="T212" s="40"/>
      <x:c r="U212" s="40" t="n">
        <x:v>1</x:v>
      </x:c>
      <x:c r="V212" s="40" t="n">
        <x:v>0.9941753926701571</x:v>
      </x:c>
      <x:c r="W212" s="31" t="n">
        <x:v>0</x:v>
      </x:c>
      <x:c r="X212" s="31" t="str"/>
      <x:c r="Y212" s="31" t="n">
        <x:v>0</x:v>
      </x:c>
      <x:c r="Z212" s="31" t="n">
        <x:v>0</x:v>
      </x:c>
      <x:c r="AA212" s="31" t="n">
        <x:v>0</x:v>
      </x:c>
      <x:c r="AB212" s="31" t="str"/>
      <x:c r="AC212" s="31" t="str"/>
    </x:row>
    <x:row r="213">
      <x:c r="A213" s="31" t="str">
        <x:v>3d252f9f8f42f57c</x:v>
      </x:c>
      <x:c r="B213" s="31" t="str">
        <x:v>3d252f9f8f42f57c5b61e635033b79a139ea417df9cec4122a41fd6c98e7f389</x:v>
      </x:c>
      <x:c r="C213" s="31" t="n">
        <x:v>7</x:v>
      </x:c>
      <x:c r="D213" s="31" t="n">
        <x:v>36560</x:v>
      </x:c>
      <x:c r="E213" s="31" t="str">
        <x:v>Bronx</x:v>
      </x:c>
      <x:c r="F213" s="31" t="str">
        <x:v>Parkchester</x:v>
      </x:c>
      <x:c r="G213" s="31" t="n">
        <x:v>86249.33456032084</x:v>
      </x:c>
      <x:c r="H213" s="31" t="n">
        <x:v>14661</x:v>
      </x:c>
      <x:c r="I213" s="31" t="n">
        <x:v>8.22307556497175</x:v>
      </x:c>
      <x:c r="J213" s="40" t="n">
        <x:v>0.27065002387285997</x:v>
      </x:c>
      <x:c r="K213" s="40" t="n">
        <x:v>0.19978173385171544</x:v>
      </x:c>
      <x:c r="L213" s="40" t="n">
        <x:v>0.6805129254484688</x:v>
      </x:c>
      <x:c r="M213" s="31" t="n">
        <x:v>112.53319398252135</x:v>
      </x:c>
      <x:c r="N213" s="31" t="n">
        <x:v>208</x:v>
      </x:c>
      <x:c r="O213" s="31" t="n">
        <x:v>5.689277899343544</x:v>
      </x:c>
      <x:c r="P213" s="31" t="n">
        <x:v>4.908464634063161</x:v>
      </x:c>
      <x:c r="Q213" s="40" t="n">
        <x:v>1</x:v>
      </x:c>
      <x:c r="R213" s="31" t="n">
        <x:v>0.17930025655148404</x:v>
      </x:c>
      <x:c r="S213" s="40"/>
      <x:c r="T213" s="40"/>
      <x:c r="U213" s="40" t="n">
        <x:v>1</x:v>
      </x:c>
      <x:c r="V213" s="40" t="n">
        <x:v>0.9979537548598322</x:v>
      </x:c>
      <x:c r="W213" s="31" t="n">
        <x:v>1</x:v>
      </x:c>
      <x:c r="X213" s="31" t="str">
        <x:v>reference</x:v>
      </x:c>
      <x:c r="Y213" s="31" t="n">
        <x:v>0</x:v>
      </x:c>
      <x:c r="Z213" s="31" t="n">
        <x:v>0</x:v>
      </x:c>
      <x:c r="AA213" s="31" t="n">
        <x:v>1</x:v>
      </x:c>
      <x:c r="AB213" s="31" t="str">
        <x:v>V3</x:v>
      </x:c>
      <x:c r="AC213" s="31" t="str">
        <x:v>NYC-V3-R02</x:v>
      </x:c>
    </x:row>
    <x:row r="214">
      <x:c r="A214" s="31" t="str">
        <x:v>3d5231e5316b5750</x:v>
      </x:c>
      <x:c r="B214" s="31" t="str">
        <x:v>3d5231e5316b5750af6e5450e0292918106c767b003e29e0849fe45231825bec</x:v>
      </x:c>
      <x:c r="C214" s="31" t="n">
        <x:v>6</x:v>
      </x:c>
      <x:c r="D214" s="31" t="n">
        <x:v>32221</x:v>
      </x:c>
      <x:c r="E214" s="31" t="str">
        <x:v>Manhattan</x:v>
      </x:c>
      <x:c r="F214" s="31" t="str">
        <x:v>East Harlem (South)</x:v>
      </x:c>
      <x:c r="G214" s="31" t="n">
        <x:v>117425.12927469573</x:v>
      </x:c>
      <x:c r="H214" s="31" t="n">
        <x:v>16169</x:v>
      </x:c>
      <x:c r="I214" s="31" t="n">
        <x:v>13.985289568122758</x:v>
      </x:c>
      <x:c r="J214" s="40" t="n">
        <x:v>0.5531572762694044</x:v>
      </x:c>
      <x:c r="K214" s="40" t="n">
        <x:v>0.44603871606159934</x:v>
      </x:c>
      <x:c r="L214" s="40" t="n">
        <x:v>0.18838518152019296</x:v>
      </x:c>
      <x:c r="M214" s="31" t="n">
        <x:v>153.5817545419862</x:v>
      </x:c>
      <x:c r="N214" s="31" t="n">
        <x:v>295</x:v>
      </x:c>
      <x:c r="O214" s="31" t="n">
        <x:v>9.155519692126253</x:v>
      </x:c>
      <x:c r="P214" s="31" t="n">
        <x:v>2.6642958748221908</x:v>
      </x:c>
      <x:c r="Q214" s="40" t="n">
        <x:v>0.5547652916073968</x:v>
      </x:c>
      <x:c r="R214" s="31" t="n">
        <x:v>0.09669973052283398</x:v>
      </x:c>
      <x:c r="S214" s="40"/>
      <x:c r="T214" s="40"/>
      <x:c r="U214" s="40" t="n">
        <x:v>1</x:v>
      </x:c>
      <x:c r="V214" s="40" t="n">
        <x:v>0.9849093945203785</x:v>
      </x:c>
      <x:c r="W214" s="31" t="n">
        <x:v>1</x:v>
      </x:c>
      <x:c r="X214" s="31" t="str"/>
      <x:c r="Y214" s="31" t="n">
        <x:v>1</x:v>
      </x:c>
      <x:c r="Z214" s="31" t="n">
        <x:v>0</x:v>
      </x:c>
      <x:c r="AA214" s="31" t="n">
        <x:v>0</x:v>
      </x:c>
      <x:c r="AB214" s="31" t="str"/>
      <x:c r="AC214" s="31" t="str"/>
    </x:row>
    <x:row r="215">
      <x:c r="A215" s="31" t="str">
        <x:v>3e702ef7b5a908b3</x:v>
      </x:c>
      <x:c r="B215" s="31" t="str">
        <x:v>3e702ef7b5a908b365feb2a15f88e4831405329d0486a9ea57a0b7ce6a8727fe</x:v>
      </x:c>
      <x:c r="C215" s="31" t="n">
        <x:v>18</x:v>
      </x:c>
      <x:c r="D215" s="31" t="n">
        <x:v>33852</x:v>
      </x:c>
      <x:c r="E215" s="31" t="str">
        <x:v>Brooklyn</x:v>
      </x:c>
      <x:c r="F215" s="31" t="str">
        <x:v>Marine Park-Mill Basin-Bergen Beach</x:v>
      </x:c>
      <x:c r="G215" s="31" t="n">
        <x:v>28174.634891951104</x:v>
      </x:c>
      <x:c r="H215" s="31" t="n">
        <x:v>11265</x:v>
      </x:c>
      <x:c r="I215" s="31" t="n">
        <x:v>2.076929770043505</x:v>
      </x:c>
      <x:c r="J215" s="40" t="n">
        <x:v>0</x:v>
      </x:c>
      <x:c r="K215" s="40" t="n">
        <x:v>0.0796271637816245</x:v>
      </x:c>
      <x:c r="L215" s="40" t="n">
        <x:v>0.01970705725699068</x:v>
      </x:c>
      <x:c r="M215" s="31" t="n">
        <x:v>26.78338575604763</x:v>
      </x:c>
      <x:c r="N215" s="31" t="n">
        <x:v>19</x:v>
      </x:c>
      <x:c r="O215" s="31" t="n">
        <x:v>0.5612666902989484</x:v>
      </x:c>
      <x:c r="P215" s="31" t="n">
        <x:v>2.085308477585442</x:v>
      </x:c>
      <x:c r="Q215" s="40" t="n">
        <x:v>0.017665335108743897</x:v>
      </x:c>
      <x:c r="R215" s="31" t="n">
        <x:v>0.2434581154469007</x:v>
      </x:c>
      <x:c r="S215" s="40"/>
      <x:c r="T215" s="40"/>
      <x:c r="U215" s="40" t="n">
        <x:v>1</x:v>
      </x:c>
      <x:c r="V215" s="40" t="n">
        <x:v>0.999023524189969</x:v>
      </x:c>
      <x:c r="W215" s="31" t="n">
        <x:v>0</x:v>
      </x:c>
      <x:c r="X215" s="31" t="str"/>
      <x:c r="Y215" s="31" t="n">
        <x:v>0</x:v>
      </x:c>
      <x:c r="Z215" s="31" t="n">
        <x:v>0</x:v>
      </x:c>
      <x:c r="AA215" s="31" t="n">
        <x:v>0</x:v>
      </x:c>
      <x:c r="AB215" s="31" t="str"/>
      <x:c r="AC215" s="31" t="str"/>
    </x:row>
    <x:row r="216">
      <x:c r="A216" s="31" t="str">
        <x:v>3e7432d8dca3607e</x:v>
      </x:c>
      <x:c r="B216" s="31" t="str">
        <x:v>3e7432d8dca3607e58bd02b240d35276fb8aa9e5dad310873900c2d1aafe596e</x:v>
      </x:c>
      <x:c r="C216" s="31" t="n">
        <x:v>13</x:v>
      </x:c>
      <x:c r="D216" s="31" t="n">
        <x:v>33365</x:v>
      </x:c>
      <x:c r="E216" s="31" t="str">
        <x:v>Queens</x:v>
      </x:c>
      <x:c r="F216" s="31" t="str">
        <x:v>Bayside</x:v>
      </x:c>
      <x:c r="G216" s="31" t="n">
        <x:v>19566.876945657554</x:v>
      </x:c>
      <x:c r="H216" s="31" t="n">
        <x:v>12678</x:v>
      </x:c>
      <x:c r="I216" s="31" t="n">
        <x:v>2.5737907402980316</x:v>
      </x:c>
      <x:c r="J216" s="40" t="n">
        <x:v>0.024767313456381133</x:v>
      </x:c>
      <x:c r="K216" s="40" t="n">
        <x:v>0.2253510017352895</x:v>
      </x:c>
      <x:c r="L216" s="40" t="n">
        <x:v>0.11941946679286954</x:v>
      </x:c>
      <x:c r="M216" s="31" t="n">
        <x:v>30.96977960364173</x:v>
      </x:c>
      <x:c r="N216" s="31" t="n">
        <x:v>27</x:v>
      </x:c>
      <x:c r="O216" s="31" t="n">
        <x:v>0.8092312303311853</x:v>
      </x:c>
      <x:c r="P216" s="31" t="n">
        <x:v>2.1514434453383813</x:v>
      </x:c>
      <x:c r="Q216" s="40" t="n">
        <x:v>0</x:v>
      </x:c>
      <x:c r="R216" s="31" t="n">
        <x:v>0.25347354943329914</x:v>
      </x:c>
      <x:c r="S216" s="40"/>
      <x:c r="T216" s="40"/>
      <x:c r="U216" s="40" t="n">
        <x:v>1</x:v>
      </x:c>
      <x:c r="V216" s="40" t="n">
        <x:v>0.9889572487774096</x:v>
      </x:c>
      <x:c r="W216" s="31" t="n">
        <x:v>0</x:v>
      </x:c>
      <x:c r="X216" s="31" t="str"/>
      <x:c r="Y216" s="31" t="n">
        <x:v>0</x:v>
      </x:c>
      <x:c r="Z216" s="31" t="n">
        <x:v>0</x:v>
      </x:c>
      <x:c r="AA216" s="31" t="n">
        <x:v>0</x:v>
      </x:c>
      <x:c r="AB216" s="31" t="str"/>
      <x:c r="AC216" s="31" t="str"/>
    </x:row>
    <x:row r="217">
      <x:c r="A217" s="31" t="str">
        <x:v>3e7fa30eb5bf3939</x:v>
      </x:c>
      <x:c r="B217" s="31" t="str">
        <x:v>3e7fa30eb5bf3939855cebc3bdeb69964426f17685d9c9864237d87dc7111909</x:v>
      </x:c>
      <x:c r="C217" s="31" t="n">
        <x:v>7</x:v>
      </x:c>
      <x:c r="D217" s="31" t="n">
        <x:v>32548</x:v>
      </x:c>
      <x:c r="E217" s="31" t="str">
        <x:v>Staten Island</x:v>
      </x:c>
      <x:c r="F217" s="31" t="str">
        <x:v>Mariner's Harbor-Arlington-Graniteville</x:v>
      </x:c>
      <x:c r="G217" s="31" t="n">
        <x:v>17643.657096456103</x:v>
      </x:c>
      <x:c r="H217" s="31" t="n">
        <x:v>10586</x:v>
      </x:c>
      <x:c r="I217" s="31" t="n">
        <x:v>2.259335911068149</x:v>
      </x:c>
      <x:c r="J217" s="40" t="n">
        <x:v>0</x:v>
      </x:c>
      <x:c r="K217" s="40" t="n">
        <x:v>0.12289816739089364</x:v>
      </x:c>
      <x:c r="L217" s="40" t="n">
        <x:v>0.2252975628188173</x:v>
      </x:c>
      <x:c r="M217" s="31" t="n">
        <x:v>29.127894518656817</x:v>
      </x:c>
      <x:c r="N217" s="31" t="n">
        <x:v>17</x:v>
      </x:c>
      <x:c r="O217" s="31" t="n">
        <x:v>0.5223055180041785</x:v>
      </x:c>
      <x:c r="P217" s="31" t="n">
        <x:v>2.490648025694313</x:v>
      </x:c>
      <x:c r="Q217" s="40" t="n">
        <x:v>0.1638012469299074</x:v>
      </x:c>
      <x:c r="R217" s="31" t="n">
        <x:v>0.23470471030073645</x:v>
      </x:c>
      <x:c r="S217" s="40"/>
      <x:c r="T217" s="40"/>
      <x:c r="U217" s="40" t="n">
        <x:v>1</x:v>
      </x:c>
      <x:c r="V217" s="40" t="n">
        <x:v>0.9909314188550916</x:v>
      </x:c>
      <x:c r="W217" s="31" t="n">
        <x:v>0</x:v>
      </x:c>
      <x:c r="X217" s="31" t="str"/>
      <x:c r="Y217" s="31" t="n">
        <x:v>0</x:v>
      </x:c>
      <x:c r="Z217" s="31" t="n">
        <x:v>0</x:v>
      </x:c>
      <x:c r="AA217" s="31" t="n">
        <x:v>0</x:v>
      </x:c>
      <x:c r="AB217" s="31" t="str"/>
      <x:c r="AC217" s="31" t="str"/>
    </x:row>
    <x:row r="218">
      <x:c r="A218" s="31" t="str">
        <x:v>3ea59ba5814b43d0</x:v>
      </x:c>
      <x:c r="B218" s="31" t="str">
        <x:v>3ea59ba5814b43d076b1bede66c73c19fc5f62480f7e5e2c95af544f3f5bffda</x:v>
      </x:c>
      <x:c r="C218" s="31" t="n">
        <x:v>9</x:v>
      </x:c>
      <x:c r="D218" s="31" t="n">
        <x:v>32200</x:v>
      </x:c>
      <x:c r="E218" s="31" t="str">
        <x:v>Queens</x:v>
      </x:c>
      <x:c r="F218" s="31" t="str">
        <x:v>Bayside</x:v>
      </x:c>
      <x:c r="G218" s="31" t="n">
        <x:v>17917.136757672433</x:v>
      </x:c>
      <x:c r="H218" s="31" t="n">
        <x:v>11191</x:v>
      </x:c>
      <x:c r="I218" s="31" t="n">
        <x:v>2.0419933792609823</x:v>
      </x:c>
      <x:c r="J218" s="40" t="n">
        <x:v>0</x:v>
      </x:c>
      <x:c r="K218" s="40" t="n">
        <x:v>0.11303726208560451</x:v>
      </x:c>
      <x:c r="L218" s="40" t="n">
        <x:v>0.31918505942275044</x:v>
      </x:c>
      <x:c r="M218" s="31" t="n">
        <x:v>27.01324670242275</x:v>
      </x:c>
      <x:c r="N218" s="31" t="n">
        <x:v>7</x:v>
      </x:c>
      <x:c r="O218" s="31" t="n">
        <x:v>0.2173913043478261</x:v>
      </x:c>
      <x:c r="P218" s="31" t="n">
        <x:v>2</x:v>
      </x:c>
      <x:c r="Q218" s="40" t="n">
        <x:v>0</x:v>
      </x:c>
      <x:c r="R218" s="31" t="n">
        <x:v>0.1726862715966023</x:v>
      </x:c>
      <x:c r="S218" s="40"/>
      <x:c r="T218" s="40"/>
      <x:c r="U218" s="40" t="n">
        <x:v>1</x:v>
      </x:c>
      <x:c r="V218" s="40" t="n">
        <x:v>0.9803413457242427</x:v>
      </x:c>
      <x:c r="W218" s="31" t="n">
        <x:v>0</x:v>
      </x:c>
      <x:c r="X218" s="31" t="str"/>
      <x:c r="Y218" s="31" t="n">
        <x:v>0</x:v>
      </x:c>
      <x:c r="Z218" s="31" t="n">
        <x:v>0</x:v>
      </x:c>
      <x:c r="AA218" s="31" t="n">
        <x:v>0</x:v>
      </x:c>
      <x:c r="AB218" s="31" t="str"/>
      <x:c r="AC218" s="31" t="str"/>
    </x:row>
    <x:row r="219">
      <x:c r="A219" s="31" t="str">
        <x:v>3f445723a02c2492</x:v>
      </x:c>
      <x:c r="B219" s="31" t="str">
        <x:v>3f445723a02c249224f2646a5ce78451343692d498024a67c23ca01768ad8a1e</x:v>
      </x:c>
      <x:c r="C219" s="31" t="n">
        <x:v>9</x:v>
      </x:c>
      <x:c r="D219" s="31" t="n">
        <x:v>32748</x:v>
      </x:c>
      <x:c r="E219" s="31" t="str">
        <x:v>Queens</x:v>
      </x:c>
      <x:c r="F219" s="31" t="str">
        <x:v>Queensbridge-Ravenswood-Dutch Kills</x:v>
      </x:c>
      <x:c r="G219" s="31" t="n">
        <x:v>38928.01060049935</x:v>
      </x:c>
      <x:c r="H219" s="31" t="n">
        <x:v>27300</x:v>
      </x:c>
      <x:c r="I219" s="31" t="n">
        <x:v>29.73490740740741</x:v>
      </x:c>
      <x:c r="J219" s="40" t="n">
        <x:v>0.7065201465201465</x:v>
      </x:c>
      <x:c r="K219" s="40" t="n">
        <x:v>0.25234432234432236</x:v>
      </x:c>
      <x:c r="L219" s="40" t="n">
        <x:v>0.11626373626373626</x:v>
      </x:c>
      <x:c r="M219" s="31" t="n">
        <x:v>322.7667663697631</x:v>
      </x:c>
      <x:c r="N219" s="31" t="n">
        <x:v>466</x:v>
      </x:c>
      <x:c r="O219" s="31" t="n">
        <x:v>14.229876633687553</x:v>
      </x:c>
      <x:c r="P219" s="31" t="n">
        <x:v>3.9545421245421246</x:v>
      </x:c>
      <x:c r="Q219" s="40" t="n">
        <x:v>0.9545421245421245</x:v>
      </x:c>
      <x:c r="R219" s="31" t="n">
        <x:v>0.09975192352278771</x:v>
      </x:c>
      <x:c r="S219" s="40"/>
      <x:c r="T219" s="40"/>
      <x:c r="U219" s="40" t="n">
        <x:v>1</x:v>
      </x:c>
      <x:c r="V219" s="40" t="n">
        <x:v>0.9138095238095238</x:v>
      </x:c>
      <x:c r="W219" s="31" t="n">
        <x:v>0</x:v>
      </x:c>
      <x:c r="X219" s="31" t="str"/>
      <x:c r="Y219" s="31" t="n">
        <x:v>0</x:v>
      </x:c>
      <x:c r="Z219" s="31" t="n">
        <x:v>0</x:v>
      </x:c>
      <x:c r="AA219" s="31" t="n">
        <x:v>0</x:v>
      </x:c>
      <x:c r="AB219" s="31" t="str"/>
      <x:c r="AC219" s="31" t="str"/>
    </x:row>
    <x:row r="220">
      <x:c r="A220" s="31" t="str">
        <x:v>3fa71de9b0133313</x:v>
      </x:c>
      <x:c r="B220" s="31" t="str">
        <x:v>3fa71de9b01333136456727b1e97c1f676ae4dbc366b8b65b003e5ffeecd4be1</x:v>
      </x:c>
      <x:c r="C220" s="31" t="n">
        <x:v>12</x:v>
      </x:c>
      <x:c r="D220" s="31" t="n">
        <x:v>34256</x:v>
      </x:c>
      <x:c r="E220" s="31" t="str">
        <x:v>Brooklyn</x:v>
      </x:c>
      <x:c r="F220" s="31" t="str">
        <x:v>Gravesend (East)-Homecrest</x:v>
      </x:c>
      <x:c r="G220" s="31" t="n">
        <x:v>42581.84799142475</x:v>
      </x:c>
      <x:c r="H220" s="31" t="n">
        <x:v>12523</x:v>
      </x:c>
      <x:c r="I220" s="31" t="n">
        <x:v>3.513367941857679</x:v>
      </x:c>
      <x:c r="J220" s="40" t="n">
        <x:v>0</x:v>
      </x:c>
      <x:c r="K220" s="40" t="n">
        <x:v>0.4829513694801565</x:v>
      </x:c>
      <x:c r="L220" s="40" t="n">
        <x:v>0.007665894753653278</x:v>
      </x:c>
      <x:c r="M220" s="31" t="n">
        <x:v>41.71491876801797</x:v>
      </x:c>
      <x:c r="N220" s="31" t="n">
        <x:v>134</x:v>
      </x:c>
      <x:c r="O220" s="31" t="n">
        <x:v>3.9117234936945353</x:v>
      </x:c>
      <x:c r="P220" s="31" t="n">
        <x:v>3.5520242753333866</x:v>
      </x:c>
      <x:c r="Q220" s="40" t="n">
        <x:v>0.5520242753333866</x:v>
      </x:c>
      <x:c r="R220" s="31" t="n">
        <x:v>0.20244738933318443</x:v>
      </x:c>
      <x:c r="S220" s="40"/>
      <x:c r="T220" s="40"/>
      <x:c r="U220" s="40" t="n">
        <x:v>1</x:v>
      </x:c>
      <x:c r="V220" s="40" t="n">
        <x:v>0.9955282280603689</x:v>
      </x:c>
      <x:c r="W220" s="31" t="n">
        <x:v>0</x:v>
      </x:c>
      <x:c r="X220" s="31" t="str"/>
      <x:c r="Y220" s="31" t="n">
        <x:v>0</x:v>
      </x:c>
      <x:c r="Z220" s="31" t="n">
        <x:v>0</x:v>
      </x:c>
      <x:c r="AA220" s="31" t="n">
        <x:v>0</x:v>
      </x:c>
      <x:c r="AB220" s="31" t="str"/>
      <x:c r="AC220" s="31" t="str"/>
    </x:row>
    <x:row r="221">
      <x:c r="A221" s="31" t="str">
        <x:v>3fb2b3a60fb209c3</x:v>
      </x:c>
      <x:c r="B221" s="31" t="str">
        <x:v>3fb2b3a60fb209c3abd230c1c4511dd544f18f692b20c38be05a089c07955325</x:v>
      </x:c>
      <x:c r="C221" s="31" t="n">
        <x:v>8</x:v>
      </x:c>
      <x:c r="D221" s="31" t="n">
        <x:v>34282</x:v>
      </x:c>
      <x:c r="E221" s="31" t="str">
        <x:v>Queens</x:v>
      </x:c>
      <x:c r="F221" s="31" t="str">
        <x:v>Elmhurst</x:v>
      </x:c>
      <x:c r="G221" s="31" t="n">
        <x:v>79099.26114786344</x:v>
      </x:c>
      <x:c r="H221" s="31" t="n">
        <x:v>11677</x:v>
      </x:c>
      <x:c r="I221" s="31" t="n">
        <x:v>5.185833832976446</x:v>
      </x:c>
      <x:c r="J221" s="40" t="n">
        <x:v>0.07810225229082812</x:v>
      </x:c>
      <x:c r="K221" s="40" t="n">
        <x:v>0.7657788815620451</x:v>
      </x:c>
      <x:c r="L221" s="40" t="n">
        <x:v>0.019183009334589364</x:v>
      </x:c>
      <x:c r="M221" s="31" t="n">
        <x:v>56.55770614972276</x:v>
      </x:c>
      <x:c r="N221" s="31" t="n">
        <x:v>159</x:v>
      </x:c>
      <x:c r="O221" s="31" t="n">
        <x:v>4.6380024502654456</x:v>
      </x:c>
      <x:c r="P221" s="31" t="n">
        <x:v>3</x:v>
      </x:c>
      <x:c r="Q221" s="40" t="n">
        <x:v>0</x:v>
      </x:c>
      <x:c r="R221" s="31" t="n">
        <x:v>0.13494613777221137</x:v>
      </x:c>
      <x:c r="S221" s="40"/>
      <x:c r="T221" s="40"/>
      <x:c r="U221" s="40" t="n">
        <x:v>1</x:v>
      </x:c>
      <x:c r="V221" s="40" t="n">
        <x:v>0.9761068767662927</x:v>
      </x:c>
      <x:c r="W221" s="31" t="n">
        <x:v>0</x:v>
      </x:c>
      <x:c r="X221" s="31" t="str"/>
      <x:c r="Y221" s="31" t="n">
        <x:v>0</x:v>
      </x:c>
      <x:c r="Z221" s="31" t="n">
        <x:v>0</x:v>
      </x:c>
      <x:c r="AA221" s="31" t="n">
        <x:v>0</x:v>
      </x:c>
      <x:c r="AB221" s="31" t="str"/>
      <x:c r="AC221" s="31" t="str"/>
    </x:row>
    <x:row r="222">
      <x:c r="A222" s="31" t="str">
        <x:v>409445a34a75bf64</x:v>
      </x:c>
      <x:c r="B222" s="31" t="str">
        <x:v>409445a34a75bf6433e6c99b8d9e3d305cb37aa7748d29dbf367e6e15fff47ca</x:v>
      </x:c>
      <x:c r="C222" s="31" t="n">
        <x:v>8</x:v>
      </x:c>
      <x:c r="D222" s="31" t="n">
        <x:v>33283</x:v>
      </x:c>
      <x:c r="E222" s="31" t="str">
        <x:v>Brooklyn</x:v>
      </x:c>
      <x:c r="F222" s="31" t="str">
        <x:v>Brownsville</x:v>
      </x:c>
      <x:c r="G222" s="31" t="n">
        <x:v>58589.54916953039</x:v>
      </x:c>
      <x:c r="H222" s="31" t="n">
        <x:v>12267</x:v>
      </x:c>
      <x:c r="I222" s="31" t="n">
        <x:v>3.6045354433477446</x:v>
      </x:c>
      <x:c r="J222" s="40" t="n">
        <x:v>0.014021358115268607</x:v>
      </x:c>
      <x:c r="K222" s="40" t="n">
        <x:v>0.5001222792858889</x:v>
      </x:c>
      <x:c r="L222" s="40" t="n">
        <x:v>0.02698296241949947</x:v>
      </x:c>
      <x:c r="M222" s="31" t="n">
        <x:v>40.37559528806817</x:v>
      </x:c>
      <x:c r="N222" s="31" t="n">
        <x:v>56</x:v>
      </x:c>
      <x:c r="O222" s="31" t="n">
        <x:v>1.6825406363609048</x:v>
      </x:c>
      <x:c r="P222" s="31" t="n">
        <x:v>5</x:v>
      </x:c>
      <x:c r="Q222" s="40" t="n">
        <x:v>1</x:v>
      </x:c>
      <x:c r="R222" s="31" t="n">
        <x:v>0.13014183980823052</x:v>
      </x:c>
      <x:c r="S222" s="40"/>
      <x:c r="T222" s="40"/>
      <x:c r="U222" s="40" t="n">
        <x:v>1</x:v>
      </x:c>
      <x:c r="V222" s="40" t="n">
        <x:v>0.9853264856933236</x:v>
      </x:c>
      <x:c r="W222" s="31" t="n">
        <x:v>1</x:v>
      </x:c>
      <x:c r="X222" s="31" t="str"/>
      <x:c r="Y222" s="31" t="n">
        <x:v>0</x:v>
      </x:c>
      <x:c r="Z222" s="31" t="n">
        <x:v>1</x:v>
      </x:c>
      <x:c r="AA222" s="31" t="n">
        <x:v>0</x:v>
      </x:c>
      <x:c r="AB222" s="31" t="str"/>
      <x:c r="AC222" s="31" t="str"/>
    </x:row>
    <x:row r="223">
      <x:c r="A223" s="31" t="str">
        <x:v>40d0665f67e9b42e</x:v>
      </x:c>
      <x:c r="B223" s="31" t="str">
        <x:v>40d0665f67e9b42eecadb89291ccf3f95bf0a8c054ca8520ff51f6167845330b</x:v>
      </x:c>
      <x:c r="C223" s="31" t="n">
        <x:v>6</x:v>
      </x:c>
      <x:c r="D223" s="31" t="n">
        <x:v>34371</x:v>
      </x:c>
      <x:c r="E223" s="31" t="str">
        <x:v>Manhattan</x:v>
      </x:c>
      <x:c r="F223" s="31" t="str">
        <x:v>West Village</x:v>
      </x:c>
      <x:c r="G223" s="31" t="n">
        <x:v>78464.46123554485</x:v>
      </x:c>
      <x:c r="H223" s="31" t="n">
        <x:v>23778</x:v>
      </x:c>
      <x:c r="I223" s="31" t="n">
        <x:v>8.698264239973037</x:v>
      </x:c>
      <x:c r="J223" s="40" t="n">
        <x:v>0.3093615947514509</x:v>
      </x:c>
      <x:c r="K223" s="40" t="n">
        <x:v>0.6850449995794432</x:v>
      </x:c>
      <x:c r="L223" s="40" t="n">
        <x:v>0.056901337370678776</x:v>
      </x:c>
      <x:c r="M223" s="31" t="n">
        <x:v>98.16718912460229</x:v>
      </x:c>
      <x:c r="N223" s="31" t="n">
        <x:v>562</x:v>
      </x:c>
      <x:c r="O223" s="31" t="n">
        <x:v>16.35099357016089</x:v>
      </x:c>
      <x:c r="P223" s="31" t="n">
        <x:v>1</x:v>
      </x:c>
      <x:c r="Q223" s="40" t="n">
        <x:v>0</x:v>
      </x:c>
      <x:c r="R223" s="31" t="n">
        <x:v>0.1664573796502866</x:v>
      </x:c>
      <x:c r="S223" s="40"/>
      <x:c r="T223" s="40"/>
      <x:c r="U223" s="40" t="n">
        <x:v>1</x:v>
      </x:c>
      <x:c r="V223" s="40" t="n">
        <x:v>0.9870889057111616</x:v>
      </x:c>
      <x:c r="W223" s="31" t="n">
        <x:v>1</x:v>
      </x:c>
      <x:c r="X223" s="31" t="str"/>
      <x:c r="Y223" s="31" t="n">
        <x:v>1</x:v>
      </x:c>
      <x:c r="Z223" s="31" t="n">
        <x:v>0</x:v>
      </x:c>
      <x:c r="AA223" s="31" t="n">
        <x:v>0</x:v>
      </x:c>
      <x:c r="AB223" s="31" t="str"/>
      <x:c r="AC223" s="31" t="str"/>
    </x:row>
    <x:row r="224">
      <x:c r="A224" s="31" t="str">
        <x:v>415b13343862a24a</x:v>
      </x:c>
      <x:c r="B224" s="31" t="str">
        <x:v>415b13343862a24a486ff7ba3fdcb4e7a406df628b02dbc0d7b995ec209eb6a2</x:v>
      </x:c>
      <x:c r="C224" s="31" t="n">
        <x:v>7</x:v>
      </x:c>
      <x:c r="D224" s="31" t="n">
        <x:v>33952</x:v>
      </x:c>
      <x:c r="E224" s="31" t="str">
        <x:v>Manhattan</x:v>
      </x:c>
      <x:c r="F224" s="31" t="str">
        <x:v>East Village</x:v>
      </x:c>
      <x:c r="G224" s="31" t="n">
        <x:v>103930.89476784592</x:v>
      </x:c>
      <x:c r="H224" s="31" t="n">
        <x:v>19693</x:v>
      </x:c>
      <x:c r="I224" s="31" t="n">
        <x:v>8.735018821853698</x:v>
      </x:c>
      <x:c r="J224" s="40" t="n">
        <x:v>0.25978774183720105</x:v>
      </x:c>
      <x:c r="K224" s="40" t="n">
        <x:v>0.7374193875996548</x:v>
      </x:c>
      <x:c r="L224" s="40" t="n">
        <x:v>0.1722947240136089</x:v>
      </x:c>
      <x:c r="M224" s="31" t="n">
        <x:v>92.07095572585767</x:v>
      </x:c>
      <x:c r="N224" s="31" t="n">
        <x:v>288</x:v>
      </x:c>
      <x:c r="O224" s="31" t="n">
        <x:v>8.482563619227143</x:v>
      </x:c>
      <x:c r="P224" s="31" t="n">
        <x:v>2.3408825470979537</x:v>
      </x:c>
      <x:c r="Q224" s="40" t="n">
        <x:v>0</x:v>
      </x:c>
      <x:c r="R224" s="31" t="n">
        <x:v>0.09444818514349988</x:v>
      </x:c>
      <x:c r="S224" s="40"/>
      <x:c r="T224" s="40"/>
      <x:c r="U224" s="40" t="n">
        <x:v>1</x:v>
      </x:c>
      <x:c r="V224" s="40" t="n">
        <x:v>0.9810592596354034</x:v>
      </x:c>
      <x:c r="W224" s="31" t="n">
        <x:v>1</x:v>
      </x:c>
      <x:c r="X224" s="31" t="str"/>
      <x:c r="Y224" s="31" t="n">
        <x:v>1</x:v>
      </x:c>
      <x:c r="Z224" s="31" t="n">
        <x:v>0</x:v>
      </x:c>
      <x:c r="AA224" s="31" t="n">
        <x:v>0</x:v>
      </x:c>
      <x:c r="AB224" s="31" t="str"/>
      <x:c r="AC224" s="31" t="str"/>
    </x:row>
    <x:row r="225">
      <x:c r="A225" s="31" t="str">
        <x:v>4182009b96005a6d</x:v>
      </x:c>
      <x:c r="B225" s="31" t="str">
        <x:v>4182009b96005a6da75baded7c55c76e496c97ffde8a09f4b92b4c79d95f7ea4</x:v>
      </x:c>
      <x:c r="C225" s="31" t="n">
        <x:v>5</x:v>
      </x:c>
      <x:c r="D225" s="31" t="n">
        <x:v>35854</x:v>
      </x:c>
      <x:c r="E225" s="31" t="str">
        <x:v>Manhattan</x:v>
      </x:c>
      <x:c r="F225" s="31" t="str">
        <x:v>Washington Heights (North)</x:v>
      </x:c>
      <x:c r="G225" s="31" t="n">
        <x:v>82382.97646715654</x:v>
      </x:c>
      <x:c r="H225" s="31" t="n">
        <x:v>15540</x:v>
      </x:c>
      <x:c r="I225" s="31" t="n">
        <x:v>6.681435006435007</x:v>
      </x:c>
      <x:c r="J225" s="40" t="n">
        <x:v>0.08770913770913771</x:v>
      </x:c>
      <x:c r="K225" s="40" t="n">
        <x:v>0.9098455598455598</x:v>
      </x:c>
      <x:c r="L225" s="40" t="n">
        <x:v>0.023809523809523808</x:v>
      </x:c>
      <x:c r="M225" s="31" t="n">
        <x:v>71.73514080988242</x:v>
      </x:c>
      <x:c r="N225" s="31" t="n">
        <x:v>147</x:v>
      </x:c>
      <x:c r="O225" s="31" t="n">
        <x:v>4.099960952752832</x:v>
      </x:c>
      <x:c r="P225" s="31" t="n">
        <x:v>1.509009009009009</x:v>
      </x:c>
      <x:c r="Q225" s="40" t="n">
        <x:v>0</x:v>
      </x:c>
      <x:c r="R225" s="31" t="n">
        <x:v>0.07479017604577125</x:v>
      </x:c>
      <x:c r="S225" s="40"/>
      <x:c r="T225" s="40"/>
      <x:c r="U225" s="40" t="n">
        <x:v>1</x:v>
      </x:c>
      <x:c r="V225" s="40" t="n">
        <x:v>0.9796653796653797</x:v>
      </x:c>
      <x:c r="W225" s="31" t="n">
        <x:v>0</x:v>
      </x:c>
      <x:c r="X225" s="31" t="str"/>
      <x:c r="Y225" s="31" t="n">
        <x:v>0</x:v>
      </x:c>
      <x:c r="Z225" s="31" t="n">
        <x:v>0</x:v>
      </x:c>
      <x:c r="AA225" s="31" t="n">
        <x:v>0</x:v>
      </x:c>
      <x:c r="AB225" s="31" t="str"/>
      <x:c r="AC225" s="31" t="str"/>
    </x:row>
    <x:row r="226">
      <x:c r="A226" s="31" t="str">
        <x:v>41a86226476dd371</x:v>
      </x:c>
      <x:c r="B226" s="31" t="str">
        <x:v>41a86226476dd3719df64e1e7bc1b724ee7e36bd833c0c1f6546fa052c8893dd</x:v>
      </x:c>
      <x:c r="C226" s="31" t="n">
        <x:v>7</x:v>
      </x:c>
      <x:c r="D226" s="31" t="n">
        <x:v>32904</x:v>
      </x:c>
      <x:c r="E226" s="31" t="str">
        <x:v>Manhattan</x:v>
      </x:c>
      <x:c r="F226" s="31" t="str">
        <x:v>Upper East Side-Yorkville</x:v>
      </x:c>
      <x:c r="G226" s="31" t="n">
        <x:v>158884.69767424624</x:v>
      </x:c>
      <x:c r="H226" s="31" t="n">
        <x:v>19986</x:v>
      </x:c>
      <x:c r="I226" s="31" t="n">
        <x:v>14.444923946762733</x:v>
      </x:c>
      <x:c r="J226" s="40" t="n">
        <x:v>0.5423796657660362</x:v>
      </x:c>
      <x:c r="K226" s="40" t="n">
        <x:v>0.4568698088662063</x:v>
      </x:c>
      <x:c r="L226" s="40" t="n">
        <x:v>0.03232262583808666</x:v>
      </x:c>
      <x:c r="M226" s="31" t="n">
        <x:v>136.3652517653364</x:v>
      </x:c>
      <x:c r="N226" s="31" t="n">
        <x:v>357</x:v>
      </x:c>
      <x:c r="O226" s="31" t="n">
        <x:v>10.849744711889132</x:v>
      </x:c>
      <x:c r="P226" s="31" t="n">
        <x:v>1.2556289402581808</x:v>
      </x:c>
      <x:c r="Q226" s="40" t="n">
        <x:v>0</x:v>
      </x:c>
      <x:c r="R226" s="31" t="n">
        <x:v>0.1683301033399563</x:v>
      </x:c>
      <x:c r="S226" s="40"/>
      <x:c r="T226" s="40"/>
      <x:c r="U226" s="40" t="n">
        <x:v>1</x:v>
      </x:c>
      <x:c r="V226" s="40" t="n">
        <x:v>0.9993995797057941</x:v>
      </x:c>
      <x:c r="W226" s="31" t="n">
        <x:v>1</x:v>
      </x:c>
      <x:c r="X226" s="31" t="str"/>
      <x:c r="Y226" s="31" t="n">
        <x:v>1</x:v>
      </x:c>
      <x:c r="Z226" s="31" t="n">
        <x:v>0</x:v>
      </x:c>
      <x:c r="AA226" s="31" t="n">
        <x:v>0</x:v>
      </x:c>
      <x:c r="AB226" s="31" t="str"/>
      <x:c r="AC226" s="31" t="str"/>
    </x:row>
    <x:row r="227">
      <x:c r="A227" s="31" t="str">
        <x:v>41ac9a41b5b512d8</x:v>
      </x:c>
      <x:c r="B227" s="31" t="str">
        <x:v>41ac9a41b5b512d837cab672440923363077f704a55e9ebaf89c3e1124ba7cd7</x:v>
      </x:c>
      <x:c r="C227" s="31" t="n">
        <x:v>4</x:v>
      </x:c>
      <x:c r="D227" s="31" t="n">
        <x:v>35167</x:v>
      </x:c>
      <x:c r="E227" s="31" t="str">
        <x:v>Manhattan</x:v>
      </x:c>
      <x:c r="F227" s="31" t="str">
        <x:v>Upper West Side-Manhattan Valley</x:v>
      </x:c>
      <x:c r="G227" s="31" t="n">
        <x:v>108656.1583944579</x:v>
      </x:c>
      <x:c r="H227" s="31" t="n">
        <x:v>18119</x:v>
      </x:c>
      <x:c r="I227" s="31" t="n">
        <x:v>9.52250803858521</x:v>
      </x:c>
      <x:c r="J227" s="40" t="n">
        <x:v>0.43556487664882165</x:v>
      </x:c>
      <x:c r="K227" s="40" t="n">
        <x:v>0.5599094872785474</x:v>
      </x:c>
      <x:c r="L227" s="40" t="n">
        <x:v>0.043214305425244216</x:v>
      </x:c>
      <x:c r="M227" s="31" t="n">
        <x:v>108.55811729161361</x:v>
      </x:c>
      <x:c r="N227" s="31" t="n">
        <x:v>405</x:v>
      </x:c>
      <x:c r="O227" s="31" t="n">
        <x:v>11.51647851679131</x:v>
      </x:c>
      <x:c r="P227" s="31" t="n">
        <x:v>2</x:v>
      </x:c>
      <x:c r="Q227" s="40" t="n">
        <x:v>0</x:v>
      </x:c>
      <x:c r="R227" s="31" t="n">
        <x:v>0.12060863036657829</x:v>
      </x:c>
      <x:c r="S227" s="40"/>
      <x:c r="T227" s="40"/>
      <x:c r="U227" s="40" t="n">
        <x:v>1</x:v>
      </x:c>
      <x:c r="V227" s="40" t="n">
        <x:v>0.9949776477730559</x:v>
      </x:c>
      <x:c r="W227" s="31" t="n">
        <x:v>1</x:v>
      </x:c>
      <x:c r="X227" s="31" t="str"/>
      <x:c r="Y227" s="31" t="n">
        <x:v>1</x:v>
      </x:c>
      <x:c r="Z227" s="31" t="n">
        <x:v>0</x:v>
      </x:c>
      <x:c r="AA227" s="31" t="n">
        <x:v>0</x:v>
      </x:c>
      <x:c r="AB227" s="31" t="str"/>
      <x:c r="AC227" s="31" t="str"/>
    </x:row>
    <x:row r="228">
      <x:c r="A228" s="31" t="str">
        <x:v>427831e4c02e40ab</x:v>
      </x:c>
      <x:c r="B228" s="31" t="str">
        <x:v>427831e4c02e40ab92916c8709752fb54cd671f6cef0679d23dc1d11db78d332</x:v>
      </x:c>
      <x:c r="C228" s="31" t="n">
        <x:v>10</x:v>
      </x:c>
      <x:c r="D228" s="31" t="n">
        <x:v>32609</x:v>
      </x:c>
      <x:c r="E228" s="31" t="str">
        <x:v>Brooklyn</x:v>
      </x:c>
      <x:c r="F228" s="31" t="str">
        <x:v>Canarsie</x:v>
      </x:c>
      <x:c r="G228" s="31" t="n">
        <x:v>33492.71614722769</x:v>
      </x:c>
      <x:c r="H228" s="31" t="n">
        <x:v>17341</x:v>
      </x:c>
      <x:c r="I228" s="31" t="n">
        <x:v>12.23118767051721</x:v>
      </x:c>
      <x:c r="J228" s="40" t="n">
        <x:v>0.6202064471483767</x:v>
      </x:c>
      <x:c r="K228" s="40" t="n">
        <x:v>0.16100570901332104</x:v>
      </x:c>
      <x:c r="L228" s="40" t="n">
        <x:v>0.6865232685542932</x:v>
      </x:c>
      <x:c r="M228" s="31" t="n">
        <x:v>114.97234098510762</x:v>
      </x:c>
      <x:c r="N228" s="31" t="n">
        <x:v>133</x:v>
      </x:c>
      <x:c r="O228" s="31" t="n">
        <x:v>4.0786285994664055</x:v>
      </x:c>
      <x:c r="P228" s="31" t="n">
        <x:v>3.8256732599042733</x:v>
      </x:c>
      <x:c r="Q228" s="40" t="n">
        <x:v>0.41283662995213655</x:v>
      </x:c>
      <x:c r="R228" s="31" t="n">
        <x:v>0.16821714163070187</x:v>
      </x:c>
      <x:c r="S228" s="40"/>
      <x:c r="T228" s="40"/>
      <x:c r="U228" s="40" t="n">
        <x:v>1</x:v>
      </x:c>
      <x:c r="V228" s="40" t="n">
        <x:v>0.9993079983853296</x:v>
      </x:c>
      <x:c r="W228" s="31" t="n">
        <x:v>0</x:v>
      </x:c>
      <x:c r="X228" s="31" t="str"/>
      <x:c r="Y228" s="31" t="n">
        <x:v>0</x:v>
      </x:c>
      <x:c r="Z228" s="31" t="n">
        <x:v>0</x:v>
      </x:c>
      <x:c r="AA228" s="31" t="n">
        <x:v>0</x:v>
      </x:c>
      <x:c r="AB228" s="31" t="str"/>
      <x:c r="AC228" s="31" t="str"/>
    </x:row>
    <x:row r="229">
      <x:c r="A229" s="31" t="str">
        <x:v>42e341446648e19d</x:v>
      </x:c>
      <x:c r="B229" s="31" t="str">
        <x:v>42e341446648e19da0f799d8eec94fc5c7b7a05c993c31245b82c5f463a94e37</x:v>
      </x:c>
      <x:c r="C229" s="31" t="n">
        <x:v>9</x:v>
      </x:c>
      <x:c r="D229" s="31" t="n">
        <x:v>35185</x:v>
      </x:c>
      <x:c r="E229" s="31" t="str">
        <x:v>Bronx</x:v>
      </x:c>
      <x:c r="F229" s="31" t="str">
        <x:v>Longwood</x:v>
      </x:c>
      <x:c r="G229" s="31" t="n">
        <x:v>24690.605596068497</x:v>
      </x:c>
      <x:c r="H229" s="31" t="n">
        <x:v>14524</x:v>
      </x:c>
      <x:c r="I229" s="31" t="n">
        <x:v>6.034784560143627</x:v>
      </x:c>
      <x:c r="J229" s="40" t="n">
        <x:v>0.11147066923712476</x:v>
      </x:c>
      <x:c r="K229" s="40" t="n">
        <x:v>0.7848388873588543</x:v>
      </x:c>
      <x:c r="L229" s="40" t="n">
        <x:v>0.06472046268245663</x:v>
      </x:c>
      <x:c r="M229" s="31" t="n">
        <x:v>65.00285058935643</x:v>
      </x:c>
      <x:c r="N229" s="31" t="n">
        <x:v>158</x:v>
      </x:c>
      <x:c r="O229" s="31" t="n">
        <x:v>4.4905499502628965</x:v>
      </x:c>
      <x:c r="P229" s="31" t="n">
        <x:v>5</x:v>
      </x:c>
      <x:c r="Q229" s="40" t="n">
        <x:v>1</x:v>
      </x:c>
      <x:c r="R229" s="31" t="n">
        <x:v>0.0970645066591431</x:v>
      </x:c>
      <x:c r="S229" s="40"/>
      <x:c r="T229" s="40"/>
      <x:c r="U229" s="40" t="n">
        <x:v>1</x:v>
      </x:c>
      <x:c r="V229" s="40" t="n">
        <x:v>0.9778297989534563</x:v>
      </x:c>
      <x:c r="W229" s="31" t="n">
        <x:v>1</x:v>
      </x:c>
      <x:c r="X229" s="31" t="str"/>
      <x:c r="Y229" s="31" t="n">
        <x:v>0</x:v>
      </x:c>
      <x:c r="Z229" s="31" t="n">
        <x:v>1</x:v>
      </x:c>
      <x:c r="AA229" s="31" t="n">
        <x:v>0</x:v>
      </x:c>
      <x:c r="AB229" s="31" t="str"/>
      <x:c r="AC229" s="31" t="str"/>
    </x:row>
    <x:row r="230">
      <x:c r="A230" s="31" t="str">
        <x:v>42fa2daaf8e91084</x:v>
      </x:c>
      <x:c r="B230" s="31" t="str">
        <x:v>42fa2daaf8e91084edf09a95b7ad3727c7fef09d9b1b85498a6fd955cce0e18c</x:v>
      </x:c>
      <x:c r="C230" s="31" t="n">
        <x:v>7</x:v>
      </x:c>
      <x:c r="D230" s="31" t="n">
        <x:v>36148</x:v>
      </x:c>
      <x:c r="E230" s="31" t="str">
        <x:v>Manhattan</x:v>
      </x:c>
      <x:c r="F230" s="31" t="str">
        <x:v>Hell's Kitchen</x:v>
      </x:c>
      <x:c r="G230" s="31" t="n">
        <x:v>82785.14346610001</x:v>
      </x:c>
      <x:c r="H230" s="31" t="n">
        <x:v>24575</x:v>
      </x:c>
      <x:c r="I230" s="31" t="n">
        <x:v>25.627848770958813</x:v>
      </x:c>
      <x:c r="J230" s="40" t="n">
        <x:v>0.5950356052899288</x:v>
      </x:c>
      <x:c r="K230" s="40" t="n">
        <x:v>0.4047202441505595</x:v>
      </x:c>
      <x:c r="L230" s="40" t="n">
        <x:v>0.13293997965412005</x:v>
      </x:c>
      <x:c r="M230" s="31" t="n">
        <x:v>235.78778426993264</x:v>
      </x:c>
      <x:c r="N230" s="31" t="n">
        <x:v>397</x:v>
      </x:c>
      <x:c r="O230" s="31" t="n">
        <x:v>10.982626977979418</x:v>
      </x:c>
      <x:c r="P230" s="31" t="n">
        <x:v>2</x:v>
      </x:c>
      <x:c r="Q230" s="40" t="n">
        <x:v>0</x:v>
      </x:c>
      <x:c r="R230" s="31" t="n">
        <x:v>0.14619857734429179</x:v>
      </x:c>
      <x:c r="S230" s="40"/>
      <x:c r="T230" s="40"/>
      <x:c r="U230" s="40" t="n">
        <x:v>1</x:v>
      </x:c>
      <x:c r="V230" s="40" t="n">
        <x:v>0.9479552390640895</x:v>
      </x:c>
      <x:c r="W230" s="31" t="n">
        <x:v>1</x:v>
      </x:c>
      <x:c r="X230" s="31" t="str"/>
      <x:c r="Y230" s="31" t="n">
        <x:v>1</x:v>
      </x:c>
      <x:c r="Z230" s="31" t="n">
        <x:v>0</x:v>
      </x:c>
      <x:c r="AA230" s="31" t="n">
        <x:v>0</x:v>
      </x:c>
      <x:c r="AB230" s="31" t="str"/>
      <x:c r="AC230" s="31" t="str"/>
    </x:row>
    <x:row r="231">
      <x:c r="A231" s="31" t="str">
        <x:v>437e3a9385df1ca9</x:v>
      </x:c>
      <x:c r="B231" s="31" t="str">
        <x:v>437e3a9385df1ca907be72ff8bbae5700b973a67e2e5a8385a5d49770c09b8fd</x:v>
      </x:c>
      <x:c r="C231" s="31" t="n">
        <x:v>8</x:v>
      </x:c>
      <x:c r="D231" s="31" t="n">
        <x:v>35538</x:v>
      </x:c>
      <x:c r="E231" s="31" t="str">
        <x:v>Manhattan</x:v>
      </x:c>
      <x:c r="F231" s="31" t="str">
        <x:v>Upper East Side-Yorkville</x:v>
      </x:c>
      <x:c r="G231" s="31" t="n">
        <x:v>143181.68259934388</x:v>
      </x:c>
      <x:c r="H231" s="31" t="n">
        <x:v>19477</x:v>
      </x:c>
      <x:c r="I231" s="31" t="n">
        <x:v>18.447348081023453</x:v>
      </x:c>
      <x:c r="J231" s="40" t="n">
        <x:v>0.6441957180263901</x:v>
      </x:c>
      <x:c r="K231" s="40" t="n">
        <x:v>0.31878626071776966</x:v>
      </x:c>
      <x:c r="L231" s="40" t="n">
        <x:v>0.17918570621758997</x:v>
      </x:c>
      <x:c r="M231" s="31" t="n">
        <x:v>202.28287775194372</x:v>
      </x:c>
      <x:c r="N231" s="31" t="n">
        <x:v>462</x:v>
      </x:c>
      <x:c r="O231" s="31" t="n">
        <x:v>13.000168833361473</x:v>
      </x:c>
      <x:c r="P231" s="31" t="n">
        <x:v>1.6194999229860862</x:v>
      </x:c>
      <x:c r="Q231" s="40" t="n">
        <x:v>0.20649997432869538</x:v>
      </x:c>
      <x:c r="R231" s="31" t="n">
        <x:v>0.11281937929638224</x:v>
      </x:c>
      <x:c r="S231" s="40"/>
      <x:c r="T231" s="40"/>
      <x:c r="U231" s="40" t="n">
        <x:v>1</x:v>
      </x:c>
      <x:c r="V231" s="40" t="n">
        <x:v>0.9960979616984135</x:v>
      </x:c>
      <x:c r="W231" s="31" t="n">
        <x:v>1</x:v>
      </x:c>
      <x:c r="X231" s="31" t="str"/>
      <x:c r="Y231" s="31" t="n">
        <x:v>1</x:v>
      </x:c>
      <x:c r="Z231" s="31" t="n">
        <x:v>0</x:v>
      </x:c>
      <x:c r="AA231" s="31" t="n">
        <x:v>0</x:v>
      </x:c>
      <x:c r="AB231" s="31" t="str"/>
      <x:c r="AC231" s="31" t="str"/>
    </x:row>
    <x:row r="232">
      <x:c r="A232" s="31" t="str">
        <x:v>43bc71f6b6318e7f</x:v>
      </x:c>
      <x:c r="B232" s="31" t="str">
        <x:v>43bc71f6b6318e7f676281a839c9e0e3e33f398db86661211168abe29eafd476</x:v>
      </x:c>
      <x:c r="C232" s="31" t="n">
        <x:v>10</x:v>
      </x:c>
      <x:c r="D232" s="31" t="n">
        <x:v>32771</x:v>
      </x:c>
      <x:c r="E232" s="31" t="str">
        <x:v>Queens</x:v>
      </x:c>
      <x:c r="F232" s="31" t="str">
        <x:v>Corona</x:v>
      </x:c>
      <x:c r="G232" s="31" t="n">
        <x:v>83856.91649103792</x:v>
      </x:c>
      <x:c r="H232" s="31" t="n">
        <x:v>7820</x:v>
      </x:c>
      <x:c r="I232" s="31" t="n">
        <x:v>2.9656076096803416</x:v>
      </x:c>
      <x:c r="J232" s="40" t="n">
        <x:v>0</x:v>
      </x:c>
      <x:c r="K232" s="40" t="n">
        <x:v>0.5882352941176471</x:v>
      </x:c>
      <x:c r="L232" s="40" t="n">
        <x:v>0.021099744245524295</x:v>
      </x:c>
      <x:c r="M232" s="31" t="n">
        <x:v>33.48170286914367</x:v>
      </x:c>
      <x:c r="N232" s="31" t="n">
        <x:v>46</x:v>
      </x:c>
      <x:c r="O232" s="31" t="n">
        <x:v>1.4036800830002134</x:v>
      </x:c>
      <x:c r="P232" s="31" t="n">
        <x:v>4</x:v>
      </x:c>
      <x:c r="Q232" s="40" t="n">
        <x:v>1</x:v>
      </x:c>
      <x:c r="R232" s="31" t="n">
        <x:v>0.14509902762510915</x:v>
      </x:c>
      <x:c r="S232" s="40"/>
      <x:c r="T232" s="40"/>
      <x:c r="U232" s="40" t="n">
        <x:v>1</x:v>
      </x:c>
      <x:c r="V232" s="40" t="n">
        <x:v>0.9915601023017903</x:v>
      </x:c>
      <x:c r="W232" s="31" t="n">
        <x:v>1</x:v>
      </x:c>
      <x:c r="X232" s="31" t="str"/>
      <x:c r="Y232" s="31" t="n">
        <x:v>0</x:v>
      </x:c>
      <x:c r="Z232" s="31" t="n">
        <x:v>1</x:v>
      </x:c>
      <x:c r="AA232" s="31" t="n">
        <x:v>0</x:v>
      </x:c>
      <x:c r="AB232" s="31" t="str"/>
      <x:c r="AC232" s="31" t="str"/>
    </x:row>
    <x:row r="233">
      <x:c r="A233" s="31" t="str">
        <x:v>43ebf5b56f249cd4</x:v>
      </x:c>
      <x:c r="B233" s="31" t="str">
        <x:v>43ebf5b56f249cd4c34f000828e6e2d46984a2f2dafed60134ce8ba1d2c2d480</x:v>
      </x:c>
      <x:c r="C233" s="31" t="n">
        <x:v>7</x:v>
      </x:c>
      <x:c r="D233" s="31" t="n">
        <x:v>32313</x:v>
      </x:c>
      <x:c r="E233" s="31" t="str">
        <x:v>Brooklyn</x:v>
      </x:c>
      <x:c r="F233" s="31" t="str">
        <x:v>Crown Heights (South)</x:v>
      </x:c>
      <x:c r="G233" s="31" t="n">
        <x:v>76354.18083839602</x:v>
      </x:c>
      <x:c r="H233" s="31" t="n">
        <x:v>14683</x:v>
      </x:c>
      <x:c r="I233" s="31" t="n">
        <x:v>6.670384117687121</x:v>
      </x:c>
      <x:c r="J233" s="40" t="n">
        <x:v>0.13648436967922087</x:v>
      </x:c>
      <x:c r="K233" s="40" t="n">
        <x:v>0.7298917115030988</x:v>
      </x:c>
      <x:c r="L233" s="40" t="n">
        <x:v>0.10168221753047742</x:v>
      </x:c>
      <x:c r="M233" s="31" t="n">
        <x:v>59.361328139024444</x:v>
      </x:c>
      <x:c r="N233" s="31" t="n">
        <x:v>166</x:v>
      </x:c>
      <x:c r="O233" s="31" t="n">
        <x:v>5.137251261102342</x:v>
      </x:c>
      <x:c r="P233" s="31" t="n">
        <x:v>4.726554518831302</x:v>
      </x:c>
      <x:c r="Q233" s="40" t="n">
        <x:v>0.9908056936593339</x:v>
      </x:c>
      <x:c r="R233" s="31" t="n">
        <x:v>0.1045364217961707</x:v>
      </x:c>
      <x:c r="S233" s="40"/>
      <x:c r="T233" s="40"/>
      <x:c r="U233" s="40" t="n">
        <x:v>1</x:v>
      </x:c>
      <x:c r="V233" s="40" t="n">
        <x:v>0.905468909623374</x:v>
      </x:c>
      <x:c r="W233" s="31" t="n">
        <x:v>0</x:v>
      </x:c>
      <x:c r="X233" s="31" t="str"/>
      <x:c r="Y233" s="31" t="n">
        <x:v>0</x:v>
      </x:c>
      <x:c r="Z233" s="31" t="n">
        <x:v>0</x:v>
      </x:c>
      <x:c r="AA233" s="31" t="n">
        <x:v>0</x:v>
      </x:c>
      <x:c r="AB233" s="31" t="str"/>
      <x:c r="AC233" s="31" t="str"/>
    </x:row>
    <x:row r="234">
      <x:c r="A234" s="31" t="str">
        <x:v>44b1a5ff4ba69edd</x:v>
      </x:c>
      <x:c r="B234" s="31" t="str">
        <x:v>44b1a5ff4ba69edd2c10fdd0fdf9b8cc212196354c2230675614b01c454478d2</x:v>
      </x:c>
      <x:c r="C234" s="31" t="n">
        <x:v>5</x:v>
      </x:c>
      <x:c r="D234" s="31" t="n">
        <x:v>37141</x:v>
      </x:c>
      <x:c r="E234" s="31" t="str">
        <x:v>Manhattan</x:v>
      </x:c>
      <x:c r="F234" s="31" t="str">
        <x:v>Upper West Side-Manhattan Valley</x:v>
      </x:c>
      <x:c r="G234" s="31" t="n">
        <x:v>114439.8604628109</x:v>
      </x:c>
      <x:c r="H234" s="31" t="n">
        <x:v>19808</x:v>
      </x:c>
      <x:c r="I234" s="31" t="n">
        <x:v>11.424015202095424</x:v>
      </x:c>
      <x:c r="J234" s="40" t="n">
        <x:v>0.5237782714054927</x:v>
      </x:c>
      <x:c r="K234" s="40" t="n">
        <x:v>0.45915791599353795</x:v>
      </x:c>
      <x:c r="L234" s="40" t="n">
        <x:v>0.15508885298869143</x:v>
      </x:c>
      <x:c r="M234" s="31" t="n">
        <x:v>124.20071548171083</x:v>
      </x:c>
      <x:c r="N234" s="31" t="n">
        <x:v>391</x:v>
      </x:c>
      <x:c r="O234" s="31" t="n">
        <x:v>10.527449449395545</x:v>
      </x:c>
      <x:c r="P234" s="31" t="n">
        <x:v>2.2047657512116317</x:v>
      </x:c>
      <x:c r="Q234" s="40" t="n">
        <x:v>0.06825525040387723</x:v>
      </x:c>
      <x:c r="R234" s="31" t="n">
        <x:v>0.09548043924217592</x:v>
      </x:c>
      <x:c r="S234" s="40"/>
      <x:c r="T234" s="40"/>
      <x:c r="U234" s="40" t="n">
        <x:v>1</x:v>
      </x:c>
      <x:c r="V234" s="40" t="n">
        <x:v>0.992376817447496</x:v>
      </x:c>
      <x:c r="W234" s="31" t="n">
        <x:v>1</x:v>
      </x:c>
      <x:c r="X234" s="31" t="str"/>
      <x:c r="Y234" s="31" t="n">
        <x:v>1</x:v>
      </x:c>
      <x:c r="Z234" s="31" t="n">
        <x:v>0</x:v>
      </x:c>
      <x:c r="AA234" s="31" t="n">
        <x:v>0</x:v>
      </x:c>
      <x:c r="AB234" s="31" t="str"/>
      <x:c r="AC234" s="31" t="str"/>
    </x:row>
    <x:row r="235">
      <x:c r="A235" s="31" t="str">
        <x:v>44e092edc5f60602</x:v>
      </x:c>
      <x:c r="B235" s="31" t="str">
        <x:v>44e092edc5f60602e64cc8e74983298df1cc8983515342675cbfd44aa7087897</x:v>
      </x:c>
      <x:c r="C235" s="31" t="n">
        <x:v>8</x:v>
      </x:c>
      <x:c r="D235" s="31" t="n">
        <x:v>34732</x:v>
      </x:c>
      <x:c r="E235" s="31" t="str">
        <x:v>Bronx</x:v>
      </x:c>
      <x:c r="F235" s="31" t="str">
        <x:v>Riverdale-Spuyten Duyvil</x:v>
      </x:c>
      <x:c r="G235" s="31" t="n">
        <x:v>46107.219162529655</x:v>
      </x:c>
      <x:c r="H235" s="31" t="n">
        <x:v>15719</x:v>
      </x:c>
      <x:c r="I235" s="31" t="n">
        <x:v>9.814733384853168</x:v>
      </x:c>
      <x:c r="J235" s="40" t="n">
        <x:v>0.38361218907055156</x:v>
      </x:c>
      <x:c r="K235" s="40" t="n">
        <x:v>0.5403015458998665</x:v>
      </x:c>
      <x:c r="L235" s="40" t="n">
        <x:v>0.06482600674343152</x:v>
      </x:c>
      <x:c r="M235" s="31" t="n">
        <x:v>107.33039777849324</x:v>
      </x:c>
      <x:c r="N235" s="31" t="n">
        <x:v>250</x:v>
      </x:c>
      <x:c r="O235" s="31" t="n">
        <x:v>7.197973050788898</x:v>
      </x:c>
      <x:c r="P235" s="31" t="n">
        <x:v>1</x:v>
      </x:c>
      <x:c r="Q235" s="40" t="n">
        <x:v>0</x:v>
      </x:c>
      <x:c r="R235" s="31" t="n">
        <x:v>0.177944057726638</x:v>
      </x:c>
      <x:c r="S235" s="40"/>
      <x:c r="T235" s="40"/>
      <x:c r="U235" s="40" t="n">
        <x:v>1</x:v>
      </x:c>
      <x:c r="V235" s="40" t="n">
        <x:v>0.9959921114574718</x:v>
      </x:c>
      <x:c r="W235" s="31" t="n">
        <x:v>0</x:v>
      </x:c>
      <x:c r="X235" s="31" t="str"/>
      <x:c r="Y235" s="31" t="n">
        <x:v>0</x:v>
      </x:c>
      <x:c r="Z235" s="31" t="n">
        <x:v>0</x:v>
      </x:c>
      <x:c r="AA235" s="31" t="n">
        <x:v>0</x:v>
      </x:c>
      <x:c r="AB235" s="31" t="str"/>
      <x:c r="AC235" s="31" t="str"/>
    </x:row>
    <x:row r="236">
      <x:c r="A236" s="31" t="str">
        <x:v>4523514e31a95e98</x:v>
      </x:c>
      <x:c r="B236" s="31" t="str">
        <x:v>4523514e31a95e9817e3da258b0019f49fb563c11a5b25a8ec1b58be2b8ec2ea</x:v>
      </x:c>
      <x:c r="C236" s="31" t="n">
        <x:v>9</x:v>
      </x:c>
      <x:c r="D236" s="31" t="n">
        <x:v>33671</x:v>
      </x:c>
      <x:c r="E236" s="31" t="str">
        <x:v>Brooklyn</x:v>
      </x:c>
      <x:c r="F236" s="31" t="str">
        <x:v>Bedford-Stuyvesant (East)</x:v>
      </x:c>
      <x:c r="G236" s="31" t="n">
        <x:v>58380.22346916064</x:v>
      </x:c>
      <x:c r="H236" s="31" t="n">
        <x:v>14757</x:v>
      </x:c>
      <x:c r="I236" s="31" t="n">
        <x:v>3.418365194911219</x:v>
      </x:c>
      <x:c r="J236" s="40" t="n">
        <x:v>0.0033882225384563257</x:v>
      </x:c>
      <x:c r="K236" s="40" t="n">
        <x:v>0.767025818255743</x:v>
      </x:c>
      <x:c r="L236" s="40" t="n">
        <x:v>0.07305007792911838</x:v>
      </x:c>
      <x:c r="M236" s="31" t="n">
        <x:v>42.98298720013466</x:v>
      </x:c>
      <x:c r="N236" s="31" t="n">
        <x:v>68</x:v>
      </x:c>
      <x:c r="O236" s="31" t="n">
        <x:v>2.019542039143477</x:v>
      </x:c>
      <x:c r="P236" s="31" t="n">
        <x:v>4.2757335501795755</x:v>
      </x:c>
      <x:c r="Q236" s="40" t="n">
        <x:v>1</x:v>
      </x:c>
      <x:c r="R236" s="31" t="n">
        <x:v>0.13461238556606533</x:v>
      </x:c>
      <x:c r="S236" s="40"/>
      <x:c r="T236" s="40"/>
      <x:c r="U236" s="40" t="n">
        <x:v>1</x:v>
      </x:c>
      <x:c r="V236" s="40" t="n">
        <x:v>0.991393914752321</x:v>
      </x:c>
      <x:c r="W236" s="31" t="n">
        <x:v>1</x:v>
      </x:c>
      <x:c r="X236" s="31" t="str"/>
      <x:c r="Y236" s="31" t="n">
        <x:v>0</x:v>
      </x:c>
      <x:c r="Z236" s="31" t="n">
        <x:v>1</x:v>
      </x:c>
      <x:c r="AA236" s="31" t="n">
        <x:v>0</x:v>
      </x:c>
      <x:c r="AB236" s="31" t="str"/>
      <x:c r="AC236" s="31" t="str"/>
    </x:row>
    <x:row r="237">
      <x:c r="A237" s="31" t="str">
        <x:v>452fc7c429bb1570</x:v>
      </x:c>
      <x:c r="B237" s="31" t="str">
        <x:v>452fc7c429bb15707474fdc8fcf90d90cafef95f2a68f70e0320e80d6cce09b8</x:v>
      </x:c>
      <x:c r="C237" s="31" t="n">
        <x:v>8</x:v>
      </x:c>
      <x:c r="D237" s="31" t="n">
        <x:v>33754</x:v>
      </x:c>
      <x:c r="E237" s="31" t="str">
        <x:v>Brooklyn</x:v>
      </x:c>
      <x:c r="F237" s="31" t="str">
        <x:v>East New York-New Lots</x:v>
      </x:c>
      <x:c r="G237" s="31" t="n">
        <x:v>45407.15946715245</x:v>
      </x:c>
      <x:c r="H237" s="31" t="n">
        <x:v>11968</x:v>
      </x:c>
      <x:c r="I237" s="31" t="n">
        <x:v>4.6165898224043715</x:v>
      </x:c>
      <x:c r="J237" s="40" t="n">
        <x:v>0.0912433155080214</x:v>
      </x:c>
      <x:c r="K237" s="40" t="n">
        <x:v>0.466326871657754</x:v>
      </x:c>
      <x:c r="L237" s="40" t="n">
        <x:v>0.31642713903743314</x:v>
      </x:c>
      <x:c r="M237" s="31" t="n">
        <x:v>58.99597267460635</x:v>
      </x:c>
      <x:c r="N237" s="31" t="n">
        <x:v>89</x:v>
      </x:c>
      <x:c r="O237" s="31" t="n">
        <x:v>2.6367245363512475</x:v>
      </x:c>
      <x:c r="P237" s="31" t="n">
        <x:v>5</x:v>
      </x:c>
      <x:c r="Q237" s="40" t="n">
        <x:v>1</x:v>
      </x:c>
      <x:c r="R237" s="31" t="n">
        <x:v>0.12425417524069397</x:v>
      </x:c>
      <x:c r="S237" s="40"/>
      <x:c r="T237" s="40"/>
      <x:c r="U237" s="40" t="n">
        <x:v>1</x:v>
      </x:c>
      <x:c r="V237" s="40" t="n">
        <x:v>0.9954879679144385</x:v>
      </x:c>
      <x:c r="W237" s="31" t="n">
        <x:v>0</x:v>
      </x:c>
      <x:c r="X237" s="31" t="str"/>
      <x:c r="Y237" s="31" t="n">
        <x:v>0</x:v>
      </x:c>
      <x:c r="Z237" s="31" t="n">
        <x:v>0</x:v>
      </x:c>
      <x:c r="AA237" s="31" t="n">
        <x:v>0</x:v>
      </x:c>
      <x:c r="AB237" s="31" t="str"/>
      <x:c r="AC237" s="31" t="str"/>
    </x:row>
    <x:row r="238">
      <x:c r="A238" s="31" t="str">
        <x:v>465e49b2a39fa79a</x:v>
      </x:c>
      <x:c r="B238" s="31" t="str">
        <x:v>465e49b2a39fa79a71b4ae1d96fb17d3ffa1bdcd43398aaa9b56e944e0b4bc97</x:v>
      </x:c>
      <x:c r="C238" s="31" t="n">
        <x:v>7</x:v>
      </x:c>
      <x:c r="D238" s="31" t="n">
        <x:v>37290</x:v>
      </x:c>
      <x:c r="E238" s="31" t="str">
        <x:v>Manhattan</x:v>
      </x:c>
      <x:c r="F238" s="31" t="str">
        <x:v>West Village</x:v>
      </x:c>
      <x:c r="G238" s="31" t="n">
        <x:v>76453.24470496751</x:v>
      </x:c>
      <x:c r="H238" s="31" t="n">
        <x:v>25547</x:v>
      </x:c>
      <x:c r="I238" s="31" t="n">
        <x:v>7.7722600728297895</x:v>
      </x:c>
      <x:c r="J238" s="40" t="n">
        <x:v>0.23634869064860844</x:v>
      </x:c>
      <x:c r="K238" s="40" t="n">
        <x:v>0.7571534818178259</x:v>
      </x:c>
      <x:c r="L238" s="40" t="n">
        <x:v>0.07049751438525072</x:v>
      </x:c>
      <x:c r="M238" s="31" t="n">
        <x:v>87.52259940875861</x:v>
      </x:c>
      <x:c r="N238" s="31" t="n">
        <x:v>569</x:v>
      </x:c>
      <x:c r="O238" s="31" t="n">
        <x:v>15.258782515419682</x:v>
      </x:c>
      <x:c r="P238" s="31" t="n">
        <x:v>1.1344972012369359</x:v>
      </x:c>
      <x:c r="Q238" s="40" t="n">
        <x:v>0</x:v>
      </x:c>
      <x:c r="R238" s="31" t="n">
        <x:v>0.17271662912580196</x:v>
      </x:c>
      <x:c r="S238" s="40"/>
      <x:c r="T238" s="40"/>
      <x:c r="U238" s="40" t="n">
        <x:v>1</x:v>
      </x:c>
      <x:c r="V238" s="40" t="n">
        <x:v>0.9897835362273457</x:v>
      </x:c>
      <x:c r="W238" s="31" t="n">
        <x:v>0</x:v>
      </x:c>
      <x:c r="X238" s="31" t="str"/>
      <x:c r="Y238" s="31" t="n">
        <x:v>0</x:v>
      </x:c>
      <x:c r="Z238" s="31" t="n">
        <x:v>0</x:v>
      </x:c>
      <x:c r="AA238" s="31" t="n">
        <x:v>0</x:v>
      </x:c>
      <x:c r="AB238" s="31" t="str"/>
      <x:c r="AC238" s="31" t="str"/>
    </x:row>
    <x:row r="239">
      <x:c r="A239" s="31" t="str">
        <x:v>46830be2bac273f1</x:v>
      </x:c>
      <x:c r="B239" s="31" t="str">
        <x:v>46830be2bac273f1123e154adafdae569114068a738a34982e1c93b05a704dcc</x:v>
      </x:c>
      <x:c r="C239" s="31" t="n">
        <x:v>10</x:v>
      </x:c>
      <x:c r="D239" s="31" t="n">
        <x:v>35796</x:v>
      </x:c>
      <x:c r="E239" s="31" t="str">
        <x:v>Brooklyn</x:v>
      </x:c>
      <x:c r="F239" s="31" t="str">
        <x:v>Bensonhurst</x:v>
      </x:c>
      <x:c r="G239" s="31" t="n">
        <x:v>51988.41823139404</x:v>
      </x:c>
      <x:c r="H239" s="31" t="n">
        <x:v>11489</x:v>
      </x:c>
      <x:c r="I239" s="31" t="n">
        <x:v>2.6359443426677136</x:v>
      </x:c>
      <x:c r="J239" s="40" t="n">
        <x:v>0.00017407955435634086</x:v>
      </x:c>
      <x:c r="K239" s="40" t="n">
        <x:v>0.3737488032030638</x:v>
      </x:c>
      <x:c r="L239" s="40" t="n">
        <x:v>0.025502654713203933</x:v>
      </x:c>
      <x:c r="M239" s="31" t="n">
        <x:v>32.29880020625666</x:v>
      </x:c>
      <x:c r="N239" s="31" t="n">
        <x:v>73</x:v>
      </x:c>
      <x:c r="O239" s="31" t="n">
        <x:v>2.0393340037993073</x:v>
      </x:c>
      <x:c r="P239" s="31" t="n">
        <x:v>3.9247105927408827</x:v>
      </x:c>
      <x:c r="Q239" s="40" t="n">
        <x:v>0.9247105927408826</x:v>
      </x:c>
      <x:c r="R239" s="31" t="n">
        <x:v>0.18958386355141316</x:v>
      </x:c>
      <x:c r="S239" s="40"/>
      <x:c r="T239" s="40"/>
      <x:c r="U239" s="40" t="n">
        <x:v>1</x:v>
      </x:c>
      <x:c r="V239" s="40" t="n">
        <x:v>0.9963443293585168</x:v>
      </x:c>
      <x:c r="W239" s="31" t="n">
        <x:v>0</x:v>
      </x:c>
      <x:c r="X239" s="31" t="str"/>
      <x:c r="Y239" s="31" t="n">
        <x:v>0</x:v>
      </x:c>
      <x:c r="Z239" s="31" t="n">
        <x:v>0</x:v>
      </x:c>
      <x:c r="AA239" s="31" t="n">
        <x:v>0</x:v>
      </x:c>
      <x:c r="AB239" s="31" t="str"/>
      <x:c r="AC239" s="31" t="str"/>
    </x:row>
    <x:row r="240">
      <x:c r="A240" s="31" t="str">
        <x:v>469752e4506844dd</x:v>
      </x:c>
      <x:c r="B240" s="31" t="str">
        <x:v>469752e4506844ddd26f5b1118140f63af290577cba63643a769c4ffa1025d1a</x:v>
      </x:c>
      <x:c r="C240" s="31" t="n">
        <x:v>7</x:v>
      </x:c>
      <x:c r="D240" s="31" t="n">
        <x:v>34174</x:v>
      </x:c>
      <x:c r="E240" s="31" t="str">
        <x:v>Brooklyn</x:v>
      </x:c>
      <x:c r="F240" s="31" t="str">
        <x:v>Williamsburg</x:v>
      </x:c>
      <x:c r="G240" s="31" t="n">
        <x:v>66888.14742246951</x:v>
      </x:c>
      <x:c r="H240" s="31" t="n">
        <x:v>16706</x:v>
      </x:c>
      <x:c r="I240" s="31" t="n">
        <x:v>5.840013219564956</x:v>
      </x:c>
      <x:c r="J240" s="40" t="n">
        <x:v>0.06991500059858734</x:v>
      </x:c>
      <x:c r="K240" s="40" t="n">
        <x:v>0.8990183167724171</x:v>
      </x:c>
      <x:c r="L240" s="40" t="n">
        <x:v>0.04968274871303723</x:v>
      </x:c>
      <x:c r="M240" s="31" t="n">
        <x:v>64.28080771818182</x:v>
      </x:c>
      <x:c r="N240" s="31" t="n">
        <x:v>378</x:v>
      </x:c>
      <x:c r="O240" s="31" t="n">
        <x:v>11.06104055714871</x:v>
      </x:c>
      <x:c r="P240" s="31" t="n">
        <x:v>3.023823775888902</x:v>
      </x:c>
      <x:c r="Q240" s="40" t="n">
        <x:v>0.02382377588890219</x:v>
      </x:c>
      <x:c r="R240" s="31" t="n">
        <x:v>0.08611590120676292</x:v>
      </x:c>
      <x:c r="S240" s="40"/>
      <x:c r="T240" s="40"/>
      <x:c r="U240" s="40" t="n">
        <x:v>1</x:v>
      </x:c>
      <x:c r="V240" s="40" t="n">
        <x:v>0.9639650424997007</x:v>
      </x:c>
      <x:c r="W240" s="31" t="n">
        <x:v>0</x:v>
      </x:c>
      <x:c r="X240" s="31" t="str"/>
      <x:c r="Y240" s="31" t="n">
        <x:v>0</x:v>
      </x:c>
      <x:c r="Z240" s="31" t="n">
        <x:v>0</x:v>
      </x:c>
      <x:c r="AA240" s="31" t="n">
        <x:v>0</x:v>
      </x:c>
      <x:c r="AB240" s="31" t="str"/>
      <x:c r="AC240" s="31" t="str"/>
    </x:row>
    <x:row r="241">
      <x:c r="A241" s="31" t="str">
        <x:v>473039bcbaf47ec8</x:v>
      </x:c>
      <x:c r="B241" s="31" t="str">
        <x:v>473039bcbaf47ec81ae13c3e6741701aa3f2b8a1153619cb7d706e71a2899e1f</x:v>
      </x:c>
      <x:c r="C241" s="31" t="n">
        <x:v>14</x:v>
      </x:c>
      <x:c r="D241" s="31" t="n">
        <x:v>34123</x:v>
      </x:c>
      <x:c r="E241" s="31" t="str">
        <x:v>Queens</x:v>
      </x:c>
      <x:c r="F241" s="31" t="str">
        <x:v>Woodhaven</x:v>
      </x:c>
      <x:c r="G241" s="31" t="n">
        <x:v>41358.67899036482</x:v>
      </x:c>
      <x:c r="H241" s="31" t="n">
        <x:v>10076</x:v>
      </x:c>
      <x:c r="I241" s="31" t="n">
        <x:v>2.8627290777325523</x:v>
      </x:c>
      <x:c r="J241" s="40" t="n">
        <x:v>0</x:v>
      </x:c>
      <x:c r="K241" s="40" t="n">
        <x:v>0.27332274712187377</x:v>
      </x:c>
      <x:c r="L241" s="40" t="n">
        <x:v>0.08038904327113934</x:v>
      </x:c>
      <x:c r="M241" s="31" t="n">
        <x:v>34.67776130789312</x:v>
      </x:c>
      <x:c r="N241" s="31" t="n">
        <x:v>29</x:v>
      </x:c>
      <x:c r="O241" s="31" t="n">
        <x:v>0.8498666588518008</x:v>
      </x:c>
      <x:c r="P241" s="31" t="n">
        <x:v>2.521834061135371</x:v>
      </x:c>
      <x:c r="Q241" s="40" t="n">
        <x:v>0.08505359269551409</x:v>
      </x:c>
      <x:c r="R241" s="31" t="n">
        <x:v>0.1463019219405419</x:v>
      </x:c>
      <x:c r="S241" s="40"/>
      <x:c r="T241" s="40"/>
      <x:c r="U241" s="40" t="n">
        <x:v>1</x:v>
      </x:c>
      <x:c r="V241" s="40" t="n">
        <x:v>0.9991067884080984</x:v>
      </x:c>
      <x:c r="W241" s="31" t="n">
        <x:v>0</x:v>
      </x:c>
      <x:c r="X241" s="31" t="str"/>
      <x:c r="Y241" s="31" t="n">
        <x:v>0</x:v>
      </x:c>
      <x:c r="Z241" s="31" t="n">
        <x:v>0</x:v>
      </x:c>
      <x:c r="AA241" s="31" t="n">
        <x:v>0</x:v>
      </x:c>
      <x:c r="AB241" s="31" t="str"/>
      <x:c r="AC241" s="31" t="str"/>
    </x:row>
    <x:row r="242">
      <x:c r="A242" s="31" t="str">
        <x:v>47bb83b4ad51844b</x:v>
      </x:c>
      <x:c r="B242" s="31" t="str">
        <x:v>47bb83b4ad51844b8a84f570641762da1d60aab607fcd85049b5efbaa73df00c</x:v>
      </x:c>
      <x:c r="C242" s="31" t="n">
        <x:v>13</x:v>
      </x:c>
      <x:c r="D242" s="31" t="n">
        <x:v>35592</x:v>
      </x:c>
      <x:c r="E242" s="31" t="str">
        <x:v>Brooklyn</x:v>
      </x:c>
      <x:c r="F242" s="31" t="str">
        <x:v>East Flatbush-Farragut</x:v>
      </x:c>
      <x:c r="G242" s="31" t="n">
        <x:v>43176.31350057536</x:v>
      </x:c>
      <x:c r="H242" s="31" t="n">
        <x:v>14159</x:v>
      </x:c>
      <x:c r="I242" s="31" t="n">
        <x:v>5.206968966983138</x:v>
      </x:c>
      <x:c r="J242" s="40" t="n">
        <x:v>0.0817854368246345</x:v>
      </x:c>
      <x:c r="K242" s="40" t="n">
        <x:v>0.5639522565152906</x:v>
      </x:c>
      <x:c r="L242" s="40" t="n">
        <x:v>0.12451444311038916</x:v>
      </x:c>
      <x:c r="M242" s="31" t="n">
        <x:v>57.060540216619444</x:v>
      </x:c>
      <x:c r="N242" s="31" t="n">
        <x:v>155</x:v>
      </x:c>
      <x:c r="O242" s="31" t="n">
        <x:v>4.354911216003597</x:v>
      </x:c>
      <x:c r="P242" s="31" t="n">
        <x:v>4.989547284412741</x:v>
      </x:c>
      <x:c r="Q242" s="40" t="n">
        <x:v>1</x:v>
      </x:c>
      <x:c r="R242" s="31" t="n">
        <x:v>0.19664558053439585</x:v>
      </x:c>
      <x:c r="S242" s="40"/>
      <x:c r="T242" s="40"/>
      <x:c r="U242" s="40" t="n">
        <x:v>1</x:v>
      </x:c>
      <x:c r="V242" s="40" t="n">
        <x:v>0.9919485839395438</x:v>
      </x:c>
      <x:c r="W242" s="31" t="n">
        <x:v>1</x:v>
      </x:c>
      <x:c r="X242" s="31" t="str"/>
      <x:c r="Y242" s="31" t="n">
        <x:v>0</x:v>
      </x:c>
      <x:c r="Z242" s="31" t="n">
        <x:v>1</x:v>
      </x:c>
      <x:c r="AA242" s="31" t="n">
        <x:v>0</x:v>
      </x:c>
      <x:c r="AB242" s="31" t="str"/>
      <x:c r="AC242" s="31" t="str"/>
    </x:row>
    <x:row r="243">
      <x:c r="A243" s="31" t="str">
        <x:v>4855b23f3133305f</x:v>
      </x:c>
      <x:c r="B243" s="31" t="str">
        <x:v>4855b23f3133305f2295aba3a18db970969318534a6bfb72733468df5c0d975d</x:v>
      </x:c>
      <x:c r="C243" s="31" t="n">
        <x:v>5</x:v>
      </x:c>
      <x:c r="D243" s="31" t="n">
        <x:v>32621</x:v>
      </x:c>
      <x:c r="E243" s="31" t="str">
        <x:v>Manhattan</x:v>
      </x:c>
      <x:c r="F243" s="31" t="str">
        <x:v>Upper West Side-Lincoln Square</x:v>
      </x:c>
      <x:c r="G243" s="31" t="n">
        <x:v>141265.95402189431</x:v>
      </x:c>
      <x:c r="H243" s="31" t="n">
        <x:v>21920</x:v>
      </x:c>
      <x:c r="I243" s="31" t="n">
        <x:v>16.939425051334702</x:v>
      </x:c>
      <x:c r="J243" s="40" t="n">
        <x:v>0.6698448905109489</x:v>
      </x:c>
      <x:c r="K243" s="40" t="n">
        <x:v>0.32988138686131385</x:v>
      </x:c>
      <x:c r="L243" s="40" t="n">
        <x:v>0.009762773722627738</x:v>
      </x:c>
      <x:c r="M243" s="31" t="n">
        <x:v>182.96072120146124</x:v>
      </x:c>
      <x:c r="N243" s="31" t="n">
        <x:v>576</x:v>
      </x:c>
      <x:c r="O243" s="31" t="n">
        <x:v>17.65733729805953</x:v>
      </x:c>
      <x:c r="P243" s="31" t="n">
        <x:v>1</x:v>
      </x:c>
      <x:c r="Q243" s="40" t="n">
        <x:v>0</x:v>
      </x:c>
      <x:c r="R243" s="31" t="n">
        <x:v>0.14326091147377878</x:v>
      </x:c>
      <x:c r="S243" s="40"/>
      <x:c r="T243" s="40"/>
      <x:c r="U243" s="40" t="n">
        <x:v>1</x:v>
      </x:c>
      <x:c r="V243" s="40" t="n">
        <x:v>0.9993613138686132</x:v>
      </x:c>
      <x:c r="W243" s="31" t="n">
        <x:v>1</x:v>
      </x:c>
      <x:c r="X243" s="31" t="str"/>
      <x:c r="Y243" s="31" t="n">
        <x:v>1</x:v>
      </x:c>
      <x:c r="Z243" s="31" t="n">
        <x:v>0</x:v>
      </x:c>
      <x:c r="AA243" s="31" t="n">
        <x:v>0</x:v>
      </x:c>
      <x:c r="AB243" s="31" t="str"/>
      <x:c r="AC243" s="31" t="str"/>
    </x:row>
    <x:row r="244">
      <x:c r="A244" s="31" t="str">
        <x:v>48f89f774e70ab17</x:v>
      </x:c>
      <x:c r="B244" s="31" t="str">
        <x:v>48f89f774e70ab17fc02f1a1033af4cea27df5b621aef656e817a7972b2b7b8c</x:v>
      </x:c>
      <x:c r="C244" s="31" t="n">
        <x:v>6</x:v>
      </x:c>
      <x:c r="D244" s="31" t="n">
        <x:v>33094</x:v>
      </x:c>
      <x:c r="E244" s="31" t="str">
        <x:v>Queens</x:v>
      </x:c>
      <x:c r="F244" s="31" t="str">
        <x:v>Murray Hill-Broadway Flushing</x:v>
      </x:c>
      <x:c r="G244" s="31" t="n">
        <x:v>40493.95941323218</x:v>
      </x:c>
      <x:c r="H244" s="31" t="n">
        <x:v>12718</x:v>
      </x:c>
      <x:c r="I244" s="31" t="n">
        <x:v>5.080676626353648</x:v>
      </x:c>
      <x:c r="J244" s="40" t="n">
        <x:v>0.0703727001100802</x:v>
      </x:c>
      <x:c r="K244" s="40" t="n">
        <x:v>0.6894165749331655</x:v>
      </x:c>
      <x:c r="L244" s="40" t="n">
        <x:v>0.25074697279446456</x:v>
      </x:c>
      <x:c r="M244" s="31" t="n">
        <x:v>56.05159191465271</x:v>
      </x:c>
      <x:c r="N244" s="31" t="n">
        <x:v>204</x:v>
      </x:c>
      <x:c r="O244" s="31" t="n">
        <x:v>6.164259382365383</x:v>
      </x:c>
      <x:c r="P244" s="31" t="n">
        <x:v>3.808932222047492</x:v>
      </x:c>
      <x:c r="Q244" s="40" t="n">
        <x:v>0.9044661110237459</x:v>
      </x:c>
      <x:c r="R244" s="31" t="n">
        <x:v>0.21396814633170289</x:v>
      </x:c>
      <x:c r="S244" s="40"/>
      <x:c r="T244" s="40"/>
      <x:c r="U244" s="40" t="n">
        <x:v>1</x:v>
      </x:c>
      <x:c r="V244" s="40" t="n">
        <x:v>0.9769617864444095</x:v>
      </x:c>
      <x:c r="W244" s="31" t="n">
        <x:v>1</x:v>
      </x:c>
      <x:c r="X244" s="31" t="str"/>
      <x:c r="Y244" s="31" t="n">
        <x:v>0</x:v>
      </x:c>
      <x:c r="Z244" s="31" t="n">
        <x:v>0</x:v>
      </x:c>
      <x:c r="AA244" s="31" t="n">
        <x:v>1</x:v>
      </x:c>
      <x:c r="AB244" s="31" t="str"/>
      <x:c r="AC244" s="31" t="str"/>
    </x:row>
    <x:row r="245">
      <x:c r="A245" s="31" t="str">
        <x:v>493d04630d9547d9</x:v>
      </x:c>
      <x:c r="B245" s="31" t="str">
        <x:v>493d04630d9547d98b7115b193c187452556b3ebe7eefe209a1ba38f2507ec40</x:v>
      </x:c>
      <x:c r="C245" s="31" t="n">
        <x:v>9</x:v>
      </x:c>
      <x:c r="D245" s="31" t="n">
        <x:v>35034</x:v>
      </x:c>
      <x:c r="E245" s="31" t="str">
        <x:v>Staten Island</x:v>
      </x:c>
      <x:c r="F245" s="31" t="str">
        <x:v>Todt Hill-Emerson Hill-Lighthouse Hill-Manor Heights</x:v>
      </x:c>
      <x:c r="G245" s="31" t="n">
        <x:v>15225.484454706686</x:v>
      </x:c>
      <x:c r="H245" s="31" t="n">
        <x:v>12096</x:v>
      </x:c>
      <x:c r="I245" s="31" t="n">
        <x:v>2.137276663058863</x:v>
      </x:c>
      <x:c r="J245" s="40" t="n">
        <x:v>0</x:v>
      </x:c>
      <x:c r="K245" s="40" t="n">
        <x:v>0.11036706349206349</x:v>
      </x:c>
      <x:c r="L245" s="40" t="n">
        <x:v>0.053323412698412696</x:v>
      </x:c>
      <x:c r="M245" s="31" t="n">
        <x:v>27.722195714066594</x:v>
      </x:c>
      <x:c r="N245" s="31" t="n">
        <x:v>36</x:v>
      </x:c>
      <x:c r="O245" s="31" t="n">
        <x:v>1.0275732145915395</x:v>
      </x:c>
      <x:c r="P245" s="31" t="n">
        <x:v>1.1067294973544974</x:v>
      </x:c>
      <x:c r="Q245" s="40" t="n">
        <x:v>0.005539021164021164</x:v>
      </x:c>
      <x:c r="R245" s="31" t="n">
        <x:v>0.3161856265507314</x:v>
      </x:c>
      <x:c r="S245" s="40"/>
      <x:c r="T245" s="40"/>
      <x:c r="U245" s="40" t="n">
        <x:v>1</x:v>
      </x:c>
      <x:c r="V245" s="40" t="n">
        <x:v>0.9906580687830688</x:v>
      </x:c>
      <x:c r="W245" s="31" t="n">
        <x:v>0</x:v>
      </x:c>
      <x:c r="X245" s="31" t="str"/>
      <x:c r="Y245" s="31" t="n">
        <x:v>0</x:v>
      </x:c>
      <x:c r="Z245" s="31" t="n">
        <x:v>0</x:v>
      </x:c>
      <x:c r="AA245" s="31" t="n">
        <x:v>0</x:v>
      </x:c>
      <x:c r="AB245" s="31" t="str"/>
      <x:c r="AC245" s="31" t="str"/>
    </x:row>
    <x:row r="246">
      <x:c r="A246" s="31" t="str">
        <x:v>49b8490dae65dc0f</x:v>
      </x:c>
      <x:c r="B246" s="31" t="str">
        <x:v>49b8490dae65dc0fc4b53b7ebbeeeadea6bd70e0716a379a387c76104d3ea1ff</x:v>
      </x:c>
      <x:c r="C246" s="31" t="n">
        <x:v>9</x:v>
      </x:c>
      <x:c r="D246" s="31" t="n">
        <x:v>32226</x:v>
      </x:c>
      <x:c r="E246" s="31" t="str">
        <x:v>Bronx</x:v>
      </x:c>
      <x:c r="F246" s="31" t="str">
        <x:v>Throgs Neck-Schuylerville</x:v>
      </x:c>
      <x:c r="G246" s="31" t="n">
        <x:v>20632.619819910553</x:v>
      </x:c>
      <x:c r="H246" s="31" t="n">
        <x:v>11534</x:v>
      </x:c>
      <x:c r="I246" s="31" t="n">
        <x:v>2.795973684210526</x:v>
      </x:c>
      <x:c r="J246" s="40" t="n">
        <x:v>0</x:v>
      </x:c>
      <x:c r="K246" s="40" t="n">
        <x:v>0.3767123287671233</x:v>
      </x:c>
      <x:c r="L246" s="40" t="n">
        <x:v>0.2840298248656147</x:v>
      </x:c>
      <x:c r="M246" s="31" t="n">
        <x:v>41.74788273406217</x:v>
      </x:c>
      <x:c r="N246" s="31" t="n">
        <x:v>55</x:v>
      </x:c>
      <x:c r="O246" s="31" t="n">
        <x:v>1.7066964562775397</x:v>
      </x:c>
      <x:c r="P246" s="31" t="n">
        <x:v>1</x:v>
      </x:c>
      <x:c r="Q246" s="40" t="n">
        <x:v>0</x:v>
      </x:c>
      <x:c r="R246" s="31" t="n">
        <x:v>0.3458835506372638</x:v>
      </x:c>
      <x:c r="S246" s="40"/>
      <x:c r="T246" s="40"/>
      <x:c r="U246" s="40" t="n">
        <x:v>1</x:v>
      </x:c>
      <x:c r="V246" s="40" t="n">
        <x:v>0.9984393965666725</x:v>
      </x:c>
      <x:c r="W246" s="31" t="n">
        <x:v>0</x:v>
      </x:c>
      <x:c r="X246" s="31" t="str"/>
      <x:c r="Y246" s="31" t="n">
        <x:v>0</x:v>
      </x:c>
      <x:c r="Z246" s="31" t="n">
        <x:v>0</x:v>
      </x:c>
      <x:c r="AA246" s="31" t="n">
        <x:v>0</x:v>
      </x:c>
      <x:c r="AB246" s="31" t="str"/>
      <x:c r="AC246" s="31" t="str"/>
    </x:row>
    <x:row r="247">
      <x:c r="A247" s="31" t="str">
        <x:v>49c010de61918975</x:v>
      </x:c>
      <x:c r="B247" s="31" t="str">
        <x:v>49c010de61918975f24784b559b57593bda722d8adbd5448c5574f12fb2fd2c5</x:v>
      </x:c>
      <x:c r="C247" s="31" t="n">
        <x:v>18</x:v>
      </x:c>
      <x:c r="D247" s="31" t="n">
        <x:v>32888</x:v>
      </x:c>
      <x:c r="E247" s="31" t="str">
        <x:v>Queens</x:v>
      </x:c>
      <x:c r="F247" s="31" t="str">
        <x:v>St. Albans</x:v>
      </x:c>
      <x:c r="G247" s="31" t="n">
        <x:v>23638.162726093728</x:v>
      </x:c>
      <x:c r="H247" s="31" t="n">
        <x:v>9659</x:v>
      </x:c>
      <x:c r="I247" s="31" t="n">
        <x:v>2.1659138448793627</x:v>
      </x:c>
      <x:c r="J247" s="40" t="n">
        <x:v>0</x:v>
      </x:c>
      <x:c r="K247" s="40" t="n">
        <x:v>0.005694171239258723</x:v>
      </x:c>
      <x:c r="L247" s="40" t="n">
        <x:v>0.009317734755150636</x:v>
      </x:c>
      <x:c r="M247" s="31" t="n">
        <x:v>26.73150575669329</x:v>
      </x:c>
      <x:c r="N247" s="31" t="n">
        <x:v>6</x:v>
      </x:c>
      <x:c r="O247" s="31" t="n">
        <x:v>0.18243736317197762</x:v>
      </x:c>
      <x:c r="P247" s="31" t="n">
        <x:v>5</x:v>
      </x:c>
      <x:c r="Q247" s="40" t="n">
        <x:v>1</x:v>
      </x:c>
      <x:c r="R247" s="31" t="n">
        <x:v>0.20696877272657263</x:v>
      </x:c>
      <x:c r="S247" s="40"/>
      <x:c r="T247" s="40"/>
      <x:c r="U247" s="40" t="n">
        <x:v>1</x:v>
      </x:c>
      <x:c r="V247" s="40" t="n">
        <x:v>0.9981364530489699</x:v>
      </x:c>
      <x:c r="W247" s="31" t="n">
        <x:v>0</x:v>
      </x:c>
      <x:c r="X247" s="31" t="str"/>
      <x:c r="Y247" s="31" t="n">
        <x:v>0</x:v>
      </x:c>
      <x:c r="Z247" s="31" t="n">
        <x:v>0</x:v>
      </x:c>
      <x:c r="AA247" s="31" t="n">
        <x:v>0</x:v>
      </x:c>
      <x:c r="AB247" s="31" t="str"/>
      <x:c r="AC247" s="31" t="str"/>
    </x:row>
    <x:row r="248">
      <x:c r="A248" s="31" t="str">
        <x:v>4a0eaaaa0ad6bd8a</x:v>
      </x:c>
      <x:c r="B248" s="31" t="str">
        <x:v>4a0eaaaa0ad6bd8a5ee729ba2d246c1dd65e24793beb0e053a27b0d491fa5e9e</x:v>
      </x:c>
      <x:c r="C248" s="31" t="n">
        <x:v>7</x:v>
      </x:c>
      <x:c r="D248" s="31" t="n">
        <x:v>32240</x:v>
      </x:c>
      <x:c r="E248" s="31" t="str">
        <x:v>Brooklyn</x:v>
      </x:c>
      <x:c r="F248" s="31" t="str">
        <x:v>Flatbush (West)-Ditmas Park-Parkville</x:v>
      </x:c>
      <x:c r="G248" s="31" t="n">
        <x:v>62731.49170822544</x:v>
      </x:c>
      <x:c r="H248" s="31" t="n">
        <x:v>11598</x:v>
      </x:c>
      <x:c r="I248" s="31" t="n">
        <x:v>4.897131897829309</x:v>
      </x:c>
      <x:c r="J248" s="40" t="n">
        <x:v>0.01776168304880152</x:v>
      </x:c>
      <x:c r="K248" s="40" t="n">
        <x:v>0.7469391274357647</x:v>
      </x:c>
      <x:c r="L248" s="40" t="n">
        <x:v>0.0037075357820313846</x:v>
      </x:c>
      <x:c r="M248" s="31" t="n">
        <x:v>55.62028060858062</x:v>
      </x:c>
      <x:c r="N248" s="31" t="n">
        <x:v>160</x:v>
      </x:c>
      <x:c r="O248" s="31" t="n">
        <x:v>4.962779156327543</x:v>
      </x:c>
      <x:c r="P248" s="31" t="n">
        <x:v>3.5582859113640284</x:v>
      </x:c>
      <x:c r="Q248" s="40" t="n">
        <x:v>0.49724090360406964</x:v>
      </x:c>
      <x:c r="R248" s="31" t="n">
        <x:v>0.16826351339856568</x:v>
      </x:c>
      <x:c r="S248" s="40"/>
      <x:c r="T248" s="40"/>
      <x:c r="U248" s="40" t="n">
        <x:v>1</x:v>
      </x:c>
      <x:c r="V248" s="40" t="n">
        <x:v>0.9919813760993275</x:v>
      </x:c>
      <x:c r="W248" s="31" t="n">
        <x:v>0</x:v>
      </x:c>
      <x:c r="X248" s="31" t="str"/>
      <x:c r="Y248" s="31" t="n">
        <x:v>0</x:v>
      </x:c>
      <x:c r="Z248" s="31" t="n">
        <x:v>0</x:v>
      </x:c>
      <x:c r="AA248" s="31" t="n">
        <x:v>0</x:v>
      </x:c>
      <x:c r="AB248" s="31" t="str"/>
      <x:c r="AC248" s="31" t="str"/>
    </x:row>
    <x:row r="249">
      <x:c r="A249" s="31" t="str">
        <x:v>4a307aff8bdebb85</x:v>
      </x:c>
      <x:c r="B249" s="31" t="str">
        <x:v>4a307aff8bdebb8563e5568486d7de141e353f3e0bbfb2a71850db7d012ef379</x:v>
      </x:c>
      <x:c r="C249" s="31" t="n">
        <x:v>8</x:v>
      </x:c>
      <x:c r="D249" s="31" t="n">
        <x:v>33786</x:v>
      </x:c>
      <x:c r="E249" s="31" t="str">
        <x:v>Brooklyn</x:v>
      </x:c>
      <x:c r="F249" s="31" t="str">
        <x:v>Bensonhurst</x:v>
      </x:c>
      <x:c r="G249" s="31" t="n">
        <x:v>66815.91430112798</x:v>
      </x:c>
      <x:c r="H249" s="31" t="n">
        <x:v>10919</x:v>
      </x:c>
      <x:c r="I249" s="31" t="n">
        <x:v>3.1380005498029875</x:v>
      </x:c>
      <x:c r="J249" s="40" t="n">
        <x:v>0</x:v>
      </x:c>
      <x:c r="K249" s="40" t="n">
        <x:v>0.4337393534206429</x:v>
      </x:c>
      <x:c r="L249" s="40" t="n">
        <x:v>0.004029673046982324</x:v>
      </x:c>
      <x:c r="M249" s="31" t="n">
        <x:v>36.99568722535888</x:v>
      </x:c>
      <x:c r="N249" s="31" t="n">
        <x:v>65</x:v>
      </x:c>
      <x:c r="O249" s="31" t="n">
        <x:v>1.9238737938791215</x:v>
      </x:c>
      <x:c r="P249" s="31" t="n">
        <x:v>4</x:v>
      </x:c>
      <x:c r="Q249" s="40" t="n">
        <x:v>1</x:v>
      </x:c>
      <x:c r="R249" s="31" t="n">
        <x:v>0.1603670135008333</x:v>
      </x:c>
      <x:c r="S249" s="40"/>
      <x:c r="T249" s="40"/>
      <x:c r="U249" s="40" t="n">
        <x:v>1</x:v>
      </x:c>
      <x:c r="V249" s="40" t="n">
        <x:v>0.9990841652165949</x:v>
      </x:c>
      <x:c r="W249" s="31" t="n">
        <x:v>0</x:v>
      </x:c>
      <x:c r="X249" s="31" t="str"/>
      <x:c r="Y249" s="31" t="n">
        <x:v>0</x:v>
      </x:c>
      <x:c r="Z249" s="31" t="n">
        <x:v>0</x:v>
      </x:c>
      <x:c r="AA249" s="31" t="n">
        <x:v>0</x:v>
      </x:c>
      <x:c r="AB249" s="31" t="str"/>
      <x:c r="AC249" s="31" t="str"/>
    </x:row>
    <x:row r="250">
      <x:c r="A250" s="31" t="str">
        <x:v>4a5e228a9a9f6547</x:v>
      </x:c>
      <x:c r="B250" s="31" t="str">
        <x:v>4a5e228a9a9f65476f2c35f22f0cdbac164eef4fd08cdac8975231dbc2b0534f</x:v>
      </x:c>
      <x:c r="C250" s="31" t="n">
        <x:v>9</x:v>
      </x:c>
      <x:c r="D250" s="31" t="n">
        <x:v>32436</x:v>
      </x:c>
      <x:c r="E250" s="31" t="str">
        <x:v>Bronx</x:v>
      </x:c>
      <x:c r="F250" s="31" t="str">
        <x:v>Mott Haven-Port Morris</x:v>
      </x:c>
      <x:c r="G250" s="31" t="n">
        <x:v>48448.89436954611</x:v>
      </x:c>
      <x:c r="H250" s="31" t="n">
        <x:v>13683</x:v>
      </x:c>
      <x:c r="I250" s="31" t="n">
        <x:v>8.575056639625814</x:v>
      </x:c>
      <x:c r="J250" s="40" t="n">
        <x:v>0.3103120660673829</x:v>
      </x:c>
      <x:c r="K250" s="40" t="n">
        <x:v>0.6471534020317182</x:v>
      </x:c>
      <x:c r="L250" s="40" t="n">
        <x:v>0.1927208945406709</x:v>
      </x:c>
      <x:c r="M250" s="31" t="n">
        <x:v>87.20865455304966</x:v>
      </x:c>
      <x:c r="N250" s="31" t="n">
        <x:v>189</x:v>
      </x:c>
      <x:c r="O250" s="31" t="n">
        <x:v>5.826859045504994</x:v>
      </x:c>
      <x:c r="P250" s="31" t="n">
        <x:v>5</x:v>
      </x:c>
      <x:c r="Q250" s="40" t="n">
        <x:v>1</x:v>
      </x:c>
      <x:c r="R250" s="31" t="n">
        <x:v>0.0838439590719405</x:v>
      </x:c>
      <x:c r="S250" s="40"/>
      <x:c r="T250" s="40"/>
      <x:c r="U250" s="40" t="n">
        <x:v>1</x:v>
      </x:c>
      <x:c r="V250" s="40" t="n">
        <x:v>0.9935686618431631</x:v>
      </x:c>
      <x:c r="W250" s="31" t="n">
        <x:v>1</x:v>
      </x:c>
      <x:c r="X250" s="31" t="str"/>
      <x:c r="Y250" s="31" t="n">
        <x:v>0</x:v>
      </x:c>
      <x:c r="Z250" s="31" t="n">
        <x:v>1</x:v>
      </x:c>
      <x:c r="AA250" s="31" t="n">
        <x:v>0</x:v>
      </x:c>
      <x:c r="AB250" s="31" t="str"/>
      <x:c r="AC250" s="31" t="str"/>
    </x:row>
    <x:row r="251">
      <x:c r="A251" s="31" t="str">
        <x:v>4b10ef40e6d15c28</x:v>
      </x:c>
      <x:c r="B251" s="31" t="str">
        <x:v>4b10ef40e6d15c28b3668c307f98f0b2c0540f1cadfeaff2938f3be2e74e7177</x:v>
      </x:c>
      <x:c r="C251" s="31" t="n">
        <x:v>12</x:v>
      </x:c>
      <x:c r="D251" s="31" t="n">
        <x:v>35130</x:v>
      </x:c>
      <x:c r="E251" s="31" t="str">
        <x:v>Brooklyn</x:v>
      </x:c>
      <x:c r="F251" s="31" t="str">
        <x:v>Greenpoint</x:v>
      </x:c>
      <x:c r="G251" s="31" t="n">
        <x:v>40057.78280494895</x:v>
      </x:c>
      <x:c r="H251" s="31" t="n">
        <x:v>20808</x:v>
      </x:c>
      <x:c r="I251" s="31" t="n">
        <x:v>5.140845325501713</x:v>
      </x:c>
      <x:c r="J251" s="40" t="n">
        <x:v>0.05646866589773164</x:v>
      </x:c>
      <x:c r="K251" s="40" t="n">
        <x:v>0.8092079969242599</x:v>
      </x:c>
      <x:c r="L251" s="40" t="n">
        <x:v>0.012543252595155709</x:v>
      </x:c>
      <x:c r="M251" s="31" t="n">
        <x:v>58.63137920166126</x:v>
      </x:c>
      <x:c r="N251" s="31" t="n">
        <x:v>279</x:v>
      </x:c>
      <x:c r="O251" s="31" t="n">
        <x:v>7.941929974380871</x:v>
      </x:c>
      <x:c r="P251" s="31" t="n">
        <x:v>3</x:v>
      </x:c>
      <x:c r="Q251" s="40" t="n">
        <x:v>0</x:v>
      </x:c>
      <x:c r="R251" s="31" t="n">
        <x:v>0.12851815343856518</x:v>
      </x:c>
      <x:c r="S251" s="40"/>
      <x:c r="T251" s="40"/>
      <x:c r="U251" s="40" t="n">
        <x:v>1</x:v>
      </x:c>
      <x:c r="V251" s="40" t="n">
        <x:v>0.9636197616301423</x:v>
      </x:c>
      <x:c r="W251" s="31" t="n">
        <x:v>0</x:v>
      </x:c>
      <x:c r="X251" s="31" t="str"/>
      <x:c r="Y251" s="31" t="n">
        <x:v>0</x:v>
      </x:c>
      <x:c r="Z251" s="31" t="n">
        <x:v>0</x:v>
      </x:c>
      <x:c r="AA251" s="31" t="n">
        <x:v>0</x:v>
      </x:c>
      <x:c r="AB251" s="31" t="str"/>
      <x:c r="AC251" s="31" t="str"/>
    </x:row>
    <x:row r="252">
      <x:c r="A252" s="31" t="str">
        <x:v>4b29bd3055c8c30f</x:v>
      </x:c>
      <x:c r="B252" s="31" t="str">
        <x:v>4b29bd3055c8c30feca39770a52b1c76891d69fd73ba1b2f42b4352e112f53df</x:v>
      </x:c>
      <x:c r="C252" s="31" t="n">
        <x:v>5</x:v>
      </x:c>
      <x:c r="D252" s="31" t="n">
        <x:v>34563</x:v>
      </x:c>
      <x:c r="E252" s="31" t="str">
        <x:v>Manhattan</x:v>
      </x:c>
      <x:c r="F252" s="31" t="str">
        <x:v>Murray Hill-Kips Bay</x:v>
      </x:c>
      <x:c r="G252" s="31" t="n">
        <x:v>99354.91158207535</x:v>
      </x:c>
      <x:c r="H252" s="31" t="n">
        <x:v>27574</x:v>
      </x:c>
      <x:c r="I252" s="31" t="n">
        <x:v>24.236304117883066</x:v>
      </x:c>
      <x:c r="J252" s="40" t="n">
        <x:v>0.8772756944948139</x:v>
      </x:c>
      <x:c r="K252" s="40" t="n">
        <x:v>0.11699426996445927</x:v>
      </x:c>
      <x:c r="L252" s="40" t="n">
        <x:v>0.012548052513237108</x:v>
      </x:c>
      <x:c r="M252" s="31" t="n">
        <x:v>246.5852608912572</x:v>
      </x:c>
      <x:c r="N252" s="31" t="n">
        <x:v>583</x:v>
      </x:c>
      <x:c r="O252" s="31" t="n">
        <x:v>16.867748748661864</x:v>
      </x:c>
      <x:c r="P252" s="31" t="n">
        <x:v>2</x:v>
      </x:c>
      <x:c r="Q252" s="40" t="n">
        <x:v>0</x:v>
      </x:c>
      <x:c r="R252" s="31" t="n">
        <x:v>0.18276093147252687</x:v>
      </x:c>
      <x:c r="S252" s="40"/>
      <x:c r="T252" s="40"/>
      <x:c r="U252" s="40" t="n">
        <x:v>1</x:v>
      </x:c>
      <x:c r="V252" s="40" t="n">
        <x:v>0.9885761949662726</x:v>
      </x:c>
      <x:c r="W252" s="31" t="n">
        <x:v>1</x:v>
      </x:c>
      <x:c r="X252" s="31" t="str"/>
      <x:c r="Y252" s="31" t="n">
        <x:v>1</x:v>
      </x:c>
      <x:c r="Z252" s="31" t="n">
        <x:v>0</x:v>
      </x:c>
      <x:c r="AA252" s="31" t="n">
        <x:v>0</x:v>
      </x:c>
      <x:c r="AB252" s="31" t="str"/>
      <x:c r="AC252" s="31" t="str"/>
    </x:row>
    <x:row r="253">
      <x:c r="A253" s="31" t="str">
        <x:v>4b60031d2cd28d7e</x:v>
      </x:c>
      <x:c r="B253" s="31" t="str">
        <x:v>4b60031d2cd28d7e3374b835ba4eac84dcd7343b8d690b03684e1cb5cbfb9197</x:v>
      </x:c>
      <x:c r="C253" s="31" t="n">
        <x:v>7</x:v>
      </x:c>
      <x:c r="D253" s="31" t="n">
        <x:v>34228</x:v>
      </x:c>
      <x:c r="E253" s="31" t="str">
        <x:v>Bronx</x:v>
      </x:c>
      <x:c r="F253" s="31" t="str">
        <x:v>Soundview-Bruckner-Bronx River</x:v>
      </x:c>
      <x:c r="G253" s="31" t="n">
        <x:v>82177.856537247</x:v>
      </x:c>
      <x:c r="H253" s="31" t="n">
        <x:v>11264</x:v>
      </x:c>
      <x:c r="I253" s="31" t="n">
        <x:v>5.727361505681818</x:v>
      </x:c>
      <x:c r="J253" s="40" t="n">
        <x:v>0.1689453125</x:v>
      </x:c>
      <x:c r="K253" s="40" t="n">
        <x:v>0.5706676136363636</x:v>
      </x:c>
      <x:c r="L253" s="40" t="n">
        <x:v>0.12553267045454544</x:v>
      </x:c>
      <x:c r="M253" s="31" t="n">
        <x:v>60.230696707876525</x:v>
      </x:c>
      <x:c r="N253" s="31" t="n">
        <x:v>93</x:v>
      </x:c>
      <x:c r="O253" s="31" t="n">
        <x:v>2.7170737407970083</x:v>
      </x:c>
      <x:c r="P253" s="31" t="n">
        <x:v>4</x:v>
      </x:c>
      <x:c r="Q253" s="40" t="n">
        <x:v>1</x:v>
      </x:c>
      <x:c r="R253" s="31" t="n">
        <x:v>0.11128297614849333</x:v>
      </x:c>
      <x:c r="S253" s="40"/>
      <x:c r="T253" s="40"/>
      <x:c r="U253" s="40" t="n">
        <x:v>1</x:v>
      </x:c>
      <x:c r="V253" s="40" t="n">
        <x:v>0.9879261363636364</x:v>
      </x:c>
      <x:c r="W253" s="31" t="n">
        <x:v>1</x:v>
      </x:c>
      <x:c r="X253" s="31" t="str"/>
      <x:c r="Y253" s="31" t="n">
        <x:v>0</x:v>
      </x:c>
      <x:c r="Z253" s="31" t="n">
        <x:v>1</x:v>
      </x:c>
      <x:c r="AA253" s="31" t="n">
        <x:v>0</x:v>
      </x:c>
      <x:c r="AB253" s="31" t="str"/>
      <x:c r="AC253" s="31" t="str"/>
    </x:row>
    <x:row r="254">
      <x:c r="A254" s="31" t="str">
        <x:v>4bc4b2749565dcd3</x:v>
      </x:c>
      <x:c r="B254" s="31" t="str">
        <x:v>4bc4b2749565dcd3edb06377430d094985f76b553fe4f9ac57ba74eb72c052e9</x:v>
      </x:c>
      <x:c r="C254" s="31" t="n">
        <x:v>9</x:v>
      </x:c>
      <x:c r="D254" s="31" t="n">
        <x:v>32368</x:v>
      </x:c>
      <x:c r="E254" s="31" t="str">
        <x:v>Brooklyn</x:v>
      </x:c>
      <x:c r="F254" s="31" t="str">
        <x:v>Cypress Hills</x:v>
      </x:c>
      <x:c r="G254" s="31" t="n">
        <x:v>57248.31588414372</x:v>
      </x:c>
      <x:c r="H254" s="31" t="n">
        <x:v>9251</x:v>
      </x:c>
      <x:c r="I254" s="31" t="n">
        <x:v>3.6831347962382446</x:v>
      </x:c>
      <x:c r="J254" s="40" t="n">
        <x:v>0.12031131769538428</x:v>
      </x:c>
      <x:c r="K254" s="40" t="n">
        <x:v>0.16722516484704356</x:v>
      </x:c>
      <x:c r="L254" s="40" t="n">
        <x:v>0.011998702842935898</x:v>
      </x:c>
      <x:c r="M254" s="31" t="n">
        <x:v>41.01605920493237</x:v>
      </x:c>
      <x:c r="N254" s="31" t="n">
        <x:v>12</x:v>
      </x:c>
      <x:c r="O254" s="31" t="n">
        <x:v>0.3707365299060801</x:v>
      </x:c>
      <x:c r="P254" s="31" t="n">
        <x:v>3.4919468165603718</x:v>
      </x:c>
      <x:c r="Q254" s="40" t="n">
        <x:v>0.7459734082801859</x:v>
      </x:c>
      <x:c r="R254" s="31" t="n">
        <x:v>0.19386463264722123</x:v>
      </x:c>
      <x:c r="S254" s="40"/>
      <x:c r="T254" s="40"/>
      <x:c r="U254" s="40" t="n">
        <x:v>1</x:v>
      </x:c>
      <x:c r="V254" s="40" t="n">
        <x:v>0.9989190357799157</x:v>
      </x:c>
      <x:c r="W254" s="31" t="n">
        <x:v>0</x:v>
      </x:c>
      <x:c r="X254" s="31" t="str"/>
      <x:c r="Y254" s="31" t="n">
        <x:v>0</x:v>
      </x:c>
      <x:c r="Z254" s="31" t="n">
        <x:v>0</x:v>
      </x:c>
      <x:c r="AA254" s="31" t="n">
        <x:v>0</x:v>
      </x:c>
      <x:c r="AB254" s="31" t="str"/>
      <x:c r="AC254" s="31" t="str"/>
    </x:row>
    <x:row r="255">
      <x:c r="A255" s="31" t="str">
        <x:v>4bec3779c97d05b6</x:v>
      </x:c>
      <x:c r="B255" s="31" t="str">
        <x:v>4bec3779c97d05b64e11394129922232c4004f8d24318ff624f86543b7d68374</x:v>
      </x:c>
      <x:c r="C255" s="31" t="n">
        <x:v>7</x:v>
      </x:c>
      <x:c r="D255" s="31" t="n">
        <x:v>32846</x:v>
      </x:c>
      <x:c r="E255" s="31" t="str">
        <x:v>Manhattan</x:v>
      </x:c>
      <x:c r="F255" s="31" t="str">
        <x:v>Harlem (South)</x:v>
      </x:c>
      <x:c r="G255" s="31" t="n">
        <x:v>85017.98580286026</x:v>
      </x:c>
      <x:c r="H255" s="31" t="n">
        <x:v>16074</x:v>
      </x:c>
      <x:c r="I255" s="31" t="n">
        <x:v>7.008653723336313</x:v>
      </x:c>
      <x:c r="J255" s="40" t="n">
        <x:v>0.2026875699888018</x:v>
      </x:c>
      <x:c r="K255" s="40" t="n">
        <x:v>0.7711210650740326</x:v>
      </x:c>
      <x:c r="L255" s="40" t="n">
        <x:v>0.048836630583551074</x:v>
      </x:c>
      <x:c r="M255" s="31" t="n">
        <x:v>82.17679670771714</x:v>
      </x:c>
      <x:c r="N255" s="31" t="n">
        <x:v>323</x:v>
      </x:c>
      <x:c r="O255" s="31" t="n">
        <x:v>9.833769713207088</x:v>
      </x:c>
      <x:c r="P255" s="31" t="n">
        <x:v>4.733047156899341</x:v>
      </x:c>
      <x:c r="Q255" s="40" t="n">
        <x:v>0.942080378250591</x:v>
      </x:c>
      <x:c r="R255" s="31" t="n">
        <x:v>0.07939677956598884</x:v>
      </x:c>
      <x:c r="S255" s="40"/>
      <x:c r="T255" s="40"/>
      <x:c r="U255" s="40" t="n">
        <x:v>1</x:v>
      </x:c>
      <x:c r="V255" s="40" t="n">
        <x:v>0.966903073286052</x:v>
      </x:c>
      <x:c r="W255" s="31" t="n">
        <x:v>0</x:v>
      </x:c>
      <x:c r="X255" s="31" t="str"/>
      <x:c r="Y255" s="31" t="n">
        <x:v>0</x:v>
      </x:c>
      <x:c r="Z255" s="31" t="n">
        <x:v>0</x:v>
      </x:c>
      <x:c r="AA255" s="31" t="n">
        <x:v>0</x:v>
      </x:c>
      <x:c r="AB255" s="31" t="str"/>
      <x:c r="AC255" s="31" t="str"/>
    </x:row>
    <x:row r="256">
      <x:c r="A256" s="31" t="str">
        <x:v>4befba8f41416c31</x:v>
      </x:c>
      <x:c r="B256" s="31" t="str">
        <x:v>4befba8f41416c3183b4f2296b7809549bce04e97035a6e9ae877382237c75f9</x:v>
      </x:c>
      <x:c r="C256" s="31" t="n">
        <x:v>9</x:v>
      </x:c>
      <x:c r="D256" s="31" t="n">
        <x:v>35132</x:v>
      </x:c>
      <x:c r="E256" s="31" t="str">
        <x:v>Brooklyn</x:v>
      </x:c>
      <x:c r="F256" s="31" t="str">
        <x:v>Bensonhurst</x:v>
      </x:c>
      <x:c r="G256" s="31" t="n">
        <x:v>65533.18687852995</x:v>
      </x:c>
      <x:c r="H256" s="31" t="n">
        <x:v>11977</x:v>
      </x:c>
      <x:c r="I256" s="31" t="n">
        <x:v>3.698813800016707</x:v>
      </x:c>
      <x:c r="J256" s="40" t="n">
        <x:v>0</x:v>
      </x:c>
      <x:c r="K256" s="40" t="n">
        <x:v>0.5680888369374635</x:v>
      </x:c>
      <x:c r="L256" s="40" t="n">
        <x:v>0.006262002170827419</x:v>
      </x:c>
      <x:c r="M256" s="31" t="n">
        <x:v>42.84898411585329</x:v>
      </x:c>
      <x:c r="N256" s="31" t="n">
        <x:v>124</x:v>
      </x:c>
      <x:c r="O256" s="31" t="n">
        <x:v>3.529545713309803</x:v>
      </x:c>
      <x:c r="P256" s="31" t="n">
        <x:v>4</x:v>
      </x:c>
      <x:c r="Q256" s="40" t="n">
        <x:v>1</x:v>
      </x:c>
      <x:c r="R256" s="31" t="n">
        <x:v>0.1788697804668617</x:v>
      </x:c>
      <x:c r="S256" s="40"/>
      <x:c r="T256" s="40"/>
      <x:c r="U256" s="40" t="n">
        <x:v>1</x:v>
      </x:c>
      <x:c r="V256" s="40" t="n">
        <x:v>0.9970777323202805</x:v>
      </x:c>
      <x:c r="W256" s="31" t="n">
        <x:v>1</x:v>
      </x:c>
      <x:c r="X256" s="31" t="str"/>
      <x:c r="Y256" s="31" t="n">
        <x:v>0</x:v>
      </x:c>
      <x:c r="Z256" s="31" t="n">
        <x:v>1</x:v>
      </x:c>
      <x:c r="AA256" s="31" t="n">
        <x:v>0</x:v>
      </x:c>
      <x:c r="AB256" s="31" t="str"/>
      <x:c r="AC256" s="31" t="str"/>
    </x:row>
    <x:row r="257">
      <x:c r="A257" s="31" t="str">
        <x:v>4c88271592553ecc</x:v>
      </x:c>
      <x:c r="B257" s="31" t="str">
        <x:v>4c88271592553ecc209d9210f1c3bb4abb6765b11f0b66d961d2c663585e6e85</x:v>
      </x:c>
      <x:c r="C257" s="31" t="n">
        <x:v>11</x:v>
      </x:c>
      <x:c r="D257" s="31" t="n">
        <x:v>37649</x:v>
      </x:c>
      <x:c r="E257" s="31" t="str">
        <x:v>Queens</x:v>
      </x:c>
      <x:c r="F257" s="31" t="str">
        <x:v>Sunnyside</x:v>
      </x:c>
      <x:c r="G257" s="31" t="n">
        <x:v>49221.886778814405</x:v>
      </x:c>
      <x:c r="H257" s="31" t="n">
        <x:v>15788</x:v>
      </x:c>
      <x:c r="I257" s="31" t="n">
        <x:v>4.492617984693878</x:v>
      </x:c>
      <x:c r="J257" s="40" t="n">
        <x:v>0.0034203192297947807</x:v>
      </x:c>
      <x:c r="K257" s="40" t="n">
        <x:v>0.7985178616670889</x:v>
      </x:c>
      <x:c r="L257" s="40" t="n">
        <x:v>0.13845958956169244</x:v>
      </x:c>
      <x:c r="M257" s="31" t="n">
        <x:v>50.52661350661925</x:v>
      </x:c>
      <x:c r="N257" s="31" t="n">
        <x:v>156</x:v>
      </x:c>
      <x:c r="O257" s="31" t="n">
        <x:v>4.14353634890701</x:v>
      </x:c>
      <x:c r="P257" s="31" t="n">
        <x:v>3.0341398530529515</x:v>
      </x:c>
      <x:c r="Q257" s="40" t="n">
        <x:v>0.034139853052951606</x:v>
      </x:c>
      <x:c r="R257" s="31" t="n">
        <x:v>0.14071443274434411</x:v>
      </x:c>
      <x:c r="S257" s="40"/>
      <x:c r="T257" s="40"/>
      <x:c r="U257" s="40" t="n">
        <x:v>1</x:v>
      </x:c>
      <x:c r="V257" s="40" t="n">
        <x:v>0.997466430200152</x:v>
      </x:c>
      <x:c r="W257" s="31" t="n">
        <x:v>0</x:v>
      </x:c>
      <x:c r="X257" s="31" t="str"/>
      <x:c r="Y257" s="31" t="n">
        <x:v>0</x:v>
      </x:c>
      <x:c r="Z257" s="31" t="n">
        <x:v>0</x:v>
      </x:c>
      <x:c r="AA257" s="31" t="n">
        <x:v>0</x:v>
      </x:c>
      <x:c r="AB257" s="31" t="str"/>
      <x:c r="AC257" s="31" t="str"/>
    </x:row>
    <x:row r="258">
      <x:c r="A258" s="31" t="str">
        <x:v>4ce0284f6ca519df</x:v>
      </x:c>
      <x:c r="B258" s="31" t="str">
        <x:v>4ce0284f6ca519df1ba5d1f439439711e82ae4e19e78fa03b15574d7e79f09f3</x:v>
      </x:c>
      <x:c r="C258" s="31" t="n">
        <x:v>7</x:v>
      </x:c>
      <x:c r="D258" s="31" t="n">
        <x:v>34991</x:v>
      </x:c>
      <x:c r="E258" s="31" t="str">
        <x:v>Queens</x:v>
      </x:c>
      <x:c r="F258" s="31" t="str">
        <x:v>Murray Hill-Broadway Flushing</x:v>
      </x:c>
      <x:c r="G258" s="31" t="n">
        <x:v>21918.768756097736</x:v>
      </x:c>
      <x:c r="H258" s="31" t="n">
        <x:v>12516</x:v>
      </x:c>
      <x:c r="I258" s="31" t="n">
        <x:v>2.940831600831601</x:v>
      </x:c>
      <x:c r="J258" s="40" t="n">
        <x:v>0</x:v>
      </x:c>
      <x:c r="K258" s="40" t="n">
        <x:v>0.2897091722595078</x:v>
      </x:c>
      <x:c r="L258" s="40" t="n">
        <x:v>0.18160754234579737</x:v>
      </x:c>
      <x:c r="M258" s="31" t="n">
        <x:v>36.448126935968894</x:v>
      </x:c>
      <x:c r="N258" s="31" t="n">
        <x:v>73</x:v>
      </x:c>
      <x:c r="O258" s="31" t="n">
        <x:v>2.086250750192907</x:v>
      </x:c>
      <x:c r="P258" s="31" t="n">
        <x:v>2.9045222115691915</x:v>
      </x:c>
      <x:c r="Q258" s="40" t="n">
        <x:v>0.4380792585490572</x:v>
      </x:c>
      <x:c r="R258" s="31" t="n">
        <x:v>0.24446063919995423</x:v>
      </x:c>
      <x:c r="S258" s="40"/>
      <x:c r="T258" s="40"/>
      <x:c r="U258" s="40" t="n">
        <x:v>1</x:v>
      </x:c>
      <x:c r="V258" s="40" t="n">
        <x:v>0.9965643975711089</x:v>
      </x:c>
      <x:c r="W258" s="31" t="n">
        <x:v>0</x:v>
      </x:c>
      <x:c r="X258" s="31" t="str"/>
      <x:c r="Y258" s="31" t="n">
        <x:v>0</x:v>
      </x:c>
      <x:c r="Z258" s="31" t="n">
        <x:v>0</x:v>
      </x:c>
      <x:c r="AA258" s="31" t="n">
        <x:v>0</x:v>
      </x:c>
      <x:c r="AB258" s="31" t="str"/>
      <x:c r="AC258" s="31" t="str"/>
    </x:row>
    <x:row r="259">
      <x:c r="A259" s="31" t="str">
        <x:v>4d0699855c73f8a4</x:v>
      </x:c>
      <x:c r="B259" s="31" t="str">
        <x:v>4d0699855c73f8a466749e9eeca21ca098a6b3967f05b42f018561e59c7d418e</x:v>
      </x:c>
      <x:c r="C259" s="31" t="n">
        <x:v>9</x:v>
      </x:c>
      <x:c r="D259" s="31" t="n">
        <x:v>35156</x:v>
      </x:c>
      <x:c r="E259" s="31" t="str">
        <x:v>Staten Island</x:v>
      </x:c>
      <x:c r="F259" s="31" t="str">
        <x:v>Rosebank-Shore Acres-Park Hill</x:v>
      </x:c>
      <x:c r="G259" s="31" t="n">
        <x:v>22173.47484016334</x:v>
      </x:c>
      <x:c r="H259" s="31" t="n">
        <x:v>12188</x:v>
      </x:c>
      <x:c r="I259" s="31" t="n">
        <x:v>3.5644442618910706</x:v>
      </x:c>
      <x:c r="J259" s="40" t="n">
        <x:v>0.037659993436166724</x:v>
      </x:c>
      <x:c r="K259" s="40" t="n">
        <x:v>0.36421069904824416</x:v>
      </x:c>
      <x:c r="L259" s="40" t="n">
        <x:v>0.26222513948145715</x:v>
      </x:c>
      <x:c r="M259" s="31" t="n">
        <x:v>42.1038454813353</x:v>
      </x:c>
      <x:c r="N259" s="31" t="n">
        <x:v>72</x:v>
      </x:c>
      <x:c r="O259" s="31" t="n">
        <x:v>2.048014563659119</x:v>
      </x:c>
      <x:c r="P259" s="31" t="n">
        <x:v>2.5414341975713817</x:v>
      </x:c>
      <x:c r="Q259" s="40" t="n">
        <x:v>0</x:v>
      </x:c>
      <x:c r="R259" s="31" t="n">
        <x:v>0.2014175933070172</x:v>
      </x:c>
      <x:c r="S259" s="40"/>
      <x:c r="T259" s="40"/>
      <x:c r="U259" s="40" t="n">
        <x:v>1</x:v>
      </x:c>
      <x:c r="V259" s="40" t="n">
        <x:v>0.976370200196915</x:v>
      </x:c>
      <x:c r="W259" s="31" t="n">
        <x:v>0</x:v>
      </x:c>
      <x:c r="X259" s="31" t="str"/>
      <x:c r="Y259" s="31" t="n">
        <x:v>0</x:v>
      </x:c>
      <x:c r="Z259" s="31" t="n">
        <x:v>0</x:v>
      </x:c>
      <x:c r="AA259" s="31" t="n">
        <x:v>0</x:v>
      </x:c>
      <x:c r="AB259" s="31" t="str"/>
      <x:c r="AC259" s="31" t="str"/>
    </x:row>
    <x:row r="260">
      <x:c r="A260" s="31" t="str">
        <x:v>4d0867c725a33fe8</x:v>
      </x:c>
      <x:c r="B260" s="31" t="str">
        <x:v>4d0867c725a33fe80b15429b61e2b279574ca3318d49eeb6691110e358f0c062</x:v>
      </x:c>
      <x:c r="C260" s="31" t="n">
        <x:v>6</x:v>
      </x:c>
      <x:c r="D260" s="31" t="n">
        <x:v>34681</x:v>
      </x:c>
      <x:c r="E260" s="31" t="str">
        <x:v>Queens</x:v>
      </x:c>
      <x:c r="F260" s="31" t="str">
        <x:v>Far Rockaway-Bayswater</x:v>
      </x:c>
      <x:c r="G260" s="31" t="n">
        <x:v>31345.12819634743</x:v>
      </x:c>
      <x:c r="H260" s="31" t="n">
        <x:v>13173</x:v>
      </x:c>
      <x:c r="I260" s="31" t="n">
        <x:v>7.464249092734151</x:v>
      </x:c>
      <x:c r="J260" s="40" t="n">
        <x:v>0.2792833826766872</x:v>
      </x:c>
      <x:c r="K260" s="40" t="n">
        <x:v>0.39649282623548165</x:v>
      </x:c>
      <x:c r="L260" s="40" t="n">
        <x:v>0.23183785014803007</x:v>
      </x:c>
      <x:c r="M260" s="31" t="n">
        <x:v>84.367875285561</x:v>
      </x:c>
      <x:c r="N260" s="31" t="n">
        <x:v>159</x:v>
      </x:c>
      <x:c r="O260" s="31" t="n">
        <x:v>4.584642888036677</x:v>
      </x:c>
      <x:c r="P260" s="31" t="n">
        <x:v>5</x:v>
      </x:c>
      <x:c r="Q260" s="40" t="n">
        <x:v>1</x:v>
      </x:c>
      <x:c r="R260" s="31" t="n">
        <x:v>0.1755175384215143</x:v>
      </x:c>
      <x:c r="S260" s="40"/>
      <x:c r="T260" s="40"/>
      <x:c r="U260" s="40" t="n">
        <x:v>1</x:v>
      </x:c>
      <x:c r="V260" s="40" t="n">
        <x:v>0.979048052835345</x:v>
      </x:c>
      <x:c r="W260" s="31" t="n">
        <x:v>0</x:v>
      </x:c>
      <x:c r="X260" s="31" t="str"/>
      <x:c r="Y260" s="31" t="n">
        <x:v>0</x:v>
      </x:c>
      <x:c r="Z260" s="31" t="n">
        <x:v>0</x:v>
      </x:c>
      <x:c r="AA260" s="31" t="n">
        <x:v>0</x:v>
      </x:c>
      <x:c r="AB260" s="31" t="str"/>
      <x:c r="AC260" s="31" t="str"/>
    </x:row>
    <x:row r="261">
      <x:c r="A261" s="31" t="str">
        <x:v>4d15537d92d039d3</x:v>
      </x:c>
      <x:c r="B261" s="31" t="str">
        <x:v>4d15537d92d039d36bdc3ca8744b4fb0b5149bc7c659c09b3125cb66d87c267d</x:v>
      </x:c>
      <x:c r="C261" s="31" t="n">
        <x:v>6</x:v>
      </x:c>
      <x:c r="D261" s="31" t="n">
        <x:v>37459</x:v>
      </x:c>
      <x:c r="E261" s="31" t="str">
        <x:v>Queens</x:v>
      </x:c>
      <x:c r="F261" s="31" t="str">
        <x:v>Jackson Heights</x:v>
      </x:c>
      <x:c r="G261" s="31" t="n">
        <x:v>85112.62150889012</x:v>
      </x:c>
      <x:c r="H261" s="31" t="n">
        <x:v>15100</x:v>
      </x:c>
      <x:c r="I261" s="31" t="n">
        <x:v>5.403394039735099</x:v>
      </x:c>
      <x:c r="J261" s="40" t="n">
        <x:v>0.016490066225165564</x:v>
      </x:c>
      <x:c r="K261" s="40" t="n">
        <x:v>0.9193377483443709</x:v>
      </x:c>
      <x:c r="L261" s="40" t="n">
        <x:v>0.05529801324503311</x:v>
      </x:c>
      <x:c r="M261" s="31" t="n">
        <x:v>60.22787540217387</x:v>
      </x:c>
      <x:c r="N261" s="31" t="n">
        <x:v>293</x:v>
      </x:c>
      <x:c r="O261" s="31" t="n">
        <x:v>7.821885261218933</x:v>
      </x:c>
      <x:c r="P261" s="31" t="n">
        <x:v>3</x:v>
      </x:c>
      <x:c r="Q261" s="40" t="n">
        <x:v>0</x:v>
      </x:c>
      <x:c r="R261" s="31" t="n">
        <x:v>0.11770891433990396</x:v>
      </x:c>
      <x:c r="S261" s="40"/>
      <x:c r="T261" s="40"/>
      <x:c r="U261" s="40" t="n">
        <x:v>1</x:v>
      </x:c>
      <x:c r="V261" s="40" t="n">
        <x:v>0.9970860927152317</x:v>
      </x:c>
      <x:c r="W261" s="31" t="n">
        <x:v>0</x:v>
      </x:c>
      <x:c r="X261" s="31" t="str"/>
      <x:c r="Y261" s="31" t="n">
        <x:v>0</x:v>
      </x:c>
      <x:c r="Z261" s="31" t="n">
        <x:v>0</x:v>
      </x:c>
      <x:c r="AA261" s="31" t="n">
        <x:v>0</x:v>
      </x:c>
      <x:c r="AB261" s="31" t="str"/>
      <x:c r="AC261" s="31" t="str"/>
    </x:row>
    <x:row r="262">
      <x:c r="A262" s="31" t="str">
        <x:v>4d5730ee465ccb36</x:v>
      </x:c>
      <x:c r="B262" s="31" t="str">
        <x:v>4d5730ee465ccb3621f470a6477d0c94103295b1dad8762360b6284f402b2df7</x:v>
      </x:c>
      <x:c r="C262" s="31" t="n">
        <x:v>7</x:v>
      </x:c>
      <x:c r="D262" s="31" t="n">
        <x:v>32612</x:v>
      </x:c>
      <x:c r="E262" s="31" t="str">
        <x:v>Queens</x:v>
      </x:c>
      <x:c r="F262" s="31" t="str">
        <x:v>Murray Hill-Broadway Flushing</x:v>
      </x:c>
      <x:c r="G262" s="31" t="n">
        <x:v>81395.86922244934</x:v>
      </x:c>
      <x:c r="H262" s="31" t="n">
        <x:v>13820</x:v>
      </x:c>
      <x:c r="I262" s="31" t="n">
        <x:v>5.869336433131058</x:v>
      </x:c>
      <x:c r="J262" s="40" t="n">
        <x:v>0.0756150506512301</x:v>
      </x:c>
      <x:c r="K262" s="40" t="n">
        <x:v>0.7885672937771346</x:v>
      </x:c>
      <x:c r="L262" s="40" t="n">
        <x:v>0.047105643994211285</x:v>
      </x:c>
      <x:c r="M262" s="31" t="n">
        <x:v>63.23857184581519</x:v>
      </x:c>
      <x:c r="N262" s="31" t="n">
        <x:v>244</x:v>
      </x:c>
      <x:c r="O262" s="31" t="n">
        <x:v>7.4819084999386725</x:v>
      </x:c>
      <x:c r="P262" s="31" t="n">
        <x:v>3.9981186685962373</x:v>
      </x:c>
      <x:c r="Q262" s="40" t="n">
        <x:v>0.9981186685962373</x:v>
      </x:c>
      <x:c r="R262" s="31" t="n">
        <x:v>0.16089992575232206</x:v>
      </x:c>
      <x:c r="S262" s="40"/>
      <x:c r="T262" s="40"/>
      <x:c r="U262" s="40" t="n">
        <x:v>1</x:v>
      </x:c>
      <x:c r="V262" s="40" t="n">
        <x:v>0.900506512301013</x:v>
      </x:c>
      <x:c r="W262" s="31" t="n">
        <x:v>0</x:v>
      </x:c>
      <x:c r="X262" s="31" t="str"/>
      <x:c r="Y262" s="31" t="n">
        <x:v>0</x:v>
      </x:c>
      <x:c r="Z262" s="31" t="n">
        <x:v>0</x:v>
      </x:c>
      <x:c r="AA262" s="31" t="n">
        <x:v>0</x:v>
      </x:c>
      <x:c r="AB262" s="31" t="str"/>
      <x:c r="AC262" s="31" t="str"/>
    </x:row>
    <x:row r="263">
      <x:c r="A263" s="31" t="str">
        <x:v>4d658ee8db6e886c</x:v>
      </x:c>
      <x:c r="B263" s="31" t="str">
        <x:v>4d658ee8db6e886c3f26d2fb4698dd0aeb6e8b275d56db4209a7a7df8fb17fce</x:v>
      </x:c>
      <x:c r="C263" s="31" t="n">
        <x:v>19</x:v>
      </x:c>
      <x:c r="D263" s="31" t="n">
        <x:v>35055</x:v>
      </x:c>
      <x:c r="E263" s="31" t="str">
        <x:v>Queens</x:v>
      </x:c>
      <x:c r="F263" s="31" t="str">
        <x:v>Cambria Heights</x:v>
      </x:c>
      <x:c r="G263" s="31" t="n">
        <x:v>20925.47126484532</x:v>
      </x:c>
      <x:c r="H263" s="31" t="n">
        <x:v>10377</x:v>
      </x:c>
      <x:c r="I263" s="31" t="n">
        <x:v>2.0308342978395064</x:v>
      </x:c>
      <x:c r="J263" s="40" t="n">
        <x:v>0</x:v>
      </x:c>
      <x:c r="K263" s="40" t="n">
        <x:v>0.005300183097234268</x:v>
      </x:c>
      <x:c r="L263" s="40" t="n">
        <x:v>0.010407632263660017</x:v>
      </x:c>
      <x:c r="M263" s="31" t="n">
        <x:v>25.690234183232285</x:v>
      </x:c>
      <x:c r="N263" s="31" t="n">
        <x:v>5</x:v>
      </x:c>
      <x:c r="O263" s="31" t="n">
        <x:v>0.14263300527742118</x:v>
      </x:c>
      <x:c r="P263" s="31" t="n">
        <x:v>4.999807266069191</x:v>
      </x:c>
      <x:c r="Q263" s="40" t="n">
        <x:v>1</x:v>
      </x:c>
      <x:c r="R263" s="31" t="n">
        <x:v>0.25761265380992143</x:v>
      </x:c>
      <x:c r="S263" s="40"/>
      <x:c r="T263" s="40"/>
      <x:c r="U263" s="40" t="n">
        <x:v>1</x:v>
      </x:c>
      <x:c r="V263" s="40" t="n">
        <x:v>0.9981690276573191</x:v>
      </x:c>
      <x:c r="W263" s="31" t="n">
        <x:v>0</x:v>
      </x:c>
      <x:c r="X263" s="31" t="str"/>
      <x:c r="Y263" s="31" t="n">
        <x:v>0</x:v>
      </x:c>
      <x:c r="Z263" s="31" t="n">
        <x:v>0</x:v>
      </x:c>
      <x:c r="AA263" s="31" t="n">
        <x:v>0</x:v>
      </x:c>
      <x:c r="AB263" s="31" t="str"/>
      <x:c r="AC263" s="31" t="str"/>
    </x:row>
    <x:row r="264">
      <x:c r="A264" s="31" t="str">
        <x:v>4d75879ad2cea352</x:v>
      </x:c>
      <x:c r="B264" s="31" t="str">
        <x:v>4d75879ad2cea35290bdb9974ae281d9016d2c4f43d8b11877c946b96b0b12e4</x:v>
      </x:c>
      <x:c r="C264" s="31" t="n">
        <x:v>10</x:v>
      </x:c>
      <x:c r="D264" s="31" t="n">
        <x:v>37171</x:v>
      </x:c>
      <x:c r="E264" s="31" t="str">
        <x:v>Queens</x:v>
      </x:c>
      <x:c r="F264" s="31" t="str">
        <x:v>North Corona</x:v>
      </x:c>
      <x:c r="G264" s="31" t="n">
        <x:v>80889.70797819775</x:v>
      </x:c>
      <x:c r="H264" s="31" t="n">
        <x:v>8927</x:v>
      </x:c>
      <x:c r="I264" s="31" t="n">
        <x:v>3.3538813405797105</x:v>
      </x:c>
      <x:c r="J264" s="40" t="n">
        <x:v>0.014786602442029798</x:v>
      </x:c>
      <x:c r="K264" s="40" t="n">
        <x:v>0.57959000784138</x:v>
      </x:c>
      <x:c r="L264" s="40" t="n">
        <x:v>0.05119300996975468</x:v>
      </x:c>
      <x:c r="M264" s="31" t="n">
        <x:v>36.24610281821071</x:v>
      </x:c>
      <x:c r="N264" s="31" t="n">
        <x:v>61</x:v>
      </x:c>
      <x:c r="O264" s="31" t="n">
        <x:v>1.6410642705334804</x:v>
      </x:c>
      <x:c r="P264" s="31" t="n">
        <x:v>4</x:v>
      </x:c>
      <x:c r="Q264" s="40" t="n">
        <x:v>1</x:v>
      </x:c>
      <x:c r="R264" s="31" t="n">
        <x:v>0.16576426609588435</x:v>
      </x:c>
      <x:c r="S264" s="40"/>
      <x:c r="T264" s="40"/>
      <x:c r="U264" s="40" t="n">
        <x:v>1</x:v>
      </x:c>
      <x:c r="V264" s="40" t="n">
        <x:v>0.9728912288562787</x:v>
      </x:c>
      <x:c r="W264" s="31" t="n">
        <x:v>1</x:v>
      </x:c>
      <x:c r="X264" s="31" t="str"/>
      <x:c r="Y264" s="31" t="n">
        <x:v>0</x:v>
      </x:c>
      <x:c r="Z264" s="31" t="n">
        <x:v>1</x:v>
      </x:c>
      <x:c r="AA264" s="31" t="n">
        <x:v>0</x:v>
      </x:c>
      <x:c r="AB264" s="31" t="str"/>
      <x:c r="AC264" s="31" t="str"/>
    </x:row>
    <x:row r="265">
      <x:c r="A265" s="31" t="str">
        <x:v>4e152921f9af25d0</x:v>
      </x:c>
      <x:c r="B265" s="31" t="str">
        <x:v>4e152921f9af25d0c31a623be3abc5de9e2440324547d0e3e2afccaf9a8d53eb</x:v>
      </x:c>
      <x:c r="C265" s="31" t="n">
        <x:v>7</x:v>
      </x:c>
      <x:c r="D265" s="31" t="n">
        <x:v>32135</x:v>
      </x:c>
      <x:c r="E265" s="31" t="str">
        <x:v>Queens</x:v>
      </x:c>
      <x:c r="F265" s="31" t="str">
        <x:v>Sunnyside</x:v>
      </x:c>
      <x:c r="G265" s="31" t="n">
        <x:v>73132.62202534862</x:v>
      </x:c>
      <x:c r="H265" s="31" t="n">
        <x:v>14588</x:v>
      </x:c>
      <x:c r="I265" s="31" t="n">
        <x:v>5.125492364038422</x:v>
      </x:c>
      <x:c r="J265" s="40" t="n">
        <x:v>0.08637236084452975</x:v>
      </x:c>
      <x:c r="K265" s="40" t="n">
        <x:v>0.7672059226761722</x:v>
      </x:c>
      <x:c r="L265" s="40" t="n">
        <x:v>0.13593364409103373</x:v>
      </x:c>
      <x:c r="M265" s="31" t="n">
        <x:v>55.775921865292254</x:v>
      </x:c>
      <x:c r="N265" s="31" t="n">
        <x:v>166</x:v>
      </x:c>
      <x:c r="O265" s="31" t="n">
        <x:v>5.165707172864479</x:v>
      </x:c>
      <x:c r="P265" s="31" t="n">
        <x:v>3</x:v>
      </x:c>
      <x:c r="Q265" s="40" t="n">
        <x:v>0</x:v>
      </x:c>
      <x:c r="R265" s="31" t="n">
        <x:v>0.15350362610653578</x:v>
      </x:c>
      <x:c r="S265" s="40"/>
      <x:c r="T265" s="40"/>
      <x:c r="U265" s="40" t="n">
        <x:v>1</x:v>
      </x:c>
      <x:c r="V265" s="40" t="n">
        <x:v>0.9945160405812997</x:v>
      </x:c>
      <x:c r="W265" s="31" t="n">
        <x:v>0</x:v>
      </x:c>
      <x:c r="X265" s="31" t="str"/>
      <x:c r="Y265" s="31" t="n">
        <x:v>0</x:v>
      </x:c>
      <x:c r="Z265" s="31" t="n">
        <x:v>0</x:v>
      </x:c>
      <x:c r="AA265" s="31" t="n">
        <x:v>0</x:v>
      </x:c>
      <x:c r="AB265" s="31" t="str"/>
      <x:c r="AC265" s="31" t="str"/>
    </x:row>
    <x:row r="266">
      <x:c r="A266" s="31" t="str">
        <x:v>4e5bd938b2d47d19</x:v>
      </x:c>
      <x:c r="B266" s="31" t="str">
        <x:v>4e5bd938b2d47d1935f25bea1498625870437d02e16d673d3501411911abdc68</x:v>
      </x:c>
      <x:c r="C266" s="31" t="n">
        <x:v>11</x:v>
      </x:c>
      <x:c r="D266" s="31" t="n">
        <x:v>32945</x:v>
      </x:c>
      <x:c r="E266" s="31" t="str">
        <x:v>Queens</x:v>
      </x:c>
      <x:c r="F266" s="31" t="str">
        <x:v>Forest Hills</x:v>
      </x:c>
      <x:c r="G266" s="31" t="n">
        <x:v>31547.63860884278</x:v>
      </x:c>
      <x:c r="H266" s="31" t="n">
        <x:v>15629</x:v>
      </x:c>
      <x:c r="I266" s="31" t="n">
        <x:v>6.850501759999998</x:v>
      </x:c>
      <x:c r="J266" s="40" t="n">
        <x:v>0.16430993665621602</x:v>
      </x:c>
      <x:c r="K266" s="40" t="n">
        <x:v>0.5139804210122209</x:v>
      </x:c>
      <x:c r="L266" s="40" t="n">
        <x:v>0.11293108964105189</x:v>
      </x:c>
      <x:c r="M266" s="31" t="n">
        <x:v>71.7718950564214</x:v>
      </x:c>
      <x:c r="N266" s="31" t="n">
        <x:v>193</x:v>
      </x:c>
      <x:c r="O266" s="31" t="n">
        <x:v>5.85824859614509</x:v>
      </x:c>
      <x:c r="P266" s="31" t="n">
        <x:v>2.10576492417941</x:v>
      </x:c>
      <x:c r="Q266" s="40" t="n">
        <x:v>0</x:v>
      </x:c>
      <x:c r="R266" s="31" t="n">
        <x:v>0.1788868051253748</x:v>
      </x:c>
      <x:c r="S266" s="40"/>
      <x:c r="T266" s="40"/>
      <x:c r="U266" s="40" t="n">
        <x:v>1</x:v>
      </x:c>
      <x:c r="V266" s="40" t="n">
        <x:v>0.9887388828459914</x:v>
      </x:c>
      <x:c r="W266" s="31" t="n">
        <x:v>0</x:v>
      </x:c>
      <x:c r="X266" s="31" t="str"/>
      <x:c r="Y266" s="31" t="n">
        <x:v>0</x:v>
      </x:c>
      <x:c r="Z266" s="31" t="n">
        <x:v>0</x:v>
      </x:c>
      <x:c r="AA266" s="31" t="n">
        <x:v>0</x:v>
      </x:c>
      <x:c r="AB266" s="31" t="str"/>
      <x:c r="AC266" s="31" t="str"/>
    </x:row>
    <x:row r="267">
      <x:c r="A267" s="31" t="str">
        <x:v>4ee722a676b4d301</x:v>
      </x:c>
      <x:c r="B267" s="31" t="str">
        <x:v>4ee722a676b4d3015bee628cf223f9327f7632e8f2c90b31b3995e703a991bed</x:v>
      </x:c>
      <x:c r="C267" s="31" t="n">
        <x:v>9</x:v>
      </x:c>
      <x:c r="D267" s="31" t="n">
        <x:v>32185</x:v>
      </x:c>
      <x:c r="E267" s="31" t="str">
        <x:v>Brooklyn</x:v>
      </x:c>
      <x:c r="F267" s="31" t="str">
        <x:v>Bedford-Stuyvesant (West)</x:v>
      </x:c>
      <x:c r="G267" s="31" t="n">
        <x:v>69148.87183090171</x:v>
      </x:c>
      <x:c r="H267" s="31" t="n">
        <x:v>14345</x:v>
      </x:c>
      <x:c r="I267" s="31" t="n">
        <x:v>6.386698253305989</x:v>
      </x:c>
      <x:c r="J267" s="40" t="n">
        <x:v>0.20132450331125828</x:v>
      </x:c>
      <x:c r="K267" s="40" t="n">
        <x:v>0.6767514813523876</x:v>
      </x:c>
      <x:c r="L267" s="40" t="n">
        <x:v>0.2590449634018822</x:v>
      </x:c>
      <x:c r="M267" s="31" t="n">
        <x:v>73.00164553782956</x:v>
      </x:c>
      <x:c r="N267" s="31" t="n">
        <x:v>176</x:v>
      </x:c>
      <x:c r="O267" s="31" t="n">
        <x:v>5.468385894050023</x:v>
      </x:c>
      <x:c r="P267" s="31" t="n">
        <x:v>4</x:v>
      </x:c>
      <x:c r="Q267" s="40" t="n">
        <x:v>1</x:v>
      </x:c>
      <x:c r="R267" s="31" t="n">
        <x:v>0.105358908218719</x:v>
      </x:c>
      <x:c r="S267" s="40"/>
      <x:c r="T267" s="40"/>
      <x:c r="U267" s="40" t="n">
        <x:v>1</x:v>
      </x:c>
      <x:c r="V267" s="40" t="n">
        <x:v>0.9513419309864064</x:v>
      </x:c>
      <x:c r="W267" s="31" t="n">
        <x:v>1</x:v>
      </x:c>
      <x:c r="X267" s="31" t="str"/>
      <x:c r="Y267" s="31" t="n">
        <x:v>0</x:v>
      </x:c>
      <x:c r="Z267" s="31" t="n">
        <x:v>1</x:v>
      </x:c>
      <x:c r="AA267" s="31" t="n">
        <x:v>0</x:v>
      </x:c>
      <x:c r="AB267" s="31" t="str"/>
      <x:c r="AC267" s="31" t="str"/>
    </x:row>
    <x:row r="268">
      <x:c r="A268" s="31" t="str">
        <x:v>4eee22a1ca9304b7</x:v>
      </x:c>
      <x:c r="B268" s="31" t="str">
        <x:v>4eee22a1ca9304b7a864a32e2f07a9c7dd362328febcc0e71218a0f6209728cf</x:v>
      </x:c>
      <x:c r="C268" s="31" t="n">
        <x:v>12</x:v>
      </x:c>
      <x:c r="D268" s="31" t="n">
        <x:v>34382</x:v>
      </x:c>
      <x:c r="E268" s="31" t="str">
        <x:v>Bronx</x:v>
      </x:c>
      <x:c r="F268" s="31" t="str">
        <x:v>Williamsbridge-Olinville</x:v>
      </x:c>
      <x:c r="G268" s="31" t="n">
        <x:v>53407.49597947788</x:v>
      </x:c>
      <x:c r="H268" s="31" t="n">
        <x:v>23662</x:v>
      </x:c>
      <x:c r="I268" s="31" t="n">
        <x:v>9.120725024350993</x:v>
      </x:c>
      <x:c r="J268" s="40" t="n">
        <x:v>0.47295241315188913</x:v>
      </x:c>
      <x:c r="K268" s="40" t="n">
        <x:v>0.36979122643901613</x:v>
      </x:c>
      <x:c r="L268" s="40" t="n">
        <x:v>0.5023244019947596</x:v>
      </x:c>
      <x:c r="M268" s="31" t="n">
        <x:v>91.60381358279207</x:v>
      </x:c>
      <x:c r="N268" s="31" t="n">
        <x:v>113</x:v>
      </x:c>
      <x:c r="O268" s="31" t="n">
        <x:v>3.286603455296376</x:v>
      </x:c>
      <x:c r="P268" s="31" t="n">
        <x:v>4.104217733074127</x:v>
      </x:c>
      <x:c r="Q268" s="40" t="n">
        <x:v>1</x:v>
      </x:c>
      <x:c r="R268" s="31" t="n">
        <x:v>0.12980087397505288</x:v>
      </x:c>
      <x:c r="S268" s="40"/>
      <x:c r="T268" s="40"/>
      <x:c r="U268" s="40" t="n">
        <x:v>1</x:v>
      </x:c>
      <x:c r="V268" s="40" t="n">
        <x:v>0.9882512044628519</x:v>
      </x:c>
      <x:c r="W268" s="31" t="n">
        <x:v>0</x:v>
      </x:c>
      <x:c r="X268" s="31" t="str"/>
      <x:c r="Y268" s="31" t="n">
        <x:v>0</x:v>
      </x:c>
      <x:c r="Z268" s="31" t="n">
        <x:v>0</x:v>
      </x:c>
      <x:c r="AA268" s="31" t="n">
        <x:v>0</x:v>
      </x:c>
      <x:c r="AB268" s="31" t="str"/>
      <x:c r="AC268" s="31" t="str"/>
    </x:row>
    <x:row r="269">
      <x:c r="A269" s="31" t="str">
        <x:v>4ef5ec64c5cbd58c</x:v>
      </x:c>
      <x:c r="B269" s="31" t="str">
        <x:v>4ef5ec64c5cbd58c1a60d038dfee3d446470e380a74d21af506f462d30eff4ac</x:v>
      </x:c>
      <x:c r="C269" s="31" t="n">
        <x:v>8</x:v>
      </x:c>
      <x:c r="D269" s="31" t="n">
        <x:v>33911</x:v>
      </x:c>
      <x:c r="E269" s="31" t="str">
        <x:v>Brooklyn</x:v>
      </x:c>
      <x:c r="F269" s="31" t="str">
        <x:v>Bushwick (West)</x:v>
      </x:c>
      <x:c r="G269" s="31" t="n">
        <x:v>59447.8086504784</x:v>
      </x:c>
      <x:c r="H269" s="31" t="n">
        <x:v>13402</x:v>
      </x:c>
      <x:c r="I269" s="31" t="n">
        <x:v>3.718864625544049</x:v>
      </x:c>
      <x:c r="J269" s="40" t="n">
        <x:v>0.034994776898970306</x:v>
      </x:c>
      <x:c r="K269" s="40" t="n">
        <x:v>0.8504700790926727</x:v>
      </x:c>
      <x:c r="L269" s="40" t="n">
        <x:v>0.013132368303238322</x:v>
      </x:c>
      <x:c r="M269" s="31" t="n">
        <x:v>42.10553457790063</x:v>
      </x:c>
      <x:c r="N269" s="31" t="n">
        <x:v>86</x:v>
      </x:c>
      <x:c r="O269" s="31" t="n">
        <x:v>2.5360502491816814</x:v>
      </x:c>
      <x:c r="P269" s="31" t="n">
        <x:v>4</x:v>
      </x:c>
      <x:c r="Q269" s="40" t="n">
        <x:v>1</x:v>
      </x:c>
      <x:c r="R269" s="31" t="n">
        <x:v>0.1619875275410076</x:v>
      </x:c>
      <x:c r="S269" s="40"/>
      <x:c r="T269" s="40"/>
      <x:c r="U269" s="40" t="n">
        <x:v>1</x:v>
      </x:c>
      <x:c r="V269" s="40" t="n">
        <x:v>0.961050589464259</x:v>
      </x:c>
      <x:c r="W269" s="31" t="n">
        <x:v>1</x:v>
      </x:c>
      <x:c r="X269" s="31" t="str"/>
      <x:c r="Y269" s="31" t="n">
        <x:v>0</x:v>
      </x:c>
      <x:c r="Z269" s="31" t="n">
        <x:v>1</x:v>
      </x:c>
      <x:c r="AA269" s="31" t="n">
        <x:v>0</x:v>
      </x:c>
      <x:c r="AB269" s="31" t="str"/>
      <x:c r="AC269" s="31" t="str"/>
    </x:row>
    <x:row r="270">
      <x:c r="A270" s="31" t="str">
        <x:v>4f26ec41ca0e17e5</x:v>
      </x:c>
      <x:c r="B270" s="31" t="str">
        <x:v>4f26ec41ca0e17e5905f291ed374c72a3bfdfc0ed834559580c4474619ae81d7</x:v>
      </x:c>
      <x:c r="C270" s="31" t="n">
        <x:v>11</x:v>
      </x:c>
      <x:c r="D270" s="31" t="n">
        <x:v>34786</x:v>
      </x:c>
      <x:c r="E270" s="31" t="str">
        <x:v>Brooklyn</x:v>
      </x:c>
      <x:c r="F270" s="31" t="str">
        <x:v>Madison</x:v>
      </x:c>
      <x:c r="G270" s="31" t="n">
        <x:v>47881.416349503335</x:v>
      </x:c>
      <x:c r="H270" s="31" t="n">
        <x:v>13315</x:v>
      </x:c>
      <x:c r="I270" s="31" t="n">
        <x:v>4.231340748534496</x:v>
      </x:c>
      <x:c r="J270" s="40" t="n">
        <x:v>0.02057829515583928</x:v>
      </x:c>
      <x:c r="K270" s="40" t="n">
        <x:v>0.5967705595193391</x:v>
      </x:c>
      <x:c r="L270" s="40" t="n">
        <x:v>0.0026286143447239955</x:v>
      </x:c>
      <x:c r="M270" s="31" t="n">
        <x:v>48.75288485115796</x:v>
      </x:c>
      <x:c r="N270" s="31" t="n">
        <x:v>193</x:v>
      </x:c>
      <x:c r="O270" s="31" t="n">
        <x:v>5.548209049617663</x:v>
      </x:c>
      <x:c r="P270" s="31" t="n">
        <x:v>3.087119789710852</x:v>
      </x:c>
      <x:c r="Q270" s="40" t="n">
        <x:v>0.08711978971085242</x:v>
      </x:c>
      <x:c r="R270" s="31" t="n">
        <x:v>0.18653168931766792</x:v>
      </x:c>
      <x:c r="S270" s="40"/>
      <x:c r="T270" s="40"/>
      <x:c r="U270" s="40" t="n">
        <x:v>1</x:v>
      </x:c>
      <x:c r="V270" s="40" t="n">
        <x:v>0.9903867818250094</x:v>
      </x:c>
      <x:c r="W270" s="31" t="n">
        <x:v>0</x:v>
      </x:c>
      <x:c r="X270" s="31" t="str"/>
      <x:c r="Y270" s="31" t="n">
        <x:v>0</x:v>
      </x:c>
      <x:c r="Z270" s="31" t="n">
        <x:v>0</x:v>
      </x:c>
      <x:c r="AA270" s="31" t="n">
        <x:v>0</x:v>
      </x:c>
      <x:c r="AB270" s="31" t="str"/>
      <x:c r="AC270" s="31" t="str"/>
    </x:row>
    <x:row r="271">
      <x:c r="A271" s="31" t="str">
        <x:v>4f47be60b912bda3</x:v>
      </x:c>
      <x:c r="B271" s="31" t="str">
        <x:v>4f47be60b912bda3e3700c66810a5a24eb08c4a7eed650f6dc3e8704ceab1b09</x:v>
      </x:c>
      <x:c r="C271" s="31" t="n">
        <x:v>9</x:v>
      </x:c>
      <x:c r="D271" s="31" t="n">
        <x:v>33640</x:v>
      </x:c>
      <x:c r="E271" s="31" t="str">
        <x:v>Queens</x:v>
      </x:c>
      <x:c r="F271" s="31" t="str">
        <x:v>Queensbridge-Ravenswood-Dutch Kills</x:v>
      </x:c>
      <x:c r="G271" s="31" t="n">
        <x:v>41090.75545784051</x:v>
      </x:c>
      <x:c r="H271" s="31" t="n">
        <x:v>25437</x:v>
      </x:c>
      <x:c r="I271" s="31" t="n">
        <x:v>28.703842940685046</x:v>
      </x:c>
      <x:c r="J271" s="40" t="n">
        <x:v>0.6552659511734874</x:v>
      </x:c>
      <x:c r="K271" s="40" t="n">
        <x:v>0.30015331996697725</x:v>
      </x:c>
      <x:c r="L271" s="40" t="n">
        <x:v>0.16468136965837166</x:v>
      </x:c>
      <x:c r="M271" s="31" t="n">
        <x:v>313.17010859898767</x:v>
      </x:c>
      <x:c r="N271" s="31" t="n">
        <x:v>442</x:v>
      </x:c>
      <x:c r="O271" s="31" t="n">
        <x:v>13.139120095124852</x:v>
      </x:c>
      <x:c r="P271" s="31" t="n">
        <x:v>3.9099736604159294</x:v>
      </x:c>
      <x:c r="Q271" s="40" t="n">
        <x:v>0.9099736604159295</x:v>
      </x:c>
      <x:c r="R271" s="31" t="n">
        <x:v>0.09744221518337462</x:v>
      </x:c>
      <x:c r="S271" s="40"/>
      <x:c r="T271" s="40"/>
      <x:c r="U271" s="40" t="n">
        <x:v>1</x:v>
      </x:c>
      <x:c r="V271" s="40" t="n">
        <x:v>0.9187797303141094</x:v>
      </x:c>
      <x:c r="W271" s="31" t="n">
        <x:v>0</x:v>
      </x:c>
      <x:c r="X271" s="31" t="str"/>
      <x:c r="Y271" s="31" t="n">
        <x:v>0</x:v>
      </x:c>
      <x:c r="Z271" s="31" t="n">
        <x:v>0</x:v>
      </x:c>
      <x:c r="AA271" s="31" t="n">
        <x:v>0</x:v>
      </x:c>
      <x:c r="AB271" s="31" t="str"/>
      <x:c r="AC271" s="31" t="str"/>
    </x:row>
    <x:row r="272">
      <x:c r="A272" s="31" t="str">
        <x:v>4f93bf0c2d1d4a86</x:v>
      </x:c>
      <x:c r="B272" s="31" t="str">
        <x:v>4f93bf0c2d1d4a86415292793fc52dfbce26686d3c66a02165736e8ea18ed554</x:v>
      </x:c>
      <x:c r="C272" s="31" t="n">
        <x:v>7</x:v>
      </x:c>
      <x:c r="D272" s="31" t="n">
        <x:v>34129</x:v>
      </x:c>
      <x:c r="E272" s="31" t="str">
        <x:v>Manhattan</x:v>
      </x:c>
      <x:c r="F272" s="31" t="str">
        <x:v>Harlem (South)</x:v>
      </x:c>
      <x:c r="G272" s="31" t="n">
        <x:v>75230.04177617225</x:v>
      </x:c>
      <x:c r="H272" s="31" t="n">
        <x:v>17116</x:v>
      </x:c>
      <x:c r="I272" s="31" t="n">
        <x:v>7.141739951602432</x:v>
      </x:c>
      <x:c r="J272" s="40" t="n">
        <x:v>0.19455480252395418</x:v>
      </x:c>
      <x:c r="K272" s="40" t="n">
        <x:v>0.7950455713951858</x:v>
      </x:c>
      <x:c r="L272" s="40" t="n">
        <x:v>0.04206590324842253</x:v>
      </x:c>
      <x:c r="M272" s="31" t="n">
        <x:v>80.63714080911889</x:v>
      </x:c>
      <x:c r="N272" s="31" t="n">
        <x:v>356</x:v>
      </x:c>
      <x:c r="O272" s="31" t="n">
        <x:v>10.431011749538515</x:v>
      </x:c>
      <x:c r="P272" s="31" t="n">
        <x:v>4.539553634026642</x:v>
      </x:c>
      <x:c r="Q272" s="40" t="n">
        <x:v>0.9456064501051648</x:v>
      </x:c>
      <x:c r="R272" s="31" t="n">
        <x:v>0.08094568873186207</x:v>
      </x:c>
      <x:c r="S272" s="40"/>
      <x:c r="T272" s="40"/>
      <x:c r="U272" s="40" t="n">
        <x:v>1</x:v>
      </x:c>
      <x:c r="V272" s="40" t="n">
        <x:v>0.9773895770039729</x:v>
      </x:c>
      <x:c r="W272" s="31" t="n">
        <x:v>0</x:v>
      </x:c>
      <x:c r="X272" s="31" t="str"/>
      <x:c r="Y272" s="31" t="n">
        <x:v>0</x:v>
      </x:c>
      <x:c r="Z272" s="31" t="n">
        <x:v>0</x:v>
      </x:c>
      <x:c r="AA272" s="31" t="n">
        <x:v>0</x:v>
      </x:c>
      <x:c r="AB272" s="31" t="str"/>
      <x:c r="AC272" s="31" t="str"/>
    </x:row>
    <x:row r="273">
      <x:c r="A273" s="31" t="str">
        <x:v>4fed519c3514370d</x:v>
      </x:c>
      <x:c r="B273" s="31" t="str">
        <x:v>4fed519c3514370d86bc51d4cd10e91f2871c813187ce9349ee0fa91b46a1770</x:v>
      </x:c>
      <x:c r="C273" s="31" t="n">
        <x:v>9</x:v>
      </x:c>
      <x:c r="D273" s="31" t="n">
        <x:v>34521</x:v>
      </x:c>
      <x:c r="E273" s="31" t="str">
        <x:v>Bronx</x:v>
      </x:c>
      <x:c r="F273" s="31" t="str">
        <x:v>Longwood</x:v>
      </x:c>
      <x:c r="G273" s="31" t="n">
        <x:v>63787.33052130196</x:v>
      </x:c>
      <x:c r="H273" s="31" t="n">
        <x:v>14601</x:v>
      </x:c>
      <x:c r="I273" s="31" t="n">
        <x:v>5.772859120803046</x:v>
      </x:c>
      <x:c r="J273" s="40" t="n">
        <x:v>0.0566399561673858</x:v>
      </x:c>
      <x:c r="K273" s="40" t="n">
        <x:v>0.863023080610917</x:v>
      </x:c>
      <x:c r="L273" s="40" t="n">
        <x:v>0.07485788644613382</x:v>
      </x:c>
      <x:c r="M273" s="31" t="n">
        <x:v>58.40510514673838</x:v>
      </x:c>
      <x:c r="N273" s="31" t="n">
        <x:v>179</x:v>
      </x:c>
      <x:c r="O273" s="31" t="n">
        <x:v>5.185249558239912</x:v>
      </x:c>
      <x:c r="P273" s="31" t="n">
        <x:v>5</x:v>
      </x:c>
      <x:c r="Q273" s="40" t="n">
        <x:v>1</x:v>
      </x:c>
      <x:c r="R273" s="31" t="n">
        <x:v>0.10190581377036843</x:v>
      </x:c>
      <x:c r="S273" s="40"/>
      <x:c r="T273" s="40"/>
      <x:c r="U273" s="40" t="n">
        <x:v>1</x:v>
      </x:c>
      <x:c r="V273" s="40" t="n">
        <x:v>0.9550030819806863</x:v>
      </x:c>
      <x:c r="W273" s="31" t="n">
        <x:v>1</x:v>
      </x:c>
      <x:c r="X273" s="31" t="str"/>
      <x:c r="Y273" s="31" t="n">
        <x:v>0</x:v>
      </x:c>
      <x:c r="Z273" s="31" t="n">
        <x:v>1</x:v>
      </x:c>
      <x:c r="AA273" s="31" t="n">
        <x:v>0</x:v>
      </x:c>
      <x:c r="AB273" s="31" t="str"/>
      <x:c r="AC273" s="31" t="str"/>
    </x:row>
    <x:row r="274">
      <x:c r="A274" s="31" t="str">
        <x:v>50172b293d7827b8</x:v>
      </x:c>
      <x:c r="B274" s="31" t="str">
        <x:v>50172b293d7827b891e17109783a39f9a35cd1df45ef132538b4e35748778c59</x:v>
      </x:c>
      <x:c r="C274" s="31" t="n">
        <x:v>6</x:v>
      </x:c>
      <x:c r="D274" s="31" t="n">
        <x:v>35702</x:v>
      </x:c>
      <x:c r="E274" s="31" t="str">
        <x:v>Manhattan</x:v>
      </x:c>
      <x:c r="F274" s="31" t="str">
        <x:v>Chelsea-Hudson Yards</x:v>
      </x:c>
      <x:c r="G274" s="31" t="n">
        <x:v>88655.69645069177</x:v>
      </x:c>
      <x:c r="H274" s="31" t="n">
        <x:v>21317</x:v>
      </x:c>
      <x:c r="I274" s="31" t="n">
        <x:v>16.228583505541987</x:v>
      </x:c>
      <x:c r="J274" s="40" t="n">
        <x:v>0.6465731575737674</x:v>
      </x:c>
      <x:c r="K274" s="40" t="n">
        <x:v>0.35169113852793543</x:v>
      </x:c>
      <x:c r="L274" s="40" t="n">
        <x:v>0.17694797579396726</x:v>
      </x:c>
      <x:c r="M274" s="31" t="n">
        <x:v>174.18734709452337</x:v>
      </x:c>
      <x:c r="N274" s="31" t="n">
        <x:v>527</x:v>
      </x:c>
      <x:c r="O274" s="31" t="n">
        <x:v>14.761077810766905</x:v>
      </x:c>
      <x:c r="P274" s="31" t="n">
        <x:v>1.55716095135338</x:v>
      </x:c>
      <x:c r="Q274" s="40" t="n">
        <x:v>0</x:v>
      </x:c>
      <x:c r="R274" s="31" t="n">
        <x:v>0.09070273645242621</x:v>
      </x:c>
      <x:c r="S274" s="40"/>
      <x:c r="T274" s="40"/>
      <x:c r="U274" s="40" t="n">
        <x:v>1</x:v>
      </x:c>
      <x:c r="V274" s="40" t="n">
        <x:v>0.9847070413285172</x:v>
      </x:c>
      <x:c r="W274" s="31" t="n">
        <x:v>1</x:v>
      </x:c>
      <x:c r="X274" s="31" t="str"/>
      <x:c r="Y274" s="31" t="n">
        <x:v>1</x:v>
      </x:c>
      <x:c r="Z274" s="31" t="n">
        <x:v>0</x:v>
      </x:c>
      <x:c r="AA274" s="31" t="n">
        <x:v>0</x:v>
      </x:c>
      <x:c r="AB274" s="31" t="str"/>
      <x:c r="AC274" s="31" t="str"/>
    </x:row>
    <x:row r="275">
      <x:c r="A275" s="31" t="str">
        <x:v>501a75dbd4ad70ca</x:v>
      </x:c>
      <x:c r="B275" s="31" t="str">
        <x:v>501a75dbd4ad70ca5996ec101a1bc5ac98c0e0e87da0a319b41d752a3cc7d183</x:v>
      </x:c>
      <x:c r="C275" s="31" t="n">
        <x:v>10</x:v>
      </x:c>
      <x:c r="D275" s="31" t="n">
        <x:v>32727</x:v>
      </x:c>
      <x:c r="E275" s="31" t="str">
        <x:v>Brooklyn</x:v>
      </x:c>
      <x:c r="F275" s="31" t="str">
        <x:v>Fort Greene</x:v>
      </x:c>
      <x:c r="G275" s="31" t="n">
        <x:v>57613.95444904924</x:v>
      </x:c>
      <x:c r="H275" s="31" t="n">
        <x:v>20147</x:v>
      </x:c>
      <x:c r="I275" s="31" t="n">
        <x:v>17.40739899617353</x:v>
      </x:c>
      <x:c r="J275" s="40" t="n">
        <x:v>0.5599841167419467</x:v>
      </x:c>
      <x:c r="K275" s="40" t="n">
        <x:v>0.4213530550454162</x:v>
      </x:c>
      <x:c r="L275" s="40" t="n">
        <x:v>0.13376681391770487</x:v>
      </x:c>
      <x:c r="M275" s="31" t="n">
        <x:v>194.6334812375156</x:v>
      </x:c>
      <x:c r="N275" s="31" t="n">
        <x:v>299</x:v>
      </x:c>
      <x:c r="O275" s="31" t="n">
        <x:v>9.136187246004829</x:v>
      </x:c>
      <x:c r="P275" s="31" t="n">
        <x:v>2.862163101206135</x:v>
      </x:c>
      <x:c r="Q275" s="40" t="n">
        <x:v>0.43108155060306746</x:v>
      </x:c>
      <x:c r="R275" s="31" t="n">
        <x:v>0.09542783153259449</x:v>
      </x:c>
      <x:c r="S275" s="40"/>
      <x:c r="T275" s="40"/>
      <x:c r="U275" s="40" t="n">
        <x:v>1</x:v>
      </x:c>
      <x:c r="V275" s="40" t="n">
        <x:v>0.9531940239241574</x:v>
      </x:c>
      <x:c r="W275" s="31" t="n">
        <x:v>0</x:v>
      </x:c>
      <x:c r="X275" s="31" t="str"/>
      <x:c r="Y275" s="31" t="n">
        <x:v>0</x:v>
      </x:c>
      <x:c r="Z275" s="31" t="n">
        <x:v>0</x:v>
      </x:c>
      <x:c r="AA275" s="31" t="n">
        <x:v>0</x:v>
      </x:c>
      <x:c r="AB275" s="31" t="str"/>
      <x:c r="AC275" s="31" t="str"/>
    </x:row>
    <x:row r="276">
      <x:c r="A276" s="31" t="str">
        <x:v>5030f8af46e77e4f</x:v>
      </x:c>
      <x:c r="B276" s="31" t="str">
        <x:v>5030f8af46e77e4fc7f055d80b490f3c161f5499aefddf4902495776df87af28</x:v>
      </x:c>
      <x:c r="C276" s="31" t="n">
        <x:v>10</x:v>
      </x:c>
      <x:c r="D276" s="31" t="n">
        <x:v>33846</x:v>
      </x:c>
      <x:c r="E276" s="31" t="str">
        <x:v>Brooklyn</x:v>
      </x:c>
      <x:c r="F276" s="31" t="str">
        <x:v>Crown Heights (North)</x:v>
      </x:c>
      <x:c r="G276" s="31" t="n">
        <x:v>61723.989634289486</x:v>
      </x:c>
      <x:c r="H276" s="31" t="n">
        <x:v>13343</x:v>
      </x:c>
      <x:c r="I276" s="31" t="n">
        <x:v>4.778947961252534</x:v>
      </x:c>
      <x:c r="J276" s="40" t="n">
        <x:v>0.09982762497189537</x:v>
      </x:c>
      <x:c r="K276" s="40" t="n">
        <x:v>0.6968447875290414</x:v>
      </x:c>
      <x:c r="L276" s="40" t="n">
        <x:v>0.09900322266356891</x:v>
      </x:c>
      <x:c r="M276" s="31" t="n">
        <x:v>55.853717828117055</x:v>
      </x:c>
      <x:c r="N276" s="31" t="n">
        <x:v>108</x:v>
      </x:c>
      <x:c r="O276" s="31" t="n">
        <x:v>3.1909235951072503</x:v>
      </x:c>
      <x:c r="P276" s="31" t="n">
        <x:v>4.885483024807015</x:v>
      </x:c>
      <x:c r="Q276" s="40" t="n">
        <x:v>1</x:v>
      </x:c>
      <x:c r="R276" s="31" t="n">
        <x:v>0.17008686010332322</x:v>
      </x:c>
      <x:c r="S276" s="40"/>
      <x:c r="T276" s="40"/>
      <x:c r="U276" s="40" t="n">
        <x:v>1</x:v>
      </x:c>
      <x:c r="V276" s="40" t="n">
        <x:v>0.9910814659371955</x:v>
      </x:c>
      <x:c r="W276" s="31" t="n">
        <x:v>1</x:v>
      </x:c>
      <x:c r="X276" s="31" t="str"/>
      <x:c r="Y276" s="31" t="n">
        <x:v>0</x:v>
      </x:c>
      <x:c r="Z276" s="31" t="n">
        <x:v>1</x:v>
      </x:c>
      <x:c r="AA276" s="31" t="n">
        <x:v>0</x:v>
      </x:c>
      <x:c r="AB276" s="31" t="str"/>
      <x:c r="AC276" s="31" t="str"/>
    </x:row>
    <x:row r="277">
      <x:c r="A277" s="31" t="str">
        <x:v>5044b3cd3ab2c326</x:v>
      </x:c>
      <x:c r="B277" s="31" t="str">
        <x:v>5044b3cd3ab2c3261cd629bef77e5365c133139d8423eb37d014fa2e0f38c9dc</x:v>
      </x:c>
      <x:c r="C277" s="31" t="n">
        <x:v>7</x:v>
      </x:c>
      <x:c r="D277" s="31" t="n">
        <x:v>34992</x:v>
      </x:c>
      <x:c r="E277" s="31" t="str">
        <x:v>Staten Island</x:v>
      </x:c>
      <x:c r="F277" s="31" t="str">
        <x:v>Arden Heights-Rossville</x:v>
      </x:c>
      <x:c r="G277" s="31" t="n">
        <x:v>10879.795947980718</x:v>
      </x:c>
      <x:c r="H277" s="31" t="n">
        <x:v>13271</x:v>
      </x:c>
      <x:c r="I277" s="31" t="n">
        <x:v>1.9931875095434421</x:v>
      </x:c>
      <x:c r="J277" s="40" t="n">
        <x:v>0</x:v>
      </x:c>
      <x:c r="K277" s="40" t="n">
        <x:v>0.09403963529500414</x:v>
      </x:c>
      <x:c r="L277" s="40" t="n">
        <x:v>0.07949664682390174</x:v>
      </x:c>
      <x:c r="M277" s="31" t="n">
        <x:v>27.484542820595895</x:v>
      </x:c>
      <x:c r="N277" s="31" t="n">
        <x:v>16</x:v>
      </x:c>
      <x:c r="O277" s="31" t="n">
        <x:v>0.45724737082761774</x:v>
      </x:c>
      <x:c r="P277" s="31" t="n">
        <x:v>1</x:v>
      </x:c>
      <x:c r="Q277" s="40" t="n">
        <x:v>0</x:v>
      </x:c>
      <x:c r="R277" s="31" t="n">
        <x:v>0.4063200375224421</x:v>
      </x:c>
      <x:c r="S277" s="40"/>
      <x:c r="T277" s="40"/>
      <x:c r="U277" s="40" t="n">
        <x:v>1</x:v>
      </x:c>
      <x:c r="V277" s="40" t="n">
        <x:v>0.9660914776580514</x:v>
      </x:c>
      <x:c r="W277" s="31" t="n">
        <x:v>0</x:v>
      </x:c>
      <x:c r="X277" s="31" t="str"/>
      <x:c r="Y277" s="31" t="n">
        <x:v>0</x:v>
      </x:c>
      <x:c r="Z277" s="31" t="n">
        <x:v>0</x:v>
      </x:c>
      <x:c r="AA277" s="31" t="n">
        <x:v>0</x:v>
      </x:c>
      <x:c r="AB277" s="31" t="str"/>
      <x:c r="AC277" s="31" t="str"/>
    </x:row>
    <x:row r="278">
      <x:c r="A278" s="31" t="str">
        <x:v>504daf3ecbb1be13</x:v>
      </x:c>
      <x:c r="B278" s="31" t="str">
        <x:v>504daf3ecbb1be13e3ac8bba02c7ccd60f726e5c6d374abbd284d0d78ce1bc32</x:v>
      </x:c>
      <x:c r="C278" s="31" t="n">
        <x:v>11</x:v>
      </x:c>
      <x:c r="D278" s="31" t="n">
        <x:v>32825</x:v>
      </x:c>
      <x:c r="E278" s="31" t="str">
        <x:v>Brooklyn</x:v>
      </x:c>
      <x:c r="F278" s="31" t="str">
        <x:v>East Flatbush-Rugby</x:v>
      </x:c>
      <x:c r="G278" s="31" t="n">
        <x:v>51294.15391005226</x:v>
      </x:c>
      <x:c r="H278" s="31" t="n">
        <x:v>10914</x:v>
      </x:c>
      <x:c r="I278" s="31" t="n">
        <x:v>2.78423150948584</x:v>
      </x:c>
      <x:c r="J278" s="40" t="n">
        <x:v>0.0000916254352208173</x:v>
      </x:c>
      <x:c r="K278" s="40" t="n">
        <x:v>0.3914238592633315</x:v>
      </x:c>
      <x:c r="L278" s="40" t="n">
        <x:v>0.00980392156862745</x:v>
      </x:c>
      <x:c r="M278" s="31" t="n">
        <x:v>34.20169199999536</x:v>
      </x:c>
      <x:c r="N278" s="31" t="n">
        <x:v>30</x:v>
      </x:c>
      <x:c r="O278" s="31" t="n">
        <x:v>0.913937547600914</x:v>
      </x:c>
      <x:c r="P278" s="31" t="n">
        <x:v>5</x:v>
      </x:c>
      <x:c r="Q278" s="40" t="n">
        <x:v>1</x:v>
      </x:c>
      <x:c r="R278" s="31" t="n">
        <x:v>0.16988663332005766</x:v>
      </x:c>
      <x:c r="S278" s="40"/>
      <x:c r="T278" s="40"/>
      <x:c r="U278" s="40" t="n">
        <x:v>1</x:v>
      </x:c>
      <x:c r="V278" s="40" t="n">
        <x:v>0.9878138171156313</x:v>
      </x:c>
      <x:c r="W278" s="31" t="n">
        <x:v>0</x:v>
      </x:c>
      <x:c r="X278" s="31" t="str"/>
      <x:c r="Y278" s="31" t="n">
        <x:v>0</x:v>
      </x:c>
      <x:c r="Z278" s="31" t="n">
        <x:v>0</x:v>
      </x:c>
      <x:c r="AA278" s="31" t="n">
        <x:v>0</x:v>
      </x:c>
      <x:c r="AB278" s="31" t="str"/>
      <x:c r="AC278" s="31" t="str"/>
    </x:row>
    <x:row r="279">
      <x:c r="A279" s="31" t="str">
        <x:v>5162522b03f8720b</x:v>
      </x:c>
      <x:c r="B279" s="31" t="str">
        <x:v>5162522b03f8720b30fec5788a76fe08ea679f1c8259f86d67c31641e1eaace6</x:v>
      </x:c>
      <x:c r="C279" s="31" t="n">
        <x:v>4</x:v>
      </x:c>
      <x:c r="D279" s="31" t="n">
        <x:v>33656</x:v>
      </x:c>
      <x:c r="E279" s="31" t="str">
        <x:v>Manhattan</x:v>
      </x:c>
      <x:c r="F279" s="31" t="str">
        <x:v>Murray Hill-Kips Bay</x:v>
      </x:c>
      <x:c r="G279" s="31" t="n">
        <x:v>141437.94327102363</x:v>
      </x:c>
      <x:c r="H279" s="31" t="n">
        <x:v>21194</x:v>
      </x:c>
      <x:c r="I279" s="31" t="n">
        <x:v>15.138329244125696</x:v>
      </x:c>
      <x:c r="J279" s="40" t="n">
        <x:v>0.64074738133434</x:v>
      </x:c>
      <x:c r="K279" s="40" t="n">
        <x:v>0.3590167028404265</x:v>
      </x:c>
      <x:c r="L279" s="40" t="n">
        <x:v>0.09007266207417193</x:v>
      </x:c>
      <x:c r="M279" s="31" t="n">
        <x:v>151.06767083425274</x:v>
      </x:c>
      <x:c r="N279" s="31" t="n">
        <x:v>419</x:v>
      </x:c>
      <x:c r="O279" s="31" t="n">
        <x:v>12.449488946993107</x:v>
      </x:c>
      <x:c r="P279" s="31" t="n">
        <x:v>1.4563083891667452</x:v>
      </x:c>
      <x:c r="Q279" s="40" t="n">
        <x:v>0</x:v>
      </x:c>
      <x:c r="R279" s="31" t="n">
        <x:v>0.09045769617143457</x:v>
      </x:c>
      <x:c r="S279" s="40"/>
      <x:c r="T279" s="40"/>
      <x:c r="U279" s="40" t="n">
        <x:v>1</x:v>
      </x:c>
      <x:c r="V279" s="40" t="n">
        <x:v>0.9891006888742097</x:v>
      </x:c>
      <x:c r="W279" s="31" t="n">
        <x:v>1</x:v>
      </x:c>
      <x:c r="X279" s="31" t="str"/>
      <x:c r="Y279" s="31" t="n">
        <x:v>1</x:v>
      </x:c>
      <x:c r="Z279" s="31" t="n">
        <x:v>0</x:v>
      </x:c>
      <x:c r="AA279" s="31" t="n">
        <x:v>0</x:v>
      </x:c>
      <x:c r="AB279" s="31" t="str"/>
      <x:c r="AC279" s="31" t="str"/>
    </x:row>
    <x:row r="280">
      <x:c r="A280" s="31" t="str">
        <x:v>51c0b1975b625f33</x:v>
      </x:c>
      <x:c r="B280" s="31" t="str">
        <x:v>51c0b1975b625f339ec1845bede646fb39993b4271b3e4c7d37a59c57a4074be</x:v>
      </x:c>
      <x:c r="C280" s="31" t="n">
        <x:v>7</x:v>
      </x:c>
      <x:c r="D280" s="31" t="n">
        <x:v>35146</x:v>
      </x:c>
      <x:c r="E280" s="31" t="str">
        <x:v>Queens</x:v>
      </x:c>
      <x:c r="F280" s="31" t="str">
        <x:v>Forest Hills</x:v>
      </x:c>
      <x:c r="G280" s="31" t="n">
        <x:v>75864.99190549055</x:v>
      </x:c>
      <x:c r="H280" s="31" t="n">
        <x:v>17693</x:v>
      </x:c>
      <x:c r="I280" s="31" t="n">
        <x:v>9.934614206286168</x:v>
      </x:c>
      <x:c r="J280" s="40" t="n">
        <x:v>0.3760244164358786</x:v>
      </x:c>
      <x:c r="K280" s="40" t="n">
        <x:v>0.572712372124569</x:v>
      </x:c>
      <x:c r="L280" s="40" t="n">
        <x:v>0.29220595715819814</x:v>
      </x:c>
      <x:c r="M280" s="31" t="n">
        <x:v>97.1234460078403</x:v>
      </x:c>
      <x:c r="N280" s="31" t="n">
        <x:v>306</x:v>
      </x:c>
      <x:c r="O280" s="31" t="n">
        <x:v>8.70653843965174</x:v>
      </x:c>
      <x:c r="P280" s="31" t="n">
        <x:v>2.888939128468886</x:v>
      </x:c>
      <x:c r="Q280" s="40" t="n">
        <x:v>0</x:v>
      </x:c>
      <x:c r="R280" s="31" t="n">
        <x:v>0.16349978637094714</x:v>
      </x:c>
      <x:c r="S280" s="40"/>
      <x:c r="T280" s="40"/>
      <x:c r="U280" s="40" t="n">
        <x:v>1</x:v>
      </x:c>
      <x:c r="V280" s="40" t="n">
        <x:v>0.9981348555926073</x:v>
      </x:c>
      <x:c r="W280" s="31" t="n">
        <x:v>1</x:v>
      </x:c>
      <x:c r="X280" s="31" t="str"/>
      <x:c r="Y280" s="31" t="n">
        <x:v>0</x:v>
      </x:c>
      <x:c r="Z280" s="31" t="n">
        <x:v>0</x:v>
      </x:c>
      <x:c r="AA280" s="31" t="n">
        <x:v>1</x:v>
      </x:c>
      <x:c r="AB280" s="31" t="str"/>
      <x:c r="AC280" s="31" t="str"/>
    </x:row>
    <x:row r="281">
      <x:c r="A281" s="31" t="str">
        <x:v>51ef96ecbba1d038</x:v>
      </x:c>
      <x:c r="B281" s="31" t="str">
        <x:v>51ef96ecbba1d0386a1075e56a5bfe716aeda580b290f796a667fd3a198b67b5</x:v>
      </x:c>
      <x:c r="C281" s="31" t="n">
        <x:v>7</x:v>
      </x:c>
      <x:c r="D281" s="31" t="n">
        <x:v>33881</x:v>
      </x:c>
      <x:c r="E281" s="31" t="str">
        <x:v>Manhattan</x:v>
      </x:c>
      <x:c r="F281" s="31" t="str">
        <x:v>Tribeca-Civic Center</x:v>
      </x:c>
      <x:c r="G281" s="31" t="n">
        <x:v>52450.048751723174</x:v>
      </x:c>
      <x:c r="H281" s="31" t="n">
        <x:v>16981</x:v>
      </x:c>
      <x:c r="I281" s="31" t="n">
        <x:v>20.507487893824354</x:v>
      </x:c>
      <x:c r="J281" s="40" t="n">
        <x:v>0.6795241740769095</x:v>
      </x:c>
      <x:c r="K281" s="40" t="n">
        <x:v>0.29886343560449913</x:v>
      </x:c>
      <x:c r="L281" s="40" t="n">
        <x:v>0.08933513927330546</x:v>
      </x:c>
      <x:c r="M281" s="31" t="n">
        <x:v>223.73234255837409</x:v>
      </x:c>
      <x:c r="N281" s="31" t="n">
        <x:v>1187</x:v>
      </x:c>
      <x:c r="O281" s="31" t="n">
        <x:v>35.03438505356984</x:v>
      </x:c>
      <x:c r="P281" s="31" t="n">
        <x:v>1.576997821094164</x:v>
      </x:c>
      <x:c r="Q281" s="40" t="n">
        <x:v>0</x:v>
      </x:c>
      <x:c r="R281" s="31" t="n">
        <x:v>0.1595090860730947</x:v>
      </x:c>
      <x:c r="S281" s="40"/>
      <x:c r="T281" s="40"/>
      <x:c r="U281" s="40" t="n">
        <x:v>1</x:v>
      </x:c>
      <x:c r="V281" s="40" t="n">
        <x:v>0.99422884400212</x:v>
      </x:c>
      <x:c r="W281" s="31" t="n">
        <x:v>0</x:v>
      </x:c>
      <x:c r="X281" s="31" t="str"/>
      <x:c r="Y281" s="31" t="n">
        <x:v>0</x:v>
      </x:c>
      <x:c r="Z281" s="31" t="n">
        <x:v>0</x:v>
      </x:c>
      <x:c r="AA281" s="31" t="n">
        <x:v>0</x:v>
      </x:c>
      <x:c r="AB281" s="31" t="str"/>
      <x:c r="AC281" s="31" t="str"/>
    </x:row>
    <x:row r="282">
      <x:c r="A282" s="31" t="str">
        <x:v>521df06af68e2375</x:v>
      </x:c>
      <x:c r="B282" s="31" t="str">
        <x:v>521df06af68e2375e4d72a2299b446889b5bbfb259503fb40beb599edaa0ec1d</x:v>
      </x:c>
      <x:c r="C282" s="31" t="n">
        <x:v>11</x:v>
      </x:c>
      <x:c r="D282" s="31" t="n">
        <x:v>34686</x:v>
      </x:c>
      <x:c r="E282" s="31" t="str">
        <x:v>Queens</x:v>
      </x:c>
      <x:c r="F282" s="31" t="str">
        <x:v>Murray Hill-Broadway Flushing</x:v>
      </x:c>
      <x:c r="G282" s="31" t="n">
        <x:v>15511.662250330159</x:v>
      </x:c>
      <x:c r="H282" s="31" t="n">
        <x:v>12508</x:v>
      </x:c>
      <x:c r="I282" s="31" t="n">
        <x:v>2.1549739979198335</x:v>
      </x:c>
      <x:c r="J282" s="40" t="n">
        <x:v>0</x:v>
      </x:c>
      <x:c r="K282" s="40" t="n">
        <x:v>0.1016949152542373</x:v>
      </x:c>
      <x:c r="L282" s="40" t="n">
        <x:v>0.15885833066837224</x:v>
      </x:c>
      <x:c r="M282" s="31" t="n">
        <x:v>28.33684028497234</x:v>
      </x:c>
      <x:c r="N282" s="31" t="n">
        <x:v>16</x:v>
      </x:c>
      <x:c r="O282" s="31" t="n">
        <x:v>0.46128120855676646</x:v>
      </x:c>
      <x:c r="P282" s="31" t="n">
        <x:v>2.54621042532779</x:v>
      </x:c>
      <x:c r="Q282" s="40" t="n">
        <x:v>0.14214902462424048</x:v>
      </x:c>
      <x:c r="R282" s="31" t="n">
        <x:v>0.2735240984054225</x:v>
      </x:c>
      <x:c r="S282" s="40"/>
      <x:c r="T282" s="40"/>
      <x:c r="U282" s="40" t="n">
        <x:v>1</x:v>
      </x:c>
      <x:c r="V282" s="40" t="n">
        <x:v>0.9972017908538535</x:v>
      </x:c>
      <x:c r="W282" s="31" t="n">
        <x:v>0</x:v>
      </x:c>
      <x:c r="X282" s="31" t="str"/>
      <x:c r="Y282" s="31" t="n">
        <x:v>0</x:v>
      </x:c>
      <x:c r="Z282" s="31" t="n">
        <x:v>0</x:v>
      </x:c>
      <x:c r="AA282" s="31" t="n">
        <x:v>0</x:v>
      </x:c>
      <x:c r="AB282" s="31" t="str"/>
      <x:c r="AC282" s="31" t="str"/>
    </x:row>
    <x:row r="283">
      <x:c r="A283" s="31" t="str">
        <x:v>523ab83f12d528a6</x:v>
      </x:c>
      <x:c r="B283" s="31" t="str">
        <x:v>523ab83f12d528a6e0f8a7ae513cca4e25e6a8144d15e9aefae33b67b0710378</x:v>
      </x:c>
      <x:c r="C283" s="31" t="n">
        <x:v>6</x:v>
      </x:c>
      <x:c r="D283" s="31" t="n">
        <x:v>36972</x:v>
      </x:c>
      <x:c r="E283" s="31" t="str">
        <x:v>Manhattan</x:v>
      </x:c>
      <x:c r="F283" s="31" t="str">
        <x:v>Upper West Side-Lincoln Square</x:v>
      </x:c>
      <x:c r="G283" s="31" t="n">
        <x:v>103640.91532363389</x:v>
      </x:c>
      <x:c r="H283" s="31" t="n">
        <x:v>23694</x:v>
      </x:c>
      <x:c r="I283" s="31" t="n">
        <x:v>26.94283884738527</x:v>
      </x:c>
      <x:c r="J283" s="40" t="n">
        <x:v>0.8069553473453195</x:v>
      </x:c>
      <x:c r="K283" s="40" t="n">
        <x:v>0.18152274837511606</x:v>
      </x:c>
      <x:c r="L283" s="40" t="n">
        <x:v>0.07238119355110999</x:v>
      </x:c>
      <x:c r="M283" s="31" t="n">
        <x:v>275.5804846818955</x:v>
      </x:c>
      <x:c r="N283" s="31" t="n">
        <x:v>621</x:v>
      </x:c>
      <x:c r="O283" s="31" t="n">
        <x:v>16.79649464459591</x:v>
      </x:c>
      <x:c r="P283" s="31" t="n">
        <x:v>1.5714526884443318</x:v>
      </x:c>
      <x:c r="Q283" s="40" t="n">
        <x:v>0</x:v>
      </x:c>
      <x:c r="R283" s="31" t="n">
        <x:v>0.13378976707139234</x:v>
      </x:c>
      <x:c r="S283" s="40"/>
      <x:c r="T283" s="40"/>
      <x:c r="U283" s="40" t="n">
        <x:v>1</x:v>
      </x:c>
      <x:c r="V283" s="40" t="n">
        <x:v>0.9966236177935343</x:v>
      </x:c>
      <x:c r="W283" s="31" t="n">
        <x:v>1</x:v>
      </x:c>
      <x:c r="X283" s="31" t="str"/>
      <x:c r="Y283" s="31" t="n">
        <x:v>1</x:v>
      </x:c>
      <x:c r="Z283" s="31" t="n">
        <x:v>0</x:v>
      </x:c>
      <x:c r="AA283" s="31" t="n">
        <x:v>0</x:v>
      </x:c>
      <x:c r="AB283" s="31" t="str"/>
      <x:c r="AC283" s="31" t="str"/>
    </x:row>
    <x:row r="284">
      <x:c r="A284" s="31" t="str">
        <x:v>524252139ae1c0b3</x:v>
      </x:c>
      <x:c r="B284" s="31" t="str">
        <x:v>524252139ae1c0b3c0d2281650f5f93543b07d9694c117a71dfe7ad46bb4145c</x:v>
      </x:c>
      <x:c r="C284" s="31" t="n">
        <x:v>6</x:v>
      </x:c>
      <x:c r="D284" s="31" t="n">
        <x:v>36578</x:v>
      </x:c>
      <x:c r="E284" s="31" t="str">
        <x:v>Queens</x:v>
      </x:c>
      <x:c r="F284" s="31" t="str">
        <x:v>Flushing-Willets Point</x:v>
      </x:c>
      <x:c r="G284" s="31" t="n">
        <x:v>104504.9598299793</x:v>
      </x:c>
      <x:c r="H284" s="31" t="n">
        <x:v>15993</x:v>
      </x:c>
      <x:c r="I284" s="31" t="n">
        <x:v>6.691024673048402</x:v>
      </x:c>
      <x:c r="J284" s="40" t="n">
        <x:v>0.11379978740699055</x:v>
      </x:c>
      <x:c r="K284" s="40" t="n">
        <x:v>0.7986619145876321</x:v>
      </x:c>
      <x:c r="L284" s="40" t="n">
        <x:v>0.05477396360907897</x:v>
      </x:c>
      <x:c r="M284" s="31" t="n">
        <x:v>71.83430500023675</x:v>
      </x:c>
      <x:c r="N284" s="31" t="n">
        <x:v>338</x:v>
      </x:c>
      <x:c r="O284" s="31" t="n">
        <x:v>9.240527092788016</x:v>
      </x:c>
      <x:c r="P284" s="31" t="n">
        <x:v>4</x:v>
      </x:c>
      <x:c r="Q284" s="40" t="n">
        <x:v>1</x:v>
      </x:c>
      <x:c r="R284" s="31" t="n">
        <x:v>0.13478164787666705</x:v>
      </x:c>
      <x:c r="S284" s="40"/>
      <x:c r="T284" s="40"/>
      <x:c r="U284" s="40" t="n">
        <x:v>1</x:v>
      </x:c>
      <x:c r="V284" s="40" t="n">
        <x:v>0.9270305758769462</x:v>
      </x:c>
      <x:c r="W284" s="31" t="n">
        <x:v>1</x:v>
      </x:c>
      <x:c r="X284" s="31" t="str"/>
      <x:c r="Y284" s="31" t="n">
        <x:v>0</x:v>
      </x:c>
      <x:c r="Z284" s="31" t="n">
        <x:v>1</x:v>
      </x:c>
      <x:c r="AA284" s="31" t="n">
        <x:v>0</x:v>
      </x:c>
      <x:c r="AB284" s="31" t="str"/>
      <x:c r="AC284" s="31" t="str"/>
    </x:row>
    <x:row r="285">
      <x:c r="A285" s="31" t="str">
        <x:v>52671f46eb87688c</x:v>
      </x:c>
      <x:c r="B285" s="31" t="str">
        <x:v>52671f46eb87688c3f74f2d4cd6838bb8453bbebf94a4329ad42ba5d33e98429</x:v>
      </x:c>
      <x:c r="C285" s="31" t="n">
        <x:v>6</x:v>
      </x:c>
      <x:c r="D285" s="31" t="n">
        <x:v>36117</x:v>
      </x:c>
      <x:c r="E285" s="31" t="str">
        <x:v>Bronx</x:v>
      </x:c>
      <x:c r="F285" s="31" t="str">
        <x:v>Soundview-Bruckner-Bronx River</x:v>
      </x:c>
      <x:c r="G285" s="31" t="n">
        <x:v>80571.17600611766</x:v>
      </x:c>
      <x:c r="H285" s="31" t="n">
        <x:v>12626</x:v>
      </x:c>
      <x:c r="I285" s="31" t="n">
        <x:v>4.64947630604164</x:v>
      </x:c>
      <x:c r="J285" s="40" t="n">
        <x:v>0.03999683193410423</x:v>
      </x:c>
      <x:c r="K285" s="40" t="n">
        <x:v>0.3773958498336765</x:v>
      </x:c>
      <x:c r="L285" s="40" t="n">
        <x:v>0.38618723269444005</x:v>
      </x:c>
      <x:c r="M285" s="31" t="n">
        <x:v>90.05776063596714</x:v>
      </x:c>
      <x:c r="N285" s="31" t="n">
        <x:v>135</x:v>
      </x:c>
      <x:c r="O285" s="31" t="n">
        <x:v>3.7378519810615503</x:v>
      </x:c>
      <x:c r="P285" s="31" t="n">
        <x:v>4.7261999049580234</x:v>
      </x:c>
      <x:c r="Q285" s="40" t="n">
        <x:v>1</x:v>
      </x:c>
      <x:c r="R285" s="31" t="n">
        <x:v>0.1283306634485026</x:v>
      </x:c>
      <x:c r="S285" s="40"/>
      <x:c r="T285" s="40"/>
      <x:c r="U285" s="40" t="n">
        <x:v>1</x:v>
      </x:c>
      <x:c r="V285" s="40" t="n">
        <x:v>0.9933470616188816</x:v>
      </x:c>
      <x:c r="W285" s="31" t="n">
        <x:v>0</x:v>
      </x:c>
      <x:c r="X285" s="31" t="str"/>
      <x:c r="Y285" s="31" t="n">
        <x:v>0</x:v>
      </x:c>
      <x:c r="Z285" s="31" t="n">
        <x:v>0</x:v>
      </x:c>
      <x:c r="AA285" s="31" t="n">
        <x:v>0</x:v>
      </x:c>
      <x:c r="AB285" s="31" t="str"/>
      <x:c r="AC285" s="31" t="str"/>
    </x:row>
    <x:row r="286">
      <x:c r="A286" s="31" t="str">
        <x:v>527f1128d66d4948</x:v>
      </x:c>
      <x:c r="B286" s="31" t="str">
        <x:v>527f1128d66d49480b893724eb6bf31d74ffae40d10ea89488529e59086f452a</x:v>
      </x:c>
      <x:c r="C286" s="31" t="n">
        <x:v>13</x:v>
      </x:c>
      <x:c r="D286" s="31" t="n">
        <x:v>35347</x:v>
      </x:c>
      <x:c r="E286" s="31" t="str">
        <x:v>Queens</x:v>
      </x:c>
      <x:c r="F286" s="31" t="str">
        <x:v>Laurelton</x:v>
      </x:c>
      <x:c r="G286" s="31" t="n">
        <x:v>17015.09165835573</x:v>
      </x:c>
      <x:c r="H286" s="31" t="n">
        <x:v>10708</x:v>
      </x:c>
      <x:c r="I286" s="31" t="n">
        <x:v>1.9384744020926756</x:v>
      </x:c>
      <x:c r="J286" s="40" t="n">
        <x:v>0</x:v>
      </x:c>
      <x:c r="K286" s="40" t="n">
        <x:v>0.008498319013821441</x:v>
      </x:c>
      <x:c r="L286" s="40" t="n">
        <x:v>0.044452745610758314</x:v>
      </x:c>
      <x:c r="M286" s="31" t="n">
        <x:v>25.233293350576197</x:v>
      </x:c>
      <x:c r="N286" s="31" t="n">
        <x:v>3</x:v>
      </x:c>
      <x:c r="O286" s="31" t="n">
        <x:v>0.08487283220641073</x:v>
      </x:c>
      <x:c r="P286" s="31" t="n">
        <x:v>4.038569293985805</x:v>
      </x:c>
      <x:c r="Q286" s="40" t="n">
        <x:v>1</x:v>
      </x:c>
      <x:c r="R286" s="31" t="n">
        <x:v>0.22043185326947062</x:v>
      </x:c>
      <x:c r="S286" s="40"/>
      <x:c r="T286" s="40"/>
      <x:c r="U286" s="40" t="n">
        <x:v>1</x:v>
      </x:c>
      <x:c r="V286" s="40" t="n">
        <x:v>0.9951438177063877</x:v>
      </x:c>
      <x:c r="W286" s="31" t="n">
        <x:v>0</x:v>
      </x:c>
      <x:c r="X286" s="31" t="str"/>
      <x:c r="Y286" s="31" t="n">
        <x:v>0</x:v>
      </x:c>
      <x:c r="Z286" s="31" t="n">
        <x:v>0</x:v>
      </x:c>
      <x:c r="AA286" s="31" t="n">
        <x:v>0</x:v>
      </x:c>
      <x:c r="AB286" s="31" t="str"/>
      <x:c r="AC286" s="31" t="str"/>
    </x:row>
    <x:row r="287">
      <x:c r="A287" s="31" t="str">
        <x:v>5317871da891bafa</x:v>
      </x:c>
      <x:c r="B287" s="31" t="str">
        <x:v>5317871da891bafadd4a4b9941adea52d2df0bcbe343f9dafddff6a9ff770a9f</x:v>
      </x:c>
      <x:c r="C287" s="31" t="n">
        <x:v>9</x:v>
      </x:c>
      <x:c r="D287" s="31" t="n">
        <x:v>33675</x:v>
      </x:c>
      <x:c r="E287" s="31" t="str">
        <x:v>Brooklyn</x:v>
      </x:c>
      <x:c r="F287" s="31" t="str">
        <x:v>Gravesend (West)</x:v>
      </x:c>
      <x:c r="G287" s="31" t="n">
        <x:v>59521.86883655267</x:v>
      </x:c>
      <x:c r="H287" s="31" t="n">
        <x:v>11098</x:v>
      </x:c>
      <x:c r="I287" s="31" t="n">
        <x:v>3.2052928455577576</x:v>
      </x:c>
      <x:c r="J287" s="40" t="n">
        <x:v>0.004685528924130474</x:v>
      </x:c>
      <x:c r="K287" s="40" t="n">
        <x:v>0.42620291944494504</x:v>
      </x:c>
      <x:c r="L287" s="40" t="n">
        <x:v>0.0047756352495945216</x:v>
      </x:c>
      <x:c r="M287" s="31" t="n">
        <x:v>38.299235572082615</x:v>
      </x:c>
      <x:c r="N287" s="31" t="n">
        <x:v>71</x:v>
      </x:c>
      <x:c r="O287" s="31" t="n">
        <x:v>2.1083890126206386</x:v>
      </x:c>
      <x:c r="P287" s="31" t="n">
        <x:v>4</x:v>
      </x:c>
      <x:c r="Q287" s="40" t="n">
        <x:v>1</x:v>
      </x:c>
      <x:c r="R287" s="31" t="n">
        <x:v>0.14633775503582847</x:v>
      </x:c>
      <x:c r="S287" s="40"/>
      <x:c r="T287" s="40"/>
      <x:c r="U287" s="40" t="n">
        <x:v>1</x:v>
      </x:c>
      <x:c r="V287" s="40" t="n">
        <x:v>0.9990088304198955</x:v>
      </x:c>
      <x:c r="W287" s="31" t="n">
        <x:v>0</x:v>
      </x:c>
      <x:c r="X287" s="31" t="str"/>
      <x:c r="Y287" s="31" t="n">
        <x:v>0</x:v>
      </x:c>
      <x:c r="Z287" s="31" t="n">
        <x:v>0</x:v>
      </x:c>
      <x:c r="AA287" s="31" t="n">
        <x:v>0</x:v>
      </x:c>
      <x:c r="AB287" s="31" t="str"/>
      <x:c r="AC287" s="31" t="str"/>
    </x:row>
    <x:row r="288">
      <x:c r="A288" s="31" t="str">
        <x:v>532fa2e88c85699c</x:v>
      </x:c>
      <x:c r="B288" s="31" t="str">
        <x:v>532fa2e88c85699c10036ae60c146634acea122cdf55ed02e9960575f7af08fb</x:v>
      </x:c>
      <x:c r="C288" s="31" t="n">
        <x:v>14</x:v>
      </x:c>
      <x:c r="D288" s="31" t="n">
        <x:v>32601</x:v>
      </x:c>
      <x:c r="E288" s="31" t="str">
        <x:v>Queens</x:v>
      </x:c>
      <x:c r="F288" s="31" t="str">
        <x:v>Richmond Hill</x:v>
      </x:c>
      <x:c r="G288" s="31" t="n">
        <x:v>36916.826208681596</x:v>
      </x:c>
      <x:c r="H288" s="31" t="n">
        <x:v>9525</x:v>
      </x:c>
      <x:c r="I288" s="31" t="n">
        <x:v>2.7419197647553033</x:v>
      </x:c>
      <x:c r="J288" s="40" t="n">
        <x:v>0</x:v>
      </x:c>
      <x:c r="K288" s="40" t="n">
        <x:v>0.26047244094488187</x:v>
      </x:c>
      <x:c r="L288" s="40" t="n">
        <x:v>0.012493438320209974</x:v>
      </x:c>
      <x:c r="M288" s="31" t="n">
        <x:v>33.396163754052274</x:v>
      </x:c>
      <x:c r="N288" s="31" t="n">
        <x:v>18</x:v>
      </x:c>
      <x:c r="O288" s="31" t="n">
        <x:v>0.5521303027514493</x:v>
      </x:c>
      <x:c r="P288" s="31" t="n">
        <x:v>3.101312335958005</x:v>
      </x:c>
      <x:c r="Q288" s="40" t="n">
        <x:v>0.18488188976377953</x:v>
      </x:c>
      <x:c r="R288" s="31" t="n">
        <x:v>0.13147589963582276</x:v>
      </x:c>
      <x:c r="S288" s="40"/>
      <x:c r="T288" s="40"/>
      <x:c r="U288" s="40" t="n">
        <x:v>1</x:v>
      </x:c>
      <x:c r="V288" s="40" t="n">
        <x:v>0.9920209973753281</x:v>
      </x:c>
      <x:c r="W288" s="31" t="n">
        <x:v>0</x:v>
      </x:c>
      <x:c r="X288" s="31" t="str"/>
      <x:c r="Y288" s="31" t="n">
        <x:v>0</x:v>
      </x:c>
      <x:c r="Z288" s="31" t="n">
        <x:v>0</x:v>
      </x:c>
      <x:c r="AA288" s="31" t="n">
        <x:v>0</x:v>
      </x:c>
      <x:c r="AB288" s="31" t="str"/>
      <x:c r="AC288" s="31" t="str"/>
    </x:row>
    <x:row r="289">
      <x:c r="A289" s="31" t="str">
        <x:v>534bf36a978aed7a</x:v>
      </x:c>
      <x:c r="B289" s="31" t="str">
        <x:v>534bf36a978aed7a4e75d7554425b6f8118dc5cde57e19de2d0e38c6cc790de7</x:v>
      </x:c>
      <x:c r="C289" s="31" t="n">
        <x:v>9</x:v>
      </x:c>
      <x:c r="D289" s="31" t="n">
        <x:v>34227</x:v>
      </x:c>
      <x:c r="E289" s="31" t="str">
        <x:v>Queens</x:v>
      </x:c>
      <x:c r="F289" s="31" t="str">
        <x:v>Ridgewood</x:v>
      </x:c>
      <x:c r="G289" s="31" t="n">
        <x:v>60836.65780572431</x:v>
      </x:c>
      <x:c r="H289" s="31" t="n">
        <x:v>12849</x:v>
      </x:c>
      <x:c r="I289" s="31" t="n">
        <x:v>2.8722317865247673</x:v>
      </x:c>
      <x:c r="J289" s="40" t="n">
        <x:v>0.005136586504786365</x:v>
      </x:c>
      <x:c r="K289" s="40" t="n">
        <x:v>0.6373258619347809</x:v>
      </x:c>
      <x:c r="L289" s="40" t="n">
        <x:v>0.004591797027005993</x:v>
      </x:c>
      <x:c r="M289" s="31" t="n">
        <x:v>35.04644692163737</x:v>
      </x:c>
      <x:c r="N289" s="31" t="n">
        <x:v>20</x:v>
      </x:c>
      <x:c r="O289" s="31" t="n">
        <x:v>0.5843340053174395</x:v>
      </x:c>
      <x:c r="P289" s="31" t="n">
        <x:v>1</x:v>
      </x:c>
      <x:c r="Q289" s="40" t="n">
        <x:v>0</x:v>
      </x:c>
      <x:c r="R289" s="31" t="n">
        <x:v>0.130313222730521</x:v>
      </x:c>
      <x:c r="S289" s="40"/>
      <x:c r="T289" s="40"/>
      <x:c r="U289" s="40" t="n">
        <x:v>1</x:v>
      </x:c>
      <x:c r="V289" s="40" t="n">
        <x:v>0.9915168495602771</x:v>
      </x:c>
      <x:c r="W289" s="31" t="n">
        <x:v>0</x:v>
      </x:c>
      <x:c r="X289" s="31" t="str"/>
      <x:c r="Y289" s="31" t="n">
        <x:v>0</x:v>
      </x:c>
      <x:c r="Z289" s="31" t="n">
        <x:v>0</x:v>
      </x:c>
      <x:c r="AA289" s="31" t="n">
        <x:v>0</x:v>
      </x:c>
      <x:c r="AB289" s="31" t="str"/>
      <x:c r="AC289" s="31" t="str"/>
    </x:row>
    <x:row r="290">
      <x:c r="A290" s="31" t="str">
        <x:v>539c25c07a21dd8f</x:v>
      </x:c>
      <x:c r="B290" s="31" t="str">
        <x:v>539c25c07a21dd8f11515c7ba4dbe694003d14dc5f08a4bf678e6ce9a06d40ee</x:v>
      </x:c>
      <x:c r="C290" s="31" t="n">
        <x:v>10</x:v>
      </x:c>
      <x:c r="D290" s="31" t="n">
        <x:v>34575</x:v>
      </x:c>
      <x:c r="E290" s="31" t="str">
        <x:v>Brooklyn</x:v>
      </x:c>
      <x:c r="F290" s="31" t="str">
        <x:v>Carroll Gardens-Cobble Hill-Gowanus-Red Hook</x:v>
      </x:c>
      <x:c r="G290" s="31" t="n">
        <x:v>55386.38477888725</x:v>
      </x:c>
      <x:c r="H290" s="31" t="n">
        <x:v>23817</x:v>
      </x:c>
      <x:c r="I290" s="31" t="n">
        <x:v>13.699702769931278</x:v>
      </x:c>
      <x:c r="J290" s="40" t="n">
        <x:v>0.4514422471343998</x:v>
      </x:c>
      <x:c r="K290" s="40" t="n">
        <x:v>0.5070747785195449</x:v>
      </x:c>
      <x:c r="L290" s="40" t="n">
        <x:v>0.10882982743418566</x:v>
      </x:c>
      <x:c r="M290" s="31" t="n">
        <x:v>135.74926616502017</x:v>
      </x:c>
      <x:c r="N290" s="31" t="n">
        <x:v>374</x:v>
      </x:c>
      <x:c r="O290" s="31" t="n">
        <x:v>10.81706435285611</x:v>
      </x:c>
      <x:c r="P290" s="31" t="n">
        <x:v>2</x:v>
      </x:c>
      <x:c r="Q290" s="40" t="n">
        <x:v>0</x:v>
      </x:c>
      <x:c r="R290" s="31" t="n">
        <x:v>0.09752736702609695</x:v>
      </x:c>
      <x:c r="S290" s="40"/>
      <x:c r="T290" s="40"/>
      <x:c r="U290" s="40" t="n">
        <x:v>1</x:v>
      </x:c>
      <x:c r="V290" s="40" t="n">
        <x:v>0.926019229961792</x:v>
      </x:c>
      <x:c r="W290" s="31" t="n">
        <x:v>0</x:v>
      </x:c>
      <x:c r="X290" s="31" t="str"/>
      <x:c r="Y290" s="31" t="n">
        <x:v>0</x:v>
      </x:c>
      <x:c r="Z290" s="31" t="n">
        <x:v>0</x:v>
      </x:c>
      <x:c r="AA290" s="31" t="n">
        <x:v>0</x:v>
      </x:c>
      <x:c r="AB290" s="31" t="str"/>
      <x:c r="AC290" s="31" t="str"/>
    </x:row>
    <x:row r="291">
      <x:c r="A291" s="31" t="str">
        <x:v>53a309645a8f5f35</x:v>
      </x:c>
      <x:c r="B291" s="31" t="str">
        <x:v>53a309645a8f5f35df92fa0c5491cba0e8de539f47ca6abab30f10c116a12bfd</x:v>
      </x:c>
      <x:c r="C291" s="31" t="n">
        <x:v>6</x:v>
      </x:c>
      <x:c r="D291" s="31" t="n">
        <x:v>35635</x:v>
      </x:c>
      <x:c r="E291" s="31" t="str">
        <x:v>Manhattan</x:v>
      </x:c>
      <x:c r="F291" s="31" t="str">
        <x:v>Chelsea-Hudson Yards</x:v>
      </x:c>
      <x:c r="G291" s="31" t="n">
        <x:v>89307.4738793168</x:v>
      </x:c>
      <x:c r="H291" s="31" t="n">
        <x:v>23603</x:v>
      </x:c>
      <x:c r="I291" s="31" t="n">
        <x:v>13.940105272094405</x:v>
      </x:c>
      <x:c r="J291" s="40" t="n">
        <x:v>0.5889505571325679</x:v>
      </x:c>
      <x:c r="K291" s="40" t="n">
        <x:v>0.4088887005889082</x:v>
      </x:c>
      <x:c r="L291" s="40" t="n">
        <x:v>0.028132017116468247</x:v>
      </x:c>
      <x:c r="M291" s="31" t="n">
        <x:v>149.73565692383394</x:v>
      </x:c>
      <x:c r="N291" s="31" t="n">
        <x:v>811</x:v>
      </x:c>
      <x:c r="O291" s="31" t="n">
        <x:v>22.758523923109305</x:v>
      </x:c>
      <x:c r="P291" s="31" t="n">
        <x:v>1.1989577596068297</x:v>
      </x:c>
      <x:c r="Q291" s="40" t="n">
        <x:v>0</x:v>
      </x:c>
      <x:c r="R291" s="31" t="n">
        <x:v>0.10775369804211954</x:v>
      </x:c>
      <x:c r="S291" s="40"/>
      <x:c r="T291" s="40"/>
      <x:c r="U291" s="40" t="n">
        <x:v>1</x:v>
      </x:c>
      <x:c r="V291" s="40" t="n">
        <x:v>0.9873744862941152</x:v>
      </x:c>
      <x:c r="W291" s="31" t="n">
        <x:v>1</x:v>
      </x:c>
      <x:c r="X291" s="31" t="str"/>
      <x:c r="Y291" s="31" t="n">
        <x:v>1</x:v>
      </x:c>
      <x:c r="Z291" s="31" t="n">
        <x:v>0</x:v>
      </x:c>
      <x:c r="AA291" s="31" t="n">
        <x:v>0</x:v>
      </x:c>
      <x:c r="AB291" s="31" t="str"/>
      <x:c r="AC291" s="31" t="str"/>
    </x:row>
    <x:row r="292">
      <x:c r="A292" s="31" t="str">
        <x:v>53c9d99ba8cd2bec</x:v>
      </x:c>
      <x:c r="B292" s="31" t="str">
        <x:v>53c9d99ba8cd2bec036648cf3f458eba0d0f782935b2d606e7788929c90d3287</x:v>
      </x:c>
      <x:c r="C292" s="31" t="n">
        <x:v>9</x:v>
      </x:c>
      <x:c r="D292" s="31" t="n">
        <x:v>35034</x:v>
      </x:c>
      <x:c r="E292" s="31" t="str">
        <x:v>Brooklyn</x:v>
      </x:c>
      <x:c r="F292" s="31" t="str">
        <x:v>East New York-New Lots</x:v>
      </x:c>
      <x:c r="G292" s="31" t="n">
        <x:v>24032.798696716705</x:v>
      </x:c>
      <x:c r="H292" s="31" t="n">
        <x:v>15460</x:v>
      </x:c>
      <x:c r="I292" s="31" t="n">
        <x:v>5.908157504763249</x:v>
      </x:c>
      <x:c r="J292" s="40" t="n">
        <x:v>0.19890038809831825</x:v>
      </x:c>
      <x:c r="K292" s="40" t="n">
        <x:v>0.45239327296248383</x:v>
      </x:c>
      <x:c r="L292" s="40" t="n">
        <x:v>0.3111901681759379</x:v>
      </x:c>
      <x:c r="M292" s="31" t="n">
        <x:v>70.06963112381972</x:v>
      </x:c>
      <x:c r="N292" s="31" t="n">
        <x:v>146</x:v>
      </x:c>
      <x:c r="O292" s="31" t="n">
        <x:v>4.1673802591768</x:v>
      </x:c>
      <x:c r="P292" s="31" t="n">
        <x:v>4.331824062095731</x:v>
      </x:c>
      <x:c r="Q292" s="40" t="n">
        <x:v>0.7255498059508408</x:v>
      </x:c>
      <x:c r="R292" s="31" t="n">
        <x:v>0.15842657095874357</x:v>
      </x:c>
      <x:c r="S292" s="40"/>
      <x:c r="T292" s="40"/>
      <x:c r="U292" s="40" t="n">
        <x:v>1</x:v>
      </x:c>
      <x:c r="V292" s="40" t="n">
        <x:v>0.9730271668822769</x:v>
      </x:c>
      <x:c r="W292" s="31" t="n">
        <x:v>0</x:v>
      </x:c>
      <x:c r="X292" s="31" t="str"/>
      <x:c r="Y292" s="31" t="n">
        <x:v>0</x:v>
      </x:c>
      <x:c r="Z292" s="31" t="n">
        <x:v>0</x:v>
      </x:c>
      <x:c r="AA292" s="31" t="n">
        <x:v>0</x:v>
      </x:c>
      <x:c r="AB292" s="31" t="str"/>
      <x:c r="AC292" s="31" t="str"/>
    </x:row>
    <x:row r="293">
      <x:c r="A293" s="31" t="str">
        <x:v>53eaa293b8410278</x:v>
      </x:c>
      <x:c r="B293" s="31" t="str">
        <x:v>53eaa293b8410278664e4f0473b172b8776518b6803d87c5946fbf1cc079a37f</x:v>
      </x:c>
      <x:c r="C293" s="31" t="n">
        <x:v>10</x:v>
      </x:c>
      <x:c r="D293" s="31" t="n">
        <x:v>34477</x:v>
      </x:c>
      <x:c r="E293" s="31" t="str">
        <x:v>Brooklyn</x:v>
      </x:c>
      <x:c r="F293" s="31" t="str">
        <x:v>Bay Ridge</x:v>
      </x:c>
      <x:c r="G293" s="31" t="n">
        <x:v>45495.883460642384</x:v>
      </x:c>
      <x:c r="H293" s="31" t="n">
        <x:v>14442</x:v>
      </x:c>
      <x:c r="I293" s="31" t="n">
        <x:v>3.5397990994111534</x:v>
      </x:c>
      <x:c r="J293" s="40" t="n">
        <x:v>0</x:v>
      </x:c>
      <x:c r="K293" s="40" t="n">
        <x:v>0.6219360199418363</x:v>
      </x:c>
      <x:c r="L293" s="40" t="n">
        <x:v>0.009970918155380142</x:v>
      </x:c>
      <x:c r="M293" s="31" t="n">
        <x:v>41.138400883594</x:v>
      </x:c>
      <x:c r="N293" s="31" t="n">
        <x:v>101</x:v>
      </x:c>
      <x:c r="O293" s="31" t="n">
        <x:v>2.929489224700525</x:v>
      </x:c>
      <x:c r="P293" s="31" t="n">
        <x:v>2.0621797534967454</x:v>
      </x:c>
      <x:c r="Q293" s="40" t="n">
        <x:v>0</x:v>
      </x:c>
      <x:c r="R293" s="31" t="n">
        <x:v>0.20557393336887506</x:v>
      </x:c>
      <x:c r="S293" s="40"/>
      <x:c r="T293" s="40"/>
      <x:c r="U293" s="40" t="n">
        <x:v>1</x:v>
      </x:c>
      <x:c r="V293" s="40" t="n">
        <x:v>0.997022573050824</x:v>
      </x:c>
      <x:c r="W293" s="31" t="n">
        <x:v>0</x:v>
      </x:c>
      <x:c r="X293" s="31" t="str"/>
      <x:c r="Y293" s="31" t="n">
        <x:v>0</x:v>
      </x:c>
      <x:c r="Z293" s="31" t="n">
        <x:v>0</x:v>
      </x:c>
      <x:c r="AA293" s="31" t="n">
        <x:v>0</x:v>
      </x:c>
      <x:c r="AB293" s="31" t="str"/>
      <x:c r="AC293" s="31" t="str"/>
    </x:row>
    <x:row r="294">
      <x:c r="A294" s="31" t="str">
        <x:v>546dc02f2cda5f63</x:v>
      </x:c>
      <x:c r="B294" s="31" t="str">
        <x:v>546dc02f2cda5f63b4d43e7d7032b3845792e4ffd3dc0f400a12e60f351b79e7</x:v>
      </x:c>
      <x:c r="C294" s="31" t="n">
        <x:v>7</x:v>
      </x:c>
      <x:c r="D294" s="31" t="n">
        <x:v>35073</x:v>
      </x:c>
      <x:c r="E294" s="31" t="str">
        <x:v>Bronx</x:v>
      </x:c>
      <x:c r="F294" s="31" t="str">
        <x:v>Bedford Park</x:v>
      </x:c>
      <x:c r="G294" s="31" t="n">
        <x:v>133025.8561446231</x:v>
      </x:c>
      <x:c r="H294" s="31" t="n">
        <x:v>13411</x:v>
      </x:c>
      <x:c r="I294" s="31" t="n">
        <x:v>5.849436725497559</x:v>
      </x:c>
      <x:c r="J294" s="40" t="n">
        <x:v>0.08418462456192678</x:v>
      </x:c>
      <x:c r="K294" s="40" t="n">
        <x:v>0.8617552755200955</x:v>
      </x:c>
      <x:c r="L294" s="40" t="n">
        <x:v>0.019983595555886958</x:v>
      </x:c>
      <x:c r="M294" s="31" t="n">
        <x:v>67.11333332573011</x:v>
      </x:c>
      <x:c r="N294" s="31" t="n">
        <x:v>149</x:v>
      </x:c>
      <x:c r="O294" s="31" t="n">
        <x:v>4.248282154363755</x:v>
      </x:c>
      <x:c r="P294" s="31" t="n">
        <x:v>4.62829020952949</x:v>
      </x:c>
      <x:c r="Q294" s="40" t="n">
        <x:v>1</x:v>
      </x:c>
      <x:c r="R294" s="31" t="n">
        <x:v>0.13721488403505241</x:v>
      </x:c>
      <x:c r="S294" s="40"/>
      <x:c r="T294" s="40"/>
      <x:c r="U294" s="40" t="n">
        <x:v>1</x:v>
      </x:c>
      <x:c r="V294" s="40" t="n">
        <x:v>0.9824770710610693</x:v>
      </x:c>
      <x:c r="W294" s="31" t="n">
        <x:v>1</x:v>
      </x:c>
      <x:c r="X294" s="31" t="str"/>
      <x:c r="Y294" s="31" t="n">
        <x:v>0</x:v>
      </x:c>
      <x:c r="Z294" s="31" t="n">
        <x:v>1</x:v>
      </x:c>
      <x:c r="AA294" s="31" t="n">
        <x:v>0</x:v>
      </x:c>
      <x:c r="AB294" s="31" t="str"/>
      <x:c r="AC294" s="31" t="str"/>
    </x:row>
    <x:row r="295">
      <x:c r="A295" s="31" t="str">
        <x:v>548982f293f498b4</x:v>
      </x:c>
      <x:c r="B295" s="31" t="str">
        <x:v>548982f293f498b4689c6d22d989953076adc69b275f1c45286b951bbbed41c6</x:v>
      </x:c>
      <x:c r="C295" s="31" t="n">
        <x:v>7</x:v>
      </x:c>
      <x:c r="D295" s="31" t="n">
        <x:v>32913</x:v>
      </x:c>
      <x:c r="E295" s="31" t="str">
        <x:v>Bronx</x:v>
      </x:c>
      <x:c r="F295" s="31" t="str">
        <x:v>University Heights (South)-Morris Heights</x:v>
      </x:c>
      <x:c r="G295" s="31" t="n">
        <x:v>99405.64226678357</x:v>
      </x:c>
      <x:c r="H295" s="31" t="n">
        <x:v>13137</x:v>
      </x:c>
      <x:c r="I295" s="31" t="n">
        <x:v>10.966868386998554</x:v>
      </x:c>
      <x:c r="J295" s="40" t="n">
        <x:v>0.22851488163203168</x:v>
      </x:c>
      <x:c r="K295" s="40" t="n">
        <x:v>0.6993225241683794</x:v>
      </x:c>
      <x:c r="L295" s="40" t="n">
        <x:v>0.1261322980893659</x:v>
      </x:c>
      <x:c r="M295" s="31" t="n">
        <x:v>118.6634852249019</x:v>
      </x:c>
      <x:c r="N295" s="31" t="n">
        <x:v>187</x:v>
      </x:c>
      <x:c r="O295" s="31" t="n">
        <x:v>5.6816455503904235</x:v>
      </x:c>
      <x:c r="P295" s="31" t="n">
        <x:v>5</x:v>
      </x:c>
      <x:c r="Q295" s="40" t="n">
        <x:v>1</x:v>
      </x:c>
      <x:c r="R295" s="31" t="n">
        <x:v>0.0795564409944717</x:v>
      </x:c>
      <x:c r="S295" s="40"/>
      <x:c r="T295" s="40"/>
      <x:c r="U295" s="40" t="n">
        <x:v>1</x:v>
      </x:c>
      <x:c r="V295" s="40" t="n">
        <x:v>0.9662023292989267</x:v>
      </x:c>
      <x:c r="W295" s="31" t="n">
        <x:v>1</x:v>
      </x:c>
      <x:c r="X295" s="31" t="str"/>
      <x:c r="Y295" s="31" t="n">
        <x:v>0</x:v>
      </x:c>
      <x:c r="Z295" s="31" t="n">
        <x:v>1</x:v>
      </x:c>
      <x:c r="AA295" s="31" t="n">
        <x:v>0</x:v>
      </x:c>
      <x:c r="AB295" s="31" t="str"/>
      <x:c r="AC295" s="31" t="str"/>
    </x:row>
    <x:row r="296">
      <x:c r="A296" s="31" t="str">
        <x:v>5527e17974c7f3ec</x:v>
      </x:c>
      <x:c r="B296" s="31" t="str">
        <x:v>5527e17974c7f3ecbb8de22756b06216348d12cc99b885dcda5cdbf8888b6872</x:v>
      </x:c>
      <x:c r="C296" s="31" t="n">
        <x:v>7</x:v>
      </x:c>
      <x:c r="D296" s="31" t="n">
        <x:v>32587</x:v>
      </x:c>
      <x:c r="E296" s="31" t="str">
        <x:v>Brooklyn</x:v>
      </x:c>
      <x:c r="F296" s="31" t="str">
        <x:v>Brownsville</x:v>
      </x:c>
      <x:c r="G296" s="31" t="n">
        <x:v>57479.2777907418</x:v>
      </x:c>
      <x:c r="H296" s="31" t="n">
        <x:v>12701</x:v>
      </x:c>
      <x:c r="I296" s="31" t="n">
        <x:v>10.124284919752105</x:v>
      </x:c>
      <x:c r="J296" s="40" t="n">
        <x:v>0.4552397449019762</x:v>
      </x:c>
      <x:c r="K296" s="40" t="n">
        <x:v>0.4409888985119282</x:v>
      </x:c>
      <x:c r="L296" s="40" t="n">
        <x:v>0.5409022911581766</x:v>
      </x:c>
      <x:c r="M296" s="31" t="n">
        <x:v>109.46204685793619</x:v>
      </x:c>
      <x:c r="N296" s="31" t="n">
        <x:v>166</x:v>
      </x:c>
      <x:c r="O296" s="31" t="n">
        <x:v>5.094055911866695</x:v>
      </x:c>
      <x:c r="P296" s="31" t="n">
        <x:v>5</x:v>
      </x:c>
      <x:c r="Q296" s="40" t="n">
        <x:v>1</x:v>
      </x:c>
      <x:c r="R296" s="31" t="n">
        <x:v>0.08142346728512835</x:v>
      </x:c>
      <x:c r="S296" s="40"/>
      <x:c r="T296" s="40"/>
      <x:c r="U296" s="40" t="n">
        <x:v>1</x:v>
      </x:c>
      <x:c r="V296" s="40" t="n">
        <x:v>0.9377214392567514</x:v>
      </x:c>
      <x:c r="W296" s="31" t="n">
        <x:v>0</x:v>
      </x:c>
      <x:c r="X296" s="31" t="str"/>
      <x:c r="Y296" s="31" t="n">
        <x:v>0</x:v>
      </x:c>
      <x:c r="Z296" s="31" t="n">
        <x:v>0</x:v>
      </x:c>
      <x:c r="AA296" s="31" t="n">
        <x:v>0</x:v>
      </x:c>
      <x:c r="AB296" s="31" t="str"/>
      <x:c r="AC296" s="31" t="str"/>
    </x:row>
    <x:row r="297">
      <x:c r="A297" s="31" t="str">
        <x:v>555ae0cfae170b30</x:v>
      </x:c>
      <x:c r="B297" s="31" t="str">
        <x:v>555ae0cfae170b3062e3a3795a4cadb4d60996358db94a66ca2e029cba021496</x:v>
      </x:c>
      <x:c r="C297" s="31" t="n">
        <x:v>7</x:v>
      </x:c>
      <x:c r="D297" s="31" t="n">
        <x:v>34073</x:v>
      </x:c>
      <x:c r="E297" s="31" t="str">
        <x:v>Brooklyn</x:v>
      </x:c>
      <x:c r="F297" s="31" t="str">
        <x:v>Borough Park</x:v>
      </x:c>
      <x:c r="G297" s="31" t="n">
        <x:v>78892.99608514736</x:v>
      </x:c>
      <x:c r="H297" s="31" t="n">
        <x:v>9519</x:v>
      </x:c>
      <x:c r="I297" s="31" t="n">
        <x:v>3.5890075773521364</x:v>
      </x:c>
      <x:c r="J297" s="40" t="n">
        <x:v>0.022166193927933606</x:v>
      </x:c>
      <x:c r="K297" s="40" t="n">
        <x:v>0.6745456455510033</x:v>
      </x:c>
      <x:c r="L297" s="40" t="n">
        <x:v>0.012816472318520853</x:v>
      </x:c>
      <x:c r="M297" s="31" t="n">
        <x:v>42.15933655951795</x:v>
      </x:c>
      <x:c r="N297" s="31" t="n">
        <x:v>133</x:v>
      </x:c>
      <x:c r="O297" s="31" t="n">
        <x:v>3.9033839110145867</x:v>
      </x:c>
      <x:c r="P297" s="31" t="n">
        <x:v>3.8417901040025213</x:v>
      </x:c>
      <x:c r="Q297" s="40" t="n">
        <x:v>0.8417901040025213</x:v>
      </x:c>
      <x:c r="R297" s="31" t="n">
        <x:v>0.15450376635814858</x:v>
      </x:c>
      <x:c r="S297" s="40"/>
      <x:c r="T297" s="40"/>
      <x:c r="U297" s="40" t="n">
        <x:v>1</x:v>
      </x:c>
      <x:c r="V297" s="40" t="n">
        <x:v>0.9915957558567077</x:v>
      </x:c>
      <x:c r="W297" s="31" t="n">
        <x:v>0</x:v>
      </x:c>
      <x:c r="X297" s="31" t="str"/>
      <x:c r="Y297" s="31" t="n">
        <x:v>0</x:v>
      </x:c>
      <x:c r="Z297" s="31" t="n">
        <x:v>0</x:v>
      </x:c>
      <x:c r="AA297" s="31" t="n">
        <x:v>0</x:v>
      </x:c>
      <x:c r="AB297" s="31" t="str"/>
      <x:c r="AC297" s="31" t="str"/>
    </x:row>
    <x:row r="298">
      <x:c r="A298" s="31" t="str">
        <x:v>55920d821c95bfe2</x:v>
      </x:c>
      <x:c r="B298" s="31" t="str">
        <x:v>55920d821c95bfe20ce98f3ebf47046c217a18409573bf259cbe45fa54aaab31</x:v>
      </x:c>
      <x:c r="C298" s="31" t="n">
        <x:v>12</x:v>
      </x:c>
      <x:c r="D298" s="31" t="n">
        <x:v>35118</x:v>
      </x:c>
      <x:c r="E298" s="31" t="str">
        <x:v>Brooklyn</x:v>
      </x:c>
      <x:c r="F298" s="31" t="str">
        <x:v>Park Slope</x:v>
      </x:c>
      <x:c r="G298" s="31" t="n">
        <x:v>51860.3045153706</x:v>
      </x:c>
      <x:c r="H298" s="31" t="n">
        <x:v>18603</x:v>
      </x:c>
      <x:c r="I298" s="31" t="n">
        <x:v>4.289552727868494</x:v>
      </x:c>
      <x:c r="J298" s="40" t="n">
        <x:v>0.09020050529484491</x:v>
      </x:c>
      <x:c r="K298" s="40" t="n">
        <x:v>0.6922001827662205</x:v>
      </x:c>
      <x:c r="L298" s="40" t="n">
        <x:v>0.011396011396011397</x:v>
      </x:c>
      <x:c r="M298" s="31" t="n">
        <x:v>50.06605450114409</x:v>
      </x:c>
      <x:c r="N298" s="31" t="n">
        <x:v>172</x:v>
      </x:c>
      <x:c r="O298" s="31" t="n">
        <x:v>4.897773221709665</x:v>
      </x:c>
      <x:c r="P298" s="31" t="n">
        <x:v>1.0822447992259312</x:v>
      </x:c>
      <x:c r="Q298" s="40" t="n">
        <x:v>0.027414933075310434</x:v>
      </x:c>
      <x:c r="R298" s="31" t="n">
        <x:v>0.13799286749826808</x:v>
      </x:c>
      <x:c r="S298" s="40"/>
      <x:c r="T298" s="40"/>
      <x:c r="U298" s="40" t="n">
        <x:v>1</x:v>
      </x:c>
      <x:c r="V298" s="40" t="n">
        <x:v>0.9453313981615868</x:v>
      </x:c>
      <x:c r="W298" s="31" t="n">
        <x:v>0</x:v>
      </x:c>
      <x:c r="X298" s="31" t="str"/>
      <x:c r="Y298" s="31" t="n">
        <x:v>0</x:v>
      </x:c>
      <x:c r="Z298" s="31" t="n">
        <x:v>0</x:v>
      </x:c>
      <x:c r="AA298" s="31" t="n">
        <x:v>0</x:v>
      </x:c>
      <x:c r="AB298" s="31" t="str"/>
      <x:c r="AC298" s="31" t="str"/>
    </x:row>
    <x:row r="299">
      <x:c r="A299" s="31" t="str">
        <x:v>5595471aebbf6547</x:v>
      </x:c>
      <x:c r="B299" s="31" t="str">
        <x:v>5595471aebbf6547981a8186b422a084b0ed6bf77c2d5e4a0bb3901b3e36f919</x:v>
      </x:c>
      <x:c r="C299" s="31" t="n">
        <x:v>8</x:v>
      </x:c>
      <x:c r="D299" s="31" t="n">
        <x:v>32540</x:v>
      </x:c>
      <x:c r="E299" s="31" t="str">
        <x:v>Brooklyn</x:v>
      </x:c>
      <x:c r="F299" s="31" t="str">
        <x:v>Carroll Gardens-Cobble Hill-Gowanus-Red Hook</x:v>
      </x:c>
      <x:c r="G299" s="31" t="n">
        <x:v>42992.82551317519</x:v>
      </x:c>
      <x:c r="H299" s="31" t="n">
        <x:v>18547</x:v>
      </x:c>
      <x:c r="I299" s="31" t="n">
        <x:v>7.187184154757377</x:v>
      </x:c>
      <x:c r="J299" s="40" t="n">
        <x:v>0.2111392678061142</x:v>
      </x:c>
      <x:c r="K299" s="40" t="n">
        <x:v>0.7029169137865963</x:v>
      </x:c>
      <x:c r="L299" s="40" t="n">
        <x:v>0.17884293955895833</x:v>
      </x:c>
      <x:c r="M299" s="31" t="n">
        <x:v>72.6716708089959</x:v>
      </x:c>
      <x:c r="N299" s="31" t="n">
        <x:v>219</x:v>
      </x:c>
      <x:c r="O299" s="31" t="n">
        <x:v>6.7301782421634915</x:v>
      </x:c>
      <x:c r="P299" s="31" t="n">
        <x:v>2</x:v>
      </x:c>
      <x:c r="Q299" s="40" t="n">
        <x:v>0</x:v>
      </x:c>
      <x:c r="R299" s="31" t="n">
        <x:v>0.1731074201803751</x:v>
      </x:c>
      <x:c r="S299" s="40"/>
      <x:c r="T299" s="40"/>
      <x:c r="U299" s="40" t="n">
        <x:v>1</x:v>
      </x:c>
      <x:c r="V299" s="40" t="n">
        <x:v>0.9445193292715803</x:v>
      </x:c>
      <x:c r="W299" s="31" t="n">
        <x:v>1</x:v>
      </x:c>
      <x:c r="X299" s="31" t="str">
        <x:v>holdout</x:v>
      </x:c>
      <x:c r="Y299" s="31" t="n">
        <x:v>0</x:v>
      </x:c>
      <x:c r="Z299" s="31" t="n">
        <x:v>0</x:v>
      </x:c>
      <x:c r="AA299" s="31" t="n">
        <x:v>1</x:v>
      </x:c>
      <x:c r="AB299" s="31" t="str">
        <x:v>V3</x:v>
      </x:c>
      <x:c r="AC299" s="31" t="str"/>
    </x:row>
    <x:row r="300">
      <x:c r="A300" s="31" t="str">
        <x:v>5599b04625160790</x:v>
      </x:c>
      <x:c r="B300" s="31" t="str">
        <x:v>5599b046251607904aaf54c138fe77bc796a62222173e85f36270521366d41fb</x:v>
      </x:c>
      <x:c r="C300" s="31" t="n">
        <x:v>8</x:v>
      </x:c>
      <x:c r="D300" s="31" t="n">
        <x:v>34097</x:v>
      </x:c>
      <x:c r="E300" s="31" t="str">
        <x:v>Bronx</x:v>
      </x:c>
      <x:c r="F300" s="31" t="str">
        <x:v>Eastchester-Edenwald-Baychester</x:v>
      </x:c>
      <x:c r="G300" s="31" t="n">
        <x:v>35148.29652242709</x:v>
      </x:c>
      <x:c r="H300" s="31" t="n">
        <x:v>10719</x:v>
      </x:c>
      <x:c r="I300" s="31" t="n">
        <x:v>2.8802682171996628</x:v>
      </x:c>
      <x:c r="J300" s="40" t="n">
        <x:v>0</x:v>
      </x:c>
      <x:c r="K300" s="40" t="n">
        <x:v>0.47383151413378116</x:v>
      </x:c>
      <x:c r="L300" s="40" t="n">
        <x:v>0.19218210653978915</x:v>
      </x:c>
      <x:c r="M300" s="31" t="n">
        <x:v>33.83045767969292</x:v>
      </x:c>
      <x:c r="N300" s="31" t="n">
        <x:v>25</x:v>
      </x:c>
      <x:c r="O300" s="31" t="n">
        <x:v>0.7332023345162332</x:v>
      </x:c>
      <x:c r="P300" s="31" t="n">
        <x:v>4.984513480735143</x:v>
      </x:c>
      <x:c r="Q300" s="40" t="n">
        <x:v>1</x:v>
      </x:c>
      <x:c r="R300" s="31" t="n">
        <x:v>0.204373550132831</x:v>
      </x:c>
      <x:c r="S300" s="40"/>
      <x:c r="T300" s="40"/>
      <x:c r="U300" s="40" t="n">
        <x:v>1</x:v>
      </x:c>
      <x:c r="V300" s="40" t="n">
        <x:v>0.9903908946730106</x:v>
      </x:c>
      <x:c r="W300" s="31" t="n">
        <x:v>0</x:v>
      </x:c>
      <x:c r="X300" s="31" t="str"/>
      <x:c r="Y300" s="31" t="n">
        <x:v>0</x:v>
      </x:c>
      <x:c r="Z300" s="31" t="n">
        <x:v>0</x:v>
      </x:c>
      <x:c r="AA300" s="31" t="n">
        <x:v>0</x:v>
      </x:c>
      <x:c r="AB300" s="31" t="str"/>
      <x:c r="AC300" s="31" t="str"/>
    </x:row>
    <x:row r="301">
      <x:c r="A301" s="31" t="str">
        <x:v>55dcc41d97affc09</x:v>
      </x:c>
      <x:c r="B301" s="31" t="str">
        <x:v>55dcc41d97affc093257f77f224bd5cd9f004d72a0e35af488c6feff7090dfa8</x:v>
      </x:c>
      <x:c r="C301" s="31" t="n">
        <x:v>12</x:v>
      </x:c>
      <x:c r="D301" s="31" t="n">
        <x:v>32052</x:v>
      </x:c>
      <x:c r="E301" s="31" t="str">
        <x:v>Brooklyn</x:v>
      </x:c>
      <x:c r="F301" s="31" t="str">
        <x:v>Bay Ridge</x:v>
      </x:c>
      <x:c r="G301" s="31" t="n">
        <x:v>36980.96705774053</x:v>
      </x:c>
      <x:c r="H301" s="31" t="n">
        <x:v>15782</x:v>
      </x:c>
      <x:c r="I301" s="31" t="n">
        <x:v>4.7017122375182385</x:v>
      </x:c>
      <x:c r="J301" s="40" t="n">
        <x:v>0.04010898491952858</x:v>
      </x:c>
      <x:c r="K301" s="40" t="n">
        <x:v>0.7117602331770372</x:v>
      </x:c>
      <x:c r="L301" s="40" t="n">
        <x:v>0.05290837663160563</x:v>
      </x:c>
      <x:c r="M301" s="31" t="n">
        <x:v>52.75762046933143</x:v>
      </x:c>
      <x:c r="N301" s="31" t="n">
        <x:v>185</x:v>
      </x:c>
      <x:c r="O301" s="31" t="n">
        <x:v>5.771870710096094</x:v>
      </x:c>
      <x:c r="P301" s="31" t="n">
        <x:v>2</x:v>
      </x:c>
      <x:c r="Q301" s="40" t="n">
        <x:v>0</x:v>
      </x:c>
      <x:c r="R301" s="31" t="n">
        <x:v>0.22037641582882933</x:v>
      </x:c>
      <x:c r="S301" s="40"/>
      <x:c r="T301" s="40"/>
      <x:c r="U301" s="40" t="n">
        <x:v>1</x:v>
      </x:c>
      <x:c r="V301" s="40" t="n">
        <x:v>0.9989228234697757</x:v>
      </x:c>
      <x:c r="W301" s="31" t="n">
        <x:v>0</x:v>
      </x:c>
      <x:c r="X301" s="31" t="str"/>
      <x:c r="Y301" s="31" t="n">
        <x:v>0</x:v>
      </x:c>
      <x:c r="Z301" s="31" t="n">
        <x:v>0</x:v>
      </x:c>
      <x:c r="AA301" s="31" t="n">
        <x:v>0</x:v>
      </x:c>
      <x:c r="AB301" s="31" t="str"/>
      <x:c r="AC301" s="31" t="str"/>
    </x:row>
    <x:row r="302">
      <x:c r="A302" s="31" t="str">
        <x:v>56138d818ff7814d</x:v>
      </x:c>
      <x:c r="B302" s="31" t="str">
        <x:v>56138d818ff7814dcc92e26f4d045a49670f1c586b54e0fa6378525622128165</x:v>
      </x:c>
      <x:c r="C302" s="31" t="n">
        <x:v>11</x:v>
      </x:c>
      <x:c r="D302" s="31" t="n">
        <x:v>34404</x:v>
      </x:c>
      <x:c r="E302" s="31" t="str">
        <x:v>Staten Island</x:v>
      </x:c>
      <x:c r="F302" s="31" t="str">
        <x:v>West New Brighton-Silver Lake-Grymes Hill</x:v>
      </x:c>
      <x:c r="G302" s="31" t="n">
        <x:v>11981.843812048603</x:v>
      </x:c>
      <x:c r="H302" s="31" t="n">
        <x:v>12055</x:v>
      </x:c>
      <x:c r="I302" s="31" t="n">
        <x:v>2.803942890346145</x:v>
      </x:c>
      <x:c r="J302" s="40" t="n">
        <x:v>0.027374533388635422</x:v>
      </x:c>
      <x:c r="K302" s="40" t="n">
        <x:v>0.16922438822065533</x:v>
      </x:c>
      <x:c r="L302" s="40" t="n">
        <x:v>0.10999585234342596</x:v>
      </x:c>
      <x:c r="M302" s="31" t="n">
        <x:v>34.74919589878581</x:v>
      </x:c>
      <x:c r="N302" s="31" t="n">
        <x:v>38</x:v>
      </x:c>
      <x:c r="O302" s="31" t="n">
        <x:v>1.1045227299151261</x:v>
      </x:c>
      <x:c r="P302" s="31" t="n">
        <x:v>2.8213189547905433</x:v>
      </x:c>
      <x:c r="Q302" s="40" t="n">
        <x:v>0.10352550808793032</x:v>
      </x:c>
      <x:c r="R302" s="31" t="n">
        <x:v>0.20123379794895516</x:v>
      </x:c>
      <x:c r="S302" s="40"/>
      <x:c r="T302" s="40"/>
      <x:c r="U302" s="40" t="n">
        <x:v>1</x:v>
      </x:c>
      <x:c r="V302" s="40" t="n">
        <x:v>0.9933637494815429</x:v>
      </x:c>
      <x:c r="W302" s="31" t="n">
        <x:v>0</x:v>
      </x:c>
      <x:c r="X302" s="31" t="str"/>
      <x:c r="Y302" s="31" t="n">
        <x:v>0</x:v>
      </x:c>
      <x:c r="Z302" s="31" t="n">
        <x:v>0</x:v>
      </x:c>
      <x:c r="AA302" s="31" t="n">
        <x:v>0</x:v>
      </x:c>
      <x:c r="AB302" s="31" t="str"/>
      <x:c r="AC302" s="31" t="str"/>
    </x:row>
    <x:row r="303">
      <x:c r="A303" s="31" t="str">
        <x:v>5625f0d3fbee0a06</x:v>
      </x:c>
      <x:c r="B303" s="31" t="str">
        <x:v>5625f0d3fbee0a06553d56474f425ec80252eceee21a07122a6ee7c97dd282ec</x:v>
      </x:c>
      <x:c r="C303" s="31" t="n">
        <x:v>10</x:v>
      </x:c>
      <x:c r="D303" s="31" t="n">
        <x:v>32859</x:v>
      </x:c>
      <x:c r="E303" s="31" t="str">
        <x:v>Manhattan</x:v>
      </x:c>
      <x:c r="F303" s="31" t="str">
        <x:v>East Midtown-Turtle Bay</x:v>
      </x:c>
      <x:c r="G303" s="31" t="n">
        <x:v>93107.07674237031</x:v>
      </x:c>
      <x:c r="H303" s="31" t="n">
        <x:v>24955</x:v>
      </x:c>
      <x:c r="I303" s="31" t="n">
        <x:v>21.47037671232877</x:v>
      </x:c>
      <x:c r="J303" s="40" t="n">
        <x:v>0.812582648767782</x:v>
      </x:c>
      <x:c r="K303" s="40" t="n">
        <x:v>0.1819675415748347</x:v>
      </x:c>
      <x:c r="L303" s="40" t="n">
        <x:v>0.005209376878381086</x:v>
      </x:c>
      <x:c r="M303" s="31" t="n">
        <x:v>225.66935568334898</x:v>
      </x:c>
      <x:c r="N303" s="31" t="n">
        <x:v>919</x:v>
      </x:c>
      <x:c r="O303" s="31" t="n">
        <x:v>27.96798441827201</x:v>
      </x:c>
      <x:c r="P303" s="31" t="n">
        <x:v>1.0532558605489881</x:v>
      </x:c>
      <x:c r="Q303" s="40" t="n">
        <x:v>0</x:v>
      </x:c>
      <x:c r="R303" s="31" t="n">
        <x:v>0.16183294163786155</x:v>
      </x:c>
      <x:c r="S303" s="40"/>
      <x:c r="T303" s="40"/>
      <x:c r="U303" s="40" t="n">
        <x:v>1</x:v>
      </x:c>
      <x:c r="V303" s="40" t="n">
        <x:v>0.9909837707874174</x:v>
      </x:c>
      <x:c r="W303" s="31" t="n">
        <x:v>1</x:v>
      </x:c>
      <x:c r="X303" s="31" t="str"/>
      <x:c r="Y303" s="31" t="n">
        <x:v>1</x:v>
      </x:c>
      <x:c r="Z303" s="31" t="n">
        <x:v>0</x:v>
      </x:c>
      <x:c r="AA303" s="31" t="n">
        <x:v>0</x:v>
      </x:c>
      <x:c r="AB303" s="31" t="str"/>
      <x:c r="AC303" s="31" t="str"/>
    </x:row>
    <x:row r="304">
      <x:c r="A304" s="31" t="str">
        <x:v>563cc7ac91eb92ce</x:v>
      </x:c>
      <x:c r="B304" s="31" t="str">
        <x:v>563cc7ac91eb92cee9dbff7cc2fd73b5e3fdfbec5d54e0c244f1783c02682c4a</x:v>
      </x:c>
      <x:c r="C304" s="31" t="n">
        <x:v>10</x:v>
      </x:c>
      <x:c r="D304" s="31" t="n">
        <x:v>32647</x:v>
      </x:c>
      <x:c r="E304" s="31" t="str">
        <x:v>Queens</x:v>
      </x:c>
      <x:c r="F304" s="31" t="str">
        <x:v>North Corona</x:v>
      </x:c>
      <x:c r="G304" s="31" t="n">
        <x:v>90904.90721953263</x:v>
      </x:c>
      <x:c r="H304" s="31" t="n">
        <x:v>7313</x:v>
      </x:c>
      <x:c r="I304" s="31" t="n">
        <x:v>2.9586278844825205</x:v>
      </x:c>
      <x:c r="J304" s="40" t="n">
        <x:v>0</x:v>
      </x:c>
      <x:c r="K304" s="40" t="n">
        <x:v>0.5689867359496786</x:v>
      </x:c>
      <x:c r="L304" s="40" t="n">
        <x:v>0.012443593600437577</x:v>
      </x:c>
      <x:c r="M304" s="31" t="n">
        <x:v>33.6900914992295</x:v>
      </x:c>
      <x:c r="N304" s="31" t="n">
        <x:v>48</x:v>
      </x:c>
      <x:c r="O304" s="31" t="n">
        <x:v>1.4702729194106656</x:v>
      </x:c>
      <x:c r="P304" s="31" t="n">
        <x:v>4</x:v>
      </x:c>
      <x:c r="Q304" s="40" t="n">
        <x:v>1</x:v>
      </x:c>
      <x:c r="R304" s="31" t="n">
        <x:v>0.1465607135773548</x:v>
      </x:c>
      <x:c r="S304" s="40"/>
      <x:c r="T304" s="40"/>
      <x:c r="U304" s="40" t="n">
        <x:v>1</x:v>
      </x:c>
      <x:c r="V304" s="40" t="n">
        <x:v>0.9956242308218242</x:v>
      </x:c>
      <x:c r="W304" s="31" t="n">
        <x:v>1</x:v>
      </x:c>
      <x:c r="X304" s="31" t="str"/>
      <x:c r="Y304" s="31" t="n">
        <x:v>0</x:v>
      </x:c>
      <x:c r="Z304" s="31" t="n">
        <x:v>1</x:v>
      </x:c>
      <x:c r="AA304" s="31" t="n">
        <x:v>0</x:v>
      </x:c>
      <x:c r="AB304" s="31" t="str"/>
      <x:c r="AC304" s="31" t="str"/>
    </x:row>
    <x:row r="305">
      <x:c r="A305" s="31" t="str">
        <x:v>564bad2e690f027c</x:v>
      </x:c>
      <x:c r="B305" s="31" t="str">
        <x:v>564bad2e690f027c87173cb9479bc43c8cd109f9beab0587941c00052dba3e39</x:v>
      </x:c>
      <x:c r="C305" s="31" t="n">
        <x:v>9</x:v>
      </x:c>
      <x:c r="D305" s="31" t="n">
        <x:v>32373</x:v>
      </x:c>
      <x:c r="E305" s="31" t="str">
        <x:v>Queens</x:v>
      </x:c>
      <x:c r="F305" s="31" t="str">
        <x:v>Jamaica</x:v>
      </x:c>
      <x:c r="G305" s="31" t="n">
        <x:v>46826.62450842896</x:v>
      </x:c>
      <x:c r="H305" s="31" t="n">
        <x:v>12434</x:v>
      </x:c>
      <x:c r="I305" s="31" t="n">
        <x:v>8.329924230211189</x:v>
      </x:c>
      <x:c r="J305" s="40" t="n">
        <x:v>0.3654495737493968</x:v>
      </x:c>
      <x:c r="K305" s="40" t="n">
        <x:v>0.41137204439440245</x:v>
      </x:c>
      <x:c r="L305" s="40" t="n">
        <x:v>0.011581148463889336</x:v>
      </x:c>
      <x:c r="M305" s="31" t="n">
        <x:v>88.12445192704565</x:v>
      </x:c>
      <x:c r="N305" s="31" t="n">
        <x:v>143</x:v>
      </x:c>
      <x:c r="O305" s="31" t="n">
        <x:v>4.417261297995243</x:v>
      </x:c>
      <x:c r="P305" s="31" t="n">
        <x:v>3.15723017532572</x:v>
      </x:c>
      <x:c r="Q305" s="40" t="n">
        <x:v>0.08323950458420461</x:v>
      </x:c>
      <x:c r="R305" s="31" t="n">
        <x:v>0.09478808926582304</x:v>
      </x:c>
      <x:c r="S305" s="40"/>
      <x:c r="T305" s="40"/>
      <x:c r="U305" s="40" t="n">
        <x:v>1</x:v>
      </x:c>
      <x:c r="V305" s="40" t="n">
        <x:v>0.9005147177095062</x:v>
      </x:c>
      <x:c r="W305" s="31" t="n">
        <x:v>0</x:v>
      </x:c>
      <x:c r="X305" s="31" t="str"/>
      <x:c r="Y305" s="31" t="n">
        <x:v>0</x:v>
      </x:c>
      <x:c r="Z305" s="31" t="n">
        <x:v>0</x:v>
      </x:c>
      <x:c r="AA305" s="31" t="n">
        <x:v>0</x:v>
      </x:c>
      <x:c r="AB305" s="31" t="str"/>
      <x:c r="AC305" s="31" t="str"/>
    </x:row>
    <x:row r="306">
      <x:c r="A306" s="31" t="str">
        <x:v>5656056465a74d33</x:v>
      </x:c>
      <x:c r="B306" s="31" t="str">
        <x:v>5656056465a74d33090ce19421b161e632e5d0c8029de690209239ed334f7de1</x:v>
      </x:c>
      <x:c r="C306" s="31" t="n">
        <x:v>6</x:v>
      </x:c>
      <x:c r="D306" s="31" t="n">
        <x:v>32623</x:v>
      </x:c>
      <x:c r="E306" s="31" t="str">
        <x:v>Brooklyn</x:v>
      </x:c>
      <x:c r="F306" s="31" t="str">
        <x:v>Sunset Park (Central)</x:v>
      </x:c>
      <x:c r="G306" s="31" t="n">
        <x:v>101757.86406456876</x:v>
      </x:c>
      <x:c r="H306" s="31" t="n">
        <x:v>7957</x:v>
      </x:c>
      <x:c r="I306" s="31" t="n">
        <x:v>3.158966947341963</x:v>
      </x:c>
      <x:c r="J306" s="40" t="n">
        <x:v>0.020108080935025762</x:v>
      </x:c>
      <x:c r="K306" s="40" t="n">
        <x:v>0.610280256378032</x:v>
      </x:c>
      <x:c r="L306" s="40" t="n">
        <x:v>0.01960537891165012</x:v>
      </x:c>
      <x:c r="M306" s="31" t="n">
        <x:v>38.14566961954782</x:v>
      </x:c>
      <x:c r="N306" s="31" t="n">
        <x:v>68</x:v>
      </x:c>
      <x:c r="O306" s="31" t="n">
        <x:v>2.0844189682126104</x:v>
      </x:c>
      <x:c r="P306" s="31" t="n">
        <x:v>3</x:v>
      </x:c>
      <x:c r="Q306" s="40" t="n">
        <x:v>0</x:v>
      </x:c>
      <x:c r="R306" s="31" t="n">
        <x:v>0.17546695797594156</x:v>
      </x:c>
      <x:c r="S306" s="40"/>
      <x:c r="T306" s="40"/>
      <x:c r="U306" s="40" t="n">
        <x:v>1</x:v>
      </x:c>
      <x:c r="V306" s="40" t="n">
        <x:v>0.9922081186376775</x:v>
      </x:c>
      <x:c r="W306" s="31" t="n">
        <x:v>0</x:v>
      </x:c>
      <x:c r="X306" s="31" t="str"/>
      <x:c r="Y306" s="31" t="n">
        <x:v>0</x:v>
      </x:c>
      <x:c r="Z306" s="31" t="n">
        <x:v>0</x:v>
      </x:c>
      <x:c r="AA306" s="31" t="n">
        <x:v>0</x:v>
      </x:c>
      <x:c r="AB306" s="31" t="str"/>
      <x:c r="AC306" s="31" t="str"/>
    </x:row>
    <x:row r="307">
      <x:c r="A307" s="31" t="str">
        <x:v>5668f3abd7af0671</x:v>
      </x:c>
      <x:c r="B307" s="31" t="str">
        <x:v>5668f3abd7af06715b85d515bfb9203fb65ec6bb2a4551208b8a299b5142dd84</x:v>
      </x:c>
      <x:c r="C307" s="31" t="n">
        <x:v>9</x:v>
      </x:c>
      <x:c r="D307" s="31" t="n">
        <x:v>32088</x:v>
      </x:c>
      <x:c r="E307" s="31" t="str">
        <x:v>Brooklyn</x:v>
      </x:c>
      <x:c r="F307" s="31" t="str">
        <x:v>East New York-City Line</x:v>
      </x:c>
      <x:c r="G307" s="31" t="n">
        <x:v>35519.34015534083</x:v>
      </x:c>
      <x:c r="H307" s="31" t="n">
        <x:v>10389</x:v>
      </x:c>
      <x:c r="I307" s="31" t="n">
        <x:v>5.293930759803922</x:v>
      </x:c>
      <x:c r="J307" s="40" t="n">
        <x:v>0.05322937722591202</x:v>
      </x:c>
      <x:c r="K307" s="40" t="n">
        <x:v>0.5372990663201463</x:v>
      </x:c>
      <x:c r="L307" s="40" t="n">
        <x:v>0.3325632880931755</x:v>
      </x:c>
      <x:c r="M307" s="31" t="n">
        <x:v>55.46790263270976</x:v>
      </x:c>
      <x:c r="N307" s="31" t="n">
        <x:v>76</x:v>
      </x:c>
      <x:c r="O307" s="31" t="n">
        <x:v>2.368486661680379</x:v>
      </x:c>
      <x:c r="P307" s="31" t="n">
        <x:v>4</x:v>
      </x:c>
      <x:c r="Q307" s="40" t="n">
        <x:v>1</x:v>
      </x:c>
      <x:c r="R307" s="31" t="n">
        <x:v>0.15989957687831144</x:v>
      </x:c>
      <x:c r="S307" s="40"/>
      <x:c r="T307" s="40"/>
      <x:c r="U307" s="40" t="n">
        <x:v>1</x:v>
      </x:c>
      <x:c r="V307" s="40" t="n">
        <x:v>0.994609683318895</x:v>
      </x:c>
      <x:c r="W307" s="31" t="n">
        <x:v>1</x:v>
      </x:c>
      <x:c r="X307" s="31" t="str"/>
      <x:c r="Y307" s="31" t="n">
        <x:v>0</x:v>
      </x:c>
      <x:c r="Z307" s="31" t="n">
        <x:v>1</x:v>
      </x:c>
      <x:c r="AA307" s="31" t="n">
        <x:v>0</x:v>
      </x:c>
      <x:c r="AB307" s="31" t="str"/>
      <x:c r="AC307" s="31" t="str"/>
    </x:row>
    <x:row r="308">
      <x:c r="A308" s="31" t="str">
        <x:v>5701c5b3f9399e0a</x:v>
      </x:c>
      <x:c r="B308" s="31" t="str">
        <x:v>5701c5b3f9399e0a8cce76e464eb3fca19b5c6c165c1736885b39c5e050c4e5c</x:v>
      </x:c>
      <x:c r="C308" s="31" t="n">
        <x:v>14</x:v>
      </x:c>
      <x:c r="D308" s="31" t="n">
        <x:v>32231</x:v>
      </x:c>
      <x:c r="E308" s="31" t="str">
        <x:v>Queens</x:v>
      </x:c>
      <x:c r="F308" s="31" t="str">
        <x:v>South Jamaica</x:v>
      </x:c>
      <x:c r="G308" s="31" t="n">
        <x:v>31412.253606599083</x:v>
      </x:c>
      <x:c r="H308" s="31" t="n">
        <x:v>8794</x:v>
      </x:c>
      <x:c r="I308" s="31" t="n">
        <x:v>2.3339082944589826</x:v>
      </x:c>
      <x:c r="J308" s="40" t="n">
        <x:v>0</x:v>
      </x:c>
      <x:c r="K308" s="40" t="n">
        <x:v>0.05401410052308392</x:v>
      </x:c>
      <x:c r="L308" s="40" t="n">
        <x:v>0.04503070275187628</x:v>
      </x:c>
      <x:c r="M308" s="31" t="n">
        <x:v>28.162636011361506</x:v>
      </x:c>
      <x:c r="N308" s="31" t="n">
        <x:v>11</x:v>
      </x:c>
      <x:c r="O308" s="31" t="n">
        <x:v>0.3412863392386212</x:v>
      </x:c>
      <x:c r="P308" s="31" t="n">
        <x:v>4.653741187173073</x:v>
      </x:c>
      <x:c r="Q308" s="40" t="n">
        <x:v>1</x:v>
      </x:c>
      <x:c r="R308" s="31" t="n">
        <x:v>0.17324621938603166</x:v>
      </x:c>
      <x:c r="S308" s="40"/>
      <x:c r="T308" s="40"/>
      <x:c r="U308" s="40" t="n">
        <x:v>1</x:v>
      </x:c>
      <x:c r="V308" s="40" t="n">
        <x:v>0.9930634523538776</x:v>
      </x:c>
      <x:c r="W308" s="31" t="n">
        <x:v>0</x:v>
      </x:c>
      <x:c r="X308" s="31" t="str"/>
      <x:c r="Y308" s="31" t="n">
        <x:v>0</x:v>
      </x:c>
      <x:c r="Z308" s="31" t="n">
        <x:v>0</x:v>
      </x:c>
      <x:c r="AA308" s="31" t="n">
        <x:v>0</x:v>
      </x:c>
      <x:c r="AB308" s="31" t="str"/>
      <x:c r="AC308" s="31" t="str"/>
    </x:row>
    <x:row r="309">
      <x:c r="A309" s="31" t="str">
        <x:v>57258c58e30a909b</x:v>
      </x:c>
      <x:c r="B309" s="31" t="str">
        <x:v>57258c58e30a909b10f01bfb3c0d69cb222c1a42f3a45778654afe3e233aed54</x:v>
      </x:c>
      <x:c r="C309" s="31" t="n">
        <x:v>10</x:v>
      </x:c>
      <x:c r="D309" s="31" t="n">
        <x:v>34221</x:v>
      </x:c>
      <x:c r="E309" s="31" t="str">
        <x:v>Brooklyn</x:v>
      </x:c>
      <x:c r="F309" s="31" t="str">
        <x:v>East Flatbush-Remsen Village</x:v>
      </x:c>
      <x:c r="G309" s="31" t="n">
        <x:v>50517.86553515852</x:v>
      </x:c>
      <x:c r="H309" s="31" t="n">
        <x:v>12102</x:v>
      </x:c>
      <x:c r="I309" s="31" t="n">
        <x:v>3.1212066115702477</x:v>
      </x:c>
      <x:c r="J309" s="40" t="n">
        <x:v>0.023549826474962815</x:v>
      </x:c>
      <x:c r="K309" s="40" t="n">
        <x:v>0.37216988927450007</x:v>
      </x:c>
      <x:c r="L309" s="40" t="n">
        <x:v>0.006858370517269873</x:v>
      </x:c>
      <x:c r="M309" s="31" t="n">
        <x:v>36.45465928642803</x:v>
      </x:c>
      <x:c r="N309" s="31" t="n">
        <x:v>35</x:v>
      </x:c>
      <x:c r="O309" s="31" t="n">
        <x:v>1.0227638000058445</x:v>
      </x:c>
      <x:c r="P309" s="31" t="n">
        <x:v>5</x:v>
      </x:c>
      <x:c r="Q309" s="40" t="n">
        <x:v>1</x:v>
      </x:c>
      <x:c r="R309" s="31" t="n">
        <x:v>0.1273356620198486</x:v>
      </x:c>
      <x:c r="S309" s="40"/>
      <x:c r="T309" s="40"/>
      <x:c r="U309" s="40" t="n">
        <x:v>1</x:v>
      </x:c>
      <x:c r="V309" s="40" t="n">
        <x:v>0.9868616757560734</x:v>
      </x:c>
      <x:c r="W309" s="31" t="n">
        <x:v>0</x:v>
      </x:c>
      <x:c r="X309" s="31" t="str"/>
      <x:c r="Y309" s="31" t="n">
        <x:v>0</x:v>
      </x:c>
      <x:c r="Z309" s="31" t="n">
        <x:v>0</x:v>
      </x:c>
      <x:c r="AA309" s="31" t="n">
        <x:v>0</x:v>
      </x:c>
      <x:c r="AB309" s="31" t="str"/>
      <x:c r="AC309" s="31" t="str"/>
    </x:row>
    <x:row r="310">
      <x:c r="A310" s="31" t="str">
        <x:v>57811fe497cb72de</x:v>
      </x:c>
      <x:c r="B310" s="31" t="str">
        <x:v>57811fe497cb72dec6b1fe856bbf0cf098944b64c6018c6afbcb9556136db34e</x:v>
      </x:c>
      <x:c r="C310" s="31" t="n">
        <x:v>11</x:v>
      </x:c>
      <x:c r="D310" s="31" t="n">
        <x:v>32473</x:v>
      </x:c>
      <x:c r="E310" s="31" t="str">
        <x:v>Queens</x:v>
      </x:c>
      <x:c r="F310" s="31" t="str">
        <x:v>Queens Village</x:v>
      </x:c>
      <x:c r="G310" s="31" t="n">
        <x:v>18096.918198717543</x:v>
      </x:c>
      <x:c r="H310" s="31" t="n">
        <x:v>12178</x:v>
      </x:c>
      <x:c r="I310" s="31" t="n">
        <x:v>2.932590950151926</x:v>
      </x:c>
      <x:c r="J310" s="40" t="n">
        <x:v>0</x:v>
      </x:c>
      <x:c r="K310" s="40" t="n">
        <x:v>0.3204959763507965</x:v>
      </x:c>
      <x:c r="L310" s="40" t="n">
        <x:v>0.5036130727541468</x:v>
      </x:c>
      <x:c r="M310" s="31" t="n">
        <x:v>36.04704072426107</x:v>
      </x:c>
      <x:c r="N310" s="31" t="n">
        <x:v>56</x:v>
      </x:c>
      <x:c r="O310" s="31" t="n">
        <x:v>1.7245095925846088</x:v>
      </x:c>
      <x:c r="P310" s="31" t="n">
        <x:v>2.782066020693053</x:v>
      </x:c>
      <x:c r="Q310" s="40" t="n">
        <x:v>0.13228773197569388</x:v>
      </x:c>
      <x:c r="R310" s="31" t="n">
        <x:v>0.24852292662781222</x:v>
      </x:c>
      <x:c r="S310" s="40"/>
      <x:c r="T310" s="40"/>
      <x:c r="U310" s="40" t="n">
        <x:v>1</x:v>
      </x:c>
      <x:c r="V310" s="40" t="n">
        <x:v>0.9995894235506652</x:v>
      </x:c>
      <x:c r="W310" s="31" t="n">
        <x:v>0</x:v>
      </x:c>
      <x:c r="X310" s="31" t="str"/>
      <x:c r="Y310" s="31" t="n">
        <x:v>0</x:v>
      </x:c>
      <x:c r="Z310" s="31" t="n">
        <x:v>0</x:v>
      </x:c>
      <x:c r="AA310" s="31" t="n">
        <x:v>0</x:v>
      </x:c>
      <x:c r="AB310" s="31" t="str"/>
      <x:c r="AC310" s="31" t="str"/>
    </x:row>
    <x:row r="311">
      <x:c r="A311" s="31" t="str">
        <x:v>57c63eaca7c625dd</x:v>
      </x:c>
      <x:c r="B311" s="31" t="str">
        <x:v>57c63eaca7c625ddfa16cf63b24b1d9ac4d42a53109df49f1b8585d62933d259</x:v>
      </x:c>
      <x:c r="C311" s="31" t="n">
        <x:v>9</x:v>
      </x:c>
      <x:c r="D311" s="31" t="n">
        <x:v>33632</x:v>
      </x:c>
      <x:c r="E311" s="31" t="str">
        <x:v>Brooklyn</x:v>
      </x:c>
      <x:c r="F311" s="31" t="str">
        <x:v>Cypress Hills</x:v>
      </x:c>
      <x:c r="G311" s="31" t="n">
        <x:v>58970.27211990653</x:v>
      </x:c>
      <x:c r="H311" s="31" t="n">
        <x:v>8607</x:v>
      </x:c>
      <x:c r="I311" s="31" t="n">
        <x:v>2.284062971999535</x:v>
      </x:c>
      <x:c r="J311" s="40" t="n">
        <x:v>0</x:v>
      </x:c>
      <x:c r="K311" s="40" t="n">
        <x:v>0.18554664807714652</x:v>
      </x:c>
      <x:c r="L311" s="40" t="n">
        <x:v>0.01196700360171953</x:v>
      </x:c>
      <x:c r="M311" s="31" t="n">
        <x:v>29.778890574874985</x:v>
      </x:c>
      <x:c r="N311" s="31" t="n">
        <x:v>3</x:v>
      </x:c>
      <x:c r="O311" s="31" t="n">
        <x:v>0.08920076117982874</x:v>
      </x:c>
      <x:c r="P311" s="31" t="n">
        <x:v>3.242941791565005</x:v>
      </x:c>
      <x:c r="Q311" s="40" t="n">
        <x:v>0.6214708957825026</x:v>
      </x:c>
      <x:c r="R311" s="31" t="n">
        <x:v>0.19497596510198892</x:v>
      </x:c>
      <x:c r="S311" s="40"/>
      <x:c r="T311" s="40"/>
      <x:c r="U311" s="40" t="n">
        <x:v>1</x:v>
      </x:c>
      <x:c r="V311" s="40" t="n">
        <x:v>0.9990705239920995</x:v>
      </x:c>
      <x:c r="W311" s="31" t="n">
        <x:v>0</x:v>
      </x:c>
      <x:c r="X311" s="31" t="str"/>
      <x:c r="Y311" s="31" t="n">
        <x:v>0</x:v>
      </x:c>
      <x:c r="Z311" s="31" t="n">
        <x:v>0</x:v>
      </x:c>
      <x:c r="AA311" s="31" t="n">
        <x:v>0</x:v>
      </x:c>
      <x:c r="AB311" s="31" t="str"/>
      <x:c r="AC311" s="31" t="str"/>
    </x:row>
    <x:row r="312">
      <x:c r="A312" s="31" t="str">
        <x:v>58287f7bbe7d2339</x:v>
      </x:c>
      <x:c r="B312" s="31" t="str">
        <x:v>58287f7bbe7d2339a4369ed43b74f0f068cd0f15172ecf9e6f7d29b0c751a96f</x:v>
      </x:c>
      <x:c r="C312" s="31" t="n">
        <x:v>9</x:v>
      </x:c>
      <x:c r="D312" s="31" t="n">
        <x:v>32948</x:v>
      </x:c>
      <x:c r="E312" s="31" t="str">
        <x:v>Queens</x:v>
      </x:c>
      <x:c r="F312" s="31" t="str">
        <x:v>Old Astoria-Hallets Point</x:v>
      </x:c>
      <x:c r="G312" s="31" t="n">
        <x:v>54087.678291814846</x:v>
      </x:c>
      <x:c r="H312" s="31" t="n">
        <x:v>18516</x:v>
      </x:c>
      <x:c r="I312" s="31" t="n">
        <x:v>6.857847642079806</x:v>
      </x:c>
      <x:c r="J312" s="40" t="n">
        <x:v>0.15078850723698423</x:v>
      </x:c>
      <x:c r="K312" s="40" t="n">
        <x:v>0.7106826528407864</x:v>
      </x:c>
      <x:c r="L312" s="40" t="n">
        <x:v>0.07469215813350616</x:v>
      </x:c>
      <x:c r="M312" s="31" t="n">
        <x:v>72.24439486586279</x:v>
      </x:c>
      <x:c r="N312" s="31" t="n">
        <x:v>357</x:v>
      </x:c>
      <x:c r="O312" s="31" t="n">
        <x:v>10.83525555420663</x:v>
      </x:c>
      <x:c r="P312" s="31" t="n">
        <x:v>3</x:v>
      </x:c>
      <x:c r="Q312" s="40" t="n">
        <x:v>0</x:v>
      </x:c>
      <x:c r="R312" s="31" t="n">
        <x:v>0.10214694904328506</x:v>
      </x:c>
      <x:c r="S312" s="40"/>
      <x:c r="T312" s="40"/>
      <x:c r="U312" s="40" t="n">
        <x:v>1</x:v>
      </x:c>
      <x:c r="V312" s="40" t="n">
        <x:v>0.9517714409159646</x:v>
      </x:c>
      <x:c r="W312" s="31" t="n">
        <x:v>0</x:v>
      </x:c>
      <x:c r="X312" s="31" t="str"/>
      <x:c r="Y312" s="31" t="n">
        <x:v>0</x:v>
      </x:c>
      <x:c r="Z312" s="31" t="n">
        <x:v>0</x:v>
      </x:c>
      <x:c r="AA312" s="31" t="n">
        <x:v>0</x:v>
      </x:c>
      <x:c r="AB312" s="31" t="str"/>
      <x:c r="AC312" s="31" t="str"/>
    </x:row>
    <x:row r="313">
      <x:c r="A313" s="31" t="str">
        <x:v>582a35f664a9dd12</x:v>
      </x:c>
      <x:c r="B313" s="31" t="str">
        <x:v>582a35f664a9dd12c18fdb51d9156232932402bf1504f0b3679567e82119d682</x:v>
      </x:c>
      <x:c r="C313" s="31" t="n">
        <x:v>9</x:v>
      </x:c>
      <x:c r="D313" s="31" t="n">
        <x:v>33777</x:v>
      </x:c>
      <x:c r="E313" s="31" t="str">
        <x:v>Queens</x:v>
      </x:c>
      <x:c r="F313" s="31" t="str">
        <x:v>East Elmhurst</x:v>
      </x:c>
      <x:c r="G313" s="31" t="n">
        <x:v>63861.37675349539</x:v>
      </x:c>
      <x:c r="H313" s="31" t="n">
        <x:v>8737</x:v>
      </x:c>
      <x:c r="I313" s="31" t="n">
        <x:v>3.2094082637060772</x:v>
      </x:c>
      <x:c r="J313" s="40" t="n">
        <x:v>0</x:v>
      </x:c>
      <x:c r="K313" s="40" t="n">
        <x:v>0.4493533249399107</x:v>
      </x:c>
      <x:c r="L313" s="40" t="n">
        <x:v>0.0341078173286025</x:v>
      </x:c>
      <x:c r="M313" s="31" t="n">
        <x:v>36.63045852556672</x:v>
      </x:c>
      <x:c r="N313" s="31" t="n">
        <x:v>46</x:v>
      </x:c>
      <x:c r="O313" s="31" t="n">
        <x:v>1.3618734641916097</x:v>
      </x:c>
      <x:c r="P313" s="31" t="n">
        <x:v>3.795696463316928</x:v>
      </x:c>
      <x:c r="Q313" s="40" t="n">
        <x:v>0.795696463316928</x:v>
      </x:c>
      <x:c r="R313" s="31" t="n">
        <x:v>0.12761336574296056</x:v>
      </x:c>
      <x:c r="S313" s="40"/>
      <x:c r="T313" s="40"/>
      <x:c r="U313" s="40" t="n">
        <x:v>1</x:v>
      </x:c>
      <x:c r="V313" s="40" t="n">
        <x:v>0.990614627446492</x:v>
      </x:c>
      <x:c r="W313" s="31" t="n">
        <x:v>0</x:v>
      </x:c>
      <x:c r="X313" s="31" t="str"/>
      <x:c r="Y313" s="31" t="n">
        <x:v>0</x:v>
      </x:c>
      <x:c r="Z313" s="31" t="n">
        <x:v>0</x:v>
      </x:c>
      <x:c r="AA313" s="31" t="n">
        <x:v>0</x:v>
      </x:c>
      <x:c r="AB313" s="31" t="str"/>
      <x:c r="AC313" s="31" t="str"/>
    </x:row>
    <x:row r="314">
      <x:c r="A314" s="31" t="str">
        <x:v>5848056d0f233a7e</x:v>
      </x:c>
      <x:c r="B314" s="31" t="str">
        <x:v>5848056d0f233a7ed26d600f287ad6834fa2e43c532afec2d1cf564bfa74705e</x:v>
      </x:c>
      <x:c r="C314" s="31" t="n">
        <x:v>7</x:v>
      </x:c>
      <x:c r="D314" s="31" t="n">
        <x:v>34678</x:v>
      </x:c>
      <x:c r="E314" s="31" t="str">
        <x:v>Queens</x:v>
      </x:c>
      <x:c r="F314" s="31" t="str">
        <x:v>Elmhurst</x:v>
      </x:c>
      <x:c r="G314" s="31" t="n">
        <x:v>76133.06800011217</x:v>
      </x:c>
      <x:c r="H314" s="31" t="n">
        <x:v>11722</x:v>
      </x:c>
      <x:c r="I314" s="31" t="n">
        <x:v>4.951025838466803</x:v>
      </x:c>
      <x:c r="J314" s="40" t="n">
        <x:v>0.06466473298072001</x:v>
      </x:c>
      <x:c r="K314" s="40" t="n">
        <x:v>0.7300801910936701</x:v>
      </x:c>
      <x:c r="L314" s="40" t="n">
        <x:v>0.018682818631632826</x:v>
      </x:c>
      <x:c r="M314" s="31" t="n">
        <x:v>52.957967230443984</x:v>
      </x:c>
      <x:c r="N314" s="31" t="n">
        <x:v>147</x:v>
      </x:c>
      <x:c r="O314" s="31" t="n">
        <x:v>4.238998788857489</x:v>
      </x:c>
      <x:c r="P314" s="31" t="n">
        <x:v>3</x:v>
      </x:c>
      <x:c r="Q314" s="40" t="n">
        <x:v>0</x:v>
      </x:c>
      <x:c r="R314" s="31" t="n">
        <x:v>0.17554497306122965</x:v>
      </x:c>
      <x:c r="S314" s="40"/>
      <x:c r="T314" s="40"/>
      <x:c r="U314" s="40" t="n">
        <x:v>1</x:v>
      </x:c>
      <x:c r="V314" s="40" t="n">
        <x:v>0.9761132912472275</x:v>
      </x:c>
      <x:c r="W314" s="31" t="n">
        <x:v>0</x:v>
      </x:c>
      <x:c r="X314" s="31" t="str"/>
      <x:c r="Y314" s="31" t="n">
        <x:v>0</x:v>
      </x:c>
      <x:c r="Z314" s="31" t="n">
        <x:v>0</x:v>
      </x:c>
      <x:c r="AA314" s="31" t="n">
        <x:v>0</x:v>
      </x:c>
      <x:c r="AB314" s="31" t="str"/>
      <x:c r="AC314" s="31" t="str"/>
    </x:row>
    <x:row r="315">
      <x:c r="A315" s="31" t="str">
        <x:v>587554c7227a047c</x:v>
      </x:c>
      <x:c r="B315" s="31" t="str">
        <x:v>587554c7227a047c5ad4d84d10ed12d846fc75ea3fac062c4b85e0a43bf0549b</x:v>
      </x:c>
      <x:c r="C315" s="31" t="n">
        <x:v>12</x:v>
      </x:c>
      <x:c r="D315" s="31" t="n">
        <x:v>36368</x:v>
      </x:c>
      <x:c r="E315" s="31" t="str">
        <x:v>Queens</x:v>
      </x:c>
      <x:c r="F315" s="31" t="str">
        <x:v>South Ozone Park</x:v>
      </x:c>
      <x:c r="G315" s="31" t="n">
        <x:v>33732.693394378584</x:v>
      </x:c>
      <x:c r="H315" s="31" t="n">
        <x:v>9980</x:v>
      </x:c>
      <x:c r="I315" s="31" t="n">
        <x:v>2.240747644818601</x:v>
      </x:c>
      <x:c r="J315" s="40" t="n">
        <x:v>0</x:v>
      </x:c>
      <x:c r="K315" s="40" t="n">
        <x:v>0.037474949899799596</x:v>
      </x:c>
      <x:c r="L315" s="40" t="n">
        <x:v>0.016633266533066134</x:v>
      </x:c>
      <x:c r="M315" s="31" t="n">
        <x:v>27.447322916375505</x:v>
      </x:c>
      <x:c r="N315" s="31" t="n">
        <x:v>7</x:v>
      </x:c>
      <x:c r="O315" s="31" t="n">
        <x:v>0.1924769027716674</x:v>
      </x:c>
      <x:c r="P315" s="31" t="n">
        <x:v>4</x:v>
      </x:c>
      <x:c r="Q315" s="40" t="n">
        <x:v>1</x:v>
      </x:c>
      <x:c r="R315" s="31" t="n">
        <x:v>0.12530882285115374</x:v>
      </x:c>
      <x:c r="S315" s="40"/>
      <x:c r="T315" s="40"/>
      <x:c r="U315" s="40" t="n">
        <x:v>1</x:v>
      </x:c>
      <x:c r="V315" s="40" t="n">
        <x:v>0.9979959919839679</x:v>
      </x:c>
      <x:c r="W315" s="31" t="n">
        <x:v>0</x:v>
      </x:c>
      <x:c r="X315" s="31" t="str"/>
      <x:c r="Y315" s="31" t="n">
        <x:v>0</x:v>
      </x:c>
      <x:c r="Z315" s="31" t="n">
        <x:v>0</x:v>
      </x:c>
      <x:c r="AA315" s="31" t="n">
        <x:v>0</x:v>
      </x:c>
      <x:c r="AB315" s="31" t="str"/>
      <x:c r="AC315" s="31" t="str"/>
    </x:row>
    <x:row r="316">
      <x:c r="A316" s="31" t="str">
        <x:v>588807c369150482</x:v>
      </x:c>
      <x:c r="B316" s="31" t="str">
        <x:v>588807c369150482140e397b2aad3592c3ec93f5c2a22d051b2324b135af6526</x:v>
      </x:c>
      <x:c r="C316" s="31" t="n">
        <x:v>18</x:v>
      </x:c>
      <x:c r="D316" s="31" t="n">
        <x:v>32002</x:v>
      </x:c>
      <x:c r="E316" s="31" t="str">
        <x:v>Queens</x:v>
      </x:c>
      <x:c r="F316" s="31" t="str">
        <x:v>St. Albans</x:v>
      </x:c>
      <x:c r="G316" s="31" t="n">
        <x:v>24109.502225843196</x:v>
      </x:c>
      <x:c r="H316" s="31" t="n">
        <x:v>9116</x:v>
      </x:c>
      <x:c r="I316" s="31" t="n">
        <x:v>2.256516730663741</x:v>
      </x:c>
      <x:c r="J316" s="40" t="n">
        <x:v>0</x:v>
      </x:c>
      <x:c r="K316" s="40" t="n">
        <x:v>0.01744186046511628</x:v>
      </x:c>
      <x:c r="L316" s="40" t="n">
        <x:v>0.007459412022817025</x:v>
      </x:c>
      <x:c r="M316" s="31" t="n">
        <x:v>27.65745460362687</x:v>
      </x:c>
      <x:c r="N316" s="31" t="n">
        <x:v>7</x:v>
      </x:c>
      <x:c r="O316" s="31" t="n">
        <x:v>0.2187363289794388</x:v>
      </x:c>
      <x:c r="P316" s="31" t="n">
        <x:v>4.8915094339622645</x:v>
      </x:c>
      <x:c r="Q316" s="40" t="n">
        <x:v>1</x:v>
      </x:c>
      <x:c r="R316" s="31" t="n">
        <x:v>0.21871102171749068</x:v>
      </x:c>
      <x:c r="S316" s="40"/>
      <x:c r="T316" s="40"/>
      <x:c r="U316" s="40" t="n">
        <x:v>1</x:v>
      </x:c>
      <x:c r="V316" s="40" t="n">
        <x:v>0.9978060552874067</x:v>
      </x:c>
      <x:c r="W316" s="31" t="n">
        <x:v>0</x:v>
      </x:c>
      <x:c r="X316" s="31" t="str"/>
      <x:c r="Y316" s="31" t="n">
        <x:v>0</x:v>
      </x:c>
      <x:c r="Z316" s="31" t="n">
        <x:v>0</x:v>
      </x:c>
      <x:c r="AA316" s="31" t="n">
        <x:v>0</x:v>
      </x:c>
      <x:c r="AB316" s="31" t="str"/>
      <x:c r="AC316" s="31" t="str"/>
    </x:row>
    <x:row r="317">
      <x:c r="A317" s="31" t="str">
        <x:v>58d6693ce8749d81</x:v>
      </x:c>
      <x:c r="B317" s="31" t="str">
        <x:v>58d6693ce8749d8114261fd4ab53234c73ccd5b0af28d558e12c4ee39642c3b4</x:v>
      </x:c>
      <x:c r="C317" s="31" t="n">
        <x:v>12</x:v>
      </x:c>
      <x:c r="D317" s="31" t="n">
        <x:v>34002</x:v>
      </x:c>
      <x:c r="E317" s="31" t="str">
        <x:v>Brooklyn</x:v>
      </x:c>
      <x:c r="F317" s="31" t="str">
        <x:v>Greenpoint</x:v>
      </x:c>
      <x:c r="G317" s="31" t="n">
        <x:v>37877.26669812551</x:v>
      </x:c>
      <x:c r="H317" s="31" t="n">
        <x:v>18363</x:v>
      </x:c>
      <x:c r="I317" s="31" t="n">
        <x:v>4.002583182093164</x:v>
      </x:c>
      <x:c r="J317" s="40" t="n">
        <x:v>0.016391657136633448</x:v>
      </x:c>
      <x:c r="K317" s="40" t="n">
        <x:v>0.8325981593421554</x:v>
      </x:c>
      <x:c r="L317" s="40" t="n">
        <x:v>0.052170124707291834</x:v>
      </x:c>
      <x:c r="M317" s="31" t="n">
        <x:v>46.55580189268653</x:v>
      </x:c>
      <x:c r="N317" s="31" t="n">
        <x:v>213</x:v>
      </x:c>
      <x:c r="O317" s="31" t="n">
        <x:v>6.264337391918122</x:v>
      </x:c>
      <x:c r="P317" s="31" t="n">
        <x:v>3</x:v>
      </x:c>
      <x:c r="Q317" s="40" t="n">
        <x:v>0</x:v>
      </x:c>
      <x:c r="R317" s="31" t="n">
        <x:v>0.14042303401017842</x:v>
      </x:c>
      <x:c r="S317" s="40"/>
      <x:c r="T317" s="40"/>
      <x:c r="U317" s="40" t="n">
        <x:v>1</x:v>
      </x:c>
      <x:c r="V317" s="40" t="n">
        <x:v>0.9699395523607254</x:v>
      </x:c>
      <x:c r="W317" s="31" t="n">
        <x:v>0</x:v>
      </x:c>
      <x:c r="X317" s="31" t="str"/>
      <x:c r="Y317" s="31" t="n">
        <x:v>0</x:v>
      </x:c>
      <x:c r="Z317" s="31" t="n">
        <x:v>0</x:v>
      </x:c>
      <x:c r="AA317" s="31" t="n">
        <x:v>0</x:v>
      </x:c>
      <x:c r="AB317" s="31" t="str"/>
      <x:c r="AC317" s="31" t="str"/>
    </x:row>
    <x:row r="318">
      <x:c r="A318" s="31" t="str">
        <x:v>598d6f5d33b55b9d</x:v>
      </x:c>
      <x:c r="B318" s="31" t="str">
        <x:v>598d6f5d33b55b9dd4f09e83d5e6819fe674d7ae95268c13d81c48bf042e1165</x:v>
      </x:c>
      <x:c r="C318" s="31" t="n">
        <x:v>8</x:v>
      </x:c>
      <x:c r="D318" s="31" t="n">
        <x:v>34837</x:v>
      </x:c>
      <x:c r="E318" s="31" t="str">
        <x:v>Brooklyn</x:v>
      </x:c>
      <x:c r="F318" s="31" t="str">
        <x:v>Crown Heights (South)</x:v>
      </x:c>
      <x:c r="G318" s="31" t="n">
        <x:v>72591.97683090484</x:v>
      </x:c>
      <x:c r="H318" s="31" t="n">
        <x:v>17423</x:v>
      </x:c>
      <x:c r="I318" s="31" t="n">
        <x:v>7.65855190139611</x:v>
      </x:c>
      <x:c r="J318" s="40" t="n">
        <x:v>0.20134305228720656</x:v>
      </x:c>
      <x:c r="K318" s="40" t="n">
        <x:v>0.6837513631406761</x:v>
      </x:c>
      <x:c r="L318" s="40" t="n">
        <x:v>0.08609309533375423</x:v>
      </x:c>
      <x:c r="M318" s="31" t="n">
        <x:v>71.71183311372192</x:v>
      </x:c>
      <x:c r="N318" s="31" t="n">
        <x:v>208</x:v>
      </x:c>
      <x:c r="O318" s="31" t="n">
        <x:v>5.970663375147114</x:v>
      </x:c>
      <x:c r="P318" s="31" t="n">
        <x:v>4.430695058256328</x:v>
      </x:c>
      <x:c r="Q318" s="40" t="n">
        <x:v>0.8792974803420766</x:v>
      </x:c>
      <x:c r="R318" s="31" t="n">
        <x:v>0.11519138559999885</x:v>
      </x:c>
      <x:c r="S318" s="40"/>
      <x:c r="T318" s="40"/>
      <x:c r="U318" s="40" t="n">
        <x:v>1</x:v>
      </x:c>
      <x:c r="V318" s="40" t="n">
        <x:v>0.9019686621132985</x:v>
      </x:c>
      <x:c r="W318" s="31" t="n">
        <x:v>0</x:v>
      </x:c>
      <x:c r="X318" s="31" t="str"/>
      <x:c r="Y318" s="31" t="n">
        <x:v>0</x:v>
      </x:c>
      <x:c r="Z318" s="31" t="n">
        <x:v>0</x:v>
      </x:c>
      <x:c r="AA318" s="31" t="n">
        <x:v>0</x:v>
      </x:c>
      <x:c r="AB318" s="31" t="str"/>
      <x:c r="AC318" s="31" t="str"/>
    </x:row>
    <x:row r="319">
      <x:c r="A319" s="31" t="str">
        <x:v>59a73de8bf8bab15</x:v>
      </x:c>
      <x:c r="B319" s="31" t="str">
        <x:v>59a73de8bf8bab15f755619ff4734649b437d9224f823f633f5c75918ed88a6f</x:v>
      </x:c>
      <x:c r="C319" s="31" t="n">
        <x:v>8</x:v>
      </x:c>
      <x:c r="D319" s="31" t="n">
        <x:v>32371</x:v>
      </x:c>
      <x:c r="E319" s="31" t="str">
        <x:v>Brooklyn</x:v>
      </x:c>
      <x:c r="F319" s="31" t="str">
        <x:v>Gravesend (West)</x:v>
      </x:c>
      <x:c r="G319" s="31" t="n">
        <x:v>58370.330588184836</x:v>
      </x:c>
      <x:c r="H319" s="31" t="n">
        <x:v>11148</x:v>
      </x:c>
      <x:c r="I319" s="31" t="n">
        <x:v>3.318034993270525</x:v>
      </x:c>
      <x:c r="J319" s="40" t="n">
        <x:v>0.0046645138141370645</x:v>
      </x:c>
      <x:c r="K319" s="40" t="n">
        <x:v>0.49425905992106206</x:v>
      </x:c>
      <x:c r="L319" s="40" t="n">
        <x:v>0.013814137064944384</x:v>
      </x:c>
      <x:c r="M319" s="31" t="n">
        <x:v>39.610323975518334</x:v>
      </x:c>
      <x:c r="N319" s="31" t="n">
        <x:v>74</x:v>
      </x:c>
      <x:c r="O319" s="31" t="n">
        <x:v>2.28599672546415</x:v>
      </x:c>
      <x:c r="P319" s="31" t="n">
        <x:v>4</x:v>
      </x:c>
      <x:c r="Q319" s="40" t="n">
        <x:v>1</x:v>
      </x:c>
      <x:c r="R319" s="31" t="n">
        <x:v>0.15155281214239716</x:v>
      </x:c>
      <x:c r="S319" s="40"/>
      <x:c r="T319" s="40"/>
      <x:c r="U319" s="40" t="n">
        <x:v>1</x:v>
      </x:c>
      <x:c r="V319" s="40" t="n">
        <x:v>0.9907606745604592</x:v>
      </x:c>
      <x:c r="W319" s="31" t="n">
        <x:v>0</x:v>
      </x:c>
      <x:c r="X319" s="31" t="str"/>
      <x:c r="Y319" s="31" t="n">
        <x:v>0</x:v>
      </x:c>
      <x:c r="Z319" s="31" t="n">
        <x:v>0</x:v>
      </x:c>
      <x:c r="AA319" s="31" t="n">
        <x:v>0</x:v>
      </x:c>
      <x:c r="AB319" s="31" t="str"/>
      <x:c r="AC319" s="31" t="str"/>
    </x:row>
    <x:row r="320">
      <x:c r="A320" s="31" t="str">
        <x:v>59b261010a12014c</x:v>
      </x:c>
      <x:c r="B320" s="31" t="str">
        <x:v>59b261010a12014c67d34310fcc0f0707e95e69f51653123fa48018de6d59c7f</x:v>
      </x:c>
      <x:c r="C320" s="31" t="n">
        <x:v>7</x:v>
      </x:c>
      <x:c r="D320" s="31" t="n">
        <x:v>35500</x:v>
      </x:c>
      <x:c r="E320" s="31" t="str">
        <x:v>Manhattan</x:v>
      </x:c>
      <x:c r="F320" s="31" t="str">
        <x:v>Harlem (North)</x:v>
      </x:c>
      <x:c r="G320" s="31" t="n">
        <x:v>83239.7959285414</x:v>
      </x:c>
      <x:c r="H320" s="31" t="n">
        <x:v>18790</x:v>
      </x:c>
      <x:c r="I320" s="31" t="n">
        <x:v>8.41484387596066</x:v>
      </x:c>
      <x:c r="J320" s="40" t="n">
        <x:v>0.30665247472059604</x:v>
      </x:c>
      <x:c r="K320" s="40" t="n">
        <x:v>0.6817988291644492</x:v>
      </x:c>
      <x:c r="L320" s="40" t="n">
        <x:v>0.14513038850452367</x:v>
      </x:c>
      <x:c r="M320" s="31" t="n">
        <x:v>90.59881856480196</x:v>
      </x:c>
      <x:c r="N320" s="31" t="n">
        <x:v>257</x:v>
      </x:c>
      <x:c r="O320" s="31" t="n">
        <x:v>7.23943661971831</x:v>
      </x:c>
      <x:c r="P320" s="31" t="n">
        <x:v>4.458116019159127</x:v>
      </x:c>
      <x:c r="Q320" s="40" t="n">
        <x:v>1</x:v>
      </x:c>
      <x:c r="R320" s="31" t="n">
        <x:v>0.0948520828868071</x:v>
      </x:c>
      <x:c r="S320" s="40"/>
      <x:c r="T320" s="40"/>
      <x:c r="U320" s="40" t="n">
        <x:v>1</x:v>
      </x:c>
      <x:c r="V320" s="40" t="n">
        <x:v>0.9862692921766897</x:v>
      </x:c>
      <x:c r="W320" s="31" t="n">
        <x:v>1</x:v>
      </x:c>
      <x:c r="X320" s="31" t="str"/>
      <x:c r="Y320" s="31" t="n">
        <x:v>0</x:v>
      </x:c>
      <x:c r="Z320" s="31" t="n">
        <x:v>1</x:v>
      </x:c>
      <x:c r="AA320" s="31" t="n">
        <x:v>0</x:v>
      </x:c>
      <x:c r="AB320" s="31" t="str"/>
      <x:c r="AC320" s="31" t="str"/>
    </x:row>
    <x:row r="321">
      <x:c r="A321" s="31" t="str">
        <x:v>5a4826863aa0b61f</x:v>
      </x:c>
      <x:c r="B321" s="31" t="str">
        <x:v>5a4826863aa0b61f30441ae381fa8d65976f08bf7788feace67eadedb7fcc56c</x:v>
      </x:c>
      <x:c r="C321" s="31" t="n">
        <x:v>8</x:v>
      </x:c>
      <x:c r="D321" s="31" t="n">
        <x:v>32062</x:v>
      </x:c>
      <x:c r="E321" s="31" t="str">
        <x:v>Brooklyn</x:v>
      </x:c>
      <x:c r="F321" s="31" t="str">
        <x:v>Crown Heights (North)</x:v>
      </x:c>
      <x:c r="G321" s="31" t="n">
        <x:v>66313.50654177436</x:v>
      </x:c>
      <x:c r="H321" s="31" t="n">
        <x:v>14705</x:v>
      </x:c>
      <x:c r="I321" s="31" t="n">
        <x:v>4.373493360572012</x:v>
      </x:c>
      <x:c r="J321" s="40" t="n">
        <x:v>0.0453587215232914</x:v>
      </x:c>
      <x:c r="K321" s="40" t="n">
        <x:v>0.8661679700782047</x:v>
      </x:c>
      <x:c r="L321" s="40" t="n">
        <x:v>0.007616456987419245</x:v>
      </x:c>
      <x:c r="M321" s="31" t="n">
        <x:v>51.752632638279565</x:v>
      </x:c>
      <x:c r="N321" s="31" t="n">
        <x:v>138</x:v>
      </x:c>
      <x:c r="O321" s="31" t="n">
        <x:v>4.30416068866571</x:v>
      </x:c>
      <x:c r="P321" s="31" t="n">
        <x:v>4.074192451547093</x:v>
      </x:c>
      <x:c r="Q321" s="40" t="n">
        <x:v>0.9707582454947297</x:v>
      </x:c>
      <x:c r="R321" s="31" t="n">
        <x:v>0.1677222271210629</x:v>
      </x:c>
      <x:c r="S321" s="40"/>
      <x:c r="T321" s="40"/>
      <x:c r="U321" s="40" t="n">
        <x:v>1</x:v>
      </x:c>
      <x:c r="V321" s="40" t="n">
        <x:v>0.9885753145188712</x:v>
      </x:c>
      <x:c r="W321" s="31" t="n">
        <x:v>0</x:v>
      </x:c>
      <x:c r="X321" s="31" t="str"/>
      <x:c r="Y321" s="31" t="n">
        <x:v>0</x:v>
      </x:c>
      <x:c r="Z321" s="31" t="n">
        <x:v>0</x:v>
      </x:c>
      <x:c r="AA321" s="31" t="n">
        <x:v>0</x:v>
      </x:c>
      <x:c r="AB321" s="31" t="str"/>
      <x:c r="AC321" s="31" t="str"/>
    </x:row>
    <x:row r="322">
      <x:c r="A322" s="31" t="str">
        <x:v>5a6aa43d58aa2821</x:v>
      </x:c>
      <x:c r="B322" s="31" t="str">
        <x:v>5a6aa43d58aa2821fde487bf91f850e6f19880f5809dac660cdb9a04668042e9</x:v>
      </x:c>
      <x:c r="C322" s="31" t="n">
        <x:v>7</x:v>
      </x:c>
      <x:c r="D322" s="31" t="n">
        <x:v>32528</x:v>
      </x:c>
      <x:c r="E322" s="31" t="str">
        <x:v>Bronx</x:v>
      </x:c>
      <x:c r="F322" s="31" t="str">
        <x:v>Soundview-Bruckner-Bronx River</x:v>
      </x:c>
      <x:c r="G322" s="31" t="n">
        <x:v>59860.90107194303</x:v>
      </x:c>
      <x:c r="H322" s="31" t="n">
        <x:v>10915</x:v>
      </x:c>
      <x:c r="I322" s="31" t="n">
        <x:v>4.394213886671987</x:v>
      </x:c>
      <x:c r="J322" s="40" t="n">
        <x:v>0.050022904260192395</x:v>
      </x:c>
      <x:c r="K322" s="40" t="n">
        <x:v>0.48117269812185065</x:v>
      </x:c>
      <x:c r="L322" s="40" t="n">
        <x:v>0.2015574896930829</x:v>
      </x:c>
      <x:c r="M322" s="31" t="n">
        <x:v>69.33702248915246</x:v>
      </x:c>
      <x:c r="N322" s="31" t="n">
        <x:v>86</x:v>
      </x:c>
      <x:c r="O322" s="31" t="n">
        <x:v>2.64387604525332</x:v>
      </x:c>
      <x:c r="P322" s="31" t="n">
        <x:v>4.846724690792487</x:v>
      </x:c>
      <x:c r="Q322" s="40" t="n">
        <x:v>1</x:v>
      </x:c>
      <x:c r="R322" s="31" t="n">
        <x:v>0.1325815764459527</x:v>
      </x:c>
      <x:c r="S322" s="40"/>
      <x:c r="T322" s="40"/>
      <x:c r="U322" s="40" t="n">
        <x:v>1</x:v>
      </x:c>
      <x:c r="V322" s="40" t="n">
        <x:v>0.99340357306459</x:v>
      </x:c>
      <x:c r="W322" s="31" t="n">
        <x:v>0</x:v>
      </x:c>
      <x:c r="X322" s="31" t="str"/>
      <x:c r="Y322" s="31" t="n">
        <x:v>0</x:v>
      </x:c>
      <x:c r="Z322" s="31" t="n">
        <x:v>0</x:v>
      </x:c>
      <x:c r="AA322" s="31" t="n">
        <x:v>0</x:v>
      </x:c>
      <x:c r="AB322" s="31" t="str"/>
      <x:c r="AC322" s="31" t="str"/>
    </x:row>
    <x:row r="323">
      <x:c r="A323" s="31" t="str">
        <x:v>5ac7e25edf49dd73</x:v>
      </x:c>
      <x:c r="B323" s="31" t="str">
        <x:v>5ac7e25edf49dd73db2550a0d43c6ff267f3c9bef3496e32e17b6f81dd137113</x:v>
      </x:c>
      <x:c r="C323" s="31" t="n">
        <x:v>8</x:v>
      </x:c>
      <x:c r="D323" s="31" t="n">
        <x:v>35336</x:v>
      </x:c>
      <x:c r="E323" s="31" t="str">
        <x:v>Bronx</x:v>
      </x:c>
      <x:c r="F323" s="31" t="str">
        <x:v>Pelham Bay-Country Club-City Island</x:v>
      </x:c>
      <x:c r="G323" s="31" t="n">
        <x:v>22161.420246589507</x:v>
      </x:c>
      <x:c r="H323" s="31" t="n">
        <x:v>14261</x:v>
      </x:c>
      <x:c r="I323" s="31" t="n">
        <x:v>3.9489548459698973</x:v>
      </x:c>
      <x:c r="J323" s="40" t="n">
        <x:v>0.08021877848678213</x:v>
      </x:c>
      <x:c r="K323" s="40" t="n">
        <x:v>0.36834724072645675</x:v>
      </x:c>
      <x:c r="L323" s="40" t="n">
        <x:v>0.011640137437767338</x:v>
      </x:c>
      <x:c r="M323" s="31" t="n">
        <x:v>44.198210611334474</x:v>
      </x:c>
      <x:c r="N323" s="31" t="n">
        <x:v>73</x:v>
      </x:c>
      <x:c r="O323" s="31" t="n">
        <x:v>2.065881820239982</x:v>
      </x:c>
      <x:c r="P323" s="31" t="n">
        <x:v>3.329359792440923</x:v>
      </x:c>
      <x:c r="Q323" s="40" t="n">
        <x:v>0.7764532641469742</x:v>
      </x:c>
      <x:c r="R323" s="31" t="n">
        <x:v>0.29997709145929025</x:v>
      </x:c>
      <x:c r="S323" s="40"/>
      <x:c r="T323" s="40"/>
      <x:c r="U323" s="40" t="n">
        <x:v>1</x:v>
      </x:c>
      <x:c r="V323" s="40" t="n">
        <x:v>0.981558095505224</x:v>
      </x:c>
      <x:c r="W323" s="31" t="n">
        <x:v>0</x:v>
      </x:c>
      <x:c r="X323" s="31" t="str"/>
      <x:c r="Y323" s="31" t="n">
        <x:v>0</x:v>
      </x:c>
      <x:c r="Z323" s="31" t="n">
        <x:v>0</x:v>
      </x:c>
      <x:c r="AA323" s="31" t="n">
        <x:v>0</x:v>
      </x:c>
      <x:c r="AB323" s="31" t="str"/>
      <x:c r="AC323" s="31" t="str"/>
    </x:row>
    <x:row r="324">
      <x:c r="A324" s="31" t="str">
        <x:v>5b001707eb5f9e05</x:v>
      </x:c>
      <x:c r="B324" s="31" t="str">
        <x:v>5b001707eb5f9e0554b77a47be96a5e04d2225371013c7cac4c3e390aa02e94a</x:v>
      </x:c>
      <x:c r="C324" s="31" t="n">
        <x:v>6</x:v>
      </x:c>
      <x:c r="D324" s="31" t="n">
        <x:v>34363</x:v>
      </x:c>
      <x:c r="E324" s="31" t="str">
        <x:v>Brooklyn</x:v>
      </x:c>
      <x:c r="F324" s="31" t="str">
        <x:v>Williamsburg</x:v>
      </x:c>
      <x:c r="G324" s="31" t="n">
        <x:v>70262.01586202634</x:v>
      </x:c>
      <x:c r="H324" s="31" t="n">
        <x:v>18840</x:v>
      </x:c>
      <x:c r="I324" s="31" t="n">
        <x:v>10.389679908700614</x:v>
      </x:c>
      <x:c r="J324" s="40" t="n">
        <x:v>0.1973991507430998</x:v>
      </x:c>
      <x:c r="K324" s="40" t="n">
        <x:v>0.7617303609341826</x:v>
      </x:c>
      <x:c r="L324" s="40" t="n">
        <x:v>0.05042462845010616</x:v>
      </x:c>
      <x:c r="M324" s="31" t="n">
        <x:v>119.46894541904685</x:v>
      </x:c>
      <x:c r="N324" s="31" t="n">
        <x:v>472</x:v>
      </x:c>
      <x:c r="O324" s="31" t="n">
        <x:v>13.735704100340483</x:v>
      </x:c>
      <x:c r="P324" s="31" t="n">
        <x:v>3</x:v>
      </x:c>
      <x:c r="Q324" s="40" t="n">
        <x:v>0</x:v>
      </x:c>
      <x:c r="R324" s="31" t="n">
        <x:v>0.13218028684417593</x:v>
      </x:c>
      <x:c r="S324" s="40"/>
      <x:c r="T324" s="40"/>
      <x:c r="U324" s="40" t="n">
        <x:v>1</x:v>
      </x:c>
      <x:c r="V324" s="40" t="n">
        <x:v>0.9661889596602973</x:v>
      </x:c>
      <x:c r="W324" s="31" t="n">
        <x:v>0</x:v>
      </x:c>
      <x:c r="X324" s="31" t="str"/>
      <x:c r="Y324" s="31" t="n">
        <x:v>0</x:v>
      </x:c>
      <x:c r="Z324" s="31" t="n">
        <x:v>0</x:v>
      </x:c>
      <x:c r="AA324" s="31" t="n">
        <x:v>0</x:v>
      </x:c>
      <x:c r="AB324" s="31" t="str"/>
      <x:c r="AC324" s="31" t="str"/>
    </x:row>
    <x:row r="325">
      <x:c r="A325" s="31" t="str">
        <x:v>5b8a4d13c24bdcf7</x:v>
      </x:c>
      <x:c r="B325" s="31" t="str">
        <x:v>5b8a4d13c24bdcf785873d80f3f8b62a8122dfddff4d5b07d3eda3224606d585</x:v>
      </x:c>
      <x:c r="C325" s="31" t="n">
        <x:v>4</x:v>
      </x:c>
      <x:c r="D325" s="31" t="n">
        <x:v>32265</x:v>
      </x:c>
      <x:c r="E325" s="31" t="str">
        <x:v>Manhattan</x:v>
      </x:c>
      <x:c r="F325" s="31" t="str">
        <x:v>Upper West Side (Central)</x:v>
      </x:c>
      <x:c r="G325" s="31" t="n">
        <x:v>134314.927530542</x:v>
      </x:c>
      <x:c r="H325" s="31" t="n">
        <x:v>19173</x:v>
      </x:c>
      <x:c r="I325" s="31" t="n">
        <x:v>15.34316130042269</x:v>
      </x:c>
      <x:c r="J325" s="40" t="n">
        <x:v>0.7612267250821467</x:v>
      </x:c>
      <x:c r="K325" s="40" t="n">
        <x:v>0.2382517081312262</x:v>
      </x:c>
      <x:c r="L325" s="40" t="n">
        <x:v>0.13685912481093204</x:v>
      </x:c>
      <x:c r="M325" s="31" t="n">
        <x:v>151.99662881463482</x:v>
      </x:c>
      <x:c r="N325" s="31" t="n">
        <x:v>458</x:v>
      </x:c>
      <x:c r="O325" s="31" t="n">
        <x:v>14.194948086161475</x:v>
      </x:c>
      <x:c r="P325" s="31" t="n">
        <x:v>1.5913002659990612</x:v>
      </x:c>
      <x:c r="Q325" s="40" t="n">
        <x:v>0</x:v>
      </x:c>
      <x:c r="R325" s="31" t="n">
        <x:v>0.10332070117551762</x:v>
      </x:c>
      <x:c r="S325" s="40"/>
      <x:c r="T325" s="40"/>
      <x:c r="U325" s="40" t="n">
        <x:v>1</x:v>
      </x:c>
      <x:c r="V325" s="40" t="n">
        <x:v>0.9997392166066865</x:v>
      </x:c>
      <x:c r="W325" s="31" t="n">
        <x:v>1</x:v>
      </x:c>
      <x:c r="X325" s="31" t="str"/>
      <x:c r="Y325" s="31" t="n">
        <x:v>1</x:v>
      </x:c>
      <x:c r="Z325" s="31" t="n">
        <x:v>0</x:v>
      </x:c>
      <x:c r="AA325" s="31" t="n">
        <x:v>0</x:v>
      </x:c>
      <x:c r="AB325" s="31" t="str"/>
      <x:c r="AC325" s="31" t="str"/>
    </x:row>
    <x:row r="326">
      <x:c r="A326" s="31" t="str">
        <x:v>5bf6f0fe0eeb641b</x:v>
      </x:c>
      <x:c r="B326" s="31" t="str">
        <x:v>5bf6f0fe0eeb641b612000050f46498e3162a48a8445f11612b75bfd7e93717c</x:v>
      </x:c>
      <x:c r="C326" s="31" t="n">
        <x:v>9</x:v>
      </x:c>
      <x:c r="D326" s="31" t="n">
        <x:v>34208</x:v>
      </x:c>
      <x:c r="E326" s="31" t="str">
        <x:v>Brooklyn</x:v>
      </x:c>
      <x:c r="F326" s="31" t="str">
        <x:v>Bensonhurst</x:v>
      </x:c>
      <x:c r="G326" s="31" t="n">
        <x:v>61479.1841126925</x:v>
      </x:c>
      <x:c r="H326" s="31" t="n">
        <x:v>11107</x:v>
      </x:c>
      <x:c r="I326" s="31" t="n">
        <x:v>2.9510975060772484</x:v>
      </x:c>
      <x:c r="J326" s="40" t="n">
        <x:v>0.004681732240929144</x:v>
      </x:c>
      <x:c r="K326" s="40" t="n">
        <x:v>0.3784100117043306</x:v>
      </x:c>
      <x:c r="L326" s="40" t="n">
        <x:v>0.007022598361393716</x:v>
      </x:c>
      <x:c r="M326" s="31" t="n">
        <x:v>35.322662730933814</x:v>
      </x:c>
      <x:c r="N326" s="31" t="n">
        <x:v>49</x:v>
      </x:c>
      <x:c r="O326" s="31" t="n">
        <x:v>1.4324134705332086</x:v>
      </x:c>
      <x:c r="P326" s="31" t="n">
        <x:v>4</x:v>
      </x:c>
      <x:c r="Q326" s="40" t="n">
        <x:v>1</x:v>
      </x:c>
      <x:c r="R326" s="31" t="n">
        <x:v>0.15231263156399355</x:v>
      </x:c>
      <x:c r="S326" s="40"/>
      <x:c r="T326" s="40"/>
      <x:c r="U326" s="40" t="n">
        <x:v>1</x:v>
      </x:c>
      <x:c r="V326" s="40" t="n">
        <x:v>0.9998199333753489</x:v>
      </x:c>
      <x:c r="W326" s="31" t="n">
        <x:v>0</x:v>
      </x:c>
      <x:c r="X326" s="31" t="str"/>
      <x:c r="Y326" s="31" t="n">
        <x:v>0</x:v>
      </x:c>
      <x:c r="Z326" s="31" t="n">
        <x:v>0</x:v>
      </x:c>
      <x:c r="AA326" s="31" t="n">
        <x:v>0</x:v>
      </x:c>
      <x:c r="AB326" s="31" t="str"/>
      <x:c r="AC326" s="31" t="str"/>
    </x:row>
    <x:row r="327">
      <x:c r="A327" s="31" t="str">
        <x:v>5c6ab17520210c4c</x:v>
      </x:c>
      <x:c r="B327" s="31" t="str">
        <x:v>5c6ab17520210c4c9f6b4c432e9b27e1261cff45fb574d60a603b0db8dc4d420</x:v>
      </x:c>
      <x:c r="C327" s="31" t="n">
        <x:v>10</x:v>
      </x:c>
      <x:c r="D327" s="31" t="n">
        <x:v>34496</x:v>
      </x:c>
      <x:c r="E327" s="31" t="str">
        <x:v>Bronx</x:v>
      </x:c>
      <x:c r="F327" s="31" t="str">
        <x:v>Eastchester-Edenwald-Baychester</x:v>
      </x:c>
      <x:c r="G327" s="31" t="n">
        <x:v>15378.92317390472</x:v>
      </x:c>
      <x:c r="H327" s="31" t="n">
        <x:v>12292</x:v>
      </x:c>
      <x:c r="I327" s="31" t="n">
        <x:v>13.396109796883922</x:v>
      </x:c>
      <x:c r="J327" s="40" t="n">
        <x:v>0.3626749105109014</x:v>
      </x:c>
      <x:c r="K327" s="40" t="n">
        <x:v>0.1403351773511227</x:v>
      </x:c>
      <x:c r="L327" s="40" t="n">
        <x:v>0.3714611129189717</x:v>
      </x:c>
      <x:c r="M327" s="31" t="n">
        <x:v>123.66377230985249</x:v>
      </x:c>
      <x:c r="N327" s="31" t="n">
        <x:v>61</x:v>
      </x:c>
      <x:c r="O327" s="31" t="n">
        <x:v>1.7683209647495362</x:v>
      </x:c>
      <x:c r="P327" s="31" t="n">
        <x:v>4.606003904978848</x:v>
      </x:c>
      <x:c r="Q327" s="40" t="n">
        <x:v>0.9999186462739994</x:v>
      </x:c>
      <x:c r="R327" s="31" t="n">
        <x:v>0.20592562742005638</x:v>
      </x:c>
      <x:c r="S327" s="40"/>
      <x:c r="T327" s="40"/>
      <x:c r="U327" s="40" t="n">
        <x:v>1</x:v>
      </x:c>
      <x:c r="V327" s="40" t="n">
        <x:v>0.9925968109339408</x:v>
      </x:c>
      <x:c r="W327" s="31" t="n">
        <x:v>0</x:v>
      </x:c>
      <x:c r="X327" s="31" t="str"/>
      <x:c r="Y327" s="31" t="n">
        <x:v>0</x:v>
      </x:c>
      <x:c r="Z327" s="31" t="n">
        <x:v>0</x:v>
      </x:c>
      <x:c r="AA327" s="31" t="n">
        <x:v>0</x:v>
      </x:c>
      <x:c r="AB327" s="31" t="str"/>
      <x:c r="AC327" s="31" t="str"/>
    </x:row>
    <x:row r="328">
      <x:c r="A328" s="31" t="str">
        <x:v>5c92c8ff38f03317</x:v>
      </x:c>
      <x:c r="B328" s="31" t="str">
        <x:v>5c92c8ff38f03317b32d8216c9c7804173aab5901997593ec12842858f3de301</x:v>
      </x:c>
      <x:c r="C328" s="31" t="n">
        <x:v>5</x:v>
      </x:c>
      <x:c r="D328" s="31" t="n">
        <x:v>34956</x:v>
      </x:c>
      <x:c r="E328" s="31" t="str">
        <x:v>Queens</x:v>
      </x:c>
      <x:c r="F328" s="31" t="str">
        <x:v>Corona</x:v>
      </x:c>
      <x:c r="G328" s="31" t="n">
        <x:v>94086.48671106926</x:v>
      </x:c>
      <x:c r="H328" s="31" t="n">
        <x:v>12176</x:v>
      </x:c>
      <x:c r="I328" s="31" t="n">
        <x:v>10.883258260726615</x:v>
      </x:c>
      <x:c r="J328" s="40" t="n">
        <x:v>0.5424605781865965</x:v>
      </x:c>
      <x:c r="K328" s="40" t="n">
        <x:v>0.38107752956636004</x:v>
      </x:c>
      <x:c r="L328" s="40" t="n">
        <x:v>0.23382063074901446</x:v>
      </x:c>
      <x:c r="M328" s="31" t="n">
        <x:v>99.62153000047665</x:v>
      </x:c>
      <x:c r="N328" s="31" t="n">
        <x:v>157</x:v>
      </x:c>
      <x:c r="O328" s="31" t="n">
        <x:v>4.49136056757066</x:v>
      </x:c>
      <x:c r="P328" s="31" t="n">
        <x:v>3.8138140604467807</x:v>
      </x:c>
      <x:c r="Q328" s="40" t="n">
        <x:v>0.8138140604467805</x:v>
      </x:c>
      <x:c r="R328" s="31" t="n">
        <x:v>0.12374105940024852</x:v>
      </x:c>
      <x:c r="S328" s="40"/>
      <x:c r="T328" s="40"/>
      <x:c r="U328" s="40" t="n">
        <x:v>1</x:v>
      </x:c>
      <x:c r="V328" s="40" t="n">
        <x:v>0.9976182654402103</x:v>
      </x:c>
      <x:c r="W328" s="31" t="n">
        <x:v>0</x:v>
      </x:c>
      <x:c r="X328" s="31" t="str"/>
      <x:c r="Y328" s="31" t="n">
        <x:v>0</x:v>
      </x:c>
      <x:c r="Z328" s="31" t="n">
        <x:v>0</x:v>
      </x:c>
      <x:c r="AA328" s="31" t="n">
        <x:v>0</x:v>
      </x:c>
      <x:c r="AB328" s="31" t="str"/>
      <x:c r="AC328" s="31" t="str"/>
    </x:row>
    <x:row r="329">
      <x:c r="A329" s="31" t="str">
        <x:v>5ccb7cd8bee6a0d6</x:v>
      </x:c>
      <x:c r="B329" s="31" t="str">
        <x:v>5ccb7cd8bee6a0d6d7c596095bb14210f8929944c2efa6758b155649050ba1fd</x:v>
      </x:c>
      <x:c r="C329" s="31" t="n">
        <x:v>5</x:v>
      </x:c>
      <x:c r="D329" s="31" t="n">
        <x:v>37011</x:v>
      </x:c>
      <x:c r="E329" s="31" t="str">
        <x:v>Bronx</x:v>
      </x:c>
      <x:c r="F329" s="31" t="str">
        <x:v>Highbridge</x:v>
      </x:c>
      <x:c r="G329" s="31" t="n">
        <x:v>83302.7589106168</x:v>
      </x:c>
      <x:c r="H329" s="31" t="n">
        <x:v>14506</x:v>
      </x:c>
      <x:c r="I329" s="31" t="n">
        <x:v>7.2140148903901835</x:v>
      </x:c>
      <x:c r="J329" s="40" t="n">
        <x:v>0.15386736522818145</x:v>
      </x:c>
      <x:c r="K329" s="40" t="n">
        <x:v>0.8324831104370606</x:v>
      </x:c>
      <x:c r="L329" s="40" t="n">
        <x:v>0.10023438577140494</x:v>
      </x:c>
      <x:c r="M329" s="31" t="n">
        <x:v>75.94844956401467</x:v>
      </x:c>
      <x:c r="N329" s="31" t="n">
        <x:v>235</x:v>
      </x:c>
      <x:c r="O329" s="31" t="n">
        <x:v>6.349463672962092</x:v>
      </x:c>
      <x:c r="P329" s="31" t="n">
        <x:v>5</x:v>
      </x:c>
      <x:c r="Q329" s="40" t="n">
        <x:v>1</x:v>
      </x:c>
      <x:c r="R329" s="31" t="n">
        <x:v>0.13340571932701123</x:v>
      </x:c>
      <x:c r="S329" s="40"/>
      <x:c r="T329" s="40"/>
      <x:c r="U329" s="40" t="n">
        <x:v>1</x:v>
      </x:c>
      <x:c r="V329" s="40" t="n">
        <x:v>0.9584999310630085</x:v>
      </x:c>
      <x:c r="W329" s="31" t="n">
        <x:v>1</x:v>
      </x:c>
      <x:c r="X329" s="31" t="str"/>
      <x:c r="Y329" s="31" t="n">
        <x:v>0</x:v>
      </x:c>
      <x:c r="Z329" s="31" t="n">
        <x:v>1</x:v>
      </x:c>
      <x:c r="AA329" s="31" t="n">
        <x:v>0</x:v>
      </x:c>
      <x:c r="AB329" s="31" t="str"/>
      <x:c r="AC329" s="31" t="str"/>
    </x:row>
    <x:row r="330">
      <x:c r="A330" s="31" t="str">
        <x:v>5cec9903c11f28bc</x:v>
      </x:c>
      <x:c r="B330" s="31" t="str">
        <x:v>5cec9903c11f28bc2e1e38cc91e21138a8949ca834d1cf7238de85dd84fbc79f</x:v>
      </x:c>
      <x:c r="C330" s="31" t="n">
        <x:v>11</x:v>
      </x:c>
      <x:c r="D330" s="31" t="n">
        <x:v>32505</x:v>
      </x:c>
      <x:c r="E330" s="31" t="str">
        <x:v>Bronx</x:v>
      </x:c>
      <x:c r="F330" s="31" t="str">
        <x:v>Morris Park</x:v>
      </x:c>
      <x:c r="G330" s="31" t="n">
        <x:v>31051.728811594687</x:v>
      </x:c>
      <x:c r="H330" s="31" t="n">
        <x:v>12034</x:v>
      </x:c>
      <x:c r="I330" s="31" t="n">
        <x:v>3.88856133643617</x:v>
      </x:c>
      <x:c r="J330" s="40" t="n">
        <x:v>0.01911251454213063</x:v>
      </x:c>
      <x:c r="K330" s="40" t="n">
        <x:v>0.4432441415988034</x:v>
      </x:c>
      <x:c r="L330" s="40" t="n">
        <x:v>0.00756190792753864</x:v>
      </x:c>
      <x:c r="M330" s="31" t="n">
        <x:v>45.691646528971184</x:v>
      </x:c>
      <x:c r="N330" s="31" t="n">
        <x:v>83</x:v>
      </x:c>
      <x:c r="O330" s="31" t="n">
        <x:v>2.553453314874635</x:v>
      </x:c>
      <x:c r="P330" s="31" t="n">
        <x:v>4.546285524347682</x:v>
      </x:c>
      <x:c r="Q330" s="40" t="n">
        <x:v>1</x:v>
      </x:c>
      <x:c r="R330" s="31" t="n">
        <x:v>0.14860285530063566</x:v>
      </x:c>
      <x:c r="S330" s="40"/>
      <x:c r="T330" s="40"/>
      <x:c r="U330" s="40" t="n">
        <x:v>1</x:v>
      </x:c>
      <x:c r="V330" s="40" t="n">
        <x:v>0.9975070633205917</x:v>
      </x:c>
      <x:c r="W330" s="31" t="n">
        <x:v>0</x:v>
      </x:c>
      <x:c r="X330" s="31" t="str"/>
      <x:c r="Y330" s="31" t="n">
        <x:v>0</x:v>
      </x:c>
      <x:c r="Z330" s="31" t="n">
        <x:v>0</x:v>
      </x:c>
      <x:c r="AA330" s="31" t="n">
        <x:v>0</x:v>
      </x:c>
      <x:c r="AB330" s="31" t="str"/>
      <x:c r="AC330" s="31" t="str"/>
    </x:row>
    <x:row r="331">
      <x:c r="A331" s="31" t="str">
        <x:v>5d461f59fe510ad1</x:v>
      </x:c>
      <x:c r="B331" s="31" t="str">
        <x:v>5d461f59fe510ad131860ee7037db7cb594244a7a7650bbd462eebcb6064b2d8</x:v>
      </x:c>
      <x:c r="C331" s="31" t="n">
        <x:v>7</x:v>
      </x:c>
      <x:c r="D331" s="31" t="n">
        <x:v>32283</x:v>
      </x:c>
      <x:c r="E331" s="31" t="str">
        <x:v>Brooklyn</x:v>
      </x:c>
      <x:c r="F331" s="31" t="str">
        <x:v>Borough Park</x:v>
      </x:c>
      <x:c r="G331" s="31" t="n">
        <x:v>76012.22741903359</x:v>
      </x:c>
      <x:c r="H331" s="31" t="n">
        <x:v>8893</x:v>
      </x:c>
      <x:c r="I331" s="31" t="n">
        <x:v>3.3380015779981966</x:v>
      </x:c>
      <x:c r="J331" s="40" t="n">
        <x:v>0.011019903294726189</x:v>
      </x:c>
      <x:c r="K331" s="40" t="n">
        <x:v>0.5836050826492747</x:v>
      </x:c>
      <x:c r="L331" s="40" t="n">
        <x:v>0.003710783762509839</x:v>
      </x:c>
      <x:c r="M331" s="31" t="n">
        <x:v>39.59994994522559</x:v>
      </x:c>
      <x:c r="N331" s="31" t="n">
        <x:v>153</x:v>
      </x:c>
      <x:c r="O331" s="31" t="n">
        <x:v>4.739336492890995</x:v>
      </x:c>
      <x:c r="P331" s="31" t="n">
        <x:v>3.8793433037220284</x:v>
      </x:c>
      <x:c r="Q331" s="40" t="n">
        <x:v>0.8793433037220285</x:v>
      </x:c>
      <x:c r="R331" s="31" t="n">
        <x:v>0.1698047072070381</x:v>
      </x:c>
      <x:c r="S331" s="40"/>
      <x:c r="T331" s="40"/>
      <x:c r="U331" s="40" t="n">
        <x:v>1</x:v>
      </x:c>
      <x:c r="V331" s="40" t="n">
        <x:v>0.9894298886764872</x:v>
      </x:c>
      <x:c r="W331" s="31" t="n">
        <x:v>0</x:v>
      </x:c>
      <x:c r="X331" s="31" t="str"/>
      <x:c r="Y331" s="31" t="n">
        <x:v>0</x:v>
      </x:c>
      <x:c r="Z331" s="31" t="n">
        <x:v>0</x:v>
      </x:c>
      <x:c r="AA331" s="31" t="n">
        <x:v>0</x:v>
      </x:c>
      <x:c r="AB331" s="31" t="str"/>
      <x:c r="AC331" s="31" t="str"/>
    </x:row>
    <x:row r="332">
      <x:c r="A332" s="31" t="str">
        <x:v>5e6a9e220e14e141</x:v>
      </x:c>
      <x:c r="B332" s="31" t="str">
        <x:v>5e6a9e220e14e1413ff87996acac915360680e32cf21e1c9a9841a1d37d35ad5</x:v>
      </x:c>
      <x:c r="C332" s="31" t="n">
        <x:v>7</x:v>
      </x:c>
      <x:c r="D332" s="31" t="n">
        <x:v>32643</x:v>
      </x:c>
      <x:c r="E332" s="31" t="str">
        <x:v>Queens</x:v>
      </x:c>
      <x:c r="F332" s="31" t="str">
        <x:v>Jamaica</x:v>
      </x:c>
      <x:c r="G332" s="31" t="n">
        <x:v>40370.7821276431</x:v>
      </x:c>
      <x:c r="H332" s="31" t="n">
        <x:v>14295</x:v>
      </x:c>
      <x:c r="I332" s="31" t="n">
        <x:v>8.926952490476532</x:v>
      </x:c>
      <x:c r="J332" s="40" t="n">
        <x:v>0.2762504372158097</x:v>
      </x:c>
      <x:c r="K332" s="40" t="n">
        <x:v>0.47177334732423926</x:v>
      </x:c>
      <x:c r="L332" s="40" t="n">
        <x:v>0.03616649178034278</x:v>
      </x:c>
      <x:c r="M332" s="31" t="n">
        <x:v>101.44943480912025</x:v>
      </x:c>
      <x:c r="N332" s="31" t="n">
        <x:v>165</x:v>
      </x:c>
      <x:c r="O332" s="31" t="n">
        <x:v>5.054682474037312</x:v>
      </x:c>
      <x:c r="P332" s="31" t="n">
        <x:v>3.810003497726478</x:v>
      </x:c>
      <x:c r="Q332" s="40" t="n">
        <x:v>0.8100034977264778</x:v>
      </x:c>
      <x:c r="R332" s="31" t="n">
        <x:v>0.16600630478976694</x:v>
      </x:c>
      <x:c r="S332" s="40"/>
      <x:c r="T332" s="40"/>
      <x:c r="U332" s="40" t="n">
        <x:v>1</x:v>
      </x:c>
      <x:c r="V332" s="40" t="n">
        <x:v>0.9708989157047919</x:v>
      </x:c>
      <x:c r="W332" s="31" t="n">
        <x:v>0</x:v>
      </x:c>
      <x:c r="X332" s="31" t="str"/>
      <x:c r="Y332" s="31" t="n">
        <x:v>0</x:v>
      </x:c>
      <x:c r="Z332" s="31" t="n">
        <x:v>0</x:v>
      </x:c>
      <x:c r="AA332" s="31" t="n">
        <x:v>0</x:v>
      </x:c>
      <x:c r="AB332" s="31" t="str"/>
      <x:c r="AC332" s="31" t="str"/>
    </x:row>
    <x:row r="333">
      <x:c r="A333" s="31" t="str">
        <x:v>5e7a7e5315fd93cc</x:v>
      </x:c>
      <x:c r="B333" s="31" t="str">
        <x:v>5e7a7e5315fd93cc3001ae3c2c0f21c257a9136316befd38167ebe0912e56446</x:v>
      </x:c>
      <x:c r="C333" s="31" t="n">
        <x:v>11</x:v>
      </x:c>
      <x:c r="D333" s="31" t="n">
        <x:v>35348</x:v>
      </x:c>
      <x:c r="E333" s="31" t="str">
        <x:v>Brooklyn</x:v>
      </x:c>
      <x:c r="F333" s="31" t="str">
        <x:v>Carroll Gardens-Cobble Hill-Gowanus-Red Hook</x:v>
      </x:c>
      <x:c r="G333" s="31" t="n">
        <x:v>42311.277979297745</x:v>
      </x:c>
      <x:c r="H333" s="31" t="n">
        <x:v>20565</x:v>
      </x:c>
      <x:c r="I333" s="31" t="n">
        <x:v>6.744283536585366</x:v>
      </x:c>
      <x:c r="J333" s="40" t="n">
        <x:v>0.19834670556771214</x:v>
      </x:c>
      <x:c r="K333" s="40" t="n">
        <x:v>0.7106248480427911</x:v>
      </x:c>
      <x:c r="L333" s="40" t="n">
        <x:v>0.04011670313639679</x:v>
      </x:c>
      <x:c r="M333" s="31" t="n">
        <x:v>67.69736257992476</x:v>
      </x:c>
      <x:c r="N333" s="31" t="n">
        <x:v>186</x:v>
      </x:c>
      <x:c r="O333" s="31" t="n">
        <x:v>5.261966730790992</x:v>
      </x:c>
      <x:c r="P333" s="31" t="n">
        <x:v>2</x:v>
      </x:c>
      <x:c r="Q333" s="40" t="n">
        <x:v>0</x:v>
      </x:c>
      <x:c r="R333" s="31" t="n">
        <x:v>0.15644473086227026</x:v>
      </x:c>
      <x:c r="S333" s="40"/>
      <x:c r="T333" s="40"/>
      <x:c r="U333" s="40" t="n">
        <x:v>1</x:v>
      </x:c>
      <x:c r="V333" s="40" t="n">
        <x:v>0.9434962314612205</x:v>
      </x:c>
      <x:c r="W333" s="31" t="n">
        <x:v>0</x:v>
      </x:c>
      <x:c r="X333" s="31" t="str"/>
      <x:c r="Y333" s="31" t="n">
        <x:v>0</x:v>
      </x:c>
      <x:c r="Z333" s="31" t="n">
        <x:v>0</x:v>
      </x:c>
      <x:c r="AA333" s="31" t="n">
        <x:v>0</x:v>
      </x:c>
      <x:c r="AB333" s="31" t="str"/>
      <x:c r="AC333" s="31" t="str"/>
    </x:row>
    <x:row r="334">
      <x:c r="A334" s="31" t="str">
        <x:v>5f16c8dd4cd2f6c0</x:v>
      </x:c>
      <x:c r="B334" s="31" t="str">
        <x:v>5f16c8dd4cd2f6c0609fd3f60426a6e4f76200295019b1ec5590cc923514653f</x:v>
      </x:c>
      <x:c r="C334" s="31" t="n">
        <x:v>8</x:v>
      </x:c>
      <x:c r="D334" s="31" t="n">
        <x:v>33788</x:v>
      </x:c>
      <x:c r="E334" s="31" t="str">
        <x:v>Bronx</x:v>
      </x:c>
      <x:c r="F334" s="31" t="str">
        <x:v>Allerton</x:v>
      </x:c>
      <x:c r="G334" s="31" t="n">
        <x:v>67929.80154864561</x:v>
      </x:c>
      <x:c r="H334" s="31" t="n">
        <x:v>13979</x:v>
      </x:c>
      <x:c r="I334" s="31" t="n">
        <x:v>7.028953655728267</x:v>
      </x:c>
      <x:c r="J334" s="40" t="n">
        <x:v>0.10851992274125474</x:v>
      </x:c>
      <x:c r="K334" s="40" t="n">
        <x:v>0.7906860290435653</x:v>
      </x:c>
      <x:c r="L334" s="40" t="n">
        <x:v>0.10294012447242291</x:v>
      </x:c>
      <x:c r="M334" s="31" t="n">
        <x:v>74.29493967774846</x:v>
      </x:c>
      <x:c r="N334" s="31" t="n">
        <x:v>236</x:v>
      </x:c>
      <x:c r="O334" s="31" t="n">
        <x:v>6.9847283059074226</x:v>
      </x:c>
      <x:c r="P334" s="31" t="n">
        <x:v>4.458330352671865</x:v>
      </x:c>
      <x:c r="Q334" s="40" t="n">
        <x:v>1</x:v>
      </x:c>
      <x:c r="R334" s="31" t="n">
        <x:v>0.10092517227682574</x:v>
      </x:c>
      <x:c r="S334" s="40"/>
      <x:c r="T334" s="40"/>
      <x:c r="U334" s="40" t="n">
        <x:v>1</x:v>
      </x:c>
      <x:c r="V334" s="40" t="n">
        <x:v>0.9811145289362615</x:v>
      </x:c>
      <x:c r="W334" s="31" t="n">
        <x:v>1</x:v>
      </x:c>
      <x:c r="X334" s="31" t="str"/>
      <x:c r="Y334" s="31" t="n">
        <x:v>0</x:v>
      </x:c>
      <x:c r="Z334" s="31" t="n">
        <x:v>1</x:v>
      </x:c>
      <x:c r="AA334" s="31" t="n">
        <x:v>0</x:v>
      </x:c>
      <x:c r="AB334" s="31" t="str"/>
      <x:c r="AC334" s="31" t="str"/>
    </x:row>
    <x:row r="335">
      <x:c r="A335" s="31" t="str">
        <x:v>5f4e549052e591ad</x:v>
      </x:c>
      <x:c r="B335" s="31" t="str">
        <x:v>5f4e549052e591ad31889fd22d8df3772c4bd10b66376e2402fa74483b73c9ae</x:v>
      </x:c>
      <x:c r="C335" s="31" t="n">
        <x:v>9</x:v>
      </x:c>
      <x:c r="D335" s="31" t="n">
        <x:v>36029</x:v>
      </x:c>
      <x:c r="E335" s="31" t="str">
        <x:v>Brooklyn</x:v>
      </x:c>
      <x:c r="F335" s="31" t="str">
        <x:v>Downtown Brooklyn-DUMBO-Boerum Hill</x:v>
      </x:c>
      <x:c r="G335" s="31" t="n">
        <x:v>48940.258052037316</x:v>
      </x:c>
      <x:c r="H335" s="31" t="n">
        <x:v>25947</x:v>
      </x:c>
      <x:c r="I335" s="31" t="n">
        <x:v>26.865377108057466</x:v>
      </x:c>
      <x:c r="J335" s="40" t="n">
        <x:v>0.8386325972174047</x:v>
      </x:c>
      <x:c r="K335" s="40" t="n">
        <x:v>0.14768566693644739</x:v>
      </x:c>
      <x:c r="L335" s="40" t="n">
        <x:v>0.16522141288010175</x:v>
      </x:c>
      <x:c r="M335" s="31" t="n">
        <x:v>297.3833426089792</x:v>
      </x:c>
      <x:c r="N335" s="31" t="n">
        <x:v>561</x:v>
      </x:c>
      <x:c r="O335" s="31" t="n">
        <x:v>15.570790196785921</x:v>
      </x:c>
      <x:c r="P335" s="31" t="n">
        <x:v>2.0810112922495856</x:v>
      </x:c>
      <x:c r="Q335" s="40" t="n">
        <x:v>0.04050564612479285</x:v>
      </x:c>
      <x:c r="R335" s="31" t="n">
        <x:v>0.08977110383283213</x:v>
      </x:c>
      <x:c r="S335" s="40"/>
      <x:c r="T335" s="40"/>
      <x:c r="U335" s="40" t="n">
        <x:v>1</x:v>
      </x:c>
      <x:c r="V335" s="40" t="n">
        <x:v>0.9155200986626585</x:v>
      </x:c>
      <x:c r="W335" s="31" t="n">
        <x:v>0</x:v>
      </x:c>
      <x:c r="X335" s="31" t="str"/>
      <x:c r="Y335" s="31" t="n">
        <x:v>0</x:v>
      </x:c>
      <x:c r="Z335" s="31" t="n">
        <x:v>0</x:v>
      </x:c>
      <x:c r="AA335" s="31" t="n">
        <x:v>0</x:v>
      </x:c>
      <x:c r="AB335" s="31" t="str"/>
      <x:c r="AC335" s="31" t="str"/>
    </x:row>
    <x:row r="336">
      <x:c r="A336" s="31" t="str">
        <x:v>5ff75c9e431b8df4</x:v>
      </x:c>
      <x:c r="B336" s="31" t="str">
        <x:v>5ff75c9e431b8df446539fee7b384bd0f5dfc07667d9b4098c273c173852456e</x:v>
      </x:c>
      <x:c r="C336" s="31" t="n">
        <x:v>8</x:v>
      </x:c>
      <x:c r="D336" s="31" t="n">
        <x:v>34522</x:v>
      </x:c>
      <x:c r="E336" s="31" t="str">
        <x:v>Queens</x:v>
      </x:c>
      <x:c r="F336" s="31" t="str">
        <x:v>Astoria (Central)</x:v>
      </x:c>
      <x:c r="G336" s="31" t="n">
        <x:v>67841.74928711334</x:v>
      </x:c>
      <x:c r="H336" s="31" t="n">
        <x:v>17948</x:v>
      </x:c>
      <x:c r="I336" s="31" t="n">
        <x:v>4.289519586934561</x:v>
      </x:c>
      <x:c r="J336" s="40" t="n">
        <x:v>0.02434811678181413</x:v>
      </x:c>
      <x:c r="K336" s="40" t="n">
        <x:v>0.8270002228660575</x:v>
      </x:c>
      <x:c r="L336" s="40" t="n">
        <x:v>0.013093380878092267</x:v>
      </x:c>
      <x:c r="M336" s="31" t="n">
        <x:v>47.49375226080441</x:v>
      </x:c>
      <x:c r="N336" s="31" t="n">
        <x:v>209</x:v>
      </x:c>
      <x:c r="O336" s="31" t="n">
        <x:v>6.054110422339377</x:v>
      </x:c>
      <x:c r="P336" s="31" t="n">
        <x:v>3.0015043458881214</x:v>
      </x:c>
      <x:c r="Q336" s="40" t="n">
        <x:v>0.0015043458881212391</x:v>
      </x:c>
      <x:c r="R336" s="31" t="n">
        <x:v>0.17572284478281494</x:v>
      </x:c>
      <x:c r="S336" s="40"/>
      <x:c r="T336" s="40"/>
      <x:c r="U336" s="40" t="n">
        <x:v>1</x:v>
      </x:c>
      <x:c r="V336" s="40" t="n">
        <x:v>0.9856251392912859</x:v>
      </x:c>
      <x:c r="W336" s="31" t="n">
        <x:v>0</x:v>
      </x:c>
      <x:c r="X336" s="31" t="str"/>
      <x:c r="Y336" s="31" t="n">
        <x:v>0</x:v>
      </x:c>
      <x:c r="Z336" s="31" t="n">
        <x:v>0</x:v>
      </x:c>
      <x:c r="AA336" s="31" t="n">
        <x:v>0</x:v>
      </x:c>
      <x:c r="AB336" s="31" t="str"/>
      <x:c r="AC336" s="31" t="str"/>
    </x:row>
    <x:row r="337">
      <x:c r="A337" s="31" t="str">
        <x:v>600ca206fc984ae2</x:v>
      </x:c>
      <x:c r="B337" s="31" t="str">
        <x:v>600ca206fc984ae2899fb0c8918ba155f86795365b469887ce1f7bcb1eb446ab</x:v>
      </x:c>
      <x:c r="C337" s="31" t="n">
        <x:v>6</x:v>
      </x:c>
      <x:c r="D337" s="31" t="n">
        <x:v>36111</x:v>
      </x:c>
      <x:c r="E337" s="31" t="str">
        <x:v>Manhattan</x:v>
      </x:c>
      <x:c r="F337" s="31" t="str">
        <x:v>Upper West Side-Lincoln Square</x:v>
      </x:c>
      <x:c r="G337" s="31" t="n">
        <x:v>128728.82093003843</x:v>
      </x:c>
      <x:c r="H337" s="31" t="n">
        <x:v>23591</x:v>
      </x:c>
      <x:c r="I337" s="31" t="n">
        <x:v>20.629138230681193</x:v>
      </x:c>
      <x:c r="J337" s="40" t="n">
        <x:v>0.7825441905811539</x:v>
      </x:c>
      <x:c r="K337" s="40" t="n">
        <x:v>0.21737103132550548</x:v>
      </x:c>
      <x:c r="L337" s="40" t="n">
        <x:v>0.05404603450468399</x:v>
      </x:c>
      <x:c r="M337" s="31" t="n">
        <x:v>219.34542998431965</x:v>
      </x:c>
      <x:c r="N337" s="31" t="n">
        <x:v>618</x:v>
      </x:c>
      <x:c r="O337" s="31" t="n">
        <x:v>17.113898811996343</x:v>
      </x:c>
      <x:c r="P337" s="31" t="n">
        <x:v>1</x:v>
      </x:c>
      <x:c r="Q337" s="40" t="n">
        <x:v>0</x:v>
      </x:c>
      <x:c r="R337" s="31" t="n">
        <x:v>0.14688063880607627</x:v>
      </x:c>
      <x:c r="S337" s="40"/>
      <x:c r="T337" s="40"/>
      <x:c r="U337" s="40" t="n">
        <x:v>1</x:v>
      </x:c>
      <x:c r="V337" s="40" t="n">
        <x:v>0.9993641642999449</x:v>
      </x:c>
      <x:c r="W337" s="31" t="n">
        <x:v>1</x:v>
      </x:c>
      <x:c r="X337" s="31" t="str"/>
      <x:c r="Y337" s="31" t="n">
        <x:v>1</x:v>
      </x:c>
      <x:c r="Z337" s="31" t="n">
        <x:v>0</x:v>
      </x:c>
      <x:c r="AA337" s="31" t="n">
        <x:v>0</x:v>
      </x:c>
      <x:c r="AB337" s="31" t="str"/>
      <x:c r="AC337" s="31" t="str"/>
    </x:row>
    <x:row r="338">
      <x:c r="A338" s="31" t="str">
        <x:v>609dda53dbb477ed</x:v>
      </x:c>
      <x:c r="B338" s="31" t="str">
        <x:v>609dda53dbb477ed2e12afe4cf77136624676f26eab5b518c0b2e3dfed95e53e</x:v>
      </x:c>
      <x:c r="C338" s="31" t="n">
        <x:v>13</x:v>
      </x:c>
      <x:c r="D338" s="31" t="n">
        <x:v>35278</x:v>
      </x:c>
      <x:c r="E338" s="31" t="str">
        <x:v>Queens</x:v>
      </x:c>
      <x:c r="F338" s="31" t="str">
        <x:v>Astoria (North)-Ditmars-Steinway</x:v>
      </x:c>
      <x:c r="G338" s="31" t="n">
        <x:v>36140.16659418182</x:v>
      </x:c>
      <x:c r="H338" s="31" t="n">
        <x:v>16370</x:v>
      </x:c>
      <x:c r="I338" s="31" t="n">
        <x:v>3.2079294278436974</x:v>
      </x:c>
      <x:c r="J338" s="40" t="n">
        <x:v>0.004886988393402566</x:v>
      </x:c>
      <x:c r="K338" s="40" t="n">
        <x:v>0.618020769700672</x:v>
      </x:c>
      <x:c r="L338" s="40" t="n">
        <x:v>0.05479535736102627</x:v>
      </x:c>
      <x:c r="M338" s="31" t="n">
        <x:v>36.81525759135319</x:v>
      </x:c>
      <x:c r="N338" s="31" t="n">
        <x:v>82</x:v>
      </x:c>
      <x:c r="O338" s="31" t="n">
        <x:v>2.324394806961846</x:v>
      </x:c>
      <x:c r="P338" s="31" t="n">
        <x:v>3</x:v>
      </x:c>
      <x:c r="Q338" s="40" t="n">
        <x:v>0</x:v>
      </x:c>
      <x:c r="R338" s="31" t="n">
        <x:v>0.21221802927722866</x:v>
      </x:c>
      <x:c r="S338" s="40"/>
      <x:c r="T338" s="40"/>
      <x:c r="U338" s="40" t="n">
        <x:v>1</x:v>
      </x:c>
      <x:c r="V338" s="40" t="n">
        <x:v>0.9782529016493586</x:v>
      </x:c>
      <x:c r="W338" s="31" t="n">
        <x:v>0</x:v>
      </x:c>
      <x:c r="X338" s="31" t="str"/>
      <x:c r="Y338" s="31" t="n">
        <x:v>0</x:v>
      </x:c>
      <x:c r="Z338" s="31" t="n">
        <x:v>0</x:v>
      </x:c>
      <x:c r="AA338" s="31" t="n">
        <x:v>0</x:v>
      </x:c>
      <x:c r="AB338" s="31" t="str"/>
      <x:c r="AC338" s="31" t="str"/>
    </x:row>
    <x:row r="339">
      <x:c r="A339" s="31" t="str">
        <x:v>60d77cf8315808d6</x:v>
      </x:c>
      <x:c r="B339" s="31" t="str">
        <x:v>60d77cf8315808d6b24b68861164efe5bcf41baf9f964a1454d4f8bbd6e5f550</x:v>
      </x:c>
      <x:c r="C339" s="31" t="n">
        <x:v>12</x:v>
      </x:c>
      <x:c r="D339" s="31" t="n">
        <x:v>32114</x:v>
      </x:c>
      <x:c r="E339" s="31" t="str">
        <x:v>Queens</x:v>
      </x:c>
      <x:c r="F339" s="31" t="str">
        <x:v>East Flushing</x:v>
      </x:c>
      <x:c r="G339" s="31" t="n">
        <x:v>27447.668476269144</x:v>
      </x:c>
      <x:c r="H339" s="31" t="n">
        <x:v>10250</x:v>
      </x:c>
      <x:c r="I339" s="31" t="n">
        <x:v>2.7940135121903453</x:v>
      </x:c>
      <x:c r="J339" s="40" t="n">
        <x:v>0</x:v>
      </x:c>
      <x:c r="K339" s="40" t="n">
        <x:v>0.36146341463414633</x:v>
      </x:c>
      <x:c r="L339" s="40" t="n">
        <x:v>0.02595121951219512</x:v>
      </x:c>
      <x:c r="M339" s="31" t="n">
        <x:v>33.660434559717075</x:v>
      </x:c>
      <x:c r="N339" s="31" t="n">
        <x:v>41</x:v>
      </x:c>
      <x:c r="O339" s="31" t="n">
        <x:v>1.2767017500155695</x:v>
      </x:c>
      <x:c r="P339" s="31" t="n">
        <x:v>3.297560975609756</x:v>
      </x:c>
      <x:c r="Q339" s="40" t="n">
        <x:v>0.327609756097561</x:v>
      </x:c>
      <x:c r="R339" s="31" t="n">
        <x:v>0.28081894899800147</x:v>
      </x:c>
      <x:c r="S339" s="40"/>
      <x:c r="T339" s="40"/>
      <x:c r="U339" s="40" t="n">
        <x:v>1</x:v>
      </x:c>
      <x:c r="V339" s="40" t="n">
        <x:v>0.9896585365853658</x:v>
      </x:c>
      <x:c r="W339" s="31" t="n">
        <x:v>0</x:v>
      </x:c>
      <x:c r="X339" s="31" t="str"/>
      <x:c r="Y339" s="31" t="n">
        <x:v>0</x:v>
      </x:c>
      <x:c r="Z339" s="31" t="n">
        <x:v>0</x:v>
      </x:c>
      <x:c r="AA339" s="31" t="n">
        <x:v>0</x:v>
      </x:c>
      <x:c r="AB339" s="31" t="str"/>
      <x:c r="AC339" s="31" t="str"/>
    </x:row>
    <x:row r="340">
      <x:c r="A340" s="31" t="str">
        <x:v>6104dc37d45e6f92</x:v>
      </x:c>
      <x:c r="B340" s="31" t="str">
        <x:v>6104dc37d45e6f92b9c6e5c526cafc2098af8c41b3341ab163f32296563cf5d5</x:v>
      </x:c>
      <x:c r="C340" s="31" t="n">
        <x:v>9</x:v>
      </x:c>
      <x:c r="D340" s="31" t="n">
        <x:v>32265</x:v>
      </x:c>
      <x:c r="E340" s="31" t="str">
        <x:v>Brooklyn</x:v>
      </x:c>
      <x:c r="F340" s="31" t="str">
        <x:v>Clinton Hill</x:v>
      </x:c>
      <x:c r="G340" s="31" t="n">
        <x:v>52005.897327888844</x:v>
      </x:c>
      <x:c r="H340" s="31" t="n">
        <x:v>15611</x:v>
      </x:c>
      <x:c r="I340" s="31" t="n">
        <x:v>8.016711344211345</x:v>
      </x:c>
      <x:c r="J340" s="40" t="n">
        <x:v>0.31766062391903144</x:v>
      </x:c>
      <x:c r="K340" s="40" t="n">
        <x:v>0.6341041573249632</x:v>
      </x:c>
      <x:c r="L340" s="40" t="n">
        <x:v>0.13464864518608674</x:v>
      </x:c>
      <x:c r="M340" s="31" t="n">
        <x:v>86.15979604420528</x:v>
      </x:c>
      <x:c r="N340" s="31" t="n">
        <x:v>237</x:v>
      </x:c>
      <x:c r="O340" s="31" t="n">
        <x:v>7.345420734542073</x:v>
      </x:c>
      <x:c r="P340" s="31" t="n">
        <x:v>3.5436551149830247</x:v>
      </x:c>
      <x:c r="Q340" s="40" t="n">
        <x:v>0.7718275574915124</x:v>
      </x:c>
      <x:c r="R340" s="31" t="n">
        <x:v>0.11631173212267312</x:v>
      </x:c>
      <x:c r="S340" s="40"/>
      <x:c r="T340" s="40"/>
      <x:c r="U340" s="40" t="n">
        <x:v>1</x:v>
      </x:c>
      <x:c r="V340" s="40" t="n">
        <x:v>0.9966690154378323</x:v>
      </x:c>
      <x:c r="W340" s="31" t="n">
        <x:v>0</x:v>
      </x:c>
      <x:c r="X340" s="31" t="str"/>
      <x:c r="Y340" s="31" t="n">
        <x:v>0</x:v>
      </x:c>
      <x:c r="Z340" s="31" t="n">
        <x:v>0</x:v>
      </x:c>
      <x:c r="AA340" s="31" t="n">
        <x:v>0</x:v>
      </x:c>
      <x:c r="AB340" s="31" t="str"/>
      <x:c r="AC340" s="31" t="str"/>
    </x:row>
    <x:row r="341">
      <x:c r="A341" s="31" t="str">
        <x:v>6169e410d123bb91</x:v>
      </x:c>
      <x:c r="B341" s="31" t="str">
        <x:v>6169e410d123bb91362ba8014ce6ba4f6eacfd2bf798d6735f1e31e6ada1c8a7</x:v>
      </x:c>
      <x:c r="C341" s="31" t="n">
        <x:v>8</x:v>
      </x:c>
      <x:c r="D341" s="31" t="n">
        <x:v>32253</x:v>
      </x:c>
      <x:c r="E341" s="31" t="str">
        <x:v>Brooklyn</x:v>
      </x:c>
      <x:c r="F341" s="31" t="str">
        <x:v>Bushwick (East)</x:v>
      </x:c>
      <x:c r="G341" s="31" t="n">
        <x:v>65585.74049181952</x:v>
      </x:c>
      <x:c r="H341" s="31" t="n">
        <x:v>13576</x:v>
      </x:c>
      <x:c r="I341" s="31" t="n">
        <x:v>3.9458942848682264</x:v>
      </x:c>
      <x:c r="J341" s="40" t="n">
        <x:v>0.020403653506187388</x:v>
      </x:c>
      <x:c r="K341" s="40" t="n">
        <x:v>0.7592074248674131</x:v>
      </x:c>
      <x:c r="L341" s="40" t="n">
        <x:v>0.05995875073659399</x:v>
      </x:c>
      <x:c r="M341" s="31" t="n">
        <x:v>43.12624198969966</x:v>
      </x:c>
      <x:c r="N341" s="31" t="n">
        <x:v>104</x:v>
      </x:c>
      <x:c r="O341" s="31" t="n">
        <x:v>3.224506247480855</x:v>
      </x:c>
      <x:c r="P341" s="31" t="n">
        <x:v>4.010754272245139</x:v>
      </x:c>
      <x:c r="Q341" s="40" t="n">
        <x:v>1</x:v>
      </x:c>
      <x:c r="R341" s="31" t="n">
        <x:v>0.12131838626184477</x:v>
      </x:c>
      <x:c r="S341" s="40"/>
      <x:c r="T341" s="40"/>
      <x:c r="U341" s="40" t="n">
        <x:v>1</x:v>
      </x:c>
      <x:c r="V341" s="40" t="n">
        <x:v>0.9614024749558043</x:v>
      </x:c>
      <x:c r="W341" s="31" t="n">
        <x:v>1</x:v>
      </x:c>
      <x:c r="X341" s="31" t="str"/>
      <x:c r="Y341" s="31" t="n">
        <x:v>0</x:v>
      </x:c>
      <x:c r="Z341" s="31" t="n">
        <x:v>1</x:v>
      </x:c>
      <x:c r="AA341" s="31" t="n">
        <x:v>0</x:v>
      </x:c>
      <x:c r="AB341" s="31" t="str"/>
      <x:c r="AC341" s="31" t="str"/>
    </x:row>
    <x:row r="342">
      <x:c r="A342" s="31" t="str">
        <x:v>61c05d3a32c9fa58</x:v>
      </x:c>
      <x:c r="B342" s="31" t="str">
        <x:v>61c05d3a32c9fa58fa1afa116a5da5d415f7e13d034f8cb9f471d1bc2b44c930</x:v>
      </x:c>
      <x:c r="C342" s="31" t="n">
        <x:v>8</x:v>
      </x:c>
      <x:c r="D342" s="31" t="n">
        <x:v>32981</x:v>
      </x:c>
      <x:c r="E342" s="31" t="str">
        <x:v>Brooklyn</x:v>
      </x:c>
      <x:c r="F342" s="31" t="str">
        <x:v>Bushwick (West)</x:v>
      </x:c>
      <x:c r="G342" s="31" t="n">
        <x:v>63890.977255902915</x:v>
      </x:c>
      <x:c r="H342" s="31" t="n">
        <x:v>16397</x:v>
      </x:c>
      <x:c r="I342" s="31" t="n">
        <x:v>5.98075919916733</x:v>
      </x:c>
      <x:c r="J342" s="40" t="n">
        <x:v>0.1802158931511862</x:v>
      </x:c>
      <x:c r="K342" s="40" t="n">
        <x:v>0.6966518265536379</x:v>
      </x:c>
      <x:c r="L342" s="40" t="n">
        <x:v>0.0167713606147466</x:v>
      </x:c>
      <x:c r="M342" s="31" t="n">
        <x:v>61.643968154143195</x:v>
      </x:c>
      <x:c r="N342" s="31" t="n">
        <x:v>170</x:v>
      </x:c>
      <x:c r="O342" s="31" t="n">
        <x:v>5.154482884084776</x:v>
      </x:c>
      <x:c r="P342" s="31" t="n">
        <x:v>4</x:v>
      </x:c>
      <x:c r="Q342" s="40" t="n">
        <x:v>1</x:v>
      </x:c>
      <x:c r="R342" s="31" t="n">
        <x:v>0.10873260177149856</x:v>
      </x:c>
      <x:c r="S342" s="40"/>
      <x:c r="T342" s="40"/>
      <x:c r="U342" s="40" t="n">
        <x:v>1</x:v>
      </x:c>
      <x:c r="V342" s="40" t="n">
        <x:v>0.935293041410014</x:v>
      </x:c>
      <x:c r="W342" s="31" t="n">
        <x:v>1</x:v>
      </x:c>
      <x:c r="X342" s="31" t="str"/>
      <x:c r="Y342" s="31" t="n">
        <x:v>0</x:v>
      </x:c>
      <x:c r="Z342" s="31" t="n">
        <x:v>1</x:v>
      </x:c>
      <x:c r="AA342" s="31" t="n">
        <x:v>0</x:v>
      </x:c>
      <x:c r="AB342" s="31" t="str"/>
      <x:c r="AC342" s="31" t="str"/>
    </x:row>
    <x:row r="343">
      <x:c r="A343" s="31" t="str">
        <x:v>61d7d0e71a4e2d03</x:v>
      </x:c>
      <x:c r="B343" s="31" t="str">
        <x:v>61d7d0e71a4e2d03b71f9c90317d6aa652c8783216d612ba9f1a8758a36847ad</x:v>
      </x:c>
      <x:c r="C343" s="31" t="n">
        <x:v>8</x:v>
      </x:c>
      <x:c r="D343" s="31" t="n">
        <x:v>36577</x:v>
      </x:c>
      <x:c r="E343" s="31" t="str">
        <x:v>Queens</x:v>
      </x:c>
      <x:c r="F343" s="31" t="str">
        <x:v>Jackson Heights</x:v>
      </x:c>
      <x:c r="G343" s="31" t="n">
        <x:v>52380.037838314325</x:v>
      </x:c>
      <x:c r="H343" s="31" t="n">
        <x:v>12018</x:v>
      </x:c>
      <x:c r="I343" s="31" t="n">
        <x:v>3.5860376102512896</x:v>
      </x:c>
      <x:c r="J343" s="40" t="n">
        <x:v>0.013230154767848227</x:v>
      </x:c>
      <x:c r="K343" s="40" t="n">
        <x:v>0.5830421035113995</x:v>
      </x:c>
      <x:c r="L343" s="40" t="n">
        <x:v>0.017723414877683474</x:v>
      </x:c>
      <x:c r="M343" s="31" t="n">
        <x:v>40.32072689925778</x:v>
      </x:c>
      <x:c r="N343" s="31" t="n">
        <x:v>124</x:v>
      </x:c>
      <x:c r="O343" s="31" t="n">
        <x:v>3.3901085381523908</x:v>
      </x:c>
      <x:c r="P343" s="31" t="n">
        <x:v>3.032368114494924</x:v>
      </x:c>
      <x:c r="Q343" s="40" t="n">
        <x:v>0.03236811449492428</x:v>
      </x:c>
      <x:c r="R343" s="31" t="n">
        <x:v>0.26916725750227954</x:v>
      </x:c>
      <x:c r="S343" s="40"/>
      <x:c r="T343" s="40"/>
      <x:c r="U343" s="40" t="n">
        <x:v>1</x:v>
      </x:c>
      <x:c r="V343" s="40" t="n">
        <x:v>1</x:v>
      </x:c>
      <x:c r="W343" s="31" t="n">
        <x:v>0</x:v>
      </x:c>
      <x:c r="X343" s="31" t="str"/>
      <x:c r="Y343" s="31" t="n">
        <x:v>0</x:v>
      </x:c>
      <x:c r="Z343" s="31" t="n">
        <x:v>0</x:v>
      </x:c>
      <x:c r="AA343" s="31" t="n">
        <x:v>0</x:v>
      </x:c>
      <x:c r="AB343" s="31" t="str"/>
      <x:c r="AC343" s="31" t="str"/>
    </x:row>
    <x:row r="344">
      <x:c r="A344" s="31" t="str">
        <x:v>62254818772a7ec5</x:v>
      </x:c>
      <x:c r="B344" s="31" t="str">
        <x:v>62254818772a7ec51462c330f408c95991a198e53dcb3f7d9c76b5e6cc2dd871</x:v>
      </x:c>
      <x:c r="C344" s="31" t="n">
        <x:v>5</x:v>
      </x:c>
      <x:c r="D344" s="31" t="n">
        <x:v>37057</x:v>
      </x:c>
      <x:c r="E344" s="31" t="str">
        <x:v>Manhattan</x:v>
      </x:c>
      <x:c r="F344" s="31" t="str">
        <x:v>Upper East Side-Lenox Hill-Roosevelt Island</x:v>
      </x:c>
      <x:c r="G344" s="31" t="n">
        <x:v>165554.27234551482</x:v>
      </x:c>
      <x:c r="H344" s="31" t="n">
        <x:v>24053</x:v>
      </x:c>
      <x:c r="I344" s="31" t="n">
        <x:v>17.35972643745063</x:v>
      </x:c>
      <x:c r="J344" s="40" t="n">
        <x:v>0.6052883216230823</x:v>
      </x:c>
      <x:c r="K344" s="40" t="n">
        <x:v>0.3944622292437534</x:v>
      </x:c>
      <x:c r="L344" s="40" t="n">
        <x:v>0.010601588159481146</x:v>
      </x:c>
      <x:c r="M344" s="31" t="n">
        <x:v>172.28147812521257</x:v>
      </x:c>
      <x:c r="N344" s="31" t="n">
        <x:v>433</x:v>
      </x:c>
      <x:c r="O344" s="31" t="n">
        <x:v>11.684701945651295</x:v>
      </x:c>
      <x:c r="P344" s="31" t="n">
        <x:v>2</x:v>
      </x:c>
      <x:c r="Q344" s="40" t="n">
        <x:v>0</x:v>
      </x:c>
      <x:c r="R344" s="31" t="n">
        <x:v>0.15913571229474302</x:v>
      </x:c>
      <x:c r="S344" s="40"/>
      <x:c r="T344" s="40"/>
      <x:c r="U344" s="40" t="n">
        <x:v>1</x:v>
      </x:c>
      <x:c r="V344" s="40" t="n">
        <x:v>0.993389597971147</x:v>
      </x:c>
      <x:c r="W344" s="31" t="n">
        <x:v>1</x:v>
      </x:c>
      <x:c r="X344" s="31" t="str"/>
      <x:c r="Y344" s="31" t="n">
        <x:v>1</x:v>
      </x:c>
      <x:c r="Z344" s="31" t="n">
        <x:v>0</x:v>
      </x:c>
      <x:c r="AA344" s="31" t="n">
        <x:v>0</x:v>
      </x:c>
      <x:c r="AB344" s="31" t="str"/>
      <x:c r="AC344" s="31" t="str"/>
    </x:row>
    <x:row r="345">
      <x:c r="A345" s="31" t="str">
        <x:v>6277e5965930858d</x:v>
      </x:c>
      <x:c r="B345" s="31" t="str">
        <x:v>6277e5965930858dc6a14460f74cc4e883c0e9237e5a7a774aef7423ea283f50</x:v>
      </x:c>
      <x:c r="C345" s="31" t="n">
        <x:v>10</x:v>
      </x:c>
      <x:c r="D345" s="31" t="n">
        <x:v>32920</x:v>
      </x:c>
      <x:c r="E345" s="31" t="str">
        <x:v>Queens</x:v>
      </x:c>
      <x:c r="F345" s="31" t="str">
        <x:v>Ridgewood</x:v>
      </x:c>
      <x:c r="G345" s="31" t="n">
        <x:v>52909.143214032236</x:v>
      </x:c>
      <x:c r="H345" s="31" t="n">
        <x:v>12490</x:v>
      </x:c>
      <x:c r="I345" s="31" t="n">
        <x:v>2.8658609832889317</x:v>
      </x:c>
      <x:c r="J345" s="40" t="n">
        <x:v>0.005284227381905524</x:v>
      </x:c>
      <x:c r="K345" s="40" t="n">
        <x:v>0.6123298638911129</x:v>
      </x:c>
      <x:c r="L345" s="40" t="n">
        <x:v>0.010168134507606084</x:v>
      </x:c>
      <x:c r="M345" s="31" t="n">
        <x:v>34.76252892280983</x:v>
      </x:c>
      <x:c r="N345" s="31" t="n">
        <x:v>19</x:v>
      </x:c>
      <x:c r="O345" s="31" t="n">
        <x:v>0.5771567436208991</x:v>
      </x:c>
      <x:c r="P345" s="31" t="n">
        <x:v>1</x:v>
      </x:c>
      <x:c r="Q345" s="40" t="n">
        <x:v>0</x:v>
      </x:c>
      <x:c r="R345" s="31" t="n">
        <x:v>0.13966390494837608</x:v>
      </x:c>
      <x:c r="S345" s="40"/>
      <x:c r="T345" s="40"/>
      <x:c r="U345" s="40" t="n">
        <x:v>1</x:v>
      </x:c>
      <x:c r="V345" s="40" t="n">
        <x:v>0.9910328262610089</x:v>
      </x:c>
      <x:c r="W345" s="31" t="n">
        <x:v>0</x:v>
      </x:c>
      <x:c r="X345" s="31" t="str"/>
      <x:c r="Y345" s="31" t="n">
        <x:v>0</x:v>
      </x:c>
      <x:c r="Z345" s="31" t="n">
        <x:v>0</x:v>
      </x:c>
      <x:c r="AA345" s="31" t="n">
        <x:v>0</x:v>
      </x:c>
      <x:c r="AB345" s="31" t="str"/>
      <x:c r="AC345" s="31" t="str"/>
    </x:row>
    <x:row r="346">
      <x:c r="A346" s="31" t="str">
        <x:v>640d875a57d892ef</x:v>
      </x:c>
      <x:c r="B346" s="31" t="str">
        <x:v>640d875a57d892ef28a77ae18b3753b5182a529fcce6104794da15144bb1f7e5</x:v>
      </x:c>
      <x:c r="C346" s="31" t="n">
        <x:v>4</x:v>
      </x:c>
      <x:c r="D346" s="31" t="n">
        <x:v>35633</x:v>
      </x:c>
      <x:c r="E346" s="31" t="str">
        <x:v>Manhattan</x:v>
      </x:c>
      <x:c r="F346" s="31" t="str">
        <x:v>Washington Heights (South)</x:v>
      </x:c>
      <x:c r="G346" s="31" t="n">
        <x:v>136496.02344381151</x:v>
      </x:c>
      <x:c r="H346" s="31" t="n">
        <x:v>13653</x:v>
      </x:c>
      <x:c r="I346" s="31" t="n">
        <x:v>7.505833577927795</x:v>
      </x:c>
      <x:c r="J346" s="40" t="n">
        <x:v>0.08247271661905808</x:v>
      </x:c>
      <x:c r="K346" s="40" t="n">
        <x:v>0.9131326448399619</x:v>
      </x:c>
      <x:c r="L346" s="40" t="n">
        <x:v>0.007544129495349008</x:v>
      </x:c>
      <x:c r="M346" s="31" t="n">
        <x:v>83.68449221288886</x:v>
      </x:c>
      <x:c r="N346" s="31" t="n">
        <x:v>159</x:v>
      </x:c>
      <x:c r="O346" s="31" t="n">
        <x:v>4.462155866752729</x:v>
      </x:c>
      <x:c r="P346" s="31" t="n">
        <x:v>2.3026441075221564</x:v>
      </x:c>
      <x:c r="Q346" s="40" t="n">
        <x:v>0</x:v>
      </x:c>
      <x:c r="R346" s="31" t="n">
        <x:v>0.11282838162037895</x:v>
      </x:c>
      <x:c r="S346" s="40"/>
      <x:c r="T346" s="40"/>
      <x:c r="U346" s="40" t="n">
        <x:v>1</x:v>
      </x:c>
      <x:c r="V346" s="40" t="n">
        <x:v>0.999707024097268</x:v>
      </x:c>
      <x:c r="W346" s="31" t="n">
        <x:v>0</x:v>
      </x:c>
      <x:c r="X346" s="31" t="str"/>
      <x:c r="Y346" s="31" t="n">
        <x:v>0</x:v>
      </x:c>
      <x:c r="Z346" s="31" t="n">
        <x:v>0</x:v>
      </x:c>
      <x:c r="AA346" s="31" t="n">
        <x:v>0</x:v>
      </x:c>
      <x:c r="AB346" s="31" t="str"/>
      <x:c r="AC346" s="31" t="str"/>
    </x:row>
    <x:row r="347">
      <x:c r="A347" s="31" t="str">
        <x:v>645a209239860c4a</x:v>
      </x:c>
      <x:c r="B347" s="31" t="str">
        <x:v>645a209239860c4ac7d9cc57acbb952b72719680a3ad96f90b45009fc463682a</x:v>
      </x:c>
      <x:c r="C347" s="31" t="n">
        <x:v>14</x:v>
      </x:c>
      <x:c r="D347" s="31" t="n">
        <x:v>33049</x:v>
      </x:c>
      <x:c r="E347" s="31" t="str">
        <x:v>Queens</x:v>
      </x:c>
      <x:c r="F347" s="31" t="str">
        <x:v>Baisley Park</x:v>
      </x:c>
      <x:c r="G347" s="31" t="n">
        <x:v>27018.08472843176</x:v>
      </x:c>
      <x:c r="H347" s="31" t="n">
        <x:v>9860</x:v>
      </x:c>
      <x:c r="I347" s="31" t="n">
        <x:v>2.7113579620420176</x:v>
      </x:c>
      <x:c r="J347" s="40" t="n">
        <x:v>0.06622718052738337</x:v>
      </x:c>
      <x:c r="K347" s="40" t="n">
        <x:v>0.02586206896551724</x:v>
      </x:c>
      <x:c r="L347" s="40" t="n">
        <x:v>0.022920892494929006</x:v>
      </x:c>
      <x:c r="M347" s="31" t="n">
        <x:v>28.59257891063015</x:v>
      </x:c>
      <x:c r="N347" s="31" t="n">
        <x:v>16</x:v>
      </x:c>
      <x:c r="O347" s="31" t="n">
        <x:v>0.48412962570728313</x:v>
      </x:c>
      <x:c r="P347" s="31" t="n">
        <x:v>4.716227180527383</x:v>
      </x:c>
      <x:c r="Q347" s="40" t="n">
        <x:v>1</x:v>
      </x:c>
      <x:c r="R347" s="31" t="n">
        <x:v>0.21231886438053552</x:v>
      </x:c>
      <x:c r="S347" s="40"/>
      <x:c r="T347" s="40"/>
      <x:c r="U347" s="40" t="n">
        <x:v>1</x:v>
      </x:c>
      <x:c r="V347" s="40" t="n">
        <x:v>0.9608519269776876</x:v>
      </x:c>
      <x:c r="W347" s="31" t="n">
        <x:v>0</x:v>
      </x:c>
      <x:c r="X347" s="31" t="str"/>
      <x:c r="Y347" s="31" t="n">
        <x:v>0</x:v>
      </x:c>
      <x:c r="Z347" s="31" t="n">
        <x:v>0</x:v>
      </x:c>
      <x:c r="AA347" s="31" t="n">
        <x:v>0</x:v>
      </x:c>
      <x:c r="AB347" s="31" t="str"/>
      <x:c r="AC347" s="31" t="str"/>
    </x:row>
    <x:row r="348">
      <x:c r="A348" s="31" t="str">
        <x:v>648af1b2eb8cd02f</x:v>
      </x:c>
      <x:c r="B348" s="31" t="str">
        <x:v>648af1b2eb8cd02fd799b2be51c2368987e7150ed43805f92282b09a78b1a0b9</x:v>
      </x:c>
      <x:c r="C348" s="31" t="n">
        <x:v>10</x:v>
      </x:c>
      <x:c r="D348" s="31" t="n">
        <x:v>34213</x:v>
      </x:c>
      <x:c r="E348" s="31" t="str">
        <x:v>Queens</x:v>
      </x:c>
      <x:c r="F348" s="31" t="str">
        <x:v>Astoria (Central)</x:v>
      </x:c>
      <x:c r="G348" s="31" t="n">
        <x:v>50040.31053840337</x:v>
      </x:c>
      <x:c r="H348" s="31" t="n">
        <x:v>16415</x:v>
      </x:c>
      <x:c r="I348" s="31" t="n">
        <x:v>3.6888317413666423</x:v>
      </x:c>
      <x:c r="J348" s="40" t="n">
        <x:v>0.028449588790740176</x:v>
      </x:c>
      <x:c r="K348" s="40" t="n">
        <x:v>0.6276576302162656</x:v>
      </x:c>
      <x:c r="L348" s="40" t="n">
        <x:v>0.011635699055741699</x:v>
      </x:c>
      <x:c r="M348" s="31" t="n">
        <x:v>40.78346428052935</x:v>
      </x:c>
      <x:c r="N348" s="31" t="n">
        <x:v>161</x:v>
      </x:c>
      <x:c r="O348" s="31" t="n">
        <x:v>4.705813579633473</x:v>
      </x:c>
      <x:c r="P348" s="31" t="n">
        <x:v>3</x:v>
      </x:c>
      <x:c r="Q348" s="40" t="n">
        <x:v>0</x:v>
      </x:c>
      <x:c r="R348" s="31" t="n">
        <x:v>0.1934298004629876</x:v>
      </x:c>
      <x:c r="S348" s="40"/>
      <x:c r="T348" s="40"/>
      <x:c r="U348" s="40" t="n">
        <x:v>1</x:v>
      </x:c>
      <x:c r="V348" s="40" t="n">
        <x:v>0.9828205909229364</x:v>
      </x:c>
      <x:c r="W348" s="31" t="n">
        <x:v>0</x:v>
      </x:c>
      <x:c r="X348" s="31" t="str"/>
      <x:c r="Y348" s="31" t="n">
        <x:v>0</x:v>
      </x:c>
      <x:c r="Z348" s="31" t="n">
        <x:v>0</x:v>
      </x:c>
      <x:c r="AA348" s="31" t="n">
        <x:v>0</x:v>
      </x:c>
      <x:c r="AB348" s="31" t="str"/>
      <x:c r="AC348" s="31" t="str"/>
    </x:row>
    <x:row r="349">
      <x:c r="A349" s="31" t="str">
        <x:v>64e7fa54845d03f3</x:v>
      </x:c>
      <x:c r="B349" s="31" t="str">
        <x:v>64e7fa54845d03f3a2698d8c3565a1d9e60f13923fa5f2128270a7f2424ee7f1</x:v>
      </x:c>
      <x:c r="C349" s="31" t="n">
        <x:v>9</x:v>
      </x:c>
      <x:c r="D349" s="31" t="n">
        <x:v>32826</x:v>
      </x:c>
      <x:c r="E349" s="31" t="str">
        <x:v>Queens</x:v>
      </x:c>
      <x:c r="F349" s="31" t="str">
        <x:v>Ozone Park (North)</x:v>
      </x:c>
      <x:c r="G349" s="31" t="n">
        <x:v>36516.225609751054</x:v>
      </x:c>
      <x:c r="H349" s="31" t="n">
        <x:v>9482</x:v>
      </x:c>
      <x:c r="I349" s="31" t="n">
        <x:v>2.2673037146475306</x:v>
      </x:c>
      <x:c r="J349" s="40" t="n">
        <x:v>0</x:v>
      </x:c>
      <x:c r="K349" s="40" t="n">
        <x:v>0.17823244041341488</x:v>
      </x:c>
      <x:c r="L349" s="40" t="n">
        <x:v>0.019510651761231807</x:v>
      </x:c>
      <x:c r="M349" s="31" t="n">
        <x:v>28.094213844035732</x:v>
      </x:c>
      <x:c r="N349" s="31" t="n">
        <x:v>6</x:v>
      </x:c>
      <x:c r="O349" s="31" t="n">
        <x:v>0.18278194114421495</x:v>
      </x:c>
      <x:c r="P349" s="31" t="n">
        <x:v>3.4647753638472896</x:v>
      </x:c>
      <x:c r="Q349" s="40" t="n">
        <x:v>0.4647753638472896</x:v>
      </x:c>
      <x:c r="R349" s="31" t="n">
        <x:v>0.13468195300462368</x:v>
      </x:c>
      <x:c r="S349" s="40"/>
      <x:c r="T349" s="40"/>
      <x:c r="U349" s="40" t="n">
        <x:v>1</x:v>
      </x:c>
      <x:c r="V349" s="40" t="n">
        <x:v>0.9974688884201646</x:v>
      </x:c>
      <x:c r="W349" s="31" t="n">
        <x:v>0</x:v>
      </x:c>
      <x:c r="X349" s="31" t="str"/>
      <x:c r="Y349" s="31" t="n">
        <x:v>0</x:v>
      </x:c>
      <x:c r="Z349" s="31" t="n">
        <x:v>0</x:v>
      </x:c>
      <x:c r="AA349" s="31" t="n">
        <x:v>0</x:v>
      </x:c>
      <x:c r="AB349" s="31" t="str"/>
      <x:c r="AC349" s="31" t="str"/>
    </x:row>
    <x:row r="350">
      <x:c r="A350" s="31" t="str">
        <x:v>6510d8465102ac6e</x:v>
      </x:c>
      <x:c r="B350" s="31" t="str">
        <x:v>6510d8465102ac6e08beb7884facf8f5bb4723e58204068c0290c58960f36a31</x:v>
      </x:c>
      <x:c r="C350" s="31" t="n">
        <x:v>6</x:v>
      </x:c>
      <x:c r="D350" s="31" t="n">
        <x:v>32925</x:v>
      </x:c>
      <x:c r="E350" s="31" t="str">
        <x:v>Queens</x:v>
      </x:c>
      <x:c r="F350" s="31" t="str">
        <x:v>Jackson Heights</x:v>
      </x:c>
      <x:c r="G350" s="31" t="n">
        <x:v>76356.52673565199</x:v>
      </x:c>
      <x:c r="H350" s="31" t="n">
        <x:v>13006</x:v>
      </x:c>
      <x:c r="I350" s="31" t="n">
        <x:v>5.334218053206213</x:v>
      </x:c>
      <x:c r="J350" s="40" t="n">
        <x:v>0.012225126864524066</x:v>
      </x:c>
      <x:c r="K350" s="40" t="n">
        <x:v>0.9031216361679225</x:v>
      </x:c>
      <x:c r="L350" s="40" t="n">
        <x:v>0.04874673227741043</x:v>
      </x:c>
      <x:c r="M350" s="31" t="n">
        <x:v>59.28811824275495</x:v>
      </x:c>
      <x:c r="N350" s="31" t="n">
        <x:v>257</x:v>
      </x:c>
      <x:c r="O350" s="31" t="n">
        <x:v>7.805618830675779</x:v>
      </x:c>
      <x:c r="P350" s="31" t="n">
        <x:v>3</x:v>
      </x:c>
      <x:c r="Q350" s="40" t="n">
        <x:v>0</x:v>
      </x:c>
      <x:c r="R350" s="31" t="n">
        <x:v>0.1153332761560464</x:v>
      </x:c>
      <x:c r="S350" s="40"/>
      <x:c r="T350" s="40"/>
      <x:c r="U350" s="40" t="n">
        <x:v>1</x:v>
      </x:c>
      <x:c r="V350" s="40" t="n">
        <x:v>0.9996924496386284</x:v>
      </x:c>
      <x:c r="W350" s="31" t="n">
        <x:v>0</x:v>
      </x:c>
      <x:c r="X350" s="31" t="str"/>
      <x:c r="Y350" s="31" t="n">
        <x:v>0</x:v>
      </x:c>
      <x:c r="Z350" s="31" t="n">
        <x:v>0</x:v>
      </x:c>
      <x:c r="AA350" s="31" t="n">
        <x:v>0</x:v>
      </x:c>
      <x:c r="AB350" s="31" t="str"/>
      <x:c r="AC350" s="31" t="str"/>
    </x:row>
    <x:row r="351">
      <x:c r="A351" s="31" t="str">
        <x:v>651b3facdad31d75</x:v>
      </x:c>
      <x:c r="B351" s="31" t="str">
        <x:v>651b3facdad31d75541431cf8bc58c03f689056bfde3d0cc0fe2332054aa91af</x:v>
      </x:c>
      <x:c r="C351" s="31" t="n">
        <x:v>5</x:v>
      </x:c>
      <x:c r="D351" s="31" t="n">
        <x:v>33602</x:v>
      </x:c>
      <x:c r="E351" s="31" t="str">
        <x:v>Bronx</x:v>
      </x:c>
      <x:c r="F351" s="31" t="str">
        <x:v>Parkchester</x:v>
      </x:c>
      <x:c r="G351" s="31" t="n">
        <x:v>101996.49575982746</x:v>
      </x:c>
      <x:c r="H351" s="31" t="n">
        <x:v>14182</x:v>
      </x:c>
      <x:c r="I351" s="31" t="n">
        <x:v>10.285490162822253</x:v>
      </x:c>
      <x:c r="J351" s="40" t="n">
        <x:v>0.280989987307855</x:v>
      </x:c>
      <x:c r="K351" s="40" t="n">
        <x:v>0.1055563390212946</x:v>
      </x:c>
      <x:c r="L351" s="40" t="n">
        <x:v>0.847553236496968</x:v>
      </x:c>
      <x:c r="M351" s="31" t="n">
        <x:v>131.86360454470432</x:v>
      </x:c>
      <x:c r="N351" s="31" t="n">
        <x:v>242</x:v>
      </x:c>
      <x:c r="O351" s="31" t="n">
        <x:v>7.201952264746146</x:v>
      </x:c>
      <x:c r="P351" s="31" t="n">
        <x:v>5</x:v>
      </x:c>
      <x:c r="Q351" s="40" t="n">
        <x:v>1</x:v>
      </x:c>
      <x:c r="R351" s="31" t="n">
        <x:v>0.18880181752588213</x:v>
      </x:c>
      <x:c r="S351" s="40"/>
      <x:c r="T351" s="40"/>
      <x:c r="U351" s="40" t="n">
        <x:v>1</x:v>
      </x:c>
      <x:c r="V351" s="40" t="n">
        <x:v>0.9955577492596249</x:v>
      </x:c>
      <x:c r="W351" s="31" t="n">
        <x:v>1</x:v>
      </x:c>
      <x:c r="X351" s="31" t="str"/>
      <x:c r="Y351" s="31" t="n">
        <x:v>0</x:v>
      </x:c>
      <x:c r="Z351" s="31" t="n">
        <x:v>0</x:v>
      </x:c>
      <x:c r="AA351" s="31" t="n">
        <x:v>1</x:v>
      </x:c>
      <x:c r="AB351" s="31" t="str"/>
      <x:c r="AC351" s="31" t="str"/>
    </x:row>
    <x:row r="352">
      <x:c r="A352" s="31" t="str">
        <x:v>6572f6ed7ced27e2</x:v>
      </x:c>
      <x:c r="B352" s="31" t="str">
        <x:v>6572f6ed7ced27e225d01ea831296ffc1f3126554d36b0b68aa2f7b6dab4f131</x:v>
      </x:c>
      <x:c r="C352" s="31" t="n">
        <x:v>9</x:v>
      </x:c>
      <x:c r="D352" s="31" t="n">
        <x:v>36116</x:v>
      </x:c>
      <x:c r="E352" s="31" t="str">
        <x:v>Staten Island</x:v>
      </x:c>
      <x:c r="F352" s="31" t="str">
        <x:v>Grasmere-Arrochar-South Beach-Dongan Hills</x:v>
      </x:c>
      <x:c r="G352" s="31" t="n">
        <x:v>11193.069735297377</x:v>
      </x:c>
      <x:c r="H352" s="31" t="n">
        <x:v>13228</x:v>
      </x:c>
      <x:c r="I352" s="31" t="n">
        <x:v>2.399683008019368</x:v>
      </x:c>
      <x:c r="J352" s="40" t="n">
        <x:v>0</x:v>
      </x:c>
      <x:c r="K352" s="40" t="n">
        <x:v>0.21099183550045358</x:v>
      </x:c>
      <x:c r="L352" s="40" t="n">
        <x:v>0.12821288176595103</x:v>
      </x:c>
      <x:c r="M352" s="31" t="n">
        <x:v>30.628687339561754</x:v>
      </x:c>
      <x:c r="N352" s="31" t="n">
        <x:v>72</x:v>
      </x:c>
      <x:c r="O352" s="31" t="n">
        <x:v>1.9935762542917266</x:v>
      </x:c>
      <x:c r="P352" s="31" t="n">
        <x:v>2.2093286967039614</x:v>
      </x:c>
      <x:c r="Q352" s="40" t="n">
        <x:v>0</x:v>
      </x:c>
      <x:c r="R352" s="31" t="n">
        <x:v>0.27956611916784607</x:v>
      </x:c>
      <x:c r="S352" s="40"/>
      <x:c r="T352" s="40"/>
      <x:c r="U352" s="40" t="n">
        <x:v>1</x:v>
      </x:c>
      <x:c r="V352" s="40" t="n">
        <x:v>0.9866948896280617</x:v>
      </x:c>
      <x:c r="W352" s="31" t="n">
        <x:v>0</x:v>
      </x:c>
      <x:c r="X352" s="31" t="str"/>
      <x:c r="Y352" s="31" t="n">
        <x:v>0</x:v>
      </x:c>
      <x:c r="Z352" s="31" t="n">
        <x:v>0</x:v>
      </x:c>
      <x:c r="AA352" s="31" t="n">
        <x:v>0</x:v>
      </x:c>
      <x:c r="AB352" s="31" t="str"/>
      <x:c r="AC352" s="31" t="str"/>
    </x:row>
    <x:row r="353">
      <x:c r="A353" s="31" t="str">
        <x:v>66e452e3cc15ed65</x:v>
      </x:c>
      <x:c r="B353" s="31" t="str">
        <x:v>66e452e3cc15ed65adba9b16b743d0fec3e293d7e3a1a86de38b8328fa9ab784</x:v>
      </x:c>
      <x:c r="C353" s="31" t="n">
        <x:v>6</x:v>
      </x:c>
      <x:c r="D353" s="31" t="n">
        <x:v>35184</x:v>
      </x:c>
      <x:c r="E353" s="31" t="str">
        <x:v>Manhattan</x:v>
      </x:c>
      <x:c r="F353" s="31" t="str">
        <x:v>Upper East Side-Yorkville</x:v>
      </x:c>
      <x:c r="G353" s="31" t="n">
        <x:v>188479.16111925832</x:v>
      </x:c>
      <x:c r="H353" s="31" t="n">
        <x:v>20890</x:v>
      </x:c>
      <x:c r="I353" s="31" t="n">
        <x:v>17.88974893321425</x:v>
      </x:c>
      <x:c r="J353" s="40" t="n">
        <x:v>0.5709909047391096</x:v>
      </x:c>
      <x:c r="K353" s="40" t="n">
        <x:v>0.39348970799425564</x:v>
      </x:c>
      <x:c r="L353" s="40" t="n">
        <x:v>0.06936333173767353</x:v>
      </x:c>
      <x:c r="M353" s="31" t="n">
        <x:v>188.58738167439958</x:v>
      </x:c>
      <x:c r="N353" s="31" t="n">
        <x:v>413</x:v>
      </x:c>
      <x:c r="O353" s="31" t="n">
        <x:v>11.738290131878127</x:v>
      </x:c>
      <x:c r="P353" s="31" t="n">
        <x:v>1</x:v>
      </x:c>
      <x:c r="Q353" s="40" t="n">
        <x:v>0</x:v>
      </x:c>
      <x:c r="R353" s="31" t="n">
        <x:v>0.13848269012379438</x:v>
      </x:c>
      <x:c r="S353" s="40"/>
      <x:c r="T353" s="40"/>
      <x:c r="U353" s="40" t="n">
        <x:v>1</x:v>
      </x:c>
      <x:c r="V353" s="40" t="n">
        <x:v>0.9746768788894208</x:v>
      </x:c>
      <x:c r="W353" s="31" t="n">
        <x:v>1</x:v>
      </x:c>
      <x:c r="X353" s="31" t="str"/>
      <x:c r="Y353" s="31" t="n">
        <x:v>1</x:v>
      </x:c>
      <x:c r="Z353" s="31" t="n">
        <x:v>0</x:v>
      </x:c>
      <x:c r="AA353" s="31" t="n">
        <x:v>0</x:v>
      </x:c>
      <x:c r="AB353" s="31" t="str"/>
      <x:c r="AC353" s="31" t="str"/>
    </x:row>
    <x:row r="354">
      <x:c r="A354" s="31" t="str">
        <x:v>6730d81b6288082f</x:v>
      </x:c>
      <x:c r="B354" s="31" t="str">
        <x:v>6730d81b6288082f69872db2f03f9d2d62de3a55bb1c0fcd0336e1022b497597</x:v>
      </x:c>
      <x:c r="C354" s="31" t="n">
        <x:v>9</x:v>
      </x:c>
      <x:c r="D354" s="31" t="n">
        <x:v>33507</x:v>
      </x:c>
      <x:c r="E354" s="31" t="str">
        <x:v>Brooklyn</x:v>
      </x:c>
      <x:c r="F354" s="31" t="str">
        <x:v>Midwood</x:v>
      </x:c>
      <x:c r="G354" s="31" t="n">
        <x:v>51344.08722808779</x:v>
      </x:c>
      <x:c r="H354" s="31" t="n">
        <x:v>13482</x:v>
      </x:c>
      <x:c r="I354" s="31" t="n">
        <x:v>4.9267062314540055</x:v>
      </x:c>
      <x:c r="J354" s="40" t="n">
        <x:v>0.017801513128615932</x:v>
      </x:c>
      <x:c r="K354" s="40" t="n">
        <x:v>0.7369084705533304</x:v>
      </x:c>
      <x:c r="L354" s="40" t="n">
        <x:v>0.002596053997923157</x:v>
      </x:c>
      <x:c r="M354" s="31" t="n">
        <x:v>54.630180037279004</x:v>
      </x:c>
      <x:c r="N354" s="31" t="n">
        <x:v>257</x:v>
      </x:c>
      <x:c r="O354" s="31" t="n">
        <x:v>7.670039096308234</x:v>
      </x:c>
      <x:c r="P354" s="31" t="n">
        <x:v>3.585892300845572</x:v>
      </x:c>
      <x:c r="Q354" s="40" t="n">
        <x:v>0.47114671413736836</x:v>
      </x:c>
      <x:c r="R354" s="31" t="n">
        <x:v>0.17306380026689452</x:v>
      </x:c>
      <x:c r="S354" s="40"/>
      <x:c r="T354" s="40"/>
      <x:c r="U354" s="40" t="n">
        <x:v>1</x:v>
      </x:c>
      <x:c r="V354" s="40" t="n">
        <x:v>0.9884290164663997</x:v>
      </x:c>
      <x:c r="W354" s="31" t="n">
        <x:v>0</x:v>
      </x:c>
      <x:c r="X354" s="31" t="str"/>
      <x:c r="Y354" s="31" t="n">
        <x:v>0</x:v>
      </x:c>
      <x:c r="Z354" s="31" t="n">
        <x:v>0</x:v>
      </x:c>
      <x:c r="AA354" s="31" t="n">
        <x:v>0</x:v>
      </x:c>
      <x:c r="AB354" s="31" t="str"/>
      <x:c r="AC354" s="31" t="str"/>
    </x:row>
    <x:row r="355">
      <x:c r="A355" s="31" t="str">
        <x:v>67313ff3c24e9084</x:v>
      </x:c>
      <x:c r="B355" s="31" t="str">
        <x:v>67313ff3c24e908493718273a6d3fb9957268e727db57180102bdd32e3eeee88</x:v>
      </x:c>
      <x:c r="C355" s="31" t="n">
        <x:v>11</x:v>
      </x:c>
      <x:c r="D355" s="31" t="n">
        <x:v>33680</x:v>
      </x:c>
      <x:c r="E355" s="31" t="str">
        <x:v>Queens</x:v>
      </x:c>
      <x:c r="F355" s="31" t="str">
        <x:v>Kew Gardens</x:v>
      </x:c>
      <x:c r="G355" s="31" t="n">
        <x:v>34490.98836618289</x:v>
      </x:c>
      <x:c r="H355" s="31" t="n">
        <x:v>12717</x:v>
      </x:c>
      <x:c r="I355" s="31" t="n">
        <x:v>4.432055666003976</x:v>
      </x:c>
      <x:c r="J355" s="40" t="n">
        <x:v>0.038295195407721944</x:v>
      </x:c>
      <x:c r="K355" s="40" t="n">
        <x:v>0.5916489738145789</x:v>
      </x:c>
      <x:c r="L355" s="40" t="n">
        <x:v>0.017456947393253125</x:v>
      </x:c>
      <x:c r="M355" s="31" t="n">
        <x:v>49.165990520432594</x:v>
      </x:c>
      <x:c r="N355" s="31" t="n">
        <x:v>154</x:v>
      </x:c>
      <x:c r="O355" s="31" t="n">
        <x:v>4.572446555819477</x:v>
      </x:c>
      <x:c r="P355" s="31" t="n">
        <x:v>2.464260438782732</x:v>
      </x:c>
      <x:c r="Q355" s="40" t="n">
        <x:v>0</x:v>
      </x:c>
      <x:c r="R355" s="31" t="n">
        <x:v>0.24715904922925877</x:v>
      </x:c>
      <x:c r="S355" s="40"/>
      <x:c r="T355" s="40"/>
      <x:c r="U355" s="40" t="n">
        <x:v>1</x:v>
      </x:c>
      <x:c r="V355" s="40" t="n">
        <x:v>0.9834080364865927</x:v>
      </x:c>
      <x:c r="W355" s="31" t="n">
        <x:v>0</x:v>
      </x:c>
      <x:c r="X355" s="31" t="str"/>
      <x:c r="Y355" s="31" t="n">
        <x:v>0</x:v>
      </x:c>
      <x:c r="Z355" s="31" t="n">
        <x:v>0</x:v>
      </x:c>
      <x:c r="AA355" s="31" t="n">
        <x:v>0</x:v>
      </x:c>
      <x:c r="AB355" s="31" t="str"/>
      <x:c r="AC355" s="31" t="str"/>
    </x:row>
    <x:row r="356">
      <x:c r="A356" s="31" t="str">
        <x:v>6768055b56fd231a</x:v>
      </x:c>
      <x:c r="B356" s="31" t="str">
        <x:v>6768055b56fd231aeff2407d0a19aceeb8d49ce626e521ce56e471190fce1e17</x:v>
      </x:c>
      <x:c r="C356" s="31" t="n">
        <x:v>17</x:v>
      </x:c>
      <x:c r="D356" s="31" t="n">
        <x:v>32919</x:v>
      </x:c>
      <x:c r="E356" s="31" t="str">
        <x:v>Brooklyn</x:v>
      </x:c>
      <x:c r="F356" s="31" t="str">
        <x:v>Flatlands</x:v>
      </x:c>
      <x:c r="G356" s="31" t="n">
        <x:v>26177.73123647568</x:v>
      </x:c>
      <x:c r="H356" s="31" t="n">
        <x:v>10743</x:v>
      </x:c>
      <x:c r="I356" s="31" t="n">
        <x:v>2.066853179406014</x:v>
      </x:c>
      <x:c r="J356" s="40" t="n">
        <x:v>0</x:v>
      </x:c>
      <x:c r="K356" s="40" t="n">
        <x:v>0.12193986782090664</x:v>
      </x:c>
      <x:c r="L356" s="40" t="n">
        <x:v>0.03807130224332123</x:v>
      </x:c>
      <x:c r="M356" s="31" t="n">
        <x:v>26.551906109641255</x:v>
      </x:c>
      <x:c r="N356" s="31" t="n">
        <x:v>15</x:v>
      </x:c>
      <x:c r="O356" s="31" t="n">
        <x:v>0.45566390230565934</x:v>
      </x:c>
      <x:c r="P356" s="31" t="n">
        <x:v>2</x:v>
      </x:c>
      <x:c r="Q356" s="40" t="n">
        <x:v>0</x:v>
      </x:c>
      <x:c r="R356" s="31" t="n">
        <x:v>0.24387334987290446</x:v>
      </x:c>
      <x:c r="S356" s="40"/>
      <x:c r="T356" s="40"/>
      <x:c r="U356" s="40" t="n">
        <x:v>1</x:v>
      </x:c>
      <x:c r="V356" s="40" t="n">
        <x:v>0.9989760774457787</x:v>
      </x:c>
      <x:c r="W356" s="31" t="n">
        <x:v>0</x:v>
      </x:c>
      <x:c r="X356" s="31" t="str"/>
      <x:c r="Y356" s="31" t="n">
        <x:v>0</x:v>
      </x:c>
      <x:c r="Z356" s="31" t="n">
        <x:v>0</x:v>
      </x:c>
      <x:c r="AA356" s="31" t="n">
        <x:v>0</x:v>
      </x:c>
      <x:c r="AB356" s="31" t="str"/>
      <x:c r="AC356" s="31" t="str"/>
    </x:row>
    <x:row r="357">
      <x:c r="A357" s="31" t="str">
        <x:v>67f6787308681c7a</x:v>
      </x:c>
      <x:c r="B357" s="31" t="str">
        <x:v>67f6787308681c7ae0faf44102cea7b289fe5fc270796a3cf693248beeb308ba</x:v>
      </x:c>
      <x:c r="C357" s="31" t="n">
        <x:v>7</x:v>
      </x:c>
      <x:c r="D357" s="31" t="n">
        <x:v>35393</x:v>
      </x:c>
      <x:c r="E357" s="31" t="str">
        <x:v>Brooklyn</x:v>
      </x:c>
      <x:c r="F357" s="31" t="str">
        <x:v>Flatbush (West)-Ditmas Park-Parkville</x:v>
      </x:c>
      <x:c r="G357" s="31" t="n">
        <x:v>68501.9031828712</x:v>
      </x:c>
      <x:c r="H357" s="31" t="n">
        <x:v>12089</x:v>
      </x:c>
      <x:c r="I357" s="31" t="n">
        <x:v>4.7118796552012725</x:v>
      </x:c>
      <x:c r="J357" s="40" t="n">
        <x:v>0.022086194060716352</x:v>
      </x:c>
      <x:c r="K357" s="40" t="n">
        <x:v>0.7305815203904376</x:v>
      </x:c>
      <x:c r="L357" s="40" t="n">
        <x:v>0.00430143105302341</x:v>
      </x:c>
      <x:c r="M357" s="31" t="n">
        <x:v>53.186030942512126</x:v>
      </x:c>
      <x:c r="N357" s="31" t="n">
        <x:v>168</x:v>
      </x:c>
      <x:c r="O357" s="31" t="n">
        <x:v>4.746701325120787</x:v>
      </x:c>
      <x:c r="P357" s="31" t="n">
        <x:v>3.461990239060303</x:v>
      </x:c>
      <x:c r="Q357" s="40" t="n">
        <x:v>0.46199023906030273</x:v>
      </x:c>
      <x:c r="R357" s="31" t="n">
        <x:v>0.14946275536755319</x:v>
      </x:c>
      <x:c r="S357" s="40"/>
      <x:c r="T357" s="40"/>
      <x:c r="U357" s="40" t="n">
        <x:v>1</x:v>
      </x:c>
      <x:c r="V357" s="40" t="n">
        <x:v>0.9891637025394987</x:v>
      </x:c>
      <x:c r="W357" s="31" t="n">
        <x:v>0</x:v>
      </x:c>
      <x:c r="X357" s="31" t="str"/>
      <x:c r="Y357" s="31" t="n">
        <x:v>0</x:v>
      </x:c>
      <x:c r="Z357" s="31" t="n">
        <x:v>0</x:v>
      </x:c>
      <x:c r="AA357" s="31" t="n">
        <x:v>0</x:v>
      </x:c>
      <x:c r="AB357" s="31" t="str"/>
      <x:c r="AC357" s="31" t="str"/>
    </x:row>
    <x:row r="358">
      <x:c r="A358" s="31" t="str">
        <x:v>683e57249c02f5f6</x:v>
      </x:c>
      <x:c r="B358" s="31" t="str">
        <x:v>683e57249c02f5f66f71ded82da36dbf7472e2f0283c8200c0711877b02c40f5</x:v>
      </x:c>
      <x:c r="C358" s="31" t="n">
        <x:v>9</x:v>
      </x:c>
      <x:c r="D358" s="31" t="n">
        <x:v>36433</x:v>
      </x:c>
      <x:c r="E358" s="31" t="str">
        <x:v>Bronx</x:v>
      </x:c>
      <x:c r="F358" s="31" t="str">
        <x:v>West Farms</x:v>
      </x:c>
      <x:c r="G358" s="31" t="n">
        <x:v>55005.701203127726</x:v>
      </x:c>
      <x:c r="H358" s="31" t="n">
        <x:v>16677</x:v>
      </x:c>
      <x:c r="I358" s="31" t="n">
        <x:v>7.407379838366652</x:v>
      </x:c>
      <x:c r="J358" s="40" t="n">
        <x:v>0.2226419619835702</x:v>
      </x:c>
      <x:c r="K358" s="40" t="n">
        <x:v>0.7079810517479163</x:v>
      </x:c>
      <x:c r="L358" s="40" t="n">
        <x:v>0.02500449721172873</x:v>
      </x:c>
      <x:c r="M358" s="31" t="n">
        <x:v>77.7257857652424</x:v>
      </x:c>
      <x:c r="N358" s="31" t="n">
        <x:v>252</x:v>
      </x:c>
      <x:c r="O358" s="31" t="n">
        <x:v>6.9168061921884005</x:v>
      </x:c>
      <x:c r="P358" s="31" t="n">
        <x:v>5</x:v>
      </x:c>
      <x:c r="Q358" s="40" t="n">
        <x:v>1</x:v>
      </x:c>
      <x:c r="R358" s="31" t="n">
        <x:v>0.07812179040596981</x:v>
      </x:c>
      <x:c r="S358" s="40"/>
      <x:c r="T358" s="40"/>
      <x:c r="U358" s="40" t="n">
        <x:v>1</x:v>
      </x:c>
      <x:c r="V358" s="40" t="n">
        <x:v>0.9708580679978414</x:v>
      </x:c>
      <x:c r="W358" s="31" t="n">
        <x:v>1</x:v>
      </x:c>
      <x:c r="X358" s="31" t="str"/>
      <x:c r="Y358" s="31" t="n">
        <x:v>0</x:v>
      </x:c>
      <x:c r="Z358" s="31" t="n">
        <x:v>1</x:v>
      </x:c>
      <x:c r="AA358" s="31" t="n">
        <x:v>0</x:v>
      </x:c>
      <x:c r="AB358" s="31" t="str"/>
      <x:c r="AC358" s="31" t="str"/>
    </x:row>
    <x:row r="359">
      <x:c r="A359" s="31" t="str">
        <x:v>699c94d4d68b35e7</x:v>
      </x:c>
      <x:c r="B359" s="31" t="str">
        <x:v>699c94d4d68b35e79124db450e2bc2feb7db490624add3ca6c4b331648bbbc18</x:v>
      </x:c>
      <x:c r="C359" s="31" t="n">
        <x:v>8</x:v>
      </x:c>
      <x:c r="D359" s="31" t="n">
        <x:v>33286</x:v>
      </x:c>
      <x:c r="E359" s="31" t="str">
        <x:v>Brooklyn</x:v>
      </x:c>
      <x:c r="F359" s="31" t="str">
        <x:v>Brighton Beach</x:v>
      </x:c>
      <x:c r="G359" s="31" t="n">
        <x:v>64172.16665557782</x:v>
      </x:c>
      <x:c r="H359" s="31" t="n">
        <x:v>16343</x:v>
      </x:c>
      <x:c r="I359" s="31" t="n">
        <x:v>14.160929988906693</x:v>
      </x:c>
      <x:c r="J359" s="40" t="n">
        <x:v>0.5342348406045402</x:v>
      </x:c>
      <x:c r="K359" s="40" t="n">
        <x:v>0.3462644557302821</x:v>
      </x:c>
      <x:c r="L359" s="40" t="n">
        <x:v>0.20387933671908462</x:v>
      </x:c>
      <x:c r="M359" s="31" t="n">
        <x:v>128.15438805311678</x:v>
      </x:c>
      <x:c r="N359" s="31" t="n">
        <x:v>278</x:v>
      </x:c>
      <x:c r="O359" s="31" t="n">
        <x:v>8.351859640689778</x:v>
      </x:c>
      <x:c r="P359" s="31" t="n">
        <x:v>3.846968120908034</x:v>
      </x:c>
      <x:c r="Q359" s="40" t="n">
        <x:v>0.423484060454017</x:v>
      </x:c>
      <x:c r="R359" s="31" t="n">
        <x:v>0.11683562704100948</x:v>
      </x:c>
      <x:c r="S359" s="40"/>
      <x:c r="T359" s="40"/>
      <x:c r="U359" s="40" t="n">
        <x:v>1</x:v>
      </x:c>
      <x:c r="V359" s="40" t="n">
        <x:v>0.966285259744233</x:v>
      </x:c>
      <x:c r="W359" s="31" t="n">
        <x:v>0</x:v>
      </x:c>
      <x:c r="X359" s="31" t="str"/>
      <x:c r="Y359" s="31" t="n">
        <x:v>0</x:v>
      </x:c>
      <x:c r="Z359" s="31" t="n">
        <x:v>0</x:v>
      </x:c>
      <x:c r="AA359" s="31" t="n">
        <x:v>0</x:v>
      </x:c>
      <x:c r="AB359" s="31" t="str"/>
      <x:c r="AC359" s="31" t="str"/>
    </x:row>
    <x:row r="360">
      <x:c r="A360" s="31" t="str">
        <x:v>6a49c3d0d3fce620</x:v>
      </x:c>
      <x:c r="B360" s="31" t="str">
        <x:v>6a49c3d0d3fce620d5fb8004f9232a2eb0dad28d63a4ce84bde6bb14be93637f</x:v>
      </x:c>
      <x:c r="C360" s="31" t="n">
        <x:v>6</x:v>
      </x:c>
      <x:c r="D360" s="31" t="n">
        <x:v>35242</x:v>
      </x:c>
      <x:c r="E360" s="31" t="str">
        <x:v>Bronx</x:v>
      </x:c>
      <x:c r="F360" s="31" t="str">
        <x:v>University Heights (North)-Fordham</x:v>
      </x:c>
      <x:c r="G360" s="31" t="n">
        <x:v>101115.78320730873</x:v>
      </x:c>
      <x:c r="H360" s="31" t="n">
        <x:v>11874</x:v>
      </x:c>
      <x:c r="I360" s="31" t="n">
        <x:v>5.4859754043126685</x:v>
      </x:c>
      <x:c r="J360" s="40" t="n">
        <x:v>0.04404581438436921</x:v>
      </x:c>
      <x:c r="K360" s="40" t="n">
        <x:v>0.9176351692774128</x:v>
      </x:c>
      <x:c r="L360" s="40" t="n">
        <x:v>0.00025265285497726126</x:v>
      </x:c>
      <x:c r="M360" s="31" t="n">
        <x:v>61.98698706598542</x:v>
      </x:c>
      <x:c r="N360" s="31" t="n">
        <x:v>137</x:v>
      </x:c>
      <x:c r="O360" s="31" t="n">
        <x:v>3.8874070711083366</x:v>
      </x:c>
      <x:c r="P360" s="31" t="n">
        <x:v>4.4896412329459325</x:v>
      </x:c>
      <x:c r="Q360" s="40" t="n">
        <x:v>1</x:v>
      </x:c>
      <x:c r="R360" s="31" t="n">
        <x:v>0.1032831890193198</x:v>
      </x:c>
      <x:c r="S360" s="40"/>
      <x:c r="T360" s="40"/>
      <x:c r="U360" s="40" t="n">
        <x:v>1</x:v>
      </x:c>
      <x:c r="V360" s="40" t="n">
        <x:v>0.993515243388917</x:v>
      </x:c>
      <x:c r="W360" s="31" t="n">
        <x:v>1</x:v>
      </x:c>
      <x:c r="X360" s="31" t="str"/>
      <x:c r="Y360" s="31" t="n">
        <x:v>0</x:v>
      </x:c>
      <x:c r="Z360" s="31" t="n">
        <x:v>1</x:v>
      </x:c>
      <x:c r="AA360" s="31" t="n">
        <x:v>0</x:v>
      </x:c>
      <x:c r="AB360" s="31" t="str"/>
      <x:c r="AC360" s="31" t="str"/>
    </x:row>
    <x:row r="361">
      <x:c r="A361" s="31" t="str">
        <x:v>6ae48c66f9b32921</x:v>
      </x:c>
      <x:c r="B361" s="31" t="str">
        <x:v>6ae48c66f9b3292102c5bc948555f74ded18dc29bf9fc4ae21fc2fdd81529549</x:v>
      </x:c>
      <x:c r="C361" s="31" t="n">
        <x:v>12</x:v>
      </x:c>
      <x:c r="D361" s="31" t="n">
        <x:v>33357</x:v>
      </x:c>
      <x:c r="E361" s="31" t="str">
        <x:v>Queens</x:v>
      </x:c>
      <x:c r="F361" s="31" t="str">
        <x:v>Maspeth</x:v>
      </x:c>
      <x:c r="G361" s="31" t="n">
        <x:v>31146.092000627123</x:v>
      </x:c>
      <x:c r="H361" s="31" t="n">
        <x:v>11585</x:v>
      </x:c>
      <x:c r="I361" s="31" t="n">
        <x:v>2.356120034542314</x:v>
      </x:c>
      <x:c r="J361" s="40" t="n">
        <x:v>0</x:v>
      </x:c>
      <x:c r="K361" s="40" t="n">
        <x:v>0.25688390159689256</x:v>
      </x:c>
      <x:c r="L361" s="40" t="n">
        <x:v>0.038757013379369876</x:v>
      </x:c>
      <x:c r="M361" s="31" t="n">
        <x:v>28.69460888752435</x:v>
      </x:c>
      <x:c r="N361" s="31" t="n">
        <x:v>24</x:v>
      </x:c>
      <x:c r="O361" s="31" t="n">
        <x:v>0.7194891626944869</x:v>
      </x:c>
      <x:c r="P361" s="31" t="n">
        <x:v>2.9036685369011654</x:v>
      </x:c>
      <x:c r="Q361" s="40" t="n">
        <x:v>0</x:v>
      </x:c>
      <x:c r="R361" s="31" t="n">
        <x:v>0.27325038332423457</x:v>
      </x:c>
      <x:c r="S361" s="40"/>
      <x:c r="T361" s="40"/>
      <x:c r="U361" s="40" t="n">
        <x:v>1</x:v>
      </x:c>
      <x:c r="V361" s="40" t="n">
        <x:v>0.9926629261976694</x:v>
      </x:c>
      <x:c r="W361" s="31" t="n">
        <x:v>0</x:v>
      </x:c>
      <x:c r="X361" s="31" t="str"/>
      <x:c r="Y361" s="31" t="n">
        <x:v>0</x:v>
      </x:c>
      <x:c r="Z361" s="31" t="n">
        <x:v>0</x:v>
      </x:c>
      <x:c r="AA361" s="31" t="n">
        <x:v>0</x:v>
      </x:c>
      <x:c r="AB361" s="31" t="str"/>
      <x:c r="AC361" s="31" t="str"/>
    </x:row>
    <x:row r="362">
      <x:c r="A362" s="31" t="str">
        <x:v>6b2f1d128620bdad</x:v>
      </x:c>
      <x:c r="B362" s="31" t="str">
        <x:v>6b2f1d128620bdad283b81a39e031c68aaba08e8f3fd934eda07f7c8c67debcc</x:v>
      </x:c>
      <x:c r="C362" s="31" t="n">
        <x:v>10</x:v>
      </x:c>
      <x:c r="D362" s="31" t="n">
        <x:v>34980</x:v>
      </x:c>
      <x:c r="E362" s="31" t="str">
        <x:v>Bronx</x:v>
      </x:c>
      <x:c r="F362" s="31" t="str">
        <x:v>Wakefield-Woodlawn</x:v>
      </x:c>
      <x:c r="G362" s="31" t="n">
        <x:v>40495.87408983185</x:v>
      </x:c>
      <x:c r="H362" s="31" t="n">
        <x:v>11830</x:v>
      </x:c>
      <x:c r="I362" s="31" t="n">
        <x:v>4.756688383111939</x:v>
      </x:c>
      <x:c r="J362" s="40" t="n">
        <x:v>0.19991546914623837</x:v>
      </x:c>
      <x:c r="K362" s="40" t="n">
        <x:v>0.24530853761622992</x:v>
      </x:c>
      <x:c r="L362" s="40" t="n">
        <x:v>0.19847844463229078</x:v>
      </x:c>
      <x:c r="M362" s="31" t="n">
        <x:v>50.83085334900263</x:v>
      </x:c>
      <x:c r="N362" s="31" t="n">
        <x:v>40</x:v>
      </x:c>
      <x:c r="O362" s="31" t="n">
        <x:v>1.1435105774728416</x:v>
      </x:c>
      <x:c r="P362" s="31" t="n">
        <x:v>5</x:v>
      </x:c>
      <x:c r="Q362" s="40" t="n">
        <x:v>1</x:v>
      </x:c>
      <x:c r="R362" s="31" t="n">
        <x:v>0.1647137790766339</x:v>
      </x:c>
      <x:c r="S362" s="40"/>
      <x:c r="T362" s="40"/>
      <x:c r="U362" s="40" t="n">
        <x:v>1</x:v>
      </x:c>
      <x:c r="V362" s="40" t="n">
        <x:v>0.9967032967032967</x:v>
      </x:c>
      <x:c r="W362" s="31" t="n">
        <x:v>0</x:v>
      </x:c>
      <x:c r="X362" s="31" t="str"/>
      <x:c r="Y362" s="31" t="n">
        <x:v>0</x:v>
      </x:c>
      <x:c r="Z362" s="31" t="n">
        <x:v>0</x:v>
      </x:c>
      <x:c r="AA362" s="31" t="n">
        <x:v>0</x:v>
      </x:c>
      <x:c r="AB362" s="31" t="str"/>
      <x:c r="AC362" s="31" t="str"/>
    </x:row>
    <x:row r="363">
      <x:c r="A363" s="31" t="str">
        <x:v>6b3121f6ebf8bdfb</x:v>
      </x:c>
      <x:c r="B363" s="31" t="str">
        <x:v>6b3121f6ebf8bdfbf41610099d9fe9ca3bbfc4deb6a01f76adf02cf11f4e4d53</x:v>
      </x:c>
      <x:c r="C363" s="31" t="n">
        <x:v>12</x:v>
      </x:c>
      <x:c r="D363" s="31" t="n">
        <x:v>36435</x:v>
      </x:c>
      <x:c r="E363" s="31" t="str">
        <x:v>Brooklyn</x:v>
      </x:c>
      <x:c r="F363" s="31" t="str">
        <x:v>Bensonhurst</x:v>
      </x:c>
      <x:c r="G363" s="31" t="n">
        <x:v>49972.533105679606</x:v>
      </x:c>
      <x:c r="H363" s="31" t="n">
        <x:v>12268</x:v>
      </x:c>
      <x:c r="I363" s="31" t="n">
        <x:v>2.3987229702162383</x:v>
      </x:c>
      <x:c r="J363" s="40" t="n">
        <x:v>0</x:v>
      </x:c>
      <x:c r="K363" s="40" t="n">
        <x:v>0.2689109879360939</x:v>
      </x:c>
      <x:c r="L363" s="40" t="n">
        <x:v>0.02233452885555918</x:v>
      </x:c>
      <x:c r="M363" s="31" t="n">
        <x:v>30.176521109785078</x:v>
      </x:c>
      <x:c r="N363" s="31" t="n">
        <x:v>18</x:v>
      </x:c>
      <x:c r="O363" s="31" t="n">
        <x:v>0.4940304652120214</x:v>
      </x:c>
      <x:c r="P363" s="31" t="n">
        <x:v>3.4484023475709162</x:v>
      </x:c>
      <x:c r="Q363" s="40" t="n">
        <x:v>0.4484023475709162</x:v>
      </x:c>
      <x:c r="R363" s="31" t="n">
        <x:v>0.1599722991278209</x:v>
      </x:c>
      <x:c r="S363" s="40"/>
      <x:c r="T363" s="40"/>
      <x:c r="U363" s="40" t="n">
        <x:v>1</x:v>
      </x:c>
      <x:c r="V363" s="40" t="n">
        <x:v>0.9974731007499185</x:v>
      </x:c>
      <x:c r="W363" s="31" t="n">
        <x:v>0</x:v>
      </x:c>
      <x:c r="X363" s="31" t="str"/>
      <x:c r="Y363" s="31" t="n">
        <x:v>0</x:v>
      </x:c>
      <x:c r="Z363" s="31" t="n">
        <x:v>0</x:v>
      </x:c>
      <x:c r="AA363" s="31" t="n">
        <x:v>0</x:v>
      </x:c>
      <x:c r="AB363" s="31" t="str"/>
      <x:c r="AC363" s="31" t="str"/>
    </x:row>
    <x:row r="364">
      <x:c r="A364" s="31" t="str">
        <x:v>6b82d58ee86c1bd5</x:v>
      </x:c>
      <x:c r="B364" s="31" t="str">
        <x:v>6b82d58ee86c1bd589e9d29e6caf5f987ea9b1f902ed72bf363c70c20dc5c72d</x:v>
      </x:c>
      <x:c r="C364" s="31" t="n">
        <x:v>9</x:v>
      </x:c>
      <x:c r="D364" s="31" t="n">
        <x:v>36822</x:v>
      </x:c>
      <x:c r="E364" s="31" t="str">
        <x:v>Staten Island</x:v>
      </x:c>
      <x:c r="F364" s="31" t="str">
        <x:v>Westerleigh-Castleton Corners</x:v>
      </x:c>
      <x:c r="G364" s="31" t="n">
        <x:v>15618.796796594554</x:v>
      </x:c>
      <x:c r="H364" s="31" t="n">
        <x:v>12955</x:v>
      </x:c>
      <x:c r="I364" s="31" t="n">
        <x:v>2.090252603761853</x:v>
      </x:c>
      <x:c r="J364" s="40" t="n">
        <x:v>0</x:v>
      </x:c>
      <x:c r="K364" s="40" t="n">
        <x:v>0.09378618294094944</x:v>
      </x:c>
      <x:c r="L364" s="40" t="n">
        <x:v>0.07001157854110382</x:v>
      </x:c>
      <x:c r="M364" s="31" t="n">
        <x:v>27.56331514718267</x:v>
      </x:c>
      <x:c r="N364" s="31" t="n">
        <x:v>36</x:v>
      </x:c>
      <x:c r="O364" s="31" t="n">
        <x:v>0.9776763891152029</x:v>
      </x:c>
      <x:c r="P364" s="31" t="n">
        <x:v>1.2800463141644154</x:v>
      </x:c>
      <x:c r="Q364" s="40" t="n">
        <x:v>0.06530297182554998</x:v>
      </x:c>
      <x:c r="R364" s="31" t="n">
        <x:v>0.31939907168317755</x:v>
      </x:c>
      <x:c r="S364" s="40"/>
      <x:c r="T364" s="40"/>
      <x:c r="U364" s="40" t="n">
        <x:v>1</x:v>
      </x:c>
      <x:c r="V364" s="40" t="n">
        <x:v>0.994287919722115</x:v>
      </x:c>
      <x:c r="W364" s="31" t="n">
        <x:v>0</x:v>
      </x:c>
      <x:c r="X364" s="31" t="str"/>
      <x:c r="Y364" s="31" t="n">
        <x:v>0</x:v>
      </x:c>
      <x:c r="Z364" s="31" t="n">
        <x:v>0</x:v>
      </x:c>
      <x:c r="AA364" s="31" t="n">
        <x:v>0</x:v>
      </x:c>
      <x:c r="AB364" s="31" t="str"/>
      <x:c r="AC364" s="31" t="str"/>
    </x:row>
    <x:row r="365">
      <x:c r="A365" s="31" t="str">
        <x:v>6c2ad053b6d9d1e1</x:v>
      </x:c>
      <x:c r="B365" s="31" t="str">
        <x:v>6c2ad053b6d9d1e1b918eeb5ca8bcb98095133b313a21054f1090c0e38f59e61</x:v>
      </x:c>
      <x:c r="C365" s="31" t="n">
        <x:v>10</x:v>
      </x:c>
      <x:c r="D365" s="31" t="n">
        <x:v>32961</x:v>
      </x:c>
      <x:c r="E365" s="31" t="str">
        <x:v>Brooklyn</x:v>
      </x:c>
      <x:c r="F365" s="31" t="str">
        <x:v>Sheepshead Bay-Manhattan Beach-Gerritsen Beach</x:v>
      </x:c>
      <x:c r="G365" s="31" t="n">
        <x:v>28279.35990102807</x:v>
      </x:c>
      <x:c r="H365" s="31" t="n">
        <x:v>13621</x:v>
      </x:c>
      <x:c r="I365" s="31" t="n">
        <x:v>4.504046387945044</x:v>
      </x:c>
      <x:c r="J365" s="40" t="n">
        <x:v>0.02687027384186183</x:v>
      </x:c>
      <x:c r="K365" s="40" t="n">
        <x:v>0.5813082739886939</x:v>
      </x:c>
      <x:c r="L365" s="40" t="n">
        <x:v>0.05741135012113648</x:v>
      </x:c>
      <x:c r="M365" s="31" t="n">
        <x:v>51.219424504045215</x:v>
      </x:c>
      <x:c r="N365" s="31" t="n">
        <x:v>226</x:v>
      </x:c>
      <x:c r="O365" s="31" t="n">
        <x:v>6.856588088953612</x:v>
      </x:c>
      <x:c r="P365" s="31" t="n">
        <x:v>3</x:v>
      </x:c>
      <x:c r="Q365" s="40" t="n">
        <x:v>0</x:v>
      </x:c>
      <x:c r="R365" s="31" t="n">
        <x:v>0.20777094574963403</x:v>
      </x:c>
      <x:c r="S365" s="40"/>
      <x:c r="T365" s="40"/>
      <x:c r="U365" s="40" t="n">
        <x:v>1</x:v>
      </x:c>
      <x:c r="V365" s="40" t="n">
        <x:v>0.9872990235665516</x:v>
      </x:c>
      <x:c r="W365" s="31" t="n">
        <x:v>0</x:v>
      </x:c>
      <x:c r="X365" s="31" t="str"/>
      <x:c r="Y365" s="31" t="n">
        <x:v>0</x:v>
      </x:c>
      <x:c r="Z365" s="31" t="n">
        <x:v>0</x:v>
      </x:c>
      <x:c r="AA365" s="31" t="n">
        <x:v>0</x:v>
      </x:c>
      <x:c r="AB365" s="31" t="str"/>
      <x:c r="AC365" s="31" t="str"/>
    </x:row>
    <x:row r="366">
      <x:c r="A366" s="31" t="str">
        <x:v>6c7d7bed4e83f8e1</x:v>
      </x:c>
      <x:c r="B366" s="31" t="str">
        <x:v>6c7d7bed4e83f8e16bf4f874fb083950a07e6327aa974d39ee7d2fe227d0f59c</x:v>
      </x:c>
      <x:c r="C366" s="31" t="n">
        <x:v>5</x:v>
      </x:c>
      <x:c r="D366" s="31" t="n">
        <x:v>35322</x:v>
      </x:c>
      <x:c r="E366" s="31" t="str">
        <x:v>Manhattan</x:v>
      </x:c>
      <x:c r="F366" s="31" t="str">
        <x:v>Hell's Kitchen</x:v>
      </x:c>
      <x:c r="G366" s="31" t="n">
        <x:v>98344.05451989787</x:v>
      </x:c>
      <x:c r="H366" s="31" t="n">
        <x:v>25880</x:v>
      </x:c>
      <x:c r="I366" s="31" t="n">
        <x:v>20.719494220774184</x:v>
      </x:c>
      <x:c r="J366" s="40" t="n">
        <x:v>0.5813369397217929</x:v>
      </x:c>
      <x:c r="K366" s="40" t="n">
        <x:v>0.4143740340030912</x:v>
      </x:c>
      <x:c r="L366" s="40" t="n">
        <x:v>0.0579984544049459</x:v>
      </x:c>
      <x:c r="M366" s="31" t="n">
        <x:v>219.96348452918028</x:v>
      </x:c>
      <x:c r="N366" s="31" t="n">
        <x:v>592</x:v>
      </x:c>
      <x:c r="O366" s="31" t="n">
        <x:v>16.760092859973955</x:v>
      </x:c>
      <x:c r="P366" s="31" t="n">
        <x:v>2</x:v>
      </x:c>
      <x:c r="Q366" s="40" t="n">
        <x:v>0</x:v>
      </x:c>
      <x:c r="R366" s="31" t="n">
        <x:v>0.1322539182713205</x:v>
      </x:c>
      <x:c r="S366" s="40"/>
      <x:c r="T366" s="40"/>
      <x:c r="U366" s="40" t="n">
        <x:v>1</x:v>
      </x:c>
      <x:c r="V366" s="40" t="n">
        <x:v>0.9790185471406492</x:v>
      </x:c>
      <x:c r="W366" s="31" t="n">
        <x:v>1</x:v>
      </x:c>
      <x:c r="X366" s="31" t="str"/>
      <x:c r="Y366" s="31" t="n">
        <x:v>1</x:v>
      </x:c>
      <x:c r="Z366" s="31" t="n">
        <x:v>0</x:v>
      </x:c>
      <x:c r="AA366" s="31" t="n">
        <x:v>0</x:v>
      </x:c>
      <x:c r="AB366" s="31" t="str"/>
      <x:c r="AC366" s="31" t="str"/>
    </x:row>
    <x:row r="367">
      <x:c r="A367" s="31" t="str">
        <x:v>6d2cb0e9a416f917</x:v>
      </x:c>
      <x:c r="B367" s="31" t="str">
        <x:v>6d2cb0e9a416f9172c39547cd5465898f6cde1760229f92a357a7b72b7020b17</x:v>
      </x:c>
      <x:c r="C367" s="31" t="n">
        <x:v>9</x:v>
      </x:c>
      <x:c r="D367" s="31" t="n">
        <x:v>35787</x:v>
      </x:c>
      <x:c r="E367" s="31" t="str">
        <x:v>Bronx</x:v>
      </x:c>
      <x:c r="F367" s="31" t="str">
        <x:v>Longwood</x:v>
      </x:c>
      <x:c r="G367" s="31" t="n">
        <x:v>62313.26602559776</x:v>
      </x:c>
      <x:c r="H367" s="31" t="n">
        <x:v>14862</x:v>
      </x:c>
      <x:c r="I367" s="31" t="n">
        <x:v>5.907216320454699</x:v>
      </x:c>
      <x:c r="J367" s="40" t="n">
        <x:v>0.08289597631543534</x:v>
      </x:c>
      <x:c r="K367" s="40" t="n">
        <x:v>0.8408020454851298</x:v>
      </x:c>
      <x:c r="L367" s="40" t="n">
        <x:v>0.07004440855874042</x:v>
      </x:c>
      <x:c r="M367" s="31" t="n">
        <x:v>61.810439709571064</x:v>
      </x:c>
      <x:c r="N367" s="31" t="n">
        <x:v>173</x:v>
      </x:c>
      <x:c r="O367" s="31" t="n">
        <x:v>4.8341576550143905</x:v>
      </x:c>
      <x:c r="P367" s="31" t="n">
        <x:v>5</x:v>
      </x:c>
      <x:c r="Q367" s="40" t="n">
        <x:v>1</x:v>
      </x:c>
      <x:c r="R367" s="31" t="n">
        <x:v>0.0813198239161459</x:v>
      </x:c>
      <x:c r="S367" s="40"/>
      <x:c r="T367" s="40"/>
      <x:c r="U367" s="40" t="n">
        <x:v>1</x:v>
      </x:c>
      <x:c r="V367" s="40" t="n">
        <x:v>0.9694522944422016</x:v>
      </x:c>
      <x:c r="W367" s="31" t="n">
        <x:v>1</x:v>
      </x:c>
      <x:c r="X367" s="31" t="str"/>
      <x:c r="Y367" s="31" t="n">
        <x:v>0</x:v>
      </x:c>
      <x:c r="Z367" s="31" t="n">
        <x:v>1</x:v>
      </x:c>
      <x:c r="AA367" s="31" t="n">
        <x:v>0</x:v>
      </x:c>
      <x:c r="AB367" s="31" t="str"/>
      <x:c r="AC367" s="31" t="str"/>
    </x:row>
    <x:row r="368">
      <x:c r="A368" s="31" t="str">
        <x:v>6d935c96753a4c36</x:v>
      </x:c>
      <x:c r="B368" s="31" t="str">
        <x:v>6d935c96753a4c36bde3097364f79a171e8c231a1de4e2e0c945c3f73de674e9</x:v>
      </x:c>
      <x:c r="C368" s="31" t="n">
        <x:v>10</x:v>
      </x:c>
      <x:c r="D368" s="31" t="n">
        <x:v>34532</x:v>
      </x:c>
      <x:c r="E368" s="31" t="str">
        <x:v>Bronx</x:v>
      </x:c>
      <x:c r="F368" s="31" t="str">
        <x:v>Pelham Parkway-Van Nest</x:v>
      </x:c>
      <x:c r="G368" s="31" t="n">
        <x:v>51835.909658266406</x:v>
      </x:c>
      <x:c r="H368" s="31" t="n">
        <x:v>13212</x:v>
      </x:c>
      <x:c r="I368" s="31" t="n">
        <x:v>4.8914297608234945</x:v>
      </x:c>
      <x:c r="J368" s="40" t="n">
        <x:v>0.017408416590977898</x:v>
      </x:c>
      <x:c r="K368" s="40" t="n">
        <x:v>0.6767332727823191</x:v>
      </x:c>
      <x:c r="L368" s="40" t="n">
        <x:v>0.0028761731759006964</x:v>
      </x:c>
      <x:c r="M368" s="31" t="n">
        <x:v>56.1627533759839</x:v>
      </x:c>
      <x:c r="N368" s="31" t="n">
        <x:v>157</x:v>
      </x:c>
      <x:c r="O368" s="31" t="n">
        <x:v>4.546507587165528</x:v>
      </x:c>
      <x:c r="P368" s="31" t="n">
        <x:v>4.784741144414169</x:v>
      </x:c>
      <x:c r="Q368" s="40" t="n">
        <x:v>1</x:v>
      </x:c>
      <x:c r="R368" s="31" t="n">
        <x:v>0.14243937755024758</x:v>
      </x:c>
      <x:c r="S368" s="40"/>
      <x:c r="T368" s="40"/>
      <x:c r="U368" s="40" t="n">
        <x:v>1</x:v>
      </x:c>
      <x:c r="V368" s="40" t="n">
        <x:v>0.9873599757795943</x:v>
      </x:c>
      <x:c r="W368" s="31" t="n">
        <x:v>1</x:v>
      </x:c>
      <x:c r="X368" s="31" t="str"/>
      <x:c r="Y368" s="31" t="n">
        <x:v>0</x:v>
      </x:c>
      <x:c r="Z368" s="31" t="n">
        <x:v>1</x:v>
      </x:c>
      <x:c r="AA368" s="31" t="n">
        <x:v>0</x:v>
      </x:c>
      <x:c r="AB368" s="31" t="str"/>
      <x:c r="AC368" s="31" t="str"/>
    </x:row>
    <x:row r="369">
      <x:c r="A369" s="31" t="str">
        <x:v>6dea09047105f148</x:v>
      </x:c>
      <x:c r="B369" s="31" t="str">
        <x:v>6dea09047105f1480019c127b42647c5abfa34c5a948d82210f1b52d4e3d2f35</x:v>
      </x:c>
      <x:c r="C369" s="31" t="n">
        <x:v>7</x:v>
      </x:c>
      <x:c r="D369" s="31" t="n">
        <x:v>32270</x:v>
      </x:c>
      <x:c r="E369" s="31" t="str">
        <x:v>Manhattan</x:v>
      </x:c>
      <x:c r="F369" s="31" t="str">
        <x:v>Greenwich Village</x:v>
      </x:c>
      <x:c r="G369" s="31" t="n">
        <x:v>80386.62362875773</x:v>
      </x:c>
      <x:c r="H369" s="31" t="n">
        <x:v>21064</x:v>
      </x:c>
      <x:c r="I369" s="31" t="n">
        <x:v>10.819031445943379</x:v>
      </x:c>
      <x:c r="J369" s="40" t="n">
        <x:v>0.4061431826813521</x:v>
      </x:c>
      <x:c r="K369" s="40" t="n">
        <x:v>0.5910083554880364</x:v>
      </x:c>
      <x:c r="L369" s="40" t="n">
        <x:v>0.16065324724648689</x:v>
      </x:c>
      <x:c r="M369" s="31" t="n">
        <x:v>116.9741280912799</x:v>
      </x:c>
      <x:c r="N369" s="31" t="n">
        <x:v>738</x:v>
      </x:c>
      <x:c r="O369" s="31" t="n">
        <x:v>22.86953827083979</x:v>
      </x:c>
      <x:c r="P369" s="31" t="n">
        <x:v>1.7923946069122674</x:v>
      </x:c>
      <x:c r="Q369" s="40" t="n">
        <x:v>0</x:v>
      </x:c>
      <x:c r="R369" s="31" t="n">
        <x:v>0.18622118154827136</x:v>
      </x:c>
      <x:c r="S369" s="40"/>
      <x:c r="T369" s="40"/>
      <x:c r="U369" s="40" t="n">
        <x:v>1</x:v>
      </x:c>
      <x:c r="V369" s="40" t="n">
        <x:v>0.9985282947208507</x:v>
      </x:c>
      <x:c r="W369" s="31" t="n">
        <x:v>2</x:v>
      </x:c>
      <x:c r="X369" s="31" t="str"/>
      <x:c r="Y369" s="31" t="n">
        <x:v>1</x:v>
      </x:c>
      <x:c r="Z369" s="31" t="n">
        <x:v>0</x:v>
      </x:c>
      <x:c r="AA369" s="31" t="n">
        <x:v>1</x:v>
      </x:c>
      <x:c r="AB369" s="31" t="str"/>
      <x:c r="AC369" s="31" t="str"/>
    </x:row>
    <x:row r="370">
      <x:c r="A370" s="31" t="str">
        <x:v>6df2ef870a498a0a</x:v>
      </x:c>
      <x:c r="B370" s="31" t="str">
        <x:v>6df2ef870a498a0a5a0a5b9bbe98feefb8cb136d17c1a22f35c3de8414cec712</x:v>
      </x:c>
      <x:c r="C370" s="31" t="n">
        <x:v>7</x:v>
      </x:c>
      <x:c r="D370" s="31" t="n">
        <x:v>34415</x:v>
      </x:c>
      <x:c r="E370" s="31" t="str">
        <x:v>Queens</x:v>
      </x:c>
      <x:c r="F370" s="31" t="str">
        <x:v>Forest Hills</x:v>
      </x:c>
      <x:c r="G370" s="31" t="n">
        <x:v>62677.26041919808</x:v>
      </x:c>
      <x:c r="H370" s="31" t="n">
        <x:v>17070</x:v>
      </x:c>
      <x:c r="I370" s="31" t="n">
        <x:v>8.571663824031054</x:v>
      </x:c>
      <x:c r="J370" s="40" t="n">
        <x:v>0.27334504979496194</x:v>
      </x:c>
      <x:c r="K370" s="40" t="n">
        <x:v>0.6094317516110135</x:v>
      </x:c>
      <x:c r="L370" s="40" t="n">
        <x:v>0.21476274165202108</x:v>
      </x:c>
      <x:c r="M370" s="31" t="n">
        <x:v>88.04867926057297</x:v>
      </x:c>
      <x:c r="N370" s="31" t="n">
        <x:v>275</x:v>
      </x:c>
      <x:c r="O370" s="31" t="n">
        <x:v>7.9907017288972835</x:v>
      </x:c>
      <x:c r="P370" s="31" t="n">
        <x:v>2.8848857644991215</x:v>
      </x:c>
      <x:c r="Q370" s="40" t="n">
        <x:v>0</x:v>
      </x:c>
      <x:c r="R370" s="31" t="n">
        <x:v>0.17196549525532615</x:v>
      </x:c>
      <x:c r="S370" s="40"/>
      <x:c r="T370" s="40"/>
      <x:c r="U370" s="40" t="n">
        <x:v>1</x:v>
      </x:c>
      <x:c r="V370" s="40" t="n">
        <x:v>0.9978910369068541</x:v>
      </x:c>
      <x:c r="W370" s="31" t="n">
        <x:v>1</x:v>
      </x:c>
      <x:c r="X370" s="31" t="str"/>
      <x:c r="Y370" s="31" t="n">
        <x:v>0</x:v>
      </x:c>
      <x:c r="Z370" s="31" t="n">
        <x:v>0</x:v>
      </x:c>
      <x:c r="AA370" s="31" t="n">
        <x:v>1</x:v>
      </x:c>
      <x:c r="AB370" s="31" t="str"/>
      <x:c r="AC370" s="31" t="str"/>
    </x:row>
    <x:row r="371">
      <x:c r="A371" s="31" t="str">
        <x:v>6e81f3c123668504</x:v>
      </x:c>
      <x:c r="B371" s="31" t="str">
        <x:v>6e81f3c123668504bb32619159a2612c829a41f4e92dedb4edd4dadfb33893ce</x:v>
      </x:c>
      <x:c r="C371" s="31" t="n">
        <x:v>8</x:v>
      </x:c>
      <x:c r="D371" s="31" t="n">
        <x:v>32071</x:v>
      </x:c>
      <x:c r="E371" s="31" t="str">
        <x:v>Queens</x:v>
      </x:c>
      <x:c r="F371" s="31" t="str">
        <x:v>Pomonok-Electchester-Hillcrest</x:v>
      </x:c>
      <x:c r="G371" s="31" t="n">
        <x:v>26510.17824916171</x:v>
      </x:c>
      <x:c r="H371" s="31" t="n">
        <x:v>10729</x:v>
      </x:c>
      <x:c r="I371" s="31" t="n">
        <x:v>3.5029684269874086</x:v>
      </x:c>
      <x:c r="J371" s="40" t="n">
        <x:v>0.05480473483083232</x:v>
      </x:c>
      <x:c r="K371" s="40" t="n">
        <x:v>0.39929163948177837</x:v>
      </x:c>
      <x:c r="L371" s="40" t="n">
        <x:v>0.20933917420076428</x:v>
      </x:c>
      <x:c r="M371" s="31" t="n">
        <x:v>41.81019606504174</x:v>
      </x:c>
      <x:c r="N371" s="31" t="n">
        <x:v>91</x:v>
      </x:c>
      <x:c r="O371" s="31" t="n">
        <x:v>2.837454398054317</x:v>
      </x:c>
      <x:c r="P371" s="31" t="n">
        <x:v>1.849380184546556</x:v>
      </x:c>
      <x:c r="Q371" s="40" t="n">
        <x:v>0</x:v>
      </x:c>
      <x:c r="R371" s="31" t="n">
        <x:v>0.22406793972146413</x:v>
      </x:c>
      <x:c r="S371" s="40"/>
      <x:c r="T371" s="40"/>
      <x:c r="U371" s="40" t="n">
        <x:v>1</x:v>
      </x:c>
      <x:c r="V371" s="40" t="n">
        <x:v>0.9936620374685432</x:v>
      </x:c>
      <x:c r="W371" s="31" t="n">
        <x:v>0</x:v>
      </x:c>
      <x:c r="X371" s="31" t="str"/>
      <x:c r="Y371" s="31" t="n">
        <x:v>0</x:v>
      </x:c>
      <x:c r="Z371" s="31" t="n">
        <x:v>0</x:v>
      </x:c>
      <x:c r="AA371" s="31" t="n">
        <x:v>0</x:v>
      </x:c>
      <x:c r="AB371" s="31" t="str"/>
      <x:c r="AC371" s="31" t="str"/>
    </x:row>
    <x:row r="372">
      <x:c r="A372" s="31" t="str">
        <x:v>6f07b61f4e50bc12</x:v>
      </x:c>
      <x:c r="B372" s="31" t="str">
        <x:v>6f07b61f4e50bc12071495429eabcfbe7a6982382aa96f741d2f1a6931269184</x:v>
      </x:c>
      <x:c r="C372" s="31" t="n">
        <x:v>9</x:v>
      </x:c>
      <x:c r="D372" s="31" t="n">
        <x:v>33958</x:v>
      </x:c>
      <x:c r="E372" s="31" t="str">
        <x:v>Bronx</x:v>
      </x:c>
      <x:c r="F372" s="31" t="str">
        <x:v>Crotona Park East</x:v>
      </x:c>
      <x:c r="G372" s="31" t="n">
        <x:v>53478.241774901864</x:v>
      </x:c>
      <x:c r="H372" s="31" t="n">
        <x:v>14948</x:v>
      </x:c>
      <x:c r="I372" s="31" t="n">
        <x:v>5.926121514212582</x:v>
      </x:c>
      <x:c r="J372" s="40" t="n">
        <x:v>0.09767192935509768</x:v>
      </x:c>
      <x:c r="K372" s="40" t="n">
        <x:v>0.8203773080010703</x:v>
      </x:c>
      <x:c r="L372" s="40" t="n">
        <x:v>0.010034787262510034</x:v>
      </x:c>
      <x:c r="M372" s="31" t="n">
        <x:v>64.2933680130229</x:v>
      </x:c>
      <x:c r="N372" s="31" t="n">
        <x:v>196</x:v>
      </x:c>
      <x:c r="O372" s="31" t="n">
        <x:v>5.7718357971611995</x:v>
      </x:c>
      <x:c r="P372" s="31" t="n">
        <x:v>5</x:v>
      </x:c>
      <x:c r="Q372" s="40" t="n">
        <x:v>1</x:v>
      </x:c>
      <x:c r="R372" s="31" t="n">
        <x:v>0.10913827871456902</x:v>
      </x:c>
      <x:c r="S372" s="40"/>
      <x:c r="T372" s="40"/>
      <x:c r="U372" s="40" t="n">
        <x:v>1</x:v>
      </x:c>
      <x:c r="V372" s="40" t="n">
        <x:v>0.9726384800642226</x:v>
      </x:c>
      <x:c r="W372" s="31" t="n">
        <x:v>1</x:v>
      </x:c>
      <x:c r="X372" s="31" t="str"/>
      <x:c r="Y372" s="31" t="n">
        <x:v>0</x:v>
      </x:c>
      <x:c r="Z372" s="31" t="n">
        <x:v>1</x:v>
      </x:c>
      <x:c r="AA372" s="31" t="n">
        <x:v>0</x:v>
      </x:c>
      <x:c r="AB372" s="31" t="str"/>
      <x:c r="AC372" s="31" t="str"/>
    </x:row>
    <x:row r="373">
      <x:c r="A373" s="31" t="str">
        <x:v>6f29200234a0b581</x:v>
      </x:c>
      <x:c r="B373" s="31" t="str">
        <x:v>6f29200234a0b58121582f506449144eb5f483c002cd8f5a58a0d77e7b3d2cb4</x:v>
      </x:c>
      <x:c r="C373" s="31" t="n">
        <x:v>11</x:v>
      </x:c>
      <x:c r="D373" s="31" t="n">
        <x:v>35458</x:v>
      </x:c>
      <x:c r="E373" s="31" t="str">
        <x:v>Bronx</x:v>
      </x:c>
      <x:c r="F373" s="31" t="str">
        <x:v>Pelham Parkway-Van Nest</x:v>
      </x:c>
      <x:c r="G373" s="31" t="n">
        <x:v>46445.54644402808</x:v>
      </x:c>
      <x:c r="H373" s="31" t="n">
        <x:v>12877</x:v>
      </x:c>
      <x:c r="I373" s="31" t="n">
        <x:v>4.236398229401257</x:v>
      </x:c>
      <x:c r="J373" s="40" t="n">
        <x:v>0.017861303098547797</x:v>
      </x:c>
      <x:c r="K373" s="40" t="n">
        <x:v>0.565582045507494</x:v>
      </x:c>
      <x:c r="L373" s="40" t="n">
        <x:v>0.007144521239419119</x:v>
      </x:c>
      <x:c r="M373" s="31" t="n">
        <x:v>49.038844956452856</x:v>
      </x:c>
      <x:c r="N373" s="31" t="n">
        <x:v>104</x:v>
      </x:c>
      <x:c r="O373" s="31" t="n">
        <x:v>2.9330475492131534</x:v>
      </x:c>
      <x:c r="P373" s="31" t="n">
        <x:v>4.85765318008853</x:v>
      </x:c>
      <x:c r="Q373" s="40" t="n">
        <x:v>1</x:v>
      </x:c>
      <x:c r="R373" s="31" t="n">
        <x:v>0.14733817474702918</x:v>
      </x:c>
      <x:c r="S373" s="40"/>
      <x:c r="T373" s="40"/>
      <x:c r="U373" s="40" t="n">
        <x:v>1</x:v>
      </x:c>
      <x:c r="V373" s="40" t="n">
        <x:v>0.9867205094354276</x:v>
      </x:c>
      <x:c r="W373" s="31" t="n">
        <x:v>1</x:v>
      </x:c>
      <x:c r="X373" s="31" t="str"/>
      <x:c r="Y373" s="31" t="n">
        <x:v>0</x:v>
      </x:c>
      <x:c r="Z373" s="31" t="n">
        <x:v>1</x:v>
      </x:c>
      <x:c r="AA373" s="31" t="n">
        <x:v>0</x:v>
      </x:c>
      <x:c r="AB373" s="31" t="str"/>
      <x:c r="AC373" s="31" t="str"/>
    </x:row>
    <x:row r="374">
      <x:c r="A374" s="31" t="str">
        <x:v>6f3d435e23c724fa</x:v>
      </x:c>
      <x:c r="B374" s="31" t="str">
        <x:v>6f3d435e23c724fa786ea69f3c7fafa57b6a3d7f12fc55e64c2f2f4435c188bb</x:v>
      </x:c>
      <x:c r="C374" s="31" t="n">
        <x:v>7</x:v>
      </x:c>
      <x:c r="D374" s="31" t="n">
        <x:v>33158</x:v>
      </x:c>
      <x:c r="E374" s="31" t="str">
        <x:v>Bronx</x:v>
      </x:c>
      <x:c r="F374" s="31" t="str">
        <x:v>Claremont Village-Claremont (East)</x:v>
      </x:c>
      <x:c r="G374" s="31" t="n">
        <x:v>83212.26784008094</x:v>
      </x:c>
      <x:c r="H374" s="31" t="n">
        <x:v>12058</x:v>
      </x:c>
      <x:c r="I374" s="31" t="n">
        <x:v>10.379958506224066</x:v>
      </x:c>
      <x:c r="J374" s="40" t="n">
        <x:v>0.44285951235694143</x:v>
      </x:c>
      <x:c r="K374" s="40" t="n">
        <x:v>0.5167523635760491</x:v>
      </x:c>
      <x:c r="L374" s="40" t="n">
        <x:v>0.330900646873445</x:v>
      </x:c>
      <x:c r="M374" s="31" t="n">
        <x:v>107.85176998197046</x:v>
      </x:c>
      <x:c r="N374" s="31" t="n">
        <x:v>145</x:v>
      </x:c>
      <x:c r="O374" s="31" t="n">
        <x:v>4.373001990469872</x:v>
      </x:c>
      <x:c r="P374" s="31" t="n">
        <x:v>5</x:v>
      </x:c>
      <x:c r="Q374" s="40" t="n">
        <x:v>1</x:v>
      </x:c>
      <x:c r="R374" s="31" t="n">
        <x:v>0.07280992911275529</x:v>
      </x:c>
      <x:c r="S374" s="40"/>
      <x:c r="T374" s="40"/>
      <x:c r="U374" s="40" t="n">
        <x:v>1</x:v>
      </x:c>
      <x:c r="V374" s="40" t="n">
        <x:v>0.9878089235362415</x:v>
      </x:c>
      <x:c r="W374" s="31" t="n">
        <x:v>1</x:v>
      </x:c>
      <x:c r="X374" s="31" t="str"/>
      <x:c r="Y374" s="31" t="n">
        <x:v>0</x:v>
      </x:c>
      <x:c r="Z374" s="31" t="n">
        <x:v>1</x:v>
      </x:c>
      <x:c r="AA374" s="31" t="n">
        <x:v>0</x:v>
      </x:c>
      <x:c r="AB374" s="31" t="str"/>
      <x:c r="AC374" s="31" t="str"/>
    </x:row>
    <x:row r="375">
      <x:c r="A375" s="31" t="str">
        <x:v>6fac9ab9feefe361</x:v>
      </x:c>
      <x:c r="B375" s="31" t="str">
        <x:v>6fac9ab9feefe3614700d78092d152b2f8029cdf31d4e3f12c008a182e2cddd6</x:v>
      </x:c>
      <x:c r="C375" s="31" t="n">
        <x:v>11</x:v>
      </x:c>
      <x:c r="D375" s="31" t="n">
        <x:v>34166</x:v>
      </x:c>
      <x:c r="E375" s="31" t="str">
        <x:v>Brooklyn</x:v>
      </x:c>
      <x:c r="F375" s="31" t="str">
        <x:v>Sheepshead Bay-Manhattan Beach-Gerritsen Beach</x:v>
      </x:c>
      <x:c r="G375" s="31" t="n">
        <x:v>39306.50206354346</x:v>
      </x:c>
      <x:c r="H375" s="31" t="n">
        <x:v>13475</x:v>
      </x:c>
      <x:c r="I375" s="31" t="n">
        <x:v>4.154239857333928</x:v>
      </x:c>
      <x:c r="J375" s="40" t="n">
        <x:v>0</x:v>
      </x:c>
      <x:c r="K375" s="40" t="n">
        <x:v>0.5425602968460111</x:v>
      </x:c>
      <x:c r="L375" s="40" t="n">
        <x:v>0.3422634508348794</x:v>
      </x:c>
      <x:c r="M375" s="31" t="n">
        <x:v>45.215062597702875</x:v>
      </x:c>
      <x:c r="N375" s="31" t="n">
        <x:v>159</x:v>
      </x:c>
      <x:c r="O375" s="31" t="n">
        <x:v>4.653749341450565</x:v>
      </x:c>
      <x:c r="P375" s="31" t="n">
        <x:v>3</x:v>
      </x:c>
      <x:c r="Q375" s="40" t="n">
        <x:v>0</x:v>
      </x:c>
      <x:c r="R375" s="31" t="n">
        <x:v>0.13218086333481927</x:v>
      </x:c>
      <x:c r="S375" s="40"/>
      <x:c r="T375" s="40"/>
      <x:c r="U375" s="40" t="n">
        <x:v>1</x:v>
      </x:c>
      <x:c r="V375" s="40" t="n">
        <x:v>0.9821150278293136</x:v>
      </x:c>
      <x:c r="W375" s="31" t="n">
        <x:v>0</x:v>
      </x:c>
      <x:c r="X375" s="31" t="str"/>
      <x:c r="Y375" s="31" t="n">
        <x:v>0</x:v>
      </x:c>
      <x:c r="Z375" s="31" t="n">
        <x:v>0</x:v>
      </x:c>
      <x:c r="AA375" s="31" t="n">
        <x:v>0</x:v>
      </x:c>
      <x:c r="AB375" s="31" t="str"/>
      <x:c r="AC375" s="31" t="str"/>
    </x:row>
    <x:row r="376">
      <x:c r="A376" s="31" t="str">
        <x:v>6fb607d227cc0b4d</x:v>
      </x:c>
      <x:c r="B376" s="31" t="str">
        <x:v>6fb607d227cc0b4dd7bee95dc978f6ddeaf68b2db82e09301858b3f2513b442b</x:v>
      </x:c>
      <x:c r="C376" s="31" t="n">
        <x:v>9</x:v>
      </x:c>
      <x:c r="D376" s="31" t="n">
        <x:v>32790</x:v>
      </x:c>
      <x:c r="E376" s="31" t="str">
        <x:v>Bronx</x:v>
      </x:c>
      <x:c r="F376" s="31" t="str">
        <x:v>Mount Hope</x:v>
      </x:c>
      <x:c r="G376" s="31" t="n">
        <x:v>96737.63698277908</x:v>
      </x:c>
      <x:c r="H376" s="31" t="n">
        <x:v>14313</x:v>
      </x:c>
      <x:c r="I376" s="31" t="n">
        <x:v>7.109349656236846</x:v>
      </x:c>
      <x:c r="J376" s="40" t="n">
        <x:v>0.2326556277509956</x:v>
      </x:c>
      <x:c r="K376" s="40" t="n">
        <x:v>0.7291273667295466</x:v>
      </x:c>
      <x:c r="L376" s="40" t="n">
        <x:v>0.010829316006427723</x:v>
      </x:c>
      <x:c r="M376" s="31" t="n">
        <x:v>77.68533466805678</x:v>
      </x:c>
      <x:c r="N376" s="31" t="n">
        <x:v>191</x:v>
      </x:c>
      <x:c r="O376" s="31" t="n">
        <x:v>5.824946630070143</x:v>
      </x:c>
      <x:c r="P376" s="31" t="n">
        <x:v>5</x:v>
      </x:c>
      <x:c r="Q376" s="40" t="n">
        <x:v>1</x:v>
      </x:c>
      <x:c r="R376" s="31" t="n">
        <x:v>0.07720493603135599</x:v>
      </x:c>
      <x:c r="S376" s="40"/>
      <x:c r="T376" s="40"/>
      <x:c r="U376" s="40" t="n">
        <x:v>1</x:v>
      </x:c>
      <x:c r="V376" s="40" t="n">
        <x:v>0.9423600922238524</x:v>
      </x:c>
      <x:c r="W376" s="31" t="n">
        <x:v>1</x:v>
      </x:c>
      <x:c r="X376" s="31" t="str"/>
      <x:c r="Y376" s="31" t="n">
        <x:v>0</x:v>
      </x:c>
      <x:c r="Z376" s="31" t="n">
        <x:v>1</x:v>
      </x:c>
      <x:c r="AA376" s="31" t="n">
        <x:v>0</x:v>
      </x:c>
      <x:c r="AB376" s="31" t="str"/>
      <x:c r="AC376" s="31" t="str"/>
    </x:row>
    <x:row r="377">
      <x:c r="A377" s="31" t="str">
        <x:v>6fe8a345d9115754</x:v>
      </x:c>
      <x:c r="B377" s="31" t="str">
        <x:v>6fe8a345d9115754dfff1278c96cb1c300738ea8281f74c0240277079efd2b78</x:v>
      </x:c>
      <x:c r="C377" s="31" t="n">
        <x:v>9</x:v>
      </x:c>
      <x:c r="D377" s="31" t="n">
        <x:v>33508</x:v>
      </x:c>
      <x:c r="E377" s="31" t="str">
        <x:v>Brooklyn</x:v>
      </x:c>
      <x:c r="F377" s="31" t="str">
        <x:v>East New York-City Line</x:v>
      </x:c>
      <x:c r="G377" s="31" t="n">
        <x:v>52990.826349200106</x:v>
      </x:c>
      <x:c r="H377" s="31" t="n">
        <x:v>8323</x:v>
      </x:c>
      <x:c r="I377" s="31" t="n">
        <x:v>3.2221363308487616</x:v>
      </x:c>
      <x:c r="J377" s="40" t="n">
        <x:v>0.03832752613240418</x:v>
      </x:c>
      <x:c r="K377" s="40" t="n">
        <x:v>0.2890784572870359</x:v>
      </x:c>
      <x:c r="L377" s="40" t="n">
        <x:v>0.014297729184188394</x:v>
      </x:c>
      <x:c r="M377" s="31" t="n">
        <x:v>36.84921346981428</x:v>
      </x:c>
      <x:c r="N377" s="31" t="n">
        <x:v>15</x:v>
      </x:c>
      <x:c r="O377" s="31" t="n">
        <x:v>0.4476542915124746</x:v>
      </x:c>
      <x:c r="P377" s="31" t="n">
        <x:v>3.8957106812447435</x:v>
      </x:c>
      <x:c r="Q377" s="40" t="n">
        <x:v>0.8957106812447435</x:v>
      </x:c>
      <x:c r="R377" s="31" t="n">
        <x:v>0.19093204111318973</x:v>
      </x:c>
      <x:c r="S377" s="40"/>
      <x:c r="T377" s="40"/>
      <x:c r="U377" s="40" t="n">
        <x:v>1</x:v>
      </x:c>
      <x:c r="V377" s="40" t="n">
        <x:v>0.9962753814730265</x:v>
      </x:c>
      <x:c r="W377" s="31" t="n">
        <x:v>0</x:v>
      </x:c>
      <x:c r="X377" s="31" t="str"/>
      <x:c r="Y377" s="31" t="n">
        <x:v>0</x:v>
      </x:c>
      <x:c r="Z377" s="31" t="n">
        <x:v>0</x:v>
      </x:c>
      <x:c r="AA377" s="31" t="n">
        <x:v>0</x:v>
      </x:c>
      <x:c r="AB377" s="31" t="str"/>
      <x:c r="AC377" s="31" t="str"/>
    </x:row>
    <x:row r="378">
      <x:c r="A378" s="31" t="str">
        <x:v>702d099fbc8cdb29</x:v>
      </x:c>
      <x:c r="B378" s="31" t="str">
        <x:v>702d099fbc8cdb29b945b5ea04879614ed786b35cf1379fab08ed3adea37e264</x:v>
      </x:c>
      <x:c r="C378" s="31" t="n">
        <x:v>8</x:v>
      </x:c>
      <x:c r="D378" s="31" t="n">
        <x:v>34414</x:v>
      </x:c>
      <x:c r="E378" s="31" t="str">
        <x:v>Brooklyn</x:v>
      </x:c>
      <x:c r="F378" s="31" t="str">
        <x:v>Prospect Lefferts Gardens-Wingate</x:v>
      </x:c>
      <x:c r="G378" s="31" t="n">
        <x:v>71762.946217896</x:v>
      </x:c>
      <x:c r="H378" s="31" t="n">
        <x:v>16526</x:v>
      </x:c>
      <x:c r="I378" s="31" t="n">
        <x:v>5.831405805005151</x:v>
      </x:c>
      <x:c r="J378" s="40" t="n">
        <x:v>0.08677235870749123</x:v>
      </x:c>
      <x:c r="K378" s="40" t="n">
        <x:v>0.77514220016943</x:v>
      </x:c>
      <x:c r="L378" s="40" t="n">
        <x:v>0.005203921094033644</x:v>
      </x:c>
      <x:c r="M378" s="31" t="n">
        <x:v>66.42808985094875</x:v>
      </x:c>
      <x:c r="N378" s="31" t="n">
        <x:v>222</x:v>
      </x:c>
      <x:c r="O378" s="31" t="n">
        <x:v>6.4508630208636015</x:v>
      </x:c>
      <x:c r="P378" s="31" t="n">
        <x:v>5</x:v>
      </x:c>
      <x:c r="Q378" s="40" t="n">
        <x:v>1</x:v>
      </x:c>
      <x:c r="R378" s="31" t="n">
        <x:v>0.2325114218785776</x:v>
      </x:c>
      <x:c r="S378" s="40"/>
      <x:c r="T378" s="40"/>
      <x:c r="U378" s="40" t="n">
        <x:v>1</x:v>
      </x:c>
      <x:c r="V378" s="40" t="n">
        <x:v>0.9764613336560571</x:v>
      </x:c>
      <x:c r="W378" s="31" t="n">
        <x:v>1</x:v>
      </x:c>
      <x:c r="X378" s="31" t="str"/>
      <x:c r="Y378" s="31" t="n">
        <x:v>0</x:v>
      </x:c>
      <x:c r="Z378" s="31" t="n">
        <x:v>1</x:v>
      </x:c>
      <x:c r="AA378" s="31" t="n">
        <x:v>0</x:v>
      </x:c>
      <x:c r="AB378" s="31" t="str"/>
      <x:c r="AC378" s="31" t="str"/>
    </x:row>
    <x:row r="379">
      <x:c r="A379" s="31" t="str">
        <x:v>70c98bbf015b0e07</x:v>
      </x:c>
      <x:c r="B379" s="31" t="str">
        <x:v>70c98bbf015b0e0703834d1ce70122ed14d2d16a70bbdb5d4072537b39990db1</x:v>
      </x:c>
      <x:c r="C379" s="31" t="n">
        <x:v>9</x:v>
      </x:c>
      <x:c r="D379" s="31" t="n">
        <x:v>34915</x:v>
      </x:c>
      <x:c r="E379" s="31" t="str">
        <x:v>Queens</x:v>
      </x:c>
      <x:c r="F379" s="31" t="str">
        <x:v>Fresh Meadows-Utopia</x:v>
      </x:c>
      <x:c r="G379" s="31" t="n">
        <x:v>16197.294693286374</x:v>
      </x:c>
      <x:c r="H379" s="31" t="n">
        <x:v>11775</x:v>
      </x:c>
      <x:c r="I379" s="31" t="n">
        <x:v>3.2426363401395717</x:v>
      </x:c>
      <x:c r="J379" s="40" t="n">
        <x:v>0.1035244161358811</x:v>
      </x:c>
      <x:c r="K379" s="40" t="n">
        <x:v>0.1640764331210191</x:v>
      </x:c>
      <x:c r="L379" s="40" t="n">
        <x:v>0.3200849256900212</x:v>
      </x:c>
      <x:c r="M379" s="31" t="n">
        <x:v>46.3968041854544</x:v>
      </x:c>
      <x:c r="N379" s="31" t="n">
        <x:v>53</x:v>
      </x:c>
      <x:c r="O379" s="31" t="n">
        <x:v>1.5179722182443076</x:v>
      </x:c>
      <x:c r="P379" s="31" t="n">
        <x:v>1.938004246284501</x:v>
      </x:c>
      <x:c r="Q379" s="40" t="n">
        <x:v>0.025987261146496816</x:v>
      </x:c>
      <x:c r="R379" s="31" t="n">
        <x:v>0.2525418495927335</x:v>
      </x:c>
      <x:c r="S379" s="40"/>
      <x:c r="T379" s="40"/>
      <x:c r="U379" s="40" t="n">
        <x:v>1</x:v>
      </x:c>
      <x:c r="V379" s="40" t="n">
        <x:v>0.9971125265392782</x:v>
      </x:c>
      <x:c r="W379" s="31" t="n">
        <x:v>0</x:v>
      </x:c>
      <x:c r="X379" s="31" t="str"/>
      <x:c r="Y379" s="31" t="n">
        <x:v>0</x:v>
      </x:c>
      <x:c r="Z379" s="31" t="n">
        <x:v>0</x:v>
      </x:c>
      <x:c r="AA379" s="31" t="n">
        <x:v>0</x:v>
      </x:c>
      <x:c r="AB379" s="31" t="str"/>
      <x:c r="AC379" s="31" t="str"/>
    </x:row>
    <x:row r="380">
      <x:c r="A380" s="31" t="str">
        <x:v>70d0231438c96477</x:v>
      </x:c>
      <x:c r="B380" s="31" t="str">
        <x:v>70d0231438c964773b58759e26a0177ab679cb94c53c91aeee115189fa9a256f</x:v>
      </x:c>
      <x:c r="C380" s="31" t="n">
        <x:v>10</x:v>
      </x:c>
      <x:c r="D380" s="31" t="n">
        <x:v>37432</x:v>
      </x:c>
      <x:c r="E380" s="31" t="str">
        <x:v>Queens</x:v>
      </x:c>
      <x:c r="F380" s="31" t="str">
        <x:v>Murray Hill-Broadway Flushing</x:v>
      </x:c>
      <x:c r="G380" s="31" t="n">
        <x:v>18898.48760737659</x:v>
      </x:c>
      <x:c r="H380" s="31" t="n">
        <x:v>13488</x:v>
      </x:c>
      <x:c r="I380" s="31" t="n">
        <x:v>2.4594469601365896</x:v>
      </x:c>
      <x:c r="J380" s="40" t="n">
        <x:v>0</x:v>
      </x:c>
      <x:c r="K380" s="40" t="n">
        <x:v>0.17029952550415184</x:v>
      </x:c>
      <x:c r="L380" s="40" t="n">
        <x:v>0.13938315539739027</x:v>
      </x:c>
      <x:c r="M380" s="31" t="n">
        <x:v>30.88851576749647</x:v>
      </x:c>
      <x:c r="N380" s="31" t="n">
        <x:v>45</x:v>
      </x:c>
      <x:c r="O380" s="31" t="n">
        <x:v>1.2021799529814063</x:v>
      </x:c>
      <x:c r="P380" s="31" t="n">
        <x:v>2.892497034400949</x:v>
      </x:c>
      <x:c r="Q380" s="40" t="n">
        <x:v>0.37047746144721233</x:v>
      </x:c>
      <x:c r="R380" s="31" t="n">
        <x:v>0.24143684754630315</x:v>
      </x:c>
      <x:c r="S380" s="40"/>
      <x:c r="T380" s="40"/>
      <x:c r="U380" s="40" t="n">
        <x:v>1</x:v>
      </x:c>
      <x:c r="V380" s="40" t="n">
        <x:v>0.9977016607354685</x:v>
      </x:c>
      <x:c r="W380" s="31" t="n">
        <x:v>0</x:v>
      </x:c>
      <x:c r="X380" s="31" t="str"/>
      <x:c r="Y380" s="31" t="n">
        <x:v>0</x:v>
      </x:c>
      <x:c r="Z380" s="31" t="n">
        <x:v>0</x:v>
      </x:c>
      <x:c r="AA380" s="31" t="n">
        <x:v>0</x:v>
      </x:c>
      <x:c r="AB380" s="31" t="str"/>
      <x:c r="AC380" s="31" t="str"/>
    </x:row>
    <x:row r="381">
      <x:c r="A381" s="31" t="str">
        <x:v>70f21e266930ca0d</x:v>
      </x:c>
      <x:c r="B381" s="31" t="str">
        <x:v>70f21e266930ca0d1d86e9889563b369fa6482d40d483ba98054189716047a7b</x:v>
      </x:c>
      <x:c r="C381" s="31" t="n">
        <x:v>15</x:v>
      </x:c>
      <x:c r="D381" s="31" t="n">
        <x:v>34511</x:v>
      </x:c>
      <x:c r="E381" s="31" t="str">
        <x:v>Queens</x:v>
      </x:c>
      <x:c r="F381" s="31" t="str">
        <x:v>Baisley Park</x:v>
      </x:c>
      <x:c r="G381" s="31" t="n">
        <x:v>29217.296351108485</x:v>
      </x:c>
      <x:c r="H381" s="31" t="n">
        <x:v>9588</x:v>
      </x:c>
      <x:c r="I381" s="31" t="n">
        <x:v>2.188244991652754</x:v>
      </x:c>
      <x:c r="J381" s="40" t="n">
        <x:v>0</x:v>
      </x:c>
      <x:c r="K381" s="40" t="n">
        <x:v>0.028994576554025864</x:v>
      </x:c>
      <x:c r="L381" s="40" t="n">
        <x:v>0.023258239465999166</x:v>
      </x:c>
      <x:c r="M381" s="31" t="n">
        <x:v>26.598576236517175</x:v>
      </x:c>
      <x:c r="N381" s="31" t="n">
        <x:v>11</x:v>
      </x:c>
      <x:c r="O381" s="31" t="n">
        <x:v>0.3187389527976587</x:v>
      </x:c>
      <x:c r="P381" s="31" t="n">
        <x:v>4.745828118481435</x:v>
      </x:c>
      <x:c r="Q381" s="40" t="n">
        <x:v>1</x:v>
      </x:c>
      <x:c r="R381" s="31" t="n">
        <x:v>0.1915726857271709</x:v>
      </x:c>
      <x:c r="S381" s="40"/>
      <x:c r="T381" s="40"/>
      <x:c r="U381" s="40" t="n">
        <x:v>1</x:v>
      </x:c>
      <x:c r="V381" s="40" t="n">
        <x:v>0.9930120984564038</x:v>
      </x:c>
      <x:c r="W381" s="31" t="n">
        <x:v>0</x:v>
      </x:c>
      <x:c r="X381" s="31" t="str"/>
      <x:c r="Y381" s="31" t="n">
        <x:v>0</x:v>
      </x:c>
      <x:c r="Z381" s="31" t="n">
        <x:v>0</x:v>
      </x:c>
      <x:c r="AA381" s="31" t="n">
        <x:v>0</x:v>
      </x:c>
      <x:c r="AB381" s="31" t="str"/>
      <x:c r="AC381" s="31" t="str"/>
    </x:row>
    <x:row r="382">
      <x:c r="A382" s="31" t="str">
        <x:v>71a3c28cc193051b</x:v>
      </x:c>
      <x:c r="B382" s="31" t="str">
        <x:v>71a3c28cc193051b52676afe4aadbd1ca27e15d8fc6b340aa6c28f0650438632</x:v>
      </x:c>
      <x:c r="C382" s="31" t="n">
        <x:v>6</x:v>
      </x:c>
      <x:c r="D382" s="31" t="n">
        <x:v>34435</x:v>
      </x:c>
      <x:c r="E382" s="31" t="str">
        <x:v>Queens</x:v>
      </x:c>
      <x:c r="F382" s="31" t="str">
        <x:v>Flushing-Willets Point</x:v>
      </x:c>
      <x:c r="G382" s="31" t="n">
        <x:v>91906.54405931325</x:v>
      </x:c>
      <x:c r="H382" s="31" t="n">
        <x:v>13569</x:v>
      </x:c>
      <x:c r="I382" s="31" t="n">
        <x:v>8.871590300505803</x:v>
      </x:c>
      <x:c r="J382" s="40" t="n">
        <x:v>0.3060652958950549</x:v>
      </x:c>
      <x:c r="K382" s="40" t="n">
        <x:v>0.6464735794826443</x:v>
      </x:c>
      <x:c r="L382" s="40" t="n">
        <x:v>0.07273933230156976</x:v>
      </x:c>
      <x:c r="M382" s="31" t="n">
        <x:v>88.84046198175511</x:v>
      </x:c>
      <x:c r="N382" s="31" t="n">
        <x:v>304</x:v>
      </x:c>
      <x:c r="O382" s="31" t="n">
        <x:v>8.828227094525918</x:v>
      </x:c>
      <x:c r="P382" s="31" t="n">
        <x:v>4</x:v>
      </x:c>
      <x:c r="Q382" s="40" t="n">
        <x:v>1</x:v>
      </x:c>
      <x:c r="R382" s="31" t="n">
        <x:v>0.22525531992861067</x:v>
      </x:c>
      <x:c r="S382" s="40"/>
      <x:c r="T382" s="40"/>
      <x:c r="U382" s="40" t="n">
        <x:v>1</x:v>
      </x:c>
      <x:c r="V382" s="40" t="n">
        <x:v>0.9762694376888496</x:v>
      </x:c>
      <x:c r="W382" s="31" t="n">
        <x:v>2</x:v>
      </x:c>
      <x:c r="X382" s="31" t="str"/>
      <x:c r="Y382" s="31" t="n">
        <x:v>1</x:v>
      </x:c>
      <x:c r="Z382" s="31" t="n">
        <x:v>1</x:v>
      </x:c>
      <x:c r="AA382" s="31" t="n">
        <x:v>0</x:v>
      </x:c>
      <x:c r="AB382" s="31" t="str"/>
      <x:c r="AC382" s="31" t="str"/>
    </x:row>
    <x:row r="383">
      <x:c r="A383" s="31" t="str">
        <x:v>71d4c9ab6da10302</x:v>
      </x:c>
      <x:c r="B383" s="31" t="str">
        <x:v>71d4c9ab6da10302f5d600aa68e6f5d8fba1157ae2245a32f477ba5f40e318d7</x:v>
      </x:c>
      <x:c r="C383" s="31" t="n">
        <x:v>10</x:v>
      </x:c>
      <x:c r="D383" s="31" t="n">
        <x:v>33998</x:v>
      </x:c>
      <x:c r="E383" s="31" t="str">
        <x:v>Brooklyn</x:v>
      </x:c>
      <x:c r="F383" s="31" t="str">
        <x:v>Cypress Hills</x:v>
      </x:c>
      <x:c r="G383" s="31" t="n">
        <x:v>55274.64511693291</x:v>
      </x:c>
      <x:c r="H383" s="31" t="n">
        <x:v>9725</x:v>
      </x:c>
      <x:c r="I383" s="31" t="n">
        <x:v>3.65635849444673</x:v>
      </x:c>
      <x:c r="J383" s="40" t="n">
        <x:v>0.11444730077120822</x:v>
      </x:c>
      <x:c r="K383" s="40" t="n">
        <x:v>0.2117223650385604</x:v>
      </x:c>
      <x:c r="L383" s="40" t="n">
        <x:v>0.012544987146529563</x:v>
      </x:c>
      <x:c r="M383" s="31" t="n">
        <x:v>40.892245337127505</x:v>
      </x:c>
      <x:c r="N383" s="31" t="n">
        <x:v>14</x:v>
      </x:c>
      <x:c r="O383" s="31" t="n">
        <x:v>0.4117889287605153</x:v>
      </x:c>
      <x:c r="P383" s="31" t="n">
        <x:v>3.772750642673522</x:v>
      </x:c>
      <x:c r="Q383" s="40" t="n">
        <x:v>0.8863753213367609</x:v>
      </x:c>
      <x:c r="R383" s="31" t="n">
        <x:v>0.17243493799965207</x:v>
      </x:c>
      <x:c r="S383" s="40"/>
      <x:c r="T383" s="40"/>
      <x:c r="U383" s="40" t="n">
        <x:v>1</x:v>
      </x:c>
      <x:c r="V383" s="40" t="n">
        <x:v>0.9951670951156812</x:v>
      </x:c>
      <x:c r="W383" s="31" t="n">
        <x:v>0</x:v>
      </x:c>
      <x:c r="X383" s="31" t="str"/>
      <x:c r="Y383" s="31" t="n">
        <x:v>0</x:v>
      </x:c>
      <x:c r="Z383" s="31" t="n">
        <x:v>0</x:v>
      </x:c>
      <x:c r="AA383" s="31" t="n">
        <x:v>0</x:v>
      </x:c>
      <x:c r="AB383" s="31" t="str"/>
      <x:c r="AC383" s="31" t="str"/>
    </x:row>
    <x:row r="384">
      <x:c r="A384" s="31" t="str">
        <x:v>7223ffa3beade728</x:v>
      </x:c>
      <x:c r="B384" s="31" t="str">
        <x:v>7223ffa3beade728e59c9ac1b25c1a3ecdc27bba228657beb71bc23a735cf26e</x:v>
      </x:c>
      <x:c r="C384" s="31" t="n">
        <x:v>9</x:v>
      </x:c>
      <x:c r="D384" s="31" t="n">
        <x:v>32335</x:v>
      </x:c>
      <x:c r="E384" s="31" t="str">
        <x:v>Queens</x:v>
      </x:c>
      <x:c r="F384" s="31" t="str">
        <x:v>Fresh Meadows-Utopia</x:v>
      </x:c>
      <x:c r="G384" s="31" t="n">
        <x:v>17598.75782117882</x:v>
      </x:c>
      <x:c r="H384" s="31" t="n">
        <x:v>10912</x:v>
      </x:c>
      <x:c r="I384" s="31" t="n">
        <x:v>3.3310293159609126</x:v>
      </x:c>
      <x:c r="J384" s="40" t="n">
        <x:v>0.11171187683284457</x:v>
      </x:c>
      <x:c r="K384" s="40" t="n">
        <x:v>0.17650293255131966</x:v>
      </x:c>
      <x:c r="L384" s="40" t="n">
        <x:v>0.34769061583577715</x:v>
      </x:c>
      <x:c r="M384" s="31" t="n">
        <x:v>47.62926661441312</x:v>
      </x:c>
      <x:c r="N384" s="31" t="n">
        <x:v>25</x:v>
      </x:c>
      <x:c r="O384" s="31" t="n">
        <x:v>0.7731560228854183</x:v>
      </x:c>
      <x:c r="P384" s="31" t="n">
        <x:v>1.7964626099706744</x:v>
      </x:c>
      <x:c r="Q384" s="40" t="n">
        <x:v>0</x:v>
      </x:c>
      <x:c r="R384" s="31" t="n">
        <x:v>0.24089586076052735</x:v>
      </x:c>
      <x:c r="S384" s="40"/>
      <x:c r="T384" s="40"/>
      <x:c r="U384" s="40" t="n">
        <x:v>1</x:v>
      </x:c>
      <x:c r="V384" s="40" t="n">
        <x:v>0.9978005865102639</x:v>
      </x:c>
      <x:c r="W384" s="31" t="n">
        <x:v>0</x:v>
      </x:c>
      <x:c r="X384" s="31" t="str"/>
      <x:c r="Y384" s="31" t="n">
        <x:v>0</x:v>
      </x:c>
      <x:c r="Z384" s="31" t="n">
        <x:v>0</x:v>
      </x:c>
      <x:c r="AA384" s="31" t="n">
        <x:v>0</x:v>
      </x:c>
      <x:c r="AB384" s="31" t="str"/>
      <x:c r="AC384" s="31" t="str"/>
    </x:row>
    <x:row r="385">
      <x:c r="A385" s="31" t="str">
        <x:v>72b48f66acfd7b17</x:v>
      </x:c>
      <x:c r="B385" s="31" t="str">
        <x:v>72b48f66acfd7b173bb72734d12187e5d77dbc85ac86fb764c66c2ac8298d55f</x:v>
      </x:c>
      <x:c r="C385" s="31" t="n">
        <x:v>9</x:v>
      </x:c>
      <x:c r="D385" s="31" t="n">
        <x:v>33176</x:v>
      </x:c>
      <x:c r="E385" s="31" t="str">
        <x:v>Queens</x:v>
      </x:c>
      <x:c r="F385" s="31" t="str">
        <x:v>Woodside</x:v>
      </x:c>
      <x:c r="G385" s="31" t="n">
        <x:v>61467.0455281126</x:v>
      </x:c>
      <x:c r="H385" s="31" t="n">
        <x:v>11159</x:v>
      </x:c>
      <x:c r="I385" s="31" t="n">
        <x:v>4.244348490294752</x:v>
      </x:c>
      <x:c r="J385" s="40" t="n">
        <x:v>0.05063177704095349</x:v>
      </x:c>
      <x:c r="K385" s="40" t="n">
        <x:v>0.6737162828210413</x:v>
      </x:c>
      <x:c r="L385" s="40" t="n">
        <x:v>0.04588224751321803</x:v>
      </x:c>
      <x:c r="M385" s="31" t="n">
        <x:v>46.64085762126822</x:v>
      </x:c>
      <x:c r="N385" s="31" t="n">
        <x:v>90</x:v>
      </x:c>
      <x:c r="O385" s="31" t="n">
        <x:v>2.712804436942368</x:v>
      </x:c>
      <x:c r="P385" s="31" t="n">
        <x:v>3</x:v>
      </x:c>
      <x:c r="Q385" s="40" t="n">
        <x:v>0</x:v>
      </x:c>
      <x:c r="R385" s="31" t="n">
        <x:v>0.2145509239373698</x:v>
      </x:c>
      <x:c r="S385" s="40"/>
      <x:c r="T385" s="40"/>
      <x:c r="U385" s="40" t="n">
        <x:v>1</x:v>
      </x:c>
      <x:c r="V385" s="40" t="n">
        <x:v>0.9836006810646115</x:v>
      </x:c>
      <x:c r="W385" s="31" t="n">
        <x:v>0</x:v>
      </x:c>
      <x:c r="X385" s="31" t="str"/>
      <x:c r="Y385" s="31" t="n">
        <x:v>0</x:v>
      </x:c>
      <x:c r="Z385" s="31" t="n">
        <x:v>0</x:v>
      </x:c>
      <x:c r="AA385" s="31" t="n">
        <x:v>0</x:v>
      </x:c>
      <x:c r="AB385" s="31" t="str"/>
      <x:c r="AC385" s="31" t="str"/>
    </x:row>
    <x:row r="386">
      <x:c r="A386" s="31" t="str">
        <x:v>740850624b9ce038</x:v>
      </x:c>
      <x:c r="B386" s="31" t="str">
        <x:v>740850624b9ce038d95da10542af959d1a3d094881d0a22f56f2c2d4d53d4101</x:v>
      </x:c>
      <x:c r="C386" s="31" t="n">
        <x:v>7</x:v>
      </x:c>
      <x:c r="D386" s="31" t="n">
        <x:v>33312</x:v>
      </x:c>
      <x:c r="E386" s="31" t="str">
        <x:v>Bronx</x:v>
      </x:c>
      <x:c r="F386" s="31" t="str">
        <x:v>Soundview-Bruckner-Bronx River</x:v>
      </x:c>
      <x:c r="G386" s="31" t="n">
        <x:v>65202.096476247876</x:v>
      </x:c>
      <x:c r="H386" s="31" t="n">
        <x:v>11779</x:v>
      </x:c>
      <x:c r="I386" s="31" t="n">
        <x:v>7.576025129467697</x:v>
      </x:c>
      <x:c r="J386" s="40" t="n">
        <x:v>0.25893539349690126</x:v>
      </x:c>
      <x:c r="K386" s="40" t="n">
        <x:v>0.5159181594362849</x:v>
      </x:c>
      <x:c r="L386" s="40" t="n">
        <x:v>0.019696069275829866</x:v>
      </x:c>
      <x:c r="M386" s="31" t="n">
        <x:v>76.36203203616881</x:v>
      </x:c>
      <x:c r="N386" s="31" t="n">
        <x:v>96</x:v>
      </x:c>
      <x:c r="O386" s="31" t="n">
        <x:v>2.881844380403458</x:v>
      </x:c>
      <x:c r="P386" s="31" t="n">
        <x:v>4</x:v>
      </x:c>
      <x:c r="Q386" s="40" t="n">
        <x:v>1</x:v>
      </x:c>
      <x:c r="R386" s="31" t="n">
        <x:v>0.10548566120043884</x:v>
      </x:c>
      <x:c r="S386" s="40"/>
      <x:c r="T386" s="40"/>
      <x:c r="U386" s="40" t="n">
        <x:v>1</x:v>
      </x:c>
      <x:c r="V386" s="40" t="n">
        <x:v>0.986756091349011</x:v>
      </x:c>
      <x:c r="W386" s="31" t="n">
        <x:v>1</x:v>
      </x:c>
      <x:c r="X386" s="31" t="str"/>
      <x:c r="Y386" s="31" t="n">
        <x:v>0</x:v>
      </x:c>
      <x:c r="Z386" s="31" t="n">
        <x:v>1</x:v>
      </x:c>
      <x:c r="AA386" s="31" t="n">
        <x:v>0</x:v>
      </x:c>
      <x:c r="AB386" s="31" t="str"/>
      <x:c r="AC386" s="31" t="str"/>
    </x:row>
    <x:row r="387">
      <x:c r="A387" s="31" t="str">
        <x:v>7413fa8cb12d3bf5</x:v>
      </x:c>
      <x:c r="B387" s="31" t="str">
        <x:v>7413fa8cb12d3bf50da30b06fe44ebdd6700f9e03505230ccee3047a6db3595b</x:v>
      </x:c>
      <x:c r="C387" s="31" t="n">
        <x:v>8</x:v>
      </x:c>
      <x:c r="D387" s="31" t="n">
        <x:v>35661</x:v>
      </x:c>
      <x:c r="E387" s="31" t="str">
        <x:v>Bronx</x:v>
      </x:c>
      <x:c r="F387" s="31" t="str">
        <x:v>Kingsbridge Heights-Van Cortlandt Village</x:v>
      </x:c>
      <x:c r="G387" s="31" t="n">
        <x:v>55915.99063709226</x:v>
      </x:c>
      <x:c r="H387" s="31" t="n">
        <x:v>16183</x:v>
      </x:c>
      <x:c r="I387" s="31" t="n">
        <x:v>8.077982696377443</x:v>
      </x:c>
      <x:c r="J387" s="40" t="n">
        <x:v>0.2416733609343138</x:v>
      </x:c>
      <x:c r="K387" s="40" t="n">
        <x:v>0.6652042266576037</x:v>
      </x:c>
      <x:c r="L387" s="40" t="n">
        <x:v>0.06852870295989619</x:v>
      </x:c>
      <x:c r="M387" s="31" t="n">
        <x:v>83.95633633248869</x:v>
      </x:c>
      <x:c r="N387" s="31" t="n">
        <x:v>222</x:v>
      </x:c>
      <x:c r="O387" s="31" t="n">
        <x:v>6.225288129889796</x:v>
      </x:c>
      <x:c r="P387" s="31" t="n">
        <x:v>1</x:v>
      </x:c>
      <x:c r="Q387" s="40" t="n">
        <x:v>0</x:v>
      </x:c>
      <x:c r="R387" s="31" t="n">
        <x:v>0.14681799211037763</x:v>
      </x:c>
      <x:c r="S387" s="40"/>
      <x:c r="T387" s="40"/>
      <x:c r="U387" s="40" t="n">
        <x:v>1</x:v>
      </x:c>
      <x:c r="V387" s="40" t="n">
        <x:v>0.9410492492121362</x:v>
      </x:c>
      <x:c r="W387" s="31" t="n">
        <x:v>0</x:v>
      </x:c>
      <x:c r="X387" s="31" t="str"/>
      <x:c r="Y387" s="31" t="n">
        <x:v>0</x:v>
      </x:c>
      <x:c r="Z387" s="31" t="n">
        <x:v>0</x:v>
      </x:c>
      <x:c r="AA387" s="31" t="n">
        <x:v>0</x:v>
      </x:c>
      <x:c r="AB387" s="31" t="str"/>
      <x:c r="AC387" s="31" t="str"/>
    </x:row>
    <x:row r="388">
      <x:c r="A388" s="31" t="str">
        <x:v>746bfab3fd0fdc12</x:v>
      </x:c>
      <x:c r="B388" s="31" t="str">
        <x:v>746bfab3fd0fdc12de2b3d4ff113e7ac55f6bcad1bfa7e091c3c24cf85783fd9</x:v>
      </x:c>
      <x:c r="C388" s="31" t="n">
        <x:v>8</x:v>
      </x:c>
      <x:c r="D388" s="31" t="n">
        <x:v>32262</x:v>
      </x:c>
      <x:c r="E388" s="31" t="str">
        <x:v>Manhattan</x:v>
      </x:c>
      <x:c r="F388" s="31" t="str">
        <x:v>Harlem (South)</x:v>
      </x:c>
      <x:c r="G388" s="31" t="n">
        <x:v>71736.08542386144</x:v>
      </x:c>
      <x:c r="H388" s="31" t="n">
        <x:v>16522</x:v>
      </x:c>
      <x:c r="I388" s="31" t="n">
        <x:v>8.291669215242523</x:v>
      </x:c>
      <x:c r="J388" s="40" t="n">
        <x:v>0.3012347173465682</x:v>
      </x:c>
      <x:c r="K388" s="40" t="n">
        <x:v>0.6879312431908969</x:v>
      </x:c>
      <x:c r="L388" s="40" t="n">
        <x:v>0.08116450792882218</x:v>
      </x:c>
      <x:c r="M388" s="31" t="n">
        <x:v>90.86475159793112</x:v>
      </x:c>
      <x:c r="N388" s="31" t="n">
        <x:v>323</x:v>
      </x:c>
      <x:c r="O388" s="31" t="n">
        <x:v>10.011778563015312</x:v>
      </x:c>
      <x:c r="P388" s="31" t="n">
        <x:v>4.3201186297058465</x:v>
      </x:c>
      <x:c r="Q388" s="40" t="n">
        <x:v>0.9436508897227939</x:v>
      </x:c>
      <x:c r="R388" s="31" t="n">
        <x:v>0.08962338045379158</x:v>
      </x:c>
      <x:c r="S388" s="40"/>
      <x:c r="T388" s="40"/>
      <x:c r="U388" s="40" t="n">
        <x:v>1</x:v>
      </x:c>
      <x:c r="V388" s="40" t="n">
        <x:v>0.9736109429851107</x:v>
      </x:c>
      <x:c r="W388" s="31" t="n">
        <x:v>0</x:v>
      </x:c>
      <x:c r="X388" s="31" t="str"/>
      <x:c r="Y388" s="31" t="n">
        <x:v>0</x:v>
      </x:c>
      <x:c r="Z388" s="31" t="n">
        <x:v>0</x:v>
      </x:c>
      <x:c r="AA388" s="31" t="n">
        <x:v>0</x:v>
      </x:c>
      <x:c r="AB388" s="31" t="str"/>
      <x:c r="AC388" s="31" t="str"/>
    </x:row>
    <x:row r="389">
      <x:c r="A389" s="31" t="str">
        <x:v>74b06a44c7cf8011</x:v>
      </x:c>
      <x:c r="B389" s="31" t="str">
        <x:v>74b06a44c7cf80115108299537026ebc8140319d3e4e56c8612884245899dd51</x:v>
      </x:c>
      <x:c r="C389" s="31" t="n">
        <x:v>9</x:v>
      </x:c>
      <x:c r="D389" s="31" t="n">
        <x:v>33294</x:v>
      </x:c>
      <x:c r="E389" s="31" t="str">
        <x:v>Manhattan</x:v>
      </x:c>
      <x:c r="F389" s="31" t="str">
        <x:v>Midtown South-Flatiron-Union Square</x:v>
      </x:c>
      <x:c r="G389" s="31" t="n">
        <x:v>55038.86454512553</x:v>
      </x:c>
      <x:c r="H389" s="31" t="n">
        <x:v>22145</x:v>
      </x:c>
      <x:c r="I389" s="31" t="n">
        <x:v>20.581456163692252</x:v>
      </x:c>
      <x:c r="J389" s="40" t="n">
        <x:v>0.7226913524497629</x:v>
      </x:c>
      <x:c r="K389" s="40" t="n">
        <x:v>0.26145856852562654</x:v>
      </x:c>
      <x:c r="L389" s="40" t="n">
        <x:v>0.014269586814179273</x:v>
      </x:c>
      <x:c r="M389" s="31" t="n">
        <x:v>215.17738044213996</x:v>
      </x:c>
      <x:c r="N389" s="31" t="n">
        <x:v>743</x:v>
      </x:c>
      <x:c r="O389" s="31" t="n">
        <x:v>22.316333273262448</x:v>
      </x:c>
      <x:c r="P389" s="31" t="n">
        <x:v>1.4685933619327163</x:v>
      </x:c>
      <x:c r="Q389" s="40" t="n">
        <x:v>0</x:v>
      </x:c>
      <x:c r="R389" s="31" t="n">
        <x:v>0.09131006673641595</x:v>
      </x:c>
      <x:c r="S389" s="40"/>
      <x:c r="T389" s="40"/>
      <x:c r="U389" s="40" t="n">
        <x:v>1</x:v>
      </x:c>
      <x:c r="V389" s="40" t="n">
        <x:v>0.9575976518401444</x:v>
      </x:c>
      <x:c r="W389" s="31" t="n">
        <x:v>0</x:v>
      </x:c>
      <x:c r="X389" s="31" t="str"/>
      <x:c r="Y389" s="31" t="n">
        <x:v>0</x:v>
      </x:c>
      <x:c r="Z389" s="31" t="n">
        <x:v>0</x:v>
      </x:c>
      <x:c r="AA389" s="31" t="n">
        <x:v>0</x:v>
      </x:c>
      <x:c r="AB389" s="31" t="str"/>
      <x:c r="AC389" s="31" t="str"/>
    </x:row>
    <x:row r="390">
      <x:c r="A390" s="31" t="str">
        <x:v>74dae5a04c3daaf1</x:v>
      </x:c>
      <x:c r="B390" s="31" t="str">
        <x:v>74dae5a04c3daaf11d6e547287a700dc62ce602d069175620a76401e2615013d</x:v>
      </x:c>
      <x:c r="C390" s="31" t="n">
        <x:v>8</x:v>
      </x:c>
      <x:c r="D390" s="31" t="n">
        <x:v>33381</x:v>
      </x:c>
      <x:c r="E390" s="31" t="str">
        <x:v>Bronx</x:v>
      </x:c>
      <x:c r="F390" s="31" t="str">
        <x:v>Soundview-Clason Point</x:v>
      </x:c>
      <x:c r="G390" s="31" t="n">
        <x:v>34149.22754288878</x:v>
      </x:c>
      <x:c r="H390" s="31" t="n">
        <x:v>11514</x:v>
      </x:c>
      <x:c r="I390" s="31" t="n">
        <x:v>5.451099237978453</x:v>
      </x:c>
      <x:c r="J390" s="40" t="n">
        <x:v>0.20001737015806845</x:v>
      </x:c>
      <x:c r="K390" s="40" t="n">
        <x:v>0.4668229980892826</x:v>
      </x:c>
      <x:c r="L390" s="40" t="n">
        <x:v>0.3068438422789647</x:v>
      </x:c>
      <x:c r="M390" s="31" t="n">
        <x:v>79.19858992354348</x:v>
      </x:c>
      <x:c r="N390" s="31" t="n">
        <x:v>81</x:v>
      </x:c>
      <x:c r="O390" s="31" t="n">
        <x:v>2.4265300620113237</x:v>
      </x:c>
      <x:c r="P390" s="31" t="n">
        <x:v>4</x:v>
      </x:c>
      <x:c r="Q390" s="40" t="n">
        <x:v>1</x:v>
      </x:c>
      <x:c r="R390" s="31" t="n">
        <x:v>0.19544801142522047</x:v>
      </x:c>
      <x:c r="S390" s="40"/>
      <x:c r="T390" s="40"/>
      <x:c r="U390" s="40" t="n">
        <x:v>1</x:v>
      </x:c>
      <x:c r="V390" s="40" t="n">
        <x:v>0.9987840889352093</x:v>
      </x:c>
      <x:c r="W390" s="31" t="n">
        <x:v>0</x:v>
      </x:c>
      <x:c r="X390" s="31" t="str"/>
      <x:c r="Y390" s="31" t="n">
        <x:v>0</x:v>
      </x:c>
      <x:c r="Z390" s="31" t="n">
        <x:v>0</x:v>
      </x:c>
      <x:c r="AA390" s="31" t="n">
        <x:v>0</x:v>
      </x:c>
      <x:c r="AB390" s="31" t="str"/>
      <x:c r="AC390" s="31" t="str"/>
    </x:row>
    <x:row r="391">
      <x:c r="A391" s="31" t="str">
        <x:v>752b7537b327536b</x:v>
      </x:c>
      <x:c r="B391" s="31" t="str">
        <x:v>752b7537b327536b08c5415ee2250826b9486ee93fa02e56f825f8e239aa4f25</x:v>
      </x:c>
      <x:c r="C391" s="31" t="n">
        <x:v>8</x:v>
      </x:c>
      <x:c r="D391" s="31" t="n">
        <x:v>35041</x:v>
      </x:c>
      <x:c r="E391" s="31" t="str">
        <x:v>Brooklyn</x:v>
      </x:c>
      <x:c r="F391" s="31" t="str">
        <x:v>Sunset Park (West)</x:v>
      </x:c>
      <x:c r="G391" s="31" t="n">
        <x:v>63424.77194001381</x:v>
      </x:c>
      <x:c r="H391" s="31" t="n">
        <x:v>10252</x:v>
      </x:c>
      <x:c r="I391" s="31" t="n">
        <x:v>3.186696752673403</x:v>
      </x:c>
      <x:c r="J391" s="40" t="n">
        <x:v>0</x:v>
      </x:c>
      <x:c r="K391" s="40" t="n">
        <x:v>0.6381193913382754</x:v>
      </x:c>
      <x:c r="L391" s="40" t="n">
        <x:v>0.009168942645337495</x:v>
      </x:c>
      <x:c r="M391" s="31" t="n">
        <x:v>39.19286102239338</x:v>
      </x:c>
      <x:c r="N391" s="31" t="n">
        <x:v>53</x:v>
      </x:c>
      <x:c r="O391" s="31" t="n">
        <x:v>1.512513912274193</x:v>
      </x:c>
      <x:c r="P391" s="31" t="n">
        <x:v>3.347054233320328</x:v>
      </x:c>
      <x:c r="Q391" s="40" t="n">
        <x:v>0.34705423332032775</x:v>
      </x:c>
      <x:c r="R391" s="31" t="n">
        <x:v>0.10124783362516956</x:v>
      </x:c>
      <x:c r="S391" s="40"/>
      <x:c r="T391" s="40"/>
      <x:c r="U391" s="40" t="n">
        <x:v>1</x:v>
      </x:c>
      <x:c r="V391" s="40" t="n">
        <x:v>0.990343347639485</x:v>
      </x:c>
      <x:c r="W391" s="31" t="n">
        <x:v>0</x:v>
      </x:c>
      <x:c r="X391" s="31" t="str"/>
      <x:c r="Y391" s="31" t="n">
        <x:v>0</x:v>
      </x:c>
      <x:c r="Z391" s="31" t="n">
        <x:v>0</x:v>
      </x:c>
      <x:c r="AA391" s="31" t="n">
        <x:v>0</x:v>
      </x:c>
      <x:c r="AB391" s="31" t="str"/>
      <x:c r="AC391" s="31" t="str"/>
    </x:row>
    <x:row r="392">
      <x:c r="A392" s="31" t="str">
        <x:v>7576729996bd9f63</x:v>
      </x:c>
      <x:c r="B392" s="31" t="str">
        <x:v>7576729996bd9f6373bf49998ea838d99e5ab90bdb07adf6cdd63d7e08d9a806</x:v>
      </x:c>
      <x:c r="C392" s="31" t="n">
        <x:v>10</x:v>
      </x:c>
      <x:c r="D392" s="31" t="n">
        <x:v>32899</x:v>
      </x:c>
      <x:c r="E392" s="31" t="str">
        <x:v>Queens</x:v>
      </x:c>
      <x:c r="F392" s="31" t="str">
        <x:v>South Ozone Park</x:v>
      </x:c>
      <x:c r="G392" s="31" t="n">
        <x:v>41922.822209782025</x:v>
      </x:c>
      <x:c r="H392" s="31" t="n">
        <x:v>8748</x:v>
      </x:c>
      <x:c r="I392" s="31" t="n">
        <x:v>2.362003886602652</x:v>
      </x:c>
      <x:c r="J392" s="40" t="n">
        <x:v>0</x:v>
      </x:c>
      <x:c r="K392" s="40" t="n">
        <x:v>0.10745313214449016</x:v>
      </x:c>
      <x:c r="L392" s="40" t="n">
        <x:v>0.019661636945587563</x:v>
      </x:c>
      <x:c r="M392" s="31" t="n">
        <x:v>28.98853489670899</x:v>
      </x:c>
      <x:c r="N392" s="31" t="n">
        <x:v>7</x:v>
      </x:c>
      <x:c r="O392" s="31" t="n">
        <x:v>0.2127724246937597</x:v>
      </x:c>
      <x:c r="P392" s="31" t="n">
        <x:v>3.982395976223137</x:v>
      </x:c>
      <x:c r="Q392" s="40" t="n">
        <x:v>0.9823959762231367</x:v>
      </x:c>
      <x:c r="R392" s="31" t="n">
        <x:v>0.1625687692860189</x:v>
      </x:c>
      <x:c r="S392" s="40"/>
      <x:c r="T392" s="40"/>
      <x:c r="U392" s="40" t="n">
        <x:v>1</x:v>
      </x:c>
      <x:c r="V392" s="40" t="n">
        <x:v>0.9993141289437586</x:v>
      </x:c>
      <x:c r="W392" s="31" t="n">
        <x:v>0</x:v>
      </x:c>
      <x:c r="X392" s="31" t="str"/>
      <x:c r="Y392" s="31" t="n">
        <x:v>0</x:v>
      </x:c>
      <x:c r="Z392" s="31" t="n">
        <x:v>0</x:v>
      </x:c>
      <x:c r="AA392" s="31" t="n">
        <x:v>0</x:v>
      </x:c>
      <x:c r="AB392" s="31" t="str"/>
      <x:c r="AC392" s="31" t="str"/>
    </x:row>
    <x:row r="393">
      <x:c r="A393" s="31" t="str">
        <x:v>75b14e019d13fc88</x:v>
      </x:c>
      <x:c r="B393" s="31" t="str">
        <x:v>75b14e019d13fc886fbed8e9c918c6d6af494272f50416b8577caff6fbdc9f83</x:v>
      </x:c>
      <x:c r="C393" s="31" t="n">
        <x:v>5</x:v>
      </x:c>
      <x:c r="D393" s="31" t="n">
        <x:v>34186</x:v>
      </x:c>
      <x:c r="E393" s="31" t="str">
        <x:v>Manhattan</x:v>
      </x:c>
      <x:c r="F393" s="31" t="str">
        <x:v>Washington Heights (South)</x:v>
      </x:c>
      <x:c r="G393" s="31" t="n">
        <x:v>108990.9665124461</x:v>
      </x:c>
      <x:c r="H393" s="31" t="n">
        <x:v>14002</x:v>
      </x:c>
      <x:c r="I393" s="31" t="n">
        <x:v>6.831274103699472</x:v>
      </x:c>
      <x:c r="J393" s="40" t="n">
        <x:v>0.15197828881588343</x:v>
      </x:c>
      <x:c r="K393" s="40" t="n">
        <x:v>0.8450221396943294</x:v>
      </x:c>
      <x:c r="L393" s="40" t="n">
        <x:v>0.009998571632623911</x:v>
      </x:c>
      <x:c r="M393" s="31" t="n">
        <x:v>84.66983821993877</x:v>
      </x:c>
      <x:c r="N393" s="31" t="n">
        <x:v>208</x:v>
      </x:c>
      <x:c r="O393" s="31" t="n">
        <x:v>6.084362019540162</x:v>
      </x:c>
      <x:c r="P393" s="31" t="n">
        <x:v>3</x:v>
      </x:c>
      <x:c r="Q393" s="40" t="n">
        <x:v>0</x:v>
      </x:c>
      <x:c r="R393" s="31" t="n">
        <x:v>0.16372910543847602</x:v>
      </x:c>
      <x:c r="S393" s="40"/>
      <x:c r="T393" s="40"/>
      <x:c r="U393" s="40" t="n">
        <x:v>1</x:v>
      </x:c>
      <x:c r="V393" s="40" t="n">
        <x:v>0.9914297957434652</x:v>
      </x:c>
      <x:c r="W393" s="31" t="n">
        <x:v>0</x:v>
      </x:c>
      <x:c r="X393" s="31" t="str"/>
      <x:c r="Y393" s="31" t="n">
        <x:v>0</x:v>
      </x:c>
      <x:c r="Z393" s="31" t="n">
        <x:v>0</x:v>
      </x:c>
      <x:c r="AA393" s="31" t="n">
        <x:v>0</x:v>
      </x:c>
      <x:c r="AB393" s="31" t="str"/>
      <x:c r="AC393" s="31" t="str"/>
    </x:row>
    <x:row r="394">
      <x:c r="A394" s="31" t="str">
        <x:v>76537f48d81b3c12</x:v>
      </x:c>
      <x:c r="B394" s="31" t="str">
        <x:v>76537f48d81b3c127ee93da2f1b66b310f446e7c224f01bc7c28b7c0bea11bf0</x:v>
      </x:c>
      <x:c r="C394" s="31" t="n">
        <x:v>7</x:v>
      </x:c>
      <x:c r="D394" s="31" t="n">
        <x:v>32880</x:v>
      </x:c>
      <x:c r="E394" s="31" t="str">
        <x:v>Staten Island</x:v>
      </x:c>
      <x:c r="F394" s="31" t="str">
        <x:v>Oakwood-Richmondtown</x:v>
      </x:c>
      <x:c r="G394" s="31" t="n">
        <x:v>10894.261495263467</x:v>
      </x:c>
      <x:c r="H394" s="31" t="n">
        <x:v>12486</x:v>
      </x:c>
      <x:c r="I394" s="31" t="n">
        <x:v>2.316928868952259</x:v>
      </x:c>
      <x:c r="J394" s="40" t="n">
        <x:v>0</x:v>
      </x:c>
      <x:c r="K394" s="40" t="n">
        <x:v>0.19045330770462918</x:v>
      </x:c>
      <x:c r="L394" s="40" t="n">
        <x:v>0.1118853115489348</x:v>
      </x:c>
      <x:c r="M394" s="31" t="n">
        <x:v>28.38094086297913</x:v>
      </x:c>
      <x:c r="N394" s="31" t="n">
        <x:v>26</x:v>
      </x:c>
      <x:c r="O394" s="31" t="n">
        <x:v>0.7907542579075426</x:v>
      </x:c>
      <x:c r="P394" s="31" t="n">
        <x:v>1.0834534678840302</x:v>
      </x:c>
      <x:c r="Q394" s="40" t="n">
        <x:v>0</x:v>
      </x:c>
      <x:c r="R394" s="31" t="n">
        <x:v>0.3405808941224832</x:v>
      </x:c>
      <x:c r="S394" s="40"/>
      <x:c r="T394" s="40"/>
      <x:c r="U394" s="40" t="n">
        <x:v>1</x:v>
      </x:c>
      <x:c r="V394" s="40" t="n">
        <x:v>0.99415345186609</x:v>
      </x:c>
      <x:c r="W394" s="31" t="n">
        <x:v>0</x:v>
      </x:c>
      <x:c r="X394" s="31" t="str"/>
      <x:c r="Y394" s="31" t="n">
        <x:v>0</x:v>
      </x:c>
      <x:c r="Z394" s="31" t="n">
        <x:v>0</x:v>
      </x:c>
      <x:c r="AA394" s="31" t="n">
        <x:v>0</x:v>
      </x:c>
      <x:c r="AB394" s="31" t="str"/>
      <x:c r="AC394" s="31" t="str"/>
    </x:row>
    <x:row r="395">
      <x:c r="A395" s="31" t="str">
        <x:v>766e43024df755b6</x:v>
      </x:c>
      <x:c r="B395" s="31" t="str">
        <x:v>766e43024df755b6c9f0be26e45697fb2a4c28f29227cf579d07b105caa20dd6</x:v>
      </x:c>
      <x:c r="C395" s="31" t="n">
        <x:v>9</x:v>
      </x:c>
      <x:c r="D395" s="31" t="n">
        <x:v>34951</x:v>
      </x:c>
      <x:c r="E395" s="31" t="str">
        <x:v>Brooklyn</x:v>
      </x:c>
      <x:c r="F395" s="31" t="str">
        <x:v>East Williamsburg</x:v>
      </x:c>
      <x:c r="G395" s="31" t="n">
        <x:v>53340.68827450003</x:v>
      </x:c>
      <x:c r="H395" s="31" t="n">
        <x:v>16841</x:v>
      </x:c>
      <x:c r="I395" s="31" t="n">
        <x:v>8.760330825271707</x:v>
      </x:c>
      <x:c r="J395" s="40" t="n">
        <x:v>0.2659580784989015</x:v>
      </x:c>
      <x:c r="K395" s="40" t="n">
        <x:v>0.6845199216198563</x:v>
      </x:c>
      <x:c r="L395" s="40" t="n">
        <x:v>0.31666765631494564</x:v>
      </x:c>
      <x:c r="M395" s="31" t="n">
        <x:v>89.12608514417096</x:v>
      </x:c>
      <x:c r="N395" s="31" t="n">
        <x:v>210</x:v>
      </x:c>
      <x:c r="O395" s="31" t="n">
        <x:v>6.008411776487082</x:v>
      </x:c>
      <x:c r="P395" s="31" t="n">
        <x:v>3.842645923638739</x:v>
      </x:c>
      <x:c r="Q395" s="40" t="n">
        <x:v>0.8426459236387388</x:v>
      </x:c>
      <x:c r="R395" s="31" t="n">
        <x:v>0.1131600899002645</x:v>
      </x:c>
      <x:c r="S395" s="40"/>
      <x:c r="T395" s="40"/>
      <x:c r="U395" s="40" t="n">
        <x:v>1</x:v>
      </x:c>
      <x:c r="V395" s="40" t="n">
        <x:v>0.9801674484888071</x:v>
      </x:c>
      <x:c r="W395" s="31" t="n">
        <x:v>0</x:v>
      </x:c>
      <x:c r="X395" s="31" t="str"/>
      <x:c r="Y395" s="31" t="n">
        <x:v>0</x:v>
      </x:c>
      <x:c r="Z395" s="31" t="n">
        <x:v>0</x:v>
      </x:c>
      <x:c r="AA395" s="31" t="n">
        <x:v>0</x:v>
      </x:c>
      <x:c r="AB395" s="31" t="str"/>
      <x:c r="AC395" s="31" t="str"/>
    </x:row>
    <x:row r="396">
      <x:c r="A396" s="31" t="str">
        <x:v>7683ade833daf613</x:v>
      </x:c>
      <x:c r="B396" s="31" t="str">
        <x:v>7683ade833daf613c65b499a79df615776872f7003c880a5cdb91a332af96ae0</x:v>
      </x:c>
      <x:c r="C396" s="31" t="n">
        <x:v>7</x:v>
      </x:c>
      <x:c r="D396" s="31" t="n">
        <x:v>32261</x:v>
      </x:c>
      <x:c r="E396" s="31" t="str">
        <x:v>Brooklyn</x:v>
      </x:c>
      <x:c r="F396" s="31" t="str">
        <x:v>Borough Park</x:v>
      </x:c>
      <x:c r="G396" s="31" t="n">
        <x:v>68190.08893043466</x:v>
      </x:c>
      <x:c r="H396" s="31" t="n">
        <x:v>9331</x:v>
      </x:c>
      <x:c r="I396" s="31" t="n">
        <x:v>3.9511917659804983</x:v>
      </x:c>
      <x:c r="J396" s="40" t="n">
        <x:v>0.0002143392991104919</x:v>
      </x:c>
      <x:c r="K396" s="40" t="n">
        <x:v>0.7722644946951024</x:v>
      </x:c>
      <x:c r="L396" s="40" t="n">
        <x:v>0.0019290536919944273</x:v>
      </x:c>
      <x:c r="M396" s="31" t="n">
        <x:v>45.737490547006495</x:v>
      </x:c>
      <x:c r="N396" s="31" t="n">
        <x:v>245</x:v>
      </x:c>
      <x:c r="O396" s="31" t="n">
        <x:v>7.594308917888472</x:v>
      </x:c>
      <x:c r="P396" s="31" t="n">
        <x:v>4</x:v>
      </x:c>
      <x:c r="Q396" s="40" t="n">
        <x:v>1</x:v>
      </x:c>
      <x:c r="R396" s="31" t="n">
        <x:v>0.27014846229159095</x:v>
      </x:c>
      <x:c r="S396" s="40"/>
      <x:c r="T396" s="40"/>
      <x:c r="U396" s="40" t="n">
        <x:v>1</x:v>
      </x:c>
      <x:c r="V396" s="40" t="n">
        <x:v>0.9891758653949202</x:v>
      </x:c>
      <x:c r="W396" s="31" t="n">
        <x:v>1</x:v>
      </x:c>
      <x:c r="X396" s="31" t="str"/>
      <x:c r="Y396" s="31" t="n">
        <x:v>0</x:v>
      </x:c>
      <x:c r="Z396" s="31" t="n">
        <x:v>1</x:v>
      </x:c>
      <x:c r="AA396" s="31" t="n">
        <x:v>0</x:v>
      </x:c>
      <x:c r="AB396" s="31" t="str"/>
      <x:c r="AC396" s="31" t="str"/>
    </x:row>
    <x:row r="397">
      <x:c r="A397" s="31" t="str">
        <x:v>76a1a3c61cde8309</x:v>
      </x:c>
      <x:c r="B397" s="31" t="str">
        <x:v>76a1a3c61cde8309741f63363c4a407dbb61c8f401b45f7e2822f736d0aae165</x:v>
      </x:c>
      <x:c r="C397" s="31" t="n">
        <x:v>10</x:v>
      </x:c>
      <x:c r="D397" s="31" t="n">
        <x:v>34201</x:v>
      </x:c>
      <x:c r="E397" s="31" t="str">
        <x:v>Brooklyn</x:v>
      </x:c>
      <x:c r="F397" s="31" t="str">
        <x:v>Crown Heights (North)</x:v>
      </x:c>
      <x:c r="G397" s="31" t="n">
        <x:v>57532.01567888935</x:v>
      </x:c>
      <x:c r="H397" s="31" t="n">
        <x:v>14504</x:v>
      </x:c>
      <x:c r="I397" s="31" t="n">
        <x:v>4.995287253141831</x:v>
      </x:c>
      <x:c r="J397" s="40" t="n">
        <x:v>0.11941533370104798</x:v>
      </x:c>
      <x:c r="K397" s="40" t="n">
        <x:v>0.7107004964147822</x:v>
      </x:c>
      <x:c r="L397" s="40" t="n">
        <x:v>0.11052123552123552</x:v>
      </x:c>
      <x:c r="M397" s="31" t="n">
        <x:v>57.08265434224952</x:v>
      </x:c>
      <x:c r="N397" s="31" t="n">
        <x:v>128</x:v>
      </x:c>
      <x:c r="O397" s="31" t="n">
        <x:v>3.742580626297477</x:v>
      </x:c>
      <x:c r="P397" s="31" t="n">
        <x:v>4.857901268615555</x:v>
      </x:c>
      <x:c r="Q397" s="40" t="n">
        <x:v>1</x:v>
      </x:c>
      <x:c r="R397" s="31" t="n">
        <x:v>0.14009567658610064</x:v>
      </x:c>
      <x:c r="S397" s="40"/>
      <x:c r="T397" s="40"/>
      <x:c r="U397" s="40" t="n">
        <x:v>1</x:v>
      </x:c>
      <x:c r="V397" s="40" t="n">
        <x:v>0.9853833425261996</x:v>
      </x:c>
      <x:c r="W397" s="31" t="n">
        <x:v>1</x:v>
      </x:c>
      <x:c r="X397" s="31" t="str"/>
      <x:c r="Y397" s="31" t="n">
        <x:v>0</x:v>
      </x:c>
      <x:c r="Z397" s="31" t="n">
        <x:v>1</x:v>
      </x:c>
      <x:c r="AA397" s="31" t="n">
        <x:v>0</x:v>
      </x:c>
      <x:c r="AB397" s="31" t="str"/>
      <x:c r="AC397" s="31" t="str"/>
    </x:row>
    <x:row r="398">
      <x:c r="A398" s="31" t="str">
        <x:v>777ff7817a131003</x:v>
      </x:c>
      <x:c r="B398" s="31" t="str">
        <x:v>777ff7817a13100343704f452c57a72337421fa206149b356606f74a5e3363db</x:v>
      </x:c>
      <x:c r="C398" s="31" t="n">
        <x:v>13</x:v>
      </x:c>
      <x:c r="D398" s="31" t="n">
        <x:v>34434</x:v>
      </x:c>
      <x:c r="E398" s="31" t="str">
        <x:v>Queens</x:v>
      </x:c>
      <x:c r="F398" s="31" t="str">
        <x:v>Maspeth</x:v>
      </x:c>
      <x:c r="G398" s="31" t="n">
        <x:v>32983.997726375026</x:v>
      </x:c>
      <x:c r="H398" s="31" t="n">
        <x:v>13175</x:v>
      </x:c>
      <x:c r="I398" s="31" t="n">
        <x:v>2.3269757023538347</x:v>
      </x:c>
      <x:c r="J398" s="40" t="n">
        <x:v>0</x:v>
      </x:c>
      <x:c r="K398" s="40" t="n">
        <x:v>0.27142314990512334</x:v>
      </x:c>
      <x:c r="L398" s="40" t="n">
        <x:v>0.01791271347248577</x:v>
      </x:c>
      <x:c r="M398" s="31" t="n">
        <x:v>28.255469185702726</x:v>
      </x:c>
      <x:c r="N398" s="31" t="n">
        <x:v>10</x:v>
      </x:c>
      <x:c r="O398" s="31" t="n">
        <x:v>0.2904106406458733</x:v>
      </x:c>
      <x:c r="P398" s="31" t="n">
        <x:v>1.9492220113851992</x:v>
      </x:c>
      <x:c r="Q398" s="40" t="n">
        <x:v>0</x:v>
      </x:c>
      <x:c r="R398" s="31" t="n">
        <x:v>0.22481818759549485</x:v>
      </x:c>
      <x:c r="S398" s="40"/>
      <x:c r="T398" s="40"/>
      <x:c r="U398" s="40" t="n">
        <x:v>1</x:v>
      </x:c>
      <x:c r="V398" s="40" t="n">
        <x:v>0.9947628083491461</x:v>
      </x:c>
      <x:c r="W398" s="31" t="n">
        <x:v>0</x:v>
      </x:c>
      <x:c r="X398" s="31" t="str"/>
      <x:c r="Y398" s="31" t="n">
        <x:v>0</x:v>
      </x:c>
      <x:c r="Z398" s="31" t="n">
        <x:v>0</x:v>
      </x:c>
      <x:c r="AA398" s="31" t="n">
        <x:v>0</x:v>
      </x:c>
      <x:c r="AB398" s="31" t="str"/>
      <x:c r="AC398" s="31" t="str"/>
    </x:row>
    <x:row r="399">
      <x:c r="A399" s="31" t="str">
        <x:v>77ab7bf8c4cd5d80</x:v>
      </x:c>
      <x:c r="B399" s="31" t="str">
        <x:v>77ab7bf8c4cd5d80823fe30cd68cc5ad077759d1020d37c97e8dc75fbac4f448</x:v>
      </x:c>
      <x:c r="C399" s="31" t="n">
        <x:v>7</x:v>
      </x:c>
      <x:c r="D399" s="31" t="n">
        <x:v>32502</x:v>
      </x:c>
      <x:c r="E399" s="31" t="str">
        <x:v>Queens</x:v>
      </x:c>
      <x:c r="F399" s="31" t="str">
        <x:v>Flushing-Willets Point</x:v>
      </x:c>
      <x:c r="G399" s="31" t="n">
        <x:v>77009.55270360029</x:v>
      </x:c>
      <x:c r="H399" s="31" t="n">
        <x:v>12214</x:v>
      </x:c>
      <x:c r="I399" s="31" t="n">
        <x:v>8.427603394298895</x:v>
      </x:c>
      <x:c r="J399" s="40" t="n">
        <x:v>0.2880301293597511</x:v>
      </x:c>
      <x:c r="K399" s="40" t="n">
        <x:v>0.5502701817586376</x:v>
      </x:c>
      <x:c r="L399" s="40" t="n">
        <x:v>0.08883248730964467</x:v>
      </x:c>
      <x:c r="M399" s="31" t="n">
        <x:v>82.50705662223692</x:v>
      </x:c>
      <x:c r="N399" s="31" t="n">
        <x:v>205</x:v>
      </x:c>
      <x:c r="O399" s="31" t="n">
        <x:v>6.307304165897483</x:v>
      </x:c>
      <x:c r="P399" s="31" t="n">
        <x:v>4</x:v>
      </x:c>
      <x:c r="Q399" s="40" t="n">
        <x:v>1</x:v>
      </x:c>
      <x:c r="R399" s="31" t="n">
        <x:v>0.1895045482862213</x:v>
      </x:c>
      <x:c r="S399" s="40"/>
      <x:c r="T399" s="40"/>
      <x:c r="U399" s="40" t="n">
        <x:v>1</x:v>
      </x:c>
      <x:c r="V399" s="40" t="n">
        <x:v>0.9779760930080236</x:v>
      </x:c>
      <x:c r="W399" s="31" t="n">
        <x:v>1</x:v>
      </x:c>
      <x:c r="X399" s="31" t="str"/>
      <x:c r="Y399" s="31" t="n">
        <x:v>0</x:v>
      </x:c>
      <x:c r="Z399" s="31" t="n">
        <x:v>1</x:v>
      </x:c>
      <x:c r="AA399" s="31" t="n">
        <x:v>0</x:v>
      </x:c>
      <x:c r="AB399" s="31" t="str"/>
      <x:c r="AC399" s="31" t="str"/>
    </x:row>
    <x:row r="400">
      <x:c r="A400" s="31" t="str">
        <x:v>77fafd1d63c0a969</x:v>
      </x:c>
      <x:c r="B400" s="31" t="str">
        <x:v>77fafd1d63c0a969107948e1079d1d6cbade6c2e757e251d786b5a63c8ae5b7a</x:v>
      </x:c>
      <x:c r="C400" s="31" t="n">
        <x:v>11</x:v>
      </x:c>
      <x:c r="D400" s="31" t="n">
        <x:v>32461</x:v>
      </x:c>
      <x:c r="E400" s="31" t="str">
        <x:v>Brooklyn</x:v>
      </x:c>
      <x:c r="F400" s="31" t="str">
        <x:v>Park Slope</x:v>
      </x:c>
      <x:c r="G400" s="31" t="n">
        <x:v>52282.12582699205</x:v>
      </x:c>
      <x:c r="H400" s="31" t="n">
        <x:v>17023</x:v>
      </x:c>
      <x:c r="I400" s="31" t="n">
        <x:v>4.309091180153855</x:v>
      </x:c>
      <x:c r="J400" s="40" t="n">
        <x:v>0.08811607824707748</x:v>
      </x:c>
      <x:c r="K400" s="40" t="n">
        <x:v>0.7007577982729248</x:v>
      </x:c>
      <x:c r="L400" s="40" t="n">
        <x:v>0.011278858015625918</x:v>
      </x:c>
      <x:c r="M400" s="31" t="n">
        <x:v>48.936339666049534</x:v>
      </x:c>
      <x:c r="N400" s="31" t="n">
        <x:v>174</x:v>
      </x:c>
      <x:c r="O400" s="31" t="n">
        <x:v>5.360278488031792</x:v>
      </x:c>
      <x:c r="P400" s="31" t="n">
        <x:v>1.3293779004875756</x:v>
      </x:c>
      <x:c r="Q400" s="40" t="n">
        <x:v>0.10979263349585855</x:v>
      </x:c>
      <x:c r="R400" s="31" t="n">
        <x:v>0.13656421645951367</x:v>
      </x:c>
      <x:c r="S400" s="40"/>
      <x:c r="T400" s="40"/>
      <x:c r="U400" s="40" t="n">
        <x:v>1</x:v>
      </x:c>
      <x:c r="V400" s="40" t="n">
        <x:v>0.9296833695588321</x:v>
      </x:c>
      <x:c r="W400" s="31" t="n">
        <x:v>0</x:v>
      </x:c>
      <x:c r="X400" s="31" t="str"/>
      <x:c r="Y400" s="31" t="n">
        <x:v>0</x:v>
      </x:c>
      <x:c r="Z400" s="31" t="n">
        <x:v>0</x:v>
      </x:c>
      <x:c r="AA400" s="31" t="n">
        <x:v>0</x:v>
      </x:c>
      <x:c r="AB400" s="31" t="str"/>
      <x:c r="AC400" s="31" t="str"/>
    </x:row>
    <x:row r="401">
      <x:c r="A401" s="31" t="str">
        <x:v>7876b03ddbd3b235</x:v>
      </x:c>
      <x:c r="B401" s="31" t="str">
        <x:v>7876b03ddbd3b23587e522348443fd62a8944b39a7451edc35d2e7b0e5be25bb</x:v>
      </x:c>
      <x:c r="C401" s="31" t="n">
        <x:v>8</x:v>
      </x:c>
      <x:c r="D401" s="31" t="n">
        <x:v>33078</x:v>
      </x:c>
      <x:c r="E401" s="31" t="str">
        <x:v>Manhattan</x:v>
      </x:c>
      <x:c r="F401" s="31" t="str">
        <x:v>Midtown South-Flatiron-Union Square</x:v>
      </x:c>
      <x:c r="G401" s="31" t="n">
        <x:v>61587.32450792677</x:v>
      </x:c>
      <x:c r="H401" s="31" t="n">
        <x:v>21985</x:v>
      </x:c>
      <x:c r="I401" s="31" t="n">
        <x:v>20.534454868974443</x:v>
      </x:c>
      <x:c r="J401" s="40" t="n">
        <x:v>0.7239026609051626</x:v>
      </x:c>
      <x:c r="K401" s="40" t="n">
        <x:v>0.26013190811917214</x:v>
      </x:c>
      <x:c r="L401" s="40" t="n">
        <x:v>0.014373436433932227</x:v>
      </x:c>
      <x:c r="M401" s="31" t="n">
        <x:v>214.82461793941937</x:v>
      </x:c>
      <x:c r="N401" s="31" t="n">
        <x:v>735</x:v>
      </x:c>
      <x:c r="O401" s="31" t="n">
        <x:v>22.220206783965175</x:v>
      </x:c>
      <x:c r="P401" s="31" t="n">
        <x:v>1.4647259495110303</x:v>
      </x:c>
      <x:c r="Q401" s="40" t="n">
        <x:v>0</x:v>
      </x:c>
      <x:c r="R401" s="31" t="n">
        <x:v>0.09057832215662569</x:v>
      </x:c>
      <x:c r="S401" s="40"/>
      <x:c r="T401" s="40"/>
      <x:c r="U401" s="40" t="n">
        <x:v>1</x:v>
      </x:c>
      <x:c r="V401" s="40" t="n">
        <x:v>0.9572890607232204</x:v>
      </x:c>
      <x:c r="W401" s="31" t="n">
        <x:v>0</x:v>
      </x:c>
      <x:c r="X401" s="31" t="str"/>
      <x:c r="Y401" s="31" t="n">
        <x:v>0</x:v>
      </x:c>
      <x:c r="Z401" s="31" t="n">
        <x:v>0</x:v>
      </x:c>
      <x:c r="AA401" s="31" t="n">
        <x:v>0</x:v>
      </x:c>
      <x:c r="AB401" s="31" t="str"/>
      <x:c r="AC401" s="31" t="str"/>
    </x:row>
    <x:row r="402">
      <x:c r="A402" s="31" t="str">
        <x:v>78847c8a19420e1e</x:v>
      </x:c>
      <x:c r="B402" s="31" t="str">
        <x:v>78847c8a19420e1e092a5fb356a401a93e6e90a9b5f14bcb4ba25c0003305e1f</x:v>
      </x:c>
      <x:c r="C402" s="31" t="n">
        <x:v>12</x:v>
      </x:c>
      <x:c r="D402" s="31" t="n">
        <x:v>32439</x:v>
      </x:c>
      <x:c r="E402" s="31" t="str">
        <x:v>Queens</x:v>
      </x:c>
      <x:c r="F402" s="31" t="str">
        <x:v>South Jamaica</x:v>
      </x:c>
      <x:c r="G402" s="31" t="n">
        <x:v>33721.857889017956</x:v>
      </x:c>
      <x:c r="H402" s="31" t="n">
        <x:v>9169</x:v>
      </x:c>
      <x:c r="I402" s="31" t="n">
        <x:v>2.8752940532252764</x:v>
      </x:c>
      <x:c r="J402" s="40" t="n">
        <x:v>0</x:v>
      </x:c>
      <x:c r="K402" s="40" t="n">
        <x:v>0.25029992365579673</x:v>
      </x:c>
      <x:c r="L402" s="40" t="n">
        <x:v>0.13087577707492637</x:v>
      </x:c>
      <x:c r="M402" s="31" t="n">
        <x:v>33.62316708808078</x:v>
      </x:c>
      <x:c r="N402" s="31" t="n">
        <x:v>31</x:v>
      </x:c>
      <x:c r="O402" s="31" t="n">
        <x:v>0.9556398162705385</x:v>
      </x:c>
      <x:c r="P402" s="31" t="n">
        <x:v>4.8659613916457625</x:v>
      </x:c>
      <x:c r="Q402" s="40" t="n">
        <x:v>1</x:v>
      </x:c>
      <x:c r="R402" s="31" t="n">
        <x:v>0.15497299907541906</x:v>
      </x:c>
      <x:c r="S402" s="40"/>
      <x:c r="T402" s="40"/>
      <x:c r="U402" s="40" t="n">
        <x:v>1</x:v>
      </x:c>
      <x:c r="V402" s="40" t="n">
        <x:v>0.99105682189988</x:v>
      </x:c>
      <x:c r="W402" s="31" t="n">
        <x:v>0</x:v>
      </x:c>
      <x:c r="X402" s="31" t="str"/>
      <x:c r="Y402" s="31" t="n">
        <x:v>0</x:v>
      </x:c>
      <x:c r="Z402" s="31" t="n">
        <x:v>0</x:v>
      </x:c>
      <x:c r="AA402" s="31" t="n">
        <x:v>0</x:v>
      </x:c>
      <x:c r="AB402" s="31" t="str"/>
      <x:c r="AC402" s="31" t="str"/>
    </x:row>
    <x:row r="403">
      <x:c r="A403" s="31" t="str">
        <x:v>78da7106411fd0a9</x:v>
      </x:c>
      <x:c r="B403" s="31" t="str">
        <x:v>78da7106411fd0a99519a7d3fc8cc0160d9d4ee2ceb5cdc218a63b2653b658af</x:v>
      </x:c>
      <x:c r="C403" s="31" t="n">
        <x:v>9</x:v>
      </x:c>
      <x:c r="D403" s="31" t="n">
        <x:v>33241</x:v>
      </x:c>
      <x:c r="E403" s="31" t="str">
        <x:v>Brooklyn</x:v>
      </x:c>
      <x:c r="F403" s="31" t="str">
        <x:v>Crown Heights (South)</x:v>
      </x:c>
      <x:c r="G403" s="31" t="n">
        <x:v>60001.04651621293</x:v>
      </x:c>
      <x:c r="H403" s="31" t="n">
        <x:v>12781</x:v>
      </x:c>
      <x:c r="I403" s="31" t="n">
        <x:v>4.545216097713749</x:v>
      </x:c>
      <x:c r="J403" s="40" t="n">
        <x:v>0.04436272592128941</x:v>
      </x:c>
      <x:c r="K403" s="40" t="n">
        <x:v>0.6864877552617166</x:v>
      </x:c>
      <x:c r="L403" s="40" t="n">
        <x:v>0.011657929739457007</x:v>
      </x:c>
      <x:c r="M403" s="31" t="n">
        <x:v>50.82752361677212</x:v>
      </x:c>
      <x:c r="N403" s="31" t="n">
        <x:v>172</x:v>
      </x:c>
      <x:c r="O403" s="31" t="n">
        <x:v>5.174332902138924</x:v>
      </x:c>
      <x:c r="P403" s="31" t="n">
        <x:v>5</x:v>
      </x:c>
      <x:c r="Q403" s="40" t="n">
        <x:v>1</x:v>
      </x:c>
      <x:c r="R403" s="31" t="n">
        <x:v>0.17773898087505569</x:v>
      </x:c>
      <x:c r="S403" s="40"/>
      <x:c r="T403" s="40"/>
      <x:c r="U403" s="40" t="n">
        <x:v>1</x:v>
      </x:c>
      <x:c r="V403" s="40" t="n">
        <x:v>0.9695641968547062</x:v>
      </x:c>
      <x:c r="W403" s="31" t="n">
        <x:v>1</x:v>
      </x:c>
      <x:c r="X403" s="31" t="str"/>
      <x:c r="Y403" s="31" t="n">
        <x:v>0</x:v>
      </x:c>
      <x:c r="Z403" s="31" t="n">
        <x:v>1</x:v>
      </x:c>
      <x:c r="AA403" s="31" t="n">
        <x:v>0</x:v>
      </x:c>
      <x:c r="AB403" s="31" t="str"/>
      <x:c r="AC403" s="31" t="str"/>
    </x:row>
    <x:row r="404">
      <x:c r="A404" s="31" t="str">
        <x:v>7904a4743a51e931</x:v>
      </x:c>
      <x:c r="B404" s="31" t="str">
        <x:v>7904a4743a51e9318e199232ab0154995f7e521415bad2ef134502c05e1ed2e5</x:v>
      </x:c>
      <x:c r="C404" s="31" t="n">
        <x:v>7</x:v>
      </x:c>
      <x:c r="D404" s="31" t="n">
        <x:v>33373</x:v>
      </x:c>
      <x:c r="E404" s="31" t="str">
        <x:v>Queens</x:v>
      </x:c>
      <x:c r="F404" s="31" t="str">
        <x:v>Forest Hills</x:v>
      </x:c>
      <x:c r="G404" s="31" t="n">
        <x:v>75935.92879019973</x:v>
      </x:c>
      <x:c r="H404" s="31" t="n">
        <x:v>16615</x:v>
      </x:c>
      <x:c r="I404" s="31" t="n">
        <x:v>8.804584239787285</x:v>
      </x:c>
      <x:c r="J404" s="40" t="n">
        <x:v>0.28083057478182366</x:v>
      </x:c>
      <x:c r="K404" s="40" t="n">
        <x:v>0.642732470659043</x:v>
      </x:c>
      <x:c r="L404" s="40" t="n">
        <x:v>0.21095395726752933</x:v>
      </x:c>
      <x:c r="M404" s="31" t="n">
        <x:v>90.10507449069006</x:v>
      </x:c>
      <x:c r="N404" s="31" t="n">
        <x:v>271</x:v>
      </x:c>
      <x:c r="O404" s="31" t="n">
        <x:v>8.12033679920894</x:v>
      </x:c>
      <x:c r="P404" s="31" t="n">
        <x:v>2.8406861269936803</x:v>
      </x:c>
      <x:c r="Q404" s="40" t="n">
        <x:v>0</x:v>
      </x:c>
      <x:c r="R404" s="31" t="n">
        <x:v>0.1759050688623726</x:v>
      </x:c>
      <x:c r="S404" s="40"/>
      <x:c r="T404" s="40"/>
      <x:c r="U404" s="40" t="n">
        <x:v>1</x:v>
      </x:c>
      <x:c r="V404" s="40" t="n">
        <x:v>0.9977730965994583</x:v>
      </x:c>
      <x:c r="W404" s="31" t="n">
        <x:v>2</x:v>
      </x:c>
      <x:c r="X404" s="31" t="str"/>
      <x:c r="Y404" s="31" t="n">
        <x:v>1</x:v>
      </x:c>
      <x:c r="Z404" s="31" t="n">
        <x:v>0</x:v>
      </x:c>
      <x:c r="AA404" s="31" t="n">
        <x:v>1</x:v>
      </x:c>
      <x:c r="AB404" s="31" t="str"/>
      <x:c r="AC404" s="31" t="str"/>
    </x:row>
    <x:row r="405">
      <x:c r="A405" s="31" t="str">
        <x:v>791977a358ce7e1e</x:v>
      </x:c>
      <x:c r="B405" s="31" t="str">
        <x:v>791977a358ce7e1edb3d09bf9d8d4398e88edff0e9a0250647142b069a835bcc</x:v>
      </x:c>
      <x:c r="C405" s="31" t="n">
        <x:v>11</x:v>
      </x:c>
      <x:c r="D405" s="31" t="n">
        <x:v>32941</x:v>
      </x:c>
      <x:c r="E405" s="31" t="str">
        <x:v>Brooklyn</x:v>
      </x:c>
      <x:c r="F405" s="31" t="str">
        <x:v>Canarsie</x:v>
      </x:c>
      <x:c r="G405" s="31" t="n">
        <x:v>39951.5257714641</x:v>
      </x:c>
      <x:c r="H405" s="31" t="n">
        <x:v>9377</x:v>
      </x:c>
      <x:c r="I405" s="31" t="n">
        <x:v>2.349125653891321</x:v>
      </x:c>
      <x:c r="J405" s="40" t="n">
        <x:v>0</x:v>
      </x:c>
      <x:c r="K405" s="40" t="n">
        <x:v>0.3721872667164338</x:v>
      </x:c>
      <x:c r="L405" s="40" t="n">
        <x:v>0.045110376453023356</x:v>
      </x:c>
      <x:c r="M405" s="31" t="n">
        <x:v>28.930595594850974</x:v>
      </x:c>
      <x:c r="N405" s="31" t="n">
        <x:v>7</x:v>
      </x:c>
      <x:c r="O405" s="31" t="n">
        <x:v>0.2125011383989557</x:v>
      </x:c>
      <x:c r="P405" s="31" t="n">
        <x:v>5</x:v>
      </x:c>
      <x:c r="Q405" s="40" t="n">
        <x:v>1</x:v>
      </x:c>
      <x:c r="R405" s="31" t="n">
        <x:v>0.16629125793978364</x:v>
      </x:c>
      <x:c r="S405" s="40"/>
      <x:c r="T405" s="40"/>
      <x:c r="U405" s="40" t="n">
        <x:v>1</x:v>
      </x:c>
      <x:c r="V405" s="40" t="n">
        <x:v>0.9982936973445665</x:v>
      </x:c>
      <x:c r="W405" s="31" t="n">
        <x:v>0</x:v>
      </x:c>
      <x:c r="X405" s="31" t="str"/>
      <x:c r="Y405" s="31" t="n">
        <x:v>0</x:v>
      </x:c>
      <x:c r="Z405" s="31" t="n">
        <x:v>0</x:v>
      </x:c>
      <x:c r="AA405" s="31" t="n">
        <x:v>0</x:v>
      </x:c>
      <x:c r="AB405" s="31" t="str"/>
      <x:c r="AC405" s="31" t="str"/>
    </x:row>
    <x:row r="406">
      <x:c r="A406" s="31" t="str">
        <x:v>7a363a28e14bfe9a</x:v>
      </x:c>
      <x:c r="B406" s="31" t="str">
        <x:v>7a363a28e14bfe9a8a2967c73dc3d3ba727102bcbf269d9106724ece96a19877</x:v>
      </x:c>
      <x:c r="C406" s="31" t="n">
        <x:v>10</x:v>
      </x:c>
      <x:c r="D406" s="31" t="n">
        <x:v>34023</x:v>
      </x:c>
      <x:c r="E406" s="31" t="str">
        <x:v>Queens</x:v>
      </x:c>
      <x:c r="F406" s="31" t="str">
        <x:v>Ridgewood</x:v>
      </x:c>
      <x:c r="G406" s="31" t="n">
        <x:v>51763.15211318244</x:v>
      </x:c>
      <x:c r="H406" s="31" t="n">
        <x:v>12538</x:v>
      </x:c>
      <x:c r="I406" s="31" t="n">
        <x:v>2.536653296967752</x:v>
      </x:c>
      <x:c r="J406" s="40" t="n">
        <x:v>0</x:v>
      </x:c>
      <x:c r="K406" s="40" t="n">
        <x:v>0.4404211197958207</x:v>
      </x:c>
      <x:c r="L406" s="40" t="n">
        <x:v>0.013399266230658798</x:v>
      </x:c>
      <x:c r="M406" s="31" t="n">
        <x:v>31.391452140925956</x:v>
      </x:c>
      <x:c r="N406" s="31" t="n">
        <x:v>11</x:v>
      </x:c>
      <x:c r="O406" s="31" t="n">
        <x:v>0.3233107015842225</x:v>
      </x:c>
      <x:c r="P406" s="31" t="n">
        <x:v>1</x:v>
      </x:c>
      <x:c r="Q406" s="40" t="n">
        <x:v>0</x:v>
      </x:c>
      <x:c r="R406" s="31" t="n">
        <x:v>0.20017994583301596</x:v>
      </x:c>
      <x:c r="S406" s="40"/>
      <x:c r="T406" s="40"/>
      <x:c r="U406" s="40" t="n">
        <x:v>1</x:v>
      </x:c>
      <x:c r="V406" s="40" t="n">
        <x:v>0.9974477588132078</x:v>
      </x:c>
      <x:c r="W406" s="31" t="n">
        <x:v>0</x:v>
      </x:c>
      <x:c r="X406" s="31" t="str"/>
      <x:c r="Y406" s="31" t="n">
        <x:v>0</x:v>
      </x:c>
      <x:c r="Z406" s="31" t="n">
        <x:v>0</x:v>
      </x:c>
      <x:c r="AA406" s="31" t="n">
        <x:v>0</x:v>
      </x:c>
      <x:c r="AB406" s="31" t="str"/>
      <x:c r="AC406" s="31" t="str"/>
    </x:row>
    <x:row r="407">
      <x:c r="A407" s="31" t="str">
        <x:v>7a9aa648619ee045</x:v>
      </x:c>
      <x:c r="B407" s="31" t="str">
        <x:v>7a9aa648619ee04506ce7633c172631aa04beced0e273d61a2df90582742002f</x:v>
      </x:c>
      <x:c r="C407" s="31" t="n">
        <x:v>8</x:v>
      </x:c>
      <x:c r="D407" s="31" t="n">
        <x:v>35038</x:v>
      </x:c>
      <x:c r="E407" s="31" t="str">
        <x:v>Brooklyn</x:v>
      </x:c>
      <x:c r="F407" s="31" t="str">
        <x:v>Sunset Park (West)</x:v>
      </x:c>
      <x:c r="G407" s="31" t="n">
        <x:v>70460.38084012091</x:v>
      </x:c>
      <x:c r="H407" s="31" t="n">
        <x:v>9703</x:v>
      </x:c>
      <x:c r="I407" s="31" t="n">
        <x:v>3.1401130236416424</x:v>
      </x:c>
      <x:c r="J407" s="40" t="n">
        <x:v>0</x:v>
      </x:c>
      <x:c r="K407" s="40" t="n">
        <x:v>0.6200144285272596</x:v>
      </x:c>
      <x:c r="L407" s="40" t="n">
        <x:v>0.01205812635267443</x:v>
      </x:c>
      <x:c r="M407" s="31" t="n">
        <x:v>39.08153222606641</x:v>
      </x:c>
      <x:c r="N407" s="31" t="n">
        <x:v>53</x:v>
      </x:c>
      <x:c r="O407" s="31" t="n">
        <x:v>1.5126434157200752</x:v>
      </x:c>
      <x:c r="P407" s="31" t="n">
        <x:v>3.1391322271462436</x:v>
      </x:c>
      <x:c r="Q407" s="40" t="n">
        <x:v>0.13913222714624343</x:v>
      </x:c>
      <x:c r="R407" s="31" t="n">
        <x:v>0.10481362367048368</x:v>
      </x:c>
      <x:c r="S407" s="40"/>
      <x:c r="T407" s="40"/>
      <x:c r="U407" s="40" t="n">
        <x:v>1</x:v>
      </x:c>
      <x:c r="V407" s="40" t="n">
        <x:v>0.9901061527362671</x:v>
      </x:c>
      <x:c r="W407" s="31" t="n">
        <x:v>0</x:v>
      </x:c>
      <x:c r="X407" s="31" t="str"/>
      <x:c r="Y407" s="31" t="n">
        <x:v>0</x:v>
      </x:c>
      <x:c r="Z407" s="31" t="n">
        <x:v>0</x:v>
      </x:c>
      <x:c r="AA407" s="31" t="n">
        <x:v>0</x:v>
      </x:c>
      <x:c r="AB407" s="31" t="str"/>
      <x:c r="AC407" s="31" t="str"/>
    </x:row>
    <x:row r="408">
      <x:c r="A408" s="31" t="str">
        <x:v>7aa257e589c5d4a2</x:v>
      </x:c>
      <x:c r="B408" s="31" t="str">
        <x:v>7aa257e589c5d4a23ad912811aeb196754d26a3ce1606fe847785d175b4132f1</x:v>
      </x:c>
      <x:c r="C408" s="31" t="n">
        <x:v>11</x:v>
      </x:c>
      <x:c r="D408" s="31" t="n">
        <x:v>32202</x:v>
      </x:c>
      <x:c r="E408" s="31" t="str">
        <x:v>Brooklyn</x:v>
      </x:c>
      <x:c r="F408" s="31" t="str">
        <x:v>Crown Heights (South)</x:v>
      </x:c>
      <x:c r="G408" s="31" t="n">
        <x:v>56031.228128691386</x:v>
      </x:c>
      <x:c r="H408" s="31" t="n">
        <x:v>11933</x:v>
      </x:c>
      <x:c r="I408" s="31" t="n">
        <x:v>4.636724499203755</x:v>
      </x:c>
      <x:c r="J408" s="40" t="n">
        <x:v>0.04776669739378195</x:v>
      </x:c>
      <x:c r="K408" s="40" t="n">
        <x:v>0.6669739378194922</x:v>
      </x:c>
      <x:c r="L408" s="40" t="n">
        <x:v>0.03058744657672002</x:v>
      </x:c>
      <x:c r="M408" s="31" t="n">
        <x:v>52.39176047014118</x:v>
      </x:c>
      <x:c r="N408" s="31" t="n">
        <x:v>141</x:v>
      </x:c>
      <x:c r="O408" s="31" t="n">
        <x:v>4.378610024222098</x:v>
      </x:c>
      <x:c r="P408" s="31" t="n">
        <x:v>5</x:v>
      </x:c>
      <x:c r="Q408" s="40" t="n">
        <x:v>1</x:v>
      </x:c>
      <x:c r="R408" s="31" t="n">
        <x:v>0.15161858834442027</x:v>
      </x:c>
      <x:c r="S408" s="40"/>
      <x:c r="T408" s="40"/>
      <x:c r="U408" s="40" t="n">
        <x:v>1</x:v>
      </x:c>
      <x:c r="V408" s="40" t="n">
        <x:v>0.9912846727562222</x:v>
      </x:c>
      <x:c r="W408" s="31" t="n">
        <x:v>1</x:v>
      </x:c>
      <x:c r="X408" s="31" t="str"/>
      <x:c r="Y408" s="31" t="n">
        <x:v>0</x:v>
      </x:c>
      <x:c r="Z408" s="31" t="n">
        <x:v>1</x:v>
      </x:c>
      <x:c r="AA408" s="31" t="n">
        <x:v>0</x:v>
      </x:c>
      <x:c r="AB408" s="31" t="str"/>
      <x:c r="AC408" s="31" t="str"/>
    </x:row>
    <x:row r="409">
      <x:c r="A409" s="31" t="str">
        <x:v>7b5d534dd89f9f4a</x:v>
      </x:c>
      <x:c r="B409" s="31" t="str">
        <x:v>7b5d534dd89f9f4afb49366d07c48c2cb778dc78bf05348be02c20142dbf27cc</x:v>
      </x:c>
      <x:c r="C409" s="31" t="n">
        <x:v>13</x:v>
      </x:c>
      <x:c r="D409" s="31" t="n">
        <x:v>33216</x:v>
      </x:c>
      <x:c r="E409" s="31" t="str">
        <x:v>Brooklyn</x:v>
      </x:c>
      <x:c r="F409" s="31" t="str">
        <x:v>Flatlands</x:v>
      </x:c>
      <x:c r="G409" s="31" t="n">
        <x:v>32588.644065064615</x:v>
      </x:c>
      <x:c r="H409" s="31" t="n">
        <x:v>10782</x:v>
      </x:c>
      <x:c r="I409" s="31" t="n">
        <x:v>2.840283238609895</x:v>
      </x:c>
      <x:c r="J409" s="40" t="n">
        <x:v>0</x:v>
      </x:c>
      <x:c r="K409" s="40" t="n">
        <x:v>0.3656093489148581</x:v>
      </x:c>
      <x:c r="L409" s="40" t="n">
        <x:v>0.1335559265442404</x:v>
      </x:c>
      <x:c r="M409" s="31" t="n">
        <x:v>33.05493060212603</x:v>
      </x:c>
      <x:c r="N409" s="31" t="n">
        <x:v>57</x:v>
      </x:c>
      <x:c r="O409" s="31" t="n">
        <x:v>1.7160404624277457</x:v>
      </x:c>
      <x:c r="P409" s="31" t="n">
        <x:v>2.142181413466889</x:v>
      </x:c>
      <x:c r="Q409" s="40" t="n">
        <x:v>0.04739380448896309</x:v>
      </x:c>
      <x:c r="R409" s="31" t="n">
        <x:v>0.24645561840823624</x:v>
      </x:c>
      <x:c r="S409" s="40"/>
      <x:c r="T409" s="40"/>
      <x:c r="U409" s="40" t="n">
        <x:v>1</x:v>
      </x:c>
      <x:c r="V409" s="40" t="n">
        <x:v>0.9994435169727324</x:v>
      </x:c>
      <x:c r="W409" s="31" t="n">
        <x:v>0</x:v>
      </x:c>
      <x:c r="X409" s="31" t="str"/>
      <x:c r="Y409" s="31" t="n">
        <x:v>0</x:v>
      </x:c>
      <x:c r="Z409" s="31" t="n">
        <x:v>0</x:v>
      </x:c>
      <x:c r="AA409" s="31" t="n">
        <x:v>0</x:v>
      </x:c>
      <x:c r="AB409" s="31" t="str"/>
      <x:c r="AC409" s="31" t="str"/>
    </x:row>
    <x:row r="410">
      <x:c r="A410" s="31" t="str">
        <x:v>7bbeea34335350a1</x:v>
      </x:c>
      <x:c r="B410" s="31" t="str">
        <x:v>7bbeea34335350a1a55a91cc0ef907cca4cf35c32e8cfc5ec0aa6cac7226a5bb</x:v>
      </x:c>
      <x:c r="C410" s="31" t="n">
        <x:v>11</x:v>
      </x:c>
      <x:c r="D410" s="31" t="n">
        <x:v>37078</x:v>
      </x:c>
      <x:c r="E410" s="31" t="str">
        <x:v>Queens</x:v>
      </x:c>
      <x:c r="F410" s="31" t="str">
        <x:v>Maspeth</x:v>
      </x:c>
      <x:c r="G410" s="31" t="n">
        <x:v>32454.85536779311</x:v>
      </x:c>
      <x:c r="H410" s="31" t="n">
        <x:v>12835</x:v>
      </x:c>
      <x:c r="I410" s="31" t="n">
        <x:v>2.3912150335990003</x:v>
      </x:c>
      <x:c r="J410" s="40" t="n">
        <x:v>0</x:v>
      </x:c>
      <x:c r="K410" s="40" t="n">
        <x:v>0.282197117257499</x:v>
      </x:c>
      <x:c r="L410" s="40" t="n">
        <x:v>0.007635372029606544</x:v>
      </x:c>
      <x:c r="M410" s="31" t="n">
        <x:v>28.280481804690787</x:v>
      </x:c>
      <x:c r="N410" s="31" t="n">
        <x:v>24</x:v>
      </x:c>
      <x:c r="O410" s="31" t="n">
        <x:v>0.647284103781218</x:v>
      </x:c>
      <x:c r="P410" s="31" t="n">
        <x:v>2.3318270354499417</x:v>
      </x:c>
      <x:c r="Q410" s="40" t="n">
        <x:v>0</x:v>
      </x:c>
      <x:c r="R410" s="31" t="n">
        <x:v>0.2687530083767877</x:v>
      </x:c>
      <x:c r="S410" s="40"/>
      <x:c r="T410" s="40"/>
      <x:c r="U410" s="40" t="n">
        <x:v>1</x:v>
      </x:c>
      <x:c r="V410" s="40" t="n">
        <x:v>0.9927541877678223</x:v>
      </x:c>
      <x:c r="W410" s="31" t="n">
        <x:v>0</x:v>
      </x:c>
      <x:c r="X410" s="31" t="str"/>
      <x:c r="Y410" s="31" t="n">
        <x:v>0</x:v>
      </x:c>
      <x:c r="Z410" s="31" t="n">
        <x:v>0</x:v>
      </x:c>
      <x:c r="AA410" s="31" t="n">
        <x:v>0</x:v>
      </x:c>
      <x:c r="AB410" s="31" t="str"/>
      <x:c r="AC410" s="31" t="str"/>
    </x:row>
    <x:row r="411">
      <x:c r="A411" s="31" t="str">
        <x:v>7beffc4fd3f4d602</x:v>
      </x:c>
      <x:c r="B411" s="31" t="str">
        <x:v>7beffc4fd3f4d6029e79f34c3163c6ead04b3acf0d3fb2f072e8205458bc4e38</x:v>
      </x:c>
      <x:c r="C411" s="31" t="n">
        <x:v>9</x:v>
      </x:c>
      <x:c r="D411" s="31" t="n">
        <x:v>33004</x:v>
      </x:c>
      <x:c r="E411" s="31" t="str">
        <x:v>Brooklyn</x:v>
      </x:c>
      <x:c r="F411" s="31" t="str">
        <x:v>East New York-New Lots</x:v>
      </x:c>
      <x:c r="G411" s="31" t="n">
        <x:v>55507.51428834572</x:v>
      </x:c>
      <x:c r="H411" s="31" t="n">
        <x:v>11799</x:v>
      </x:c>
      <x:c r="I411" s="31" t="n">
        <x:v>3.544648252050065</x:v>
      </x:c>
      <x:c r="J411" s="40" t="n">
        <x:v>0.015594541910331383</x:v>
      </x:c>
      <x:c r="K411" s="40" t="n">
        <x:v>0.5217391304347826</x:v>
      </x:c>
      <x:c r="L411" s="40" t="n">
        <x:v>0.060259344012204424</x:v>
      </x:c>
      <x:c r="M411" s="31" t="n">
        <x:v>41.58871502468323</x:v>
      </x:c>
      <x:c r="N411" s="31" t="n">
        <x:v>80</x:v>
      </x:c>
      <x:c r="O411" s="31" t="n">
        <x:v>2.42394861228942</x:v>
      </x:c>
      <x:c r="P411" s="31" t="n">
        <x:v>5</x:v>
      </x:c>
      <x:c r="Q411" s="40" t="n">
        <x:v>1</x:v>
      </x:c>
      <x:c r="R411" s="31" t="n">
        <x:v>0.11094521172962525</x:v>
      </x:c>
      <x:c r="S411" s="40"/>
      <x:c r="T411" s="40"/>
      <x:c r="U411" s="40" t="n">
        <x:v>1</x:v>
      </x:c>
      <x:c r="V411" s="40" t="n">
        <x:v>0.9859310111026358</x:v>
      </x:c>
      <x:c r="W411" s="31" t="n">
        <x:v>1</x:v>
      </x:c>
      <x:c r="X411" s="31" t="str"/>
      <x:c r="Y411" s="31" t="n">
        <x:v>0</x:v>
      </x:c>
      <x:c r="Z411" s="31" t="n">
        <x:v>1</x:v>
      </x:c>
      <x:c r="AA411" s="31" t="n">
        <x:v>0</x:v>
      </x:c>
      <x:c r="AB411" s="31" t="str"/>
      <x:c r="AC411" s="31" t="str"/>
    </x:row>
    <x:row r="412">
      <x:c r="A412" s="31" t="str">
        <x:v>7c619ebc420f4d87</x:v>
      </x:c>
      <x:c r="B412" s="31" t="str">
        <x:v>7c619ebc420f4d87ac5f7d84e2dedc0f2255b6b4ba0731b60b8ec1d2e0081153</x:v>
      </x:c>
      <x:c r="C412" s="31" t="n">
        <x:v>12</x:v>
      </x:c>
      <x:c r="D412" s="31" t="n">
        <x:v>32478</x:v>
      </x:c>
      <x:c r="E412" s="31" t="str">
        <x:v>Bronx</x:v>
      </x:c>
      <x:c r="F412" s="31" t="str">
        <x:v>Pelham Gardens</x:v>
      </x:c>
      <x:c r="G412" s="31" t="n">
        <x:v>30245.702026501138</x:v>
      </x:c>
      <x:c r="H412" s="31" t="n">
        <x:v>10546</x:v>
      </x:c>
      <x:c r="I412" s="31" t="n">
        <x:v>2.9302392480774713</x:v>
      </x:c>
      <x:c r="J412" s="40" t="n">
        <x:v>0</x:v>
      </x:c>
      <x:c r="K412" s="40" t="n">
        <x:v>0.3053290347051015</x:v>
      </x:c>
      <x:c r="L412" s="40" t="n">
        <x:v>0.1673620329982932</x:v>
      </x:c>
      <x:c r="M412" s="31" t="n">
        <x:v>35.40611972094535</x:v>
      </x:c>
      <x:c r="N412" s="31" t="n">
        <x:v>50</x:v>
      </x:c>
      <x:c r="O412" s="31" t="n">
        <x:v>1.5395036640187205</x:v>
      </x:c>
      <x:c r="P412" s="31" t="n">
        <x:v>5</x:v>
      </x:c>
      <x:c r="Q412" s="40" t="n">
        <x:v>1</x:v>
      </x:c>
      <x:c r="R412" s="31" t="n">
        <x:v>0.14842083189430486</x:v>
      </x:c>
      <x:c r="S412" s="40"/>
      <x:c r="T412" s="40"/>
      <x:c r="U412" s="40" t="n">
        <x:v>1</x:v>
      </x:c>
      <x:c r="V412" s="40" t="n">
        <x:v>0.9890005689360896</x:v>
      </x:c>
      <x:c r="W412" s="31" t="n">
        <x:v>0</x:v>
      </x:c>
      <x:c r="X412" s="31" t="str"/>
      <x:c r="Y412" s="31" t="n">
        <x:v>0</x:v>
      </x:c>
      <x:c r="Z412" s="31" t="n">
        <x:v>0</x:v>
      </x:c>
      <x:c r="AA412" s="31" t="n">
        <x:v>0</x:v>
      </x:c>
      <x:c r="AB412" s="31" t="str"/>
      <x:c r="AC412" s="31" t="str"/>
    </x:row>
    <x:row r="413">
      <x:c r="A413" s="31" t="str">
        <x:v>7cb918f2ba08368e</x:v>
      </x:c>
      <x:c r="B413" s="31" t="str">
        <x:v>7cb918f2ba08368e0d67f7815f9fecea95ccf1a3241f30fb78e081a5c6b4388a</x:v>
      </x:c>
      <x:c r="C413" s="31" t="n">
        <x:v>5</x:v>
      </x:c>
      <x:c r="D413" s="31" t="n">
        <x:v>36883</x:v>
      </x:c>
      <x:c r="E413" s="31" t="str">
        <x:v>Manhattan</x:v>
      </x:c>
      <x:c r="F413" s="31" t="str">
        <x:v>Hamilton Heights-Sugar Hill</x:v>
      </x:c>
      <x:c r="G413" s="31" t="n">
        <x:v>91363.70398038582</x:v>
      </x:c>
      <x:c r="H413" s="31" t="n">
        <x:v>15350</x:v>
      </x:c>
      <x:c r="I413" s="31" t="n">
        <x:v>6.347800586510264</x:v>
      </x:c>
      <x:c r="J413" s="40" t="n">
        <x:v>0.10338762214983713</x:v>
      </x:c>
      <x:c r="K413" s="40" t="n">
        <x:v>0.8948534201954398</x:v>
      </x:c>
      <x:c r="L413" s="40" t="n">
        <x:v>0.013485342019543973</x:v>
      </x:c>
      <x:c r="M413" s="31" t="n">
        <x:v>74.12605186233168</x:v>
      </x:c>
      <x:c r="N413" s="31" t="n">
        <x:v>245</x:v>
      </x:c>
      <x:c r="O413" s="31" t="n">
        <x:v>6.642626684380337</x:v>
      </x:c>
      <x:c r="P413" s="31" t="n">
        <x:v>4.081693811074919</x:v>
      </x:c>
      <x:c r="Q413" s="40" t="n">
        <x:v>1</x:v>
      </x:c>
      <x:c r="R413" s="31" t="n">
        <x:v>0.16844556195502625</x:v>
      </x:c>
      <x:c r="S413" s="40"/>
      <x:c r="T413" s="40"/>
      <x:c r="U413" s="40" t="n">
        <x:v>1</x:v>
      </x:c>
      <x:c r="V413" s="40" t="n">
        <x:v>0.9985667752442997</x:v>
      </x:c>
      <x:c r="W413" s="31" t="n">
        <x:v>1</x:v>
      </x:c>
      <x:c r="X413" s="31" t="str"/>
      <x:c r="Y413" s="31" t="n">
        <x:v>0</x:v>
      </x:c>
      <x:c r="Z413" s="31" t="n">
        <x:v>1</x:v>
      </x:c>
      <x:c r="AA413" s="31" t="n">
        <x:v>0</x:v>
      </x:c>
      <x:c r="AB413" s="31" t="str"/>
      <x:c r="AC413" s="31" t="str"/>
    </x:row>
    <x:row r="414">
      <x:c r="A414" s="31" t="str">
        <x:v>7d4971ca79335996</x:v>
      </x:c>
      <x:c r="B414" s="31" t="str">
        <x:v>7d4971ca79335996a8453520028c4ee5a33ed9f74d75313b81b8ec859e2cf25d</x:v>
      </x:c>
      <x:c r="C414" s="31" t="n">
        <x:v>5</x:v>
      </x:c>
      <x:c r="D414" s="31" t="n">
        <x:v>34092</x:v>
      </x:c>
      <x:c r="E414" s="31" t="str">
        <x:v>Manhattan</x:v>
      </x:c>
      <x:c r="F414" s="31" t="str">
        <x:v>Washington Heights (North)</x:v>
      </x:c>
      <x:c r="G414" s="31" t="n">
        <x:v>114113.503827872</x:v>
      </x:c>
      <x:c r="H414" s="31" t="n">
        <x:v>13991</x:v>
      </x:c>
      <x:c r="I414" s="31" t="n">
        <x:v>5.7706382674576515</x:v>
      </x:c>
      <x:c r="J414" s="40" t="n">
        <x:v>0.022300050032163534</x:v>
      </x:c>
      <x:c r="K414" s="40" t="n">
        <x:v>0.9755557143878207</x:v>
      </x:c>
      <x:c r="L414" s="40" t="n">
        <x:v>0.06346937316846545</x:v>
      </x:c>
      <x:c r="M414" s="31" t="n">
        <x:v>67.8180364260832</x:v>
      </x:c>
      <x:c r="N414" s="31" t="n">
        <x:v>186</x:v>
      </x:c>
      <x:c r="O414" s="31" t="n">
        <x:v>5.455825413586766</x:v>
      </x:c>
      <x:c r="P414" s="31" t="n">
        <x:v>2</x:v>
      </x:c>
      <x:c r="Q414" s="40" t="n">
        <x:v>0</x:v>
      </x:c>
      <x:c r="R414" s="31" t="n">
        <x:v>0.13613103498940218</x:v>
      </x:c>
      <x:c r="S414" s="40"/>
      <x:c r="T414" s="40"/>
      <x:c r="U414" s="40" t="n">
        <x:v>1</x:v>
      </x:c>
      <x:c r="V414" s="40" t="n">
        <x:v>1</x:v>
      </x:c>
      <x:c r="W414" s="31" t="n">
        <x:v>0</x:v>
      </x:c>
      <x:c r="X414" s="31" t="str"/>
      <x:c r="Y414" s="31" t="n">
        <x:v>0</x:v>
      </x:c>
      <x:c r="Z414" s="31" t="n">
        <x:v>0</x:v>
      </x:c>
      <x:c r="AA414" s="31" t="n">
        <x:v>0</x:v>
      </x:c>
      <x:c r="AB414" s="31" t="str"/>
      <x:c r="AC414" s="31" t="str"/>
    </x:row>
    <x:row r="415">
      <x:c r="A415" s="31" t="str">
        <x:v>7d5a67438b4a74fe</x:v>
      </x:c>
      <x:c r="B415" s="31" t="str">
        <x:v>7d5a67438b4a74fea59b7e6776ebf29c890c70b0e4b62e79e991363bc9de00a0</x:v>
      </x:c>
      <x:c r="C415" s="31" t="n">
        <x:v>9</x:v>
      </x:c>
      <x:c r="D415" s="31" t="n">
        <x:v>34227</x:v>
      </x:c>
      <x:c r="E415" s="31" t="str">
        <x:v>Queens</x:v>
      </x:c>
      <x:c r="F415" s="31" t="str">
        <x:v>Elmhurst</x:v>
      </x:c>
      <x:c r="G415" s="31" t="n">
        <x:v>92975.76931673157</x:v>
      </x:c>
      <x:c r="H415" s="31" t="n">
        <x:v>8627</x:v>
      </x:c>
      <x:c r="I415" s="31" t="n">
        <x:v>3.6774571328589754</x:v>
      </x:c>
      <x:c r="J415" s="40" t="n">
        <x:v>0</x:v>
      </x:c>
      <x:c r="K415" s="40" t="n">
        <x:v>0.6604845253274603</x:v>
      </x:c>
      <x:c r="L415" s="40" t="n">
        <x:v>0.025385417874116148</x:v>
      </x:c>
      <x:c r="M415" s="31" t="n">
        <x:v>41.2792976496026</x:v>
      </x:c>
      <x:c r="N415" s="31" t="n">
        <x:v>56</x:v>
      </x:c>
      <x:c r="O415" s="31" t="n">
        <x:v>1.6361352148888304</x:v>
      </x:c>
      <x:c r="P415" s="31" t="n">
        <x:v>3.3075228932421465</x:v>
      </x:c>
      <x:c r="Q415" s="40" t="n">
        <x:v>0.30752289324214677</x:v>
      </x:c>
      <x:c r="R415" s="31" t="n">
        <x:v>0.1463199132042855</x:v>
      </x:c>
      <x:c r="S415" s="40"/>
      <x:c r="T415" s="40"/>
      <x:c r="U415" s="40" t="n">
        <x:v>1</x:v>
      </x:c>
      <x:c r="V415" s="40" t="n">
        <x:v>0.9975657818476875</x:v>
      </x:c>
      <x:c r="W415" s="31" t="n">
        <x:v>0</x:v>
      </x:c>
      <x:c r="X415" s="31" t="str"/>
      <x:c r="Y415" s="31" t="n">
        <x:v>0</x:v>
      </x:c>
      <x:c r="Z415" s="31" t="n">
        <x:v>0</x:v>
      </x:c>
      <x:c r="AA415" s="31" t="n">
        <x:v>0</x:v>
      </x:c>
      <x:c r="AB415" s="31" t="str"/>
      <x:c r="AC415" s="31" t="str"/>
    </x:row>
    <x:row r="416">
      <x:c r="A416" s="31" t="str">
        <x:v>7fc228fd53b429e5</x:v>
      </x:c>
      <x:c r="B416" s="31" t="str">
        <x:v>7fc228fd53b429e5b1b6e858baa00940dfd2fee1b6b265f1e3e684fc02bee29a</x:v>
      </x:c>
      <x:c r="C416" s="31" t="n">
        <x:v>8</x:v>
      </x:c>
      <x:c r="D416" s="31" t="n">
        <x:v>35840</x:v>
      </x:c>
      <x:c r="E416" s="31" t="str">
        <x:v>Queens</x:v>
      </x:c>
      <x:c r="F416" s="31" t="str">
        <x:v>Rockaway Beach-Arverne-Edgemere</x:v>
      </x:c>
      <x:c r="G416" s="31" t="n">
        <x:v>21117.949041312502</x:v>
      </x:c>
      <x:c r="H416" s="31" t="n">
        <x:v>12820</x:v>
      </x:c>
      <x:c r="I416" s="31" t="n">
        <x:v>7.0988186395971535</x:v>
      </x:c>
      <x:c r="J416" s="40" t="n">
        <x:v>0.3517160686427457</x:v>
      </x:c>
      <x:c r="K416" s="40" t="n">
        <x:v>0.2203588143525741</x:v>
      </x:c>
      <x:c r="L416" s="40" t="n">
        <x:v>0.3019500780031201</x:v>
      </x:c>
      <x:c r="M416" s="31" t="n">
        <x:v>71.40178297585767</x:v>
      </x:c>
      <x:c r="N416" s="31" t="n">
        <x:v>175</x:v>
      </x:c>
      <x:c r="O416" s="31" t="n">
        <x:v>4.8828125</x:v>
      </x:c>
      <x:c r="P416" s="31" t="n">
        <x:v>5</x:v>
      </x:c>
      <x:c r="Q416" s="40" t="n">
        <x:v>1</x:v>
      </x:c>
      <x:c r="R416" s="31" t="n">
        <x:v>0.1669614703847935</x:v>
      </x:c>
      <x:c r="S416" s="40"/>
      <x:c r="T416" s="40"/>
      <x:c r="U416" s="40" t="n">
        <x:v>1</x:v>
      </x:c>
      <x:c r="V416" s="40" t="n">
        <x:v>0.9294851794071762</x:v>
      </x:c>
      <x:c r="W416" s="31" t="n">
        <x:v>0</x:v>
      </x:c>
      <x:c r="X416" s="31" t="str"/>
      <x:c r="Y416" s="31" t="n">
        <x:v>0</x:v>
      </x:c>
      <x:c r="Z416" s="31" t="n">
        <x:v>0</x:v>
      </x:c>
      <x:c r="AA416" s="31" t="n">
        <x:v>0</x:v>
      </x:c>
      <x:c r="AB416" s="31" t="str"/>
      <x:c r="AC416" s="31" t="str"/>
    </x:row>
    <x:row r="417">
      <x:c r="A417" s="31" t="str">
        <x:v>7fff254baaf51872</x:v>
      </x:c>
      <x:c r="B417" s="31" t="str">
        <x:v>7fff254baaf51872d40caf3a15578986207eea918f738d84cd262be0da986064</x:v>
      </x:c>
      <x:c r="C417" s="31" t="n">
        <x:v>7</x:v>
      </x:c>
      <x:c r="D417" s="31" t="n">
        <x:v>33209</x:v>
      </x:c>
      <x:c r="E417" s="31" t="str">
        <x:v>Brooklyn</x:v>
      </x:c>
      <x:c r="F417" s="31" t="str">
        <x:v>East Flatbush-Erasmus</x:v>
      </x:c>
      <x:c r="G417" s="31" t="n">
        <x:v>89313.4805836226</x:v>
      </x:c>
      <x:c r="H417" s="31" t="n">
        <x:v>17213</x:v>
      </x:c>
      <x:c r="I417" s="31" t="n">
        <x:v>5.9846118370484245</x:v>
      </x:c>
      <x:c r="J417" s="40" t="n">
        <x:v>0.0633823273107535</x:v>
      </x:c>
      <x:c r="K417" s="40" t="n">
        <x:v>0.8566780921396618</x:v>
      </x:c>
      <x:c r="L417" s="40" t="n">
        <x:v>0.0037762156509614825</x:v>
      </x:c>
      <x:c r="M417" s="31" t="n">
        <x:v>67.39302133130103</x:v>
      </x:c>
      <x:c r="N417" s="31" t="n">
        <x:v>271</x:v>
      </x:c>
      <x:c r="O417" s="31" t="n">
        <x:v>8.160438435363908</x:v>
      </x:c>
      <x:c r="P417" s="31" t="n">
        <x:v>5</x:v>
      </x:c>
      <x:c r="Q417" s="40" t="n">
        <x:v>1</x:v>
      </x:c>
      <x:c r="R417" s="31" t="n">
        <x:v>0.1743143031562376</x:v>
      </x:c>
      <x:c r="S417" s="40"/>
      <x:c r="T417" s="40"/>
      <x:c r="U417" s="40" t="n">
        <x:v>1</x:v>
      </x:c>
      <x:c r="V417" s="40" t="n">
        <x:v>0.9533492128042759</x:v>
      </x:c>
      <x:c r="W417" s="31" t="n">
        <x:v>1</x:v>
      </x:c>
      <x:c r="X417" s="31" t="str"/>
      <x:c r="Y417" s="31" t="n">
        <x:v>0</x:v>
      </x:c>
      <x:c r="Z417" s="31" t="n">
        <x:v>1</x:v>
      </x:c>
      <x:c r="AA417" s="31" t="n">
        <x:v>0</x:v>
      </x:c>
      <x:c r="AB417" s="31" t="str"/>
      <x:c r="AC417" s="31" t="str"/>
    </x:row>
    <x:row r="418">
      <x:c r="A418" s="31" t="str">
        <x:v>8021aafd8a3e2101</x:v>
      </x:c>
      <x:c r="B418" s="31" t="str">
        <x:v>8021aafd8a3e21016e49928bd49fba023524cc30491df67ff97ae23c1046b7c3</x:v>
      </x:c>
      <x:c r="C418" s="31" t="n">
        <x:v>11</x:v>
      </x:c>
      <x:c r="D418" s="31" t="n">
        <x:v>35016</x:v>
      </x:c>
      <x:c r="E418" s="31" t="str">
        <x:v>Staten Island</x:v>
      </x:c>
      <x:c r="F418" s="31" t="str">
        <x:v>St. George-New Brighton</x:v>
      </x:c>
      <x:c r="G418" s="31" t="n">
        <x:v>16749.925469078586</x:v>
      </x:c>
      <x:c r="H418" s="31" t="n">
        <x:v>14140</x:v>
      </x:c>
      <x:c r="I418" s="31" t="n">
        <x:v>4.345431738623104</x:v>
      </x:c>
      <x:c r="J418" s="40" t="n">
        <x:v>0.08705799151343706</x:v>
      </x:c>
      <x:c r="K418" s="40" t="n">
        <x:v>0.3768033946251768</x:v>
      </x:c>
      <x:c r="L418" s="40" t="n">
        <x:v>0.10212164073550212</x:v>
      </x:c>
      <x:c r="M418" s="31" t="n">
        <x:v>52.241325475412374</x:v>
      </x:c>
      <x:c r="N418" s="31" t="n">
        <x:v>102</x:v>
      </x:c>
      <x:c r="O418" s="31" t="n">
        <x:v>2.9129540781357095</x:v>
      </x:c>
      <x:c r="P418" s="31" t="n">
        <x:v>2.1785007072135785</x:v>
      </x:c>
      <x:c r="Q418" s="40" t="n">
        <x:v>0</x:v>
      </x:c>
      <x:c r="R418" s="31" t="n">
        <x:v>0.17870696051666088</x:v>
      </x:c>
      <x:c r="S418" s="40"/>
      <x:c r="T418" s="40"/>
      <x:c r="U418" s="40" t="n">
        <x:v>1</x:v>
      </x:c>
      <x:c r="V418" s="40" t="n">
        <x:v>0.9681046676096181</x:v>
      </x:c>
      <x:c r="W418" s="31" t="n">
        <x:v>0</x:v>
      </x:c>
      <x:c r="X418" s="31" t="str"/>
      <x:c r="Y418" s="31" t="n">
        <x:v>0</x:v>
      </x:c>
      <x:c r="Z418" s="31" t="n">
        <x:v>0</x:v>
      </x:c>
      <x:c r="AA418" s="31" t="n">
        <x:v>0</x:v>
      </x:c>
      <x:c r="AB418" s="31" t="str"/>
      <x:c r="AC418" s="31" t="str"/>
    </x:row>
    <x:row r="419">
      <x:c r="A419" s="31" t="str">
        <x:v>804421e0c80de9b7</x:v>
      </x:c>
      <x:c r="B419" s="31" t="str">
        <x:v>804421e0c80de9b7c03fbc2797c6e13cc6b68d337cc862d41e4ebbc0c7baebe8</x:v>
      </x:c>
      <x:c r="C419" s="31" t="n">
        <x:v>11</x:v>
      </x:c>
      <x:c r="D419" s="31" t="n">
        <x:v>35028</x:v>
      </x:c>
      <x:c r="E419" s="31" t="str">
        <x:v>Brooklyn</x:v>
      </x:c>
      <x:c r="F419" s="31" t="str">
        <x:v>Madison</x:v>
      </x:c>
      <x:c r="G419" s="31" t="n">
        <x:v>48366.42093573426</x:v>
      </x:c>
      <x:c r="H419" s="31" t="n">
        <x:v>13666</x:v>
      </x:c>
      <x:c r="I419" s="31" t="n">
        <x:v>4.549999268096318</x:v>
      </x:c>
      <x:c r="J419" s="40" t="n">
        <x:v>0.019610712717693546</x:v>
      </x:c>
      <x:c r="K419" s="40" t="n">
        <x:v>0.6801551295185131</x:v>
      </x:c>
      <x:c r="L419" s="40" t="n">
        <x:v>0.005195375384165081</x:v>
      </x:c>
      <x:c r="M419" s="31" t="n">
        <x:v>51.340516799298314</x:v>
      </x:c>
      <x:c r="N419" s="31" t="n">
        <x:v>230</x:v>
      </x:c>
      <x:c r="O419" s="31" t="n">
        <x:v>6.566175630923833</x:v>
      </x:c>
      <x:c r="P419" s="31" t="n">
        <x:v>3.244914386067613</x:v>
      </x:c>
      <x:c r="Q419" s="40" t="n">
        <x:v>0.24491438606761307</x:v>
      </x:c>
      <x:c r="R419" s="31" t="n">
        <x:v>0.17746905630208504</x:v>
      </x:c>
      <x:c r="S419" s="40"/>
      <x:c r="T419" s="40"/>
      <x:c r="U419" s="40" t="n">
        <x:v>1</x:v>
      </x:c>
      <x:c r="V419" s="40" t="n">
        <x:v>0.986535928581882</x:v>
      </x:c>
      <x:c r="W419" s="31" t="n">
        <x:v>0</x:v>
      </x:c>
      <x:c r="X419" s="31" t="str"/>
      <x:c r="Y419" s="31" t="n">
        <x:v>0</x:v>
      </x:c>
      <x:c r="Z419" s="31" t="n">
        <x:v>0</x:v>
      </x:c>
      <x:c r="AA419" s="31" t="n">
        <x:v>0</x:v>
      </x:c>
      <x:c r="AB419" s="31" t="str"/>
      <x:c r="AC419" s="31" t="str"/>
    </x:row>
    <x:row r="420">
      <x:c r="A420" s="31" t="str">
        <x:v>80dcbdfc3ce11372</x:v>
      </x:c>
      <x:c r="B420" s="31" t="str">
        <x:v>80dcbdfc3ce11372d29aab13079568777c88fdab0631d1700e5a4cef96aa2eaa</x:v>
      </x:c>
      <x:c r="C420" s="31" t="n">
        <x:v>7</x:v>
      </x:c>
      <x:c r="D420" s="31" t="n">
        <x:v>34354</x:v>
      </x:c>
      <x:c r="E420" s="31" t="str">
        <x:v>Staten Island</x:v>
      </x:c>
      <x:c r="F420" s="31" t="str">
        <x:v>Annadale-Huguenot-Prince's Bay-Woodrow</x:v>
      </x:c>
      <x:c r="G420" s="31" t="n">
        <x:v>6093.08457367979</x:v>
      </x:c>
      <x:c r="H420" s="31" t="n">
        <x:v>13206</x:v>
      </x:c>
      <x:c r="I420" s="31" t="n">
        <x:v>2.0611094061684825</x:v>
      </x:c>
      <x:c r="J420" s="40" t="n">
        <x:v>0</x:v>
      </x:c>
      <x:c r="K420" s="40" t="n">
        <x:v>0.13774042102074815</x:v>
      </x:c>
      <x:c r="L420" s="40" t="n">
        <x:v>0.08185673178858095</x:v>
      </x:c>
      <x:c r="M420" s="31" t="n">
        <x:v>28.0606963698799</x:v>
      </x:c>
      <x:c r="N420" s="31" t="n">
        <x:v>29</x:v>
      </x:c>
      <x:c r="O420" s="31" t="n">
        <x:v>0.8441520638062525</x:v>
      </x:c>
      <x:c r="P420" s="31" t="n">
        <x:v>1</x:v>
      </x:c>
      <x:c r="Q420" s="40" t="n">
        <x:v>0</x:v>
      </x:c>
      <x:c r="R420" s="31" t="n">
        <x:v>0.488141150060833</x:v>
      </x:c>
      <x:c r="S420" s="40"/>
      <x:c r="T420" s="40"/>
      <x:c r="U420" s="40" t="n">
        <x:v>1</x:v>
      </x:c>
      <x:c r="V420" s="40" t="n">
        <x:v>0.9583522641223686</x:v>
      </x:c>
      <x:c r="W420" s="31" t="n">
        <x:v>0</x:v>
      </x:c>
      <x:c r="X420" s="31" t="str"/>
      <x:c r="Y420" s="31" t="n">
        <x:v>0</x:v>
      </x:c>
      <x:c r="Z420" s="31" t="n">
        <x:v>0</x:v>
      </x:c>
      <x:c r="AA420" s="31" t="n">
        <x:v>0</x:v>
      </x:c>
      <x:c r="AB420" s="31" t="str"/>
      <x:c r="AC420" s="31" t="str"/>
    </x:row>
    <x:row r="421">
      <x:c r="A421" s="31" t="str">
        <x:v>822bd54b1bc41424</x:v>
      </x:c>
      <x:c r="B421" s="31" t="str">
        <x:v>822bd54b1bc414241ed4f6f0a23e713d279d3af604e4c13da70a1c2cc6c360fc</x:v>
      </x:c>
      <x:c r="C421" s="31" t="n">
        <x:v>7</x:v>
      </x:c>
      <x:c r="D421" s="31" t="n">
        <x:v>33438</x:v>
      </x:c>
      <x:c r="E421" s="31" t="str">
        <x:v>Brooklyn</x:v>
      </x:c>
      <x:c r="F421" s="31" t="str">
        <x:v>Bedford-Stuyvesant (West)</x:v>
      </x:c>
      <x:c r="G421" s="31" t="n">
        <x:v>69342.03899065046</x:v>
      </x:c>
      <x:c r="H421" s="31" t="n">
        <x:v>14252</x:v>
      </x:c>
      <x:c r="I421" s="31" t="n">
        <x:v>7.44211649242586</x:v>
      </x:c>
      <x:c r="J421" s="40" t="n">
        <x:v>0.23084479371316308</x:v>
      </x:c>
      <x:c r="K421" s="40" t="n">
        <x:v>0.6918327252315465</x:v>
      </x:c>
      <x:c r="L421" s="40" t="n">
        <x:v>0.09374122930115071</x:v>
      </x:c>
      <x:c r="M421" s="31" t="n">
        <x:v>78.20805109157872</x:v>
      </x:c>
      <x:c r="N421" s="31" t="n">
        <x:v>240</x:v>
      </x:c>
      <x:c r="O421" s="31" t="n">
        <x:v>7.177462766911897</x:v>
      </x:c>
      <x:c r="P421" s="31" t="n">
        <x:v>3.360230143137805</x:v>
      </x:c>
      <x:c r="Q421" s="40" t="n">
        <x:v>0.6801150715689026</x:v>
      </x:c>
      <x:c r="R421" s="31" t="n">
        <x:v>0.11280084282061961</x:v>
      </x:c>
      <x:c r="S421" s="40"/>
      <x:c r="T421" s="40"/>
      <x:c r="U421" s="40" t="n">
        <x:v>1</x:v>
      </x:c>
      <x:c r="V421" s="40" t="n">
        <x:v>0.9706707830479933</x:v>
      </x:c>
      <x:c r="W421" s="31" t="n">
        <x:v>0</x:v>
      </x:c>
      <x:c r="X421" s="31" t="str"/>
      <x:c r="Y421" s="31" t="n">
        <x:v>0</x:v>
      </x:c>
      <x:c r="Z421" s="31" t="n">
        <x:v>0</x:v>
      </x:c>
      <x:c r="AA421" s="31" t="n">
        <x:v>0</x:v>
      </x:c>
      <x:c r="AB421" s="31" t="str"/>
      <x:c r="AC421" s="31" t="str"/>
    </x:row>
    <x:row r="422">
      <x:c r="A422" s="31" t="str">
        <x:v>8231fbc0390d34dd</x:v>
      </x:c>
      <x:c r="B422" s="31" t="str">
        <x:v>8231fbc0390d34ddf580dbd33fd594c2518ce4f6edc288c0e75f85900aa32d94</x:v>
      </x:c>
      <x:c r="C422" s="31" t="n">
        <x:v>12</x:v>
      </x:c>
      <x:c r="D422" s="31" t="n">
        <x:v>34036</x:v>
      </x:c>
      <x:c r="E422" s="31" t="str">
        <x:v>Brooklyn</x:v>
      </x:c>
      <x:c r="F422" s="31" t="str">
        <x:v>East Flatbush-Farragut</x:v>
      </x:c>
      <x:c r="G422" s="31" t="n">
        <x:v>51310.848834646415</x:v>
      </x:c>
      <x:c r="H422" s="31" t="n">
        <x:v>14227</x:v>
      </x:c>
      <x:c r="I422" s="31" t="n">
        <x:v>5.346938099266779</x:v>
      </x:c>
      <x:c r="J422" s="40" t="n">
        <x:v>0.08139453152456597</x:v>
      </x:c>
      <x:c r="K422" s="40" t="n">
        <x:v>0.5994939200112462</x:v>
      </x:c>
      <x:c r="L422" s="40" t="n">
        <x:v>0.2049623954452801</x:v>
      </x:c>
      <x:c r="M422" s="31" t="n">
        <x:v>58.21127330110213</x:v>
      </x:c>
      <x:c r="N422" s="31" t="n">
        <x:v>168</x:v>
      </x:c>
      <x:c r="O422" s="31" t="n">
        <x:v>4.9359501704078035</x:v>
      </x:c>
      <x:c r="P422" s="31" t="n">
        <x:v>5</x:v>
      </x:c>
      <x:c r="Q422" s="40" t="n">
        <x:v>1</x:v>
      </x:c>
      <x:c r="R422" s="31" t="n">
        <x:v>0.19173382652807042</x:v>
      </x:c>
      <x:c r="S422" s="40"/>
      <x:c r="T422" s="40"/>
      <x:c r="U422" s="40" t="n">
        <x:v>1</x:v>
      </x:c>
      <x:c r="V422" s="40" t="n">
        <x:v>0.991073311309482</x:v>
      </x:c>
      <x:c r="W422" s="31" t="n">
        <x:v>1</x:v>
      </x:c>
      <x:c r="X422" s="31" t="str"/>
      <x:c r="Y422" s="31" t="n">
        <x:v>0</x:v>
      </x:c>
      <x:c r="Z422" s="31" t="n">
        <x:v>1</x:v>
      </x:c>
      <x:c r="AA422" s="31" t="n">
        <x:v>0</x:v>
      </x:c>
      <x:c r="AB422" s="31" t="str"/>
      <x:c r="AC422" s="31" t="str"/>
    </x:row>
    <x:row r="423">
      <x:c r="A423" s="31" t="str">
        <x:v>825325cccf769805</x:v>
      </x:c>
      <x:c r="B423" s="31" t="str">
        <x:v>825325cccf7698053fc5800544f6c4b9bf98b498efa8be085425a86ad8549fb7</x:v>
      </x:c>
      <x:c r="C423" s="31" t="n">
        <x:v>12</x:v>
      </x:c>
      <x:c r="D423" s="31" t="n">
        <x:v>32401</x:v>
      </x:c>
      <x:c r="E423" s="31" t="str">
        <x:v>Brooklyn</x:v>
      </x:c>
      <x:c r="F423" s="31" t="str">
        <x:v>East Flatbush-Rugby</x:v>
      </x:c>
      <x:c r="G423" s="31" t="n">
        <x:v>42023.41085094334</x:v>
      </x:c>
      <x:c r="H423" s="31" t="n">
        <x:v>10828</x:v>
      </x:c>
      <x:c r="I423" s="31" t="n">
        <x:v>2.4871028814185445</x:v>
      </x:c>
      <x:c r="J423" s="40" t="n">
        <x:v>0</x:v>
      </x:c>
      <x:c r="K423" s="40" t="n">
        <x:v>0.31640192094569636</x:v>
      </x:c>
      <x:c r="L423" s="40" t="n">
        <x:v>0.013114148503878832</x:v>
      </x:c>
      <x:c r="M423" s="31" t="n">
        <x:v>31.764973686296404</x:v>
      </x:c>
      <x:c r="N423" s="31" t="n">
        <x:v>18</x:v>
      </x:c>
      <x:c r="O423" s="31" t="n">
        <x:v>0.5555384093083546</x:v>
      </x:c>
      <x:c r="P423" s="31" t="n">
        <x:v>5</x:v>
      </x:c>
      <x:c r="Q423" s="40" t="n">
        <x:v>1</x:v>
      </x:c>
      <x:c r="R423" s="31" t="n">
        <x:v>0.15544198921225677</x:v>
      </x:c>
      <x:c r="S423" s="40"/>
      <x:c r="T423" s="40"/>
      <x:c r="U423" s="40" t="n">
        <x:v>1</x:v>
      </x:c>
      <x:c r="V423" s="40" t="n">
        <x:v>0.9902105652013299</x:v>
      </x:c>
      <x:c r="W423" s="31" t="n">
        <x:v>0</x:v>
      </x:c>
      <x:c r="X423" s="31" t="str"/>
      <x:c r="Y423" s="31" t="n">
        <x:v>0</x:v>
      </x:c>
      <x:c r="Z423" s="31" t="n">
        <x:v>0</x:v>
      </x:c>
      <x:c r="AA423" s="31" t="n">
        <x:v>0</x:v>
      </x:c>
      <x:c r="AB423" s="31" t="str"/>
      <x:c r="AC423" s="31" t="str"/>
    </x:row>
    <x:row r="424">
      <x:c r="A424" s="31" t="str">
        <x:v>826f62324af91666</x:v>
      </x:c>
      <x:c r="B424" s="31" t="str">
        <x:v>826f62324af9166637f64f0e4be9fee4a6998d590034fd0bb5c1606fc844dbdc</x:v>
      </x:c>
      <x:c r="C424" s="31" t="n">
        <x:v>10</x:v>
      </x:c>
      <x:c r="D424" s="31" t="n">
        <x:v>35068</x:v>
      </x:c>
      <x:c r="E424" s="31" t="str">
        <x:v>Brooklyn</x:v>
      </x:c>
      <x:c r="F424" s="31" t="str">
        <x:v>Fort Greene</x:v>
      </x:c>
      <x:c r="G424" s="31" t="n">
        <x:v>58636.442599856244</x:v>
      </x:c>
      <x:c r="H424" s="31" t="n">
        <x:v>23221</x:v>
      </x:c>
      <x:c r="I424" s="31" t="n">
        <x:v>17.07784574698691</x:v>
      </x:c>
      <x:c r="J424" s="40" t="n">
        <x:v>0.4753886568192584</x:v>
      </x:c>
      <x:c r="K424" s="40" t="n">
        <x:v>0.4979975022608845</x:v>
      </x:c>
      <x:c r="L424" s="40" t="n">
        <x:v>0.06196976874380948</x:v>
      </x:c>
      <x:c r="M424" s="31" t="n">
        <x:v>187.08925902593788</x:v>
      </x:c>
      <x:c r="N424" s="31" t="n">
        <x:v>293</x:v>
      </x:c>
      <x:c r="O424" s="31" t="n">
        <x:v>8.355195619938405</x:v>
      </x:c>
      <x:c r="P424" s="31" t="n">
        <x:v>2.041514146677576</x:v>
      </x:c>
      <x:c r="Q424" s="40" t="n">
        <x:v>0.026527711984841308</x:v>
      </x:c>
      <x:c r="R424" s="31" t="n">
        <x:v>0.09657963244879199</x:v>
      </x:c>
      <x:c r="S424" s="40"/>
      <x:c r="T424" s="40"/>
      <x:c r="U424" s="40" t="n">
        <x:v>1</x:v>
      </x:c>
      <x:c r="V424" s="40" t="n">
        <x:v>0.9793721200637354</x:v>
      </x:c>
      <x:c r="W424" s="31" t="n">
        <x:v>0</x:v>
      </x:c>
      <x:c r="X424" s="31" t="str"/>
      <x:c r="Y424" s="31" t="n">
        <x:v>0</x:v>
      </x:c>
      <x:c r="Z424" s="31" t="n">
        <x:v>0</x:v>
      </x:c>
      <x:c r="AA424" s="31" t="n">
        <x:v>0</x:v>
      </x:c>
      <x:c r="AB424" s="31" t="str"/>
      <x:c r="AC424" s="31" t="str"/>
    </x:row>
    <x:row r="425">
      <x:c r="A425" s="31" t="str">
        <x:v>83597df47fd3beb1</x:v>
      </x:c>
      <x:c r="B425" s="31" t="str">
        <x:v>83597df47fd3beb148c843a21372241c8beb9003d827c60ea2eb8dd0d715d728</x:v>
      </x:c>
      <x:c r="C425" s="31" t="n">
        <x:v>10</x:v>
      </x:c>
      <x:c r="D425" s="31" t="n">
        <x:v>34790</x:v>
      </x:c>
      <x:c r="E425" s="31" t="str">
        <x:v>Brooklyn</x:v>
      </x:c>
      <x:c r="F425" s="31" t="str">
        <x:v>Carroll Gardens-Cobble Hill-Gowanus-Red Hook</x:v>
      </x:c>
      <x:c r="G425" s="31" t="n">
        <x:v>27307.535975910167</x:v>
      </x:c>
      <x:c r="H425" s="31" t="n">
        <x:v>20062</x:v>
      </x:c>
      <x:c r="I425" s="31" t="n">
        <x:v>6.994391885105956</x:v>
      </x:c>
      <x:c r="J425" s="40" t="n">
        <x:v>0.21368756853753365</x:v>
      </x:c>
      <x:c r="K425" s="40" t="n">
        <x:v>0.6940982952846176</x:v>
      </x:c>
      <x:c r="L425" s="40" t="n">
        <x:v>0.16957431960921143</x:v>
      </x:c>
      <x:c r="M425" s="31" t="n">
        <x:v>70.59325260233733</x:v>
      </x:c>
      <x:c r="N425" s="31" t="n">
        <x:v>242</x:v>
      </x:c>
      <x:c r="O425" s="31" t="n">
        <x:v>6.956021845357862</x:v>
      </x:c>
      <x:c r="P425" s="31" t="n">
        <x:v>2</x:v>
      </x:c>
      <x:c r="Q425" s="40" t="n">
        <x:v>0</x:v>
      </x:c>
      <x:c r="R425" s="31" t="n">
        <x:v>0.1712147720325932</x:v>
      </x:c>
      <x:c r="S425" s="40"/>
      <x:c r="T425" s="40"/>
      <x:c r="U425" s="40" t="n">
        <x:v>1</x:v>
      </x:c>
      <x:c r="V425" s="40" t="n">
        <x:v>0.9291695743196092</x:v>
      </x:c>
      <x:c r="W425" s="31" t="n">
        <x:v>1</x:v>
      </x:c>
      <x:c r="X425" s="31" t="str"/>
      <x:c r="Y425" s="31" t="n">
        <x:v>0</x:v>
      </x:c>
      <x:c r="Z425" s="31" t="n">
        <x:v>0</x:v>
      </x:c>
      <x:c r="AA425" s="31" t="n">
        <x:v>1</x:v>
      </x:c>
      <x:c r="AB425" s="31" t="str"/>
      <x:c r="AC425" s="31" t="str"/>
    </x:row>
    <x:row r="426">
      <x:c r="A426" s="31" t="str">
        <x:v>84db8baeb77603f3</x:v>
      </x:c>
      <x:c r="B426" s="31" t="str">
        <x:v>84db8baeb77603f3678c52ba07f731f1a98aa79133b170a2407ae66eb724e308</x:v>
      </x:c>
      <x:c r="C426" s="31" t="n">
        <x:v>7</x:v>
      </x:c>
      <x:c r="D426" s="31" t="n">
        <x:v>33523</x:v>
      </x:c>
      <x:c r="E426" s="31" t="str">
        <x:v>Brooklyn</x:v>
      </x:c>
      <x:c r="F426" s="31" t="str">
        <x:v>Sunset Park (Central)</x:v>
      </x:c>
      <x:c r="G426" s="31" t="n">
        <x:v>115061.00287847761</x:v>
      </x:c>
      <x:c r="H426" s="31" t="n">
        <x:v>8262</x:v>
      </x:c>
      <x:c r="I426" s="31" t="n">
        <x:v>2.9824763521707496</x:v>
      </x:c>
      <x:c r="J426" s="40" t="n">
        <x:v>0</x:v>
      </x:c>
      <x:c r="K426" s="40" t="n">
        <x:v>0.5619704671992254</x:v>
      </x:c>
      <x:c r="L426" s="40" t="n">
        <x:v>0.011256354393609296</x:v>
      </x:c>
      <x:c r="M426" s="31" t="n">
        <x:v>35.95725318347016</x:v>
      </x:c>
      <x:c r="N426" s="31" t="n">
        <x:v>138</x:v>
      </x:c>
      <x:c r="O426" s="31" t="n">
        <x:v>4.116576678698207</x:v>
      </x:c>
      <x:c r="P426" s="31" t="n">
        <x:v>3</x:v>
      </x:c>
      <x:c r="Q426" s="40" t="n">
        <x:v>0</x:v>
      </x:c>
      <x:c r="R426" s="31" t="n">
        <x:v>0.13902824173387368</x:v>
      </x:c>
      <x:c r="S426" s="40"/>
      <x:c r="T426" s="40"/>
      <x:c r="U426" s="40" t="n">
        <x:v>1</x:v>
      </x:c>
      <x:c r="V426" s="40" t="n">
        <x:v>0.9937061244250787</x:v>
      </x:c>
      <x:c r="W426" s="31" t="n">
        <x:v>0</x:v>
      </x:c>
      <x:c r="X426" s="31" t="str"/>
      <x:c r="Y426" s="31" t="n">
        <x:v>0</x:v>
      </x:c>
      <x:c r="Z426" s="31" t="n">
        <x:v>0</x:v>
      </x:c>
      <x:c r="AA426" s="31" t="n">
        <x:v>0</x:v>
      </x:c>
      <x:c r="AB426" s="31" t="str"/>
      <x:c r="AC426" s="31" t="str"/>
    </x:row>
    <x:row r="427">
      <x:c r="A427" s="31" t="str">
        <x:v>854a3f00f25327dc</x:v>
      </x:c>
      <x:c r="B427" s="31" t="str">
        <x:v>854a3f00f25327dc6310a1a689f9aa28b320b86521fd8a6e9d3c0cb2cda564e9</x:v>
      </x:c>
      <x:c r="C427" s="31" t="n">
        <x:v>12</x:v>
      </x:c>
      <x:c r="D427" s="31" t="n">
        <x:v>33012</x:v>
      </x:c>
      <x:c r="E427" s="31" t="str">
        <x:v>Queens</x:v>
      </x:c>
      <x:c r="F427" s="31" t="str">
        <x:v>Queens Village</x:v>
      </x:c>
      <x:c r="G427" s="31" t="n">
        <x:v>22450.806880647633</x:v>
      </x:c>
      <x:c r="H427" s="31" t="n">
        <x:v>9426</x:v>
      </x:c>
      <x:c r="I427" s="31" t="n">
        <x:v>2.395163412563667</x:v>
      </x:c>
      <x:c r="J427" s="40" t="n">
        <x:v>0.007214088690855082</x:v>
      </x:c>
      <x:c r="K427" s="40" t="n">
        <x:v>0.08137067685126247</x:v>
      </x:c>
      <x:c r="L427" s="40" t="n">
        <x:v>0.03288775726713346</x:v>
      </x:c>
      <x:c r="M427" s="31" t="n">
        <x:v>29.15442004296336</x:v>
      </x:c>
      <x:c r="N427" s="31" t="n">
        <x:v>9</x:v>
      </x:c>
      <x:c r="O427" s="31" t="n">
        <x:v>0.27262813522355506</x:v>
      </x:c>
      <x:c r="P427" s="31" t="n">
        <x:v>4.12518565669425</x:v>
      </x:c>
      <x:c r="Q427" s="40" t="n">
        <x:v>0.8560364948016126</x:v>
      </x:c>
      <x:c r="R427" s="31" t="n">
        <x:v>0.2548077441850565</x:v>
      </x:c>
      <x:c r="S427" s="40"/>
      <x:c r="T427" s="40"/>
      <x:c r="U427" s="40" t="n">
        <x:v>1</x:v>
      </x:c>
      <x:c r="V427" s="40" t="n">
        <x:v>0.9988330150647147</x:v>
      </x:c>
      <x:c r="W427" s="31" t="n">
        <x:v>0</x:v>
      </x:c>
      <x:c r="X427" s="31" t="str"/>
      <x:c r="Y427" s="31" t="n">
        <x:v>0</x:v>
      </x:c>
      <x:c r="Z427" s="31" t="n">
        <x:v>0</x:v>
      </x:c>
      <x:c r="AA427" s="31" t="n">
        <x:v>0</x:v>
      </x:c>
      <x:c r="AB427" s="31" t="str"/>
      <x:c r="AC427" s="31" t="str"/>
    </x:row>
    <x:row r="428">
      <x:c r="A428" s="31" t="str">
        <x:v>855ffd852b0f72fb</x:v>
      </x:c>
      <x:c r="B428" s="31" t="str">
        <x:v>855ffd852b0f72fb4ebe9ee8d1e88d32199ced82badb595b10cfe5372d7d62e3</x:v>
      </x:c>
      <x:c r="C428" s="31" t="n">
        <x:v>6</x:v>
      </x:c>
      <x:c r="D428" s="31" t="n">
        <x:v>35238</x:v>
      </x:c>
      <x:c r="E428" s="31" t="str">
        <x:v>Manhattan</x:v>
      </x:c>
      <x:c r="F428" s="31" t="str">
        <x:v>Upper West Side-Lincoln Square</x:v>
      </x:c>
      <x:c r="G428" s="31" t="n">
        <x:v>94626.40765341585</x:v>
      </x:c>
      <x:c r="H428" s="31" t="n">
        <x:v>21747</x:v>
      </x:c>
      <x:c r="I428" s="31" t="n">
        <x:v>32.403364849833146</x:v>
      </x:c>
      <x:c r="J428" s="40" t="n">
        <x:v>0.9419690072193866</x:v>
      </x:c>
      <x:c r="K428" s="40" t="n">
        <x:v>0.05012185588816848</x:v>
      </x:c>
      <x:c r="L428" s="40" t="n">
        <x:v>0.0615717110406033</x:v>
      </x:c>
      <x:c r="M428" s="31" t="n">
        <x:v>336.3089752282065</x:v>
      </x:c>
      <x:c r="N428" s="31" t="n">
        <x:v>602</x:v>
      </x:c>
      <x:c r="O428" s="31" t="n">
        <x:v>17.08382995629718</x:v>
      </x:c>
      <x:c r="P428" s="31" t="n">
        <x:v>1.2915344645238425</x:v>
      </x:c>
      <x:c r="Q428" s="40" t="n">
        <x:v>0</x:v>
      </x:c>
      <x:c r="R428" s="31" t="n">
        <x:v>0.12752410834604866</x:v>
      </x:c>
      <x:c r="S428" s="40"/>
      <x:c r="T428" s="40"/>
      <x:c r="U428" s="40" t="n">
        <x:v>1</x:v>
      </x:c>
      <x:c r="V428" s="40" t="n">
        <x:v>0.9963213316779326</x:v>
      </x:c>
      <x:c r="W428" s="31" t="n">
        <x:v>1</x:v>
      </x:c>
      <x:c r="X428" s="31" t="str"/>
      <x:c r="Y428" s="31" t="n">
        <x:v>1</x:v>
      </x:c>
      <x:c r="Z428" s="31" t="n">
        <x:v>0</x:v>
      </x:c>
      <x:c r="AA428" s="31" t="n">
        <x:v>0</x:v>
      </x:c>
      <x:c r="AB428" s="31" t="str"/>
      <x:c r="AC428" s="31" t="str"/>
    </x:row>
    <x:row r="429">
      <x:c r="A429" s="31" t="str">
        <x:v>85641786519c2fc9</x:v>
      </x:c>
      <x:c r="B429" s="31" t="str">
        <x:v>85641786519c2fc9670e3694349981fcc81abdd8734a7496b811f52bbf11cfab</x:v>
      </x:c>
      <x:c r="C429" s="31" t="n">
        <x:v>13</x:v>
      </x:c>
      <x:c r="D429" s="31" t="n">
        <x:v>36117</x:v>
      </x:c>
      <x:c r="E429" s="31" t="str">
        <x:v>Manhattan</x:v>
      </x:c>
      <x:c r="F429" s="31" t="str">
        <x:v>East Midtown-Turtle Bay</x:v>
      </x:c>
      <x:c r="G429" s="31" t="n">
        <x:v>62858.441945099315</x:v>
      </x:c>
      <x:c r="H429" s="31" t="n">
        <x:v>29489</x:v>
      </x:c>
      <x:c r="I429" s="31" t="n">
        <x:v>20.765098603122432</x:v>
      </x:c>
      <x:c r="J429" s="40" t="n">
        <x:v>0.7528569975245006</x:v>
      </x:c>
      <x:c r="K429" s="40" t="n">
        <x:v>0.23751229271931906</x:v>
      </x:c>
      <x:c r="L429" s="40" t="n">
        <x:v>0.0035606497337990436</x:v>
      </x:c>
      <x:c r="M429" s="31" t="n">
        <x:v>221.52429812447127</x:v>
      </x:c>
      <x:c r="N429" s="31" t="n">
        <x:v>1099</x:v>
      </x:c>
      <x:c r="O429" s="31" t="n">
        <x:v>30.428883905086245</x:v>
      </x:c>
      <x:c r="P429" s="31" t="n">
        <x:v>1.1249957611312693</x:v>
      </x:c>
      <x:c r="Q429" s="40" t="n">
        <x:v>0</x:v>
      </x:c>
      <x:c r="R429" s="31" t="n">
        <x:v>0.14777548918205782</x:v>
      </x:c>
      <x:c r="S429" s="40"/>
      <x:c r="T429" s="40"/>
      <x:c r="U429" s="40" t="n">
        <x:v>1</x:v>
      </x:c>
      <x:c r="V429" s="40" t="n">
        <x:v>0.9911831530401166</x:v>
      </x:c>
      <x:c r="W429" s="31" t="n">
        <x:v>0</x:v>
      </x:c>
      <x:c r="X429" s="31" t="str"/>
      <x:c r="Y429" s="31" t="n">
        <x:v>0</x:v>
      </x:c>
      <x:c r="Z429" s="31" t="n">
        <x:v>0</x:v>
      </x:c>
      <x:c r="AA429" s="31" t="n">
        <x:v>0</x:v>
      </x:c>
      <x:c r="AB429" s="31" t="str"/>
      <x:c r="AC429" s="31" t="str"/>
    </x:row>
    <x:row r="430">
      <x:c r="A430" s="31" t="str">
        <x:v>8598bae546e3749e</x:v>
      </x:c>
      <x:c r="B430" s="31" t="str">
        <x:v>8598bae546e3749e9f5cf5f4b509c69cc0d299c4cf818ca21b7d84616c970fe1</x:v>
      </x:c>
      <x:c r="C430" s="31" t="n">
        <x:v>10</x:v>
      </x:c>
      <x:c r="D430" s="31" t="n">
        <x:v>34678</x:v>
      </x:c>
      <x:c r="E430" s="31" t="str">
        <x:v>Brooklyn</x:v>
      </x:c>
      <x:c r="F430" s="31" t="str">
        <x:v>East New York (North)</x:v>
      </x:c>
      <x:c r="G430" s="31" t="n">
        <x:v>49827.96250519246</x:v>
      </x:c>
      <x:c r="H430" s="31" t="n">
        <x:v>12627</x:v>
      </x:c>
      <x:c r="I430" s="31" t="n">
        <x:v>4.493393905729249</x:v>
      </x:c>
      <x:c r="J430" s="40" t="n">
        <x:v>0.11879306248515087</x:v>
      </x:c>
      <x:c r="K430" s="40" t="n">
        <x:v>0.4097568701987804</x:v>
      </x:c>
      <x:c r="L430" s="40" t="n">
        <x:v>0.14548190385681475</x:v>
      </x:c>
      <x:c r="M430" s="31" t="n">
        <x:v>46.25623046830862</x:v>
      </x:c>
      <x:c r="N430" s="31" t="n">
        <x:v>67</x:v>
      </x:c>
      <x:c r="O430" s="31" t="n">
        <x:v>1.932060672472461</x:v>
      </x:c>
      <x:c r="P430" s="31" t="n">
        <x:v>4</x:v>
      </x:c>
      <x:c r="Q430" s="40" t="n">
        <x:v>1</x:v>
      </x:c>
      <x:c r="R430" s="31" t="n">
        <x:v>0.11275618355257071</x:v>
      </x:c>
      <x:c r="S430" s="40"/>
      <x:c r="T430" s="40"/>
      <x:c r="U430" s="40" t="n">
        <x:v>1</x:v>
      </x:c>
      <x:c r="V430" s="40" t="n">
        <x:v>0.9668963332541379</x:v>
      </x:c>
      <x:c r="W430" s="31" t="n">
        <x:v>0</x:v>
      </x:c>
      <x:c r="X430" s="31" t="str"/>
      <x:c r="Y430" s="31" t="n">
        <x:v>0</x:v>
      </x:c>
      <x:c r="Z430" s="31" t="n">
        <x:v>0</x:v>
      </x:c>
      <x:c r="AA430" s="31" t="n">
        <x:v>0</x:v>
      </x:c>
      <x:c r="AB430" s="31" t="str"/>
      <x:c r="AC430" s="31" t="str"/>
    </x:row>
    <x:row r="431">
      <x:c r="A431" s="31" t="str">
        <x:v>85dd08f95896a979</x:v>
      </x:c>
      <x:c r="B431" s="31" t="str">
        <x:v>85dd08f95896a9796f28f331211f783bacaf86d703c72ffaf5dbce1e68fb130c</x:v>
      </x:c>
      <x:c r="C431" s="31" t="n">
        <x:v>8</x:v>
      </x:c>
      <x:c r="D431" s="31" t="n">
        <x:v>37474</x:v>
      </x:c>
      <x:c r="E431" s="31" t="str">
        <x:v>Brooklyn</x:v>
      </x:c>
      <x:c r="F431" s="31" t="str">
        <x:v>Flatbush</x:v>
      </x:c>
      <x:c r="G431" s="31" t="n">
        <x:v>109172.54779223626</x:v>
      </x:c>
      <x:c r="H431" s="31" t="n">
        <x:v>18262</x:v>
      </x:c>
      <x:c r="I431" s="31" t="n">
        <x:v>6.610774990221826</x:v>
      </x:c>
      <x:c r="J431" s="40" t="n">
        <x:v>0.10376738582849633</x:v>
      </x:c>
      <x:c r="K431" s="40" t="n">
        <x:v>0.8447048516044244</x:v>
      </x:c>
      <x:c r="L431" s="40" t="n">
        <x:v>0.010623151900120469</x:v>
      </x:c>
      <x:c r="M431" s="31" t="n">
        <x:v>74.25988631125438</x:v>
      </x:c>
      <x:c r="N431" s="31" t="n">
        <x:v>304</x:v>
      </x:c>
      <x:c r="O431" s="31" t="n">
        <x:v>8.1122911885574</x:v>
      </x:c>
      <x:c r="P431" s="31" t="n">
        <x:v>5</x:v>
      </x:c>
      <x:c r="Q431" s="40" t="n">
        <x:v>1</x:v>
      </x:c>
      <x:c r="R431" s="31" t="n">
        <x:v>0.23482969128890505</x:v>
      </x:c>
      <x:c r="S431" s="40"/>
      <x:c r="T431" s="40"/>
      <x:c r="U431" s="40" t="n">
        <x:v>1</x:v>
      </x:c>
      <x:c r="V431" s="40" t="n">
        <x:v>0.9717446062862776</x:v>
      </x:c>
      <x:c r="W431" s="31" t="n">
        <x:v>1</x:v>
      </x:c>
      <x:c r="X431" s="31" t="str"/>
      <x:c r="Y431" s="31" t="n">
        <x:v>0</x:v>
      </x:c>
      <x:c r="Z431" s="31" t="n">
        <x:v>1</x:v>
      </x:c>
      <x:c r="AA431" s="31" t="n">
        <x:v>0</x:v>
      </x:c>
      <x:c r="AB431" s="31" t="str"/>
      <x:c r="AC431" s="31" t="str"/>
    </x:row>
    <x:row r="432">
      <x:c r="A432" s="31" t="str">
        <x:v>86055657b505946b</x:v>
      </x:c>
      <x:c r="B432" s="31" t="str">
        <x:v>86055657b505946b2c5dac3db21e94b0426ed288bb6dbdf606868ef085e7e8ec</x:v>
      </x:c>
      <x:c r="C432" s="31" t="n">
        <x:v>7</x:v>
      </x:c>
      <x:c r="D432" s="31" t="n">
        <x:v>32853</x:v>
      </x:c>
      <x:c r="E432" s="31" t="str">
        <x:v>Brooklyn</x:v>
      </x:c>
      <x:c r="F432" s="31" t="str">
        <x:v>East Williamsburg</x:v>
      </x:c>
      <x:c r="G432" s="31" t="n">
        <x:v>69829.43466162532</x:v>
      </x:c>
      <x:c r="H432" s="31" t="n">
        <x:v>13979</x:v>
      </x:c>
      <x:c r="I432" s="31" t="n">
        <x:v>6.180124783612233</x:v>
      </x:c>
      <x:c r="J432" s="40" t="n">
        <x:v>0.1071607411116675</x:v>
      </x:c>
      <x:c r="K432" s="40" t="n">
        <x:v>0.8467701552328493</x:v>
      </x:c>
      <x:c r="L432" s="40" t="n">
        <x:v>0.10880606624222047</x:v>
      </x:c>
      <x:c r="M432" s="31" t="n">
        <x:v>66.38272213384303</x:v>
      </x:c>
      <x:c r="N432" s="31" t="n">
        <x:v>283</x:v>
      </x:c>
      <x:c r="O432" s="31" t="n">
        <x:v>8.61412960764618</x:v>
      </x:c>
      <x:c r="P432" s="31" t="n">
        <x:v>3.4297875384505327</x:v>
      </x:c>
      <x:c r="Q432" s="40" t="n">
        <x:v>0.42978753845053297</x:v>
      </x:c>
      <x:c r="R432" s="31" t="n">
        <x:v>0.12262746871221927</x:v>
      </x:c>
      <x:c r="S432" s="40"/>
      <x:c r="T432" s="40"/>
      <x:c r="U432" s="40" t="n">
        <x:v>1</x:v>
      </x:c>
      <x:c r="V432" s="40" t="n">
        <x:v>0.969811860648115</x:v>
      </x:c>
      <x:c r="W432" s="31" t="n">
        <x:v>0</x:v>
      </x:c>
      <x:c r="X432" s="31" t="str"/>
      <x:c r="Y432" s="31" t="n">
        <x:v>0</x:v>
      </x:c>
      <x:c r="Z432" s="31" t="n">
        <x:v>0</x:v>
      </x:c>
      <x:c r="AA432" s="31" t="n">
        <x:v>0</x:v>
      </x:c>
      <x:c r="AB432" s="31" t="str"/>
      <x:c r="AC432" s="31" t="str"/>
    </x:row>
    <x:row r="433">
      <x:c r="A433" s="31" t="str">
        <x:v>86c8781f27eb739e</x:v>
      </x:c>
      <x:c r="B433" s="31" t="str">
        <x:v>86c8781f27eb739e5bae9a1dd2947fcd4774e96fb4ae824116e72c156f42e7f1</x:v>
      </x:c>
      <x:c r="C433" s="31" t="n">
        <x:v>7</x:v>
      </x:c>
      <x:c r="D433" s="31" t="n">
        <x:v>32903</x:v>
      </x:c>
      <x:c r="E433" s="31" t="str">
        <x:v>Manhattan</x:v>
      </x:c>
      <x:c r="F433" s="31" t="str">
        <x:v>Harlem (North)</x:v>
      </x:c>
      <x:c r="G433" s="31" t="n">
        <x:v>84260.31497398704</x:v>
      </x:c>
      <x:c r="H433" s="31" t="n">
        <x:v>16685</x:v>
      </x:c>
      <x:c r="I433" s="31" t="n">
        <x:v>8.751019673704414</x:v>
      </x:c>
      <x:c r="J433" s="40" t="n">
        <x:v>0.3255019478573569</x:v>
      </x:c>
      <x:c r="K433" s="40" t="n">
        <x:v>0.6722804914593946</x:v>
      </x:c>
      <x:c r="L433" s="40" t="n">
        <x:v>0.19928079112975727</x:v>
      </x:c>
      <x:c r="M433" s="31" t="n">
        <x:v>96.54281002035064</x:v>
      </x:c>
      <x:c r="N433" s="31" t="n">
        <x:v>259</x:v>
      </x:c>
      <x:c r="O433" s="31" t="n">
        <x:v>7.871622648390725</x:v>
      </x:c>
      <x:c r="P433" s="31" t="n">
        <x:v>4.140065927479772</x:v>
      </x:c>
      <x:c r="Q433" s="40" t="n">
        <x:v>1</x:v>
      </x:c>
      <x:c r="R433" s="31" t="n">
        <x:v>0.09123872036189055</x:v>
      </x:c>
      <x:c r="S433" s="40"/>
      <x:c r="T433" s="40"/>
      <x:c r="U433" s="40" t="n">
        <x:v>1</x:v>
      </x:c>
      <x:c r="V433" s="40" t="n">
        <x:v>0.9879532514234343</x:v>
      </x:c>
      <x:c r="W433" s="31" t="n">
        <x:v>2</x:v>
      </x:c>
      <x:c r="X433" s="31" t="str"/>
      <x:c r="Y433" s="31" t="n">
        <x:v>1</x:v>
      </x:c>
      <x:c r="Z433" s="31" t="n">
        <x:v>1</x:v>
      </x:c>
      <x:c r="AA433" s="31" t="n">
        <x:v>0</x:v>
      </x:c>
      <x:c r="AB433" s="31" t="str"/>
      <x:c r="AC433" s="31" t="str"/>
    </x:row>
    <x:row r="434">
      <x:c r="A434" s="31" t="str">
        <x:v>8713876d17b6316a</x:v>
      </x:c>
      <x:c r="B434" s="31" t="str">
        <x:v>8713876d17b6316ad65b64733bece8f6a2e0c1d57ba8a36bf5c68f386fe330c3</x:v>
      </x:c>
      <x:c r="C434" s="31" t="n">
        <x:v>6</x:v>
      </x:c>
      <x:c r="D434" s="31" t="n">
        <x:v>35786</x:v>
      </x:c>
      <x:c r="E434" s="31" t="str">
        <x:v>Staten Island</x:v>
      </x:c>
      <x:c r="F434" s="31" t="str">
        <x:v>Annadale-Huguenot-Prince's Bay-Woodrow</x:v>
      </x:c>
      <x:c r="G434" s="31" t="n">
        <x:v>6157.952763178919</x:v>
      </x:c>
      <x:c r="H434" s="31" t="n">
        <x:v>13852</x:v>
      </x:c>
      <x:c r="I434" s="31" t="n">
        <x:v>2.060524749600813</x:v>
      </x:c>
      <x:c r="J434" s="40" t="n">
        <x:v>0</x:v>
      </x:c>
      <x:c r="K434" s="40" t="n">
        <x:v>0.09175570314755992</x:v>
      </x:c>
      <x:c r="L434" s="40" t="n">
        <x:v>0.016387525267109442</x:v>
      </x:c>
      <x:c r="M434" s="31" t="n">
        <x:v>28.68609936421726</x:v>
      </x:c>
      <x:c r="N434" s="31" t="n">
        <x:v>41</x:v>
      </x:c>
      <x:c r="O434" s="31" t="n">
        <x:v>1.1456994355334487</x:v>
      </x:c>
      <x:c r="P434" s="31" t="n">
        <x:v>1</x:v>
      </x:c>
      <x:c r="Q434" s="40" t="n">
        <x:v>0</x:v>
      </x:c>
      <x:c r="R434" s="31" t="n">
        <x:v>0.49344142077747033</x:v>
      </x:c>
      <x:c r="S434" s="40"/>
      <x:c r="T434" s="40"/>
      <x:c r="U434" s="40" t="n">
        <x:v>1</x:v>
      </x:c>
      <x:c r="V434" s="40" t="n">
        <x:v>0.9762489171238811</x:v>
      </x:c>
      <x:c r="W434" s="31" t="n">
        <x:v>0</x:v>
      </x:c>
      <x:c r="X434" s="31" t="str"/>
      <x:c r="Y434" s="31" t="n">
        <x:v>0</x:v>
      </x:c>
      <x:c r="Z434" s="31" t="n">
        <x:v>0</x:v>
      </x:c>
      <x:c r="AA434" s="31" t="n">
        <x:v>0</x:v>
      </x:c>
      <x:c r="AB434" s="31" t="str"/>
      <x:c r="AC434" s="31" t="str"/>
    </x:row>
    <x:row r="435">
      <x:c r="A435" s="31" t="str">
        <x:v>874a1b89009cc3a7</x:v>
      </x:c>
      <x:c r="B435" s="31" t="str">
        <x:v>874a1b89009cc3a7743fc92d54e92938aa92cf6e098266c78fc8f30a4d8a543f</x:v>
      </x:c>
      <x:c r="C435" s="31" t="n">
        <x:v>8</x:v>
      </x:c>
      <x:c r="D435" s="31" t="n">
        <x:v>35619</x:v>
      </x:c>
      <x:c r="E435" s="31" t="str">
        <x:v>Brooklyn</x:v>
      </x:c>
      <x:c r="F435" s="31" t="str">
        <x:v>Brownsville</x:v>
      </x:c>
      <x:c r="G435" s="31" t="n">
        <x:v>55010.6814669921</x:v>
      </x:c>
      <x:c r="H435" s="31" t="n">
        <x:v>14316</x:v>
      </x:c>
      <x:c r="I435" s="31" t="n">
        <x:v>9.930811743170938</x:v>
      </x:c>
      <x:c r="J435" s="40" t="n">
        <x:v>0.46898575020955574</x:v>
      </x:c>
      <x:c r="K435" s="40" t="n">
        <x:v>0.4411148365465214</x:v>
      </x:c>
      <x:c r="L435" s="40" t="n">
        <x:v>0.48980162056440346</x:v>
      </x:c>
      <x:c r="M435" s="31" t="n">
        <x:v>106.74423309202943</x:v>
      </x:c>
      <x:c r="N435" s="31" t="n">
        <x:v>197</x:v>
      </x:c>
      <x:c r="O435" s="31" t="n">
        <x:v>5.530756057160504</x:v>
      </x:c>
      <x:c r="P435" s="31" t="n">
        <x:v>5</x:v>
      </x:c>
      <x:c r="Q435" s="40" t="n">
        <x:v>1</x:v>
      </x:c>
      <x:c r="R435" s="31" t="n">
        <x:v>0.07584627635438397</x:v>
      </x:c>
      <x:c r="S435" s="40"/>
      <x:c r="T435" s="40"/>
      <x:c r="U435" s="40" t="n">
        <x:v>1</x:v>
      </x:c>
      <x:c r="V435" s="40" t="n">
        <x:v>0.9348281642917016</x:v>
      </x:c>
      <x:c r="W435" s="31" t="n">
        <x:v>0</x:v>
      </x:c>
      <x:c r="X435" s="31" t="str"/>
      <x:c r="Y435" s="31" t="n">
        <x:v>0</x:v>
      </x:c>
      <x:c r="Z435" s="31" t="n">
        <x:v>0</x:v>
      </x:c>
      <x:c r="AA435" s="31" t="n">
        <x:v>0</x:v>
      </x:c>
      <x:c r="AB435" s="31" t="str"/>
      <x:c r="AC435" s="31" t="str"/>
    </x:row>
    <x:row r="436">
      <x:c r="A436" s="31" t="str">
        <x:v>8754a0835e176d35</x:v>
      </x:c>
      <x:c r="B436" s="31" t="str">
        <x:v>8754a0835e176d35fe370d7e73128e1420215c7de5ce7eaf7ca5672c6ba5c8ac</x:v>
      </x:c>
      <x:c r="C436" s="31" t="n">
        <x:v>15</x:v>
      </x:c>
      <x:c r="D436" s="31" t="n">
        <x:v>37092</x:v>
      </x:c>
      <x:c r="E436" s="31" t="str">
        <x:v>Queens</x:v>
      </x:c>
      <x:c r="F436" s="31" t="str">
        <x:v>South Jamaica</x:v>
      </x:c>
      <x:c r="G436" s="31" t="n">
        <x:v>31982.958607697183</x:v>
      </x:c>
      <x:c r="H436" s="31" t="n">
        <x:v>11077</x:v>
      </x:c>
      <x:c r="I436" s="31" t="n">
        <x:v>3.292125192499321</x:v>
      </x:c>
      <x:c r="J436" s="40" t="n">
        <x:v>0</x:v>
      </x:c>
      <x:c r="K436" s="40" t="n">
        <x:v>0.29981041798320845</x:v>
      </x:c>
      <x:c r="L436" s="40" t="n">
        <x:v>0.2081791098672926</x:v>
      </x:c>
      <x:c r="M436" s="31" t="n">
        <x:v>36.654309497757865</x:v>
      </x:c>
      <x:c r="N436" s="31" t="n">
        <x:v>38</x:v>
      </x:c>
      <x:c r="O436" s="31" t="n">
        <x:v>1.024479672166505</x:v>
      </x:c>
      <x:c r="P436" s="31" t="n">
        <x:v>4.966055791279227</x:v>
      </x:c>
      <x:c r="Q436" s="40" t="n">
        <x:v>1</x:v>
      </x:c>
      <x:c r="R436" s="31" t="n">
        <x:v>0.15471852573276856</x:v>
      </x:c>
      <x:c r="S436" s="40"/>
      <x:c r="T436" s="40"/>
      <x:c r="U436" s="40" t="n">
        <x:v>1</x:v>
      </x:c>
      <x:c r="V436" s="40" t="n">
        <x:v>0.9925069964791912</x:v>
      </x:c>
      <x:c r="W436" s="31" t="n">
        <x:v>0</x:v>
      </x:c>
      <x:c r="X436" s="31" t="str"/>
      <x:c r="Y436" s="31" t="n">
        <x:v>0</x:v>
      </x:c>
      <x:c r="Z436" s="31" t="n">
        <x:v>0</x:v>
      </x:c>
      <x:c r="AA436" s="31" t="n">
        <x:v>0</x:v>
      </x:c>
      <x:c r="AB436" s="31" t="str"/>
      <x:c r="AC436" s="31" t="str"/>
    </x:row>
    <x:row r="437">
      <x:c r="A437" s="31" t="str">
        <x:v>8792fe51347b9ca7</x:v>
      </x:c>
      <x:c r="B437" s="31" t="str">
        <x:v>8792fe51347b9ca787ccb6266e9d3159cd045762dede549fa027b494c7a7923b</x:v>
      </x:c>
      <x:c r="C437" s="31" t="n">
        <x:v>10</x:v>
      </x:c>
      <x:c r="D437" s="31" t="n">
        <x:v>33498</x:v>
      </x:c>
      <x:c r="E437" s="31" t="str">
        <x:v>Brooklyn</x:v>
      </x:c>
      <x:c r="F437" s="31" t="str">
        <x:v>Canarsie</x:v>
      </x:c>
      <x:c r="G437" s="31" t="n">
        <x:v>28988.402008322595</x:v>
      </x:c>
      <x:c r="H437" s="31" t="n">
        <x:v>11008</x:v>
      </x:c>
      <x:c r="I437" s="31" t="n">
        <x:v>2.3543235730170498</x:v>
      </x:c>
      <x:c r="J437" s="40" t="n">
        <x:v>0</x:v>
      </x:c>
      <x:c r="K437" s="40" t="n">
        <x:v>0.37363735465116277</x:v>
      </x:c>
      <x:c r="L437" s="40" t="n">
        <x:v>0.0859375</x:v>
      </x:c>
      <x:c r="M437" s="31" t="n">
        <x:v>30.47908718591249</x:v>
      </x:c>
      <x:c r="N437" s="31" t="n">
        <x:v>6</x:v>
      </x:c>
      <x:c r="O437" s="31" t="n">
        <x:v>0.17911517105498836</x:v>
      </x:c>
      <x:c r="P437" s="31" t="n">
        <x:v>3.5275254360465116</x:v>
      </x:c>
      <x:c r="Q437" s="40" t="n">
        <x:v>0.5091751453488372</x:v>
      </x:c>
      <x:c r="R437" s="31" t="n">
        <x:v>0.2423813451127306</x:v>
      </x:c>
      <x:c r="S437" s="40"/>
      <x:c r="T437" s="40"/>
      <x:c r="U437" s="40" t="n">
        <x:v>1</x:v>
      </x:c>
      <x:c r="V437" s="40" t="n">
        <x:v>0.9965479651162791</x:v>
      </x:c>
      <x:c r="W437" s="31" t="n">
        <x:v>0</x:v>
      </x:c>
      <x:c r="X437" s="31" t="str"/>
      <x:c r="Y437" s="31" t="n">
        <x:v>0</x:v>
      </x:c>
      <x:c r="Z437" s="31" t="n">
        <x:v>0</x:v>
      </x:c>
      <x:c r="AA437" s="31" t="n">
        <x:v>0</x:v>
      </x:c>
      <x:c r="AB437" s="31" t="str"/>
      <x:c r="AC437" s="31" t="str"/>
    </x:row>
    <x:row r="438">
      <x:c r="A438" s="31" t="str">
        <x:v>87c38e251538bae6</x:v>
      </x:c>
      <x:c r="B438" s="31" t="str">
        <x:v>87c38e251538bae6181d941b97fff3e88ba236eb7f52d8cc6fc5013074b85b48</x:v>
      </x:c>
      <x:c r="C438" s="31" t="n">
        <x:v>8</x:v>
      </x:c>
      <x:c r="D438" s="31" t="n">
        <x:v>33568</x:v>
      </x:c>
      <x:c r="E438" s="31" t="str">
        <x:v>Brooklyn</x:v>
      </x:c>
      <x:c r="F438" s="31" t="str">
        <x:v>Brighton Beach</x:v>
      </x:c>
      <x:c r="G438" s="31" t="n">
        <x:v>68991.58826524898</x:v>
      </x:c>
      <x:c r="H438" s="31" t="n">
        <x:v>14806</x:v>
      </x:c>
      <x:c r="I438" s="31" t="n">
        <x:v>6.442729253182653</x:v>
      </x:c>
      <x:c r="J438" s="40" t="n">
        <x:v>0.1542617857625287</x:v>
      </x:c>
      <x:c r="K438" s="40" t="n">
        <x:v>0.639808185870593</x:v>
      </x:c>
      <x:c r="L438" s="40" t="n">
        <x:v>0.0008780224233418885</x:v>
      </x:c>
      <x:c r="M438" s="31" t="n">
        <x:v>67.16571323815639</x:v>
      </x:c>
      <x:c r="N438" s="31" t="n">
        <x:v>300</x:v>
      </x:c>
      <x:c r="O438" s="31" t="n">
        <x:v>8.937082936129647</x:v>
      </x:c>
      <x:c r="P438" s="31" t="n">
        <x:v>3</x:v>
      </x:c>
      <x:c r="Q438" s="40" t="n">
        <x:v>0</x:v>
      </x:c>
      <x:c r="R438" s="31" t="n">
        <x:v>0.13375806969240156</x:v>
      </x:c>
      <x:c r="S438" s="40"/>
      <x:c r="T438" s="40"/>
      <x:c r="U438" s="40" t="n">
        <x:v>1</x:v>
      </x:c>
      <x:c r="V438" s="40" t="n">
        <x:v>0.9587329461029312</x:v>
      </x:c>
      <x:c r="W438" s="31" t="n">
        <x:v>0</x:v>
      </x:c>
      <x:c r="X438" s="31" t="str"/>
      <x:c r="Y438" s="31" t="n">
        <x:v>0</x:v>
      </x:c>
      <x:c r="Z438" s="31" t="n">
        <x:v>0</x:v>
      </x:c>
      <x:c r="AA438" s="31" t="n">
        <x:v>0</x:v>
      </x:c>
      <x:c r="AB438" s="31" t="str"/>
      <x:c r="AC438" s="31" t="str"/>
    </x:row>
    <x:row r="439">
      <x:c r="A439" s="31" t="str">
        <x:v>87deb90d795daa91</x:v>
      </x:c>
      <x:c r="B439" s="31" t="str">
        <x:v>87deb90d795daa913d3ee0bed6cb5459593b55141fb169f2b193279d2078d984</x:v>
      </x:c>
      <x:c r="C439" s="31" t="n">
        <x:v>10</x:v>
      </x:c>
      <x:c r="D439" s="31" t="n">
        <x:v>36060</x:v>
      </x:c>
      <x:c r="E439" s="31" t="str">
        <x:v>Queens</x:v>
      </x:c>
      <x:c r="F439" s="31" t="str">
        <x:v>Elmhurst</x:v>
      </x:c>
      <x:c r="G439" s="31" t="n">
        <x:v>84369.85280021888</x:v>
      </x:c>
      <x:c r="H439" s="31" t="n">
        <x:v>8810</x:v>
      </x:c>
      <x:c r="I439" s="31" t="n">
        <x:v>3.2972354557947776</x:v>
      </x:c>
      <x:c r="J439" s="40" t="n">
        <x:v>0</x:v>
      </x:c>
      <x:c r="K439" s="40" t="n">
        <x:v>0.6018161180476731</x:v>
      </x:c>
      <x:c r="L439" s="40" t="n">
        <x:v>0.010783200908059024</x:v>
      </x:c>
      <x:c r="M439" s="31" t="n">
        <x:v>37.54711784190959</x:v>
      </x:c>
      <x:c r="N439" s="31" t="n">
        <x:v>42</x:v>
      </x:c>
      <x:c r="O439" s="31" t="n">
        <x:v>1.1647254575707153</x:v>
      </x:c>
      <x:c r="P439" s="31" t="n">
        <x:v>3.4626560726447217</x:v>
      </x:c>
      <x:c r="Q439" s="40" t="n">
        <x:v>0.4626560726447219</x:v>
      </x:c>
      <x:c r="R439" s="31" t="n">
        <x:v>0.1398256544348576</x:v>
      </x:c>
      <x:c r="S439" s="40"/>
      <x:c r="T439" s="40"/>
      <x:c r="U439" s="40" t="n">
        <x:v>1</x:v>
      </x:c>
      <x:c r="V439" s="40" t="n">
        <x:v>0.9968217934165721</x:v>
      </x:c>
      <x:c r="W439" s="31" t="n">
        <x:v>0</x:v>
      </x:c>
      <x:c r="X439" s="31" t="str"/>
      <x:c r="Y439" s="31" t="n">
        <x:v>0</x:v>
      </x:c>
      <x:c r="Z439" s="31" t="n">
        <x:v>0</x:v>
      </x:c>
      <x:c r="AA439" s="31" t="n">
        <x:v>0</x:v>
      </x:c>
      <x:c r="AB439" s="31" t="str"/>
      <x:c r="AC439" s="31" t="str"/>
    </x:row>
    <x:row r="440">
      <x:c r="A440" s="31" t="str">
        <x:v>87f58ce44e429a68</x:v>
      </x:c>
      <x:c r="B440" s="31" t="str">
        <x:v>87f58ce44e429a682486f9f57cc669d1378bc6738256892dcde04939e2b77b7f</x:v>
      </x:c>
      <x:c r="C440" s="31" t="n">
        <x:v>8</x:v>
      </x:c>
      <x:c r="D440" s="31" t="n">
        <x:v>32786</x:v>
      </x:c>
      <x:c r="E440" s="31" t="str">
        <x:v>Manhattan</x:v>
      </x:c>
      <x:c r="F440" s="31" t="str">
        <x:v>Upper East Side-Lenox Hill-Roosevelt Island</x:v>
      </x:c>
      <x:c r="G440" s="31" t="n">
        <x:v>82542.37707777334</x:v>
      </x:c>
      <x:c r="H440" s="31" t="n">
        <x:v>24743</x:v>
      </x:c>
      <x:c r="I440" s="31" t="n">
        <x:v>19.803498862158648</x:v>
      </x:c>
      <x:c r="J440" s="40" t="n">
        <x:v>0.7505557127268319</x:v>
      </x:c>
      <x:c r="K440" s="40" t="n">
        <x:v>0.24362445944307481</x:v>
      </x:c>
      <x:c r="L440" s="40" t="n">
        <x:v>0.02764418219294346</x:v>
      </x:c>
      <x:c r="M440" s="31" t="n">
        <x:v>211.83224447774728</x:v>
      </x:c>
      <x:c r="N440" s="31" t="n">
        <x:v>1195</x:v>
      </x:c>
      <x:c r="O440" s="31" t="n">
        <x:v>36.44848410907094</x:v>
      </x:c>
      <x:c r="P440" s="31" t="n">
        <x:v>1.050681000687063</x:v>
      </x:c>
      <x:c r="Q440" s="40" t="n">
        <x:v>0</x:v>
      </x:c>
      <x:c r="R440" s="31" t="n">
        <x:v>0.1079587753798367</x:v>
      </x:c>
      <x:c r="S440" s="40"/>
      <x:c r="T440" s="40"/>
      <x:c r="U440" s="40" t="n">
        <x:v>1</x:v>
      </x:c>
      <x:c r="V440" s="40" t="n">
        <x:v>0.9949884815907529</x:v>
      </x:c>
      <x:c r="W440" s="31" t="n">
        <x:v>1</x:v>
      </x:c>
      <x:c r="X440" s="31" t="str"/>
      <x:c r="Y440" s="31" t="n">
        <x:v>1</x:v>
      </x:c>
      <x:c r="Z440" s="31" t="n">
        <x:v>0</x:v>
      </x:c>
      <x:c r="AA440" s="31" t="n">
        <x:v>0</x:v>
      </x:c>
      <x:c r="AB440" s="31" t="str"/>
      <x:c r="AC440" s="31" t="str"/>
    </x:row>
    <x:row r="441">
      <x:c r="A441" s="31" t="str">
        <x:v>890625252d349482</x:v>
      </x:c>
      <x:c r="B441" s="31" t="str">
        <x:v>890625252d3494829c56613d8bda8b07f4344774a859d22cb5050fb526706c35</x:v>
      </x:c>
      <x:c r="C441" s="31" t="n">
        <x:v>16</x:v>
      </x:c>
      <x:c r="D441" s="31" t="n">
        <x:v>34199</x:v>
      </x:c>
      <x:c r="E441" s="31" t="str">
        <x:v>Queens</x:v>
      </x:c>
      <x:c r="F441" s="31" t="str">
        <x:v>St. Albans</x:v>
      </x:c>
      <x:c r="G441" s="31" t="n">
        <x:v>24350.491906754585</x:v>
      </x:c>
      <x:c r="H441" s="31" t="n">
        <x:v>10334</x:v>
      </x:c>
      <x:c r="I441" s="31" t="n">
        <x:v>2.680783896254718</x:v>
      </x:c>
      <x:c r="J441" s="40" t="n">
        <x:v>0</x:v>
      </x:c>
      <x:c r="K441" s="40" t="n">
        <x:v>0.17311786336365395</x:v>
      </x:c>
      <x:c r="L441" s="40" t="n">
        <x:v>0.07673698471066383</x:v>
      </x:c>
      <x:c r="M441" s="31" t="n">
        <x:v>31.396889856909848</x:v>
      </x:c>
      <x:c r="N441" s="31" t="n">
        <x:v>26</x:v>
      </x:c>
      <x:c r="O441" s="31" t="n">
        <x:v>0.7602561478405802</x:v>
      </x:c>
      <x:c r="P441" s="31" t="n">
        <x:v>4.658505902844977</x:v>
      </x:c>
      <x:c r="Q441" s="40" t="n">
        <x:v>1</x:v>
      </x:c>
      <x:c r="R441" s="31" t="n">
        <x:v>0.25203640799363475</x:v>
      </x:c>
      <x:c r="S441" s="40"/>
      <x:c r="T441" s="40"/>
      <x:c r="U441" s="40" t="n">
        <x:v>1</x:v>
      </x:c>
      <x:c r="V441" s="40" t="n">
        <x:v>0.9961292819818076</x:v>
      </x:c>
      <x:c r="W441" s="31" t="n">
        <x:v>0</x:v>
      </x:c>
      <x:c r="X441" s="31" t="str"/>
      <x:c r="Y441" s="31" t="n">
        <x:v>0</x:v>
      </x:c>
      <x:c r="Z441" s="31" t="n">
        <x:v>0</x:v>
      </x:c>
      <x:c r="AA441" s="31" t="n">
        <x:v>0</x:v>
      </x:c>
      <x:c r="AB441" s="31" t="str"/>
      <x:c r="AC441" s="31" t="str"/>
    </x:row>
    <x:row r="442">
      <x:c r="A442" s="31" t="str">
        <x:v>8909e4fe6e0ee706</x:v>
      </x:c>
      <x:c r="B442" s="31" t="str">
        <x:v>8909e4fe6e0ee7061bed830f1a7f3250ac10885047b4d65bdf356b802773a6d6</x:v>
      </x:c>
      <x:c r="C442" s="31" t="n">
        <x:v>6</x:v>
      </x:c>
      <x:c r="D442" s="31" t="n">
        <x:v>32696</x:v>
      </x:c>
      <x:c r="E442" s="31" t="str">
        <x:v>Bronx</x:v>
      </x:c>
      <x:c r="F442" s="31" t="str">
        <x:v>Melrose</x:v>
      </x:c>
      <x:c r="G442" s="31" t="n">
        <x:v>47768.37367670957</x:v>
      </x:c>
      <x:c r="H442" s="31" t="n">
        <x:v>15640</x:v>
      </x:c>
      <x:c r="I442" s="31" t="n">
        <x:v>12.545544844655767</x:v>
      </x:c>
      <x:c r="J442" s="40" t="n">
        <x:v>0.5061381074168798</x:v>
      </x:c>
      <x:c r="K442" s="40" t="n">
        <x:v>0.4648337595907928</x:v>
      </x:c>
      <x:c r="L442" s="40" t="n">
        <x:v>0.23324808184143223</x:v>
      </x:c>
      <x:c r="M442" s="31" t="n">
        <x:v>104.87980634493395</x:v>
      </x:c>
      <x:c r="N442" s="31" t="n">
        <x:v>201</x:v>
      </x:c>
      <x:c r="O442" s="31" t="n">
        <x:v>6.147540983606557</x:v>
      </x:c>
      <x:c r="P442" s="31" t="n">
        <x:v>5</x:v>
      </x:c>
      <x:c r="Q442" s="40" t="n">
        <x:v>1</x:v>
      </x:c>
      <x:c r="R442" s="31" t="n">
        <x:v>0.08040056599193628</x:v>
      </x:c>
      <x:c r="S442" s="40"/>
      <x:c r="T442" s="40"/>
      <x:c r="U442" s="40" t="n">
        <x:v>1</x:v>
      </x:c>
      <x:c r="V442" s="40" t="n">
        <x:v>0.866304347826087</x:v>
      </x:c>
      <x:c r="W442" s="31" t="n">
        <x:v>0</x:v>
      </x:c>
      <x:c r="X442" s="31" t="str"/>
      <x:c r="Y442" s="31" t="n">
        <x:v>0</x:v>
      </x:c>
      <x:c r="Z442" s="31" t="n">
        <x:v>0</x:v>
      </x:c>
      <x:c r="AA442" s="31" t="n">
        <x:v>0</x:v>
      </x:c>
      <x:c r="AB442" s="31" t="str"/>
      <x:c r="AC442" s="31" t="str"/>
    </x:row>
    <x:row r="443">
      <x:c r="A443" s="31" t="str">
        <x:v>891ebd4a529dd74e</x:v>
      </x:c>
      <x:c r="B443" s="31" t="str">
        <x:v>891ebd4a529dd74e0ac4f9fb28ce6a9888b33eeeea08821253038a20a41f27b7</x:v>
      </x:c>
      <x:c r="C443" s="31" t="n">
        <x:v>7</x:v>
      </x:c>
      <x:c r="D443" s="31" t="n">
        <x:v>35529</x:v>
      </x:c>
      <x:c r="E443" s="31" t="str">
        <x:v>Manhattan</x:v>
      </x:c>
      <x:c r="F443" s="31" t="str">
        <x:v>East Village</x:v>
      </x:c>
      <x:c r="G443" s="31" t="n">
        <x:v>99820.21273791131</x:v>
      </x:c>
      <x:c r="H443" s="31" t="n">
        <x:v>19699</x:v>
      </x:c>
      <x:c r="I443" s="31" t="n">
        <x:v>11.300945698596705</x:v>
      </x:c>
      <x:c r="J443" s="40" t="n">
        <x:v>0.5103812376262754</x:v>
      </x:c>
      <x:c r="K443" s="40" t="n">
        <x:v>0.4874359104523072</x:v>
      </x:c>
      <x:c r="L443" s="40" t="n">
        <x:v>0.026092695060662977</x:v>
      </x:c>
      <x:c r="M443" s="31" t="n">
        <x:v>117.91462816296105</x:v>
      </x:c>
      <x:c r="N443" s="31" t="n">
        <x:v>546</x:v>
      </x:c>
      <x:c r="O443" s="31" t="n">
        <x:v>15.367727771679473</x:v>
      </x:c>
      <x:c r="P443" s="31" t="n">
        <x:v>1.9945174881973704</x:v>
      </x:c>
      <x:c r="Q443" s="40" t="n">
        <x:v>0</x:v>
      </x:c>
      <x:c r="R443" s="31" t="n">
        <x:v>0.1195038107476662</x:v>
      </x:c>
      <x:c r="S443" s="40"/>
      <x:c r="T443" s="40"/>
      <x:c r="U443" s="40" t="n">
        <x:v>1</x:v>
      </x:c>
      <x:c r="V443" s="40" t="n">
        <x:v>0.9912685923143307</x:v>
      </x:c>
      <x:c r="W443" s="31" t="n">
        <x:v>1</x:v>
      </x:c>
      <x:c r="X443" s="31" t="str"/>
      <x:c r="Y443" s="31" t="n">
        <x:v>1</x:v>
      </x:c>
      <x:c r="Z443" s="31" t="n">
        <x:v>0</x:v>
      </x:c>
      <x:c r="AA443" s="31" t="n">
        <x:v>0</x:v>
      </x:c>
      <x:c r="AB443" s="31" t="str"/>
      <x:c r="AC443" s="31" t="str"/>
    </x:row>
    <x:row r="444">
      <x:c r="A444" s="31" t="str">
        <x:v>897fe238761f9ba1</x:v>
      </x:c>
      <x:c r="B444" s="31" t="str">
        <x:v>897fe238761f9ba1c493e548b3966e074342f3d014558a218510ca0d5f3a06a2</x:v>
      </x:c>
      <x:c r="C444" s="31" t="n">
        <x:v>9</x:v>
      </x:c>
      <x:c r="D444" s="31" t="n">
        <x:v>35495</x:v>
      </x:c>
      <x:c r="E444" s="31" t="str">
        <x:v>Queens</x:v>
      </x:c>
      <x:c r="F444" s="31" t="str">
        <x:v>Long Island City-Hunters Point</x:v>
      </x:c>
      <x:c r="G444" s="31" t="n">
        <x:v>40818.88041963848</x:v>
      </x:c>
      <x:c r="H444" s="31" t="n">
        <x:v>40593</x:v>
      </x:c>
      <x:c r="I444" s="31" t="n">
        <x:v>29.456381340354714</x:v>
      </x:c>
      <x:c r="J444" s="40" t="n">
        <x:v>0.8813342201857464</x:v>
      </x:c>
      <x:c r="K444" s="40" t="n">
        <x:v>0.10257926243440987</x:v>
      </x:c>
      <x:c r="L444" s="40" t="n">
        <x:v>0.19813760993274704</x:v>
      </x:c>
      <x:c r="M444" s="31" t="n">
        <x:v>322.56483962996583</x:v>
      </x:c>
      <x:c r="N444" s="31" t="n">
        <x:v>469</x:v>
      </x:c>
      <x:c r="O444" s="31" t="n">
        <x:v>13.213128609663332</x:v>
      </x:c>
      <x:c r="P444" s="31" t="n">
        <x:v>2.973320523242924</x:v>
      </x:c>
      <x:c r="Q444" s="40" t="n">
        <x:v>0.6577735077476412</x:v>
      </x:c>
      <x:c r="R444" s="31" t="n">
        <x:v>0.18843334866592634</x:v>
      </x:c>
      <x:c r="S444" s="40"/>
      <x:c r="T444" s="40"/>
      <x:c r="U444" s="40" t="n">
        <x:v>1</x:v>
      </x:c>
      <x:c r="V444" s="40" t="n">
        <x:v>0.9516911782819698</x:v>
      </x:c>
      <x:c r="W444" s="31" t="n">
        <x:v>1</x:v>
      </x:c>
      <x:c r="X444" s="31" t="str"/>
      <x:c r="Y444" s="31" t="n">
        <x:v>0</x:v>
      </x:c>
      <x:c r="Z444" s="31" t="n">
        <x:v>0</x:v>
      </x:c>
      <x:c r="AA444" s="31" t="n">
        <x:v>1</x:v>
      </x:c>
      <x:c r="AB444" s="31" t="str"/>
      <x:c r="AC444" s="31" t="str"/>
    </x:row>
    <x:row r="445">
      <x:c r="A445" s="31" t="str">
        <x:v>89a19e1010bcd289</x:v>
      </x:c>
      <x:c r="B445" s="31" t="str">
        <x:v>89a19e1010bcd289354a95dae5ade87cf939bd843c1ca4f600c927fa78912ddc</x:v>
      </x:c>
      <x:c r="C445" s="31" t="n">
        <x:v>6</x:v>
      </x:c>
      <x:c r="D445" s="31" t="n">
        <x:v>32212</x:v>
      </x:c>
      <x:c r="E445" s="31" t="str">
        <x:v>Manhattan</x:v>
      </x:c>
      <x:c r="F445" s="31" t="str">
        <x:v>East Harlem (North)</x:v>
      </x:c>
      <x:c r="G445" s="31" t="n">
        <x:v>74895.4837728622</x:v>
      </x:c>
      <x:c r="H445" s="31" t="n">
        <x:v>15301</x:v>
      </x:c>
      <x:c r="I445" s="31" t="n">
        <x:v>10.85901249256395</x:v>
      </x:c>
      <x:c r="J445" s="40" t="n">
        <x:v>0.4707535455199007</x:v>
      </x:c>
      <x:c r="K445" s="40" t="n">
        <x:v>0.515064374877459</x:v>
      </x:c>
      <x:c r="L445" s="40" t="n">
        <x:v>0.2856676034246128</x:v>
      </x:c>
      <x:c r="M445" s="31" t="n">
        <x:v>109.79237758364299</x:v>
      </x:c>
      <x:c r="N445" s="31" t="n">
        <x:v>245</x:v>
      </x:c>
      <x:c r="O445" s="31" t="n">
        <x:v>7.605861169750403</x:v>
      </x:c>
      <x:c r="P445" s="31" t="n">
        <x:v>4.756486504150056</x:v>
      </x:c>
      <x:c r="Q445" s="40" t="n">
        <x:v>1</x:v>
      </x:c>
      <x:c r="R445" s="31" t="n">
        <x:v>0.07282926175789611</x:v>
      </x:c>
      <x:c r="S445" s="40"/>
      <x:c r="T445" s="40"/>
      <x:c r="U445" s="40" t="n">
        <x:v>1</x:v>
      </x:c>
      <x:c r="V445" s="40" t="n">
        <x:v>0.9856218547807333</x:v>
      </x:c>
      <x:c r="W445" s="31" t="n">
        <x:v>1</x:v>
      </x:c>
      <x:c r="X445" s="31" t="str"/>
      <x:c r="Y445" s="31" t="n">
        <x:v>0</x:v>
      </x:c>
      <x:c r="Z445" s="31" t="n">
        <x:v>1</x:v>
      </x:c>
      <x:c r="AA445" s="31" t="n">
        <x:v>0</x:v>
      </x:c>
      <x:c r="AB445" s="31" t="str"/>
      <x:c r="AC445" s="31" t="str"/>
    </x:row>
    <x:row r="446">
      <x:c r="A446" s="31" t="str">
        <x:v>89ce024719a2312e</x:v>
      </x:c>
      <x:c r="B446" s="31" t="str">
        <x:v>89ce024719a2312e31006f5f13068e33b862f2352f59ab087d0e8ec434d4bf44</x:v>
      </x:c>
      <x:c r="C446" s="31" t="n">
        <x:v>7</x:v>
      </x:c>
      <x:c r="D446" s="31" t="n">
        <x:v>32532</x:v>
      </x:c>
      <x:c r="E446" s="31" t="str">
        <x:v>Manhattan</x:v>
      </x:c>
      <x:c r="F446" s="31" t="str">
        <x:v>Lower East Side</x:v>
      </x:c>
      <x:c r="G446" s="31" t="n">
        <x:v>94664.19799049289</x:v>
      </x:c>
      <x:c r="H446" s="31" t="n">
        <x:v>19113</x:v>
      </x:c>
      <x:c r="I446" s="31" t="n">
        <x:v>10.484929356357927</x:v>
      </x:c>
      <x:c r="J446" s="40" t="n">
        <x:v>0.37848584732904306</x:v>
      </x:c>
      <x:c r="K446" s="40" t="n">
        <x:v>0.6205723852875007</x:v>
      </x:c>
      <x:c r="L446" s="40" t="n">
        <x:v>0.13247527860618427</x:v>
      </x:c>
      <x:c r="M446" s="31" t="n">
        <x:v>112.18649083746566</x:v>
      </x:c>
      <x:c r="N446" s="31" t="n">
        <x:v>334</x:v>
      </x:c>
      <x:c r="O446" s="31" t="n">
        <x:v>10.266814213697282</x:v>
      </x:c>
      <x:c r="P446" s="31" t="n">
        <x:v>2.8013394025009157</x:v>
      </x:c>
      <x:c r="Q446" s="40" t="n">
        <x:v>0</x:v>
      </x:c>
      <x:c r="R446" s="31" t="n">
        <x:v>0.07036976410231528</x:v>
      </x:c>
      <x:c r="S446" s="40"/>
      <x:c r="T446" s="40"/>
      <x:c r="U446" s="40" t="n">
        <x:v>1</x:v>
      </x:c>
      <x:c r="V446" s="40" t="n">
        <x:v>0.9748338826976404</x:v>
      </x:c>
      <x:c r="W446" s="31" t="n">
        <x:v>1</x:v>
      </x:c>
      <x:c r="X446" s="31" t="str"/>
      <x:c r="Y446" s="31" t="n">
        <x:v>1</x:v>
      </x:c>
      <x:c r="Z446" s="31" t="n">
        <x:v>0</x:v>
      </x:c>
      <x:c r="AA446" s="31" t="n">
        <x:v>0</x:v>
      </x:c>
      <x:c r="AB446" s="31" t="str"/>
      <x:c r="AC446" s="31" t="str"/>
    </x:row>
    <x:row r="447">
      <x:c r="A447" s="31" t="str">
        <x:v>8a1412be324cc959</x:v>
      </x:c>
      <x:c r="B447" s="31" t="str">
        <x:v>8a1412be324cc95906a03c167f6a64e61570761e99b4a22f65cdd03b8e166c7c</x:v>
      </x:c>
      <x:c r="C447" s="31" t="n">
        <x:v>5</x:v>
      </x:c>
      <x:c r="D447" s="31" t="n">
        <x:v>32717</x:v>
      </x:c>
      <x:c r="E447" s="31" t="str">
        <x:v>Staten Island</x:v>
      </x:c>
      <x:c r="F447" s="31" t="str">
        <x:v>Annadale-Huguenot-Prince's Bay-Woodrow</x:v>
      </x:c>
      <x:c r="G447" s="31" t="n">
        <x:v>7056.931279023524</x:v>
      </x:c>
      <x:c r="H447" s="31" t="n">
        <x:v>12548</x:v>
      </x:c>
      <x:c r="I447" s="31" t="n">
        <x:v>2.0483672147080263</x:v>
      </x:c>
      <x:c r="J447" s="40" t="n">
        <x:v>0</x:v>
      </x:c>
      <x:c r="K447" s="40" t="n">
        <x:v>0.12623525661459994</x:v>
      </x:c>
      <x:c r="L447" s="40" t="n">
        <x:v>0.05490914886834555</x:v>
      </x:c>
      <x:c r="M447" s="31" t="n">
        <x:v>28.08157159056563</x:v>
      </x:c>
      <x:c r="N447" s="31" t="n">
        <x:v>28</x:v>
      </x:c>
      <x:c r="O447" s="31" t="n">
        <x:v>0.8558241892594065</x:v>
      </x:c>
      <x:c r="P447" s="31" t="n">
        <x:v>1</x:v>
      </x:c>
      <x:c r="Q447" s="40" t="n">
        <x:v>0</x:v>
      </x:c>
      <x:c r="R447" s="31" t="n">
        <x:v>0.49610958836164143</x:v>
      </x:c>
      <x:c r="S447" s="40"/>
      <x:c r="T447" s="40"/>
      <x:c r="U447" s="40" t="n">
        <x:v>1</x:v>
      </x:c>
      <x:c r="V447" s="40" t="n">
        <x:v>0.9580809690787376</x:v>
      </x:c>
      <x:c r="W447" s="31" t="n">
        <x:v>0</x:v>
      </x:c>
      <x:c r="X447" s="31" t="str"/>
      <x:c r="Y447" s="31" t="n">
        <x:v>0</x:v>
      </x:c>
      <x:c r="Z447" s="31" t="n">
        <x:v>0</x:v>
      </x:c>
      <x:c r="AA447" s="31" t="n">
        <x:v>0</x:v>
      </x:c>
      <x:c r="AB447" s="31" t="str"/>
      <x:c r="AC447" s="31" t="str"/>
    </x:row>
    <x:row r="448">
      <x:c r="A448" s="31" t="str">
        <x:v>8a2cf5e0110c8de1</x:v>
      </x:c>
      <x:c r="B448" s="31" t="str">
        <x:v>8a2cf5e0110c8de13fc51dfc22d8363f12d8d42965a6bdaae6c9119fabd036ac</x:v>
      </x:c>
      <x:c r="C448" s="31" t="n">
        <x:v>10</x:v>
      </x:c>
      <x:c r="D448" s="31" t="n">
        <x:v>35966</x:v>
      </x:c>
      <x:c r="E448" s="31" t="str">
        <x:v>Queens</x:v>
      </x:c>
      <x:c r="F448" s="31" t="str">
        <x:v>Breezy Point-Belle Harbor-Rockaway Park-Broad Channel</x:v>
      </x:c>
      <x:c r="G448" s="31" t="n">
        <x:v>12074.30167997496</x:v>
      </x:c>
      <x:c r="H448" s="31" t="n">
        <x:v>17470</x:v>
      </x:c>
      <x:c r="I448" s="31" t="n">
        <x:v>5.1226961126629424</x:v>
      </x:c>
      <x:c r="J448" s="40" t="n">
        <x:v>0.2390383514596451</x:v>
      </x:c>
      <x:c r="K448" s="40" t="n">
        <x:v>0.2393817973669147</x:v>
      </x:c>
      <x:c r="L448" s="40" t="n">
        <x:v>0.4222667429879794</x:v>
      </x:c>
      <x:c r="M448" s="31" t="n">
        <x:v>59.516896779870805</x:v>
      </x:c>
      <x:c r="N448" s="31" t="n">
        <x:v>272</x:v>
      </x:c>
      <x:c r="O448" s="31" t="n">
        <x:v>7.562698103764666</x:v>
      </x:c>
      <x:c r="P448" s="31" t="n">
        <x:v>3.750543789353177</x:v>
      </x:c>
      <x:c r="Q448" s="40" t="n">
        <x:v>0.8376073268460218</x:v>
      </x:c>
      <x:c r="R448" s="31" t="n">
        <x:v>0.19075747129790438</x:v>
      </x:c>
      <x:c r="S448" s="40"/>
      <x:c r="T448" s="40"/>
      <x:c r="U448" s="40" t="n">
        <x:v>1</x:v>
      </x:c>
      <x:c r="V448" s="40" t="n">
        <x:v>0.9923869490555237</x:v>
      </x:c>
      <x:c r="W448" s="31" t="n">
        <x:v>1</x:v>
      </x:c>
      <x:c r="X448" s="31" t="str"/>
      <x:c r="Y448" s="31" t="n">
        <x:v>0</x:v>
      </x:c>
      <x:c r="Z448" s="31" t="n">
        <x:v>0</x:v>
      </x:c>
      <x:c r="AA448" s="31" t="n">
        <x:v>1</x:v>
      </x:c>
      <x:c r="AB448" s="31" t="str"/>
      <x:c r="AC448" s="31" t="str"/>
    </x:row>
    <x:row r="449">
      <x:c r="A449" s="31" t="str">
        <x:v>8a39b552e73469af</x:v>
      </x:c>
      <x:c r="B449" s="31" t="str">
        <x:v>8a39b552e73469afe6c3374dc924273264cd1d8483613978c75d29bba4bed4e2</x:v>
      </x:c>
      <x:c r="C449" s="31" t="n">
        <x:v>13</x:v>
      </x:c>
      <x:c r="D449" s="31" t="n">
        <x:v>32553</x:v>
      </x:c>
      <x:c r="E449" s="31" t="str">
        <x:v>Brooklyn</x:v>
      </x:c>
      <x:c r="F449" s="31" t="str">
        <x:v>Flatlands</x:v>
      </x:c>
      <x:c r="G449" s="31" t="n">
        <x:v>39399.36394574978</x:v>
      </x:c>
      <x:c r="H449" s="31" t="n">
        <x:v>12815</x:v>
      </x:c>
      <x:c r="I449" s="31" t="n">
        <x:v>5.201100845599749</x:v>
      </x:c>
      <x:c r="J449" s="40" t="n">
        <x:v>0.09036285602809208</x:v>
      </x:c>
      <x:c r="K449" s="40" t="n">
        <x:v>0.5310183378852906</x:v>
      </x:c>
      <x:c r="L449" s="40" t="n">
        <x:v>0.06055403823644167</x:v>
      </x:c>
      <x:c r="M449" s="31" t="n">
        <x:v>57.08011424372454</x:v>
      </x:c>
      <x:c r="N449" s="31" t="n">
        <x:v>145</x:v>
      </x:c>
      <x:c r="O449" s="31" t="n">
        <x:v>4.454274567628175</x:v>
      </x:c>
      <x:c r="P449" s="31" t="n">
        <x:v>4.988451033944596</x:v>
      </x:c>
      <x:c r="Q449" s="40" t="n">
        <x:v>1</x:v>
      </x:c>
      <x:c r="R449" s="31" t="n">
        <x:v>0.19506263704860005</x:v>
      </x:c>
      <x:c r="S449" s="40"/>
      <x:c r="T449" s="40"/>
      <x:c r="U449" s="40" t="n">
        <x:v>1</x:v>
      </x:c>
      <x:c r="V449" s="40" t="n">
        <x:v>0.9920405774483028</x:v>
      </x:c>
      <x:c r="W449" s="31" t="n">
        <x:v>1</x:v>
      </x:c>
      <x:c r="X449" s="31" t="str"/>
      <x:c r="Y449" s="31" t="n">
        <x:v>0</x:v>
      </x:c>
      <x:c r="Z449" s="31" t="n">
        <x:v>1</x:v>
      </x:c>
      <x:c r="AA449" s="31" t="n">
        <x:v>0</x:v>
      </x:c>
      <x:c r="AB449" s="31" t="str"/>
      <x:c r="AC449" s="31" t="str"/>
    </x:row>
    <x:row r="450">
      <x:c r="A450" s="31" t="str">
        <x:v>8a651e285c28460f</x:v>
      </x:c>
      <x:c r="B450" s="31" t="str">
        <x:v>8a651e285c28460f95dad4b3a832f963be0049a3260b13bba9773a1e42ddd8bc</x:v>
      </x:c>
      <x:c r="C450" s="31" t="n">
        <x:v>11</x:v>
      </x:c>
      <x:c r="D450" s="31" t="n">
        <x:v>35039</x:v>
      </x:c>
      <x:c r="E450" s="31" t="str">
        <x:v>Brooklyn</x:v>
      </x:c>
      <x:c r="F450" s="31" t="str">
        <x:v>East Flatbush-Farragut</x:v>
      </x:c>
      <x:c r="G450" s="31" t="n">
        <x:v>57708.252878761254</x:v>
      </x:c>
      <x:c r="H450" s="31" t="n">
        <x:v>13608</x:v>
      </x:c>
      <x:c r="I450" s="31" t="n">
        <x:v>3.8716213435249154</x:v>
      </x:c>
      <x:c r="J450" s="40" t="n">
        <x:v>0.0005878894767783657</x:v>
      </x:c>
      <x:c r="K450" s="40" t="n">
        <x:v>0.6052322163433275</x:v>
      </x:c>
      <x:c r="L450" s="40" t="n">
        <x:v>0.18878600823045266</x:v>
      </x:c>
      <x:c r="M450" s="31" t="n">
        <x:v>43.43212576586995</x:v>
      </x:c>
      <x:c r="N450" s="31" t="n">
        <x:v>117</x:v>
      </x:c>
      <x:c r="O450" s="31" t="n">
        <x:v>3.339136390878735</x:v>
      </x:c>
      <x:c r="P450" s="31" t="n">
        <x:v>5</x:v>
      </x:c>
      <x:c r="Q450" s="40" t="n">
        <x:v>1</x:v>
      </x:c>
      <x:c r="R450" s="31" t="n">
        <x:v>0.19120839690625566</x:v>
      </x:c>
      <x:c r="S450" s="40"/>
      <x:c r="T450" s="40"/>
      <x:c r="U450" s="40" t="n">
        <x:v>1</x:v>
      </x:c>
      <x:c r="V450" s="40" t="n">
        <x:v>0.9900058788947678</x:v>
      </x:c>
      <x:c r="W450" s="31" t="n">
        <x:v>1</x:v>
      </x:c>
      <x:c r="X450" s="31" t="str"/>
      <x:c r="Y450" s="31" t="n">
        <x:v>0</x:v>
      </x:c>
      <x:c r="Z450" s="31" t="n">
        <x:v>1</x:v>
      </x:c>
      <x:c r="AA450" s="31" t="n">
        <x:v>0</x:v>
      </x:c>
      <x:c r="AB450" s="31" t="str"/>
      <x:c r="AC450" s="31" t="str"/>
    </x:row>
    <x:row r="451">
      <x:c r="A451" s="31" t="str">
        <x:v>8a72c72893c6532e</x:v>
      </x:c>
      <x:c r="B451" s="31" t="str">
        <x:v>8a72c72893c6532e94281e8c0daf3fb8dd03d813138edd1e38fac6d32082b455</x:v>
      </x:c>
      <x:c r="C451" s="31" t="n">
        <x:v>7</x:v>
      </x:c>
      <x:c r="D451" s="31" t="n">
        <x:v>34409</x:v>
      </x:c>
      <x:c r="E451" s="31" t="str">
        <x:v>Queens</x:v>
      </x:c>
      <x:c r="F451" s="31" t="str">
        <x:v>Pomonok-Electchester-Hillcrest</x:v>
      </x:c>
      <x:c r="G451" s="31" t="n">
        <x:v>28683.74751270466</x:v>
      </x:c>
      <x:c r="H451" s="31" t="n">
        <x:v>12550</x:v>
      </x:c>
      <x:c r="I451" s="31" t="n">
        <x:v>4.4708831293496525</x:v>
      </x:c>
      <x:c r="J451" s="40" t="n">
        <x:v>0.034422310756972115</x:v>
      </x:c>
      <x:c r="K451" s="40" t="n">
        <x:v>0.527410358565737</x:v>
      </x:c>
      <x:c r="L451" s="40" t="n">
        <x:v>0.3870119521912351</x:v>
      </x:c>
      <x:c r="M451" s="31" t="n">
        <x:v>52.06052612662278</x:v>
      </x:c>
      <x:c r="N451" s="31" t="n">
        <x:v>166</x:v>
      </x:c>
      <x:c r="O451" s="31" t="n">
        <x:v>4.824319218809032</x:v>
      </x:c>
      <x:c r="P451" s="31" t="n">
        <x:v>1.9186454183266932</x:v>
      </x:c>
      <x:c r="Q451" s="40" t="n">
        <x:v>0.042629482071713146</x:v>
      </x:c>
      <x:c r="R451" s="31" t="n">
        <x:v>0.17300427548583766</x:v>
      </x:c>
      <x:c r="S451" s="40"/>
      <x:c r="T451" s="40"/>
      <x:c r="U451" s="40" t="n">
        <x:v>1</x:v>
      </x:c>
      <x:c r="V451" s="40" t="n">
        <x:v>0.992589641434263</x:v>
      </x:c>
      <x:c r="W451" s="31" t="n">
        <x:v>0</x:v>
      </x:c>
      <x:c r="X451" s="31" t="str"/>
      <x:c r="Y451" s="31" t="n">
        <x:v>0</x:v>
      </x:c>
      <x:c r="Z451" s="31" t="n">
        <x:v>0</x:v>
      </x:c>
      <x:c r="AA451" s="31" t="n">
        <x:v>0</x:v>
      </x:c>
      <x:c r="AB451" s="31" t="str"/>
      <x:c r="AC451" s="31" t="str"/>
    </x:row>
    <x:row r="452">
      <x:c r="A452" s="31" t="str">
        <x:v>8aff050f61385090</x:v>
      </x:c>
      <x:c r="B452" s="31" t="str">
        <x:v>8aff050f613850906881e6a0fc131f5553ec4771a236383f2efa31b9c36bf32c</x:v>
      </x:c>
      <x:c r="C452" s="31" t="n">
        <x:v>6</x:v>
      </x:c>
      <x:c r="D452" s="31" t="n">
        <x:v>33571</x:v>
      </x:c>
      <x:c r="E452" s="31" t="str">
        <x:v>Staten Island</x:v>
      </x:c>
      <x:c r="F452" s="31" t="str">
        <x:v>Mariner's Harbor-Arlington-Graniteville</x:v>
      </x:c>
      <x:c r="G452" s="31" t="n">
        <x:v>15935.8792716452</x:v>
      </x:c>
      <x:c r="H452" s="31" t="n">
        <x:v>10965</x:v>
      </x:c>
      <x:c r="I452" s="31" t="n">
        <x:v>2.0337722652242842</x:v>
      </x:c>
      <x:c r="J452" s="40" t="n">
        <x:v>0</x:v>
      </x:c>
      <x:c r="K452" s="40" t="n">
        <x:v>0.08673050615595075</x:v>
      </x:c>
      <x:c r="L452" s="40" t="n">
        <x:v>0.1630642954856361</x:v>
      </x:c>
      <x:c r="M452" s="31" t="n">
        <x:v>27.110401858572743</x:v>
      </x:c>
      <x:c r="N452" s="31" t="n">
        <x:v>5</x:v>
      </x:c>
      <x:c r="O452" s="31" t="n">
        <x:v>0.1489380715498496</x:v>
      </x:c>
      <x:c r="P452" s="31" t="n">
        <x:v>1.974829001367989</x:v>
      </x:c>
      <x:c r="Q452" s="40" t="n">
        <x:v>0.07104423164614683</x:v>
      </x:c>
      <x:c r="R452" s="31" t="n">
        <x:v>0.24522824075587654</x:v>
      </x:c>
      <x:c r="S452" s="40"/>
      <x:c r="T452" s="40"/>
      <x:c r="U452" s="40" t="n">
        <x:v>1</x:v>
      </x:c>
      <x:c r="V452" s="40" t="n">
        <x:v>0.9904240766073872</x:v>
      </x:c>
      <x:c r="W452" s="31" t="n">
        <x:v>0</x:v>
      </x:c>
      <x:c r="X452" s="31" t="str"/>
      <x:c r="Y452" s="31" t="n">
        <x:v>0</x:v>
      </x:c>
      <x:c r="Z452" s="31" t="n">
        <x:v>0</x:v>
      </x:c>
      <x:c r="AA452" s="31" t="n">
        <x:v>0</x:v>
      </x:c>
      <x:c r="AB452" s="31" t="str"/>
      <x:c r="AC452" s="31" t="str"/>
    </x:row>
    <x:row r="453">
      <x:c r="A453" s="31" t="str">
        <x:v>8b5ec46074218fa9</x:v>
      </x:c>
      <x:c r="B453" s="31" t="str">
        <x:v>8b5ec46074218fa9d2f672bfb25991b4b4e282821c76ca1cd8dabe4bddeb7b76</x:v>
      </x:c>
      <x:c r="C453" s="31" t="n">
        <x:v>12</x:v>
      </x:c>
      <x:c r="D453" s="31" t="n">
        <x:v>34536</x:v>
      </x:c>
      <x:c r="E453" s="31" t="str">
        <x:v>Bronx</x:v>
      </x:c>
      <x:c r="F453" s="31" t="str">
        <x:v>Morris Park</x:v>
      </x:c>
      <x:c r="G453" s="31" t="n">
        <x:v>38101.23850908806</x:v>
      </x:c>
      <x:c r="H453" s="31" t="n">
        <x:v>12643</x:v>
      </x:c>
      <x:c r="I453" s="31" t="n">
        <x:v>3.7459789573609688</x:v>
      </x:c>
      <x:c r="J453" s="40" t="n">
        <x:v>0.018191884837459465</x:v>
      </x:c>
      <x:c r="K453" s="40" t="n">
        <x:v>0.4260064858024203</x:v>
      </x:c>
      <x:c r="L453" s="40" t="n">
        <x:v>0.008384086055524795</x:v>
      </x:c>
      <x:c r="M453" s="31" t="n">
        <x:v>44.57206968429579</x:v>
      </x:c>
      <x:c r="N453" s="31" t="n">
        <x:v>76</x:v>
      </x:c>
      <x:c r="O453" s="31" t="n">
        <x:v>2.200602270094973</x:v>
      </x:c>
      <x:c r="P453" s="31" t="n">
        <x:v>4.600569485090564</x:v>
      </x:c>
      <x:c r="Q453" s="40" t="n">
        <x:v>1</x:v>
      </x:c>
      <x:c r="R453" s="31" t="n">
        <x:v>0.15936494501538126</x:v>
      </x:c>
      <x:c r="S453" s="40"/>
      <x:c r="T453" s="40"/>
      <x:c r="U453" s="40" t="n">
        <x:v>1</x:v>
      </x:c>
      <x:c r="V453" s="40" t="n">
        <x:v>0.9973898600015819</x:v>
      </x:c>
      <x:c r="W453" s="31" t="n">
        <x:v>0</x:v>
      </x:c>
      <x:c r="X453" s="31" t="str"/>
      <x:c r="Y453" s="31" t="n">
        <x:v>0</x:v>
      </x:c>
      <x:c r="Z453" s="31" t="n">
        <x:v>0</x:v>
      </x:c>
      <x:c r="AA453" s="31" t="n">
        <x:v>0</x:v>
      </x:c>
      <x:c r="AB453" s="31" t="str"/>
      <x:c r="AC453" s="31" t="str"/>
    </x:row>
    <x:row r="454">
      <x:c r="A454" s="31" t="str">
        <x:v>8baeaf3501ea1d79</x:v>
      </x:c>
      <x:c r="B454" s="31" t="str">
        <x:v>8baeaf3501ea1d7932496e34c9f67a7e5b41120351e7977bddd2ed2d98d9fc28</x:v>
      </x:c>
      <x:c r="C454" s="31" t="n">
        <x:v>12</x:v>
      </x:c>
      <x:c r="D454" s="31" t="n">
        <x:v>35373</x:v>
      </x:c>
      <x:c r="E454" s="31" t="str">
        <x:v>Queens</x:v>
      </x:c>
      <x:c r="F454" s="31" t="str">
        <x:v>Astoria (East)-Woodside (North)</x:v>
      </x:c>
      <x:c r="G454" s="31" t="n">
        <x:v>43218.289185203095</x:v>
      </x:c>
      <x:c r="H454" s="31" t="n">
        <x:v>16040</x:v>
      </x:c>
      <x:c r="I454" s="31" t="n">
        <x:v>3.752600986451895</x:v>
      </x:c>
      <x:c r="J454" s="40" t="n">
        <x:v>0.022069825436408976</x:v>
      </x:c>
      <x:c r="K454" s="40" t="n">
        <x:v>0.7172693266832918</x:v>
      </x:c>
      <x:c r="L454" s="40" t="n">
        <x:v>0.14669576059850373</x:v>
      </x:c>
      <x:c r="M454" s="31" t="n">
        <x:v>42.41654166185332</x:v>
      </x:c>
      <x:c r="N454" s="31" t="n">
        <x:v>129</x:v>
      </x:c>
      <x:c r="O454" s="31" t="n">
        <x:v>3.646849291832754</x:v>
      </x:c>
      <x:c r="P454" s="31" t="n">
        <x:v>3.085349127182045</x:v>
      </x:c>
      <x:c r="Q454" s="40" t="n">
        <x:v>0.08534912718204489</x:v>
      </x:c>
      <x:c r="R454" s="31" t="n">
        <x:v>0.18008548790860393</x:v>
      </x:c>
      <x:c r="S454" s="40"/>
      <x:c r="T454" s="40"/>
      <x:c r="U454" s="40" t="n">
        <x:v>1</x:v>
      </x:c>
      <x:c r="V454" s="40" t="n">
        <x:v>0.998067331670823</x:v>
      </x:c>
      <x:c r="W454" s="31" t="n">
        <x:v>0</x:v>
      </x:c>
      <x:c r="X454" s="31" t="str"/>
      <x:c r="Y454" s="31" t="n">
        <x:v>0</x:v>
      </x:c>
      <x:c r="Z454" s="31" t="n">
        <x:v>0</x:v>
      </x:c>
      <x:c r="AA454" s="31" t="n">
        <x:v>0</x:v>
      </x:c>
      <x:c r="AB454" s="31" t="str"/>
      <x:c r="AC454" s="31" t="str"/>
    </x:row>
    <x:row r="455">
      <x:c r="A455" s="31" t="str">
        <x:v>8bb71d904ca90cf3</x:v>
      </x:c>
      <x:c r="B455" s="31" t="str">
        <x:v>8bb71d904ca90cf3202c75e741654d521fb04e3c613e84b6e4438ddb38666bb9</x:v>
      </x:c>
      <x:c r="C455" s="31" t="n">
        <x:v>8</x:v>
      </x:c>
      <x:c r="D455" s="31" t="n">
        <x:v>35820</x:v>
      </x:c>
      <x:c r="E455" s="31" t="str">
        <x:v>Bronx</x:v>
      </x:c>
      <x:c r="F455" s="31" t="str">
        <x:v>Longwood</x:v>
      </x:c>
      <x:c r="G455" s="31" t="n">
        <x:v>73074.91188934335</x:v>
      </x:c>
      <x:c r="H455" s="31" t="n">
        <x:v>14522</x:v>
      </x:c>
      <x:c r="I455" s="31" t="n">
        <x:v>6.569349492438367</x:v>
      </x:c>
      <x:c r="J455" s="40" t="n">
        <x:v>0.16932929348574577</x:v>
      </x:c>
      <x:c r="K455" s="40" t="n">
        <x:v>0.7636000550888308</x:v>
      </x:c>
      <x:c r="L455" s="40" t="n">
        <x:v>0.17642198044346508</x:v>
      </x:c>
      <x:c r="M455" s="31" t="n">
        <x:v>73.32517957862865</x:v>
      </x:c>
      <x:c r="N455" s="31" t="n">
        <x:v>186</x:v>
      </x:c>
      <x:c r="O455" s="31" t="n">
        <x:v>5.192629815745394</x:v>
      </x:c>
      <x:c r="P455" s="31" t="n">
        <x:v>5</x:v>
      </x:c>
      <x:c r="Q455" s="40" t="n">
        <x:v>1</x:v>
      </x:c>
      <x:c r="R455" s="31" t="n">
        <x:v>0.06575858820039977</x:v>
      </x:c>
      <x:c r="S455" s="40"/>
      <x:c r="T455" s="40"/>
      <x:c r="U455" s="40" t="n">
        <x:v>1</x:v>
      </x:c>
      <x:c r="V455" s="40" t="n">
        <x:v>0.9902217325437268</x:v>
      </x:c>
      <x:c r="W455" s="31" t="n">
        <x:v>1</x:v>
      </x:c>
      <x:c r="X455" s="31" t="str"/>
      <x:c r="Y455" s="31" t="n">
        <x:v>0</x:v>
      </x:c>
      <x:c r="Z455" s="31" t="n">
        <x:v>1</x:v>
      </x:c>
      <x:c r="AA455" s="31" t="n">
        <x:v>0</x:v>
      </x:c>
      <x:c r="AB455" s="31" t="str"/>
      <x:c r="AC455" s="31" t="str"/>
    </x:row>
    <x:row r="456">
      <x:c r="A456" s="31" t="str">
        <x:v>8bd4e8af3d5ca43d</x:v>
      </x:c>
      <x:c r="B456" s="31" t="str">
        <x:v>8bd4e8af3d5ca43d990439fb968f0fefb79be64f66f5d9c84d957e65d55fe7fc</x:v>
      </x:c>
      <x:c r="C456" s="31" t="n">
        <x:v>6</x:v>
      </x:c>
      <x:c r="D456" s="31" t="n">
        <x:v>35670</x:v>
      </x:c>
      <x:c r="E456" s="31" t="str">
        <x:v>Manhattan</x:v>
      </x:c>
      <x:c r="F456" s="31" t="str">
        <x:v>East Harlem (North)</x:v>
      </x:c>
      <x:c r="G456" s="31" t="n">
        <x:v>81249.93243888015</x:v>
      </x:c>
      <x:c r="H456" s="31" t="n">
        <x:v>16422</x:v>
      </x:c>
      <x:c r="I456" s="31" t="n">
        <x:v>9.935938461538461</x:v>
      </x:c>
      <x:c r="J456" s="40" t="n">
        <x:v>0.38990378760199734</x:v>
      </x:c>
      <x:c r="K456" s="40" t="n">
        <x:v>0.597369382535623</x:v>
      </x:c>
      <x:c r="L456" s="40" t="n">
        <x:v>0.2412617220801364</x:v>
      </x:c>
      <x:c r="M456" s="31" t="n">
        <x:v>105.25471254217132</x:v>
      </x:c>
      <x:c r="N456" s="31" t="n">
        <x:v>301</x:v>
      </x:c>
      <x:c r="O456" s="31" t="n">
        <x:v>8.438463694981778</x:v>
      </x:c>
      <x:c r="P456" s="31" t="n">
        <x:v>4.568444769212032</x:v>
      </x:c>
      <x:c r="Q456" s="40" t="n">
        <x:v>1</x:v>
      </x:c>
      <x:c r="R456" s="31" t="n">
        <x:v>0.07800180646045018</x:v>
      </x:c>
      <x:c r="S456" s="40"/>
      <x:c r="T456" s="40"/>
      <x:c r="U456" s="40" t="n">
        <x:v>1</x:v>
      </x:c>
      <x:c r="V456" s="40" t="n">
        <x:v>0.9866033369869687</x:v>
      </x:c>
      <x:c r="W456" s="31" t="n">
        <x:v>2</x:v>
      </x:c>
      <x:c r="X456" s="31" t="str"/>
      <x:c r="Y456" s="31" t="n">
        <x:v>1</x:v>
      </x:c>
      <x:c r="Z456" s="31" t="n">
        <x:v>1</x:v>
      </x:c>
      <x:c r="AA456" s="31" t="n">
        <x:v>0</x:v>
      </x:c>
      <x:c r="AB456" s="31" t="str"/>
      <x:c r="AC456" s="31" t="str"/>
    </x:row>
    <x:row r="457">
      <x:c r="A457" s="31" t="str">
        <x:v>8c865787ec8c928f</x:v>
      </x:c>
      <x:c r="B457" s="31" t="str">
        <x:v>8c865787ec8c928f27ce0e7d1e3cb1aadc7d03f3fc82b5617fc083c8911319e1</x:v>
      </x:c>
      <x:c r="C457" s="31" t="n">
        <x:v>14</x:v>
      </x:c>
      <x:c r="D457" s="31" t="n">
        <x:v>32654</x:v>
      </x:c>
      <x:c r="E457" s="31" t="str">
        <x:v>Queens</x:v>
      </x:c>
      <x:c r="F457" s="31" t="str">
        <x:v>Glendale</x:v>
      </x:c>
      <x:c r="G457" s="31" t="n">
        <x:v>34298.63214294706</x:v>
      </x:c>
      <x:c r="H457" s="31" t="n">
        <x:v>12812</x:v>
      </x:c>
      <x:c r="I457" s="31" t="n">
        <x:v>2.2582975232440035</x:v>
      </x:c>
      <x:c r="J457" s="40" t="n">
        <x:v>0</x:v>
      </x:c>
      <x:c r="K457" s="40" t="n">
        <x:v>0.20192007492975336</x:v>
      </x:c>
      <x:c r="L457" s="40" t="n">
        <x:v>0.013502965969403685</x:v>
      </x:c>
      <x:c r="M457" s="31" t="n">
        <x:v>27.522625889663512</x:v>
      </x:c>
      <x:c r="N457" s="31" t="n">
        <x:v>22</x:v>
      </x:c>
      <x:c r="O457" s="31" t="n">
        <x:v>0.6737306302443804</x:v>
      </x:c>
      <x:c r="P457" s="31" t="n">
        <x:v>1</x:v>
      </x:c>
      <x:c r="Q457" s="40" t="n">
        <x:v>0</x:v>
      </x:c>
      <x:c r="R457" s="31" t="n">
        <x:v>0.1969049529523301</x:v>
      </x:c>
      <x:c r="S457" s="40"/>
      <x:c r="T457" s="40"/>
      <x:c r="U457" s="40" t="n">
        <x:v>1</x:v>
      </x:c>
      <x:c r="V457" s="40" t="n">
        <x:v>0.9974242897283796</x:v>
      </x:c>
      <x:c r="W457" s="31" t="n">
        <x:v>0</x:v>
      </x:c>
      <x:c r="X457" s="31" t="str"/>
      <x:c r="Y457" s="31" t="n">
        <x:v>0</x:v>
      </x:c>
      <x:c r="Z457" s="31" t="n">
        <x:v>0</x:v>
      </x:c>
      <x:c r="AA457" s="31" t="n">
        <x:v>0</x:v>
      </x:c>
      <x:c r="AB457" s="31" t="str"/>
      <x:c r="AC457" s="31" t="str"/>
    </x:row>
    <x:row r="458">
      <x:c r="A458" s="31" t="str">
        <x:v>8cbfc5aaef2fed9d</x:v>
      </x:c>
      <x:c r="B458" s="31" t="str">
        <x:v>8cbfc5aaef2fed9d9056f6b24857e54835616d13b744662becf5357016f267b3</x:v>
      </x:c>
      <x:c r="C458" s="31" t="n">
        <x:v>11</x:v>
      </x:c>
      <x:c r="D458" s="31" t="n">
        <x:v>33339</x:v>
      </x:c>
      <x:c r="E458" s="31" t="str">
        <x:v>Brooklyn</x:v>
      </x:c>
      <x:c r="F458" s="31" t="str">
        <x:v>Dyker Heights</x:v>
      </x:c>
      <x:c r="G458" s="31" t="n">
        <x:v>49425.66961614822</x:v>
      </x:c>
      <x:c r="H458" s="31" t="n">
        <x:v>10803</x:v>
      </x:c>
      <x:c r="I458" s="31" t="n">
        <x:v>2.4426455320726737</x:v>
      </x:c>
      <x:c r="J458" s="40" t="n">
        <x:v>0</x:v>
      </x:c>
      <x:c r="K458" s="40" t="n">
        <x:v>0.31185781727297973</x:v>
      </x:c>
      <x:c r="L458" s="40" t="n">
        <x:v>0.024159955567897805</x:v>
      </x:c>
      <x:c r="M458" s="31" t="n">
        <x:v>30.777294187921115</x:v>
      </x:c>
      <x:c r="N458" s="31" t="n">
        <x:v>25</x:v>
      </x:c>
      <x:c r="O458" s="31" t="n">
        <x:v>0.7498725216713159</x:v>
      </x:c>
      <x:c r="P458" s="31" t="n">
        <x:v>3.4189576969360362</x:v>
      </x:c>
      <x:c r="Q458" s="40" t="n">
        <x:v>0.4189576969360363</x:v>
      </x:c>
      <x:c r="R458" s="31" t="n">
        <x:v>0.17146916614080382</x:v>
      </x:c>
      <x:c r="S458" s="40"/>
      <x:c r="T458" s="40"/>
      <x:c r="U458" s="40" t="n">
        <x:v>1</x:v>
      </x:c>
      <x:c r="V458" s="40" t="n">
        <x:v>0.9974081273720263</x:v>
      </x:c>
      <x:c r="W458" s="31" t="n">
        <x:v>0</x:v>
      </x:c>
      <x:c r="X458" s="31" t="str"/>
      <x:c r="Y458" s="31" t="n">
        <x:v>0</x:v>
      </x:c>
      <x:c r="Z458" s="31" t="n">
        <x:v>0</x:v>
      </x:c>
      <x:c r="AA458" s="31" t="n">
        <x:v>0</x:v>
      </x:c>
      <x:c r="AB458" s="31" t="str"/>
      <x:c r="AC458" s="31" t="str"/>
    </x:row>
    <x:row r="459">
      <x:c r="A459" s="31" t="str">
        <x:v>8ce5f41e33d56f03</x:v>
      </x:c>
      <x:c r="B459" s="31" t="str">
        <x:v>8ce5f41e33d56f03bdf5504bf55b61d1a1eabeb1f9bed24c07c201ebc115199e</x:v>
      </x:c>
      <x:c r="C459" s="31" t="n">
        <x:v>6</x:v>
      </x:c>
      <x:c r="D459" s="31" t="n">
        <x:v>32800</x:v>
      </x:c>
      <x:c r="E459" s="31" t="str">
        <x:v>Manhattan</x:v>
      </x:c>
      <x:c r="F459" s="31" t="str">
        <x:v>East Harlem (North)</x:v>
      </x:c>
      <x:c r="G459" s="31" t="n">
        <x:v>70103.70927513727</x:v>
      </x:c>
      <x:c r="H459" s="31" t="n">
        <x:v>15573</x:v>
      </x:c>
      <x:c r="I459" s="31" t="n">
        <x:v>11.645719844357977</x:v>
      </x:c>
      <x:c r="J459" s="40" t="n">
        <x:v>0.5577602260322353</x:v>
      </x:c>
      <x:c r="K459" s="40" t="n">
        <x:v>0.4297181018429333</x:v>
      </x:c>
      <x:c r="L459" s="40" t="n">
        <x:v>0.28530148333654404</x:v>
      </x:c>
      <x:c r="M459" s="31" t="n">
        <x:v>117.16014712508921</x:v>
      </x:c>
      <x:c r="N459" s="31" t="n">
        <x:v>266</x:v>
      </x:c>
      <x:c r="O459" s="31" t="n">
        <x:v>8.109756097560975</x:v>
      </x:c>
      <x:c r="P459" s="31" t="n">
        <x:v>4.814871893662107</x:v>
      </x:c>
      <x:c r="Q459" s="40" t="n">
        <x:v>1</x:v>
      </x:c>
      <x:c r="R459" s="31" t="n">
        <x:v>0.07514283315919676</x:v>
      </x:c>
      <x:c r="S459" s="40"/>
      <x:c r="T459" s="40"/>
      <x:c r="U459" s="40" t="n">
        <x:v>1</x:v>
      </x:c>
      <x:c r="V459" s="40" t="n">
        <x:v>0.9897258074873178</x:v>
      </x:c>
      <x:c r="W459" s="31" t="n">
        <x:v>0</x:v>
      </x:c>
      <x:c r="X459" s="31" t="str"/>
      <x:c r="Y459" s="31" t="n">
        <x:v>0</x:v>
      </x:c>
      <x:c r="Z459" s="31" t="n">
        <x:v>0</x:v>
      </x:c>
      <x:c r="AA459" s="31" t="n">
        <x:v>0</x:v>
      </x:c>
      <x:c r="AB459" s="31" t="str"/>
      <x:c r="AC459" s="31" t="str"/>
    </x:row>
    <x:row r="460">
      <x:c r="A460" s="31" t="str">
        <x:v>8ce8ff412a9bed3f</x:v>
      </x:c>
      <x:c r="B460" s="31" t="str">
        <x:v>8ce8ff412a9bed3f629cb603e6cccbb45d96b06d31f3c26e068a2983215c59bb</x:v>
      </x:c>
      <x:c r="C460" s="31" t="n">
        <x:v>8</x:v>
      </x:c>
      <x:c r="D460" s="31" t="n">
        <x:v>32132</x:v>
      </x:c>
      <x:c r="E460" s="31" t="str">
        <x:v>Brooklyn</x:v>
      </x:c>
      <x:c r="F460" s="31" t="str">
        <x:v>Dyker Heights</x:v>
      </x:c>
      <x:c r="G460" s="31" t="n">
        <x:v>60443.74545570833</x:v>
      </x:c>
      <x:c r="H460" s="31" t="n">
        <x:v>9058</x:v>
      </x:c>
      <x:c r="I460" s="31" t="n">
        <x:v>2.5976372288623284</x:v>
      </x:c>
      <x:c r="J460" s="40" t="n">
        <x:v>0.00022079929344226098</x:v>
      </x:c>
      <x:c r="K460" s="40" t="n">
        <x:v>0.43652020313534995</x:v>
      </x:c>
      <x:c r="L460" s="40" t="n">
        <x:v>0.020865533230293665</x:v>
      </x:c>
      <x:c r="M460" s="31" t="n">
        <x:v>32.00799572367783</x:v>
      </x:c>
      <x:c r="N460" s="31" t="n">
        <x:v>49</x:v>
      </x:c>
      <x:c r="O460" s="31" t="n">
        <x:v>1.524959541889705</x:v>
      </x:c>
      <x:c r="P460" s="31" t="n">
        <x:v>3.8173989843232503</x:v>
      </x:c>
      <x:c r="Q460" s="40" t="n">
        <x:v>0.8173989843232502</x:v>
      </x:c>
      <x:c r="R460" s="31" t="n">
        <x:v>0.16029974763004728</x:v>
      </x:c>
      <x:c r="S460" s="40"/>
      <x:c r="T460" s="40"/>
      <x:c r="U460" s="40" t="n">
        <x:v>1</x:v>
      </x:c>
      <x:c r="V460" s="40" t="n">
        <x:v>0.992382424376242</x:v>
      </x:c>
      <x:c r="W460" s="31" t="n">
        <x:v>0</x:v>
      </x:c>
      <x:c r="X460" s="31" t="str"/>
      <x:c r="Y460" s="31" t="n">
        <x:v>0</x:v>
      </x:c>
      <x:c r="Z460" s="31" t="n">
        <x:v>0</x:v>
      </x:c>
      <x:c r="AA460" s="31" t="n">
        <x:v>0</x:v>
      </x:c>
      <x:c r="AB460" s="31" t="str"/>
      <x:c r="AC460" s="31" t="str"/>
    </x:row>
    <x:row r="461">
      <x:c r="A461" s="31" t="str">
        <x:v>8d0fa16b439d97c5</x:v>
      </x:c>
      <x:c r="B461" s="31" t="str">
        <x:v>8d0fa16b439d97c588d2ca02b995652c93e95421024f7998353450942bafd2c1</x:v>
      </x:c>
      <x:c r="C461" s="31" t="n">
        <x:v>12</x:v>
      </x:c>
      <x:c r="D461" s="31" t="n">
        <x:v>32339</x:v>
      </x:c>
      <x:c r="E461" s="31" t="str">
        <x:v>Queens</x:v>
      </x:c>
      <x:c r="F461" s="31" t="str">
        <x:v>Bayside</x:v>
      </x:c>
      <x:c r="G461" s="31" t="n">
        <x:v>17265.450584834463</x:v>
      </x:c>
      <x:c r="H461" s="31" t="n">
        <x:v>11724</x:v>
      </x:c>
      <x:c r="I461" s="31" t="n">
        <x:v>2.500471470436132</x:v>
      </x:c>
      <x:c r="J461" s="40" t="n">
        <x:v>0.026782668031388606</x:v>
      </x:c>
      <x:c r="K461" s="40" t="n">
        <x:v>0.20803480040941658</x:v>
      </x:c>
      <x:c r="L461" s="40" t="n">
        <x:v>0.10653360627772092</x:v>
      </x:c>
      <x:c r="M461" s="31" t="n">
        <x:v>30.374180379739766</x:v>
      </x:c>
      <x:c r="N461" s="31" t="n">
        <x:v>25</x:v>
      </x:c>
      <x:c r="O461" s="31" t="n">
        <x:v>0.7730603914777823</x:v>
      </x:c>
      <x:c r="P461" s="31" t="n">
        <x:v>2</x:v>
      </x:c>
      <x:c r="Q461" s="40" t="n">
        <x:v>0</x:v>
      </x:c>
      <x:c r="R461" s="31" t="n">
        <x:v>0.19550357252871775</x:v>
      </x:c>
      <x:c r="S461" s="40"/>
      <x:c r="T461" s="40"/>
      <x:c r="U461" s="40" t="n">
        <x:v>1</x:v>
      </x:c>
      <x:c r="V461" s="40" t="n">
        <x:v>0.9898498805868304</x:v>
      </x:c>
      <x:c r="W461" s="31" t="n">
        <x:v>0</x:v>
      </x:c>
      <x:c r="X461" s="31" t="str"/>
      <x:c r="Y461" s="31" t="n">
        <x:v>0</x:v>
      </x:c>
      <x:c r="Z461" s="31" t="n">
        <x:v>0</x:v>
      </x:c>
      <x:c r="AA461" s="31" t="n">
        <x:v>0</x:v>
      </x:c>
      <x:c r="AB461" s="31" t="str"/>
      <x:c r="AC461" s="31" t="str"/>
    </x:row>
    <x:row r="462">
      <x:c r="A462" s="31" t="str">
        <x:v>8d865b2f26973c17</x:v>
      </x:c>
      <x:c r="B462" s="31" t="str">
        <x:v>8d865b2f26973c17d6c5baa55d4b7326e2a7c612a85df36578493404e012db65</x:v>
      </x:c>
      <x:c r="C462" s="31" t="n">
        <x:v>9</x:v>
      </x:c>
      <x:c r="D462" s="31" t="n">
        <x:v>37533</x:v>
      </x:c>
      <x:c r="E462" s="31" t="str">
        <x:v>Bronx</x:v>
      </x:c>
      <x:c r="F462" s="31" t="str">
        <x:v>Mott Haven-Port Morris</x:v>
      </x:c>
      <x:c r="G462" s="31" t="n">
        <x:v>54618.67437957868</x:v>
      </x:c>
      <x:c r="H462" s="31" t="n">
        <x:v>15989</x:v>
      </x:c>
      <x:c r="I462" s="31" t="n">
        <x:v>8.306366877228095</x:v>
      </x:c>
      <x:c r="J462" s="40" t="n">
        <x:v>0.29570329601601103</x:v>
      </x:c>
      <x:c r="K462" s="40" t="n">
        <x:v>0.6616423791356557</x:v>
      </x:c>
      <x:c r="L462" s="40" t="n">
        <x:v>0.27962974544999686</x:v>
      </x:c>
      <x:c r="M462" s="31" t="n">
        <x:v>84.6712048173495</x:v>
      </x:c>
      <x:c r="N462" s="31" t="n">
        <x:v>205</x:v>
      </x:c>
      <x:c r="O462" s="31" t="n">
        <x:v>5.461860229664562</x:v>
      </x:c>
      <x:c r="P462" s="31" t="n">
        <x:v>5</x:v>
      </x:c>
      <x:c r="Q462" s="40" t="n">
        <x:v>1</x:v>
      </x:c>
      <x:c r="R462" s="31" t="n">
        <x:v>0.08025291713297249</x:v>
      </x:c>
      <x:c r="S462" s="40"/>
      <x:c r="T462" s="40"/>
      <x:c r="U462" s="40" t="n">
        <x:v>1</x:v>
      </x:c>
      <x:c r="V462" s="40" t="n">
        <x:v>0.9953092751266496</x:v>
      </x:c>
      <x:c r="W462" s="31" t="n">
        <x:v>1</x:v>
      </x:c>
      <x:c r="X462" s="31" t="str"/>
      <x:c r="Y462" s="31" t="n">
        <x:v>0</x:v>
      </x:c>
      <x:c r="Z462" s="31" t="n">
        <x:v>1</x:v>
      </x:c>
      <x:c r="AA462" s="31" t="n">
        <x:v>0</x:v>
      </x:c>
      <x:c r="AB462" s="31" t="str"/>
      <x:c r="AC462" s="31" t="str"/>
    </x:row>
    <x:row r="463">
      <x:c r="A463" s="31" t="str">
        <x:v>8df749f2547e5a2b</x:v>
      </x:c>
      <x:c r="B463" s="31" t="str">
        <x:v>8df749f2547e5a2b613a0ea2829be3a0453d3d54a8cde0fff0df2fdb5ab11fe7</x:v>
      </x:c>
      <x:c r="C463" s="31" t="n">
        <x:v>7</x:v>
      </x:c>
      <x:c r="D463" s="31" t="n">
        <x:v>32380</x:v>
      </x:c>
      <x:c r="E463" s="31" t="str">
        <x:v>Queens</x:v>
      </x:c>
      <x:c r="F463" s="31" t="str">
        <x:v>Ridgewood</x:v>
      </x:c>
      <x:c r="G463" s="31" t="n">
        <x:v>78291.31347319395</x:v>
      </x:c>
      <x:c r="H463" s="31" t="n">
        <x:v>12098</x:v>
      </x:c>
      <x:c r="I463" s="31" t="n">
        <x:v>3.0017040731504574</x:v>
      </x:c>
      <x:c r="J463" s="40" t="n">
        <x:v>0.010332286328318731</x:v>
      </x:c>
      <x:c r="K463" s="40" t="n">
        <x:v>0.7233427012729376</x:v>
      </x:c>
      <x:c r="L463" s="40" t="n">
        <x:v>0.005951396925111588</x:v>
      </x:c>
      <x:c r="M463" s="31" t="n">
        <x:v>36.078263372841775</x:v>
      </x:c>
      <x:c r="N463" s="31" t="n">
        <x:v>26</x:v>
      </x:c>
      <x:c r="O463" s="31" t="n">
        <x:v>0.8029647930821495</x:v>
      </x:c>
      <x:c r="P463" s="31" t="n">
        <x:v>1.4808232765746405</x:v>
      </x:c>
      <x:c r="Q463" s="40" t="n">
        <x:v>0.16027442552488014</x:v>
      </x:c>
      <x:c r="R463" s="31" t="n">
        <x:v>0.1565360549509103</x:v>
      </x:c>
      <x:c r="S463" s="40"/>
      <x:c r="T463" s="40"/>
      <x:c r="U463" s="40" t="n">
        <x:v>1</x:v>
      </x:c>
      <x:c r="V463" s="40" t="n">
        <x:v>0.9915688543560919</x:v>
      </x:c>
      <x:c r="W463" s="31" t="n">
        <x:v>0</x:v>
      </x:c>
      <x:c r="X463" s="31" t="str"/>
      <x:c r="Y463" s="31" t="n">
        <x:v>0</x:v>
      </x:c>
      <x:c r="Z463" s="31" t="n">
        <x:v>0</x:v>
      </x:c>
      <x:c r="AA463" s="31" t="n">
        <x:v>0</x:v>
      </x:c>
      <x:c r="AB463" s="31" t="str"/>
      <x:c r="AC463" s="31" t="str"/>
    </x:row>
    <x:row r="464">
      <x:c r="A464" s="31" t="str">
        <x:v>8e138e4f3dfc1b68</x:v>
      </x:c>
      <x:c r="B464" s="31" t="str">
        <x:v>8e138e4f3dfc1b6871148808f74c3ad0c420bf9af4b9ce9c295a5be2851aa516</x:v>
      </x:c>
      <x:c r="C464" s="31" t="n">
        <x:v>9</x:v>
      </x:c>
      <x:c r="D464" s="31" t="n">
        <x:v>32917</x:v>
      </x:c>
      <x:c r="E464" s="31" t="str">
        <x:v>Brooklyn</x:v>
      </x:c>
      <x:c r="F464" s="31" t="str">
        <x:v>Bensonhurst</x:v>
      </x:c>
      <x:c r="G464" s="31" t="n">
        <x:v>51270.98361958311</x:v>
      </x:c>
      <x:c r="H464" s="31" t="n">
        <x:v>10385</x:v>
      </x:c>
      <x:c r="I464" s="31" t="n">
        <x:v>2.6111878612716763</x:v>
      </x:c>
      <x:c r="J464" s="40" t="n">
        <x:v>0</x:v>
      </x:c>
      <x:c r="K464" s="40" t="n">
        <x:v>0.29484833895040924</x:v>
      </x:c>
      <x:c r="L464" s="40" t="n">
        <x:v>0.012903225806451613</x:v>
      </x:c>
      <x:c r="M464" s="31" t="n">
        <x:v>31.679438152010636</x:v>
      </x:c>
      <x:c r="N464" s="31" t="n">
        <x:v>38</x:v>
      </x:c>
      <x:c r="O464" s="31" t="n">
        <x:v>1.1544186894309931</x:v>
      </x:c>
      <x:c r="P464" s="31" t="n">
        <x:v>4</x:v>
      </x:c>
      <x:c r="Q464" s="40" t="n">
        <x:v>1</x:v>
      </x:c>
      <x:c r="R464" s="31" t="n">
        <x:v>0.1587562477533816</x:v>
      </x:c>
      <x:c r="S464" s="40"/>
      <x:c r="T464" s="40"/>
      <x:c r="U464" s="40" t="n">
        <x:v>1</x:v>
      </x:c>
      <x:c r="V464" s="40" t="n">
        <x:v>0.9961482908040443</x:v>
      </x:c>
      <x:c r="W464" s="31" t="n">
        <x:v>0</x:v>
      </x:c>
      <x:c r="X464" s="31" t="str"/>
      <x:c r="Y464" s="31" t="n">
        <x:v>0</x:v>
      </x:c>
      <x:c r="Z464" s="31" t="n">
        <x:v>0</x:v>
      </x:c>
      <x:c r="AA464" s="31" t="n">
        <x:v>0</x:v>
      </x:c>
      <x:c r="AB464" s="31" t="str"/>
      <x:c r="AC464" s="31" t="str"/>
    </x:row>
    <x:row r="465">
      <x:c r="A465" s="31" t="str">
        <x:v>8e3c9a7a6f34a428</x:v>
      </x:c>
      <x:c r="B465" s="31" t="str">
        <x:v>8e3c9a7a6f34a428c27313571e25137975a416f863e28c94717827351aa2d63a</x:v>
      </x:c>
      <x:c r="C465" s="31" t="n">
        <x:v>8</x:v>
      </x:c>
      <x:c r="D465" s="31" t="n">
        <x:v>37198</x:v>
      </x:c>
      <x:c r="E465" s="31" t="str">
        <x:v>Brooklyn</x:v>
      </x:c>
      <x:c r="F465" s="31" t="str">
        <x:v>Flatbush (West)-Ditmas Park-Parkville</x:v>
      </x:c>
      <x:c r="G465" s="31" t="n">
        <x:v>64882.705337835396</x:v>
      </x:c>
      <x:c r="H465" s="31" t="n">
        <x:v>12226</x:v>
      </x:c>
      <x:c r="I465" s="31" t="n">
        <x:v>4.476272238311957</x:v>
      </x:c>
      <x:c r="J465" s="40" t="n">
        <x:v>0.036806805169311306</x:v>
      </x:c>
      <x:c r="K465" s="40" t="n">
        <x:v>0.6701292327825945</x:v>
      </x:c>
      <x:c r="L465" s="40" t="n">
        <x:v>0.0044986095206936035</x:v>
      </x:c>
      <x:c r="M465" s="31" t="n">
        <x:v>51.21599421999671</x:v>
      </x:c>
      <x:c r="N465" s="31" t="n">
        <x:v>185</x:v>
      </x:c>
      <x:c r="O465" s="31" t="n">
        <x:v>4.973385665896016</x:v>
      </x:c>
      <x:c r="P465" s="31" t="n">
        <x:v>3.5449043023065596</x:v>
      </x:c>
      <x:c r="Q465" s="40" t="n">
        <x:v>0.5449043023065598</x:v>
      </x:c>
      <x:c r="R465" s="31" t="n">
        <x:v>0.1496020335579917</x:v>
      </x:c>
      <x:c r="S465" s="40"/>
      <x:c r="T465" s="40"/>
      <x:c r="U465" s="40" t="n">
        <x:v>1</x:v>
      </x:c>
      <x:c r="V465" s="40" t="n">
        <x:v>0.992066088663504</x:v>
      </x:c>
      <x:c r="W465" s="31" t="n">
        <x:v>0</x:v>
      </x:c>
      <x:c r="X465" s="31" t="str"/>
      <x:c r="Y465" s="31" t="n">
        <x:v>0</x:v>
      </x:c>
      <x:c r="Z465" s="31" t="n">
        <x:v>0</x:v>
      </x:c>
      <x:c r="AA465" s="31" t="n">
        <x:v>0</x:v>
      </x:c>
      <x:c r="AB465" s="31" t="str"/>
      <x:c r="AC465" s="31" t="str"/>
    </x:row>
    <x:row r="466">
      <x:c r="A466" s="31" t="str">
        <x:v>8e84e219a4891737</x:v>
      </x:c>
      <x:c r="B466" s="31" t="str">
        <x:v>8e84e219a4891737b451202c517d1f44d7839b0a4eae07d1f683f9404671ab12</x:v>
      </x:c>
      <x:c r="C466" s="31" t="n">
        <x:v>5</x:v>
      </x:c>
      <x:c r="D466" s="31" t="n">
        <x:v>32154</x:v>
      </x:c>
      <x:c r="E466" s="31" t="str">
        <x:v>Manhattan</x:v>
      </x:c>
      <x:c r="F466" s="31" t="str">
        <x:v>Washington Heights (South)</x:v>
      </x:c>
      <x:c r="G466" s="31" t="n">
        <x:v>118489.62925138834</x:v>
      </x:c>
      <x:c r="H466" s="31" t="n">
        <x:v>12184</x:v>
      </x:c>
      <x:c r="I466" s="31" t="n">
        <x:v>7.686939715437124</x:v>
      </x:c>
      <x:c r="J466" s="40" t="n">
        <x:v>0.08864084044648719</x:v>
      </x:c>
      <x:c r="K466" s="40" t="n">
        <x:v>0.9052856204858831</x:v>
      </x:c>
      <x:c r="L466" s="40" t="n">
        <x:v>0.005334865397242285</x:v>
      </x:c>
      <x:c r="M466" s="31" t="n">
        <x:v>84.91738267346584</x:v>
      </x:c>
      <x:c r="N466" s="31" t="n">
        <x:v>135</x:v>
      </x:c>
      <x:c r="O466" s="31" t="n">
        <x:v>4.198544504571748</x:v>
      </x:c>
      <x:c r="P466" s="31" t="n">
        <x:v>2.4609323703217334</x:v>
      </x:c>
      <x:c r="Q466" s="40" t="n">
        <x:v>0</x:v>
      </x:c>
      <x:c r="R466" s="31" t="n">
        <x:v>0.07167312101376123</x:v>
      </x:c>
      <x:c r="S466" s="40"/>
      <x:c r="T466" s="40"/>
      <x:c r="U466" s="40" t="n">
        <x:v>1</x:v>
      </x:c>
      <x:c r="V466" s="40" t="n">
        <x:v>0.9993434011818779</x:v>
      </x:c>
      <x:c r="W466" s="31" t="n">
        <x:v>0</x:v>
      </x:c>
      <x:c r="X466" s="31" t="str"/>
      <x:c r="Y466" s="31" t="n">
        <x:v>0</x:v>
      </x:c>
      <x:c r="Z466" s="31" t="n">
        <x:v>0</x:v>
      </x:c>
      <x:c r="AA466" s="31" t="n">
        <x:v>0</x:v>
      </x:c>
      <x:c r="AB466" s="31" t="str"/>
      <x:c r="AC466" s="31" t="str"/>
    </x:row>
    <x:row r="467">
      <x:c r="A467" s="31" t="str">
        <x:v>8e8c017f5fe7b682</x:v>
      </x:c>
      <x:c r="B467" s="31" t="str">
        <x:v>8e8c017f5fe7b682aa1b1cb03ef8b8784995bbb317a9eaf50fb0c1af22755688</x:v>
      </x:c>
      <x:c r="C467" s="31" t="n">
        <x:v>11</x:v>
      </x:c>
      <x:c r="D467" s="31" t="n">
        <x:v>33248</x:v>
      </x:c>
      <x:c r="E467" s="31" t="str">
        <x:v>Queens</x:v>
      </x:c>
      <x:c r="F467" s="31" t="str">
        <x:v>Kew Gardens</x:v>
      </x:c>
      <x:c r="G467" s="31" t="n">
        <x:v>37724.71921804203</x:v>
      </x:c>
      <x:c r="H467" s="31" t="n">
        <x:v>13761</x:v>
      </x:c>
      <x:c r="I467" s="31" t="n">
        <x:v>5.824609002129378</x:v>
      </x:c>
      <x:c r="J467" s="40" t="n">
        <x:v>0.10820434561441755</x:v>
      </x:c>
      <x:c r="K467" s="40" t="n">
        <x:v>0.628370031247729</x:v>
      </x:c>
      <x:c r="L467" s="40" t="n">
        <x:v>0.01838529176658673</x:v>
      </x:c>
      <x:c r="M467" s="31" t="n">
        <x:v>61.2301091291468</x:v>
      </x:c>
      <x:c r="N467" s="31" t="n">
        <x:v>201</x:v>
      </x:c>
      <x:c r="O467" s="31" t="n">
        <x:v>6.045476419634264</x:v>
      </x:c>
      <x:c r="P467" s="31" t="n">
        <x:v>2.344015696533682</x:v>
      </x:c>
      <x:c r="Q467" s="40" t="n">
        <x:v>0</x:v>
      </x:c>
      <x:c r="R467" s="31" t="n">
        <x:v>0.2482282361863936</x:v>
      </x:c>
      <x:c r="S467" s="40"/>
      <x:c r="T467" s="40"/>
      <x:c r="U467" s="40" t="n">
        <x:v>1</x:v>
      </x:c>
      <x:c r="V467" s="40" t="n">
        <x:v>0.9845941428675241</x:v>
      </x:c>
      <x:c r="W467" s="31" t="n">
        <x:v>0</x:v>
      </x:c>
      <x:c r="X467" s="31" t="str"/>
      <x:c r="Y467" s="31" t="n">
        <x:v>0</x:v>
      </x:c>
      <x:c r="Z467" s="31" t="n">
        <x:v>0</x:v>
      </x:c>
      <x:c r="AA467" s="31" t="n">
        <x:v>0</x:v>
      </x:c>
      <x:c r="AB467" s="31" t="str"/>
      <x:c r="AC467" s="31" t="str"/>
    </x:row>
    <x:row r="468">
      <x:c r="A468" s="31" t="str">
        <x:v>8f5325320451f71e</x:v>
      </x:c>
      <x:c r="B468" s="31" t="str">
        <x:v>8f5325320451f71eb1ff047d159f82cb3b09217b8a804d98ec7dc4a84e806069</x:v>
      </x:c>
      <x:c r="C468" s="31" t="n">
        <x:v>8</x:v>
      </x:c>
      <x:c r="D468" s="31" t="n">
        <x:v>34906</x:v>
      </x:c>
      <x:c r="E468" s="31" t="str">
        <x:v>Brooklyn</x:v>
      </x:c>
      <x:c r="F468" s="31" t="str">
        <x:v>Bedford-Stuyvesant (West)</x:v>
      </x:c>
      <x:c r="G468" s="31" t="n">
        <x:v>65588.42692156271</x:v>
      </x:c>
      <x:c r="H468" s="31" t="n">
        <x:v>17332</x:v>
      </x:c>
      <x:c r="I468" s="31" t="n">
        <x:v>5.473303721767404</x:v>
      </x:c>
      <x:c r="J468" s="40" t="n">
        <x:v>0.1317793676436649</x:v>
      </x:c>
      <x:c r="K468" s="40" t="n">
        <x:v>0.7948880683129471</x:v>
      </x:c>
      <x:c r="L468" s="40" t="n">
        <x:v>0.08296792060927764</x:v>
      </x:c>
      <x:c r="M468" s="31" t="n">
        <x:v>58.217664107215384</x:v>
      </x:c>
      <x:c r="N468" s="31" t="n">
        <x:v>165</x:v>
      </x:c>
      <x:c r="O468" s="31" t="n">
        <x:v>4.726981034779121</x:v>
      </x:c>
      <x:c r="P468" s="31" t="n">
        <x:v>2.9972305561966306</x:v>
      </x:c>
      <x:c r="Q468" s="40" t="n">
        <x:v>0.49861527809831524</x:v>
      </x:c>
      <x:c r="R468" s="31" t="n">
        <x:v>0.13681511412299985</x:v>
      </x:c>
      <x:c r="S468" s="40"/>
      <x:c r="T468" s="40"/>
      <x:c r="U468" s="40" t="n">
        <x:v>1</x:v>
      </x:c>
      <x:c r="V468" s="40" t="n">
        <x:v>0.9477267482114009</x:v>
      </x:c>
      <x:c r="W468" s="31" t="n">
        <x:v>0</x:v>
      </x:c>
      <x:c r="X468" s="31" t="str"/>
      <x:c r="Y468" s="31" t="n">
        <x:v>0</x:v>
      </x:c>
      <x:c r="Z468" s="31" t="n">
        <x:v>0</x:v>
      </x:c>
      <x:c r="AA468" s="31" t="n">
        <x:v>0</x:v>
      </x:c>
      <x:c r="AB468" s="31" t="str"/>
      <x:c r="AC468" s="31" t="str"/>
    </x:row>
    <x:row r="469">
      <x:c r="A469" s="31" t="str">
        <x:v>8f8bcc7b0a1466c1</x:v>
      </x:c>
      <x:c r="B469" s="31" t="str">
        <x:v>8f8bcc7b0a1466c123163f0a9297a4d8c95b70a8cd526b0ce5397e85cb3af1a1</x:v>
      </x:c>
      <x:c r="C469" s="31" t="n">
        <x:v>8</x:v>
      </x:c>
      <x:c r="D469" s="31" t="n">
        <x:v>34885</x:v>
      </x:c>
      <x:c r="E469" s="31" t="str">
        <x:v>Brooklyn</x:v>
      </x:c>
      <x:c r="F469" s="31" t="str">
        <x:v>Bedford-Stuyvesant (West)</x:v>
      </x:c>
      <x:c r="G469" s="31" t="n">
        <x:v>70613.67404217526</x:v>
      </x:c>
      <x:c r="H469" s="31" t="n">
        <x:v>14581</x:v>
      </x:c>
      <x:c r="I469" s="31" t="n">
        <x:v>5.268328263274337</x:v>
      </x:c>
      <x:c r="J469" s="40" t="n">
        <x:v>0.11343529250394349</x:v>
      </x:c>
      <x:c r="K469" s="40" t="n">
        <x:v>0.7971332556066113</x:v>
      </x:c>
      <x:c r="L469" s="40" t="n">
        <x:v>0.09793566970715314</x:v>
      </x:c>
      <x:c r="M469" s="31" t="n">
        <x:v>58.831996965986136</x:v>
      </x:c>
      <x:c r="N469" s="31" t="n">
        <x:v>215</x:v>
      </x:c>
      <x:c r="O469" s="31" t="n">
        <x:v>6.1631073527304</x:v>
      </x:c>
      <x:c r="P469" s="31" t="n">
        <x:v>3.4801453946917222</x:v>
      </x:c>
      <x:c r="Q469" s="40" t="n">
        <x:v>0.740072697345861</x:v>
      </x:c>
      <x:c r="R469" s="31" t="n">
        <x:v>0.11488384269053774</x:v>
      </x:c>
      <x:c r="S469" s="40"/>
      <x:c r="T469" s="40"/>
      <x:c r="U469" s="40" t="n">
        <x:v>1</x:v>
      </x:c>
      <x:c r="V469" s="40" t="n">
        <x:v>0.9698237432274879</x:v>
      </x:c>
      <x:c r="W469" s="31" t="n">
        <x:v>0</x:v>
      </x:c>
      <x:c r="X469" s="31" t="str"/>
      <x:c r="Y469" s="31" t="n">
        <x:v>0</x:v>
      </x:c>
      <x:c r="Z469" s="31" t="n">
        <x:v>0</x:v>
      </x:c>
      <x:c r="AA469" s="31" t="n">
        <x:v>0</x:v>
      </x:c>
      <x:c r="AB469" s="31" t="str"/>
      <x:c r="AC469" s="31" t="str"/>
    </x:row>
    <x:row r="470">
      <x:c r="A470" s="31" t="str">
        <x:v>8f8ef3593eba83e2</x:v>
      </x:c>
      <x:c r="B470" s="31" t="str">
        <x:v>8f8ef3593eba83e2d302db2b89cd7077eda6c4dea5b8d64b330b869a8094341e</x:v>
      </x:c>
      <x:c r="C470" s="31" t="n">
        <x:v>12</x:v>
      </x:c>
      <x:c r="D470" s="31" t="n">
        <x:v>32749</x:v>
      </x:c>
      <x:c r="E470" s="31" t="str">
        <x:v>Brooklyn</x:v>
      </x:c>
      <x:c r="F470" s="31" t="str">
        <x:v>Gravesend (East)-Homecrest</x:v>
      </x:c>
      <x:c r="G470" s="31" t="n">
        <x:v>39775.080019707675</x:v>
      </x:c>
      <x:c r="H470" s="31" t="n">
        <x:v>11284</x:v>
      </x:c>
      <x:c r="I470" s="31" t="n">
        <x:v>2.9624459219858155</x:v>
      </x:c>
      <x:c r="J470" s="40" t="n">
        <x:v>0</x:v>
      </x:c>
      <x:c r="K470" s="40" t="n">
        <x:v>0.3207196029776675</x:v>
      </x:c>
      <x:c r="L470" s="40" t="n">
        <x:v>0.017458348103509394</x:v>
      </x:c>
      <x:c r="M470" s="31" t="n">
        <x:v>35.66373523924537</x:v>
      </x:c>
      <x:c r="N470" s="31" t="n">
        <x:v>101</x:v>
      </x:c>
      <x:c r="O470" s="31" t="n">
        <x:v>3.084063635530856</x:v>
      </x:c>
      <x:c r="P470" s="31" t="n">
        <x:v>3.9925558312655087</x:v>
      </x:c>
      <x:c r="Q470" s="40" t="n">
        <x:v>0.9925558312655087</x:v>
      </x:c>
      <x:c r="R470" s="31" t="n">
        <x:v>0.1588216232347045</x:v>
      </x:c>
      <x:c r="S470" s="40"/>
      <x:c r="T470" s="40"/>
      <x:c r="U470" s="40" t="n">
        <x:v>1</x:v>
      </x:c>
      <x:c r="V470" s="40" t="n">
        <x:v>0.9946827366182205</x:v>
      </x:c>
      <x:c r="W470" s="31" t="n">
        <x:v>0</x:v>
      </x:c>
      <x:c r="X470" s="31" t="str"/>
      <x:c r="Y470" s="31" t="n">
        <x:v>0</x:v>
      </x:c>
      <x:c r="Z470" s="31" t="n">
        <x:v>0</x:v>
      </x:c>
      <x:c r="AA470" s="31" t="n">
        <x:v>0</x:v>
      </x:c>
      <x:c r="AB470" s="31" t="str"/>
      <x:c r="AC470" s="31" t="str"/>
    </x:row>
    <x:row r="471">
      <x:c r="A471" s="31" t="str">
        <x:v>8fa941305002a82e</x:v>
      </x:c>
      <x:c r="B471" s="31" t="str">
        <x:v>8fa941305002a82e5ab57a65d8c84a88ccc39d9be5052eecb8ee1de4ac27a4f6</x:v>
      </x:c>
      <x:c r="C471" s="31" t="n">
        <x:v>10</x:v>
      </x:c>
      <x:c r="D471" s="31" t="n">
        <x:v>32821</x:v>
      </x:c>
      <x:c r="E471" s="31" t="str">
        <x:v>Brooklyn</x:v>
      </x:c>
      <x:c r="F471" s="31" t="str">
        <x:v>Bedford-Stuyvesant (West)</x:v>
      </x:c>
      <x:c r="G471" s="31" t="n">
        <x:v>65961.87725095286</x:v>
      </x:c>
      <x:c r="H471" s="31" t="n">
        <x:v>14718</x:v>
      </x:c>
      <x:c r="I471" s="31" t="n">
        <x:v>6.366149924211106</x:v>
      </x:c>
      <x:c r="J471" s="40" t="n">
        <x:v>0.19622231281424107</x:v>
      </x:c>
      <x:c r="K471" s="40" t="n">
        <x:v>0.6841962223128143</x:v>
      </x:c>
      <x:c r="L471" s="40" t="n">
        <x:v>0.25247995651583094</x:v>
      </x:c>
      <x:c r="M471" s="31" t="n">
        <x:v>72.68477245385021</x:v>
      </x:c>
      <x:c r="N471" s="31" t="n">
        <x:v>183</x:v>
      </x:c>
      <x:c r="O471" s="31" t="n">
        <x:v>5.575698485725603</x:v>
      </x:c>
      <x:c r="P471" s="31" t="n">
        <x:v>4</x:v>
      </x:c>
      <x:c r="Q471" s="40" t="n">
        <x:v>1</x:v>
      </x:c>
      <x:c r="R471" s="31" t="n">
        <x:v>0.1036868729908947</x:v>
      </x:c>
      <x:c r="S471" s="40"/>
      <x:c r="T471" s="40"/>
      <x:c r="U471" s="40" t="n">
        <x:v>1</x:v>
      </x:c>
      <x:c r="V471" s="40" t="n">
        <x:v>0.9525750781356163</x:v>
      </x:c>
      <x:c r="W471" s="31" t="n">
        <x:v>1</x:v>
      </x:c>
      <x:c r="X471" s="31" t="str"/>
      <x:c r="Y471" s="31" t="n">
        <x:v>0</x:v>
      </x:c>
      <x:c r="Z471" s="31" t="n">
        <x:v>1</x:v>
      </x:c>
      <x:c r="AA471" s="31" t="n">
        <x:v>0</x:v>
      </x:c>
      <x:c r="AB471" s="31" t="str"/>
      <x:c r="AC471" s="31" t="str"/>
    </x:row>
    <x:row r="472">
      <x:c r="A472" s="31" t="str">
        <x:v>9037c0bf8736b12e</x:v>
      </x:c>
      <x:c r="B472" s="31" t="str">
        <x:v>9037c0bf8736b12e868eaef1fa86d2440e0633c02d0aa6a6e434b3cc2cc31f9a</x:v>
      </x:c>
      <x:c r="C472" s="31" t="n">
        <x:v>6</x:v>
      </x:c>
      <x:c r="D472" s="31" t="n">
        <x:v>32848</x:v>
      </x:c>
      <x:c r="E472" s="31" t="str">
        <x:v>Bronx</x:v>
      </x:c>
      <x:c r="F472" s="31" t="str">
        <x:v>Belmont</x:v>
      </x:c>
      <x:c r="G472" s="31" t="n">
        <x:v>72489.54775050598</x:v>
      </x:c>
      <x:c r="H472" s="31" t="n">
        <x:v>13489</x:v>
      </x:c>
      <x:c r="I472" s="31" t="n">
        <x:v>5.845497473033115</x:v>
      </x:c>
      <x:c r="J472" s="40" t="n">
        <x:v>0.1276595744680851</x:v>
      </x:c>
      <x:c r="K472" s="40" t="n">
        <x:v>0.7783379049595968</x:v>
      </x:c>
      <x:c r="L472" s="40" t="n">
        <x:v>0.02668841278078434</x:v>
      </x:c>
      <x:c r="M472" s="31" t="n">
        <x:v>64.5625000373439</x:v>
      </x:c>
      <x:c r="N472" s="31" t="n">
        <x:v>104</x:v>
      </x:c>
      <x:c r="O472" s="31" t="n">
        <x:v>3.1660983925962007</x:v>
      </x:c>
      <x:c r="P472" s="31" t="n">
        <x:v>5</x:v>
      </x:c>
      <x:c r="Q472" s="40" t="n">
        <x:v>1</x:v>
      </x:c>
      <x:c r="R472" s="31" t="n">
        <x:v>0.09964205335276094</x:v>
      </x:c>
      <x:c r="S472" s="40"/>
      <x:c r="T472" s="40"/>
      <x:c r="U472" s="40" t="n">
        <x:v>1</x:v>
      </x:c>
      <x:c r="V472" s="40" t="n">
        <x:v>0.9866557936096079</x:v>
      </x:c>
      <x:c r="W472" s="31" t="n">
        <x:v>1</x:v>
      </x:c>
      <x:c r="X472" s="31" t="str"/>
      <x:c r="Y472" s="31" t="n">
        <x:v>0</x:v>
      </x:c>
      <x:c r="Z472" s="31" t="n">
        <x:v>1</x:v>
      </x:c>
      <x:c r="AA472" s="31" t="n">
        <x:v>0</x:v>
      </x:c>
      <x:c r="AB472" s="31" t="str"/>
      <x:c r="AC472" s="31" t="str"/>
    </x:row>
    <x:row r="473">
      <x:c r="A473" s="31" t="str">
        <x:v>90c69b1ccff35268</x:v>
      </x:c>
      <x:c r="B473" s="31" t="str">
        <x:v>90c69b1ccff35268ac7145087d0192017a759b01e81ff7f6a1e515936f58b623</x:v>
      </x:c>
      <x:c r="C473" s="31" t="n">
        <x:v>5</x:v>
      </x:c>
      <x:c r="D473" s="31" t="n">
        <x:v>33561</x:v>
      </x:c>
      <x:c r="E473" s="31" t="str">
        <x:v>Manhattan</x:v>
      </x:c>
      <x:c r="F473" s="31" t="str">
        <x:v>East Harlem (South)</x:v>
      </x:c>
      <x:c r="G473" s="31" t="n">
        <x:v>94990.28864149434</x:v>
      </x:c>
      <x:c r="H473" s="31" t="n">
        <x:v>16248</x:v>
      </x:c>
      <x:c r="I473" s="31" t="n">
        <x:v>13.823116691285081</x:v>
      </x:c>
      <x:c r="J473" s="40" t="n">
        <x:v>0.6307237813884786</x:v>
      </x:c>
      <x:c r="K473" s="40" t="n">
        <x:v>0.3691531265386509</x:v>
      </x:c>
      <x:c r="L473" s="40" t="n">
        <x:v>0.4435622845888725</x:v>
      </x:c>
      <x:c r="M473" s="31" t="n">
        <x:v>149.0565585581305</x:v>
      </x:c>
      <x:c r="N473" s="31" t="n">
        <x:v>256</x:v>
      </x:c>
      <x:c r="O473" s="31" t="n">
        <x:v>7.627901433211168</x:v>
      </x:c>
      <x:c r="P473" s="31" t="n">
        <x:v>3.8857090103397343</x:v>
      </x:c>
      <x:c r="Q473" s="40" t="n">
        <x:v>0.9619030034465781</x:v>
      </x:c>
      <x:c r="R473" s="31" t="n">
        <x:v>0.08844978424654726</x:v>
      </x:c>
      <x:c r="S473" s="40"/>
      <x:c r="T473" s="40"/>
      <x:c r="U473" s="40" t="n">
        <x:v>1</x:v>
      </x:c>
      <x:c r="V473" s="40" t="n">
        <x:v>0.9886139832594781</x:v>
      </x:c>
      <x:c r="W473" s="31" t="n">
        <x:v>0</x:v>
      </x:c>
      <x:c r="X473" s="31" t="str"/>
      <x:c r="Y473" s="31" t="n">
        <x:v>0</x:v>
      </x:c>
      <x:c r="Z473" s="31" t="n">
        <x:v>0</x:v>
      </x:c>
      <x:c r="AA473" s="31" t="n">
        <x:v>0</x:v>
      </x:c>
      <x:c r="AB473" s="31" t="str"/>
      <x:c r="AC473" s="31" t="str"/>
    </x:row>
    <x:row r="474">
      <x:c r="A474" s="31" t="str">
        <x:v>90d220488a6e2d0c</x:v>
      </x:c>
      <x:c r="B474" s="31" t="str">
        <x:v>90d220488a6e2d0c0f51481c9fd538385a8f3da63c1f1c4b40948464c0c965bb</x:v>
      </x:c>
      <x:c r="C474" s="31" t="n">
        <x:v>8</x:v>
      </x:c>
      <x:c r="D474" s="31" t="n">
        <x:v>32144</x:v>
      </x:c>
      <x:c r="E474" s="31" t="str">
        <x:v>Brooklyn</x:v>
      </x:c>
      <x:c r="F474" s="31" t="str">
        <x:v>East Williamsburg</x:v>
      </x:c>
      <x:c r="G474" s="31" t="n">
        <x:v>71213.27517702746</x:v>
      </x:c>
      <x:c r="H474" s="31" t="n">
        <x:v>14351</x:v>
      </x:c>
      <x:c r="I474" s="31" t="n">
        <x:v>8.484464373984888</x:v>
      </x:c>
      <x:c r="J474" s="40" t="n">
        <x:v>0.22806773047174414</x:v>
      </x:c>
      <x:c r="K474" s="40" t="n">
        <x:v>0.7486586300606229</x:v>
      </x:c>
      <x:c r="L474" s="40" t="n">
        <x:v>0.29482266044178107</x:v>
      </x:c>
      <x:c r="M474" s="31" t="n">
        <x:v>86.82489770420399</x:v>
      </x:c>
      <x:c r="N474" s="31" t="n">
        <x:v>309</x:v>
      </x:c>
      <x:c r="O474" s="31" t="n">
        <x:v>9.612991538078646</x:v>
      </x:c>
      <x:c r="P474" s="31" t="n">
        <x:v>3.9950526095742456</x:v>
      </x:c>
      <x:c r="Q474" s="40" t="n">
        <x:v>0.9950526095742457</x:v>
      </x:c>
      <x:c r="R474" s="31" t="n">
        <x:v>0.11604417259389153</x:v>
      </x:c>
      <x:c r="S474" s="40"/>
      <x:c r="T474" s="40"/>
      <x:c r="U474" s="40" t="n">
        <x:v>1</x:v>
      </x:c>
      <x:c r="V474" s="40" t="n">
        <x:v>0.9708034283325204</x:v>
      </x:c>
      <x:c r="W474" s="31" t="n">
        <x:v>0</x:v>
      </x:c>
      <x:c r="X474" s="31" t="str"/>
      <x:c r="Y474" s="31" t="n">
        <x:v>0</x:v>
      </x:c>
      <x:c r="Z474" s="31" t="n">
        <x:v>0</x:v>
      </x:c>
      <x:c r="AA474" s="31" t="n">
        <x:v>0</x:v>
      </x:c>
      <x:c r="AB474" s="31" t="str"/>
      <x:c r="AC474" s="31" t="str"/>
    </x:row>
    <x:row r="475">
      <x:c r="A475" s="31" t="str">
        <x:v>91097aa3d6eb58cf</x:v>
      </x:c>
      <x:c r="B475" s="31" t="str">
        <x:v>91097aa3d6eb58cf6133530203e589f53d96a726210d266cdbbce3bebbe7ba59</x:v>
      </x:c>
      <x:c r="C475" s="31" t="n">
        <x:v>11</x:v>
      </x:c>
      <x:c r="D475" s="31" t="n">
        <x:v>32171</x:v>
      </x:c>
      <x:c r="E475" s="31" t="str">
        <x:v>Brooklyn</x:v>
      </x:c>
      <x:c r="F475" s="31" t="str">
        <x:v>Madison</x:v>
      </x:c>
      <x:c r="G475" s="31" t="n">
        <x:v>44019.23367441723</x:v>
      </x:c>
      <x:c r="H475" s="31" t="n">
        <x:v>12438</x:v>
      </x:c>
      <x:c r="I475" s="31" t="n">
        <x:v>4.226007723871591</x:v>
      </x:c>
      <x:c r="J475" s="40" t="n">
        <x:v>0.02202926515516964</x:v>
      </x:c>
      <x:c r="K475" s="40" t="n">
        <x:v>0.5421289596398134</x:v>
      </x:c>
      <x:c r="L475" s="40" t="n">
        <x:v>0.00120598166907863</x:v>
      </x:c>
      <x:c r="M475" s="31" t="n">
        <x:v>48.500610123019726</x:v>
      </x:c>
      <x:c r="N475" s="31" t="n">
        <x:v>180</x:v>
      </x:c>
      <x:c r="O475" s="31" t="n">
        <x:v>5.595101178079637</x:v>
      </x:c>
      <x:c r="P475" s="31" t="n">
        <x:v>3.031677118507799</x:v>
      </x:c>
      <x:c r="Q475" s="40" t="n">
        <x:v>0.01583855925389934</x:v>
      </x:c>
      <x:c r="R475" s="31" t="n">
        <x:v>0.1632466616987203</x:v>
      </x:c>
      <x:c r="S475" s="40"/>
      <x:c r="T475" s="40"/>
      <x:c r="U475" s="40" t="n">
        <x:v>1</x:v>
      </x:c>
      <x:c r="V475" s="40" t="n">
        <x:v>0.9904325454253096</x:v>
      </x:c>
      <x:c r="W475" s="31" t="n">
        <x:v>0</x:v>
      </x:c>
      <x:c r="X475" s="31" t="str"/>
      <x:c r="Y475" s="31" t="n">
        <x:v>0</x:v>
      </x:c>
      <x:c r="Z475" s="31" t="n">
        <x:v>0</x:v>
      </x:c>
      <x:c r="AA475" s="31" t="n">
        <x:v>0</x:v>
      </x:c>
      <x:c r="AB475" s="31" t="str"/>
      <x:c r="AC475" s="31" t="str"/>
    </x:row>
    <x:row r="476">
      <x:c r="A476" s="31" t="str">
        <x:v>91741ccd9226624e</x:v>
      </x:c>
      <x:c r="B476" s="31" t="str">
        <x:v>91741ccd9226624e6773ef6b15ea16666e0f4172583bfb5522eb96f1d9a42e52</x:v>
      </x:c>
      <x:c r="C476" s="31" t="n">
        <x:v>8</x:v>
      </x:c>
      <x:c r="D476" s="31" t="n">
        <x:v>32376</x:v>
      </x:c>
      <x:c r="E476" s="31" t="str">
        <x:v>Brooklyn</x:v>
      </x:c>
      <x:c r="F476" s="31" t="str">
        <x:v>Gravesend (West)</x:v>
      </x:c>
      <x:c r="G476" s="31" t="n">
        <x:v>56122.64962674761</x:v>
      </x:c>
      <x:c r="H476" s="31" t="n">
        <x:v>11015</x:v>
      </x:c>
      <x:c r="I476" s="31" t="n">
        <x:v>3.0653230937017177</x:v>
      </x:c>
      <x:c r="J476" s="40" t="n">
        <x:v>0</x:v>
      </x:c>
      <x:c r="K476" s="40" t="n">
        <x:v>0.42587380844303224</x:v>
      </x:c>
      <x:c r="L476" s="40" t="n">
        <x:v>0.011257376305038584</x:v>
      </x:c>
      <x:c r="M476" s="31" t="n">
        <x:v>37.00746282060268</x:v>
      </x:c>
      <x:c r="N476" s="31" t="n">
        <x:v>58</x:v>
      </x:c>
      <x:c r="O476" s="31" t="n">
        <x:v>1.7914504571287375</x:v>
      </x:c>
      <x:c r="P476" s="31" t="n">
        <x:v>4</x:v>
      </x:c>
      <x:c r="Q476" s="40" t="n">
        <x:v>1</x:v>
      </x:c>
      <x:c r="R476" s="31" t="n">
        <x:v>0.1687543944514157</x:v>
      </x:c>
      <x:c r="S476" s="40"/>
      <x:c r="T476" s="40"/>
      <x:c r="U476" s="40" t="n">
        <x:v>1</x:v>
      </x:c>
      <x:c r="V476" s="40" t="n">
        <x:v>0.9941897412619156</x:v>
      </x:c>
      <x:c r="W476" s="31" t="n">
        <x:v>0</x:v>
      </x:c>
      <x:c r="X476" s="31" t="str"/>
      <x:c r="Y476" s="31" t="n">
        <x:v>0</x:v>
      </x:c>
      <x:c r="Z476" s="31" t="n">
        <x:v>0</x:v>
      </x:c>
      <x:c r="AA476" s="31" t="n">
        <x:v>0</x:v>
      </x:c>
      <x:c r="AB476" s="31" t="str"/>
      <x:c r="AC476" s="31" t="str"/>
    </x:row>
    <x:row r="477">
      <x:c r="A477" s="31" t="str">
        <x:v>9215855485cea5cc</x:v>
      </x:c>
      <x:c r="B477" s="31" t="str">
        <x:v>9215855485cea5ccdcdf64539b25ed0d4f8e7a51a471aaa7ed84de2dc98e0e33</x:v>
      </x:c>
      <x:c r="C477" s="31" t="n">
        <x:v>6</x:v>
      </x:c>
      <x:c r="D477" s="31" t="n">
        <x:v>32485</x:v>
      </x:c>
      <x:c r="E477" s="31" t="str">
        <x:v>Bronx</x:v>
      </x:c>
      <x:c r="F477" s="31" t="str">
        <x:v>Highbridge</x:v>
      </x:c>
      <x:c r="G477" s="31" t="n">
        <x:v>73812.6751256707</x:v>
      </x:c>
      <x:c r="H477" s="31" t="n">
        <x:v>13740</x:v>
      </x:c>
      <x:c r="I477" s="31" t="n">
        <x:v>7.865388947289383</x:v>
      </x:c>
      <x:c r="J477" s="40" t="n">
        <x:v>0.21477438136826782</x:v>
      </x:c>
      <x:c r="K477" s="40" t="n">
        <x:v>0.733042212518195</x:v>
      </x:c>
      <x:c r="L477" s="40" t="n">
        <x:v>0.09832605531295488</x:v>
      </x:c>
      <x:c r="M477" s="31" t="n">
        <x:v>79.68578935520522</x:v>
      </x:c>
      <x:c r="N477" s="31" t="n">
        <x:v>205</x:v>
      </x:c>
      <x:c r="O477" s="31" t="n">
        <x:v>6.310604894566723</x:v>
      </x:c>
      <x:c r="P477" s="31" t="n">
        <x:v>5</x:v>
      </x:c>
      <x:c r="Q477" s="40" t="n">
        <x:v>1</x:v>
      </x:c>
      <x:c r="R477" s="31" t="n">
        <x:v>0.09848686283313668</x:v>
      </x:c>
      <x:c r="S477" s="40"/>
      <x:c r="T477" s="40"/>
      <x:c r="U477" s="40" t="n">
        <x:v>1</x:v>
      </x:c>
      <x:c r="V477" s="40" t="n">
        <x:v>0.966448326055313</x:v>
      </x:c>
      <x:c r="W477" s="31" t="n">
        <x:v>1</x:v>
      </x:c>
      <x:c r="X477" s="31" t="str"/>
      <x:c r="Y477" s="31" t="n">
        <x:v>0</x:v>
      </x:c>
      <x:c r="Z477" s="31" t="n">
        <x:v>1</x:v>
      </x:c>
      <x:c r="AA477" s="31" t="n">
        <x:v>0</x:v>
      </x:c>
      <x:c r="AB477" s="31" t="str"/>
      <x:c r="AC477" s="31" t="str"/>
    </x:row>
    <x:row r="478">
      <x:c r="A478" s="31" t="str">
        <x:v>92c48607d6b4b6f0</x:v>
      </x:c>
      <x:c r="B478" s="31" t="str">
        <x:v>92c48607d6b4b6f037550d5db19639855baf4881db43eef3dc94f6042cb3de02</x:v>
      </x:c>
      <x:c r="C478" s="31" t="n">
        <x:v>11</x:v>
      </x:c>
      <x:c r="D478" s="31" t="n">
        <x:v>32770</x:v>
      </x:c>
      <x:c r="E478" s="31" t="str">
        <x:v>Bronx</x:v>
      </x:c>
      <x:c r="F478" s="31" t="str">
        <x:v>Throgs Neck-Schuylerville</x:v>
      </x:c>
      <x:c r="G478" s="31" t="n">
        <x:v>19768.013584895667</x:v>
      </x:c>
      <x:c r="H478" s="31" t="n">
        <x:v>11725</x:v>
      </x:c>
      <x:c r="I478" s="31" t="n">
        <x:v>2.780345154888256</x:v>
      </x:c>
      <x:c r="J478" s="40" t="n">
        <x:v>0</x:v>
      </x:c>
      <x:c r="K478" s="40" t="n">
        <x:v>0.3629850746268657</x:v>
      </x:c>
      <x:c r="L478" s="40" t="n">
        <x:v>0.23292110874200425</x:v>
      </x:c>
      <x:c r="M478" s="31" t="n">
        <x:v>41.266923682632665</x:v>
      </x:c>
      <x:c r="N478" s="31" t="n">
        <x:v>53</x:v>
      </x:c>
      <x:c r="O478" s="31" t="n">
        <x:v>1.6173329264571255</x:v>
      </x:c>
      <x:c r="P478" s="31" t="n">
        <x:v>1.1417484008528784</x:v>
      </x:c>
      <x:c r="Q478" s="40" t="n">
        <x:v>0.04724946695095949</x:v>
      </x:c>
      <x:c r="R478" s="31" t="n">
        <x:v>0.29000598933936234</x:v>
      </x:c>
      <x:c r="S478" s="40"/>
      <x:c r="T478" s="40"/>
      <x:c r="U478" s="40" t="n">
        <x:v>1</x:v>
      </x:c>
      <x:c r="V478" s="40" t="n">
        <x:v>0.9981236673773988</x:v>
      </x:c>
      <x:c r="W478" s="31" t="n">
        <x:v>0</x:v>
      </x:c>
      <x:c r="X478" s="31" t="str"/>
      <x:c r="Y478" s="31" t="n">
        <x:v>0</x:v>
      </x:c>
      <x:c r="Z478" s="31" t="n">
        <x:v>0</x:v>
      </x:c>
      <x:c r="AA478" s="31" t="n">
        <x:v>0</x:v>
      </x:c>
      <x:c r="AB478" s="31" t="str"/>
      <x:c r="AC478" s="31" t="str"/>
    </x:row>
    <x:row r="479">
      <x:c r="A479" s="31" t="str">
        <x:v>9351f2f61f69202d</x:v>
      </x:c>
      <x:c r="B479" s="31" t="str">
        <x:v>9351f2f61f69202dc8451982764d4add58fac5c712111ddc77786a38849bc6d5</x:v>
      </x:c>
      <x:c r="C479" s="31" t="n">
        <x:v>8</x:v>
      </x:c>
      <x:c r="D479" s="31" t="n">
        <x:v>37311</x:v>
      </x:c>
      <x:c r="E479" s="31" t="str">
        <x:v>Brooklyn</x:v>
      </x:c>
      <x:c r="F479" s="31" t="str">
        <x:v>Bedford-Stuyvesant (West)</x:v>
      </x:c>
      <x:c r="G479" s="31" t="n">
        <x:v>81979.1378552678</x:v>
      </x:c>
      <x:c r="H479" s="31" t="n">
        <x:v>10254</x:v>
      </x:c>
      <x:c r="I479" s="31" t="n">
        <x:v>6.853138139677982</x:v>
      </x:c>
      <x:c r="J479" s="40" t="n">
        <x:v>0.19094987322020676</x:v>
      </x:c>
      <x:c r="K479" s="40" t="n">
        <x:v>0.7171835381314609</x:v>
      </x:c>
      <x:c r="L479" s="40" t="n">
        <x:v>0.2816461868539107</x:v>
      </x:c>
      <x:c r="M479" s="31" t="n">
        <x:v>76.15323058485272</x:v>
      </x:c>
      <x:c r="N479" s="31" t="n">
        <x:v>507</x:v>
      </x:c>
      <x:c r="O479" s="31" t="n">
        <x:v>13.588485969285198</x:v>
      </x:c>
      <x:c r="P479" s="31" t="n">
        <x:v>4</x:v>
      </x:c>
      <x:c r="Q479" s="40" t="n">
        <x:v>1</x:v>
      </x:c>
      <x:c r="R479" s="31" t="n">
        <x:v>0.11115732200678767</x:v>
      </x:c>
      <x:c r="S479" s="40"/>
      <x:c r="T479" s="40"/>
      <x:c r="U479" s="40" t="n">
        <x:v>1</x:v>
      </x:c>
      <x:c r="V479" s="40" t="n">
        <x:v>0.9469475326701775</x:v>
      </x:c>
      <x:c r="W479" s="31" t="n">
        <x:v>1</x:v>
      </x:c>
      <x:c r="X479" s="31" t="str"/>
      <x:c r="Y479" s="31" t="n">
        <x:v>0</x:v>
      </x:c>
      <x:c r="Z479" s="31" t="n">
        <x:v>1</x:v>
      </x:c>
      <x:c r="AA479" s="31" t="n">
        <x:v>0</x:v>
      </x:c>
      <x:c r="AB479" s="31" t="str"/>
      <x:c r="AC479" s="31" t="str"/>
    </x:row>
    <x:row r="480">
      <x:c r="A480" s="31" t="str">
        <x:v>93816c25df4723d6</x:v>
      </x:c>
      <x:c r="B480" s="31" t="str">
        <x:v>93816c25df4723d60914abbf6aeca6a447b40b2496b74b4fcc5fc1414e946695</x:v>
      </x:c>
      <x:c r="C480" s="31" t="n">
        <x:v>11</x:v>
      </x:c>
      <x:c r="D480" s="31" t="n">
        <x:v>32660</x:v>
      </x:c>
      <x:c r="E480" s="31" t="str">
        <x:v>Brooklyn</x:v>
      </x:c>
      <x:c r="F480" s="31" t="str">
        <x:v>Carroll Gardens-Cobble Hill-Gowanus-Red Hook</x:v>
      </x:c>
      <x:c r="G480" s="31" t="n">
        <x:v>51434.396720499935</x:v>
      </x:c>
      <x:c r="H480" s="31" t="n">
        <x:v>18016</x:v>
      </x:c>
      <x:c r="I480" s="31" t="n">
        <x:v>10.320021881838075</x:v>
      </x:c>
      <x:c r="J480" s="40" t="n">
        <x:v>0.3127220248667851</x:v>
      </x:c>
      <x:c r="K480" s="40" t="n">
        <x:v>0.6599689165186501</x:v>
      </x:c>
      <x:c r="L480" s="40" t="n">
        <x:v>0.04706927175843695</x:v>
      </x:c>
      <x:c r="M480" s="31" t="n">
        <x:v>115.23964090070919</x:v>
      </x:c>
      <x:c r="N480" s="31" t="n">
        <x:v>338</x:v>
      </x:c>
      <x:c r="O480" s="31" t="n">
        <x:v>10.349050826699326</x:v>
      </x:c>
      <x:c r="P480" s="31" t="n">
        <x:v>2</x:v>
      </x:c>
      <x:c r="Q480" s="40" t="n">
        <x:v>0</x:v>
      </x:c>
      <x:c r="R480" s="31" t="n">
        <x:v>0.13298399780193917</x:v>
      </x:c>
      <x:c r="S480" s="40"/>
      <x:c r="T480" s="40"/>
      <x:c r="U480" s="40" t="n">
        <x:v>1</x:v>
      </x:c>
      <x:c r="V480" s="40" t="n">
        <x:v>0.9673623445825933</x:v>
      </x:c>
      <x:c r="W480" s="31" t="n">
        <x:v>0</x:v>
      </x:c>
      <x:c r="X480" s="31" t="str"/>
      <x:c r="Y480" s="31" t="n">
        <x:v>0</x:v>
      </x:c>
      <x:c r="Z480" s="31" t="n">
        <x:v>0</x:v>
      </x:c>
      <x:c r="AA480" s="31" t="n">
        <x:v>0</x:v>
      </x:c>
      <x:c r="AB480" s="31" t="str"/>
      <x:c r="AC480" s="31" t="str"/>
    </x:row>
    <x:row r="481">
      <x:c r="A481" s="31" t="str">
        <x:v>949f0468f19df874</x:v>
      </x:c>
      <x:c r="B481" s="31" t="str">
        <x:v>949f0468f19df87477231b452a09bdfe279d0929eeaadced1efd2bbab8644775</x:v>
      </x:c>
      <x:c r="C481" s="31" t="n">
        <x:v>11</x:v>
      </x:c>
      <x:c r="D481" s="31" t="n">
        <x:v>33822</x:v>
      </x:c>
      <x:c r="E481" s="31" t="str">
        <x:v>Staten Island</x:v>
      </x:c>
      <x:c r="F481" s="31" t="str">
        <x:v>West New Brighton-Silver Lake-Grymes Hill</x:v>
      </x:c>
      <x:c r="G481" s="31" t="n">
        <x:v>11138.011653370986</x:v>
      </x:c>
      <x:c r="H481" s="31" t="n">
        <x:v>12108</x:v>
      </x:c>
      <x:c r="I481" s="31" t="n">
        <x:v>2.8465294652450615</x:v>
      </x:c>
      <x:c r="J481" s="40" t="n">
        <x:v>0.027254707631318136</x:v>
      </x:c>
      <x:c r="K481" s="40" t="n">
        <x:v>0.163197885695408</x:v>
      </x:c>
      <x:c r="L481" s="40" t="n">
        <x:v>0.10901883052527254</x:v>
      </x:c>
      <x:c r="M481" s="31" t="n">
        <x:v>35.16138416650324</x:v>
      </x:c>
      <x:c r="N481" s="31" t="n">
        <x:v>37</x:v>
      </x:c>
      <x:c r="O481" s="31" t="n">
        <x:v>1.0939625096091303</x:v>
      </x:c>
      <x:c r="P481" s="31" t="n">
        <x:v>2.631896266930955</x:v>
      </x:c>
      <x:c r="Q481" s="40" t="n">
        <x:v>0.009084902543772711</x:v>
      </x:c>
      <x:c r="R481" s="31" t="n">
        <x:v>0.23759239613402877</x:v>
      </x:c>
      <x:c r="S481" s="40"/>
      <x:c r="T481" s="40"/>
      <x:c r="U481" s="40" t="n">
        <x:v>1</x:v>
      </x:c>
      <x:c r="V481" s="40" t="n">
        <x:v>0.9938883382887347</x:v>
      </x:c>
      <x:c r="W481" s="31" t="n">
        <x:v>0</x:v>
      </x:c>
      <x:c r="X481" s="31" t="str"/>
      <x:c r="Y481" s="31" t="n">
        <x:v>0</x:v>
      </x:c>
      <x:c r="Z481" s="31" t="n">
        <x:v>0</x:v>
      </x:c>
      <x:c r="AA481" s="31" t="n">
        <x:v>0</x:v>
      </x:c>
      <x:c r="AB481" s="31" t="str"/>
      <x:c r="AC481" s="31" t="str"/>
    </x:row>
    <x:row r="482">
      <x:c r="A482" s="31" t="str">
        <x:v>94e8513f80e749c2</x:v>
      </x:c>
      <x:c r="B482" s="31" t="str">
        <x:v>94e8513f80e749c29ed1e9cab7d5996cd5ceb85e74f3d6c8479b066069273652</x:v>
      </x:c>
      <x:c r="C482" s="31" t="n">
        <x:v>8</x:v>
      </x:c>
      <x:c r="D482" s="31" t="n">
        <x:v>32975</x:v>
      </x:c>
      <x:c r="E482" s="31" t="str">
        <x:v>Manhattan</x:v>
      </x:c>
      <x:c r="F482" s="31" t="str">
        <x:v>Lower East Side</x:v>
      </x:c>
      <x:c r="G482" s="31" t="n">
        <x:v>87782.78547999442</x:v>
      </x:c>
      <x:c r="H482" s="31" t="n">
        <x:v>17034</x:v>
      </x:c>
      <x:c r="I482" s="31" t="n">
        <x:v>13.248854692822741</x:v>
      </x:c>
      <x:c r="J482" s="40" t="n">
        <x:v>0.6609721733004579</x:v>
      </x:c>
      <x:c r="K482" s="40" t="n">
        <x:v>0.33761887988728423</x:v>
      </x:c>
      <x:c r="L482" s="40" t="n">
        <x:v>0.410766701890337</x:v>
      </x:c>
      <x:c r="M482" s="31" t="n">
        <x:v>145.58714659122322</x:v>
      </x:c>
      <x:c r="N482" s="31" t="n">
        <x:v>297</x:v>
      </x:c>
      <x:c r="O482" s="31" t="n">
        <x:v>9.006823351023503</x:v>
      </x:c>
      <x:c r="P482" s="31" t="n">
        <x:v>2.689796876834566</x:v>
      </x:c>
      <x:c r="Q482" s="40" t="n">
        <x:v>0</x:v>
      </x:c>
      <x:c r="R482" s="31" t="n">
        <x:v>0.07823617182593189</x:v>
      </x:c>
      <x:c r="S482" s="40"/>
      <x:c r="T482" s="40"/>
      <x:c r="U482" s="40" t="n">
        <x:v>1</x:v>
      </x:c>
      <x:c r="V482" s="40" t="n">
        <x:v>0.9891393683221792</x:v>
      </x:c>
      <x:c r="W482" s="31" t="n">
        <x:v>1</x:v>
      </x:c>
      <x:c r="X482" s="31" t="str"/>
      <x:c r="Y482" s="31" t="n">
        <x:v>1</x:v>
      </x:c>
      <x:c r="Z482" s="31" t="n">
        <x:v>0</x:v>
      </x:c>
      <x:c r="AA482" s="31" t="n">
        <x:v>0</x:v>
      </x:c>
      <x:c r="AB482" s="31" t="str"/>
      <x:c r="AC482" s="31" t="str"/>
    </x:row>
    <x:row r="483">
      <x:c r="A483" s="31" t="str">
        <x:v>95a415c1c999bd7c</x:v>
      </x:c>
      <x:c r="B483" s="31" t="str">
        <x:v>95a415c1c999bd7c015c4d1782dafbfe78c31d228e222d0cb918ec7f57744d8a</x:v>
      </x:c>
      <x:c r="C483" s="31" t="n">
        <x:v>8</x:v>
      </x:c>
      <x:c r="D483" s="31" t="n">
        <x:v>34320</x:v>
      </x:c>
      <x:c r="E483" s="31" t="str">
        <x:v>Queens</x:v>
      </x:c>
      <x:c r="F483" s="31" t="str">
        <x:v>Flushing-Willets Point</x:v>
      </x:c>
      <x:c r="G483" s="31" t="n">
        <x:v>69601.98471303588</x:v>
      </x:c>
      <x:c r="H483" s="31" t="n">
        <x:v>12715</x:v>
      </x:c>
      <x:c r="I483" s="31" t="n">
        <x:v>8.177532642241038</x:v>
      </x:c>
      <x:c r="J483" s="40" t="n">
        <x:v>0.2766810853322847</x:v>
      </x:c>
      <x:c r="K483" s="40" t="n">
        <x:v>0.5285882815572159</x:v>
      </x:c>
      <x:c r="L483" s="40" t="n">
        <x:v>0.08580416830515139</x:v>
      </x:c>
      <x:c r="M483" s="31" t="n">
        <x:v>80.33145107915549</x:v>
      </x:c>
      <x:c r="N483" s="31" t="n">
        <x:v>206</x:v>
      </x:c>
      <x:c r="O483" s="31" t="n">
        <x:v>6.002331002331002</x:v>
      </x:c>
      <x:c r="P483" s="31" t="n">
        <x:v>3.9999213527329927</x:v>
      </x:c>
      <x:c r="Q483" s="40" t="n">
        <x:v>0.9999213527329925</x:v>
      </x:c>
      <x:c r="R483" s="31" t="n">
        <x:v>0.19908055141330794</x:v>
      </x:c>
      <x:c r="S483" s="40"/>
      <x:c r="T483" s="40"/>
      <x:c r="U483" s="40" t="n">
        <x:v>1</x:v>
      </x:c>
      <x:c r="V483" s="40" t="n">
        <x:v>0.9787652379079826</x:v>
      </x:c>
      <x:c r="W483" s="31" t="n">
        <x:v>0</x:v>
      </x:c>
      <x:c r="X483" s="31" t="str"/>
      <x:c r="Y483" s="31" t="n">
        <x:v>0</x:v>
      </x:c>
      <x:c r="Z483" s="31" t="n">
        <x:v>0</x:v>
      </x:c>
      <x:c r="AA483" s="31" t="n">
        <x:v>0</x:v>
      </x:c>
      <x:c r="AB483" s="31" t="str"/>
      <x:c r="AC483" s="31" t="str"/>
    </x:row>
    <x:row r="484">
      <x:c r="A484" s="31" t="str">
        <x:v>95edfdda8a4d59fe</x:v>
      </x:c>
      <x:c r="B484" s="31" t="str">
        <x:v>95edfdda8a4d59fe3232c4cfa648f9db26d260f446655c438ad99773546c3b58</x:v>
      </x:c>
      <x:c r="C484" s="31" t="n">
        <x:v>8</x:v>
      </x:c>
      <x:c r="D484" s="31" t="n">
        <x:v>34973</x:v>
      </x:c>
      <x:c r="E484" s="31" t="str">
        <x:v>Brooklyn</x:v>
      </x:c>
      <x:c r="F484" s="31" t="str">
        <x:v>Bushwick (West)</x:v>
      </x:c>
      <x:c r="G484" s="31" t="n">
        <x:v>70011.1681372941</x:v>
      </x:c>
      <x:c r="H484" s="31" t="n">
        <x:v>14234</x:v>
      </x:c>
      <x:c r="I484" s="31" t="n">
        <x:v>4.109956951305575</x:v>
      </x:c>
      <x:c r="J484" s="40" t="n">
        <x:v>0.05880286637628214</x:v>
      </x:c>
      <x:c r="K484" s="40" t="n">
        <x:v>0.8200084305184769</x:v>
      </x:c>
      <x:c r="L484" s="40" t="n">
        <x:v>0.07320500210762962</x:v>
      </x:c>
      <x:c r="M484" s="31" t="n">
        <x:v>46.53147663394005</x:v>
      </x:c>
      <x:c r="N484" s="31" t="n">
        <x:v>97</x:v>
      </x:c>
      <x:c r="O484" s="31" t="n">
        <x:v>2.77356818116833</x:v>
      </x:c>
      <x:c r="P484" s="31" t="n">
        <x:v>4</x:v>
      </x:c>
      <x:c r="Q484" s="40" t="n">
        <x:v>1</x:v>
      </x:c>
      <x:c r="R484" s="31" t="n">
        <x:v>0.13877828726228283</x:v>
      </x:c>
      <x:c r="S484" s="40"/>
      <x:c r="T484" s="40"/>
      <x:c r="U484" s="40" t="n">
        <x:v>1</x:v>
      </x:c>
      <x:c r="V484" s="40" t="n">
        <x:v>0.965715891527329</x:v>
      </x:c>
      <x:c r="W484" s="31" t="n">
        <x:v>1</x:v>
      </x:c>
      <x:c r="X484" s="31" t="str"/>
      <x:c r="Y484" s="31" t="n">
        <x:v>0</x:v>
      </x:c>
      <x:c r="Z484" s="31" t="n">
        <x:v>1</x:v>
      </x:c>
      <x:c r="AA484" s="31" t="n">
        <x:v>0</x:v>
      </x:c>
      <x:c r="AB484" s="31" t="str"/>
      <x:c r="AC484" s="31" t="str"/>
    </x:row>
    <x:row r="485">
      <x:c r="A485" s="31" t="str">
        <x:v>9653e43cc764147b</x:v>
      </x:c>
      <x:c r="B485" s="31" t="str">
        <x:v>9653e43cc764147b56b733b660d4dac60eddf18004e8769b545cfc678ede1fa0</x:v>
      </x:c>
      <x:c r="C485" s="31" t="n">
        <x:v>14</x:v>
      </x:c>
      <x:c r="D485" s="31" t="n">
        <x:v>33143</x:v>
      </x:c>
      <x:c r="E485" s="31" t="str">
        <x:v>Brooklyn</x:v>
      </x:c>
      <x:c r="F485" s="31" t="str">
        <x:v>Canarsie</x:v>
      </x:c>
      <x:c r="G485" s="31" t="n">
        <x:v>34336.35301331375</x:v>
      </x:c>
      <x:c r="H485" s="31" t="n">
        <x:v>10332</x:v>
      </x:c>
      <x:c r="I485" s="31" t="n">
        <x:v>2.5193978119856713</x:v>
      </x:c>
      <x:c r="J485" s="40" t="n">
        <x:v>0</x:v>
      </x:c>
      <x:c r="K485" s="40" t="n">
        <x:v>0.30913666279519936</x:v>
      </x:c>
      <x:c r="L485" s="40" t="n">
        <x:v>0.19696089818041038</x:v>
      </x:c>
      <x:c r="M485" s="31" t="n">
        <x:v>32.771752883692784</x:v>
      </x:c>
      <x:c r="N485" s="31" t="n">
        <x:v>31</x:v>
      </x:c>
      <x:c r="O485" s="31" t="n">
        <x:v>0.9353407959448451</x:v>
      </x:c>
      <x:c r="P485" s="31" t="n">
        <x:v>5</x:v>
      </x:c>
      <x:c r="Q485" s="40" t="n">
        <x:v>1</x:v>
      </x:c>
      <x:c r="R485" s="31" t="n">
        <x:v>0.1722327436478739</x:v>
      </x:c>
      <x:c r="S485" s="40"/>
      <x:c r="T485" s="40"/>
      <x:c r="U485" s="40" t="n">
        <x:v>1</x:v>
      </x:c>
      <x:c r="V485" s="40" t="n">
        <x:v>0.9980642663569493</x:v>
      </x:c>
      <x:c r="W485" s="31" t="n">
        <x:v>0</x:v>
      </x:c>
      <x:c r="X485" s="31" t="str"/>
      <x:c r="Y485" s="31" t="n">
        <x:v>0</x:v>
      </x:c>
      <x:c r="Z485" s="31" t="n">
        <x:v>0</x:v>
      </x:c>
      <x:c r="AA485" s="31" t="n">
        <x:v>0</x:v>
      </x:c>
      <x:c r="AB485" s="31" t="str"/>
      <x:c r="AC485" s="31" t="str"/>
    </x:row>
    <x:row r="486">
      <x:c r="A486" s="31" t="str">
        <x:v>9681c7b4c21d81f9</x:v>
      </x:c>
      <x:c r="B486" s="31" t="str">
        <x:v>9681c7b4c21d81f9cbf67607620043c91229589540ddd97eca17d447ce415f1e</x:v>
      </x:c>
      <x:c r="C486" s="31" t="n">
        <x:v>12</x:v>
      </x:c>
      <x:c r="D486" s="31" t="n">
        <x:v>33144</x:v>
      </x:c>
      <x:c r="E486" s="31" t="str">
        <x:v>Queens</x:v>
      </x:c>
      <x:c r="F486" s="31" t="str">
        <x:v>East Flushing</x:v>
      </x:c>
      <x:c r="G486" s="31" t="n">
        <x:v>26497.28900377439</x:v>
      </x:c>
      <x:c r="H486" s="31" t="n">
        <x:v>10712</x:v>
      </x:c>
      <x:c r="I486" s="31" t="n">
        <x:v>2.754635470285447</x:v>
      </x:c>
      <x:c r="J486" s="40" t="n">
        <x:v>0</x:v>
      </x:c>
      <x:c r="K486" s="40" t="n">
        <x:v>0.34204630321135177</x:v>
      </x:c>
      <x:c r="L486" s="40" t="n">
        <x:v>0.025298730395817773</x:v>
      </x:c>
      <x:c r="M486" s="31" t="n">
        <x:v>33.354266742301604</x:v>
      </x:c>
      <x:c r="N486" s="31" t="n">
        <x:v>42</x:v>
      </x:c>
      <x:c r="O486" s="31" t="n">
        <x:v>1.2671976828385227</x:v>
      </x:c>
      <x:c r="P486" s="31" t="n">
        <x:v>3.2367438386855865</x:v>
      </x:c>
      <x:c r="Q486" s="40" t="n">
        <x:v>0.26549663928304706</x:v>
      </x:c>
      <x:c r="R486" s="31" t="n">
        <x:v>0.2938819249727696</x:v>
      </x:c>
      <x:c r="S486" s="40"/>
      <x:c r="T486" s="40"/>
      <x:c r="U486" s="40" t="n">
        <x:v>1</x:v>
      </x:c>
      <x:c r="V486" s="40" t="n">
        <x:v>0.9904779686333084</x:v>
      </x:c>
      <x:c r="W486" s="31" t="n">
        <x:v>0</x:v>
      </x:c>
      <x:c r="X486" s="31" t="str"/>
      <x:c r="Y486" s="31" t="n">
        <x:v>0</x:v>
      </x:c>
      <x:c r="Z486" s="31" t="n">
        <x:v>0</x:v>
      </x:c>
      <x:c r="AA486" s="31" t="n">
        <x:v>0</x:v>
      </x:c>
      <x:c r="AB486" s="31" t="str"/>
      <x:c r="AC486" s="31" t="str"/>
    </x:row>
    <x:row r="487">
      <x:c r="A487" s="31" t="str">
        <x:v>968bbc421d26c138</x:v>
      </x:c>
      <x:c r="B487" s="31" t="str">
        <x:v>968bbc421d26c1388af101030a3923606bba3e9b8e9718f36067dbcd8ecd4757</x:v>
      </x:c>
      <x:c r="C487" s="31" t="n">
        <x:v>7</x:v>
      </x:c>
      <x:c r="D487" s="31" t="n">
        <x:v>32825</x:v>
      </x:c>
      <x:c r="E487" s="31" t="str">
        <x:v>Bronx</x:v>
      </x:c>
      <x:c r="F487" s="31" t="str">
        <x:v>Mount Eden-Claremont (West)</x:v>
      </x:c>
      <x:c r="G487" s="31" t="n">
        <x:v>132751.50474756173</x:v>
      </x:c>
      <x:c r="H487" s="31" t="n">
        <x:v>11480</x:v>
      </x:c>
      <x:c r="I487" s="31" t="n">
        <x:v>5.4939677700348435</x:v>
      </x:c>
      <x:c r="J487" s="40" t="n">
        <x:v>0.05513937282229965</x:v>
      </x:c>
      <x:c r="K487" s="40" t="n">
        <x:v>0.8857142857142857</x:v>
      </x:c>
      <x:c r="L487" s="40" t="n">
        <x:v>0.025871080139372823</x:v>
      </x:c>
      <x:c r="M487" s="31" t="n">
        <x:v>64.4309817268183</x:v>
      </x:c>
      <x:c r="N487" s="31" t="n">
        <x:v>119</x:v>
      </x:c>
      <x:c r="O487" s="31" t="n">
        <x:v>3.6252856054836253</x:v>
      </x:c>
      <x:c r="P487" s="31" t="n">
        <x:v>5</x:v>
      </x:c>
      <x:c r="Q487" s="40" t="n">
        <x:v>1</x:v>
      </x:c>
      <x:c r="R487" s="31" t="n">
        <x:v>0.1371891738853917</x:v>
      </x:c>
      <x:c r="S487" s="40"/>
      <x:c r="T487" s="40"/>
      <x:c r="U487" s="40" t="n">
        <x:v>1</x:v>
      </x:c>
      <x:c r="V487" s="40" t="n">
        <x:v>0.9976480836236934</x:v>
      </x:c>
      <x:c r="W487" s="31" t="n">
        <x:v>1</x:v>
      </x:c>
      <x:c r="X487" s="31" t="str"/>
      <x:c r="Y487" s="31" t="n">
        <x:v>0</x:v>
      </x:c>
      <x:c r="Z487" s="31" t="n">
        <x:v>1</x:v>
      </x:c>
      <x:c r="AA487" s="31" t="n">
        <x:v>0</x:v>
      </x:c>
      <x:c r="AB487" s="31" t="str"/>
      <x:c r="AC487" s="31" t="str"/>
    </x:row>
    <x:row r="488">
      <x:c r="A488" s="31" t="str">
        <x:v>96a39c8117bfa885</x:v>
      </x:c>
      <x:c r="B488" s="31" t="str">
        <x:v>96a39c8117bfa885b6532ecbe343ff9116224eed2c82c104ac007345a86b225b</x:v>
      </x:c>
      <x:c r="C488" s="31" t="n">
        <x:v>9</x:v>
      </x:c>
      <x:c r="D488" s="31" t="n">
        <x:v>34247</x:v>
      </x:c>
      <x:c r="E488" s="31" t="str">
        <x:v>Queens</x:v>
      </x:c>
      <x:c r="F488" s="31" t="str">
        <x:v>Ridgewood</x:v>
      </x:c>
      <x:c r="G488" s="31" t="n">
        <x:v>60660.55194538733</x:v>
      </x:c>
      <x:c r="H488" s="31" t="n">
        <x:v>13185</x:v>
      </x:c>
      <x:c r="I488" s="31" t="n">
        <x:v>2.8747605547467625</x:v>
      </x:c>
      <x:c r="J488" s="40" t="n">
        <x:v>0.005005688282138794</x:v>
      </x:c>
      <x:c r="K488" s="40" t="n">
        <x:v>0.5997724687144482</x:v>
      </x:c>
      <x:c r="L488" s="40" t="n">
        <x:v>0.009480470231323474</x:v>
      </x:c>
      <x:c r="M488" s="31" t="n">
        <x:v>34.9339979123937</x:v>
      </x:c>
      <x:c r="N488" s="31" t="n">
        <x:v>16</x:v>
      </x:c>
      <x:c r="O488" s="31" t="n">
        <x:v>0.46719420679183576</x:v>
      </x:c>
      <x:c r="P488" s="31" t="n">
        <x:v>1</x:v>
      </x:c>
      <x:c r="Q488" s="40" t="n">
        <x:v>0</x:v>
      </x:c>
      <x:c r="R488" s="31" t="n">
        <x:v>0.13747002051807775</x:v>
      </x:c>
      <x:c r="S488" s="40"/>
      <x:c r="T488" s="40"/>
      <x:c r="U488" s="40" t="n">
        <x:v>1</x:v>
      </x:c>
      <x:c r="V488" s="40" t="n">
        <x:v>0.9917330299582859</x:v>
      </x:c>
      <x:c r="W488" s="31" t="n">
        <x:v>0</x:v>
      </x:c>
      <x:c r="X488" s="31" t="str"/>
      <x:c r="Y488" s="31" t="n">
        <x:v>0</x:v>
      </x:c>
      <x:c r="Z488" s="31" t="n">
        <x:v>0</x:v>
      </x:c>
      <x:c r="AA488" s="31" t="n">
        <x:v>0</x:v>
      </x:c>
      <x:c r="AB488" s="31" t="str"/>
      <x:c r="AC488" s="31" t="str"/>
    </x:row>
    <x:row r="489">
      <x:c r="A489" s="31" t="str">
        <x:v>96c18b11e20f8d7a</x:v>
      </x:c>
      <x:c r="B489" s="31" t="str">
        <x:v>96c18b11e20f8d7ac7d8e355a8da68929b5257afea6eb6b9cec8e7062dabb231</x:v>
      </x:c>
      <x:c r="C489" s="31" t="n">
        <x:v>10</x:v>
      </x:c>
      <x:c r="D489" s="31" t="n">
        <x:v>33884</x:v>
      </x:c>
      <x:c r="E489" s="31" t="str">
        <x:v>Bronx</x:v>
      </x:c>
      <x:c r="F489" s="31" t="str">
        <x:v>Pelham Parkway-Van Nest</x:v>
      </x:c>
      <x:c r="G489" s="31" t="n">
        <x:v>56067.6631219233</x:v>
      </x:c>
      <x:c r="H489" s="31" t="n">
        <x:v>12872</x:v>
      </x:c>
      <x:c r="I489" s="31" t="n">
        <x:v>4.899247203231821</x:v>
      </x:c>
      <x:c r="J489" s="40" t="n">
        <x:v>0.017868241143567432</x:v>
      </x:c>
      <x:c r="K489" s="40" t="n">
        <x:v>0.6911124922311995</x:v>
      </x:c>
      <x:c r="L489" s="40" t="n">
        <x:v>0.0028744561839651956</x:v>
      </x:c>
      <x:c r="M489" s="31" t="n">
        <x:v>56.08586662964109</x:v>
      </x:c>
      <x:c r="N489" s="31" t="n">
        <x:v>150</x:v>
      </x:c>
      <x:c r="O489" s="31" t="n">
        <x:v>4.4268681383543855</x:v>
      </x:c>
      <x:c r="P489" s="31" t="n">
        <x:v>4.872358607830951</x:v>
      </x:c>
      <x:c r="Q489" s="40" t="n">
        <x:v>1</x:v>
      </x:c>
      <x:c r="R489" s="31" t="n">
        <x:v>0.1444637998056112</x:v>
      </x:c>
      <x:c r="S489" s="40"/>
      <x:c r="T489" s="40"/>
      <x:c r="U489" s="40" t="n">
        <x:v>1</x:v>
      </x:c>
      <x:c r="V489" s="40" t="n">
        <x:v>0.9870261031696707</x:v>
      </x:c>
      <x:c r="W489" s="31" t="n">
        <x:v>1</x:v>
      </x:c>
      <x:c r="X489" s="31" t="str"/>
      <x:c r="Y489" s="31" t="n">
        <x:v>0</x:v>
      </x:c>
      <x:c r="Z489" s="31" t="n">
        <x:v>1</x:v>
      </x:c>
      <x:c r="AA489" s="31" t="n">
        <x:v>0</x:v>
      </x:c>
      <x:c r="AB489" s="31" t="str"/>
      <x:c r="AC489" s="31" t="str"/>
    </x:row>
    <x:row r="490">
      <x:c r="A490" s="31" t="str">
        <x:v>96c218a41a5b8a16</x:v>
      </x:c>
      <x:c r="B490" s="31" t="str">
        <x:v>96c218a41a5b8a169ea31272a7af1adaa2785b7192919f6c29570bfb88cb9958</x:v>
      </x:c>
      <x:c r="C490" s="31" t="n">
        <x:v>12</x:v>
      </x:c>
      <x:c r="D490" s="31" t="n">
        <x:v>32099</x:v>
      </x:c>
      <x:c r="E490" s="31" t="str">
        <x:v>Queens</x:v>
      </x:c>
      <x:c r="F490" s="31" t="str">
        <x:v>Auburndale</x:v>
      </x:c>
      <x:c r="G490" s="31" t="n">
        <x:v>21184.655097683313</x:v>
      </x:c>
      <x:c r="H490" s="31" t="n">
        <x:v>11648</x:v>
      </x:c>
      <x:c r="I490" s="31" t="n">
        <x:v>2.5174873030902987</x:v>
      </x:c>
      <x:c r="J490" s="40" t="n">
        <x:v>0</x:v>
      </x:c>
      <x:c r="K490" s="40" t="n">
        <x:v>0.21634615384615385</x:v>
      </x:c>
      <x:c r="L490" s="40" t="n">
        <x:v>0.07228708791208792</x:v>
      </x:c>
      <x:c r="M490" s="31" t="n">
        <x:v>31.15003781394039</x:v>
      </x:c>
      <x:c r="N490" s="31" t="n">
        <x:v>25</x:v>
      </x:c>
      <x:c r="O490" s="31" t="n">
        <x:v>0.7788404623196984</x:v>
      </x:c>
      <x:c r="P490" s="31" t="n">
        <x:v>2.70364010989011</x:v>
      </x:c>
      <x:c r="Q490" s="40" t="n">
        <x:v>0</x:v>
      </x:c>
      <x:c r="R490" s="31" t="n">
        <x:v>0.2259965227580803</x:v>
      </x:c>
      <x:c r="S490" s="40"/>
      <x:c r="T490" s="40"/>
      <x:c r="U490" s="40" t="n">
        <x:v>1</x:v>
      </x:c>
      <x:c r="V490" s="40" t="n">
        <x:v>0.9937328296703297</x:v>
      </x:c>
      <x:c r="W490" s="31" t="n">
        <x:v>0</x:v>
      </x:c>
      <x:c r="X490" s="31" t="str"/>
      <x:c r="Y490" s="31" t="n">
        <x:v>0</x:v>
      </x:c>
      <x:c r="Z490" s="31" t="n">
        <x:v>0</x:v>
      </x:c>
      <x:c r="AA490" s="31" t="n">
        <x:v>0</x:v>
      </x:c>
      <x:c r="AB490" s="31" t="str"/>
      <x:c r="AC490" s="31" t="str"/>
    </x:row>
    <x:row r="491">
      <x:c r="A491" s="31" t="str">
        <x:v>977e2094583afa9f</x:v>
      </x:c>
      <x:c r="B491" s="31" t="str">
        <x:v>977e2094583afa9f4c221595323c3f24639921c56a115f50e82d304015620e6e</x:v>
      </x:c>
      <x:c r="C491" s="31" t="n">
        <x:v>12</x:v>
      </x:c>
      <x:c r="D491" s="31" t="n">
        <x:v>32837</x:v>
      </x:c>
      <x:c r="E491" s="31" t="str">
        <x:v>Queens</x:v>
      </x:c>
      <x:c r="F491" s="31" t="str">
        <x:v>Hollis</x:v>
      </x:c>
      <x:c r="G491" s="31" t="n">
        <x:v>24398.401425468175</x:v>
      </x:c>
      <x:c r="H491" s="31" t="n">
        <x:v>10939</x:v>
      </x:c>
      <x:c r="I491" s="31" t="n">
        <x:v>3.1800146279027244</x:v>
      </x:c>
      <x:c r="J491" s="40" t="n">
        <x:v>0</x:v>
      </x:c>
      <x:c r="K491" s="40" t="n">
        <x:v>0.39756833348569337</x:v>
      </x:c>
      <x:c r="L491" s="40" t="n">
        <x:v>0.21738732973763597</x:v>
      </x:c>
      <x:c r="M491" s="31" t="n">
        <x:v>36.248265217333405</x:v>
      </x:c>
      <x:c r="N491" s="31" t="n">
        <x:v>52</x:v>
      </x:c>
      <x:c r="O491" s="31" t="n">
        <x:v>1.5835794987361818</x:v>
      </x:c>
      <x:c r="P491" s="31" t="n">
        <x:v>3.831154584514124</x:v>
      </x:c>
      <x:c r="Q491" s="40" t="n">
        <x:v>0.8264923667611299</x:v>
      </x:c>
      <x:c r="R491" s="31" t="n">
        <x:v>0.26226636127139935</x:v>
      </x:c>
      <x:c r="S491" s="40"/>
      <x:c r="T491" s="40"/>
      <x:c r="U491" s="40" t="n">
        <x:v>1</x:v>
      </x:c>
      <x:c r="V491" s="40" t="n">
        <x:v>0.9958862784532407</x:v>
      </x:c>
      <x:c r="W491" s="31" t="n">
        <x:v>0</x:v>
      </x:c>
      <x:c r="X491" s="31" t="str"/>
      <x:c r="Y491" s="31" t="n">
        <x:v>0</x:v>
      </x:c>
      <x:c r="Z491" s="31" t="n">
        <x:v>0</x:v>
      </x:c>
      <x:c r="AA491" s="31" t="n">
        <x:v>0</x:v>
      </x:c>
      <x:c r="AB491" s="31" t="str"/>
      <x:c r="AC491" s="31" t="str"/>
    </x:row>
    <x:row r="492">
      <x:c r="A492" s="31" t="str">
        <x:v>97bb121e72416069</x:v>
      </x:c>
      <x:c r="B492" s="31" t="str">
        <x:v>97bb121e724160694273a6ebe096b61cb38808faeb20369f1a29de792cae8786</x:v>
      </x:c>
      <x:c r="C492" s="31" t="n">
        <x:v>9</x:v>
      </x:c>
      <x:c r="D492" s="31" t="n">
        <x:v>32713</x:v>
      </x:c>
      <x:c r="E492" s="31" t="str">
        <x:v>Brooklyn</x:v>
      </x:c>
      <x:c r="F492" s="31" t="str">
        <x:v>East New York-City Line</x:v>
      </x:c>
      <x:c r="G492" s="31" t="n">
        <x:v>52074.354868128416</x:v>
      </x:c>
      <x:c r="H492" s="31" t="n">
        <x:v>10173</x:v>
      </x:c>
      <x:c r="I492" s="31" t="n">
        <x:v>4.060020657092268</x:v>
      </x:c>
      <x:c r="J492" s="40" t="n">
        <x:v>0.12641305416298043</x:v>
      </x:c>
      <x:c r="K492" s="40" t="n">
        <x:v>0.29283397227956354</x:v>
      </x:c>
      <x:c r="L492" s="40" t="n">
        <x:v>0.03283200629116288</x:v>
      </x:c>
      <x:c r="M492" s="31" t="n">
        <x:v>42.80446614980221</x:v>
      </x:c>
      <x:c r="N492" s="31" t="n">
        <x:v>31</x:v>
      </x:c>
      <x:c r="O492" s="31" t="n">
        <x:v>0.9476354965915691</x:v>
      </x:c>
      <x:c r="P492" s="31" t="n">
        <x:v>4</x:v>
      </x:c>
      <x:c r="Q492" s="40" t="n">
        <x:v>1</x:v>
      </x:c>
      <x:c r="R492" s="31" t="n">
        <x:v>0.15316080770377805</x:v>
      </x:c>
      <x:c r="S492" s="40"/>
      <x:c r="T492" s="40"/>
      <x:c r="U492" s="40" t="n">
        <x:v>1</x:v>
      </x:c>
      <x:c r="V492" s="40" t="n">
        <x:v>0.9790622235328812</x:v>
      </x:c>
      <x:c r="W492" s="31" t="n">
        <x:v>0</x:v>
      </x:c>
      <x:c r="X492" s="31" t="str"/>
      <x:c r="Y492" s="31" t="n">
        <x:v>0</x:v>
      </x:c>
      <x:c r="Z492" s="31" t="n">
        <x:v>0</x:v>
      </x:c>
      <x:c r="AA492" s="31" t="n">
        <x:v>0</x:v>
      </x:c>
      <x:c r="AB492" s="31" t="str"/>
      <x:c r="AC492" s="31" t="str"/>
    </x:row>
    <x:row r="493">
      <x:c r="A493" s="31" t="str">
        <x:v>983b2740327ab053</x:v>
      </x:c>
      <x:c r="B493" s="31" t="str">
        <x:v>983b2740327ab05309e129731f777542b391d9322e678372d7f335f055a0cec8</x:v>
      </x:c>
      <x:c r="C493" s="31" t="n">
        <x:v>8</x:v>
      </x:c>
      <x:c r="D493" s="31" t="n">
        <x:v>37560</x:v>
      </x:c>
      <x:c r="E493" s="31" t="str">
        <x:v>Bronx</x:v>
      </x:c>
      <x:c r="F493" s="31" t="str">
        <x:v>Highbridge</x:v>
      </x:c>
      <x:c r="G493" s="31" t="n">
        <x:v>81249.50299598837</x:v>
      </x:c>
      <x:c r="H493" s="31" t="n">
        <x:v>15421</x:v>
      </x:c>
      <x:c r="I493" s="31" t="n">
        <x:v>7.320538035869058</x:v>
      </x:c>
      <x:c r="J493" s="40" t="n">
        <x:v>0.14973088645353738</x:v>
      </x:c>
      <x:c r="K493" s="40" t="n">
        <x:v>0.7913883665131963</x:v>
      </x:c>
      <x:c r="L493" s="40" t="n">
        <x:v>0.04221516114389469</x:v>
      </x:c>
      <x:c r="M493" s="31" t="n">
        <x:v>75.31318114541341</x:v>
      </x:c>
      <x:c r="N493" s="31" t="n">
        <x:v>230</x:v>
      </x:c>
      <x:c r="O493" s="31" t="n">
        <x:v>6.123535676251331</x:v>
      </x:c>
      <x:c r="P493" s="31" t="n">
        <x:v>5</x:v>
      </x:c>
      <x:c r="Q493" s="40" t="n">
        <x:v>1</x:v>
      </x:c>
      <x:c r="R493" s="31" t="n">
        <x:v>0.10598297150726052</x:v>
      </x:c>
      <x:c r="S493" s="40"/>
      <x:c r="T493" s="40"/>
      <x:c r="U493" s="40" t="n">
        <x:v>1</x:v>
      </x:c>
      <x:c r="V493" s="40" t="n">
        <x:v>0.9646585824524998</x:v>
      </x:c>
      <x:c r="W493" s="31" t="n">
        <x:v>1</x:v>
      </x:c>
      <x:c r="X493" s="31" t="str"/>
      <x:c r="Y493" s="31" t="n">
        <x:v>0</x:v>
      </x:c>
      <x:c r="Z493" s="31" t="n">
        <x:v>1</x:v>
      </x:c>
      <x:c r="AA493" s="31" t="n">
        <x:v>0</x:v>
      </x:c>
      <x:c r="AB493" s="31" t="str"/>
      <x:c r="AC493" s="31" t="str"/>
    </x:row>
    <x:row r="494">
      <x:c r="A494" s="31" t="str">
        <x:v>989f16f914887fa0</x:v>
      </x:c>
      <x:c r="B494" s="31" t="str">
        <x:v>989f16f914887fa0993988e07e6a416ab50704eb35b923722b8d8c6110b71f1c</x:v>
      </x:c>
      <x:c r="C494" s="31" t="n">
        <x:v>8</x:v>
      </x:c>
      <x:c r="D494" s="31" t="n">
        <x:v>34452</x:v>
      </x:c>
      <x:c r="E494" s="31" t="str">
        <x:v>Queens</x:v>
      </x:c>
      <x:c r="F494" s="31" t="str">
        <x:v>Glen Oaks-Floral Park-New Hyde Park</x:v>
      </x:c>
      <x:c r="G494" s="31" t="n">
        <x:v>11929.331900684321</x:v>
      </x:c>
      <x:c r="H494" s="31" t="n">
        <x:v>12212</x:v>
      </x:c>
      <x:c r="I494" s="31" t="n">
        <x:v>1.9867223090206396</x:v>
      </x:c>
      <x:c r="J494" s="40" t="n">
        <x:v>0</x:v>
      </x:c>
      <x:c r="K494" s="40" t="n">
        <x:v>0.07607271536193908</x:v>
      </x:c>
      <x:c r="L494" s="40" t="n">
        <x:v>0.4368653783164101</x:v>
      </x:c>
      <x:c r="M494" s="31" t="n">
        <x:v>28.80519743666011</x:v>
      </x:c>
      <x:c r="N494" s="31" t="n">
        <x:v>12</x:v>
      </x:c>
      <x:c r="O494" s="31" t="n">
        <x:v>0.34831069313827934</x:v>
      </x:c>
      <x:c r="P494" s="31" t="n">
        <x:v>2.5797810803595267</x:v>
      </x:c>
      <x:c r="Q494" s="40" t="n">
        <x:v>0</x:v>
      </x:c>
      <x:c r="R494" s="31" t="n">
        <x:v>0.274080102623881</x:v>
      </x:c>
      <x:c r="S494" s="40"/>
      <x:c r="T494" s="40"/>
      <x:c r="U494" s="40" t="n">
        <x:v>0.9201604978709466</x:v>
      </x:c>
      <x:c r="V494" s="40" t="n">
        <x:v>0.9988535866360957</x:v>
      </x:c>
      <x:c r="W494" s="31" t="n">
        <x:v>0</x:v>
      </x:c>
      <x:c r="X494" s="31" t="str"/>
      <x:c r="Y494" s="31" t="n">
        <x:v>0</x:v>
      </x:c>
      <x:c r="Z494" s="31" t="n">
        <x:v>0</x:v>
      </x:c>
      <x:c r="AA494" s="31" t="n">
        <x:v>0</x:v>
      </x:c>
      <x:c r="AB494" s="31" t="str"/>
      <x:c r="AC494" s="31" t="str"/>
    </x:row>
    <x:row r="495">
      <x:c r="A495" s="31" t="str">
        <x:v>98c5d16531225252</x:v>
      </x:c>
      <x:c r="B495" s="31" t="str">
        <x:v>98c5d16531225252527074e271a02b9e121e097ac48a7d4e7e1fe3c955e8da7d</x:v>
      </x:c>
      <x:c r="C495" s="31" t="n">
        <x:v>16</x:v>
      </x:c>
      <x:c r="D495" s="31" t="n">
        <x:v>34049</x:v>
      </x:c>
      <x:c r="E495" s="31" t="str">
        <x:v>Brooklyn</x:v>
      </x:c>
      <x:c r="F495" s="31" t="str">
        <x:v>Marine Park-Mill Basin-Bergen Beach</x:v>
      </x:c>
      <x:c r="G495" s="31" t="n">
        <x:v>32110.637758323028</x:v>
      </x:c>
      <x:c r="H495" s="31" t="n">
        <x:v>11243</x:v>
      </x:c>
      <x:c r="I495" s="31" t="n">
        <x:v>2.96225</x:v>
      </x:c>
      <x:c r="J495" s="40" t="n">
        <x:v>0.00942808858845504</x:v>
      </x:c>
      <x:c r="K495" s="40" t="n">
        <x:v>0.25624833229565064</x:v>
      </x:c>
      <x:c r="L495" s="40" t="n">
        <x:v>0.004358267366361292</x:v>
      </x:c>
      <x:c r="M495" s="31" t="n">
        <x:v>35.28873815605624</x:v>
      </x:c>
      <x:c r="N495" s="31" t="n">
        <x:v>69</x:v>
      </x:c>
      <x:c r="O495" s="31" t="n">
        <x:v>2.0264912332227087</x:v>
      </x:c>
      <x:c r="P495" s="31" t="n">
        <x:v>3.0539891488037</x:v>
      </x:c>
      <x:c r="Q495" s="40" t="n">
        <x:v>0.30952592724361827</x:v>
      </x:c>
      <x:c r="R495" s="31" t="n">
        <x:v>0.20348733300758676</x:v>
      </x:c>
      <x:c r="S495" s="40"/>
      <x:c r="T495" s="40"/>
      <x:c r="U495" s="40" t="n">
        <x:v>1</x:v>
      </x:c>
      <x:c r="V495" s="40" t="n">
        <x:v>0.9995552788401673</x:v>
      </x:c>
      <x:c r="W495" s="31" t="n">
        <x:v>0</x:v>
      </x:c>
      <x:c r="X495" s="31" t="str"/>
      <x:c r="Y495" s="31" t="n">
        <x:v>0</x:v>
      </x:c>
      <x:c r="Z495" s="31" t="n">
        <x:v>0</x:v>
      </x:c>
      <x:c r="AA495" s="31" t="n">
        <x:v>0</x:v>
      </x:c>
      <x:c r="AB495" s="31" t="str"/>
      <x:c r="AC495" s="31" t="str"/>
    </x:row>
    <x:row r="496">
      <x:c r="A496" s="31" t="str">
        <x:v>98cf0d430f5cc7f2</x:v>
      </x:c>
      <x:c r="B496" s="31" t="str">
        <x:v>98cf0d430f5cc7f28f89fae88517287b8b0f300f541ff467643bcf796b9bf60a</x:v>
      </x:c>
      <x:c r="C496" s="31" t="n">
        <x:v>7</x:v>
      </x:c>
      <x:c r="D496" s="31" t="n">
        <x:v>37659</x:v>
      </x:c>
      <x:c r="E496" s="31" t="str">
        <x:v>Queens</x:v>
      </x:c>
      <x:c r="F496" s="31" t="str">
        <x:v>Flushing-Willets Point</x:v>
      </x:c>
      <x:c r="G496" s="31" t="n">
        <x:v>66307.5796956347</x:v>
      </x:c>
      <x:c r="H496" s="31" t="n">
        <x:v>15601</x:v>
      </x:c>
      <x:c r="I496" s="31" t="n">
        <x:v>9.755142365249636</x:v>
      </x:c>
      <x:c r="J496" s="40" t="n">
        <x:v>0.4083712582526761</x:v>
      </x:c>
      <x:c r="K496" s="40" t="n">
        <x:v>0.5285558618037305</x:v>
      </x:c>
      <x:c r="L496" s="40" t="n">
        <x:v>0.07941798602653675</x:v>
      </x:c>
      <x:c r="M496" s="31" t="n">
        <x:v>98.26660411699812</x:v>
      </x:c>
      <x:c r="N496" s="31" t="n">
        <x:v>381</x:v>
      </x:c>
      <x:c r="O496" s="31" t="n">
        <x:v>10.117103481239544</x:v>
      </x:c>
      <x:c r="P496" s="31" t="n">
        <x:v>4</x:v>
      </x:c>
      <x:c r="Q496" s="40" t="n">
        <x:v>1</x:v>
      </x:c>
      <x:c r="R496" s="31" t="n">
        <x:v>0.20261015180491548</x:v>
      </x:c>
      <x:c r="S496" s="40"/>
      <x:c r="T496" s="40"/>
      <x:c r="U496" s="40" t="n">
        <x:v>1</x:v>
      </x:c>
      <x:c r="V496" s="40" t="n">
        <x:v>0.9192359464136914</x:v>
      </x:c>
      <x:c r="W496" s="31" t="n">
        <x:v>1</x:v>
      </x:c>
      <x:c r="X496" s="31" t="str"/>
      <x:c r="Y496" s="31" t="n">
        <x:v>0</x:v>
      </x:c>
      <x:c r="Z496" s="31" t="n">
        <x:v>1</x:v>
      </x:c>
      <x:c r="AA496" s="31" t="n">
        <x:v>0</x:v>
      </x:c>
      <x:c r="AB496" s="31" t="str"/>
      <x:c r="AC496" s="31" t="str"/>
    </x:row>
    <x:row r="497">
      <x:c r="A497" s="31" t="str">
        <x:v>9929ce7818613a30</x:v>
      </x:c>
      <x:c r="B497" s="31" t="str">
        <x:v>9929ce7818613a3012e15fc4af802d59bcb9848398f263aa6e00f22e305057ee</x:v>
      </x:c>
      <x:c r="C497" s="31" t="n">
        <x:v>7</x:v>
      </x:c>
      <x:c r="D497" s="31" t="n">
        <x:v>37810</x:v>
      </x:c>
      <x:c r="E497" s="31" t="str">
        <x:v>Bronx</x:v>
      </x:c>
      <x:c r="F497" s="31" t="str">
        <x:v>Concourse-Concourse Village</x:v>
      </x:c>
      <x:c r="G497" s="31" t="n">
        <x:v>110009.28917820401</x:v>
      </x:c>
      <x:c r="H497" s="31" t="n">
        <x:v>13955</x:v>
      </x:c>
      <x:c r="I497" s="31" t="n">
        <x:v>6.618237190970978</x:v>
      </x:c>
      <x:c r="J497" s="40" t="n">
        <x:v>0.1403797921891795</x:v>
      </x:c>
      <x:c r="K497" s="40" t="n">
        <x:v>0.832103188821211</x:v>
      </x:c>
      <x:c r="L497" s="40" t="n">
        <x:v>0.0030096739519885345</x:v>
      </x:c>
      <x:c r="M497" s="31" t="n">
        <x:v>72.8374490072048</x:v>
      </x:c>
      <x:c r="N497" s="31" t="n">
        <x:v>179</x:v>
      </x:c>
      <x:c r="O497" s="31" t="n">
        <x:v>4.734197302300978</x:v>
      </x:c>
      <x:c r="P497" s="31" t="n">
        <x:v>5</x:v>
      </x:c>
      <x:c r="Q497" s="40" t="n">
        <x:v>1</x:v>
      </x:c>
      <x:c r="R497" s="31" t="n">
        <x:v>0.10943444378121742</x:v>
      </x:c>
      <x:c r="S497" s="40"/>
      <x:c r="T497" s="40"/>
      <x:c r="U497" s="40" t="n">
        <x:v>1</x:v>
      </x:c>
      <x:c r="V497" s="40" t="n">
        <x:v>0.9916159082766034</x:v>
      </x:c>
      <x:c r="W497" s="31" t="n">
        <x:v>1</x:v>
      </x:c>
      <x:c r="X497" s="31" t="str"/>
      <x:c r="Y497" s="31" t="n">
        <x:v>0</x:v>
      </x:c>
      <x:c r="Z497" s="31" t="n">
        <x:v>1</x:v>
      </x:c>
      <x:c r="AA497" s="31" t="n">
        <x:v>0</x:v>
      </x:c>
      <x:c r="AB497" s="31" t="str"/>
      <x:c r="AC497" s="31" t="str"/>
    </x:row>
    <x:row r="498">
      <x:c r="A498" s="31" t="str">
        <x:v>9964c9421e391493</x:v>
      </x:c>
      <x:c r="B498" s="31" t="str">
        <x:v>9964c9421e3914930292cf204fb714683f348c643d0bda0289e61f47b2a91d59</x:v>
      </x:c>
      <x:c r="C498" s="31" t="n">
        <x:v>10</x:v>
      </x:c>
      <x:c r="D498" s="31" t="n">
        <x:v>34597</x:v>
      </x:c>
      <x:c r="E498" s="31" t="str">
        <x:v>Staten Island</x:v>
      </x:c>
      <x:c r="F498" s="31" t="str">
        <x:v>Rosebank-Shore Acres-Park Hill</x:v>
      </x:c>
      <x:c r="G498" s="31" t="n">
        <x:v>19005.484575376337</x:v>
      </x:c>
      <x:c r="H498" s="31" t="n">
        <x:v>11747</x:v>
      </x:c>
      <x:c r="I498" s="31" t="n">
        <x:v>3.821743393009378</x:v>
      </x:c>
      <x:c r="J498" s="40" t="n">
        <x:v>0.027326125819358133</x:v>
      </x:c>
      <x:c r="K498" s="40" t="n">
        <x:v>0.38750319230441815</x:v>
      </x:c>
      <x:c r="L498" s="40" t="n">
        <x:v>0.2735166425470333</x:v>
      </x:c>
      <x:c r="M498" s="31" t="n">
        <x:v>44.09520695645424</x:v>
      </x:c>
      <x:c r="N498" s="31" t="n">
        <x:v>77</x:v>
      </x:c>
      <x:c r="O498" s="31" t="n">
        <x:v>2.225626499407463</x:v>
      </x:c>
      <x:c r="P498" s="31" t="n">
        <x:v>2.7361879628841406</x:v>
      </x:c>
      <x:c r="Q498" s="40" t="n">
        <x:v>0</x:v>
      </x:c>
      <x:c r="R498" s="31" t="n">
        <x:v>0.22716960309006806</x:v>
      </x:c>
      <x:c r="S498" s="40"/>
      <x:c r="T498" s="40"/>
      <x:c r="U498" s="40" t="n">
        <x:v>1</x:v>
      </x:c>
      <x:c r="V498" s="40" t="n">
        <x:v>0.9925087256320763</x:v>
      </x:c>
      <x:c r="W498" s="31" t="n">
        <x:v>0</x:v>
      </x:c>
      <x:c r="X498" s="31" t="str"/>
      <x:c r="Y498" s="31" t="n">
        <x:v>0</x:v>
      </x:c>
      <x:c r="Z498" s="31" t="n">
        <x:v>0</x:v>
      </x:c>
      <x:c r="AA498" s="31" t="n">
        <x:v>0</x:v>
      </x:c>
      <x:c r="AB498" s="31" t="str"/>
      <x:c r="AC498" s="31" t="str"/>
    </x:row>
    <x:row r="499">
      <x:c r="A499" s="31" t="str">
        <x:v>99d7a03ea939b109</x:v>
      </x:c>
      <x:c r="B499" s="31" t="str">
        <x:v>99d7a03ea939b109c5f5ba2653ed041df17ce3f8fa96ca193a32e032961a1c4c</x:v>
      </x:c>
      <x:c r="C499" s="31" t="n">
        <x:v>9</x:v>
      </x:c>
      <x:c r="D499" s="31" t="n">
        <x:v>36441</x:v>
      </x:c>
      <x:c r="E499" s="31" t="str">
        <x:v>Bronx</x:v>
      </x:c>
      <x:c r="F499" s="31" t="str">
        <x:v>Fordham Heights</x:v>
      </x:c>
      <x:c r="G499" s="31" t="n">
        <x:v>91101.36936588689</x:v>
      </x:c>
      <x:c r="H499" s="31" t="n">
        <x:v>13517</x:v>
      </x:c>
      <x:c r="I499" s="31" t="n">
        <x:v>5.838603326839502</x:v>
      </x:c>
      <x:c r="J499" s="40" t="n">
        <x:v>0.11030554117037804</x:v>
      </x:c>
      <x:c r="K499" s="40" t="n">
        <x:v>0.8432344455130576</x:v>
      </x:c>
      <x:c r="L499" s="40" t="n">
        <x:v>0.020714655618850338</x:v>
      </x:c>
      <x:c r="M499" s="31" t="n">
        <x:v>66.33053923936365</x:v>
      </x:c>
      <x:c r="N499" s="31" t="n">
        <x:v>117</x:v>
      </x:c>
      <x:c r="O499" s="31" t="n">
        <x:v>3.2106693010619907</x:v>
      </x:c>
      <x:c r="P499" s="31" t="n">
        <x:v>4.874972257157653</x:v>
      </x:c>
      <x:c r="Q499" s="40" t="n">
        <x:v>1</x:v>
      </x:c>
      <x:c r="R499" s="31" t="n">
        <x:v>0.07741881041695037</x:v>
      </x:c>
      <x:c r="S499" s="40"/>
      <x:c r="T499" s="40"/>
      <x:c r="U499" s="40" t="n">
        <x:v>1</x:v>
      </x:c>
      <x:c r="V499" s="40" t="n">
        <x:v>0.9812088481171858</x:v>
      </x:c>
      <x:c r="W499" s="31" t="n">
        <x:v>1</x:v>
      </x:c>
      <x:c r="X499" s="31" t="str"/>
      <x:c r="Y499" s="31" t="n">
        <x:v>0</x:v>
      </x:c>
      <x:c r="Z499" s="31" t="n">
        <x:v>1</x:v>
      </x:c>
      <x:c r="AA499" s="31" t="n">
        <x:v>0</x:v>
      </x:c>
      <x:c r="AB499" s="31" t="str"/>
      <x:c r="AC499" s="31" t="str"/>
    </x:row>
    <x:row r="500">
      <x:c r="A500" s="31" t="str">
        <x:v>9a088977963b2904</x:v>
      </x:c>
      <x:c r="B500" s="31" t="str">
        <x:v>9a088977963b29048b17e8d96979f9b787a877fa8a186183efe621e380b8d625</x:v>
      </x:c>
      <x:c r="C500" s="31" t="n">
        <x:v>7</x:v>
      </x:c>
      <x:c r="D500" s="31" t="n">
        <x:v>32914</x:v>
      </x:c>
      <x:c r="E500" s="31" t="str">
        <x:v>Bronx</x:v>
      </x:c>
      <x:c r="F500" s="31" t="str">
        <x:v>Castle Hill-Unionport</x:v>
      </x:c>
      <x:c r="G500" s="31" t="n">
        <x:v>29431.581894748237</x:v>
      </x:c>
      <x:c r="H500" s="31" t="n">
        <x:v>11747</x:v>
      </x:c>
      <x:c r="I500" s="31" t="n">
        <x:v>6.790740803960058</x:v>
      </x:c>
      <x:c r="J500" s="40" t="n">
        <x:v>0.36085809142759856</x:v>
      </x:c>
      <x:c r="K500" s="40" t="n">
        <x:v>0.3424704179790585</x:v>
      </x:c>
      <x:c r="L500" s="40" t="n">
        <x:v>0.2871371413978037</x:v>
      </x:c>
      <x:c r="M500" s="31" t="n">
        <x:v>96.98973066473707</x:v>
      </x:c>
      <x:c r="N500" s="31" t="n">
        <x:v>89</x:v>
      </x:c>
      <x:c r="O500" s="31" t="n">
        <x:v>2.704016527921249</x:v>
      </x:c>
      <x:c r="P500" s="31" t="n">
        <x:v>3.9828892483187195</x:v>
      </x:c>
      <x:c r="Q500" s="40" t="n">
        <x:v>0.9942964161062399</x:v>
      </x:c>
      <x:c r="R500" s="31" t="n">
        <x:v>0.15500351789374017</x:v>
      </x:c>
      <x:c r="S500" s="40"/>
      <x:c r="T500" s="40"/>
      <x:c r="U500" s="40" t="n">
        <x:v>1</x:v>
      </x:c>
      <x:c r="V500" s="40" t="n">
        <x:v>0.9696943900570358</x:v>
      </x:c>
      <x:c r="W500" s="31" t="n">
        <x:v>0</x:v>
      </x:c>
      <x:c r="X500" s="31" t="str"/>
      <x:c r="Y500" s="31" t="n">
        <x:v>0</x:v>
      </x:c>
      <x:c r="Z500" s="31" t="n">
        <x:v>0</x:v>
      </x:c>
      <x:c r="AA500" s="31" t="n">
        <x:v>0</x:v>
      </x:c>
      <x:c r="AB500" s="31" t="str"/>
      <x:c r="AC500" s="31" t="str"/>
    </x:row>
    <x:row r="501">
      <x:c r="A501" s="31" t="str">
        <x:v>9a6c3e2d05f586de</x:v>
      </x:c>
      <x:c r="B501" s="31" t="str">
        <x:v>9a6c3e2d05f586de41b7c771279b42826872d9a2bc1b670fb179ee627efec2af</x:v>
      </x:c>
      <x:c r="C501" s="31" t="n">
        <x:v>11</x:v>
      </x:c>
      <x:c r="D501" s="31" t="n">
        <x:v>37553</x:v>
      </x:c>
      <x:c r="E501" s="31" t="str">
        <x:v>Queens</x:v>
      </x:c>
      <x:c r="F501" s="31" t="str">
        <x:v>Sunnyside</x:v>
      </x:c>
      <x:c r="G501" s="31" t="n">
        <x:v>56061.40091223813</x:v>
      </x:c>
      <x:c r="H501" s="31" t="n">
        <x:v>15641</x:v>
      </x:c>
      <x:c r="I501" s="31" t="n">
        <x:v>4.517495010622546</x:v>
      </x:c>
      <x:c r="J501" s="40" t="n">
        <x:v>0.0034524646761716</x:v>
      </x:c>
      <x:c r="K501" s="40" t="n">
        <x:v>0.8095390320312</x:v>
      </x:c>
      <x:c r="L501" s="40" t="n">
        <x:v>0.1401444920401509</x:v>
      </x:c>
      <x:c r="M501" s="31" t="n">
        <x:v>50.698751307841945</x:v>
      </x:c>
      <x:c r="N501" s="31" t="n">
        <x:v>156</x:v>
      </x:c>
      <x:c r="O501" s="31" t="n">
        <x:v>4.15412883125183</x:v>
      </x:c>
      <x:c r="P501" s="31" t="n">
        <x:v>3.047950898280161</x:v>
      </x:c>
      <x:c r="Q501" s="40" t="n">
        <x:v>0.047950898280161115</x:v>
      </x:c>
      <x:c r="R501" s="31" t="n">
        <x:v>0.13445652533307634</x:v>
      </x:c>
      <x:c r="S501" s="40"/>
      <x:c r="T501" s="40"/>
      <x:c r="U501" s="40" t="n">
        <x:v>1</x:v>
      </x:c>
      <x:c r="V501" s="40" t="n">
        <x:v>0.9975065532894316</x:v>
      </x:c>
      <x:c r="W501" s="31" t="n">
        <x:v>0</x:v>
      </x:c>
      <x:c r="X501" s="31" t="str"/>
      <x:c r="Y501" s="31" t="n">
        <x:v>0</x:v>
      </x:c>
      <x:c r="Z501" s="31" t="n">
        <x:v>0</x:v>
      </x:c>
      <x:c r="AA501" s="31" t="n">
        <x:v>0</x:v>
      </x:c>
      <x:c r="AB501" s="31" t="str"/>
      <x:c r="AC501" s="31" t="str"/>
    </x:row>
    <x:row r="502">
      <x:c r="A502" s="31" t="str">
        <x:v>9ae1ff2e88a5613c</x:v>
      </x:c>
      <x:c r="B502" s="31" t="str">
        <x:v>9ae1ff2e88a5613c3bc5dba4201fd13b69706aa5a99fe60fd8c65e6855ec27ae</x:v>
      </x:c>
      <x:c r="C502" s="31" t="n">
        <x:v>10</x:v>
      </x:c>
      <x:c r="D502" s="31" t="n">
        <x:v>33432</x:v>
      </x:c>
      <x:c r="E502" s="31" t="str">
        <x:v>Brooklyn</x:v>
      </x:c>
      <x:c r="F502" s="31" t="str">
        <x:v>Downtown Brooklyn-DUMBO-Boerum Hill</x:v>
      </x:c>
      <x:c r="G502" s="31" t="n">
        <x:v>54940.84042233719</x:v>
      </x:c>
      <x:c r="H502" s="31" t="n">
        <x:v>23580</x:v>
      </x:c>
      <x:c r="I502" s="31" t="n">
        <x:v>14.04926649324065</x:v>
      </x:c>
      <x:c r="J502" s="40" t="n">
        <x:v>0.4732824427480916</x:v>
      </x:c>
      <x:c r="K502" s="40" t="n">
        <x:v>0.4812553011026294</x:v>
      </x:c>
      <x:c r="L502" s="40" t="n">
        <x:v>0.10826972010178117</x:v>
      </x:c>
      <x:c r="M502" s="31" t="n">
        <x:v>138.52777422095434</x:v>
      </x:c>
      <x:c r="N502" s="31" t="n">
        <x:v>379</x:v>
      </x:c>
      <x:c r="O502" s="31" t="n">
        <x:v>11.33644412538885</x:v>
      </x:c>
      <x:c r="P502" s="31" t="n">
        <x:v>2</x:v>
      </x:c>
      <x:c r="Q502" s="40" t="n">
        <x:v>0</x:v>
      </x:c>
      <x:c r="R502" s="31" t="n">
        <x:v>0.0948874622519643</x:v>
      </x:c>
      <x:c r="S502" s="40"/>
      <x:c r="T502" s="40"/>
      <x:c r="U502" s="40" t="n">
        <x:v>1</x:v>
      </x:c>
      <x:c r="V502" s="40" t="n">
        <x:v>0.9243002544529262</x:v>
      </x:c>
      <x:c r="W502" s="31" t="n">
        <x:v>0</x:v>
      </x:c>
      <x:c r="X502" s="31" t="str"/>
      <x:c r="Y502" s="31" t="n">
        <x:v>0</x:v>
      </x:c>
      <x:c r="Z502" s="31" t="n">
        <x:v>0</x:v>
      </x:c>
      <x:c r="AA502" s="31" t="n">
        <x:v>0</x:v>
      </x:c>
      <x:c r="AB502" s="31" t="str"/>
      <x:c r="AC502" s="31" t="str"/>
    </x:row>
    <x:row r="503">
      <x:c r="A503" s="31" t="str">
        <x:v>9b4d2cd69a9bfb0e</x:v>
      </x:c>
      <x:c r="B503" s="31" t="str">
        <x:v>9b4d2cd69a9bfb0e6d4c3d0a2c150b25b0ecd9ca8a04e6af01ceba53bf3cd2cd</x:v>
      </x:c>
      <x:c r="C503" s="31" t="n">
        <x:v>10</x:v>
      </x:c>
      <x:c r="D503" s="31" t="n">
        <x:v>37955</x:v>
      </x:c>
      <x:c r="E503" s="31" t="str">
        <x:v>Queens</x:v>
      </x:c>
      <x:c r="F503" s="31" t="str">
        <x:v>East Elmhurst</x:v>
      </x:c>
      <x:c r="G503" s="31" t="n">
        <x:v>65139.69934678941</x:v>
      </x:c>
      <x:c r="H503" s="31" t="n">
        <x:v>10193</x:v>
      </x:c>
      <x:c r="I503" s="31" t="n">
        <x:v>3.382281958206613</x:v>
      </x:c>
      <x:c r="J503" s="40" t="n">
        <x:v>0</x:v>
      </x:c>
      <x:c r="K503" s="40" t="n">
        <x:v>0.4831747277543412</x:v>
      </x:c>
      <x:c r="L503" s="40" t="n">
        <x:v>0.10055920729912685</x:v>
      </x:c>
      <x:c r="M503" s="31" t="n">
        <x:v>38.660229495765</x:v>
      </x:c>
      <x:c r="N503" s="31" t="n">
        <x:v>58</x:v>
      </x:c>
      <x:c r="O503" s="31" t="n">
        <x:v>1.5281254116717164</x:v>
      </x:c>
      <x:c r="P503" s="31" t="n">
        <x:v>3.8248798194839595</x:v>
      </x:c>
      <x:c r="Q503" s="40" t="n">
        <x:v>0.8248798194839596</x:v>
      </x:c>
      <x:c r="R503" s="31" t="n">
        <x:v>0.1263434517508225</x:v>
      </x:c>
      <x:c r="S503" s="40"/>
      <x:c r="T503" s="40"/>
      <x:c r="U503" s="40" t="n">
        <x:v>1</x:v>
      </x:c>
      <x:c r="V503" s="40" t="n">
        <x:v>0.9919552634160699</x:v>
      </x:c>
      <x:c r="W503" s="31" t="n">
        <x:v>0</x:v>
      </x:c>
      <x:c r="X503" s="31" t="str"/>
      <x:c r="Y503" s="31" t="n">
        <x:v>0</x:v>
      </x:c>
      <x:c r="Z503" s="31" t="n">
        <x:v>0</x:v>
      </x:c>
      <x:c r="AA503" s="31" t="n">
        <x:v>0</x:v>
      </x:c>
      <x:c r="AB503" s="31" t="str"/>
      <x:c r="AC503" s="31" t="str"/>
    </x:row>
    <x:row r="504">
      <x:c r="A504" s="31" t="str">
        <x:v>9bb999218f80fdd8</x:v>
      </x:c>
      <x:c r="B504" s="31" t="str">
        <x:v>9bb999218f80fdd894f7c724eadc0a5476e337d3951c560e10924f06e6bc9187</x:v>
      </x:c>
      <x:c r="C504" s="31" t="n">
        <x:v>7</x:v>
      </x:c>
      <x:c r="D504" s="31" t="n">
        <x:v>37102</x:v>
      </x:c>
      <x:c r="E504" s="31" t="str">
        <x:v>Queens</x:v>
      </x:c>
      <x:c r="F504" s="31" t="str">
        <x:v>Elmhurst</x:v>
      </x:c>
      <x:c r="G504" s="31" t="n">
        <x:v>93899.2202523545</x:v>
      </x:c>
      <x:c r="H504" s="31" t="n">
        <x:v>12532</x:v>
      </x:c>
      <x:c r="I504" s="31" t="n">
        <x:v>5.308517395467603</x:v>
      </x:c>
      <x:c r="J504" s="40" t="n">
        <x:v>0.06048515799553144</x:v>
      </x:c>
      <x:c r="K504" s="40" t="n">
        <x:v>0.8143153526970954</x:v>
      </x:c>
      <x:c r="L504" s="40" t="n">
        <x:v>0.017395467602936483</x:v>
      </x:c>
      <x:c r="M504" s="31" t="n">
        <x:v>57.18220398283734</x:v>
      </x:c>
      <x:c r="N504" s="31" t="n">
        <x:v>184</x:v>
      </x:c>
      <x:c r="O504" s="31" t="n">
        <x:v>4.95930138537006</x:v>
      </x:c>
      <x:c r="P504" s="31" t="n">
        <x:v>3</x:v>
      </x:c>
      <x:c r="Q504" s="40" t="n">
        <x:v>0</x:v>
      </x:c>
      <x:c r="R504" s="31" t="n">
        <x:v>0.13696046210180238</x:v>
      </x:c>
      <x:c r="S504" s="40"/>
      <x:c r="T504" s="40"/>
      <x:c r="U504" s="40" t="n">
        <x:v>1</x:v>
      </x:c>
      <x:c r="V504" s="40" t="n">
        <x:v>0.9786945419725502</x:v>
      </x:c>
      <x:c r="W504" s="31" t="n">
        <x:v>0</x:v>
      </x:c>
      <x:c r="X504" s="31" t="str"/>
      <x:c r="Y504" s="31" t="n">
        <x:v>0</x:v>
      </x:c>
      <x:c r="Z504" s="31" t="n">
        <x:v>0</x:v>
      </x:c>
      <x:c r="AA504" s="31" t="n">
        <x:v>0</x:v>
      </x:c>
      <x:c r="AB504" s="31" t="str"/>
      <x:c r="AC504" s="31" t="str"/>
    </x:row>
    <x:row r="505">
      <x:c r="A505" s="31" t="str">
        <x:v>9bd37c016477251c</x:v>
      </x:c>
      <x:c r="B505" s="31" t="str">
        <x:v>9bd37c016477251c948e92e661635386d6239fa002cf0de173d70d97f90042a2</x:v>
      </x:c>
      <x:c r="C505" s="31" t="n">
        <x:v>11</x:v>
      </x:c>
      <x:c r="D505" s="31" t="n">
        <x:v>32551</x:v>
      </x:c>
      <x:c r="E505" s="31" t="str">
        <x:v>Brooklyn</x:v>
      </x:c>
      <x:c r="F505" s="31" t="str">
        <x:v>Greenpoint</x:v>
      </x:c>
      <x:c r="G505" s="31" t="n">
        <x:v>36039.3028241124</x:v>
      </x:c>
      <x:c r="H505" s="31" t="n">
        <x:v>23419</x:v>
      </x:c>
      <x:c r="I505" s="31" t="n">
        <x:v>11.824037585174256</x:v>
      </x:c>
      <x:c r="J505" s="40" t="n">
        <x:v>0.2548358170716085</x:v>
      </x:c>
      <x:c r="K505" s="40" t="n">
        <x:v>0.6665527990093514</x:v>
      </x:c>
      <x:c r="L505" s="40" t="n">
        <x:v>0.07374354156881165</x:v>
      </x:c>
      <x:c r="M505" s="31" t="n">
        <x:v>120.88803185813896</x:v>
      </x:c>
      <x:c r="N505" s="31" t="n">
        <x:v>313</x:v>
      </x:c>
      <x:c r="O505" s="31" t="n">
        <x:v>9.615680009830728</x:v>
      </x:c>
      <x:c r="P505" s="31" t="n">
        <x:v>3</x:v>
      </x:c>
      <x:c r="Q505" s="40" t="n">
        <x:v>0</x:v>
      </x:c>
      <x:c r="R505" s="31" t="n">
        <x:v>0.2165971445871287</x:v>
      </x:c>
      <x:c r="S505" s="40"/>
      <x:c r="T505" s="40"/>
      <x:c r="U505" s="40" t="n">
        <x:v>1</x:v>
      </x:c>
      <x:c r="V505" s="40" t="n">
        <x:v>0.959520047824416</x:v>
      </x:c>
      <x:c r="W505" s="31" t="n">
        <x:v>0</x:v>
      </x:c>
      <x:c r="X505" s="31" t="str"/>
      <x:c r="Y505" s="31" t="n">
        <x:v>0</x:v>
      </x:c>
      <x:c r="Z505" s="31" t="n">
        <x:v>0</x:v>
      </x:c>
      <x:c r="AA505" s="31" t="n">
        <x:v>0</x:v>
      </x:c>
      <x:c r="AB505" s="31" t="str"/>
      <x:c r="AC505" s="31" t="str"/>
    </x:row>
    <x:row r="506">
      <x:c r="A506" s="31" t="str">
        <x:v>9bff7e1d5fed97f4</x:v>
      </x:c>
      <x:c r="B506" s="31" t="str">
        <x:v>9bff7e1d5fed97f45e2e080278783b85df2a2a0e1fb731654caded27c7cc6c35</x:v>
      </x:c>
      <x:c r="C506" s="31" t="n">
        <x:v>8</x:v>
      </x:c>
      <x:c r="D506" s="31" t="n">
        <x:v>37846</x:v>
      </x:c>
      <x:c r="E506" s="31" t="str">
        <x:v>Bronx</x:v>
      </x:c>
      <x:c r="F506" s="31" t="str">
        <x:v>Morrisania</x:v>
      </x:c>
      <x:c r="G506" s="31" t="n">
        <x:v>67420.37788838265</x:v>
      </x:c>
      <x:c r="H506" s="31" t="n">
        <x:v>15803</x:v>
      </x:c>
      <x:c r="I506" s="31" t="n">
        <x:v>7.102429894683416</x:v>
      </x:c>
      <x:c r="J506" s="40" t="n">
        <x:v>0.2715307220148073</x:v>
      </x:c>
      <x:c r="K506" s="40" t="n">
        <x:v>0.6799974688350313</x:v>
      </x:c>
      <x:c r="L506" s="40" t="n">
        <x:v>0.16465228121242803</x:v>
      </x:c>
      <x:c r="M506" s="31" t="n">
        <x:v>77.11296155949763</x:v>
      </x:c>
      <x:c r="N506" s="31" t="n">
        <x:v>205</x:v>
      </x:c>
      <x:c r="O506" s="31" t="n">
        <x:v>5.416688685726365</x:v>
      </x:c>
      <x:c r="P506" s="31" t="n">
        <x:v>5</x:v>
      </x:c>
      <x:c r="Q506" s="40" t="n">
        <x:v>1</x:v>
      </x:c>
      <x:c r="R506" s="31" t="n">
        <x:v>0.08334964613645247</x:v>
      </x:c>
      <x:c r="S506" s="40"/>
      <x:c r="T506" s="40"/>
      <x:c r="U506" s="40" t="n">
        <x:v>1</x:v>
      </x:c>
      <x:c r="V506" s="40" t="n">
        <x:v>0.9774726317787762</x:v>
      </x:c>
      <x:c r="W506" s="31" t="n">
        <x:v>1</x:v>
      </x:c>
      <x:c r="X506" s="31" t="str"/>
      <x:c r="Y506" s="31" t="n">
        <x:v>0</x:v>
      </x:c>
      <x:c r="Z506" s="31" t="n">
        <x:v>1</x:v>
      </x:c>
      <x:c r="AA506" s="31" t="n">
        <x:v>0</x:v>
      </x:c>
      <x:c r="AB506" s="31" t="str"/>
      <x:c r="AC506" s="31" t="str"/>
    </x:row>
    <x:row r="507">
      <x:c r="A507" s="31" t="str">
        <x:v>9c41534ba038da31</x:v>
      </x:c>
      <x:c r="B507" s="31" t="str">
        <x:v>9c41534ba038da3161c8479357c2c1cbded8969063e4b8d64a5d232508275113</x:v>
      </x:c>
      <x:c r="C507" s="31" t="n">
        <x:v>11</x:v>
      </x:c>
      <x:c r="D507" s="31" t="n">
        <x:v>32062</x:v>
      </x:c>
      <x:c r="E507" s="31" t="str">
        <x:v>Queens</x:v>
      </x:c>
      <x:c r="F507" s="31" t="str">
        <x:v>South Jamaica</x:v>
      </x:c>
      <x:c r="G507" s="31" t="n">
        <x:v>29640.724039519373</x:v>
      </x:c>
      <x:c r="H507" s="31" t="n">
        <x:v>11060</x:v>
      </x:c>
      <x:c r="I507" s="31" t="n">
        <x:v>7.121431517765069</x:v>
      </x:c>
      <x:c r="J507" s="40" t="n">
        <x:v>0.20750452079566004</x:v>
      </x:c>
      <x:c r="K507" s="40" t="n">
        <x:v>0.07784810126582278</x:v>
      </x:c>
      <x:c r="L507" s="40" t="n">
        <x:v>0.011934900542495479</x:v>
      </x:c>
      <x:c r="M507" s="31" t="n">
        <x:v>83.14873410833894</x:v>
      </x:c>
      <x:c r="N507" s="31" t="n">
        <x:v>42</x:v>
      </x:c>
      <x:c r="O507" s="31" t="n">
        <x:v>1.3099619487243466</x:v>
      </x:c>
      <x:c r="P507" s="31" t="n">
        <x:v>4.129927667269439</x:v>
      </x:c>
      <x:c r="Q507" s="40" t="n">
        <x:v>1</x:v>
      </x:c>
      <x:c r="R507" s="31" t="n">
        <x:v>0.1949668044490031</x:v>
      </x:c>
      <x:c r="S507" s="40"/>
      <x:c r="T507" s="40"/>
      <x:c r="U507" s="40" t="n">
        <x:v>1</x:v>
      </x:c>
      <x:c r="V507" s="40" t="n">
        <x:v>0.9917721518987341</x:v>
      </x:c>
      <x:c r="W507" s="31" t="n">
        <x:v>0</x:v>
      </x:c>
      <x:c r="X507" s="31" t="str"/>
      <x:c r="Y507" s="31" t="n">
        <x:v>0</x:v>
      </x:c>
      <x:c r="Z507" s="31" t="n">
        <x:v>0</x:v>
      </x:c>
      <x:c r="AA507" s="31" t="n">
        <x:v>0</x:v>
      </x:c>
      <x:c r="AB507" s="31" t="str"/>
      <x:c r="AC507" s="31" t="str"/>
    </x:row>
    <x:row r="508">
      <x:c r="A508" s="31" t="str">
        <x:v>9c4f2e232b6fe8c5</x:v>
      </x:c>
      <x:c r="B508" s="31" t="str">
        <x:v>9c4f2e232b6fe8c58039dcd4efd79b6e35a02a5f92ead64dfbcbe3fc920e0cfa</x:v>
      </x:c>
      <x:c r="C508" s="31" t="n">
        <x:v>17</x:v>
      </x:c>
      <x:c r="D508" s="31" t="n">
        <x:v>34975</x:v>
      </x:c>
      <x:c r="E508" s="31" t="str">
        <x:v>Brooklyn</x:v>
      </x:c>
      <x:c r="F508" s="31" t="str">
        <x:v>Flatlands</x:v>
      </x:c>
      <x:c r="G508" s="31" t="n">
        <x:v>30909.74939285989</x:v>
      </x:c>
      <x:c r="H508" s="31" t="n">
        <x:v>11337</x:v>
      </x:c>
      <x:c r="I508" s="31" t="n">
        <x:v>2.2683784737538595</x:v>
      </x:c>
      <x:c r="J508" s="40" t="n">
        <x:v>0</x:v>
      </x:c>
      <x:c r="K508" s="40" t="n">
        <x:v>0.16415277410249626</x:v>
      </x:c>
      <x:c r="L508" s="40" t="n">
        <x:v>0.03598835670812384</x:v>
      </x:c>
      <x:c r="M508" s="31" t="n">
        <x:v>28.477061036308815</x:v>
      </x:c>
      <x:c r="N508" s="31" t="n">
        <x:v>23</x:v>
      </x:c>
      <x:c r="O508" s="31" t="n">
        <x:v>0.6576125804145818</x:v>
      </x:c>
      <x:c r="P508" s="31" t="n">
        <x:v>2.158772161947605</x:v>
      </x:c>
      <x:c r="Q508" s="40" t="n">
        <x:v>0.05292405398253506</x:v>
      </x:c>
      <x:c r="R508" s="31" t="n">
        <x:v>0.23983056712021772</x:v>
      </x:c>
      <x:c r="S508" s="40"/>
      <x:c r="T508" s="40"/>
      <x:c r="U508" s="40" t="n">
        <x:v>1</x:v>
      </x:c>
      <x:c r="V508" s="40" t="n">
        <x:v>0.9991179324336245</x:v>
      </x:c>
      <x:c r="W508" s="31" t="n">
        <x:v>0</x:v>
      </x:c>
      <x:c r="X508" s="31" t="str"/>
      <x:c r="Y508" s="31" t="n">
        <x:v>0</x:v>
      </x:c>
      <x:c r="Z508" s="31" t="n">
        <x:v>0</x:v>
      </x:c>
      <x:c r="AA508" s="31" t="n">
        <x:v>0</x:v>
      </x:c>
      <x:c r="AB508" s="31" t="str"/>
      <x:c r="AC508" s="31" t="str"/>
    </x:row>
    <x:row r="509">
      <x:c r="A509" s="31" t="str">
        <x:v>9c831cfddab3422f</x:v>
      </x:c>
      <x:c r="B509" s="31" t="str">
        <x:v>9c831cfddab3422f8a20b53484021adb580c5dc38efc45f93043cd784fe0e93c</x:v>
      </x:c>
      <x:c r="C509" s="31" t="n">
        <x:v>9</x:v>
      </x:c>
      <x:c r="D509" s="31" t="n">
        <x:v>33221</x:v>
      </x:c>
      <x:c r="E509" s="31" t="str">
        <x:v>Brooklyn</x:v>
      </x:c>
      <x:c r="F509" s="31" t="str">
        <x:v>Sheepshead Bay-Manhattan Beach-Gerritsen Beach</x:v>
      </x:c>
      <x:c r="G509" s="31" t="n">
        <x:v>32371.238288233293</x:v>
      </x:c>
      <x:c r="H509" s="31" t="n">
        <x:v>13450</x:v>
      </x:c>
      <x:c r="I509" s="31" t="n">
        <x:v>4.219757860229474</x:v>
      </x:c>
      <x:c r="J509" s="40" t="n">
        <x:v>0</x:v>
      </x:c>
      <x:c r="K509" s="40" t="n">
        <x:v>0.602453531598513</x:v>
      </x:c>
      <x:c r="L509" s="40" t="n">
        <x:v>0.3499628252788104</x:v>
      </x:c>
      <x:c r="M509" s="31" t="n">
        <x:v>45.33716345272582</x:v>
      </x:c>
      <x:c r="N509" s="31" t="n">
        <x:v>195</x:v>
      </x:c>
      <x:c r="O509" s="31" t="n">
        <x:v>5.869781162517684</x:v>
      </x:c>
      <x:c r="P509" s="31" t="n">
        <x:v>3</x:v>
      </x:c>
      <x:c r="Q509" s="40" t="n">
        <x:v>0</x:v>
      </x:c>
      <x:c r="R509" s="31" t="n">
        <x:v>0.15715757142922804</x:v>
      </x:c>
      <x:c r="S509" s="40"/>
      <x:c r="T509" s="40"/>
      <x:c r="U509" s="40" t="n">
        <x:v>1</x:v>
      </x:c>
      <x:c r="V509" s="40" t="n">
        <x:v>0.9802973977695167</x:v>
      </x:c>
      <x:c r="W509" s="31" t="n">
        <x:v>0</x:v>
      </x:c>
      <x:c r="X509" s="31" t="str"/>
      <x:c r="Y509" s="31" t="n">
        <x:v>0</x:v>
      </x:c>
      <x:c r="Z509" s="31" t="n">
        <x:v>0</x:v>
      </x:c>
      <x:c r="AA509" s="31" t="n">
        <x:v>0</x:v>
      </x:c>
      <x:c r="AB509" s="31" t="str"/>
      <x:c r="AC509" s="31" t="str"/>
    </x:row>
    <x:row r="510">
      <x:c r="A510" s="31" t="str">
        <x:v>9c95b12c8bbc9819</x:v>
      </x:c>
      <x:c r="B510" s="31" t="str">
        <x:v>9c95b12c8bbc9819a8eaa2514af69c47f8a7ad2c8689afe95a768fc03c1e0557</x:v>
      </x:c>
      <x:c r="C510" s="31" t="n">
        <x:v>7</x:v>
      </x:c>
      <x:c r="D510" s="31" t="n">
        <x:v>36262</x:v>
      </x:c>
      <x:c r="E510" s="31" t="str">
        <x:v>Bronx</x:v>
      </x:c>
      <x:c r="F510" s="31" t="str">
        <x:v>Melrose</x:v>
      </x:c>
      <x:c r="G510" s="31" t="n">
        <x:v>66290.24026071998</x:v>
      </x:c>
      <x:c r="H510" s="31" t="n">
        <x:v>15491</x:v>
      </x:c>
      <x:c r="I510" s="31" t="n">
        <x:v>10.761607910576096</x:v>
      </x:c>
      <x:c r="J510" s="40" t="n">
        <x:v>0.5068749596539927</x:v>
      </x:c>
      <x:c r="K510" s="40" t="n">
        <x:v>0.4577496610935382</x:v>
      </x:c>
      <x:c r="L510" s="40" t="n">
        <x:v>0.2689303466528952</x:v>
      </x:c>
      <x:c r="M510" s="31" t="n">
        <x:v>105.0176099337343</x:v>
      </x:c>
      <x:c r="N510" s="31" t="n">
        <x:v>200</x:v>
      </x:c>
      <x:c r="O510" s="31" t="n">
        <x:v>5.515415586564448</x:v>
      </x:c>
      <x:c r="P510" s="31" t="n">
        <x:v>5</x:v>
      </x:c>
      <x:c r="Q510" s="40" t="n">
        <x:v>1</x:v>
      </x:c>
      <x:c r="R510" s="31" t="n">
        <x:v>0.0962244860928116</x:v>
      </x:c>
      <x:c r="S510" s="40"/>
      <x:c r="T510" s="40"/>
      <x:c r="U510" s="40" t="n">
        <x:v>1</x:v>
      </x:c>
      <x:c r="V510" s="40" t="n">
        <x:v>0.9761797172551804</x:v>
      </x:c>
      <x:c r="W510" s="31" t="n">
        <x:v>0</x:v>
      </x:c>
      <x:c r="X510" s="31" t="str"/>
      <x:c r="Y510" s="31" t="n">
        <x:v>0</x:v>
      </x:c>
      <x:c r="Z510" s="31" t="n">
        <x:v>0</x:v>
      </x:c>
      <x:c r="AA510" s="31" t="n">
        <x:v>0</x:v>
      </x:c>
      <x:c r="AB510" s="31" t="str"/>
      <x:c r="AC510" s="31" t="str"/>
    </x:row>
    <x:row r="511">
      <x:c r="A511" s="31" t="str">
        <x:v>9cc189145658771d</x:v>
      </x:c>
      <x:c r="B511" s="31" t="str">
        <x:v>9cc189145658771d9a95f2dbec152c37869a40e75f776bcd5b3a3788be458a2f</x:v>
      </x:c>
      <x:c r="C511" s="31" t="n">
        <x:v>8</x:v>
      </x:c>
      <x:c r="D511" s="31" t="n">
        <x:v>35271</x:v>
      </x:c>
      <x:c r="E511" s="31" t="str">
        <x:v>Brooklyn</x:v>
      </x:c>
      <x:c r="F511" s="31" t="str">
        <x:v>Bushwick (West)</x:v>
      </x:c>
      <x:c r="G511" s="31" t="n">
        <x:v>69446.17019829851</x:v>
      </x:c>
      <x:c r="H511" s="31" t="n">
        <x:v>14312</x:v>
      </x:c>
      <x:c r="I511" s="31" t="n">
        <x:v>3.887737928130264</x:v>
      </x:c>
      <x:c r="J511" s="40" t="n">
        <x:v>0.033817775293460035</x:v>
      </x:c>
      <x:c r="K511" s="40" t="n">
        <x:v>0.8320989379541643</x:v>
      </x:c>
      <x:c r="L511" s="40" t="n">
        <x:v>0.07147847959754053</x:v>
      </x:c>
      <x:c r="M511" s="31" t="n">
        <x:v>44.68264039700087</x:v>
      </x:c>
      <x:c r="N511" s="31" t="n">
        <x:v>111</x:v>
      </x:c>
      <x:c r="O511" s="31" t="n">
        <x:v>3.147061325167985</x:v>
      </x:c>
      <x:c r="P511" s="31" t="n">
        <x:v>4</x:v>
      </x:c>
      <x:c r="Q511" s="40" t="n">
        <x:v>1</x:v>
      </x:c>
      <x:c r="R511" s="31" t="n">
        <x:v>0.1406169948561118</x:v>
      </x:c>
      <x:c r="S511" s="40"/>
      <x:c r="T511" s="40"/>
      <x:c r="U511" s="40" t="n">
        <x:v>1</x:v>
      </x:c>
      <x:c r="V511" s="40" t="n">
        <x:v>0.963806595863611</x:v>
      </x:c>
      <x:c r="W511" s="31" t="n">
        <x:v>1</x:v>
      </x:c>
      <x:c r="X511" s="31" t="str"/>
      <x:c r="Y511" s="31" t="n">
        <x:v>0</x:v>
      </x:c>
      <x:c r="Z511" s="31" t="n">
        <x:v>1</x:v>
      </x:c>
      <x:c r="AA511" s="31" t="n">
        <x:v>0</x:v>
      </x:c>
      <x:c r="AB511" s="31" t="str"/>
      <x:c r="AC511" s="31" t="str"/>
    </x:row>
    <x:row r="512">
      <x:c r="A512" s="31" t="str">
        <x:v>9cf083dd2c4f0a47</x:v>
      </x:c>
      <x:c r="B512" s="31" t="str">
        <x:v>9cf083dd2c4f0a473c29bd790424cb8ec7d9471bec1ded9c81d658564f31cc2d</x:v>
      </x:c>
      <x:c r="C512" s="31" t="n">
        <x:v>8</x:v>
      </x:c>
      <x:c r="D512" s="31" t="n">
        <x:v>35254</x:v>
      </x:c>
      <x:c r="E512" s="31" t="str">
        <x:v>Manhattan</x:v>
      </x:c>
      <x:c r="F512" s="31" t="str">
        <x:v>East Midtown-Turtle Bay</x:v>
      </x:c>
      <x:c r="G512" s="31" t="n">
        <x:v>116736.51560407999</x:v>
      </x:c>
      <x:c r="H512" s="31" t="n">
        <x:v>24503</x:v>
      </x:c>
      <x:c r="I512" s="31" t="n">
        <x:v>20.730261808034797</x:v>
      </x:c>
      <x:c r="J512" s="40" t="n">
        <x:v>0.8047586009876342</x:v>
      </x:c>
      <x:c r="K512" s="40" t="n">
        <x:v>0.18973186956699178</x:v>
      </x:c>
      <x:c r="L512" s="40" t="n">
        <x:v>0.03611802636411868</x:v>
      </x:c>
      <x:c r="M512" s="31" t="n">
        <x:v>217.54459631679308</x:v>
      </x:c>
      <x:c r="N512" s="31" t="n">
        <x:v>716</x:v>
      </x:c>
      <x:c r="O512" s="31" t="n">
        <x:v>20.309752084869803</x:v>
      </x:c>
      <x:c r="P512" s="31" t="n">
        <x:v>1</x:v>
      </x:c>
      <x:c r="Q512" s="40" t="n">
        <x:v>0</x:v>
      </x:c>
      <x:c r="R512" s="31" t="n">
        <x:v>0.17215660401385388</x:v>
      </x:c>
      <x:c r="S512" s="40"/>
      <x:c r="T512" s="40"/>
      <x:c r="U512" s="40" t="n">
        <x:v>1</x:v>
      </x:c>
      <x:c r="V512" s="40" t="n">
        <x:v>0.99975513202465</x:v>
      </x:c>
      <x:c r="W512" s="31" t="n">
        <x:v>1</x:v>
      </x:c>
      <x:c r="X512" s="31" t="str"/>
      <x:c r="Y512" s="31" t="n">
        <x:v>1</x:v>
      </x:c>
      <x:c r="Z512" s="31" t="n">
        <x:v>0</x:v>
      </x:c>
      <x:c r="AA512" s="31" t="n">
        <x:v>0</x:v>
      </x:c>
      <x:c r="AB512" s="31" t="str"/>
      <x:c r="AC512" s="31" t="str"/>
    </x:row>
    <x:row r="513">
      <x:c r="A513" s="31" t="str">
        <x:v>9d9921d79d6c7f0f</x:v>
      </x:c>
      <x:c r="B513" s="31" t="str">
        <x:v>9d9921d79d6c7f0fbd3b2d8e5d22630dae40000c5c8e1b891e14e82d5fedf747</x:v>
      </x:c>
      <x:c r="C513" s="31" t="n">
        <x:v>9</x:v>
      </x:c>
      <x:c r="D513" s="31" t="n">
        <x:v>34346</x:v>
      </x:c>
      <x:c r="E513" s="31" t="str">
        <x:v>Staten Island</x:v>
      </x:c>
      <x:c r="F513" s="31" t="str">
        <x:v>Rosebank-Shore Acres-Park Hill</x:v>
      </x:c>
      <x:c r="G513" s="31" t="n">
        <x:v>24112.971449838624</x:v>
      </x:c>
      <x:c r="H513" s="31" t="n">
        <x:v>11232</x:v>
      </x:c>
      <x:c r="I513" s="31" t="n">
        <x:v>3.2780893366619117</x:v>
      </x:c>
      <x:c r="J513" s="40" t="n">
        <x:v>0</x:v>
      </x:c>
      <x:c r="K513" s="40" t="n">
        <x:v>0.375</x:v>
      </x:c>
      <x:c r="L513" s="40" t="n">
        <x:v>0.28249643874643876</x:v>
      </x:c>
      <x:c r="M513" s="31" t="n">
        <x:v>39.313232146037635</x:v>
      </x:c>
      <x:c r="N513" s="31" t="n">
        <x:v>55</x:v>
      </x:c>
      <x:c r="O513" s="31" t="n">
        <x:v>1.6013509578990275</x:v>
      </x:c>
      <x:c r="P513" s="31" t="n">
        <x:v>2.6278490028490027</x:v>
      </x:c>
      <x:c r="Q513" s="40" t="n">
        <x:v>0</x:v>
      </x:c>
      <x:c r="R513" s="31" t="n">
        <x:v>0.19461090093356934</x:v>
      </x:c>
      <x:c r="S513" s="40"/>
      <x:c r="T513" s="40"/>
      <x:c r="U513" s="40" t="n">
        <x:v>1</x:v>
      </x:c>
      <x:c r="V513" s="40" t="n">
        <x:v>0.9747150997150997</x:v>
      </x:c>
      <x:c r="W513" s="31" t="n">
        <x:v>0</x:v>
      </x:c>
      <x:c r="X513" s="31" t="str"/>
      <x:c r="Y513" s="31" t="n">
        <x:v>0</x:v>
      </x:c>
      <x:c r="Z513" s="31" t="n">
        <x:v>0</x:v>
      </x:c>
      <x:c r="AA513" s="31" t="n">
        <x:v>0</x:v>
      </x:c>
      <x:c r="AB513" s="31" t="str"/>
      <x:c r="AC513" s="31" t="str"/>
    </x:row>
    <x:row r="514">
      <x:c r="A514" s="31" t="str">
        <x:v>9dc2e706089c6d64</x:v>
      </x:c>
      <x:c r="B514" s="31" t="str">
        <x:v>9dc2e706089c6d6468b5094e91533eebcab67419082bb577924c1b8cbf5c8bc4</x:v>
      </x:c>
      <x:c r="C514" s="31" t="n">
        <x:v>8</x:v>
      </x:c>
      <x:c r="D514" s="31" t="n">
        <x:v>33232</x:v>
      </x:c>
      <x:c r="E514" s="31" t="str">
        <x:v>Queens</x:v>
      </x:c>
      <x:c r="F514" s="31" t="str">
        <x:v>North Corona</x:v>
      </x:c>
      <x:c r="G514" s="31" t="n">
        <x:v>73996.09543062121</x:v>
      </x:c>
      <x:c r="H514" s="31" t="n">
        <x:v>8537</x:v>
      </x:c>
      <x:c r="I514" s="31" t="n">
        <x:v>3.6553862534011596</x:v>
      </x:c>
      <x:c r="J514" s="40" t="n">
        <x:v>0.030221389246808013</x:v>
      </x:c>
      <x:c r="K514" s="40" t="n">
        <x:v>0.5724493381750029</x:v>
      </x:c>
      <x:c r="L514" s="40" t="n">
        <x:v>0.06629963687478037</x:v>
      </x:c>
      <x:c r="M514" s="31" t="n">
        <x:v>37.99575339831841</x:v>
      </x:c>
      <x:c r="N514" s="31" t="n">
        <x:v>66</x:v>
      </x:c>
      <x:c r="O514" s="31" t="n">
        <x:v>1.9860375541646607</x:v>
      </x:c>
      <x:c r="P514" s="31" t="n">
        <x:v>4</x:v>
      </x:c>
      <x:c r="Q514" s="40" t="n">
        <x:v>1</x:v>
      </x:c>
      <x:c r="R514" s="31" t="n">
        <x:v>0.15439049287860973</x:v>
      </x:c>
      <x:c r="S514" s="40"/>
      <x:c r="T514" s="40"/>
      <x:c r="U514" s="40" t="n">
        <x:v>1</x:v>
      </x:c>
      <x:c r="V514" s="40" t="n">
        <x:v>0.9550193276326578</x:v>
      </x:c>
      <x:c r="W514" s="31" t="n">
        <x:v>1</x:v>
      </x:c>
      <x:c r="X514" s="31" t="str"/>
      <x:c r="Y514" s="31" t="n">
        <x:v>0</x:v>
      </x:c>
      <x:c r="Z514" s="31" t="n">
        <x:v>1</x:v>
      </x:c>
      <x:c r="AA514" s="31" t="n">
        <x:v>0</x:v>
      </x:c>
      <x:c r="AB514" s="31" t="str"/>
      <x:c r="AC514" s="31" t="str"/>
    </x:row>
    <x:row r="515">
      <x:c r="A515" s="31" t="str">
        <x:v>9e1a78cf4a0c7a4d</x:v>
      </x:c>
      <x:c r="B515" s="31" t="str">
        <x:v>9e1a78cf4a0c7a4df7e32a8290fb4a6274da5b7f9375f102cf3f4b9227396998</x:v>
      </x:c>
      <x:c r="C515" s="31" t="n">
        <x:v>7</x:v>
      </x:c>
      <x:c r="D515" s="31" t="n">
        <x:v>33001</x:v>
      </x:c>
      <x:c r="E515" s="31" t="str">
        <x:v>Queens</x:v>
      </x:c>
      <x:c r="F515" s="31" t="str">
        <x:v>Ridgewood</x:v>
      </x:c>
      <x:c r="G515" s="31" t="n">
        <x:v>78862.4546029508</x:v>
      </x:c>
      <x:c r="H515" s="31" t="n">
        <x:v>12375</x:v>
      </x:c>
      <x:c r="I515" s="31" t="n">
        <x:v>3.0692695214105794</x:v>
      </x:c>
      <x:c r="J515" s="40" t="n">
        <x:v>0.010101010101010102</x:v>
      </x:c>
      <x:c r="K515" s="40" t="n">
        <x:v>0.7280808080808081</x:v>
      </x:c>
      <x:c r="L515" s="40" t="n">
        <x:v>0.008</x:v>
      </x:c>
      <x:c r="M515" s="31" t="n">
        <x:v>36.77609442682927</x:v>
      </x:c>
      <x:c r="N515" s="31" t="n">
        <x:v>38</x:v>
      </x:c>
      <x:c r="O515" s="31" t="n">
        <x:v>1.1514802581739947</x:v>
      </x:c>
      <x:c r="P515" s="31" t="n">
        <x:v>1.9687272727272727</x:v>
      </x:c>
      <x:c r="Q515" s="40" t="n">
        <x:v>0.3229090909090909</x:v>
      </x:c>
      <x:c r="R515" s="31" t="n">
        <x:v>0.166565999487399</x:v>
      </x:c>
      <x:c r="S515" s="40"/>
      <x:c r="T515" s="40"/>
      <x:c r="U515" s="40" t="n">
        <x:v>1</x:v>
      </x:c>
      <x:c r="V515" s="40" t="n">
        <x:v>0.9873131313131314</x:v>
      </x:c>
      <x:c r="W515" s="31" t="n">
        <x:v>0</x:v>
      </x:c>
      <x:c r="X515" s="31" t="str"/>
      <x:c r="Y515" s="31" t="n">
        <x:v>0</x:v>
      </x:c>
      <x:c r="Z515" s="31" t="n">
        <x:v>0</x:v>
      </x:c>
      <x:c r="AA515" s="31" t="n">
        <x:v>0</x:v>
      </x:c>
      <x:c r="AB515" s="31" t="str"/>
      <x:c r="AC515" s="31" t="str"/>
    </x:row>
    <x:row r="516">
      <x:c r="A516" s="31" t="str">
        <x:v>9e69323e49d866a5</x:v>
      </x:c>
      <x:c r="B516" s="31" t="str">
        <x:v>9e69323e49d866a5ef00f4d6fba17453dd3542f7ac71cf5c872a49a3b2735137</x:v>
      </x:c>
      <x:c r="C516" s="31" t="n">
        <x:v>15</x:v>
      </x:c>
      <x:c r="D516" s="31" t="n">
        <x:v>32966</x:v>
      </x:c>
      <x:c r="E516" s="31" t="str">
        <x:v>Queens</x:v>
      </x:c>
      <x:c r="F516" s="31" t="str">
        <x:v>Queens Village</x:v>
      </x:c>
      <x:c r="G516" s="31" t="n">
        <x:v>22720.019215135613</x:v>
      </x:c>
      <x:c r="H516" s="31" t="n">
        <x:v>9342</x:v>
      </x:c>
      <x:c r="I516" s="31" t="n">
        <x:v>2.1728447444551593</x:v>
      </x:c>
      <x:c r="J516" s="40" t="n">
        <x:v>0</x:v>
      </x:c>
      <x:c r="K516" s="40" t="n">
        <x:v>0.004174694926140013</x:v>
      </x:c>
      <x:c r="L516" s="40" t="n">
        <x:v>0.00995504174694926</x:v>
      </x:c>
      <x:c r="M516" s="31" t="n">
        <x:v>26.47932062356492</x:v>
      </x:c>
      <x:c r="N516" s="31" t="n">
        <x:v>4</x:v>
      </x:c>
      <x:c r="O516" s="31" t="n">
        <x:v>0.12133713523023722</x:v>
      </x:c>
      <x:c r="P516" s="31" t="n">
        <x:v>4.97634339541854</x:v>
      </x:c>
      <x:c r="Q516" s="40" t="n">
        <x:v>1</x:v>
      </x:c>
      <x:c r="R516" s="31" t="n">
        <x:v>0.22989480985402114</x:v>
      </x:c>
      <x:c r="S516" s="40"/>
      <x:c r="T516" s="40"/>
      <x:c r="U516" s="40" t="n">
        <x:v>1</x:v>
      </x:c>
      <x:c r="V516" s="40" t="n">
        <x:v>0.9983943481053308</x:v>
      </x:c>
      <x:c r="W516" s="31" t="n">
        <x:v>0</x:v>
      </x:c>
      <x:c r="X516" s="31" t="str"/>
      <x:c r="Y516" s="31" t="n">
        <x:v>0</x:v>
      </x:c>
      <x:c r="Z516" s="31" t="n">
        <x:v>0</x:v>
      </x:c>
      <x:c r="AA516" s="31" t="n">
        <x:v>0</x:v>
      </x:c>
      <x:c r="AB516" s="31" t="str"/>
      <x:c r="AC516" s="31" t="str"/>
    </x:row>
    <x:row r="517">
      <x:c r="A517" s="31" t="str">
        <x:v>9f20947f8b53af4c</x:v>
      </x:c>
      <x:c r="B517" s="31" t="str">
        <x:v>9f20947f8b53af4cbef29da1e631b3aee72f13923fffa76b4fface4ac9488543</x:v>
      </x:c>
      <x:c r="C517" s="31" t="n">
        <x:v>7</x:v>
      </x:c>
      <x:c r="D517" s="31" t="n">
        <x:v>37467</x:v>
      </x:c>
      <x:c r="E517" s="31" t="str">
        <x:v>Staten Island</x:v>
      </x:c>
      <x:c r="F517" s="31" t="str">
        <x:v>Great Kills-Eltingville</x:v>
      </x:c>
      <x:c r="G517" s="31" t="n">
        <x:v>13155.264137165837</x:v>
      </x:c>
      <x:c r="H517" s="31" t="n">
        <x:v>14276</x:v>
      </x:c>
      <x:c r="I517" s="31" t="n">
        <x:v>1.9796008195563093</x:v>
      </x:c>
      <x:c r="J517" s="40" t="n">
        <x:v>0</x:v>
      </x:c>
      <x:c r="K517" s="40" t="n">
        <x:v>0.08966096945923228</x:v>
      </x:c>
      <x:c r="L517" s="40" t="n">
        <x:v>0.05785934435416083</x:v>
      </x:c>
      <x:c r="M517" s="31" t="n">
        <x:v>26.011875305648925</x:v>
      </x:c>
      <x:c r="N517" s="31" t="n">
        <x:v>21</x:v>
      </x:c>
      <x:c r="O517" s="31" t="n">
        <x:v>0.5604932340459605</x:v>
      </x:c>
      <x:c r="P517" s="31" t="n">
        <x:v>1.6674838890445502</x:v>
      </x:c>
      <x:c r="Q517" s="40" t="n">
        <x:v>0</x:v>
      </x:c>
      <x:c r="R517" s="31" t="n">
        <x:v>0.33927343067388915</x:v>
      </x:c>
      <x:c r="S517" s="40"/>
      <x:c r="T517" s="40"/>
      <x:c r="U517" s="40" t="n">
        <x:v>1</x:v>
      </x:c>
      <x:c r="V517" s="40" t="n">
        <x:v>0.9936256654525077</x:v>
      </x:c>
      <x:c r="W517" s="31" t="n">
        <x:v>0</x:v>
      </x:c>
      <x:c r="X517" s="31" t="str"/>
      <x:c r="Y517" s="31" t="n">
        <x:v>0</x:v>
      </x:c>
      <x:c r="Z517" s="31" t="n">
        <x:v>0</x:v>
      </x:c>
      <x:c r="AA517" s="31" t="n">
        <x:v>0</x:v>
      </x:c>
      <x:c r="AB517" s="31" t="str"/>
      <x:c r="AC517" s="31" t="str"/>
    </x:row>
    <x:row r="518">
      <x:c r="A518" s="31" t="str">
        <x:v>a0a6b76e0f672658</x:v>
      </x:c>
      <x:c r="B518" s="31" t="str">
        <x:v>a0a6b76e0f672658d8c9b963cd40153c68fd1864057e5bd28a4697d78696d10b</x:v>
      </x:c>
      <x:c r="C518" s="31" t="n">
        <x:v>13</x:v>
      </x:c>
      <x:c r="D518" s="31" t="n">
        <x:v>33641</x:v>
      </x:c>
      <x:c r="E518" s="31" t="str">
        <x:v>Queens</x:v>
      </x:c>
      <x:c r="F518" s="31" t="str">
        <x:v>Auburndale</x:v>
      </x:c>
      <x:c r="G518" s="31" t="n">
        <x:v>19742.14078240676</x:v>
      </x:c>
      <x:c r="H518" s="31" t="n">
        <x:v>12540</x:v>
      </x:c>
      <x:c r="I518" s="31" t="n">
        <x:v>2.296761267435298</x:v>
      </x:c>
      <x:c r="J518" s="40" t="n">
        <x:v>0</x:v>
      </x:c>
      <x:c r="K518" s="40" t="n">
        <x:v>0.18700159489633175</x:v>
      </x:c>
      <x:c r="L518" s="40" t="n">
        <x:v>0.10263157894736842</x:v>
      </x:c>
      <x:c r="M518" s="31" t="n">
        <x:v>28.8570367311566</x:v>
      </x:c>
      <x:c r="N518" s="31" t="n">
        <x:v>25</x:v>
      </x:c>
      <x:c r="O518" s="31" t="n">
        <x:v>0.7431408103207395</x:v>
      </x:c>
      <x:c r="P518" s="31" t="n">
        <x:v>2.3472886762360448</x:v>
      </x:c>
      <x:c r="Q518" s="40" t="n">
        <x:v>0</x:v>
      </x:c>
      <x:c r="R518" s="31" t="n">
        <x:v>0.24533561172804969</x:v>
      </x:c>
      <x:c r="S518" s="40"/>
      <x:c r="T518" s="40"/>
      <x:c r="U518" s="40" t="n">
        <x:v>1</x:v>
      </x:c>
      <x:c r="V518" s="40" t="n">
        <x:v>0.9914673046251994</x:v>
      </x:c>
      <x:c r="W518" s="31" t="n">
        <x:v>0</x:v>
      </x:c>
      <x:c r="X518" s="31" t="str"/>
      <x:c r="Y518" s="31" t="n">
        <x:v>0</x:v>
      </x:c>
      <x:c r="Z518" s="31" t="n">
        <x:v>0</x:v>
      </x:c>
      <x:c r="AA518" s="31" t="n">
        <x:v>0</x:v>
      </x:c>
      <x:c r="AB518" s="31" t="str"/>
      <x:c r="AC518" s="31" t="str"/>
    </x:row>
    <x:row r="519">
      <x:c r="A519" s="31" t="str">
        <x:v>a126667f21c43632</x:v>
      </x:c>
      <x:c r="B519" s="31" t="str">
        <x:v>a126667f21c436328ac943bf6f0b543a3291fc7f47b6321e1faa6fb1d6856f33</x:v>
      </x:c>
      <x:c r="C519" s="31" t="n">
        <x:v>12</x:v>
      </x:c>
      <x:c r="D519" s="31" t="n">
        <x:v>33021</x:v>
      </x:c>
      <x:c r="E519" s="31" t="str">
        <x:v>Queens</x:v>
      </x:c>
      <x:c r="F519" s="31" t="str">
        <x:v>Astoria (East)-Woodside (North)</x:v>
      </x:c>
      <x:c r="G519" s="31" t="n">
        <x:v>40497.974973985736</x:v>
      </x:c>
      <x:c r="H519" s="31" t="n">
        <x:v>15187</x:v>
      </x:c>
      <x:c r="I519" s="31" t="n">
        <x:v>3.8351958586125035</x:v>
      </x:c>
      <x:c r="J519" s="40" t="n">
        <x:v>0.02330940936327122</x:v>
      </x:c>
      <x:c r="K519" s="40" t="n">
        <x:v>0.722525844472246</x:v>
      </x:c>
      <x:c r="L519" s="40" t="n">
        <x:v>0.15454006716270494</x:v>
      </x:c>
      <x:c r="M519" s="31" t="n">
        <x:v>43.28534804828385</x:v>
      </x:c>
      <x:c r="N519" s="31" t="n">
        <x:v>134</x:v>
      </x:c>
      <x:c r="O519" s="31" t="n">
        <x:v>4.058023681899397</x:v>
      </x:c>
      <x:c r="P519" s="31" t="n">
        <x:v>3.1265556067689473</x:v>
      </x:c>
      <x:c r="Q519" s="40" t="n">
        <x:v>0.12655560676894712</x:v>
      </x:c>
      <x:c r="R519" s="31" t="n">
        <x:v>0.16191188954881158</x:v>
      </x:c>
      <x:c r="S519" s="40"/>
      <x:c r="T519" s="40"/>
      <x:c r="U519" s="40" t="n">
        <x:v>1</x:v>
      </x:c>
      <x:c r="V519" s="40" t="n">
        <x:v>0.9979587805359847</x:v>
      </x:c>
      <x:c r="W519" s="31" t="n">
        <x:v>0</x:v>
      </x:c>
      <x:c r="X519" s="31" t="str"/>
      <x:c r="Y519" s="31" t="n">
        <x:v>0</x:v>
      </x:c>
      <x:c r="Z519" s="31" t="n">
        <x:v>0</x:v>
      </x:c>
      <x:c r="AA519" s="31" t="n">
        <x:v>0</x:v>
      </x:c>
      <x:c r="AB519" s="31" t="str"/>
      <x:c r="AC519" s="31" t="str"/>
    </x:row>
    <x:row r="520">
      <x:c r="A520" s="31" t="str">
        <x:v>a1d886c17df5eba4</x:v>
      </x:c>
      <x:c r="B520" s="31" t="str">
        <x:v>a1d886c17df5eba4afd2359f1fe6cd0ec8ec6209384858566564c37f396e1ee5</x:v>
      </x:c>
      <x:c r="C520" s="31" t="n">
        <x:v>10</x:v>
      </x:c>
      <x:c r="D520" s="31" t="n">
        <x:v>32553</x:v>
      </x:c>
      <x:c r="E520" s="31" t="str">
        <x:v>Queens</x:v>
      </x:c>
      <x:c r="F520" s="31" t="str">
        <x:v>Sunnyside</x:v>
      </x:c>
      <x:c r="G520" s="31" t="n">
        <x:v>45159.758149536225</x:v>
      </x:c>
      <x:c r="H520" s="31" t="n">
        <x:v>15463</x:v>
      </x:c>
      <x:c r="I520" s="31" t="n">
        <x:v>4.978459785086291</x:v>
      </x:c>
      <x:c r="J520" s="40" t="n">
        <x:v>0.02425143891870918</x:v>
      </x:c>
      <x:c r="K520" s="40" t="n">
        <x:v>0.886503265860441</x:v>
      </x:c>
      <x:c r="L520" s="40" t="n">
        <x:v>0.11136260751471254</x:v>
      </x:c>
      <x:c r="M520" s="31" t="n">
        <x:v>54.653435949550996</x:v>
      </x:c>
      <x:c r="N520" s="31" t="n">
        <x:v>200</x:v>
      </x:c>
      <x:c r="O520" s="31" t="n">
        <x:v>6.143826989831966</x:v>
      </x:c>
      <x:c r="P520" s="31" t="n">
        <x:v>3.0001293410075665</x:v>
      </x:c>
      <x:c r="Q520" s="40" t="n">
        <x:v>0.00012934100756644895</x:v>
      </x:c>
      <x:c r="R520" s="31" t="n">
        <x:v>0.15630366040724752</x:v>
      </x:c>
      <x:c r="S520" s="40"/>
      <x:c r="T520" s="40"/>
      <x:c r="U520" s="40" t="n">
        <x:v>1</x:v>
      </x:c>
      <x:c r="V520" s="40" t="n">
        <x:v>0.9822802819633965</x:v>
      </x:c>
      <x:c r="W520" s="31" t="n">
        <x:v>0</x:v>
      </x:c>
      <x:c r="X520" s="31" t="str"/>
      <x:c r="Y520" s="31" t="n">
        <x:v>0</x:v>
      </x:c>
      <x:c r="Z520" s="31" t="n">
        <x:v>0</x:v>
      </x:c>
      <x:c r="AA520" s="31" t="n">
        <x:v>0</x:v>
      </x:c>
      <x:c r="AB520" s="31" t="str"/>
      <x:c r="AC520" s="31" t="str"/>
    </x:row>
    <x:row r="521">
      <x:c r="A521" s="31" t="str">
        <x:v>a2e08b0c528ab5c6</x:v>
      </x:c>
      <x:c r="B521" s="31" t="str">
        <x:v>a2e08b0c528ab5c6d66b6b0a393ddd263b8a9f57f0d5a69c8d9a4bb3f1c665dd</x:v>
      </x:c>
      <x:c r="C521" s="31" t="n">
        <x:v>8</x:v>
      </x:c>
      <x:c r="D521" s="31" t="n">
        <x:v>32600</x:v>
      </x:c>
      <x:c r="E521" s="31" t="str">
        <x:v>Queens</x:v>
      </x:c>
      <x:c r="F521" s="31" t="str">
        <x:v>Rosedale</x:v>
      </x:c>
      <x:c r="G521" s="31" t="n">
        <x:v>20372.62652340081</x:v>
      </x:c>
      <x:c r="H521" s="31" t="n">
        <x:v>9539</x:v>
      </x:c>
      <x:c r="I521" s="31" t="n">
        <x:v>1.951627222046913</x:v>
      </x:c>
      <x:c r="J521" s="40" t="n">
        <x:v>0</x:v>
      </x:c>
      <x:c r="K521" s="40" t="n">
        <x:v>0.004717475626375931</x:v>
      </x:c>
      <x:c r="L521" s="40" t="n">
        <x:v>0.01698291225495335</x:v>
      </x:c>
      <x:c r="M521" s="31" t="n">
        <x:v>25.486814257941983</x:v>
      </x:c>
      <x:c r="N521" s="31" t="n">
        <x:v>5</x:v>
      </x:c>
      <x:c r="O521" s="31" t="n">
        <x:v>0.15337423312883436</x:v>
      </x:c>
      <x:c r="P521" s="31" t="n">
        <x:v>4</x:v>
      </x:c>
      <x:c r="Q521" s="40" t="n">
        <x:v>1</x:v>
      </x:c>
      <x:c r="R521" s="31" t="n">
        <x:v>0.23400474490085899</x:v>
      </x:c>
      <x:c r="S521" s="40"/>
      <x:c r="T521" s="40"/>
      <x:c r="U521" s="40" t="n">
        <x:v>1</x:v>
      </x:c>
      <x:c r="V521" s="40" t="n">
        <x:v>0.9938148652898626</x:v>
      </x:c>
      <x:c r="W521" s="31" t="n">
        <x:v>0</x:v>
      </x:c>
      <x:c r="X521" s="31" t="str"/>
      <x:c r="Y521" s="31" t="n">
        <x:v>0</x:v>
      </x:c>
      <x:c r="Z521" s="31" t="n">
        <x:v>0</x:v>
      </x:c>
      <x:c r="AA521" s="31" t="n">
        <x:v>0</x:v>
      </x:c>
      <x:c r="AB521" s="31" t="str"/>
      <x:c r="AC521" s="31" t="str"/>
    </x:row>
    <x:row r="522">
      <x:c r="A522" s="31" t="str">
        <x:v>a2eb7f25c721d6d3</x:v>
      </x:c>
      <x:c r="B522" s="31" t="str">
        <x:v>a2eb7f25c721d6d3cfafea958ea897d7f39a3360104c5d8d86cfa6ecf488703e</x:v>
      </x:c>
      <x:c r="C522" s="31" t="n">
        <x:v>7</x:v>
      </x:c>
      <x:c r="D522" s="31" t="n">
        <x:v>32300</x:v>
      </x:c>
      <x:c r="E522" s="31" t="str">
        <x:v>Brooklyn</x:v>
      </x:c>
      <x:c r="F522" s="31" t="str">
        <x:v>East Flatbush-Erasmus</x:v>
      </x:c>
      <x:c r="G522" s="31" t="n">
        <x:v>68151.53409119805</x:v>
      </x:c>
      <x:c r="H522" s="31" t="n">
        <x:v>16295</x:v>
      </x:c>
      <x:c r="I522" s="31" t="n">
        <x:v>5.6734010279553715</x:v>
      </x:c>
      <x:c r="J522" s="40" t="n">
        <x:v>0.05296103099110157</x:v>
      </x:c>
      <x:c r="K522" s="40" t="n">
        <x:v>0.8076096962258361</x:v>
      </x:c>
      <x:c r="L522" s="40" t="n">
        <x:v>0.011230438784903344</x:v>
      </x:c>
      <x:c r="M522" s="31" t="n">
        <x:v>64.08097727582827</x:v>
      </x:c>
      <x:c r="N522" s="31" t="n">
        <x:v>234</x:v>
      </x:c>
      <x:c r="O522" s="31" t="n">
        <x:v>7.244582043343653</x:v>
      </x:c>
      <x:c r="P522" s="31" t="n">
        <x:v>5</x:v>
      </x:c>
      <x:c r="Q522" s="40" t="n">
        <x:v>1</x:v>
      </x:c>
      <x:c r="R522" s="31" t="n">
        <x:v>0.15597401212307502</x:v>
      </x:c>
      <x:c r="S522" s="40"/>
      <x:c r="T522" s="40"/>
      <x:c r="U522" s="40" t="n">
        <x:v>1</x:v>
      </x:c>
      <x:c r="V522" s="40" t="n">
        <x:v>0.9520711874808223</x:v>
      </x:c>
      <x:c r="W522" s="31" t="n">
        <x:v>1</x:v>
      </x:c>
      <x:c r="X522" s="31" t="str"/>
      <x:c r="Y522" s="31" t="n">
        <x:v>0</x:v>
      </x:c>
      <x:c r="Z522" s="31" t="n">
        <x:v>1</x:v>
      </x:c>
      <x:c r="AA522" s="31" t="n">
        <x:v>0</x:v>
      </x:c>
      <x:c r="AB522" s="31" t="str"/>
      <x:c r="AC522" s="31" t="str"/>
    </x:row>
    <x:row r="523">
      <x:c r="A523" s="31" t="str">
        <x:v>a32b99a3d81293cb</x:v>
      </x:c>
      <x:c r="B523" s="31" t="str">
        <x:v>a32b99a3d81293cbffc1322fc216fb1070ad973392884017b4cfb878c13ce374</x:v>
      </x:c>
      <x:c r="C523" s="31" t="n">
        <x:v>7</x:v>
      </x:c>
      <x:c r="D523" s="31" t="n">
        <x:v>32586</x:v>
      </x:c>
      <x:c r="E523" s="31" t="str">
        <x:v>Bronx</x:v>
      </x:c>
      <x:c r="F523" s="31" t="str">
        <x:v>Soundview-Bruckner-Bronx River</x:v>
      </x:c>
      <x:c r="G523" s="31" t="n">
        <x:v>64937.07190441001</x:v>
      </x:c>
      <x:c r="H523" s="31" t="n">
        <x:v>10444</x:v>
      </x:c>
      <x:c r="I523" s="31" t="n">
        <x:v>5.868704519341248</x:v>
      </x:c>
      <x:c r="J523" s="40" t="n">
        <x:v>0.21639218690157028</x:v>
      </x:c>
      <x:c r="K523" s="40" t="n">
        <x:v>0.47529682114132515</x:v>
      </x:c>
      <x:c r="L523" s="40" t="n">
        <x:v>0.12054768288012256</x:v>
      </x:c>
      <x:c r="M523" s="31" t="n">
        <x:v>62.447393089304605</x:v>
      </x:c>
      <x:c r="N523" s="31" t="n">
        <x:v>87</x:v>
      </x:c>
      <x:c r="O523" s="31" t="n">
        <x:v>2.6698582213220403</x:v>
      </x:c>
      <x:c r="P523" s="31" t="n">
        <x:v>4.042320949827652</x:v>
      </x:c>
      <x:c r="Q523" s="40" t="n">
        <x:v>1</x:v>
      </x:c>
      <x:c r="R523" s="31" t="n">
        <x:v>0.13685447455043173</x:v>
      </x:c>
      <x:c r="S523" s="40"/>
      <x:c r="T523" s="40"/>
      <x:c r="U523" s="40" t="n">
        <x:v>1</x:v>
      </x:c>
      <x:c r="V523" s="40" t="n">
        <x:v>0.9996170049789352</x:v>
      </x:c>
      <x:c r="W523" s="31" t="n">
        <x:v>0</x:v>
      </x:c>
      <x:c r="X523" s="31" t="str"/>
      <x:c r="Y523" s="31" t="n">
        <x:v>0</x:v>
      </x:c>
      <x:c r="Z523" s="31" t="n">
        <x:v>0</x:v>
      </x:c>
      <x:c r="AA523" s="31" t="n">
        <x:v>0</x:v>
      </x:c>
      <x:c r="AB523" s="31" t="str"/>
      <x:c r="AC523" s="31" t="str"/>
    </x:row>
    <x:row r="524">
      <x:c r="A524" s="31" t="str">
        <x:v>a3cf6c017ec32e5b</x:v>
      </x:c>
      <x:c r="B524" s="31" t="str">
        <x:v>a3cf6c017ec32e5bd646c78c2aee0c74916d803c826f25fb362322e14df6cc43</x:v>
      </x:c>
      <x:c r="C524" s="31" t="n">
        <x:v>14</x:v>
      </x:c>
      <x:c r="D524" s="31" t="n">
        <x:v>35864</x:v>
      </x:c>
      <x:c r="E524" s="31" t="str">
        <x:v>Queens</x:v>
      </x:c>
      <x:c r="F524" s="31" t="str">
        <x:v>Hollis</x:v>
      </x:c>
      <x:c r="G524" s="31" t="n">
        <x:v>25657.864154494542</x:v>
      </x:c>
      <x:c r="H524" s="31" t="n">
        <x:v>11353</x:v>
      </x:c>
      <x:c r="I524" s="31" t="n">
        <x:v>3.126320472163495</x:v>
      </x:c>
      <x:c r="J524" s="40" t="n">
        <x:v>0</x:v>
      </x:c>
      <x:c r="K524" s="40" t="n">
        <x:v>0.29516427376023957</x:v>
      </x:c>
      <x:c r="L524" s="40" t="n">
        <x:v>0.10781291288646173</x:v>
      </x:c>
      <x:c r="M524" s="31" t="n">
        <x:v>35.49567066000708</x:v>
      </x:c>
      <x:c r="N524" s="31" t="n">
        <x:v>54</x:v>
      </x:c>
      <x:c r="O524" s="31" t="n">
        <x:v>1.5056881552531787</x:v>
      </x:c>
      <x:c r="P524" s="31" t="n">
        <x:v>4.185061217299392</x:v>
      </x:c>
      <x:c r="Q524" s="40" t="n">
        <x:v>0.9500572535893597</x:v>
      </x:c>
      <x:c r="R524" s="31" t="n">
        <x:v>0.24844954773067504</x:v>
      </x:c>
      <x:c r="S524" s="40"/>
      <x:c r="T524" s="40"/>
      <x:c r="U524" s="40" t="n">
        <x:v>1</x:v>
      </x:c>
      <x:c r="V524" s="40" t="n">
        <x:v>0.9958601250770721</x:v>
      </x:c>
      <x:c r="W524" s="31" t="n">
        <x:v>0</x:v>
      </x:c>
      <x:c r="X524" s="31" t="str"/>
      <x:c r="Y524" s="31" t="n">
        <x:v>0</x:v>
      </x:c>
      <x:c r="Z524" s="31" t="n">
        <x:v>0</x:v>
      </x:c>
      <x:c r="AA524" s="31" t="n">
        <x:v>0</x:v>
      </x:c>
      <x:c r="AB524" s="31" t="str"/>
      <x:c r="AC524" s="31" t="str"/>
    </x:row>
    <x:row r="525">
      <x:c r="A525" s="31" t="str">
        <x:v>a3dc50202cd686d7</x:v>
      </x:c>
      <x:c r="B525" s="31" t="str">
        <x:v>a3dc50202cd686d7363bd4f38729668124ea3dc9fb3c982764577d63259d1c20</x:v>
      </x:c>
      <x:c r="C525" s="31" t="n">
        <x:v>8</x:v>
      </x:c>
      <x:c r="D525" s="31" t="n">
        <x:v>35136</x:v>
      </x:c>
      <x:c r="E525" s="31" t="str">
        <x:v>Staten Island</x:v>
      </x:c>
      <x:c r="F525" s="31" t="str">
        <x:v>Great Kills-Eltingville</x:v>
      </x:c>
      <x:c r="G525" s="31" t="n">
        <x:v>15415.23787398099</x:v>
      </x:c>
      <x:c r="H525" s="31" t="n">
        <x:v>13248</x:v>
      </x:c>
      <x:c r="I525" s="31" t="n">
        <x:v>1.9606737210718637</x:v>
      </x:c>
      <x:c r="J525" s="40" t="n">
        <x:v>0</x:v>
      </x:c>
      <x:c r="K525" s="40" t="n">
        <x:v>0.0636322463768116</x:v>
      </x:c>
      <x:c r="L525" s="40" t="n">
        <x:v>0.03781702898550725</x:v>
      </x:c>
      <x:c r="M525" s="31" t="n">
        <x:v>25.753304362896472</x:v>
      </x:c>
      <x:c r="N525" s="31" t="n">
        <x:v>12</x:v>
      </x:c>
      <x:c r="O525" s="31" t="n">
        <x:v>0.34153005464480873</x:v>
      </x:c>
      <x:c r="P525" s="31" t="n">
        <x:v>1.3940972222222223</x:v>
      </x:c>
      <x:c r="Q525" s="40" t="n">
        <x:v>0</x:v>
      </x:c>
      <x:c r="R525" s="31" t="n">
        <x:v>0.36715082205005894</x:v>
      </x:c>
      <x:c r="S525" s="40"/>
      <x:c r="T525" s="40"/>
      <x:c r="U525" s="40" t="n">
        <x:v>1</x:v>
      </x:c>
      <x:c r="V525" s="40" t="n">
        <x:v>0.9952445652173914</x:v>
      </x:c>
      <x:c r="W525" s="31" t="n">
        <x:v>0</x:v>
      </x:c>
      <x:c r="X525" s="31" t="str"/>
      <x:c r="Y525" s="31" t="n">
        <x:v>0</x:v>
      </x:c>
      <x:c r="Z525" s="31" t="n">
        <x:v>0</x:v>
      </x:c>
      <x:c r="AA525" s="31" t="n">
        <x:v>0</x:v>
      </x:c>
      <x:c r="AB525" s="31" t="str"/>
      <x:c r="AC525" s="31" t="str"/>
    </x:row>
    <x:row r="526">
      <x:c r="A526" s="31" t="str">
        <x:v>a40a8065b51d5fed</x:v>
      </x:c>
      <x:c r="B526" s="31" t="str">
        <x:v>a40a8065b51d5fed0593f3f9c3cb48641fc22071a4bcd7298f1b2be830f6848e</x:v>
      </x:c>
      <x:c r="C526" s="31" t="n">
        <x:v>8</x:v>
      </x:c>
      <x:c r="D526" s="31" t="n">
        <x:v>32705</x:v>
      </x:c>
      <x:c r="E526" s="31" t="str">
        <x:v>Brooklyn</x:v>
      </x:c>
      <x:c r="F526" s="31" t="str">
        <x:v>Gravesend (West)</x:v>
      </x:c>
      <x:c r="G526" s="31" t="n">
        <x:v>45619.0279350874</x:v>
      </x:c>
      <x:c r="H526" s="31" t="n">
        <x:v>11901</x:v>
      </x:c>
      <x:c r="I526" s="31" t="n">
        <x:v>4.637627703441892</x:v>
      </x:c>
      <x:c r="J526" s="40" t="n">
        <x:v>0.07024619779850433</x:v>
      </x:c>
      <x:c r="K526" s="40" t="n">
        <x:v>0.5082766154104698</x:v>
      </x:c>
      <x:c r="L526" s="40" t="n">
        <x:v>0.016049071506596086</x:v>
      </x:c>
      <x:c r="M526" s="31" t="n">
        <x:v>53.41632538666526</x:v>
      </x:c>
      <x:c r="N526" s="31" t="n">
        <x:v>86</x:v>
      </x:c>
      <x:c r="O526" s="31" t="n">
        <x:v>2.6295673444427456</x:v>
      </x:c>
      <x:c r="P526" s="31" t="n">
        <x:v>4</x:v>
      </x:c>
      <x:c r="Q526" s="40" t="n">
        <x:v>1</x:v>
      </x:c>
      <x:c r="R526" s="31" t="n">
        <x:v>0.18590034953071463</x:v>
      </x:c>
      <x:c r="S526" s="40"/>
      <x:c r="T526" s="40"/>
      <x:c r="U526" s="40" t="n">
        <x:v>1</x:v>
      </x:c>
      <x:c r="V526" s="40" t="n">
        <x:v>0.9937820351230989</x:v>
      </x:c>
      <x:c r="W526" s="31" t="n">
        <x:v>1</x:v>
      </x:c>
      <x:c r="X526" s="31" t="str"/>
      <x:c r="Y526" s="31" t="n">
        <x:v>0</x:v>
      </x:c>
      <x:c r="Z526" s="31" t="n">
        <x:v>1</x:v>
      </x:c>
      <x:c r="AA526" s="31" t="n">
        <x:v>0</x:v>
      </x:c>
      <x:c r="AB526" s="31" t="str"/>
      <x:c r="AC526" s="31" t="str"/>
    </x:row>
    <x:row r="527">
      <x:c r="A527" s="31" t="str">
        <x:v>a427a86749448475</x:v>
      </x:c>
      <x:c r="B527" s="31" t="str">
        <x:v>a427a86749448475e8e33bfdf2ec1c66f1041c8f9eec91dcfdee9a33cbd67058</x:v>
      </x:c>
      <x:c r="C527" s="31" t="n">
        <x:v>12</x:v>
      </x:c>
      <x:c r="D527" s="31" t="n">
        <x:v>32220</x:v>
      </x:c>
      <x:c r="E527" s="31" t="str">
        <x:v>Queens</x:v>
      </x:c>
      <x:c r="F527" s="31" t="str">
        <x:v>South Jamaica</x:v>
      </x:c>
      <x:c r="G527" s="31" t="n">
        <x:v>29671.725312652048</x:v>
      </x:c>
      <x:c r="H527" s="31" t="n">
        <x:v>11065</x:v>
      </x:c>
      <x:c r="I527" s="31" t="n">
        <x:v>7.242486886474334</x:v>
      </x:c>
      <x:c r="J527" s="40" t="n">
        <x:v>0.20741075463172165</x:v>
      </x:c>
      <x:c r="K527" s="40" t="n">
        <x:v>0.09923181201988251</x:v>
      </x:c>
      <x:c r="L527" s="40" t="n">
        <x:v>0.03940352462720289</x:v>
      </x:c>
      <x:c r="M527" s="31" t="n">
        <x:v>83.94652225275811</x:v>
      </x:c>
      <x:c r="N527" s="31" t="n">
        <x:v>46</x:v>
      </x:c>
      <x:c r="O527" s="31" t="n">
        <x:v>1.4276846679081316</x:v>
      </x:c>
      <x:c r="P527" s="31" t="n">
        <x:v>4.27519204699503</x:v>
      </x:c>
      <x:c r="Q527" s="40" t="n">
        <x:v>1</x:v>
      </x:c>
      <x:c r="R527" s="31" t="n">
        <x:v>0.19556015662488851</x:v>
      </x:c>
      <x:c r="S527" s="40"/>
      <x:c r="T527" s="40"/>
      <x:c r="U527" s="40" t="n">
        <x:v>1</x:v>
      </x:c>
      <x:c r="V527" s="40" t="n">
        <x:v>0.9908721192950746</x:v>
      </x:c>
      <x:c r="W527" s="31" t="n">
        <x:v>0</x:v>
      </x:c>
      <x:c r="X527" s="31" t="str"/>
      <x:c r="Y527" s="31" t="n">
        <x:v>0</x:v>
      </x:c>
      <x:c r="Z527" s="31" t="n">
        <x:v>0</x:v>
      </x:c>
      <x:c r="AA527" s="31" t="n">
        <x:v>0</x:v>
      </x:c>
      <x:c r="AB527" s="31" t="str"/>
      <x:c r="AC527" s="31" t="str"/>
    </x:row>
    <x:row r="528">
      <x:c r="A528" s="31" t="str">
        <x:v>a469b02b56250177</x:v>
      </x:c>
      <x:c r="B528" s="31" t="str">
        <x:v>a469b02b562501776b58c06c2842792549da7e7aedc1ab15a0448e0358d4fdab</x:v>
      </x:c>
      <x:c r="C528" s="31" t="n">
        <x:v>8</x:v>
      </x:c>
      <x:c r="D528" s="31" t="n">
        <x:v>34009</x:v>
      </x:c>
      <x:c r="E528" s="31" t="str">
        <x:v>Brooklyn</x:v>
      </x:c>
      <x:c r="F528" s="31" t="str">
        <x:v>Borough Park</x:v>
      </x:c>
      <x:c r="G528" s="31" t="n">
        <x:v>62969.56295893121</x:v>
      </x:c>
      <x:c r="H528" s="31" t="n">
        <x:v>9855</x:v>
      </x:c>
      <x:c r="I528" s="31" t="n">
        <x:v>3.8536497847037112</x:v>
      </x:c>
      <x:c r="J528" s="40" t="n">
        <x:v>0.00020294266869609335</x:v>
      </x:c>
      <x:c r="K528" s="40" t="n">
        <x:v>0.7374936580416033</x:v>
      </x:c>
      <x:c r="L528" s="40" t="n">
        <x:v>0.0020294266869609334</x:v>
      </x:c>
      <x:c r="M528" s="31" t="n">
        <x:v>44.75291634335349</x:v>
      </x:c>
      <x:c r="N528" s="31" t="n">
        <x:v>246</x:v>
      </x:c>
      <x:c r="O528" s="31" t="n">
        <x:v>7.233379399570702</x:v>
      </x:c>
      <x:c r="P528" s="31" t="n">
        <x:v>4</x:v>
      </x:c>
      <x:c r="Q528" s="40" t="n">
        <x:v>1</x:v>
      </x:c>
      <x:c r="R528" s="31" t="n">
        <x:v>0.26216259477206527</x:v>
      </x:c>
      <x:c r="S528" s="40"/>
      <x:c r="T528" s="40"/>
      <x:c r="U528" s="40" t="n">
        <x:v>1</x:v>
      </x:c>
      <x:c r="V528" s="40" t="n">
        <x:v>0.9897513952308473</x:v>
      </x:c>
      <x:c r="W528" s="31" t="n">
        <x:v>1</x:v>
      </x:c>
      <x:c r="X528" s="31" t="str"/>
      <x:c r="Y528" s="31" t="n">
        <x:v>0</x:v>
      </x:c>
      <x:c r="Z528" s="31" t="n">
        <x:v>1</x:v>
      </x:c>
      <x:c r="AA528" s="31" t="n">
        <x:v>0</x:v>
      </x:c>
      <x:c r="AB528" s="31" t="str"/>
      <x:c r="AC528" s="31" t="str"/>
    </x:row>
    <x:row r="529">
      <x:c r="A529" s="31" t="str">
        <x:v>a488449dc5034740</x:v>
      </x:c>
      <x:c r="B529" s="31" t="str">
        <x:v>a488449dc5034740a1f6db01376c9bd8ba9629da18f7d95b314254a014665e69</x:v>
      </x:c>
      <x:c r="C529" s="31" t="n">
        <x:v>12</x:v>
      </x:c>
      <x:c r="D529" s="31" t="n">
        <x:v>34762</x:v>
      </x:c>
      <x:c r="E529" s="31" t="str">
        <x:v>Queens</x:v>
      </x:c>
      <x:c r="F529" s="31" t="str">
        <x:v>South Ozone Park</x:v>
      </x:c>
      <x:c r="G529" s="31" t="n">
        <x:v>25937.459826942868</x:v>
      </x:c>
      <x:c r="H529" s="31" t="n">
        <x:v>10012</x:v>
      </x:c>
      <x:c r="I529" s="31" t="n">
        <x:v>2.306397833283178</x:v>
      </x:c>
      <x:c r="J529" s="40" t="n">
        <x:v>0</x:v>
      </x:c>
      <x:c r="K529" s="40" t="n">
        <x:v>0.1378345984818218</x:v>
      </x:c>
      <x:c r="L529" s="40" t="n">
        <x:v>0.027267279264882142</x:v>
      </x:c>
      <x:c r="M529" s="31" t="n">
        <x:v>27.871739658540285</x:v>
      </x:c>
      <x:c r="N529" s="31" t="n">
        <x:v>6</x:v>
      </x:c>
      <x:c r="O529" s="31" t="n">
        <x:v>0.17260226684310456</x:v>
      </x:c>
      <x:c r="P529" s="31" t="n">
        <x:v>3.499200958849381</x:v>
      </x:c>
      <x:c r="Q529" s="40" t="n">
        <x:v>0.49920095884938076</x:v>
      </x:c>
      <x:c r="R529" s="31" t="n">
        <x:v>0.20774097505522537</x:v>
      </x:c>
      <x:c r="S529" s="40"/>
      <x:c r="T529" s="40"/>
      <x:c r="U529" s="40" t="n">
        <x:v>1</x:v>
      </x:c>
      <x:c r="V529" s="40" t="n">
        <x:v>0.9942069516580104</x:v>
      </x:c>
      <x:c r="W529" s="31" t="n">
        <x:v>0</x:v>
      </x:c>
      <x:c r="X529" s="31" t="str"/>
      <x:c r="Y529" s="31" t="n">
        <x:v>0</x:v>
      </x:c>
      <x:c r="Z529" s="31" t="n">
        <x:v>0</x:v>
      </x:c>
      <x:c r="AA529" s="31" t="n">
        <x:v>0</x:v>
      </x:c>
      <x:c r="AB529" s="31" t="str"/>
      <x:c r="AC529" s="31" t="str"/>
    </x:row>
    <x:row r="530">
      <x:c r="A530" s="31" t="str">
        <x:v>a4fb9eaa469cfdf3</x:v>
      </x:c>
      <x:c r="B530" s="31" t="str">
        <x:v>a4fb9eaa469cfdf334a5de123ab7e2887e425623d2ab5d10dd4e5bf23194f81d</x:v>
      </x:c>
      <x:c r="C530" s="31" t="n">
        <x:v>10</x:v>
      </x:c>
      <x:c r="D530" s="31" t="n">
        <x:v>36465</x:v>
      </x:c>
      <x:c r="E530" s="31" t="str">
        <x:v>Queens</x:v>
      </x:c>
      <x:c r="F530" s="31" t="str">
        <x:v>Sunnyside</x:v>
      </x:c>
      <x:c r="G530" s="31" t="n">
        <x:v>66731.27057416439</x:v>
      </x:c>
      <x:c r="H530" s="31" t="n">
        <x:v>15430</x:v>
      </x:c>
      <x:c r="I530" s="31" t="n">
        <x:v>4.544527476830701</x:v>
      </x:c>
      <x:c r="J530" s="40" t="n">
        <x:v>0.0034996759559300064</x:v>
      </x:c>
      <x:c r="K530" s="40" t="n">
        <x:v>0.8127673363577447</x:v>
      </x:c>
      <x:c r="L530" s="40" t="n">
        <x:v>0.14147764095917045</x:v>
      </x:c>
      <x:c r="M530" s="31" t="n">
        <x:v>50.96148135288416</x:v>
      </x:c>
      <x:c r="N530" s="31" t="n">
        <x:v>156</x:v>
      </x:c>
      <x:c r="O530" s="31" t="n">
        <x:v>4.278074866310161</x:v>
      </x:c>
      <x:c r="P530" s="31" t="n">
        <x:v>3.0349319507453014</x:v>
      </x:c>
      <x:c r="Q530" s="40" t="n">
        <x:v>0.03493195074530136</x:v>
      </x:c>
      <x:c r="R530" s="31" t="n">
        <x:v>0.13059314779095751</x:v>
      </x:c>
      <x:c r="S530" s="40"/>
      <x:c r="T530" s="40"/>
      <x:c r="U530" s="40" t="n">
        <x:v>1</x:v>
      </x:c>
      <x:c r="V530" s="40" t="n">
        <x:v>0.9974724562540506</x:v>
      </x:c>
      <x:c r="W530" s="31" t="n">
        <x:v>0</x:v>
      </x:c>
      <x:c r="X530" s="31" t="str"/>
      <x:c r="Y530" s="31" t="n">
        <x:v>0</x:v>
      </x:c>
      <x:c r="Z530" s="31" t="n">
        <x:v>0</x:v>
      </x:c>
      <x:c r="AA530" s="31" t="n">
        <x:v>0</x:v>
      </x:c>
      <x:c r="AB530" s="31" t="str"/>
      <x:c r="AC530" s="31" t="str"/>
    </x:row>
    <x:row r="531">
      <x:c r="A531" s="31" t="str">
        <x:v>a503d4dd6e001b7f</x:v>
      </x:c>
      <x:c r="B531" s="31" t="str">
        <x:v>a503d4dd6e001b7f8580c4b2253f87ca47780a533169089c10531d9b64eb3c68</x:v>
      </x:c>
      <x:c r="C531" s="31" t="n">
        <x:v>11</x:v>
      </x:c>
      <x:c r="D531" s="31" t="n">
        <x:v>32583</x:v>
      </x:c>
      <x:c r="E531" s="31" t="str">
        <x:v>Brooklyn</x:v>
      </x:c>
      <x:c r="F531" s="31" t="str">
        <x:v>Greenpoint</x:v>
      </x:c>
      <x:c r="G531" s="31" t="n">
        <x:v>39766.82036151</x:v>
      </x:c>
      <x:c r="H531" s="31" t="n">
        <x:v>18122</x:v>
      </x:c>
      <x:c r="I531" s="31" t="n">
        <x:v>4.234215176424537</x:v>
      </x:c>
      <x:c r="J531" s="40" t="n">
        <x:v>0.016609645734466393</x:v>
      </x:c>
      <x:c r="K531" s="40" t="n">
        <x:v>0.8458227568701027</x:v>
      </x:c>
      <x:c r="L531" s="40" t="n">
        <x:v>0.05247765147334731</x:v>
      </x:c>
      <x:c r="M531" s="31" t="n">
        <x:v>49.18350756791808</x:v>
      </x:c>
      <x:c r="N531" s="31" t="n">
        <x:v>250</x:v>
      </x:c>
      <x:c r="O531" s="31" t="n">
        <x:v>7.672712764324955</x:v>
      </x:c>
      <x:c r="P531" s="31" t="n">
        <x:v>3</x:v>
      </x:c>
      <x:c r="Q531" s="40" t="n">
        <x:v>0</x:v>
      </x:c>
      <x:c r="R531" s="31" t="n">
        <x:v>0.1202785315808477</x:v>
      </x:c>
      <x:c r="S531" s="40"/>
      <x:c r="T531" s="40"/>
      <x:c r="U531" s="40" t="n">
        <x:v>1</x:v>
      </x:c>
      <x:c r="V531" s="40" t="n">
        <x:v>0.9727403156384505</x:v>
      </x:c>
      <x:c r="W531" s="31" t="n">
        <x:v>0</x:v>
      </x:c>
      <x:c r="X531" s="31" t="str"/>
      <x:c r="Y531" s="31" t="n">
        <x:v>0</x:v>
      </x:c>
      <x:c r="Z531" s="31" t="n">
        <x:v>0</x:v>
      </x:c>
      <x:c r="AA531" s="31" t="n">
        <x:v>0</x:v>
      </x:c>
      <x:c r="AB531" s="31" t="str"/>
      <x:c r="AC531" s="31" t="str"/>
    </x:row>
    <x:row r="532">
      <x:c r="A532" s="31" t="str">
        <x:v>a628a7b5f0cd3e86</x:v>
      </x:c>
      <x:c r="B532" s="31" t="str">
        <x:v>a628a7b5f0cd3e86f0d76f37ea2fd873800f5757059b9264d6a39957906b1992</x:v>
      </x:c>
      <x:c r="C532" s="31" t="n">
        <x:v>10</x:v>
      </x:c>
      <x:c r="D532" s="31" t="n">
        <x:v>33814</x:v>
      </x:c>
      <x:c r="E532" s="31" t="str">
        <x:v>Staten Island</x:v>
      </x:c>
      <x:c r="F532" s="31" t="str">
        <x:v>West New Brighton-Silver Lake-Grymes Hill</x:v>
      </x:c>
      <x:c r="G532" s="31" t="n">
        <x:v>11654.144663533436</x:v>
      </x:c>
      <x:c r="H532" s="31" t="n">
        <x:v>12107</x:v>
      </x:c>
      <x:c r="I532" s="31" t="n">
        <x:v>2.8465994379236235</x:v>
      </x:c>
      <x:c r="J532" s="40" t="n">
        <x:v>0.027256958784174445</x:v>
      </x:c>
      <x:c r="K532" s="40" t="n">
        <x:v>0.16321136532584454</x:v>
      </x:c>
      <x:c r="L532" s="40" t="n">
        <x:v>0.10902783513669778</x:v>
      </x:c>
      <x:c r="M532" s="31" t="n">
        <x:v>35.16173997005735</x:v>
      </x:c>
      <x:c r="N532" s="31" t="n">
        <x:v>37</x:v>
      </x:c>
      <x:c r="O532" s="31" t="n">
        <x:v>1.0942213284438398</x:v>
      </x:c>
      <x:c r="P532" s="31" t="n">
        <x:v>2.6319484595688443</x:v>
      </x:c>
      <x:c r="Q532" s="40" t="n">
        <x:v>0.009085652928058149</x:v>
      </x:c>
      <x:c r="R532" s="31" t="n">
        <x:v>0.2375462716505461</x:v>
      </x:c>
      <x:c r="S532" s="40"/>
      <x:c r="T532" s="40"/>
      <x:c r="U532" s="40" t="n">
        <x:v>1</x:v>
      </x:c>
      <x:c r="V532" s="40" t="n">
        <x:v>0.9938878334847608</x:v>
      </x:c>
      <x:c r="W532" s="31" t="n">
        <x:v>0</x:v>
      </x:c>
      <x:c r="X532" s="31" t="str"/>
      <x:c r="Y532" s="31" t="n">
        <x:v>0</x:v>
      </x:c>
      <x:c r="Z532" s="31" t="n">
        <x:v>0</x:v>
      </x:c>
      <x:c r="AA532" s="31" t="n">
        <x:v>0</x:v>
      </x:c>
      <x:c r="AB532" s="31" t="str"/>
      <x:c r="AC532" s="31" t="str"/>
    </x:row>
    <x:row r="533">
      <x:c r="A533" s="31" t="str">
        <x:v>a62efeb2042b337d</x:v>
      </x:c>
      <x:c r="B533" s="31" t="str">
        <x:v>a62efeb2042b337d3958e2b68860b9b0afdc85794d75ed147d688aede03d56bb</x:v>
      </x:c>
      <x:c r="C533" s="31" t="n">
        <x:v>7</x:v>
      </x:c>
      <x:c r="D533" s="31" t="n">
        <x:v>32991</x:v>
      </x:c>
      <x:c r="E533" s="31" t="str">
        <x:v>Queens</x:v>
      </x:c>
      <x:c r="F533" s="31" t="str">
        <x:v>Jackson Heights</x:v>
      </x:c>
      <x:c r="G533" s="31" t="n">
        <x:v>101119.43872975957</x:v>
      </x:c>
      <x:c r="H533" s="31" t="n">
        <x:v>10465</x:v>
      </x:c>
      <x:c r="I533" s="31" t="n">
        <x:v>5.015194457716197</x:v>
      </x:c>
      <x:c r="J533" s="40" t="n">
        <x:v>0.03325370281892021</x:v>
      </x:c>
      <x:c r="K533" s="40" t="n">
        <x:v>0.7754419493549929</x:v>
      </x:c>
      <x:c r="L533" s="40" t="n">
        <x:v>0.200382226469183</x:v>
      </x:c>
      <x:c r="M533" s="31" t="n">
        <x:v>56.01235288574499</x:v>
      </x:c>
      <x:c r="N533" s="31" t="n">
        <x:v>130</x:v>
      </x:c>
      <x:c r="O533" s="31" t="n">
        <x:v>3.940468612651935</x:v>
      </x:c>
      <x:c r="P533" s="31" t="n">
        <x:v>3.059818442427138</x:v>
      </x:c>
      <x:c r="Q533" s="40" t="n">
        <x:v>0.05981844242713808</x:v>
      </x:c>
      <x:c r="R533" s="31" t="n">
        <x:v>0.17774401325147213</x:v>
      </x:c>
      <x:c r="S533" s="40"/>
      <x:c r="T533" s="40"/>
      <x:c r="U533" s="40" t="n">
        <x:v>1</x:v>
      </x:c>
      <x:c r="V533" s="40" t="n">
        <x:v>0.9959866220735786</x:v>
      </x:c>
      <x:c r="W533" s="31" t="n">
        <x:v>0</x:v>
      </x:c>
      <x:c r="X533" s="31" t="str"/>
      <x:c r="Y533" s="31" t="n">
        <x:v>0</x:v>
      </x:c>
      <x:c r="Z533" s="31" t="n">
        <x:v>0</x:v>
      </x:c>
      <x:c r="AA533" s="31" t="n">
        <x:v>0</x:v>
      </x:c>
      <x:c r="AB533" s="31" t="str"/>
      <x:c r="AC533" s="31" t="str"/>
    </x:row>
    <x:row r="534">
      <x:c r="A534" s="31" t="str">
        <x:v>a68113420540c303</x:v>
      </x:c>
      <x:c r="B534" s="31" t="str">
        <x:v>a68113420540c303ff54c995afab2d428aca5972d7f1b3d0c33484a253049aec</x:v>
      </x:c>
      <x:c r="C534" s="31" t="n">
        <x:v>10</x:v>
      </x:c>
      <x:c r="D534" s="31" t="n">
        <x:v>32870</x:v>
      </x:c>
      <x:c r="E534" s="31" t="str">
        <x:v>Brooklyn</x:v>
      </x:c>
      <x:c r="F534" s="31" t="str">
        <x:v>Sheepshead Bay-Manhattan Beach-Gerritsen Beach</x:v>
      </x:c>
      <x:c r="G534" s="31" t="n">
        <x:v>42828.286420183016</x:v>
      </x:c>
      <x:c r="H534" s="31" t="n">
        <x:v>12856</x:v>
      </x:c>
      <x:c r="I534" s="31" t="n">
        <x:v>4.129027864259029</x:v>
      </x:c>
      <x:c r="J534" s="40" t="n">
        <x:v>0.0023335407591785935</x:v>
      </x:c>
      <x:c r="K534" s="40" t="n">
        <x:v>0.5322806471686372</x:v>
      </x:c>
      <x:c r="L534" s="40" t="n">
        <x:v>0.3073273179838208</x:v>
      </x:c>
      <x:c r="M534" s="31" t="n">
        <x:v>45.31530633893626</x:v>
      </x:c>
      <x:c r="N534" s="31" t="n">
        <x:v>171</x:v>
      </x:c>
      <x:c r="O534" s="31" t="n">
        <x:v>5.202312138728324</x:v>
      </x:c>
      <x:c r="P534" s="31" t="n">
        <x:v>3</x:v>
      </x:c>
      <x:c r="Q534" s="40" t="n">
        <x:v>0</x:v>
      </x:c>
      <x:c r="R534" s="31" t="n">
        <x:v>0.13675062407445346</x:v>
      </x:c>
      <x:c r="S534" s="40"/>
      <x:c r="T534" s="40"/>
      <x:c r="U534" s="40" t="n">
        <x:v>1</x:v>
      </x:c>
      <x:c r="V534" s="40" t="n">
        <x:v>0.9798537647790915</x:v>
      </x:c>
      <x:c r="W534" s="31" t="n">
        <x:v>0</x:v>
      </x:c>
      <x:c r="X534" s="31" t="str"/>
      <x:c r="Y534" s="31" t="n">
        <x:v>0</x:v>
      </x:c>
      <x:c r="Z534" s="31" t="n">
        <x:v>0</x:v>
      </x:c>
      <x:c r="AA534" s="31" t="n">
        <x:v>0</x:v>
      </x:c>
      <x:c r="AB534" s="31" t="str"/>
      <x:c r="AC534" s="31" t="str"/>
    </x:row>
    <x:row r="535">
      <x:c r="A535" s="31" t="str">
        <x:v>a6ece99f2d411ef2</x:v>
      </x:c>
      <x:c r="B535" s="31" t="str">
        <x:v>a6ece99f2d411ef29e73936fe9bdad025f52edced79616301eb0439daddede93</x:v>
      </x:c>
      <x:c r="C535" s="31" t="n">
        <x:v>9</x:v>
      </x:c>
      <x:c r="D535" s="31" t="n">
        <x:v>34937</x:v>
      </x:c>
      <x:c r="E535" s="31" t="str">
        <x:v>Brooklyn</x:v>
      </x:c>
      <x:c r="F535" s="31" t="str">
        <x:v>Sunset Park (East)-Borough Park (West)</x:v>
      </x:c>
      <x:c r="G535" s="31" t="n">
        <x:v>72768.23207946337</x:v>
      </x:c>
      <x:c r="H535" s="31" t="n">
        <x:v>9432</x:v>
      </x:c>
      <x:c r="I535" s="31" t="n">
        <x:v>3.160211454680693</x:v>
      </x:c>
      <x:c r="J535" s="40" t="n">
        <x:v>0.013040712468193385</x:v>
      </x:c>
      <x:c r="K535" s="40" t="n">
        <x:v>0.5289440203562341</x:v>
      </x:c>
      <x:c r="L535" s="40" t="n">
        <x:v>0.00498303647158609</x:v>
      </x:c>
      <x:c r="M535" s="31" t="n">
        <x:v>36.863443904764864</x:v>
      </x:c>
      <x:c r="N535" s="31" t="n">
        <x:v>197</x:v>
      </x:c>
      <x:c r="O535" s="31" t="n">
        <x:v>5.638721126599307</x:v>
      </x:c>
      <x:c r="P535" s="31" t="n">
        <x:v>3.7302798982188294</x:v>
      </x:c>
      <x:c r="Q535" s="40" t="n">
        <x:v>0.7302798982188295</x:v>
      </x:c>
      <x:c r="R535" s="31" t="n">
        <x:v>0.18318221816185348</x:v>
      </x:c>
      <x:c r="S535" s="40"/>
      <x:c r="T535" s="40"/>
      <x:c r="U535" s="40" t="n">
        <x:v>1</x:v>
      </x:c>
      <x:c r="V535" s="40" t="n">
        <x:v>0.9874893977947413</x:v>
      </x:c>
      <x:c r="W535" s="31" t="n">
        <x:v>0</x:v>
      </x:c>
      <x:c r="X535" s="31" t="str"/>
      <x:c r="Y535" s="31" t="n">
        <x:v>0</x:v>
      </x:c>
      <x:c r="Z535" s="31" t="n">
        <x:v>0</x:v>
      </x:c>
      <x:c r="AA535" s="31" t="n">
        <x:v>0</x:v>
      </x:c>
      <x:c r="AB535" s="31" t="str"/>
      <x:c r="AC535" s="31" t="str"/>
    </x:row>
    <x:row r="536">
      <x:c r="A536" s="31" t="str">
        <x:v>a6fa6e0bcfb569d0</x:v>
      </x:c>
      <x:c r="B536" s="31" t="str">
        <x:v>a6fa6e0bcfb569d04599d1762e7f4768442e223ae959ce8128be5fef139ba915</x:v>
      </x:c>
      <x:c r="C536" s="31" t="n">
        <x:v>14</x:v>
      </x:c>
      <x:c r="D536" s="31" t="n">
        <x:v>33998</x:v>
      </x:c>
      <x:c r="E536" s="31" t="str">
        <x:v>Brooklyn</x:v>
      </x:c>
      <x:c r="F536" s="31" t="str">
        <x:v>Canarsie</x:v>
      </x:c>
      <x:c r="G536" s="31" t="n">
        <x:v>39940.75405666482</x:v>
      </x:c>
      <x:c r="H536" s="31" t="n">
        <x:v>10114</x:v>
      </x:c>
      <x:c r="I536" s="31" t="n">
        <x:v>2.0737587869050014</x:v>
      </x:c>
      <x:c r="J536" s="40" t="n">
        <x:v>0</x:v>
      </x:c>
      <x:c r="K536" s="40" t="n">
        <x:v>0.2308681036187463</x:v>
      </x:c>
      <x:c r="L536" s="40" t="n">
        <x:v>0.042811943840221474</x:v>
      </x:c>
      <x:c r="M536" s="31" t="n">
        <x:v>27.197188377857003</x:v>
      </x:c>
      <x:c r="N536" s="31" t="n">
        <x:v>3</x:v>
      </x:c>
      <x:c r="O536" s="31" t="n">
        <x:v>0.08824048473439615</x:v>
      </x:c>
      <x:c r="P536" s="31" t="n">
        <x:v>5</x:v>
      </x:c>
      <x:c r="Q536" s="40" t="n">
        <x:v>1</x:v>
      </x:c>
      <x:c r="R536" s="31" t="n">
        <x:v>0.20206489790936227</x:v>
      </x:c>
      <x:c r="S536" s="40"/>
      <x:c r="T536" s="40"/>
      <x:c r="U536" s="40" t="n">
        <x:v>1</x:v>
      </x:c>
      <x:c r="V536" s="40" t="n">
        <x:v>0.9984180344077517</x:v>
      </x:c>
      <x:c r="W536" s="31" t="n">
        <x:v>0</x:v>
      </x:c>
      <x:c r="X536" s="31" t="str"/>
      <x:c r="Y536" s="31" t="n">
        <x:v>0</x:v>
      </x:c>
      <x:c r="Z536" s="31" t="n">
        <x:v>0</x:v>
      </x:c>
      <x:c r="AA536" s="31" t="n">
        <x:v>0</x:v>
      </x:c>
      <x:c r="AB536" s="31" t="str"/>
      <x:c r="AC536" s="31" t="str"/>
    </x:row>
    <x:row r="537">
      <x:c r="A537" s="31" t="str">
        <x:v>a724d7cd7f122f2c</x:v>
      </x:c>
      <x:c r="B537" s="31" t="str">
        <x:v>a724d7cd7f122f2c513e94cc43d5e5d6e94a37c8998c6a3e63996a2120beec51</x:v>
      </x:c>
      <x:c r="C537" s="31" t="n">
        <x:v>17</x:v>
      </x:c>
      <x:c r="D537" s="31" t="n">
        <x:v>34153</x:v>
      </x:c>
      <x:c r="E537" s="31" t="str">
        <x:v>Queens</x:v>
      </x:c>
      <x:c r="F537" s="31" t="str">
        <x:v>Queens Village</x:v>
      </x:c>
      <x:c r="G537" s="31" t="n">
        <x:v>20951.549098070645</x:v>
      </x:c>
      <x:c r="H537" s="31" t="n">
        <x:v>10022</x:v>
      </x:c>
      <x:c r="I537" s="31" t="n">
        <x:v>2.036310165767925</x:v>
      </x:c>
      <x:c r="J537" s="40" t="n">
        <x:v>0</x:v>
      </x:c>
      <x:c r="K537" s="40" t="n">
        <x:v>0.002394731590500898</x:v>
      </x:c>
      <x:c r="L537" s="40" t="n">
        <x:v>0.01047695070844143</x:v>
      </x:c>
      <x:c r="M537" s="31" t="n">
        <x:v>25.774282013588564</x:v>
      </x:c>
      <x:c r="N537" s="31" t="n">
        <x:v>3</x:v>
      </x:c>
      <x:c r="O537" s="31" t="n">
        <x:v>0.08784001405440225</x:v>
      </x:c>
      <x:c r="P537" s="31" t="n">
        <x:v>5</x:v>
      </x:c>
      <x:c r="Q537" s="40" t="n">
        <x:v>1</x:v>
      </x:c>
      <x:c r="R537" s="31" t="n">
        <x:v>0.27047373730042823</x:v>
      </x:c>
      <x:c r="S537" s="40"/>
      <x:c r="T537" s="40"/>
      <x:c r="U537" s="40" t="n">
        <x:v>1</x:v>
      </x:c>
      <x:c r="V537" s="40" t="n">
        <x:v>0.9982039513071244</x:v>
      </x:c>
      <x:c r="W537" s="31" t="n">
        <x:v>0</x:v>
      </x:c>
      <x:c r="X537" s="31" t="str"/>
      <x:c r="Y537" s="31" t="n">
        <x:v>0</x:v>
      </x:c>
      <x:c r="Z537" s="31" t="n">
        <x:v>0</x:v>
      </x:c>
      <x:c r="AA537" s="31" t="n">
        <x:v>0</x:v>
      </x:c>
      <x:c r="AB537" s="31" t="str"/>
      <x:c r="AC537" s="31" t="str"/>
    </x:row>
    <x:row r="538">
      <x:c r="A538" s="31" t="str">
        <x:v>a759698092fe3325</x:v>
      </x:c>
      <x:c r="B538" s="31" t="str">
        <x:v>a759698092fe3325bdab705553e9b7a9013da20da00308a743b15b30c0bf5f88</x:v>
      </x:c>
      <x:c r="C538" s="31" t="n">
        <x:v>9</x:v>
      </x:c>
      <x:c r="D538" s="31" t="n">
        <x:v>35603</x:v>
      </x:c>
      <x:c r="E538" s="31" t="str">
        <x:v>Manhattan</x:v>
      </x:c>
      <x:c r="F538" s="31" t="str">
        <x:v>Chelsea-Hudson Yards</x:v>
      </x:c>
      <x:c r="G538" s="31" t="n">
        <x:v>58490.1281176505</x:v>
      </x:c>
      <x:c r="H538" s="31" t="n">
        <x:v>23250</x:v>
      </x:c>
      <x:c r="I538" s="31" t="n">
        <x:v>24.346666958271367</x:v>
      </x:c>
      <x:c r="J538" s="40" t="n">
        <x:v>0.7873118279569893</x:v>
      </x:c>
      <x:c r="K538" s="40" t="n">
        <x:v>0.19582795698924732</x:v>
      </x:c>
      <x:c r="L538" s="40" t="n">
        <x:v>0.15273118279569892</x:v>
      </x:c>
      <x:c r="M538" s="31" t="n">
        <x:v>249.06281128898547</x:v>
      </x:c>
      <x:c r="N538" s="31" t="n">
        <x:v>519</x:v>
      </x:c>
      <x:c r="O538" s="31" t="n">
        <x:v>14.577423250849648</x:v>
      </x:c>
      <x:c r="P538" s="31" t="n">
        <x:v>1.884516129032258</x:v>
      </x:c>
      <x:c r="Q538" s="40" t="n">
        <x:v>0</x:v>
      </x:c>
      <x:c r="R538" s="31" t="n">
        <x:v>0.12875303428302828</x:v>
      </x:c>
      <x:c r="S538" s="40"/>
      <x:c r="T538" s="40"/>
      <x:c r="U538" s="40" t="n">
        <x:v>1</x:v>
      </x:c>
      <x:c r="V538" s="40" t="n">
        <x:v>0.9309677419354838</x:v>
      </x:c>
      <x:c r="W538" s="31" t="n">
        <x:v>0</x:v>
      </x:c>
      <x:c r="X538" s="31" t="str"/>
      <x:c r="Y538" s="31" t="n">
        <x:v>0</x:v>
      </x:c>
      <x:c r="Z538" s="31" t="n">
        <x:v>0</x:v>
      </x:c>
      <x:c r="AA538" s="31" t="n">
        <x:v>0</x:v>
      </x:c>
      <x:c r="AB538" s="31" t="str"/>
      <x:c r="AC538" s="31" t="str"/>
    </x:row>
    <x:row r="539">
      <x:c r="A539" s="31" t="str">
        <x:v>a7e72570c2902a5f</x:v>
      </x:c>
      <x:c r="B539" s="31" t="str">
        <x:v>a7e72570c2902a5f7eb0c339da58160bead16cf50102b36d5a78909f3ae8bcf3</x:v>
      </x:c>
      <x:c r="C539" s="31" t="n">
        <x:v>9</x:v>
      </x:c>
      <x:c r="D539" s="31" t="n">
        <x:v>35393</x:v>
      </x:c>
      <x:c r="E539" s="31" t="str">
        <x:v>Queens</x:v>
      </x:c>
      <x:c r="F539" s="31" t="str">
        <x:v>Astoria (Central)</x:v>
      </x:c>
      <x:c r="G539" s="31" t="n">
        <x:v>61938.79327060149</x:v>
      </x:c>
      <x:c r="H539" s="31" t="n">
        <x:v>19406</x:v>
      </x:c>
      <x:c r="I539" s="31" t="n">
        <x:v>5.1583043204697985</x:v>
      </x:c>
      <x:c r="J539" s="40" t="n">
        <x:v>0.06554673812223023</x:v>
      </x:c>
      <x:c r="K539" s="40" t="n">
        <x:v>0.7874884056477378</x:v>
      </x:c>
      <x:c r="L539" s="40" t="n">
        <x:v>0.01762341543852417</x:v>
      </x:c>
      <x:c r="M539" s="31" t="n">
        <x:v>55.7781752348207</x:v>
      </x:c>
      <x:c r="N539" s="31" t="n">
        <x:v>336</x:v>
      </x:c>
      <x:c r="O539" s="31" t="n">
        <x:v>9.493402650241574</x:v>
      </x:c>
      <x:c r="P539" s="31" t="n">
        <x:v>3</x:v>
      </x:c>
      <x:c r="Q539" s="40" t="n">
        <x:v>0</x:v>
      </x:c>
      <x:c r="R539" s="31" t="n">
        <x:v>0.12575824362831425</x:v>
      </x:c>
      <x:c r="S539" s="40"/>
      <x:c r="T539" s="40"/>
      <x:c r="U539" s="40" t="n">
        <x:v>1</x:v>
      </x:c>
      <x:c r="V539" s="40" t="n">
        <x:v>0.95851798412862</x:v>
      </x:c>
      <x:c r="W539" s="31" t="n">
        <x:v>0</x:v>
      </x:c>
      <x:c r="X539" s="31" t="str"/>
      <x:c r="Y539" s="31" t="n">
        <x:v>0</x:v>
      </x:c>
      <x:c r="Z539" s="31" t="n">
        <x:v>0</x:v>
      </x:c>
      <x:c r="AA539" s="31" t="n">
        <x:v>0</x:v>
      </x:c>
      <x:c r="AB539" s="31" t="str"/>
      <x:c r="AC539" s="31" t="str"/>
    </x:row>
    <x:row r="540">
      <x:c r="A540" s="31" t="str">
        <x:v>a7e73aa60e84f41b</x:v>
      </x:c>
      <x:c r="B540" s="31" t="str">
        <x:v>a7e73aa60e84f41b70c29372021e88cbbf1451474a180afc57ed690bf8e98dca</x:v>
      </x:c>
      <x:c r="C540" s="31" t="n">
        <x:v>9</x:v>
      </x:c>
      <x:c r="D540" s="31" t="n">
        <x:v>33235</x:v>
      </x:c>
      <x:c r="E540" s="31" t="str">
        <x:v>Queens</x:v>
      </x:c>
      <x:c r="F540" s="31" t="str">
        <x:v>Forest Hills</x:v>
      </x:c>
      <x:c r="G540" s="31" t="n">
        <x:v>39652.36154112966</x:v>
      </x:c>
      <x:c r="H540" s="31" t="n">
        <x:v>16241</x:v>
      </x:c>
      <x:c r="I540" s="31" t="n">
        <x:v>7.205808755618496</x:v>
      </x:c>
      <x:c r="J540" s="40" t="n">
        <x:v>0.17357305584631488</x:v>
      </x:c>
      <x:c r="K540" s="40" t="n">
        <x:v>0.5856166492211071</x:v>
      </x:c>
      <x:c r="L540" s="40" t="n">
        <x:v>0.10491964780493812</x:v>
      </x:c>
      <x:c r="M540" s="31" t="n">
        <x:v>76.79613007479617</x:v>
      </x:c>
      <x:c r="N540" s="31" t="n">
        <x:v>213</x:v>
      </x:c>
      <x:c r="O540" s="31" t="n">
        <x:v>6.408906273506846</x:v>
      </x:c>
      <x:c r="P540" s="31" t="n">
        <x:v>2.26987254479404</x:v>
      </x:c>
      <x:c r="Q540" s="40" t="n">
        <x:v>0</x:v>
      </x:c>
      <x:c r="R540" s="31" t="n">
        <x:v>0.19403242765046272</x:v>
      </x:c>
      <x:c r="S540" s="40"/>
      <x:c r="T540" s="40"/>
      <x:c r="U540" s="40" t="n">
        <x:v>1</x:v>
      </x:c>
      <x:c r="V540" s="40" t="n">
        <x:v>0.9923650021550398</x:v>
      </x:c>
      <x:c r="W540" s="31" t="n">
        <x:v>0</x:v>
      </x:c>
      <x:c r="X540" s="31" t="str"/>
      <x:c r="Y540" s="31" t="n">
        <x:v>0</x:v>
      </x:c>
      <x:c r="Z540" s="31" t="n">
        <x:v>0</x:v>
      </x:c>
      <x:c r="AA540" s="31" t="n">
        <x:v>0</x:v>
      </x:c>
      <x:c r="AB540" s="31" t="str"/>
      <x:c r="AC540" s="31" t="str"/>
    </x:row>
    <x:row r="541">
      <x:c r="A541" s="31" t="str">
        <x:v>a806feb0fa7cc9da</x:v>
      </x:c>
      <x:c r="B541" s="31" t="str">
        <x:v>a806feb0fa7cc9da1b1357fda663ea463465c966be822d983519dd88c37e9289</x:v>
      </x:c>
      <x:c r="C541" s="31" t="n">
        <x:v>10</x:v>
      </x:c>
      <x:c r="D541" s="31" t="n">
        <x:v>33762</x:v>
      </x:c>
      <x:c r="E541" s="31" t="str">
        <x:v>Brooklyn</x:v>
      </x:c>
      <x:c r="F541" s="31" t="str">
        <x:v>Sheepshead Bay-Manhattan Beach-Gerritsen Beach</x:v>
      </x:c>
      <x:c r="G541" s="31" t="n">
        <x:v>35648.32261514687</x:v>
      </x:c>
      <x:c r="H541" s="31" t="n">
        <x:v>13791</x:v>
      </x:c>
      <x:c r="I541" s="31" t="n">
        <x:v>4.500166326232857</x:v>
      </x:c>
      <x:c r="J541" s="40" t="n">
        <x:v>0.026539047204698716</x:v>
      </x:c>
      <x:c r="K541" s="40" t="n">
        <x:v>0.5905300558335146</x:v>
      </x:c>
      <x:c r="L541" s="40" t="n">
        <x:v>0.0581538684649409</x:v>
      </x:c>
      <x:c r="M541" s="31" t="n">
        <x:v>50.9632124647794</x:v>
      </x:c>
      <x:c r="N541" s="31" t="n">
        <x:v>212</x:v>
      </x:c>
      <x:c r="O541" s="31" t="n">
        <x:v>6.279248859664712</x:v>
      </x:c>
      <x:c r="P541" s="31" t="n">
        <x:v>3</x:v>
      </x:c>
      <x:c r="Q541" s="40" t="n">
        <x:v>0</x:v>
      </x:c>
      <x:c r="R541" s="31" t="n">
        <x:v>0.21062137912286336</x:v>
      </x:c>
      <x:c r="S541" s="40"/>
      <x:c r="T541" s="40"/>
      <x:c r="U541" s="40" t="n">
        <x:v>1</x:v>
      </x:c>
      <x:c r="V541" s="40" t="n">
        <x:v>0.9910086288158945</x:v>
      </x:c>
      <x:c r="W541" s="31" t="n">
        <x:v>0</x:v>
      </x:c>
      <x:c r="X541" s="31" t="str"/>
      <x:c r="Y541" s="31" t="n">
        <x:v>0</x:v>
      </x:c>
      <x:c r="Z541" s="31" t="n">
        <x:v>0</x:v>
      </x:c>
      <x:c r="AA541" s="31" t="n">
        <x:v>0</x:v>
      </x:c>
      <x:c r="AB541" s="31" t="str"/>
      <x:c r="AC541" s="31" t="str"/>
    </x:row>
    <x:row r="542">
      <x:c r="A542" s="31" t="str">
        <x:v>a841b3ca11d2ceda</x:v>
      </x:c>
      <x:c r="B542" s="31" t="str">
        <x:v>a841b3ca11d2cedaf8c85bb28ab89255629edbd47286e64792c3dcf1ab125ea0</x:v>
      </x:c>
      <x:c r="C542" s="31" t="n">
        <x:v>12</x:v>
      </x:c>
      <x:c r="D542" s="31" t="n">
        <x:v>32611</x:v>
      </x:c>
      <x:c r="E542" s="31" t="str">
        <x:v>Queens</x:v>
      </x:c>
      <x:c r="F542" s="31" t="str">
        <x:v>Auburndale</x:v>
      </x:c>
      <x:c r="G542" s="31" t="n">
        <x:v>17467.23631481971</x:v>
      </x:c>
      <x:c r="H542" s="31" t="n">
        <x:v>10827</x:v>
      </x:c>
      <x:c r="I542" s="31" t="n">
        <x:v>2.017305411764706</x:v>
      </x:c>
      <x:c r="J542" s="40" t="n">
        <x:v>0</x:v>
      </x:c>
      <x:c r="K542" s="40" t="n">
        <x:v>0.07001015978572088</x:v>
      </x:c>
      <x:c r="L542" s="40" t="n">
        <x:v>0.04257873833933684</x:v>
      </x:c>
      <x:c r="M542" s="31" t="n">
        <x:v>26.094958971546532</x:v>
      </x:c>
      <x:c r="N542" s="31" t="n">
        <x:v>8</x:v>
      </x:c>
      <x:c r="O542" s="31" t="n">
        <x:v>0.24531599766949802</x:v>
      </x:c>
      <x:c r="P542" s="31" t="n">
        <x:v>2.294171977463748</x:v>
      </x:c>
      <x:c r="Q542" s="40" t="n">
        <x:v>0</x:v>
      </x:c>
      <x:c r="R542" s="31" t="n">
        <x:v>0.2451332933133298</x:v>
      </x:c>
      <x:c r="S542" s="40"/>
      <x:c r="T542" s="40"/>
      <x:c r="U542" s="40" t="n">
        <x:v>1</x:v>
      </x:c>
      <x:c r="V542" s="40" t="n">
        <x:v>0.9943659370093285</x:v>
      </x:c>
      <x:c r="W542" s="31" t="n">
        <x:v>0</x:v>
      </x:c>
      <x:c r="X542" s="31" t="str"/>
      <x:c r="Y542" s="31" t="n">
        <x:v>0</x:v>
      </x:c>
      <x:c r="Z542" s="31" t="n">
        <x:v>0</x:v>
      </x:c>
      <x:c r="AA542" s="31" t="n">
        <x:v>0</x:v>
      </x:c>
      <x:c r="AB542" s="31" t="str"/>
      <x:c r="AC542" s="31" t="str"/>
    </x:row>
    <x:row r="543">
      <x:c r="A543" s="31" t="str">
        <x:v>a87a66de9d753e33</x:v>
      </x:c>
      <x:c r="B543" s="31" t="str">
        <x:v>a87a66de9d753e33a828e10d89286315ecaeedfe3e7957446eb9300d39d8ea19</x:v>
      </x:c>
      <x:c r="C543" s="31" t="n">
        <x:v>8</x:v>
      </x:c>
      <x:c r="D543" s="31" t="n">
        <x:v>35100</x:v>
      </x:c>
      <x:c r="E543" s="31" t="str">
        <x:v>Manhattan</x:v>
      </x:c>
      <x:c r="F543" s="31" t="str">
        <x:v>Hell's Kitchen</x:v>
      </x:c>
      <x:c r="G543" s="31" t="n">
        <x:v>74020.23164554672</x:v>
      </x:c>
      <x:c r="H543" s="31" t="n">
        <x:v>24907</x:v>
      </x:c>
      <x:c r="I543" s="31" t="n">
        <x:v>21.954404914873113</x:v>
      </x:c>
      <x:c r="J543" s="40" t="n">
        <x:v>0.5539005098968162</x:v>
      </x:c>
      <x:c r="K543" s="40" t="n">
        <x:v>0.44545710041353836</x:v>
      </x:c>
      <x:c r="L543" s="40" t="n">
        <x:v>0.1321315292889549</x:v>
      </x:c>
      <x:c r="M543" s="31" t="n">
        <x:v>223.68047185533757</x:v>
      </x:c>
      <x:c r="N543" s="31" t="n">
        <x:v>417</x:v>
      </x:c>
      <x:c r="O543" s="31" t="n">
        <x:v>11.88034188034188</x:v>
      </x:c>
      <x:c r="P543" s="31" t="n">
        <x:v>2</x:v>
      </x:c>
      <x:c r="Q543" s="40" t="n">
        <x:v>0</x:v>
      </x:c>
      <x:c r="R543" s="31" t="n">
        <x:v>0.1366676372097151</x:v>
      </x:c>
      <x:c r="S543" s="40"/>
      <x:c r="T543" s="40"/>
      <x:c r="U543" s="40" t="n">
        <x:v>1</x:v>
      </x:c>
      <x:c r="V543" s="40" t="n">
        <x:v>0.9675593206729032</x:v>
      </x:c>
      <x:c r="W543" s="31" t="n">
        <x:v>0</x:v>
      </x:c>
      <x:c r="X543" s="31" t="str"/>
      <x:c r="Y543" s="31" t="n">
        <x:v>0</x:v>
      </x:c>
      <x:c r="Z543" s="31" t="n">
        <x:v>0</x:v>
      </x:c>
      <x:c r="AA543" s="31" t="n">
        <x:v>0</x:v>
      </x:c>
      <x:c r="AB543" s="31" t="str"/>
      <x:c r="AC543" s="31" t="str"/>
    </x:row>
    <x:row r="544">
      <x:c r="A544" s="31" t="str">
        <x:v>a8aac471fa4c5a45</x:v>
      </x:c>
      <x:c r="B544" s="31" t="str">
        <x:v>a8aac471fa4c5a4599189f1030358c08f7104e3e460c1c83c9510e6951679595</x:v>
      </x:c>
      <x:c r="C544" s="31" t="n">
        <x:v>4</x:v>
      </x:c>
      <x:c r="D544" s="31" t="n">
        <x:v>35122</x:v>
      </x:c>
      <x:c r="E544" s="31" t="str">
        <x:v>Manhattan</x:v>
      </x:c>
      <x:c r="F544" s="31" t="str">
        <x:v>Upper West Side (Central)</x:v>
      </x:c>
      <x:c r="G544" s="31" t="n">
        <x:v>128344.95165832457</x:v>
      </x:c>
      <x:c r="H544" s="31" t="n">
        <x:v>19181</x:v>
      </x:c>
      <x:c r="I544" s="31" t="n">
        <x:v>15.25259506546346</x:v>
      </x:c>
      <x:c r="J544" s="40" t="n">
        <x:v>0.7457901047911997</x:v>
      </x:c>
      <x:c r="K544" s="40" t="n">
        <x:v>0.2536885459569366</x:v>
      </x:c>
      <x:c r="L544" s="40" t="n">
        <x:v>0.25014337104426254</x:v>
      </x:c>
      <x:c r="M544" s="31" t="n">
        <x:v>151.87169651924395</x:v>
      </x:c>
      <x:c r="N544" s="31" t="n">
        <x:v>412</x:v>
      </x:c>
      <x:c r="O544" s="31" t="n">
        <x:v>11.730539263139912</x:v>
      </x:c>
      <x:c r="P544" s="31" t="n">
        <x:v>1.8675772900265888</x:v>
      </x:c>
      <x:c r="Q544" s="40" t="n">
        <x:v>0</x:v>
      </x:c>
      <x:c r="R544" s="31" t="n">
        <x:v>0.07769334560402229</x:v>
      </x:c>
      <x:c r="S544" s="40"/>
      <x:c r="T544" s="40"/>
      <x:c r="U544" s="40" t="n">
        <x:v>1</x:v>
      </x:c>
      <x:c r="V544" s="40" t="n">
        <x:v>0.9998957301496272</x:v>
      </x:c>
      <x:c r="W544" s="31" t="n">
        <x:v>1</x:v>
      </x:c>
      <x:c r="X544" s="31" t="str"/>
      <x:c r="Y544" s="31" t="n">
        <x:v>1</x:v>
      </x:c>
      <x:c r="Z544" s="31" t="n">
        <x:v>0</x:v>
      </x:c>
      <x:c r="AA544" s="31" t="n">
        <x:v>0</x:v>
      </x:c>
      <x:c r="AB544" s="31" t="str"/>
      <x:c r="AC544" s="31" t="str"/>
    </x:row>
    <x:row r="545">
      <x:c r="A545" s="31" t="str">
        <x:v>a8dc05e9ba4cc4de</x:v>
      </x:c>
      <x:c r="B545" s="31" t="str">
        <x:v>a8dc05e9ba4cc4de42e8168909c3a89fa6b39ae2ea98820b92822a602e6f7774</x:v>
      </x:c>
      <x:c r="C545" s="31" t="n">
        <x:v>9</x:v>
      </x:c>
      <x:c r="D545" s="31" t="n">
        <x:v>35159</x:v>
      </x:c>
      <x:c r="E545" s="31" t="str">
        <x:v>Brooklyn</x:v>
      </x:c>
      <x:c r="F545" s="31" t="str">
        <x:v>Downtown Brooklyn-DUMBO-Boerum Hill</x:v>
      </x:c>
      <x:c r="G545" s="31" t="n">
        <x:v>63282.89029098648</x:v>
      </x:c>
      <x:c r="H545" s="31" t="n">
        <x:v>27985</x:v>
      </x:c>
      <x:c r="I545" s="31" t="n">
        <x:v>28.244461882599126</x:v>
      </x:c>
      <x:c r="J545" s="40" t="n">
        <x:v>0.7382169019117384</x:v>
      </x:c>
      <x:c r="K545" s="40" t="n">
        <x:v>0.2463462569233518</x:v>
      </x:c>
      <x:c r="L545" s="40" t="n">
        <x:v>0.04477398606396284</x:v>
      </x:c>
      <x:c r="M545" s="31" t="n">
        <x:v>309.7488150147189</x:v>
      </x:c>
      <x:c r="N545" s="31" t="n">
        <x:v>526</x:v>
      </x:c>
      <x:c r="O545" s="31" t="n">
        <x:v>14.960607525811314</x:v>
      </x:c>
      <x:c r="P545" s="31" t="n">
        <x:v>2</x:v>
      </x:c>
      <x:c r="Q545" s="40" t="n">
        <x:v>0</x:v>
      </x:c>
      <x:c r="R545" s="31" t="n">
        <x:v>0.09974250705420604</x:v>
      </x:c>
      <x:c r="S545" s="40"/>
      <x:c r="T545" s="40"/>
      <x:c r="U545" s="40" t="n">
        <x:v>1</x:v>
      </x:c>
      <x:c r="V545" s="40" t="n">
        <x:v>0.9152760407361086</x:v>
      </x:c>
      <x:c r="W545" s="31" t="n">
        <x:v>0</x:v>
      </x:c>
      <x:c r="X545" s="31" t="str"/>
      <x:c r="Y545" s="31" t="n">
        <x:v>0</x:v>
      </x:c>
      <x:c r="Z545" s="31" t="n">
        <x:v>0</x:v>
      </x:c>
      <x:c r="AA545" s="31" t="n">
        <x:v>0</x:v>
      </x:c>
      <x:c r="AB545" s="31" t="str"/>
      <x:c r="AC545" s="31" t="str"/>
    </x:row>
    <x:row r="546">
      <x:c r="A546" s="31" t="str">
        <x:v>a8f990db1519cff4</x:v>
      </x:c>
      <x:c r="B546" s="31" t="str">
        <x:v>a8f990db1519cff475191e294151c31d06880c0eab0320b7dec07430dc4111d8</x:v>
      </x:c>
      <x:c r="C546" s="31" t="n">
        <x:v>13</x:v>
      </x:c>
      <x:c r="D546" s="31" t="n">
        <x:v>34626</x:v>
      </x:c>
      <x:c r="E546" s="31" t="str">
        <x:v>Queens</x:v>
      </x:c>
      <x:c r="F546" s="31" t="str">
        <x:v>Richmond Hill</x:v>
      </x:c>
      <x:c r="G546" s="31" t="n">
        <x:v>41983.071807087064</x:v>
      </x:c>
      <x:c r="H546" s="31" t="n">
        <x:v>9649</x:v>
      </x:c>
      <x:c r="I546" s="31" t="n">
        <x:v>2.510197034118013</x:v>
      </x:c>
      <x:c r="J546" s="40" t="n">
        <x:v>0</x:v>
      </x:c>
      <x:c r="K546" s="40" t="n">
        <x:v>0.21338998859985492</x:v>
      </x:c>
      <x:c r="L546" s="40" t="n">
        <x:v>0.017929319100424914</x:v>
      </x:c>
      <x:c r="M546" s="31" t="n">
        <x:v>29.993373943439824</x:v>
      </x:c>
      <x:c r="N546" s="31" t="n">
        <x:v>9</x:v>
      </x:c>
      <x:c r="O546" s="31" t="n">
        <x:v>0.25992029111072606</x:v>
      </x:c>
      <x:c r="P546" s="31" t="n">
        <x:v>3.507202818944968</x:v>
      </x:c>
      <x:c r="Q546" s="40" t="n">
        <x:v>0.5198466162296611</x:v>
      </x:c>
      <x:c r="R546" s="31" t="n">
        <x:v>0.15700855910753897</x:v>
      </x:c>
      <x:c r="S546" s="40"/>
      <x:c r="T546" s="40"/>
      <x:c r="U546" s="40" t="n">
        <x:v>1</x:v>
      </x:c>
      <x:c r="V546" s="40" t="n">
        <x:v>0.9894289563685356</x:v>
      </x:c>
      <x:c r="W546" s="31" t="n">
        <x:v>0</x:v>
      </x:c>
      <x:c r="X546" s="31" t="str"/>
      <x:c r="Y546" s="31" t="n">
        <x:v>0</x:v>
      </x:c>
      <x:c r="Z546" s="31" t="n">
        <x:v>0</x:v>
      </x:c>
      <x:c r="AA546" s="31" t="n">
        <x:v>0</x:v>
      </x:c>
      <x:c r="AB546" s="31" t="str"/>
      <x:c r="AC546" s="31" t="str"/>
    </x:row>
    <x:row r="547">
      <x:c r="A547" s="31" t="str">
        <x:v>a938fd83d2c0b5e9</x:v>
      </x:c>
      <x:c r="B547" s="31" t="str">
        <x:v>a938fd83d2c0b5e9c6c270570136453226e36471da11a7817bd90db5a7a38d29</x:v>
      </x:c>
      <x:c r="C547" s="31" t="n">
        <x:v>9</x:v>
      </x:c>
      <x:c r="D547" s="31" t="n">
        <x:v>32063</x:v>
      </x:c>
      <x:c r="E547" s="31" t="str">
        <x:v>Brooklyn</x:v>
      </x:c>
      <x:c r="F547" s="31" t="str">
        <x:v>Cypress Hills</x:v>
      </x:c>
      <x:c r="G547" s="31" t="n">
        <x:v>59238.14579048608</x:v>
      </x:c>
      <x:c r="H547" s="31" t="n">
        <x:v>9052</x:v>
      </x:c>
      <x:c r="I547" s="31" t="n">
        <x:v>3.7387857695282287</x:v>
      </x:c>
      <x:c r="J547" s="40" t="n">
        <x:v>0.1229562527618206</x:v>
      </x:c>
      <x:c r="K547" s="40" t="n">
        <x:v>0.20205479452054795</x:v>
      </x:c>
      <x:c r="L547" s="40" t="n">
        <x:v>0.008837825894829872</x:v>
      </x:c>
      <x:c r="M547" s="31" t="n">
        <x:v>41.4576652096687</x:v>
      </x:c>
      <x:c r="N547" s="31" t="n">
        <x:v>13</x:v>
      </x:c>
      <x:c r="O547" s="31" t="n">
        <x:v>0.40545176683404544</x:v>
      </x:c>
      <x:c r="P547" s="31" t="n">
        <x:v>3.7558550596553246</x:v>
      </x:c>
      <x:c r="Q547" s="40" t="n">
        <x:v>0.8779275298276624</x:v>
      </x:c>
      <x:c r="R547" s="31" t="n">
        <x:v>0.19527453383101953</x:v>
      </x:c>
      <x:c r="S547" s="40"/>
      <x:c r="T547" s="40"/>
      <x:c r="U547" s="40" t="n">
        <x:v>1</x:v>
      </x:c>
      <x:c r="V547" s="40" t="n">
        <x:v>0.9970172337604949</x:v>
      </x:c>
      <x:c r="W547" s="31" t="n">
        <x:v>0</x:v>
      </x:c>
      <x:c r="X547" s="31" t="str"/>
      <x:c r="Y547" s="31" t="n">
        <x:v>0</x:v>
      </x:c>
      <x:c r="Z547" s="31" t="n">
        <x:v>0</x:v>
      </x:c>
      <x:c r="AA547" s="31" t="n">
        <x:v>0</x:v>
      </x:c>
      <x:c r="AB547" s="31" t="str"/>
      <x:c r="AC547" s="31" t="str"/>
    </x:row>
    <x:row r="548">
      <x:c r="A548" s="31" t="str">
        <x:v>a94c82aeb70b0d2e</x:v>
      </x:c>
      <x:c r="B548" s="31" t="str">
        <x:v>a94c82aeb70b0d2e002d18988893eea582375d0f45aa88b00635972b9e541650</x:v>
      </x:c>
      <x:c r="C548" s="31" t="n">
        <x:v>10</x:v>
      </x:c>
      <x:c r="D548" s="31" t="n">
        <x:v>33946</x:v>
      </x:c>
      <x:c r="E548" s="31" t="str">
        <x:v>Brooklyn</x:v>
      </x:c>
      <x:c r="F548" s="31" t="str">
        <x:v>Bensonhurst</x:v>
      </x:c>
      <x:c r="G548" s="31" t="n">
        <x:v>51356.717746564966</x:v>
      </x:c>
      <x:c r="H548" s="31" t="n">
        <x:v>11854</x:v>
      </x:c>
      <x:c r="I548" s="31" t="n">
        <x:v>3.9524392302498312</x:v>
      </x:c>
      <x:c r="J548" s="40" t="n">
        <x:v>0.03138181204656656</x:v>
      </x:c>
      <x:c r="K548" s="40" t="n">
        <x:v>0.5334908047916315</x:v>
      </x:c>
      <x:c r="L548" s="40" t="n">
        <x:v>0.007592373882233845</x:v>
      </x:c>
      <x:c r="M548" s="31" t="n">
        <x:v>44.52314212229522</x:v>
      </x:c>
      <x:c r="N548" s="31" t="n">
        <x:v>128</x:v>
      </x:c>
      <x:c r="O548" s="31" t="n">
        <x:v>3.7706946326518587</x:v>
      </x:c>
      <x:c r="P548" s="31" t="n">
        <x:v>4</x:v>
      </x:c>
      <x:c r="Q548" s="40" t="n">
        <x:v>1</x:v>
      </x:c>
      <x:c r="R548" s="31" t="n">
        <x:v>0.21949950691865203</x:v>
      </x:c>
      <x:c r="S548" s="40"/>
      <x:c r="T548" s="40"/>
      <x:c r="U548" s="40" t="n">
        <x:v>1</x:v>
      </x:c>
      <x:c r="V548" s="40" t="n">
        <x:v>0.9938417411844104</x:v>
      </x:c>
      <x:c r="W548" s="31" t="n">
        <x:v>1</x:v>
      </x:c>
      <x:c r="X548" s="31" t="str"/>
      <x:c r="Y548" s="31" t="n">
        <x:v>0</x:v>
      </x:c>
      <x:c r="Z548" s="31" t="n">
        <x:v>1</x:v>
      </x:c>
      <x:c r="AA548" s="31" t="n">
        <x:v>0</x:v>
      </x:c>
      <x:c r="AB548" s="31" t="str"/>
      <x:c r="AC548" s="31" t="str"/>
    </x:row>
    <x:row r="549">
      <x:c r="A549" s="31" t="str">
        <x:v>a97c14a77689eebd</x:v>
      </x:c>
      <x:c r="B549" s="31" t="str">
        <x:v>a97c14a77689eebd5d584b978262746544dcdbe4d0c832ac43650ca7f4e3ec03</x:v>
      </x:c>
      <x:c r="C549" s="31" t="n">
        <x:v>9</x:v>
      </x:c>
      <x:c r="D549" s="31" t="n">
        <x:v>35394</x:v>
      </x:c>
      <x:c r="E549" s="31" t="str">
        <x:v>Brooklyn</x:v>
      </x:c>
      <x:c r="F549" s="31" t="str">
        <x:v>Bedford-Stuyvesant (East)</x:v>
      </x:c>
      <x:c r="G549" s="31" t="n">
        <x:v>60743.57741542171</x:v>
      </x:c>
      <x:c r="H549" s="31" t="n">
        <x:v>17179</x:v>
      </x:c>
      <x:c r="I549" s="31" t="n">
        <x:v>5.191612978661211</x:v>
      </x:c>
      <x:c r="J549" s="40" t="n">
        <x:v>0.13691134524710402</x:v>
      </x:c>
      <x:c r="K549" s="40" t="n">
        <x:v>0.6656964899004598</x:v>
      </x:c>
      <x:c r="L549" s="40" t="n">
        <x:v>0.02904709238023168</x:v>
      </x:c>
      <x:c r="M549" s="31" t="n">
        <x:v>55.05235666102712</x:v>
      </x:c>
      <x:c r="N549" s="31" t="n">
        <x:v>128</x:v>
      </x:c>
      <x:c r="O549" s="31" t="n">
        <x:v>3.6164321636435552</x:v>
      </x:c>
      <x:c r="P549" s="31" t="n">
        <x:v>4</x:v>
      </x:c>
      <x:c r="Q549" s="40" t="n">
        <x:v>1</x:v>
      </x:c>
      <x:c r="R549" s="31" t="n">
        <x:v>0.13053780317647298</x:v>
      </x:c>
      <x:c r="S549" s="40"/>
      <x:c r="T549" s="40"/>
      <x:c r="U549" s="40" t="n">
        <x:v>1</x:v>
      </x:c>
      <x:c r="V549" s="40" t="n">
        <x:v>0.9679841667151755</x:v>
      </x:c>
      <x:c r="W549" s="31" t="n">
        <x:v>1</x:v>
      </x:c>
      <x:c r="X549" s="31" t="str"/>
      <x:c r="Y549" s="31" t="n">
        <x:v>0</x:v>
      </x:c>
      <x:c r="Z549" s="31" t="n">
        <x:v>1</x:v>
      </x:c>
      <x:c r="AA549" s="31" t="n">
        <x:v>0</x:v>
      </x:c>
      <x:c r="AB549" s="31" t="str"/>
      <x:c r="AC549" s="31" t="str"/>
    </x:row>
    <x:row r="550">
      <x:c r="A550" s="31" t="str">
        <x:v>a9c4c5fd041c2724</x:v>
      </x:c>
      <x:c r="B550" s="31" t="str">
        <x:v>a9c4c5fd041c2724ec943a9421d00c5d72b1d71515cc7f4b2033a89ea1c19c99</x:v>
      </x:c>
      <x:c r="C550" s="31" t="n">
        <x:v>14</x:v>
      </x:c>
      <x:c r="D550" s="31" t="n">
        <x:v>32754</x:v>
      </x:c>
      <x:c r="E550" s="31" t="str">
        <x:v>Queens</x:v>
      </x:c>
      <x:c r="F550" s="31" t="str">
        <x:v>South Jamaica</x:v>
      </x:c>
      <x:c r="G550" s="31" t="n">
        <x:v>32538.03586550382</x:v>
      </x:c>
      <x:c r="H550" s="31" t="n">
        <x:v>9711</x:v>
      </x:c>
      <x:c r="I550" s="31" t="n">
        <x:v>3.2451184590028843</x:v>
      </x:c>
      <x:c r="J550" s="40" t="n">
        <x:v>0</x:v>
      </x:c>
      <x:c r="K550" s="40" t="n">
        <x:v>0.24703943981052415</x:v>
      </x:c>
      <x:c r="L550" s="40" t="n">
        <x:v>0.15466996189887755</x:v>
      </x:c>
      <x:c r="M550" s="31" t="n">
        <x:v>36.02664361002695</x:v>
      </x:c>
      <x:c r="N550" s="31" t="n">
        <x:v>29</x:v>
      </x:c>
      <x:c r="O550" s="31" t="n">
        <x:v>0.8853880442083409</x:v>
      </x:c>
      <x:c r="P550" s="31" t="n">
        <x:v>4.873442487900319</x:v>
      </x:c>
      <x:c r="Q550" s="40" t="n">
        <x:v>1</x:v>
      </x:c>
      <x:c r="R550" s="31" t="n">
        <x:v>0.1425463151679515</x:v>
      </x:c>
      <x:c r="S550" s="40"/>
      <x:c r="T550" s="40"/>
      <x:c r="U550" s="40" t="n">
        <x:v>1</x:v>
      </x:c>
      <x:c r="V550" s="40" t="n">
        <x:v>0.9934095355782103</x:v>
      </x:c>
      <x:c r="W550" s="31" t="n">
        <x:v>0</x:v>
      </x:c>
      <x:c r="X550" s="31" t="str"/>
      <x:c r="Y550" s="31" t="n">
        <x:v>0</x:v>
      </x:c>
      <x:c r="Z550" s="31" t="n">
        <x:v>0</x:v>
      </x:c>
      <x:c r="AA550" s="31" t="n">
        <x:v>0</x:v>
      </x:c>
      <x:c r="AB550" s="31" t="str"/>
      <x:c r="AC550" s="31" t="str"/>
    </x:row>
    <x:row r="551">
      <x:c r="A551" s="31" t="str">
        <x:v>aa2d037c0eb3f82f</x:v>
      </x:c>
      <x:c r="B551" s="31" t="str">
        <x:v>aa2d037c0eb3f82fc5672a41f3f024589daf437bf92665701c1e026fafa12c2b</x:v>
      </x:c>
      <x:c r="C551" s="31" t="n">
        <x:v>7</x:v>
      </x:c>
      <x:c r="D551" s="31" t="n">
        <x:v>34385</x:v>
      </x:c>
      <x:c r="E551" s="31" t="str">
        <x:v>Bronx</x:v>
      </x:c>
      <x:c r="F551" s="31" t="str">
        <x:v>University Heights (North)-Fordham</x:v>
      </x:c>
      <x:c r="G551" s="31" t="n">
        <x:v>89418.92107401797</x:v>
      </x:c>
      <x:c r="H551" s="31" t="n">
        <x:v>12328</x:v>
      </x:c>
      <x:c r="I551" s="31" t="n">
        <x:v>6.58894386761843</x:v>
      </x:c>
      <x:c r="J551" s="40" t="n">
        <x:v>0.15493186242699547</x:v>
      </x:c>
      <x:c r="K551" s="40" t="n">
        <x:v>0.8088092147955873</x:v>
      </x:c>
      <x:c r="L551" s="40" t="n">
        <x:v>0.09076898118105127</x:v>
      </x:c>
      <x:c r="M551" s="31" t="n">
        <x:v>72.71868878007173</x:v>
      </x:c>
      <x:c r="N551" s="31" t="n">
        <x:v>124</x:v>
      </x:c>
      <x:c r="O551" s="31" t="n">
        <x:v>3.6062236440308273</x:v>
      </x:c>
      <x:c r="P551" s="31" t="n">
        <x:v>4.151849448410124</x:v>
      </x:c>
      <x:c r="Q551" s="40" t="n">
        <x:v>1</x:v>
      </x:c>
      <x:c r="R551" s="31" t="n">
        <x:v>0.15050456909405968</x:v>
      </x:c>
      <x:c r="S551" s="40"/>
      <x:c r="T551" s="40"/>
      <x:c r="U551" s="40" t="n">
        <x:v>1</x:v>
      </x:c>
      <x:c r="V551" s="40" t="n">
        <x:v>0.9950519143413368</x:v>
      </x:c>
      <x:c r="W551" s="31" t="n">
        <x:v>1</x:v>
      </x:c>
      <x:c r="X551" s="31" t="str"/>
      <x:c r="Y551" s="31" t="n">
        <x:v>0</x:v>
      </x:c>
      <x:c r="Z551" s="31" t="n">
        <x:v>1</x:v>
      </x:c>
      <x:c r="AA551" s="31" t="n">
        <x:v>0</x:v>
      </x:c>
      <x:c r="AB551" s="31" t="str"/>
      <x:c r="AC551" s="31" t="str"/>
    </x:row>
    <x:row r="552">
      <x:c r="A552" s="31" t="str">
        <x:v>aa388edb98a6a5bd</x:v>
      </x:c>
      <x:c r="B552" s="31" t="str">
        <x:v>aa388edb98a6a5bdd3fb1a6a8bc8f525543cb58fd3596f07263c7aff624a1935</x:v>
      </x:c>
      <x:c r="C552" s="31" t="n">
        <x:v>6</x:v>
      </x:c>
      <x:c r="D552" s="31" t="n">
        <x:v>36484</x:v>
      </x:c>
      <x:c r="E552" s="31" t="str">
        <x:v>Queens</x:v>
      </x:c>
      <x:c r="F552" s="31" t="str">
        <x:v>Jackson Heights</x:v>
      </x:c>
      <x:c r="G552" s="31" t="n">
        <x:v>94700.80320271401</x:v>
      </x:c>
      <x:c r="H552" s="31" t="n">
        <x:v>14483</x:v>
      </x:c>
      <x:c r="I552" s="31" t="n">
        <x:v>5.576538010080784</x:v>
      </x:c>
      <x:c r="J552" s="40" t="n">
        <x:v>0.03024235310363875</x:v>
      </x:c>
      <x:c r="K552" s="40" t="n">
        <x:v>0.9296416488296624</x:v>
      </x:c>
      <x:c r="L552" s="40" t="n">
        <x:v>0.08168197196713388</x:v>
      </x:c>
      <x:c r="M552" s="31" t="n">
        <x:v>61.971520971355595</x:v>
      </x:c>
      <x:c r="N552" s="31" t="n">
        <x:v>288</x:v>
      </x:c>
      <x:c r="O552" s="31" t="n">
        <x:v>7.893871286043196</x:v>
      </x:c>
      <x:c r="P552" s="31" t="n">
        <x:v>3</x:v>
      </x:c>
      <x:c r="Q552" s="40" t="n">
        <x:v>0</x:v>
      </x:c>
      <x:c r="R552" s="31" t="n">
        <x:v>0.1458373935009601</x:v>
      </x:c>
      <x:c r="S552" s="40"/>
      <x:c r="T552" s="40"/>
      <x:c r="U552" s="40" t="n">
        <x:v>1</x:v>
      </x:c>
      <x:c r="V552" s="40" t="n">
        <x:v>0.99627149071325</x:v>
      </x:c>
      <x:c r="W552" s="31" t="n">
        <x:v>0</x:v>
      </x:c>
      <x:c r="X552" s="31" t="str"/>
      <x:c r="Y552" s="31" t="n">
        <x:v>0</x:v>
      </x:c>
      <x:c r="Z552" s="31" t="n">
        <x:v>0</x:v>
      </x:c>
      <x:c r="AA552" s="31" t="n">
        <x:v>0</x:v>
      </x:c>
      <x:c r="AB552" s="31" t="str"/>
      <x:c r="AC552" s="31" t="str"/>
    </x:row>
    <x:row r="553">
      <x:c r="A553" s="31" t="str">
        <x:v>aa82500ef19dd03e</x:v>
      </x:c>
      <x:c r="B553" s="31" t="str">
        <x:v>aa82500ef19dd03ec69bdd3e07450eaf59c2155a1ea9c4de1c5fc28c243f4a7e</x:v>
      </x:c>
      <x:c r="C553" s="31" t="n">
        <x:v>15</x:v>
      </x:c>
      <x:c r="D553" s="31" t="n">
        <x:v>33566</x:v>
      </x:c>
      <x:c r="E553" s="31" t="str">
        <x:v>Brooklyn</x:v>
      </x:c>
      <x:c r="F553" s="31" t="str">
        <x:v>Canarsie</x:v>
      </x:c>
      <x:c r="G553" s="31" t="n">
        <x:v>35134.86846525836</x:v>
      </x:c>
      <x:c r="H553" s="31" t="n">
        <x:v>10030</x:v>
      </x:c>
      <x:c r="I553" s="31" t="n">
        <x:v>2.0417652338685546</x:v>
      </x:c>
      <x:c r="J553" s="40" t="n">
        <x:v>0</x:v>
      </x:c>
      <x:c r="K553" s="40" t="n">
        <x:v>0.1896311066799601</x:v>
      </x:c>
      <x:c r="L553" s="40" t="n">
        <x:v>0.041375872382851446</x:v>
      </x:c>
      <x:c r="M553" s="31" t="n">
        <x:v>27.654904404475527</x:v>
      </x:c>
      <x:c r="N553" s="31" t="n">
        <x:v>7</x:v>
      </x:c>
      <x:c r="O553" s="31" t="n">
        <x:v>0.2085443603646547</x:v>
      </x:c>
      <x:c r="P553" s="31" t="n">
        <x:v>5</x:v>
      </x:c>
      <x:c r="Q553" s="40" t="n">
        <x:v>1</x:v>
      </x:c>
      <x:c r="R553" s="31" t="n">
        <x:v>0.173855718928187</x:v>
      </x:c>
      <x:c r="S553" s="40"/>
      <x:c r="T553" s="40"/>
      <x:c r="U553" s="40" t="n">
        <x:v>1</x:v>
      </x:c>
      <x:c r="V553" s="40" t="n">
        <x:v>0.9980059820538385</x:v>
      </x:c>
      <x:c r="W553" s="31" t="n">
        <x:v>0</x:v>
      </x:c>
      <x:c r="X553" s="31" t="str"/>
      <x:c r="Y553" s="31" t="n">
        <x:v>0</x:v>
      </x:c>
      <x:c r="Z553" s="31" t="n">
        <x:v>0</x:v>
      </x:c>
      <x:c r="AA553" s="31" t="n">
        <x:v>0</x:v>
      </x:c>
      <x:c r="AB553" s="31" t="str"/>
      <x:c r="AC553" s="31" t="str"/>
    </x:row>
    <x:row r="554">
      <x:c r="A554" s="31" t="str">
        <x:v>aaa988212b249762</x:v>
      </x:c>
      <x:c r="B554" s="31" t="str">
        <x:v>aaa988212b24976223fb509ca146760dbd72b1a8bf02dae27f2ae4db55a68d19</x:v>
      </x:c>
      <x:c r="C554" s="31" t="n">
        <x:v>8</x:v>
      </x:c>
      <x:c r="D554" s="31" t="n">
        <x:v>34395</x:v>
      </x:c>
      <x:c r="E554" s="31" t="str">
        <x:v>Brooklyn</x:v>
      </x:c>
      <x:c r="F554" s="31" t="str">
        <x:v>Bushwick (West)</x:v>
      </x:c>
      <x:c r="G554" s="31" t="n">
        <x:v>58311.94611883425</x:v>
      </x:c>
      <x:c r="H554" s="31" t="n">
        <x:v>13090</x:v>
      </x:c>
      <x:c r="I554" s="31" t="n">
        <x:v>3.029954799662913</x:v>
      </x:c>
      <x:c r="J554" s="40" t="n">
        <x:v>0.016348357524828112</x:v>
      </x:c>
      <x:c r="K554" s="40" t="n">
        <x:v>0.6775401069518716</x:v>
      </x:c>
      <x:c r="L554" s="40" t="n">
        <x:v>0.007257448433919022</x:v>
      </x:c>
      <x:c r="M554" s="31" t="n">
        <x:v>36.383336146339325</x:v>
      </x:c>
      <x:c r="N554" s="31" t="n">
        <x:v>65</x:v>
      </x:c>
      <x:c r="O554" s="31" t="n">
        <x:v>1.8898095653437998</x:v>
      </x:c>
      <x:c r="P554" s="31" t="n">
        <x:v>2.5261268143621085</x:v>
      </x:c>
      <x:c r="Q554" s="40" t="n">
        <x:v>0.5087089381207028</x:v>
      </x:c>
      <x:c r="R554" s="31" t="n">
        <x:v>0.180831146951419</x:v>
      </x:c>
      <x:c r="S554" s="40"/>
      <x:c r="T554" s="40"/>
      <x:c r="U554" s="40" t="n">
        <x:v>1</x:v>
      </x:c>
      <x:c r="V554" s="40" t="n">
        <x:v>0.9941940412528648</x:v>
      </x:c>
      <x:c r="W554" s="31" t="n">
        <x:v>0</x:v>
      </x:c>
      <x:c r="X554" s="31" t="str"/>
      <x:c r="Y554" s="31" t="n">
        <x:v>0</x:v>
      </x:c>
      <x:c r="Z554" s="31" t="n">
        <x:v>0</x:v>
      </x:c>
      <x:c r="AA554" s="31" t="n">
        <x:v>0</x:v>
      </x:c>
      <x:c r="AB554" s="31" t="str"/>
      <x:c r="AC554" s="31" t="str"/>
    </x:row>
    <x:row r="555">
      <x:c r="A555" s="31" t="str">
        <x:v>aab03e2698e213dc</x:v>
      </x:c>
      <x:c r="B555" s="31" t="str">
        <x:v>aab03e2698e213dc2ebcd9951926ca61c8cf667a42bfc99c401cb128b03e8676</x:v>
      </x:c>
      <x:c r="C555" s="31" t="n">
        <x:v>10</x:v>
      </x:c>
      <x:c r="D555" s="31" t="n">
        <x:v>33184</x:v>
      </x:c>
      <x:c r="E555" s="31" t="str">
        <x:v>Brooklyn</x:v>
      </x:c>
      <x:c r="F555" s="31" t="str">
        <x:v>Bath Beach</x:v>
      </x:c>
      <x:c r="G555" s="31" t="n">
        <x:v>52735.49731945404</x:v>
      </x:c>
      <x:c r="H555" s="31" t="n">
        <x:v>11809</x:v>
      </x:c>
      <x:c r="I555" s="31" t="n">
        <x:v>3.6475913832584173</x:v>
      </x:c>
      <x:c r="J555" s="40" t="n">
        <x:v>0.010331103395715132</x:v>
      </x:c>
      <x:c r="K555" s="40" t="n">
        <x:v>0.6107206368024388</x:v>
      </x:c>
      <x:c r="L555" s="40" t="n">
        <x:v>0.19044796341773224</x:v>
      </x:c>
      <x:c r="M555" s="31" t="n">
        <x:v>42.70560720718986</x:v>
      </x:c>
      <x:c r="N555" s="31" t="n">
        <x:v>84</x:v>
      </x:c>
      <x:c r="O555" s="31" t="n">
        <x:v>2.531340405014465</x:v>
      </x:c>
      <x:c r="P555" s="31" t="n">
        <x:v>4</x:v>
      </x:c>
      <x:c r="Q555" s="40" t="n">
        <x:v>1</x:v>
      </x:c>
      <x:c r="R555" s="31" t="n">
        <x:v>0.20362996726804092</x:v>
      </x:c>
      <x:c r="S555" s="40"/>
      <x:c r="T555" s="40"/>
      <x:c r="U555" s="40" t="n">
        <x:v>1</x:v>
      </x:c>
      <x:c r="V555" s="40" t="n">
        <x:v>0.991108476585655</x:v>
      </x:c>
      <x:c r="W555" s="31" t="n">
        <x:v>1</x:v>
      </x:c>
      <x:c r="X555" s="31" t="str"/>
      <x:c r="Y555" s="31" t="n">
        <x:v>0</x:v>
      </x:c>
      <x:c r="Z555" s="31" t="n">
        <x:v>1</x:v>
      </x:c>
      <x:c r="AA555" s="31" t="n">
        <x:v>0</x:v>
      </x:c>
      <x:c r="AB555" s="31" t="str"/>
      <x:c r="AC555" s="31" t="str"/>
    </x:row>
    <x:row r="556">
      <x:c r="A556" s="31" t="str">
        <x:v>ac33fb193e38f176</x:v>
      </x:c>
      <x:c r="B556" s="31" t="str">
        <x:v>ac33fb193e38f176ee2f78eaf5892b026d13e24f475391dd568ffc86f90e6d1d</x:v>
      </x:c>
      <x:c r="C556" s="31" t="n">
        <x:v>8</x:v>
      </x:c>
      <x:c r="D556" s="31" t="n">
        <x:v>32537</x:v>
      </x:c>
      <x:c r="E556" s="31" t="str">
        <x:v>Queens</x:v>
      </x:c>
      <x:c r="F556" s="31" t="str">
        <x:v>North Corona</x:v>
      </x:c>
      <x:c r="G556" s="31" t="n">
        <x:v>94220.66891428792</x:v>
      </x:c>
      <x:c r="H556" s="31" t="n">
        <x:v>7212</x:v>
      </x:c>
      <x:c r="I556" s="31" t="n">
        <x:v>3.0554342362468585</x:v>
      </x:c>
      <x:c r="J556" s="40" t="n">
        <x:v>0</x:v>
      </x:c>
      <x:c r="K556" s="40" t="n">
        <x:v>0.5614254021075984</x:v>
      </x:c>
      <x:c r="L556" s="40" t="n">
        <x:v>0.01317249029395452</x:v>
      </x:c>
      <x:c r="M556" s="31" t="n">
        <x:v>34.62794703045346</x:v>
      </x:c>
      <x:c r="N556" s="31" t="n">
        <x:v>49</x:v>
      </x:c>
      <x:c r="O556" s="31" t="n">
        <x:v>1.505977809877985</x:v>
      </x:c>
      <x:c r="P556" s="31" t="n">
        <x:v>3.9834997226844147</x:v>
      </x:c>
      <x:c r="Q556" s="40" t="n">
        <x:v>0.9834997226844149</x:v>
      </x:c>
      <x:c r="R556" s="31" t="n">
        <x:v>0.1353980430240177</x:v>
      </x:c>
      <x:c r="S556" s="40"/>
      <x:c r="T556" s="40"/>
      <x:c r="U556" s="40" t="n">
        <x:v>1</x:v>
      </x:c>
      <x:c r="V556" s="40" t="n">
        <x:v>0.9876594564614531</x:v>
      </x:c>
      <x:c r="W556" s="31" t="n">
        <x:v>0</x:v>
      </x:c>
      <x:c r="X556" s="31" t="str"/>
      <x:c r="Y556" s="31" t="n">
        <x:v>0</x:v>
      </x:c>
      <x:c r="Z556" s="31" t="n">
        <x:v>0</x:v>
      </x:c>
      <x:c r="AA556" s="31" t="n">
        <x:v>0</x:v>
      </x:c>
      <x:c r="AB556" s="31" t="str"/>
      <x:c r="AC556" s="31" t="str"/>
    </x:row>
    <x:row r="557">
      <x:c r="A557" s="31" t="str">
        <x:v>ac3f37bdef1db36c</x:v>
      </x:c>
      <x:c r="B557" s="31" t="str">
        <x:v>ac3f37bdef1db36c12430835577b2d2c2062e59fd6e21c4c25a8ed1262fc2706</x:v>
      </x:c>
      <x:c r="C557" s="31" t="n">
        <x:v>6</x:v>
      </x:c>
      <x:c r="D557" s="31" t="n">
        <x:v>34391</x:v>
      </x:c>
      <x:c r="E557" s="31" t="str">
        <x:v>Manhattan</x:v>
      </x:c>
      <x:c r="F557" s="31" t="str">
        <x:v>Upper West Side-Lincoln Square</x:v>
      </x:c>
      <x:c r="G557" s="31" t="n">
        <x:v>89796.34156435072</x:v>
      </x:c>
      <x:c r="H557" s="31" t="n">
        <x:v>20380</x:v>
      </x:c>
      <x:c r="I557" s="31" t="n">
        <x:v>31.5293681033203</x:v>
      </x:c>
      <x:c r="J557" s="40" t="n">
        <x:v>0.9351815505397448</x:v>
      </x:c>
      <x:c r="K557" s="40" t="n">
        <x:v>0.056427870461236505</x:v>
      </x:c>
      <x:c r="L557" s="40" t="n">
        <x:v>0.06967615309126594</x:v>
      </x:c>
      <x:c r="M557" s="31" t="n">
        <x:v>311.1648216873706</x:v>
      </x:c>
      <x:c r="N557" s="31" t="n">
        <x:v>541</x:v>
      </x:c>
      <x:c r="O557" s="31" t="n">
        <x:v>15.730859817975631</x:v>
      </x:c>
      <x:c r="P557" s="31" t="n">
        <x:v>1.4448969578017665</x:v>
      </x:c>
      <x:c r="Q557" s="40" t="n">
        <x:v>0</x:v>
      </x:c>
      <x:c r="R557" s="31" t="n">
        <x:v>0.1265466485966573</x:v>
      </x:c>
      <x:c r="S557" s="40"/>
      <x:c r="T557" s="40"/>
      <x:c r="U557" s="40" t="n">
        <x:v>1</x:v>
      </x:c>
      <x:c r="V557" s="40" t="n">
        <x:v>0.9961236506378802</x:v>
      </x:c>
      <x:c r="W557" s="31" t="n">
        <x:v>1</x:v>
      </x:c>
      <x:c r="X557" s="31" t="str"/>
      <x:c r="Y557" s="31" t="n">
        <x:v>1</x:v>
      </x:c>
      <x:c r="Z557" s="31" t="n">
        <x:v>0</x:v>
      </x:c>
      <x:c r="AA557" s="31" t="n">
        <x:v>0</x:v>
      </x:c>
      <x:c r="AB557" s="31" t="str"/>
      <x:c r="AC557" s="31" t="str"/>
    </x:row>
    <x:row r="558">
      <x:c r="A558" s="31" t="str">
        <x:v>ac43036aba109916</x:v>
      </x:c>
      <x:c r="B558" s="31" t="str">
        <x:v>ac43036aba109916e5ddb0bf495ed2764f26cdfba9c35985daa7b0a5beaf1030</x:v>
      </x:c>
      <x:c r="C558" s="31" t="n">
        <x:v>9</x:v>
      </x:c>
      <x:c r="D558" s="31" t="n">
        <x:v>34539</x:v>
      </x:c>
      <x:c r="E558" s="31" t="str">
        <x:v>Queens</x:v>
      </x:c>
      <x:c r="F558" s="31" t="str">
        <x:v>Bay Terrace-Clearview</x:v>
      </x:c>
      <x:c r="G558" s="31" t="n">
        <x:v>14928.634570525574</x:v>
      </x:c>
      <x:c r="H558" s="31" t="n">
        <x:v>14969</x:v>
      </x:c>
      <x:c r="I558" s="31" t="n">
        <x:v>4.752950293960448</x:v>
      </x:c>
      <x:c r="J558" s="40" t="n">
        <x:v>0.12726301022112366</x:v>
      </x:c>
      <x:c r="K558" s="40" t="n">
        <x:v>0.25111897922372906</x:v>
      </x:c>
      <x:c r="L558" s="40" t="n">
        <x:v>0.4066403901396219</x:v>
      </x:c>
      <x:c r="M558" s="31" t="n">
        <x:v>52.34894994210179</x:v>
      </x:c>
      <x:c r="N558" s="31" t="n">
        <x:v>75</x:v>
      </x:c>
      <x:c r="O558" s="31" t="n">
        <x:v>2.1714583514288193</x:v>
      </x:c>
      <x:c r="P558" s="31" t="n">
        <x:v>2.0565168013895385</x:v>
      </x:c>
      <x:c r="Q558" s="40" t="n">
        <x:v>0</x:v>
      </x:c>
      <x:c r="R558" s="31" t="n">
        <x:v>0.22808616760168843</x:v>
      </x:c>
      <x:c r="S558" s="40"/>
      <x:c r="T558" s="40"/>
      <x:c r="U558" s="40" t="n">
        <x:v>1</x:v>
      </x:c>
      <x:c r="V558" s="40" t="n">
        <x:v>0.998997929053377</x:v>
      </x:c>
      <x:c r="W558" s="31" t="n">
        <x:v>0</x:v>
      </x:c>
      <x:c r="X558" s="31" t="str"/>
      <x:c r="Y558" s="31" t="n">
        <x:v>0</x:v>
      </x:c>
      <x:c r="Z558" s="31" t="n">
        <x:v>0</x:v>
      </x:c>
      <x:c r="AA558" s="31" t="n">
        <x:v>0</x:v>
      </x:c>
      <x:c r="AB558" s="31" t="str"/>
      <x:c r="AC558" s="31" t="str"/>
    </x:row>
    <x:row r="559">
      <x:c r="A559" s="31" t="str">
        <x:v>ac60c82c45b5e1f9</x:v>
      </x:c>
      <x:c r="B559" s="31" t="str">
        <x:v>ac60c82c45b5e1f9409f737dfeefecea155927258389bda96303d02f0850cae2</x:v>
      </x:c>
      <x:c r="C559" s="31" t="n">
        <x:v>8</x:v>
      </x:c>
      <x:c r="D559" s="31" t="n">
        <x:v>32171</x:v>
      </x:c>
      <x:c r="E559" s="31" t="str">
        <x:v>Queens</x:v>
      </x:c>
      <x:c r="F559" s="31" t="str">
        <x:v>Elmhurst</x:v>
      </x:c>
      <x:c r="G559" s="31" t="n">
        <x:v>37660.94668387656</x:v>
      </x:c>
      <x:c r="H559" s="31" t="n">
        <x:v>11580</x:v>
      </x:c>
      <x:c r="I559" s="31" t="n">
        <x:v>3.596080892608089</x:v>
      </x:c>
      <x:c r="J559" s="40" t="n">
        <x:v>0.03791018998272884</x:v>
      </x:c>
      <x:c r="K559" s="40" t="n">
        <x:v>0.48894645941278064</x:v>
      </x:c>
      <x:c r="L559" s="40" t="n">
        <x:v>0.013557858376511226</x:v>
      </x:c>
      <x:c r="M559" s="31" t="n">
        <x:v>41.39036455346585</x:v>
      </x:c>
      <x:c r="N559" s="31" t="n">
        <x:v>78</x:v>
      </x:c>
      <x:c r="O559" s="31" t="n">
        <x:v>2.4245438438345093</x:v>
      </x:c>
      <x:c r="P559" s="31" t="n">
        <x:v>2.4310880829015544</x:v>
      </x:c>
      <x:c r="Q559" s="40" t="n">
        <x:v>0</x:v>
      </x:c>
      <x:c r="R559" s="31" t="n">
        <x:v>0.24271453162556952</x:v>
      </x:c>
      <x:c r="S559" s="40"/>
      <x:c r="T559" s="40"/>
      <x:c r="U559" s="40" t="n">
        <x:v>1</x:v>
      </x:c>
      <x:c r="V559" s="40" t="n">
        <x:v>0.9926597582037997</x:v>
      </x:c>
      <x:c r="W559" s="31" t="n">
        <x:v>0</x:v>
      </x:c>
      <x:c r="X559" s="31" t="str"/>
      <x:c r="Y559" s="31" t="n">
        <x:v>0</x:v>
      </x:c>
      <x:c r="Z559" s="31" t="n">
        <x:v>0</x:v>
      </x:c>
      <x:c r="AA559" s="31" t="n">
        <x:v>0</x:v>
      </x:c>
      <x:c r="AB559" s="31" t="str"/>
      <x:c r="AC559" s="31" t="str"/>
    </x:row>
    <x:row r="560">
      <x:c r="A560" s="31" t="str">
        <x:v>acbbbbef4609ca23</x:v>
      </x:c>
      <x:c r="B560" s="31" t="str">
        <x:v>acbbbbef4609ca238db87055cbf75aac5118581bb66f95837c7cd5a6a1042f1c</x:v>
      </x:c>
      <x:c r="C560" s="31" t="n">
        <x:v>9</x:v>
      </x:c>
      <x:c r="D560" s="31" t="n">
        <x:v>33479</x:v>
      </x:c>
      <x:c r="E560" s="31" t="str">
        <x:v>Queens</x:v>
      </x:c>
      <x:c r="F560" s="31" t="str">
        <x:v>Baisley Park</x:v>
      </x:c>
      <x:c r="G560" s="31" t="n">
        <x:v>20980.450569733744</x:v>
      </x:c>
      <x:c r="H560" s="31" t="n">
        <x:v>14091</x:v>
      </x:c>
      <x:c r="I560" s="31" t="n">
        <x:v>7.259097498578738</x:v>
      </x:c>
      <x:c r="J560" s="40" t="n">
        <x:v>0.43502945142289406</x:v>
      </x:c>
      <x:c r="K560" s="40" t="n">
        <x:v>0.03229011425732737</x:v>
      </x:c>
      <x:c r="L560" s="40" t="n">
        <x:v>0.4306294798098077</x:v>
      </x:c>
      <x:c r="M560" s="31" t="n">
        <x:v>70.32548843198889</x:v>
      </x:c>
      <x:c r="N560" s="31" t="n">
        <x:v>138</x:v>
      </x:c>
      <x:c r="O560" s="31" t="n">
        <x:v>4.1219869171719585</x:v>
      </x:c>
      <x:c r="P560" s="31" t="n">
        <x:v>5</x:v>
      </x:c>
      <x:c r="Q560" s="40" t="n">
        <x:v>1</x:v>
      </x:c>
      <x:c r="R560" s="31" t="n">
        <x:v>0.27716105792696005</x:v>
      </x:c>
      <x:c r="S560" s="40"/>
      <x:c r="T560" s="40"/>
      <x:c r="U560" s="40" t="n">
        <x:v>1</x:v>
      </x:c>
      <x:c r="V560" s="40" t="n">
        <x:v>0.9948193882620112</x:v>
      </x:c>
      <x:c r="W560" s="31" t="n">
        <x:v>0</x:v>
      </x:c>
      <x:c r="X560" s="31" t="str"/>
      <x:c r="Y560" s="31" t="n">
        <x:v>0</x:v>
      </x:c>
      <x:c r="Z560" s="31" t="n">
        <x:v>0</x:v>
      </x:c>
      <x:c r="AA560" s="31" t="n">
        <x:v>0</x:v>
      </x:c>
      <x:c r="AB560" s="31" t="str"/>
      <x:c r="AC560" s="31" t="str"/>
    </x:row>
    <x:row r="561">
      <x:c r="A561" s="31" t="str">
        <x:v>acf90d245d32dd1c</x:v>
      </x:c>
      <x:c r="B561" s="31" t="str">
        <x:v>acf90d245d32dd1c2562b94c45955bb52810670d858fc2b6578ae8aa5e36a995</x:v>
      </x:c>
      <x:c r="C561" s="31" t="n">
        <x:v>9</x:v>
      </x:c>
      <x:c r="D561" s="31" t="n">
        <x:v>32295</x:v>
      </x:c>
      <x:c r="E561" s="31" t="str">
        <x:v>Brooklyn</x:v>
      </x:c>
      <x:c r="F561" s="31" t="str">
        <x:v>Madison</x:v>
      </x:c>
      <x:c r="G561" s="31" t="n">
        <x:v>52572.208353845126</x:v>
      </x:c>
      <x:c r="H561" s="31" t="n">
        <x:v>13061</x:v>
      </x:c>
      <x:c r="I561" s="31" t="n">
        <x:v>4.875788788482157</x:v>
      </x:c>
      <x:c r="J561" s="40" t="n">
        <x:v>0.0186815710895031</x:v>
      </x:c>
      <x:c r="K561" s="40" t="n">
        <x:v>0.7222264757675523</x:v>
      </x:c>
      <x:c r="L561" s="40" t="n">
        <x:v>0.002909425005742286</x:v>
      </x:c>
      <x:c r="M561" s="31" t="n">
        <x:v>54.594583127313356</x:v>
      </x:c>
      <x:c r="N561" s="31" t="n">
        <x:v>245</x:v>
      </x:c>
      <x:c r="O561" s="31" t="n">
        <x:v>7.586313670846881</x:v>
      </x:c>
      <x:c r="P561" s="31" t="n">
        <x:v>3.2782329071280913</x:v>
      </x:c>
      <x:c r="Q561" s="40" t="n">
        <x:v>0.20404256948166297</x:v>
      </x:c>
      <x:c r="R561" s="31" t="n">
        <x:v>0.1561386342089484</x:v>
      </x:c>
      <x:c r="S561" s="40"/>
      <x:c r="T561" s="40"/>
      <x:c r="U561" s="40" t="n">
        <x:v>1</x:v>
      </x:c>
      <x:c r="V561" s="40" t="n">
        <x:v>0.9885919914248527</x:v>
      </x:c>
      <x:c r="W561" s="31" t="n">
        <x:v>0</x:v>
      </x:c>
      <x:c r="X561" s="31" t="str"/>
      <x:c r="Y561" s="31" t="n">
        <x:v>0</x:v>
      </x:c>
      <x:c r="Z561" s="31" t="n">
        <x:v>0</x:v>
      </x:c>
      <x:c r="AA561" s="31" t="n">
        <x:v>0</x:v>
      </x:c>
      <x:c r="AB561" s="31" t="str"/>
      <x:c r="AC561" s="31" t="str"/>
    </x:row>
    <x:row r="562">
      <x:c r="A562" s="31" t="str">
        <x:v>ad0910bc21b1a56d</x:v>
      </x:c>
      <x:c r="B562" s="31" t="str">
        <x:v>ad0910bc21b1a56d920450fcb6f61606b4110e55ea7d59f281d15e711e66472f</x:v>
      </x:c>
      <x:c r="C562" s="31" t="n">
        <x:v>8</x:v>
      </x:c>
      <x:c r="D562" s="31" t="n">
        <x:v>37647</x:v>
      </x:c>
      <x:c r="E562" s="31" t="str">
        <x:v>Bronx</x:v>
      </x:c>
      <x:c r="F562" s="31" t="str">
        <x:v>Soundview-Bruckner-Bronx River</x:v>
      </x:c>
      <x:c r="G562" s="31" t="n">
        <x:v>78997.4845289658</x:v>
      </x:c>
      <x:c r="H562" s="31" t="n">
        <x:v>12222</x:v>
      </x:c>
      <x:c r="I562" s="31" t="n">
        <x:v>5.6959581083292425</x:v>
      </x:c>
      <x:c r="J562" s="40" t="n">
        <x:v>0.16871215840288006</x:v>
      </x:c>
      <x:c r="K562" s="40" t="n">
        <x:v>0.5522009491081656</x:v>
      </x:c>
      <x:c r="L562" s="40" t="n">
        <x:v>0.1156930126002291</x:v>
      </x:c>
      <x:c r="M562" s="31" t="n">
        <x:v>59.74691857468145</x:v>
      </x:c>
      <x:c r="N562" s="31" t="n">
        <x:v>95</x:v>
      </x:c>
      <x:c r="O562" s="31" t="n">
        <x:v>2.5234414428772545</x:v>
      </x:c>
      <x:c r="P562" s="31" t="n">
        <x:v>4</x:v>
      </x:c>
      <x:c r="Q562" s="40" t="n">
        <x:v>1</x:v>
      </x:c>
      <x:c r="R562" s="31" t="n">
        <x:v>0.12368049443938085</x:v>
      </x:c>
      <x:c r="S562" s="40"/>
      <x:c r="T562" s="40"/>
      <x:c r="U562" s="40" t="n">
        <x:v>1</x:v>
      </x:c>
      <x:c r="V562" s="40" t="n">
        <x:v>0.9888725249549992</x:v>
      </x:c>
      <x:c r="W562" s="31" t="n">
        <x:v>1</x:v>
      </x:c>
      <x:c r="X562" s="31" t="str"/>
      <x:c r="Y562" s="31" t="n">
        <x:v>0</x:v>
      </x:c>
      <x:c r="Z562" s="31" t="n">
        <x:v>1</x:v>
      </x:c>
      <x:c r="AA562" s="31" t="n">
        <x:v>0</x:v>
      </x:c>
      <x:c r="AB562" s="31" t="str"/>
      <x:c r="AC562" s="31" t="str"/>
    </x:row>
    <x:row r="563">
      <x:c r="A563" s="31" t="str">
        <x:v>ad24c58cd879789e</x:v>
      </x:c>
      <x:c r="B563" s="31" t="str">
        <x:v>ad24c58cd879789e81b0383c82a5a7e4530b5c99121b5a432be8732296bbf154</x:v>
      </x:c>
      <x:c r="C563" s="31" t="n">
        <x:v>11</x:v>
      </x:c>
      <x:c r="D563" s="31" t="n">
        <x:v>34875</x:v>
      </x:c>
      <x:c r="E563" s="31" t="str">
        <x:v>Brooklyn</x:v>
      </x:c>
      <x:c r="F563" s="31" t="str">
        <x:v>Crown Heights (North)</x:v>
      </x:c>
      <x:c r="G563" s="31" t="n">
        <x:v>63700.091856577434</x:v>
      </x:c>
      <x:c r="H563" s="31" t="n">
        <x:v>14881</x:v>
      </x:c>
      <x:c r="I563" s="31" t="n">
        <x:v>4.450243539439859</x:v>
      </x:c>
      <x:c r="J563" s="40" t="n">
        <x:v>0.04354546065452591</x:v>
      </x:c>
      <x:c r="K563" s="40" t="n">
        <x:v>0.7894630737181642</x:v>
      </x:c>
      <x:c r="L563" s="40" t="n">
        <x:v>0.11269403937907399</x:v>
      </x:c>
      <x:c r="M563" s="31" t="n">
        <x:v>47.968798884360304</x:v>
      </x:c>
      <x:c r="N563" s="31" t="n">
        <x:v>113</x:v>
      </x:c>
      <x:c r="O563" s="31" t="n">
        <x:v>3.240143369175627</x:v>
      </x:c>
      <x:c r="P563" s="31" t="n">
        <x:v>5</x:v>
      </x:c>
      <x:c r="Q563" s="40" t="n">
        <x:v>1</x:v>
      </x:c>
      <x:c r="R563" s="31" t="n">
        <x:v>0.09965975618468464</x:v>
      </x:c>
      <x:c r="S563" s="40"/>
      <x:c r="T563" s="40"/>
      <x:c r="U563" s="40" t="n">
        <x:v>1</x:v>
      </x:c>
      <x:c r="V563" s="40" t="n">
        <x:v>0.9717088905315503</x:v>
      </x:c>
      <x:c r="W563" s="31" t="n">
        <x:v>1</x:v>
      </x:c>
      <x:c r="X563" s="31" t="str"/>
      <x:c r="Y563" s="31" t="n">
        <x:v>0</x:v>
      </x:c>
      <x:c r="Z563" s="31" t="n">
        <x:v>1</x:v>
      </x:c>
      <x:c r="AA563" s="31" t="n">
        <x:v>0</x:v>
      </x:c>
      <x:c r="AB563" s="31" t="str"/>
      <x:c r="AC563" s="31" t="str"/>
    </x:row>
    <x:row r="564">
      <x:c r="A564" s="31" t="str">
        <x:v>ad623fd2efd4ac87</x:v>
      </x:c>
      <x:c r="B564" s="31" t="str">
        <x:v>ad623fd2efd4ac875e1811719e5b741f9a924474f02fc3c893cc9d7520437417</x:v>
      </x:c>
      <x:c r="C564" s="31" t="n">
        <x:v>8</x:v>
      </x:c>
      <x:c r="D564" s="31" t="n">
        <x:v>33485</x:v>
      </x:c>
      <x:c r="E564" s="31" t="str">
        <x:v>Brooklyn</x:v>
      </x:c>
      <x:c r="F564" s="31" t="str">
        <x:v>Ocean Hill</x:v>
      </x:c>
      <x:c r="G564" s="31" t="n">
        <x:v>57064.24239560849</x:v>
      </x:c>
      <x:c r="H564" s="31" t="n">
        <x:v>13802</x:v>
      </x:c>
      <x:c r="I564" s="31" t="n">
        <x:v>3.8018448544120917</x:v>
      </x:c>
      <x:c r="J564" s="40" t="n">
        <x:v>0.061512824228372696</x:v>
      </x:c>
      <x:c r="K564" s="40" t="n">
        <x:v>0.6294739892769163</x:v>
      </x:c>
      <x:c r="L564" s="40" t="n">
        <x:v>0.019634835531082452</x:v>
      </x:c>
      <x:c r="M564" s="31" t="n">
        <x:v>44.62230966882894</x:v>
      </x:c>
      <x:c r="N564" s="31" t="n">
        <x:v>52</x:v>
      </x:c>
      <x:c r="O564" s="31" t="n">
        <x:v>1.5529341496192326</x:v>
      </x:c>
      <x:c r="P564" s="31" t="n">
        <x:v>4.985509346471526</x:v>
      </x:c>
      <x:c r="Q564" s="40" t="n">
        <x:v>1</x:v>
      </x:c>
      <x:c r="R564" s="31" t="n">
        <x:v>0.10502945741661278</x:v>
      </x:c>
      <x:c r="S564" s="40"/>
      <x:c r="T564" s="40"/>
      <x:c r="U564" s="40" t="n">
        <x:v>1</x:v>
      </x:c>
      <x:c r="V564" s="40" t="n">
        <x:v>0.9763077814809448</x:v>
      </x:c>
      <x:c r="W564" s="31" t="n">
        <x:v>1</x:v>
      </x:c>
      <x:c r="X564" s="31" t="str"/>
      <x:c r="Y564" s="31" t="n">
        <x:v>0</x:v>
      </x:c>
      <x:c r="Z564" s="31" t="n">
        <x:v>1</x:v>
      </x:c>
      <x:c r="AA564" s="31" t="n">
        <x:v>0</x:v>
      </x:c>
      <x:c r="AB564" s="31" t="str"/>
      <x:c r="AC564" s="31" t="str"/>
    </x:row>
    <x:row r="565">
      <x:c r="A565" s="31" t="str">
        <x:v>adc02ac131f3f2cd</x:v>
      </x:c>
      <x:c r="B565" s="31" t="str">
        <x:v>adc02ac131f3f2cd717402d2f4050571b2148609d3fb3134e862573edf2b36ba</x:v>
      </x:c>
      <x:c r="C565" s="31" t="n">
        <x:v>14</x:v>
      </x:c>
      <x:c r="D565" s="31" t="n">
        <x:v>33876</x:v>
      </x:c>
      <x:c r="E565" s="31" t="str">
        <x:v>Queens</x:v>
      </x:c>
      <x:c r="F565" s="31" t="str">
        <x:v>Bayside</x:v>
      </x:c>
      <x:c r="G565" s="31" t="n">
        <x:v>17340.628628180017</x:v>
      </x:c>
      <x:c r="H565" s="31" t="n">
        <x:v>12974</x:v>
      </x:c>
      <x:c r="I565" s="31" t="n">
        <x:v>2.5821932419806917</x:v>
      </x:c>
      <x:c r="J565" s="40" t="n">
        <x:v>0.024202250655156465</x:v>
      </x:c>
      <x:c r="K565" s="40" t="n">
        <x:v>0.22390935717589025</x:v>
      </x:c>
      <x:c r="L565" s="40" t="n">
        <x:v>0.12085709881301064</x:v>
      </x:c>
      <x:c r="M565" s="31" t="n">
        <x:v>31.131799815817093</x:v>
      </x:c>
      <x:c r="N565" s="31" t="n">
        <x:v>30</x:v>
      </x:c>
      <x:c r="O565" s="31" t="n">
        <x:v>0.8855827134254339</x:v>
      </x:c>
      <x:c r="P565" s="31" t="n">
        <x:v>2.093725913365192</x:v>
      </x:c>
      <x:c r="Q565" s="40" t="n">
        <x:v>0</x:v>
      </x:c>
      <x:c r="R565" s="31" t="n">
        <x:v>0.2457696417819897</x:v>
      </x:c>
      <x:c r="S565" s="40"/>
      <x:c r="T565" s="40"/>
      <x:c r="U565" s="40" t="n">
        <x:v>1</x:v>
      </x:c>
      <x:c r="V565" s="40" t="n">
        <x:v>0.9885925697548944</x:v>
      </x:c>
      <x:c r="W565" s="31" t="n">
        <x:v>0</x:v>
      </x:c>
      <x:c r="X565" s="31" t="str"/>
      <x:c r="Y565" s="31" t="n">
        <x:v>0</x:v>
      </x:c>
      <x:c r="Z565" s="31" t="n">
        <x:v>0</x:v>
      </x:c>
      <x:c r="AA565" s="31" t="n">
        <x:v>0</x:v>
      </x:c>
      <x:c r="AB565" s="31" t="str"/>
      <x:c r="AC565" s="31" t="str"/>
    </x:row>
    <x:row r="566">
      <x:c r="A566" s="31" t="str">
        <x:v>add8d7b21b1abefe</x:v>
      </x:c>
      <x:c r="B566" s="31" t="str">
        <x:v>add8d7b21b1abefe9019855094e5aad97c18ce7a1071a9f6956e68c7f334390c</x:v>
      </x:c>
      <x:c r="C566" s="31" t="n">
        <x:v>10</x:v>
      </x:c>
      <x:c r="D566" s="31" t="n">
        <x:v>34948</x:v>
      </x:c>
      <x:c r="E566" s="31" t="str">
        <x:v>Brooklyn</x:v>
      </x:c>
      <x:c r="F566" s="31" t="str">
        <x:v>Gravesend (West)</x:v>
      </x:c>
      <x:c r="G566" s="31" t="n">
        <x:v>47397.28364010253</x:v>
      </x:c>
      <x:c r="H566" s="31" t="n">
        <x:v>11331</x:v>
      </x:c>
      <x:c r="I566" s="31" t="n">
        <x:v>3.11834628975265</x:v>
      </x:c>
      <x:c r="J566" s="40" t="n">
        <x:v>0</x:v>
      </x:c>
      <x:c r="K566" s="40" t="n">
        <x:v>0.36298649722001586</x:v>
      </x:c>
      <x:c r="L566" s="40" t="n">
        <x:v>0.17809549024799223</x:v>
      </x:c>
      <x:c r="M566" s="31" t="n">
        <x:v>44.31281599820949</x:v>
      </x:c>
      <x:c r="N566" s="31" t="n">
        <x:v>57</x:v>
      </x:c>
      <x:c r="O566" s="31" t="n">
        <x:v>1.6309946205791461</x:v>
      </x:c>
      <x:c r="P566" s="31" t="n">
        <x:v>4</x:v>
      </x:c>
      <x:c r="Q566" s="40" t="n">
        <x:v>1</x:v>
      </x:c>
      <x:c r="R566" s="31" t="n">
        <x:v>0.1440465440365951</x:v>
      </x:c>
      <x:c r="S566" s="40"/>
      <x:c r="T566" s="40"/>
      <x:c r="U566" s="40" t="n">
        <x:v>1</x:v>
      </x:c>
      <x:c r="V566" s="40" t="n">
        <x:v>0.9976171564733916</x:v>
      </x:c>
      <x:c r="W566" s="31" t="n">
        <x:v>0</x:v>
      </x:c>
      <x:c r="X566" s="31" t="str"/>
      <x:c r="Y566" s="31" t="n">
        <x:v>0</x:v>
      </x:c>
      <x:c r="Z566" s="31" t="n">
        <x:v>0</x:v>
      </x:c>
      <x:c r="AA566" s="31" t="n">
        <x:v>0</x:v>
      </x:c>
      <x:c r="AB566" s="31" t="str"/>
      <x:c r="AC566" s="31" t="str"/>
    </x:row>
    <x:row r="567">
      <x:c r="A567" s="31" t="str">
        <x:v>addf986c84d731a9</x:v>
      </x:c>
      <x:c r="B567" s="31" t="str">
        <x:v>addf986c84d731a9ea1ed39e7328a66f37b3c19d5d933b2fddcd3743e077b06c</x:v>
      </x:c>
      <x:c r="C567" s="31" t="n">
        <x:v>7</x:v>
      </x:c>
      <x:c r="D567" s="31" t="n">
        <x:v>33013</x:v>
      </x:c>
      <x:c r="E567" s="31" t="str">
        <x:v>Manhattan</x:v>
      </x:c>
      <x:c r="F567" s="31" t="str">
        <x:v>Chinatown-Two Bridges</x:v>
      </x:c>
      <x:c r="G567" s="31" t="n">
        <x:v>78287.77415321965</x:v>
      </x:c>
      <x:c r="H567" s="31" t="n">
        <x:v>12861</x:v>
      </x:c>
      <x:c r="I567" s="31" t="n">
        <x:v>10.473561430793158</x:v>
      </x:c>
      <x:c r="J567" s="40" t="n">
        <x:v>0.47997822875359614</x:v>
      </x:c>
      <x:c r="K567" s="40" t="n">
        <x:v>0.5122463261021694</x:v>
      </x:c>
      <x:c r="L567" s="40" t="n">
        <x:v>0.33691003809968123</x:v>
      </x:c>
      <x:c r="M567" s="31" t="n">
        <x:v>95.3839614375192</x:v>
      </x:c>
      <x:c r="N567" s="31" t="n">
        <x:v>223</x:v>
      </x:c>
      <x:c r="O567" s="31" t="n">
        <x:v>6.754914730560688</x:v>
      </x:c>
      <x:c r="P567" s="31" t="n">
        <x:v>2.332866806624679</x:v>
      </x:c>
      <x:c r="Q567" s="40" t="n">
        <x:v>0</x:v>
      </x:c>
      <x:c r="R567" s="31" t="n">
        <x:v>0.1014786283855904</x:v>
      </x:c>
      <x:c r="S567" s="40"/>
      <x:c r="T567" s="40"/>
      <x:c r="U567" s="40" t="n">
        <x:v>1</x:v>
      </x:c>
      <x:c r="V567" s="40" t="n">
        <x:v>0.9926133271129772</x:v>
      </x:c>
      <x:c r="W567" s="31" t="n">
        <x:v>0</x:v>
      </x:c>
      <x:c r="X567" s="31" t="str"/>
      <x:c r="Y567" s="31" t="n">
        <x:v>0</x:v>
      </x:c>
      <x:c r="Z567" s="31" t="n">
        <x:v>0</x:v>
      </x:c>
      <x:c r="AA567" s="31" t="n">
        <x:v>0</x:v>
      </x:c>
      <x:c r="AB567" s="31" t="str"/>
      <x:c r="AC567" s="31" t="str"/>
    </x:row>
    <x:row r="568">
      <x:c r="A568" s="31" t="str">
        <x:v>ae038efe5cb89266</x:v>
      </x:c>
      <x:c r="B568" s="31" t="str">
        <x:v>ae038efe5cb89266dc17f7f2f946e61b53231c6b0922981703112d481ff7e6e1</x:v>
      </x:c>
      <x:c r="C568" s="31" t="n">
        <x:v>5</x:v>
      </x:c>
      <x:c r="D568" s="31" t="n">
        <x:v>34335</x:v>
      </x:c>
      <x:c r="E568" s="31" t="str">
        <x:v>Bronx</x:v>
      </x:c>
      <x:c r="F568" s="31" t="str">
        <x:v>Parkchester</x:v>
      </x:c>
      <x:c r="G568" s="31" t="n">
        <x:v>111542.98538033498</x:v>
      </x:c>
      <x:c r="H568" s="31" t="n">
        <x:v>14409</x:v>
      </x:c>
      <x:c r="I568" s="31" t="n">
        <x:v>10.043973141172618</x:v>
      </x:c>
      <x:c r="J568" s="40" t="n">
        <x:v>0.2765632590741897</x:v>
      </x:c>
      <x:c r="K568" s="40" t="n">
        <x:v>0.10986189187313485</x:v>
      </x:c>
      <x:c r="L568" s="40" t="n">
        <x:v>0.8339926434867097</x:v>
      </x:c>
      <x:c r="M568" s="31" t="n">
        <x:v>129.99792197356646</x:v>
      </x:c>
      <x:c r="N568" s="31" t="n">
        <x:v>236</x:v>
      </x:c>
      <x:c r="O568" s="31" t="n">
        <x:v>6.8734527450123775</x:v>
      </x:c>
      <x:c r="P568" s="31" t="n">
        <x:v>5</x:v>
      </x:c>
      <x:c r="Q568" s="40" t="n">
        <x:v>1</x:v>
      </x:c>
      <x:c r="R568" s="31" t="n">
        <x:v>0.18519563911194542</x:v>
      </x:c>
      <x:c r="S568" s="40"/>
      <x:c r="T568" s="40"/>
      <x:c r="U568" s="40" t="n">
        <x:v>1</x:v>
      </x:c>
      <x:c r="V568" s="40" t="n">
        <x:v>0.9972933583177181</x:v>
      </x:c>
      <x:c r="W568" s="31" t="n">
        <x:v>1</x:v>
      </x:c>
      <x:c r="X568" s="31" t="str"/>
      <x:c r="Y568" s="31" t="n">
        <x:v>0</x:v>
      </x:c>
      <x:c r="Z568" s="31" t="n">
        <x:v>0</x:v>
      </x:c>
      <x:c r="AA568" s="31" t="n">
        <x:v>1</x:v>
      </x:c>
      <x:c r="AB568" s="31" t="str"/>
      <x:c r="AC568" s="31" t="str"/>
    </x:row>
    <x:row r="569">
      <x:c r="A569" s="31" t="str">
        <x:v>ae561d70e8a4b255</x:v>
      </x:c>
      <x:c r="B569" s="31" t="str">
        <x:v>ae561d70e8a4b2559acf141e0c94384c1498558483db805c2fac122dcb924e4a</x:v>
      </x:c>
      <x:c r="C569" s="31" t="n">
        <x:v>7</x:v>
      </x:c>
      <x:c r="D569" s="31" t="n">
        <x:v>32385</x:v>
      </x:c>
      <x:c r="E569" s="31" t="str">
        <x:v>Brooklyn</x:v>
      </x:c>
      <x:c r="F569" s="31" t="str">
        <x:v>South Williamsburg</x:v>
      </x:c>
      <x:c r="G569" s="31" t="n">
        <x:v>89184.03484529842</x:v>
      </x:c>
      <x:c r="H569" s="31" t="n">
        <x:v>7512</x:v>
      </x:c>
      <x:c r="I569" s="31" t="n">
        <x:v>4.711422708618331</x:v>
      </x:c>
      <x:c r="J569" s="40" t="n">
        <x:v>0.01371139510117146</x:v>
      </x:c>
      <x:c r="K569" s="40" t="n">
        <x:v>0.9014909478168264</x:v>
      </x:c>
      <x:c r="L569" s="40" t="n">
        <x:v>0.13511714589989351</x:v>
      </x:c>
      <x:c r="M569" s="31" t="n">
        <x:v>57.448914204875834</x:v>
      </x:c>
      <x:c r="N569" s="31" t="n">
        <x:v>312</x:v>
      </x:c>
      <x:c r="O569" s="31" t="n">
        <x:v>9.634089856415006</x:v>
      </x:c>
      <x:c r="P569" s="31" t="n">
        <x:v>3.4072151224707135</x:v>
      </x:c>
      <x:c r="Q569" s="40" t="n">
        <x:v>0.4072151224707135</x:v>
      </x:c>
      <x:c r="R569" s="31" t="n">
        <x:v>0.1541740246641878</x:v>
      </x:c>
      <x:c r="S569" s="40"/>
      <x:c r="T569" s="40"/>
      <x:c r="U569" s="40" t="n">
        <x:v>1</x:v>
      </x:c>
      <x:c r="V569" s="40" t="n">
        <x:v>0.9809637912673056</x:v>
      </x:c>
      <x:c r="W569" s="31" t="n">
        <x:v>0</x:v>
      </x:c>
      <x:c r="X569" s="31" t="str"/>
      <x:c r="Y569" s="31" t="n">
        <x:v>0</x:v>
      </x:c>
      <x:c r="Z569" s="31" t="n">
        <x:v>0</x:v>
      </x:c>
      <x:c r="AA569" s="31" t="n">
        <x:v>0</x:v>
      </x:c>
      <x:c r="AB569" s="31" t="str"/>
      <x:c r="AC569" s="31" t="str"/>
    </x:row>
    <x:row r="570">
      <x:c r="A570" s="31" t="str">
        <x:v>ae9d3c2b21074eef</x:v>
      </x:c>
      <x:c r="B570" s="31" t="str">
        <x:v>ae9d3c2b21074eef9076ef21f569a415523886b3e56e2b6955248242ffe95acb</x:v>
      </x:c>
      <x:c r="C570" s="31" t="n">
        <x:v>7</x:v>
      </x:c>
      <x:c r="D570" s="31" t="n">
        <x:v>37731</x:v>
      </x:c>
      <x:c r="E570" s="31" t="str">
        <x:v>Manhattan</x:v>
      </x:c>
      <x:c r="F570" s="31" t="str">
        <x:v>Harlem (North)</x:v>
      </x:c>
      <x:c r="G570" s="31" t="n">
        <x:v>102568.48960564424</x:v>
      </x:c>
      <x:c r="H570" s="31" t="n">
        <x:v>18559</x:v>
      </x:c>
      <x:c r="I570" s="31" t="n">
        <x:v>8.135149745918477</x:v>
      </x:c>
      <x:c r="J570" s="40" t="n">
        <x:v>0.23832103022792175</x:v>
      </x:c>
      <x:c r="K570" s="40" t="n">
        <x:v>0.7583921547497171</x:v>
      </x:c>
      <x:c r="L570" s="40" t="n">
        <x:v>0.15426477719704726</x:v>
      </x:c>
      <x:c r="M570" s="31" t="n">
        <x:v>85.83879218192354</x:v>
      </x:c>
      <x:c r="N570" s="31" t="n">
        <x:v>253</x:v>
      </x:c>
      <x:c r="O570" s="31" t="n">
        <x:v>6.705361638970608</x:v>
      </x:c>
      <x:c r="P570" s="31" t="n">
        <x:v>5</x:v>
      </x:c>
      <x:c r="Q570" s="40" t="n">
        <x:v>1</x:v>
      </x:c>
      <x:c r="R570" s="31" t="n">
        <x:v>0.10880636631430111</x:v>
      </x:c>
      <x:c r="S570" s="40"/>
      <x:c r="T570" s="40"/>
      <x:c r="U570" s="40" t="n">
        <x:v>1</x:v>
      </x:c>
      <x:c r="V570" s="40" t="n">
        <x:v>0.9963898916967509</x:v>
      </x:c>
      <x:c r="W570" s="31" t="n">
        <x:v>1</x:v>
      </x:c>
      <x:c r="X570" s="31" t="str"/>
      <x:c r="Y570" s="31" t="n">
        <x:v>0</x:v>
      </x:c>
      <x:c r="Z570" s="31" t="n">
        <x:v>1</x:v>
      </x:c>
      <x:c r="AA570" s="31" t="n">
        <x:v>0</x:v>
      </x:c>
      <x:c r="AB570" s="31" t="str"/>
      <x:c r="AC570" s="31" t="str"/>
    </x:row>
    <x:row r="571">
      <x:c r="A571" s="31" t="str">
        <x:v>aecb94b295023fa4</x:v>
      </x:c>
      <x:c r="B571" s="31" t="str">
        <x:v>aecb94b295023fa4e5d008137409164b11eea77cc044304a86c1b760602aa3c2</x:v>
      </x:c>
      <x:c r="C571" s="31" t="n">
        <x:v>8</x:v>
      </x:c>
      <x:c r="D571" s="31" t="n">
        <x:v>32516</x:v>
      </x:c>
      <x:c r="E571" s="31" t="str">
        <x:v>Queens</x:v>
      </x:c>
      <x:c r="F571" s="31" t="str">
        <x:v>Jamaica</x:v>
      </x:c>
      <x:c r="G571" s="31" t="n">
        <x:v>46040.08439840325</x:v>
      </x:c>
      <x:c r="H571" s="31" t="n">
        <x:v>11933</x:v>
      </x:c>
      <x:c r="I571" s="31" t="n">
        <x:v>5.824658005029337</x:v>
      </x:c>
      <x:c r="J571" s="40" t="n">
        <x:v>0.13860722366546552</x:v>
      </x:c>
      <x:c r="K571" s="40" t="n">
        <x:v>0.581999497192659</x:v>
      </x:c>
      <x:c r="L571" s="40" t="n">
        <x:v>0.044163244783373835</x:v>
      </x:c>
      <x:c r="M571" s="31" t="n">
        <x:v>65.09672170957506</x:v>
      </x:c>
      <x:c r="N571" s="31" t="n">
        <x:v>142</x:v>
      </x:c>
      <x:c r="O571" s="31" t="n">
        <x:v>4.367080821749292</x:v>
      </x:c>
      <x:c r="P571" s="31" t="n">
        <x:v>3.6900192742814046</x:v>
      </x:c>
      <x:c r="Q571" s="40" t="n">
        <x:v>0.6900192742814045</x:v>
      </x:c>
      <x:c r="R571" s="31" t="n">
        <x:v>0.16428776527434497</x:v>
      </x:c>
      <x:c r="S571" s="40"/>
      <x:c r="T571" s="40"/>
      <x:c r="U571" s="40" t="n">
        <x:v>1</x:v>
      </x:c>
      <x:c r="V571" s="40" t="n">
        <x:v>0.966311908153859</x:v>
      </x:c>
      <x:c r="W571" s="31" t="n">
        <x:v>0</x:v>
      </x:c>
      <x:c r="X571" s="31" t="str"/>
      <x:c r="Y571" s="31" t="n">
        <x:v>0</x:v>
      </x:c>
      <x:c r="Z571" s="31" t="n">
        <x:v>0</x:v>
      </x:c>
      <x:c r="AA571" s="31" t="n">
        <x:v>0</x:v>
      </x:c>
      <x:c r="AB571" s="31" t="str"/>
      <x:c r="AC571" s="31" t="str"/>
    </x:row>
    <x:row r="572">
      <x:c r="A572" s="31" t="str">
        <x:v>af004babdb07f011</x:v>
      </x:c>
      <x:c r="B572" s="31" t="str">
        <x:v>af004babdb07f011cec751817a041d25545225521c9f534d72ec28e084081cf1</x:v>
      </x:c>
      <x:c r="C572" s="31" t="n">
        <x:v>8</x:v>
      </x:c>
      <x:c r="D572" s="31" t="n">
        <x:v>35562</x:v>
      </x:c>
      <x:c r="E572" s="31" t="str">
        <x:v>Brooklyn</x:v>
      </x:c>
      <x:c r="F572" s="31" t="str">
        <x:v>Prospect Heights</x:v>
      </x:c>
      <x:c r="G572" s="31" t="n">
        <x:v>67240.51776608654</x:v>
      </x:c>
      <x:c r="H572" s="31" t="n">
        <x:v>18721</x:v>
      </x:c>
      <x:c r="I572" s="31" t="n">
        <x:v>6.6568330473943815</x:v>
      </x:c>
      <x:c r="J572" s="40" t="n">
        <x:v>0.19128251695956414</x:v>
      </x:c>
      <x:c r="K572" s="40" t="n">
        <x:v>0.7608567918380429</x:v>
      </x:c>
      <x:c r="L572" s="40" t="n">
        <x:v>0.00870679985043534</x:v>
      </x:c>
      <x:c r="M572" s="31" t="n">
        <x:v>75.98233091144925</x:v>
      </x:c>
      <x:c r="N572" s="31" t="n">
        <x:v>273</x:v>
      </x:c>
      <x:c r="O572" s="31" t="n">
        <x:v>7.6767335920364435</x:v>
      </x:c>
      <x:c r="P572" s="31" t="n">
        <x:v>2.1787297687089366</x:v>
      </x:c>
      <x:c r="Q572" s="40" t="n">
        <x:v>0.08936488435446824</x:v>
      </x:c>
      <x:c r="R572" s="31" t="n">
        <x:v>0.1405507391537361</x:v>
      </x:c>
      <x:c r="S572" s="40"/>
      <x:c r="T572" s="40"/>
      <x:c r="U572" s="40" t="n">
        <x:v>1</x:v>
      </x:c>
      <x:c r="V572" s="40" t="n">
        <x:v>0.9778323807488917</x:v>
      </x:c>
      <x:c r="W572" s="31" t="n">
        <x:v>0</x:v>
      </x:c>
      <x:c r="X572" s="31" t="str"/>
      <x:c r="Y572" s="31" t="n">
        <x:v>0</x:v>
      </x:c>
      <x:c r="Z572" s="31" t="n">
        <x:v>0</x:v>
      </x:c>
      <x:c r="AA572" s="31" t="n">
        <x:v>0</x:v>
      </x:c>
      <x:c r="AB572" s="31" t="str"/>
      <x:c r="AC572" s="31" t="str"/>
    </x:row>
    <x:row r="573">
      <x:c r="A573" s="31" t="str">
        <x:v>af07407b2bae8b0e</x:v>
      </x:c>
      <x:c r="B573" s="31" t="str">
        <x:v>af07407b2bae8b0e1cefc97a901639cb7fad1a6e37180f4781dadb37ba10de2a</x:v>
      </x:c>
      <x:c r="C573" s="31" t="n">
        <x:v>6</x:v>
      </x:c>
      <x:c r="D573" s="31" t="n">
        <x:v>35017</x:v>
      </x:c>
      <x:c r="E573" s="31" t="str">
        <x:v>Bronx</x:v>
      </x:c>
      <x:c r="F573" s="31" t="str">
        <x:v>Mott Haven-Port Morris</x:v>
      </x:c>
      <x:c r="G573" s="31" t="n">
        <x:v>66149.26455921085</x:v>
      </x:c>
      <x:c r="H573" s="31" t="n">
        <x:v>15883</x:v>
      </x:c>
      <x:c r="I573" s="31" t="n">
        <x:v>11.962821885034314</x:v>
      </x:c>
      <x:c r="J573" s="40" t="n">
        <x:v>0.5362337089970408</x:v>
      </x:c>
      <x:c r="K573" s="40" t="n">
        <x:v>0.4337971415979349</x:v>
      </x:c>
      <x:c r="L573" s="40" t="n">
        <x:v>0.43814140905370524</x:v>
      </x:c>
      <x:c r="M573" s="31" t="n">
        <x:v>120.41489792687092</x:v>
      </x:c>
      <x:c r="N573" s="31" t="n">
        <x:v>222</x:v>
      </x:c>
      <x:c r="O573" s="31" t="n">
        <x:v>6.339777822200646</x:v>
      </x:c>
      <x:c r="P573" s="31" t="n">
        <x:v>5</x:v>
      </x:c>
      <x:c r="Q573" s="40" t="n">
        <x:v>1</x:v>
      </x:c>
      <x:c r="R573" s="31" t="n">
        <x:v>0.05432146690768966</x:v>
      </x:c>
      <x:c r="S573" s="40"/>
      <x:c r="T573" s="40"/>
      <x:c r="U573" s="40" t="n">
        <x:v>1</x:v>
      </x:c>
      <x:c r="V573" s="40" t="n">
        <x:v>0.9883523263867028</x:v>
      </x:c>
      <x:c r="W573" s="31" t="n">
        <x:v>0</x:v>
      </x:c>
      <x:c r="X573" s="31" t="str"/>
      <x:c r="Y573" s="31" t="n">
        <x:v>0</x:v>
      </x:c>
      <x:c r="Z573" s="31" t="n">
        <x:v>0</x:v>
      </x:c>
      <x:c r="AA573" s="31" t="n">
        <x:v>0</x:v>
      </x:c>
      <x:c r="AB573" s="31" t="str"/>
      <x:c r="AC573" s="31" t="str"/>
    </x:row>
    <x:row r="574">
      <x:c r="A574" s="31" t="str">
        <x:v>af4e27932372c811</x:v>
      </x:c>
      <x:c r="B574" s="31" t="str">
        <x:v>af4e27932372c811ea5d4c3b76ab2dde6fb6415b3f94cf7afe9063afae355075</x:v>
      </x:c>
      <x:c r="C574" s="31" t="n">
        <x:v>4</x:v>
      </x:c>
      <x:c r="D574" s="31" t="n">
        <x:v>37772</x:v>
      </x:c>
      <x:c r="E574" s="31" t="str">
        <x:v>Manhattan</x:v>
      </x:c>
      <x:c r="F574" s="31" t="str">
        <x:v>Upper West Side-Manhattan Valley</x:v>
      </x:c>
      <x:c r="G574" s="31" t="n">
        <x:v>106351.31226103043</x:v>
      </x:c>
      <x:c r="H574" s="31" t="n">
        <x:v>18854</x:v>
      </x:c>
      <x:c r="I574" s="31" t="n">
        <x:v>10.990251957598678</x:v>
      </x:c>
      <x:c r="J574" s="40" t="n">
        <x:v>0.5465153283122944</x:v>
      </x:c>
      <x:c r="K574" s="40" t="n">
        <x:v>0.449188501113822</x:v>
      </x:c>
      <x:c r="L574" s="40" t="n">
        <x:v>0.12389943778508539</x:v>
      </x:c>
      <x:c r="M574" s="31" t="n">
        <x:v>122.26442886270722</x:v>
      </x:c>
      <x:c r="N574" s="31" t="n">
        <x:v>449</x:v>
      </x:c>
      <x:c r="O574" s="31" t="n">
        <x:v>11.887112146563593</x:v>
      </x:c>
      <x:c r="P574" s="31" t="n">
        <x:v>2</x:v>
      </x:c>
      <x:c r="Q574" s="40" t="n">
        <x:v>0</x:v>
      </x:c>
      <x:c r="R574" s="31" t="n">
        <x:v>0.1417454645783228</x:v>
      </x:c>
      <x:c r="S574" s="40"/>
      <x:c r="T574" s="40"/>
      <x:c r="U574" s="40" t="n">
        <x:v>1</x:v>
      </x:c>
      <x:c r="V574" s="40" t="n">
        <x:v>0.9950673597114671</x:v>
      </x:c>
      <x:c r="W574" s="31" t="n">
        <x:v>1</x:v>
      </x:c>
      <x:c r="X574" s="31" t="str"/>
      <x:c r="Y574" s="31" t="n">
        <x:v>1</x:v>
      </x:c>
      <x:c r="Z574" s="31" t="n">
        <x:v>0</x:v>
      </x:c>
      <x:c r="AA574" s="31" t="n">
        <x:v>0</x:v>
      </x:c>
      <x:c r="AB574" s="31" t="str"/>
      <x:c r="AC574" s="31" t="str"/>
    </x:row>
    <x:row r="575">
      <x:c r="A575" s="31" t="str">
        <x:v>afedbc0eb8830121</x:v>
      </x:c>
      <x:c r="B575" s="31" t="str">
        <x:v>afedbc0eb88301211464ac1e74a9379a463204f7a3184b2a764653b8ccc4e544</x:v>
      </x:c>
      <x:c r="C575" s="31" t="n">
        <x:v>7</x:v>
      </x:c>
      <x:c r="D575" s="31" t="n">
        <x:v>36579</x:v>
      </x:c>
      <x:c r="E575" s="31" t="str">
        <x:v>Brooklyn</x:v>
      </x:c>
      <x:c r="F575" s="31" t="str">
        <x:v>Williamsburg</x:v>
      </x:c>
      <x:c r="G575" s="31" t="n">
        <x:v>77918.69893428453</x:v>
      </x:c>
      <x:c r="H575" s="31" t="n">
        <x:v>14224</x:v>
      </x:c>
      <x:c r="I575" s="31" t="n">
        <x:v>5.81643850116435</x:v>
      </x:c>
      <x:c r="J575" s="40" t="n">
        <x:v>0.07606861642294713</x:v>
      </x:c>
      <x:c r="K575" s="40" t="n">
        <x:v>0.8849831271091113</x:v>
      </x:c>
      <x:c r="L575" s="40" t="n">
        <x:v>0.03107424071991001</x:v>
      </x:c>
      <x:c r="M575" s="31" t="n">
        <x:v>64.36841418899371</x:v>
      </x:c>
      <x:c r="N575" s="31" t="n">
        <x:v>284</x:v>
      </x:c>
      <x:c r="O575" s="31" t="n">
        <x:v>7.764017605730064</x:v>
      </x:c>
      <x:c r="P575" s="31" t="n">
        <x:v>3.0338160854893137</x:v>
      </x:c>
      <x:c r="Q575" s="40" t="n">
        <x:v>0.033816085489313835</x:v>
      </x:c>
      <x:c r="R575" s="31" t="n">
        <x:v>0.1070015153239176</x:v>
      </x:c>
      <x:c r="S575" s="40"/>
      <x:c r="T575" s="40"/>
      <x:c r="U575" s="40" t="n">
        <x:v>1</x:v>
      </x:c>
      <x:c r="V575" s="40" t="n">
        <x:v>0.9732142857142857</x:v>
      </x:c>
      <x:c r="W575" s="31" t="n">
        <x:v>0</x:v>
      </x:c>
      <x:c r="X575" s="31" t="str"/>
      <x:c r="Y575" s="31" t="n">
        <x:v>0</x:v>
      </x:c>
      <x:c r="Z575" s="31" t="n">
        <x:v>0</x:v>
      </x:c>
      <x:c r="AA575" s="31" t="n">
        <x:v>0</x:v>
      </x:c>
      <x:c r="AB575" s="31" t="str"/>
      <x:c r="AC575" s="31" t="str"/>
    </x:row>
    <x:row r="576">
      <x:c r="A576" s="31" t="str">
        <x:v>b0098b7ac75c3673</x:v>
      </x:c>
      <x:c r="B576" s="31" t="str">
        <x:v>b0098b7ac75c36734fb8eb33d34d4f25273447bcaf74a8dadd59e4f0684dcf48</x:v>
      </x:c>
      <x:c r="C576" s="31" t="n">
        <x:v>5</x:v>
      </x:c>
      <x:c r="D576" s="31" t="n">
        <x:v>33585</x:v>
      </x:c>
      <x:c r="E576" s="31" t="str">
        <x:v>Manhattan</x:v>
      </x:c>
      <x:c r="F576" s="31" t="str">
        <x:v>Murray Hill-Kips Bay</x:v>
      </x:c>
      <x:c r="G576" s="31" t="n">
        <x:v>118853.22648413744</x:v>
      </x:c>
      <x:c r="H576" s="31" t="n">
        <x:v>25458</x:v>
      </x:c>
      <x:c r="I576" s="31" t="n">
        <x:v>24.157701276629382</x:v>
      </x:c>
      <x:c r="J576" s="40" t="n">
        <x:v>0.8393039516065677</x:v>
      </x:c>
      <x:c r="K576" s="40" t="n">
        <x:v>0.15445046743656218</x:v>
      </x:c>
      <x:c r="L576" s="40" t="n">
        <x:v>0.046625815067955066</x:v>
      </x:c>
      <x:c r="M576" s="31" t="n">
        <x:v>241.03581148461564</x:v>
      </x:c>
      <x:c r="N576" s="31" t="n">
        <x:v>488</x:v>
      </x:c>
      <x:c r="O576" s="31" t="n">
        <x:v>14.530296263212744</x:v>
      </x:c>
      <x:c r="P576" s="31" t="n">
        <x:v>2</x:v>
      </x:c>
      <x:c r="Q576" s="40" t="n">
        <x:v>0</x:v>
      </x:c>
      <x:c r="R576" s="31" t="n">
        <x:v>0.1476695742475462</x:v>
      </x:c>
      <x:c r="S576" s="40"/>
      <x:c r="T576" s="40"/>
      <x:c r="U576" s="40" t="n">
        <x:v>1</x:v>
      </x:c>
      <x:c r="V576" s="40" t="n">
        <x:v>0.9938329798098829</x:v>
      </x:c>
      <x:c r="W576" s="31" t="n">
        <x:v>1</x:v>
      </x:c>
      <x:c r="X576" s="31" t="str"/>
      <x:c r="Y576" s="31" t="n">
        <x:v>1</x:v>
      </x:c>
      <x:c r="Z576" s="31" t="n">
        <x:v>0</x:v>
      </x:c>
      <x:c r="AA576" s="31" t="n">
        <x:v>0</x:v>
      </x:c>
      <x:c r="AB576" s="31" t="str"/>
      <x:c r="AC576" s="31" t="str"/>
    </x:row>
    <x:row r="577">
      <x:c r="A577" s="31" t="str">
        <x:v>b034c7cde60a17ce</x:v>
      </x:c>
      <x:c r="B577" s="31" t="str">
        <x:v>b034c7cde60a17ce6739db5d27d66f746b4c31b4ea4e0f7333b72dec6ba25275</x:v>
      </x:c>
      <x:c r="C577" s="31" t="n">
        <x:v>9</x:v>
      </x:c>
      <x:c r="D577" s="31" t="n">
        <x:v>32335</x:v>
      </x:c>
      <x:c r="E577" s="31" t="str">
        <x:v>Brooklyn</x:v>
      </x:c>
      <x:c r="F577" s="31" t="str">
        <x:v>Midwood</x:v>
      </x:c>
      <x:c r="G577" s="31" t="n">
        <x:v>48683.66348951203</x:v>
      </x:c>
      <x:c r="H577" s="31" t="n">
        <x:v>12746</x:v>
      </x:c>
      <x:c r="I577" s="31" t="n">
        <x:v>4.87736556176679</x:v>
      </x:c>
      <x:c r="J577" s="40" t="n">
        <x:v>0.011297662011611486</x:v>
      </x:c>
      <x:c r="K577" s="40" t="n">
        <x:v>0.7061038757257179</x:v>
      </x:c>
      <x:c r="L577" s="40" t="n">
        <x:v>0.004707359171504786</x:v>
      </x:c>
      <x:c r="M577" s="31" t="n">
        <x:v>54.45305997191412</x:v>
      </x:c>
      <x:c r="N577" s="31" t="n">
        <x:v>227</x:v>
      </x:c>
      <x:c r="O577" s="31" t="n">
        <x:v>7.0202566877995976</x:v>
      </x:c>
      <x:c r="P577" s="31" t="n">
        <x:v>4.1644437470579</x:v>
      </x:c>
      <x:c r="Q577" s="40" t="n">
        <x:v>0.978032323866311</x:v>
      </x:c>
      <x:c r="R577" s="31" t="n">
        <x:v>0.1657304158847098</x:v>
      </x:c>
      <x:c r="S577" s="40"/>
      <x:c r="T577" s="40"/>
      <x:c r="U577" s="40" t="n">
        <x:v>1</x:v>
      </x:c>
      <x:c r="V577" s="40" t="n">
        <x:v>0.9939588890632355</x:v>
      </x:c>
      <x:c r="W577" s="31" t="n">
        <x:v>0</x:v>
      </x:c>
      <x:c r="X577" s="31" t="str"/>
      <x:c r="Y577" s="31" t="n">
        <x:v>0</x:v>
      </x:c>
      <x:c r="Z577" s="31" t="n">
        <x:v>0</x:v>
      </x:c>
      <x:c r="AA577" s="31" t="n">
        <x:v>0</x:v>
      </x:c>
      <x:c r="AB577" s="31" t="str"/>
      <x:c r="AC577" s="31" t="str"/>
    </x:row>
    <x:row r="578">
      <x:c r="A578" s="31" t="str">
        <x:v>b05a076f30b55795</x:v>
      </x:c>
      <x:c r="B578" s="31" t="str">
        <x:v>b05a076f30b55795a5a7814651ff12d6449842561019603b32ece1a1cc31f88c</x:v>
      </x:c>
      <x:c r="C578" s="31" t="n">
        <x:v>8</x:v>
      </x:c>
      <x:c r="D578" s="31" t="n">
        <x:v>34394</x:v>
      </x:c>
      <x:c r="E578" s="31" t="str">
        <x:v>Staten Island</x:v>
      </x:c>
      <x:c r="F578" s="31" t="str">
        <x:v>New Springville-Willowbrook-Bulls Head-Travis</x:v>
      </x:c>
      <x:c r="G578" s="31" t="n">
        <x:v>6923.836980337917</x:v>
      </x:c>
      <x:c r="H578" s="31" t="n">
        <x:v>12222</x:v>
      </x:c>
      <x:c r="I578" s="31" t="n">
        <x:v>2.441103841637309</x:v>
      </x:c>
      <x:c r="J578" s="40" t="n">
        <x:v>0</x:v>
      </x:c>
      <x:c r="K578" s="40" t="n">
        <x:v>0.2550319096710849</x:v>
      </x:c>
      <x:c r="L578" s="40" t="n">
        <x:v>0.23384061528391425</x:v>
      </x:c>
      <x:c r="M578" s="31" t="n">
        <x:v>31.358371871903657</x:v>
      </x:c>
      <x:c r="N578" s="31" t="n">
        <x:v>33</x:v>
      </x:c>
      <x:c r="O578" s="31" t="n">
        <x:v>0.959469674943304</x:v>
      </x:c>
      <x:c r="P578" s="31" t="n">
        <x:v>1.0000818196694485</x:v>
      </x:c>
      <x:c r="Q578" s="40" t="n">
        <x:v>0</x:v>
      </x:c>
      <x:c r="R578" s="31" t="n">
        <x:v>0.3456598574341009</x:v>
      </x:c>
      <x:c r="S578" s="40"/>
      <x:c r="T578" s="40"/>
      <x:c r="U578" s="40" t="n">
        <x:v>1</x:v>
      </x:c>
      <x:c r="V578" s="40" t="n">
        <x:v>0.9885452462772051</x:v>
      </x:c>
      <x:c r="W578" s="31" t="n">
        <x:v>0</x:v>
      </x:c>
      <x:c r="X578" s="31" t="str"/>
      <x:c r="Y578" s="31" t="n">
        <x:v>0</x:v>
      </x:c>
      <x:c r="Z578" s="31" t="n">
        <x:v>0</x:v>
      </x:c>
      <x:c r="AA578" s="31" t="n">
        <x:v>0</x:v>
      </x:c>
      <x:c r="AB578" s="31" t="str"/>
      <x:c r="AC578" s="31" t="str"/>
    </x:row>
    <x:row r="579">
      <x:c r="A579" s="31" t="str">
        <x:v>b0617cc1d04beaa0</x:v>
      </x:c>
      <x:c r="B579" s="31" t="str">
        <x:v>b0617cc1d04beaa0d4dc22abc720a681a26e32e8ffccb58ce09101d3a1de9171</x:v>
      </x:c>
      <x:c r="C579" s="31" t="n">
        <x:v>6</x:v>
      </x:c>
      <x:c r="D579" s="31" t="n">
        <x:v>34684</x:v>
      </x:c>
      <x:c r="E579" s="31" t="str">
        <x:v>Manhattan</x:v>
      </x:c>
      <x:c r="F579" s="31" t="str">
        <x:v>Harlem (North)</x:v>
      </x:c>
      <x:c r="G579" s="31" t="n">
        <x:v>88037.51802298057</x:v>
      </x:c>
      <x:c r="H579" s="31" t="n">
        <x:v>18171</x:v>
      </x:c>
      <x:c r="I579" s="31" t="n">
        <x:v>9.782176577770416</x:v>
      </x:c>
      <x:c r="J579" s="40" t="n">
        <x:v>0.43822574431786915</x:v>
      </x:c>
      <x:c r="K579" s="40" t="n">
        <x:v>0.5572615706345275</x:v>
      </x:c>
      <x:c r="L579" s="40" t="n">
        <x:v>0.2047218094766386</x:v>
      </x:c>
      <x:c r="M579" s="31" t="n">
        <x:v>103.14461748216107</x:v>
      </x:c>
      <x:c r="N579" s="31" t="n">
        <x:v>238</x:v>
      </x:c>
      <x:c r="O579" s="31" t="n">
        <x:v>6.861953638565333</x:v>
      </x:c>
      <x:c r="P579" s="31" t="n">
        <x:v>4.9103516592372465</x:v>
      </x:c>
      <x:c r="Q579" s="40" t="n">
        <x:v>1</x:v>
      </x:c>
      <x:c r="R579" s="31" t="n">
        <x:v>0.11363349432042769</x:v>
      </x:c>
      <x:c r="S579" s="40"/>
      <x:c r="T579" s="40"/>
      <x:c r="U579" s="40" t="n">
        <x:v>1</x:v>
      </x:c>
      <x:c r="V579" s="40" t="n">
        <x:v>0.9900941059930659</x:v>
      </x:c>
      <x:c r="W579" s="31" t="n">
        <x:v>1</x:v>
      </x:c>
      <x:c r="X579" s="31" t="str"/>
      <x:c r="Y579" s="31" t="n">
        <x:v>0</x:v>
      </x:c>
      <x:c r="Z579" s="31" t="n">
        <x:v>1</x:v>
      </x:c>
      <x:c r="AA579" s="31" t="n">
        <x:v>0</x:v>
      </x:c>
      <x:c r="AB579" s="31" t="str"/>
      <x:c r="AC579" s="31" t="str"/>
    </x:row>
    <x:row r="580">
      <x:c r="A580" s="31" t="str">
        <x:v>b087ed44733c924a</x:v>
      </x:c>
      <x:c r="B580" s="31" t="str">
        <x:v>b087ed44733c924a9d24e15d56bc8041108d2a7490aa045b0ac6702b1eb7b3f4</x:v>
      </x:c>
      <x:c r="C580" s="31" t="n">
        <x:v>12</x:v>
      </x:c>
      <x:c r="D580" s="31" t="n">
        <x:v>34184</x:v>
      </x:c>
      <x:c r="E580" s="31" t="str">
        <x:v>Brooklyn</x:v>
      </x:c>
      <x:c r="F580" s="31" t="str">
        <x:v>Canarsie</x:v>
      </x:c>
      <x:c r="G580" s="31" t="n">
        <x:v>39301.35300995245</x:v>
      </x:c>
      <x:c r="H580" s="31" t="n">
        <x:v>9989</x:v>
      </x:c>
      <x:c r="I580" s="31" t="n">
        <x:v>2.202162107190074</x:v>
      </x:c>
      <x:c r="J580" s="40" t="n">
        <x:v>0</x:v>
      </x:c>
      <x:c r="K580" s="40" t="n">
        <x:v>0.2990289318250075</x:v>
      </x:c>
      <x:c r="L580" s="40" t="n">
        <x:v>0.052357593352687956</x:v>
      </x:c>
      <x:c r="M580" s="31" t="n">
        <x:v>28.451656506027465</x:v>
      </x:c>
      <x:c r="N580" s="31" t="n">
        <x:v>3</x:v>
      </x:c>
      <x:c r="O580" s="31" t="n">
        <x:v>0.08776035572197519</x:v>
      </x:c>
      <x:c r="P580" s="31" t="n">
        <x:v>5</x:v>
      </x:c>
      <x:c r="Q580" s="40" t="n">
        <x:v>1</x:v>
      </x:c>
      <x:c r="R580" s="31" t="n">
        <x:v>0.1877251968900274</x:v>
      </x:c>
      <x:c r="S580" s="40"/>
      <x:c r="T580" s="40"/>
      <x:c r="U580" s="40" t="n">
        <x:v>1</x:v>
      </x:c>
      <x:c r="V580" s="40" t="n">
        <x:v>0.9986985684252678</x:v>
      </x:c>
      <x:c r="W580" s="31" t="n">
        <x:v>0</x:v>
      </x:c>
      <x:c r="X580" s="31" t="str"/>
      <x:c r="Y580" s="31" t="n">
        <x:v>0</x:v>
      </x:c>
      <x:c r="Z580" s="31" t="n">
        <x:v>0</x:v>
      </x:c>
      <x:c r="AA580" s="31" t="n">
        <x:v>0</x:v>
      </x:c>
      <x:c r="AB580" s="31" t="str"/>
      <x:c r="AC580" s="31" t="str"/>
    </x:row>
    <x:row r="581">
      <x:c r="A581" s="31" t="str">
        <x:v>b08b85528c9908d1</x:v>
      </x:c>
      <x:c r="B581" s="31" t="str">
        <x:v>b08b85528c9908d1d95019349079ec6243dd5656983b16e50f1aee886db072d6</x:v>
      </x:c>
      <x:c r="C581" s="31" t="n">
        <x:v>8</x:v>
      </x:c>
      <x:c r="D581" s="31" t="n">
        <x:v>32145</x:v>
      </x:c>
      <x:c r="E581" s="31" t="str">
        <x:v>Brooklyn</x:v>
      </x:c>
      <x:c r="F581" s="31" t="str">
        <x:v>Bay Ridge</x:v>
      </x:c>
      <x:c r="G581" s="31" t="n">
        <x:v>55627.82577473457</x:v>
      </x:c>
      <x:c r="H581" s="31" t="n">
        <x:v>12338</x:v>
      </x:c>
      <x:c r="I581" s="31" t="n">
        <x:v>4.660403729225781</x:v>
      </x:c>
      <x:c r="J581" s="40" t="n">
        <x:v>0.06856864970011348</x:v>
      </x:c>
      <x:c r="K581" s="40" t="n">
        <x:v>0.6201977630085913</x:v>
      </x:c>
      <x:c r="L581" s="40" t="n">
        <x:v>0.04871129842762198</x:v>
      </x:c>
      <x:c r="M581" s="31" t="n">
        <x:v>51.39974180871375</x:v>
      </x:c>
      <x:c r="N581" s="31" t="n">
        <x:v>91</x:v>
      </x:c>
      <x:c r="O581" s="31" t="n">
        <x:v>2.830922382952248</x:v>
      </x:c>
      <x:c r="P581" s="31" t="n">
        <x:v>2.2654401037445293</x:v>
      </x:c>
      <x:c r="Q581" s="40" t="n">
        <x:v>0</x:v>
      </x:c>
      <x:c r="R581" s="31" t="n">
        <x:v>0.1651431973292039</x:v>
      </x:c>
      <x:c r="S581" s="40"/>
      <x:c r="T581" s="40"/>
      <x:c r="U581" s="40" t="n">
        <x:v>1</x:v>
      </x:c>
      <x:c r="V581" s="40" t="n">
        <x:v>0.9974874371859297</x:v>
      </x:c>
      <x:c r="W581" s="31" t="n">
        <x:v>0</x:v>
      </x:c>
      <x:c r="X581" s="31" t="str"/>
      <x:c r="Y581" s="31" t="n">
        <x:v>0</x:v>
      </x:c>
      <x:c r="Z581" s="31" t="n">
        <x:v>0</x:v>
      </x:c>
      <x:c r="AA581" s="31" t="n">
        <x:v>0</x:v>
      </x:c>
      <x:c r="AB581" s="31" t="str"/>
      <x:c r="AC581" s="31" t="str"/>
    </x:row>
    <x:row r="582">
      <x:c r="A582" s="31" t="str">
        <x:v>b0d134f31c540f0b</x:v>
      </x:c>
      <x:c r="B582" s="31" t="str">
        <x:v>b0d134f31c540f0bf0125eb7b680ecf323c829430d83b8ec5bfed50161496dfe</x:v>
      </x:c>
      <x:c r="C582" s="31" t="n">
        <x:v>7</x:v>
      </x:c>
      <x:c r="D582" s="31" t="n">
        <x:v>34147</x:v>
      </x:c>
      <x:c r="E582" s="31" t="str">
        <x:v>Manhattan</x:v>
      </x:c>
      <x:c r="F582" s="31" t="str">
        <x:v>Greenwich Village</x:v>
      </x:c>
      <x:c r="G582" s="31" t="n">
        <x:v>89782.52777055284</x:v>
      </x:c>
      <x:c r="H582" s="31" t="n">
        <x:v>21491</x:v>
      </x:c>
      <x:c r="I582" s="31" t="n">
        <x:v>12.414890127910791</x:v>
      </x:c>
      <x:c r="J582" s="40" t="n">
        <x:v>0.5799637057372854</x:v>
      </x:c>
      <x:c r="K582" s="40" t="n">
        <x:v>0.41235866176539016</x:v>
      </x:c>
      <x:c r="L582" s="40" t="n">
        <x:v>0.1540644921129775</x:v>
      </x:c>
      <x:c r="M582" s="31" t="n">
        <x:v>132.86055108123185</x:v>
      </x:c>
      <x:c r="N582" s="31" t="n">
        <x:v>703</x:v>
      </x:c>
      <x:c r="O582" s="31" t="n">
        <x:v>20.587460098983804</x:v>
      </x:c>
      <x:c r="P582" s="31" t="n">
        <x:v>1.7585035596296124</x:v>
      </x:c>
      <x:c r="Q582" s="40" t="n">
        <x:v>0</x:v>
      </x:c>
      <x:c r="R582" s="31" t="n">
        <x:v>0.18103291505902325</x:v>
      </x:c>
      <x:c r="S582" s="40"/>
      <x:c r="T582" s="40"/>
      <x:c r="U582" s="40" t="n">
        <x:v>1</x:v>
      </x:c>
      <x:c r="V582" s="40" t="n">
        <x:v>0.9964636359406263</x:v>
      </x:c>
      <x:c r="W582" s="31" t="n">
        <x:v>2</x:v>
      </x:c>
      <x:c r="X582" s="31" t="str"/>
      <x:c r="Y582" s="31" t="n">
        <x:v>1</x:v>
      </x:c>
      <x:c r="Z582" s="31" t="n">
        <x:v>0</x:v>
      </x:c>
      <x:c r="AA582" s="31" t="n">
        <x:v>1</x:v>
      </x:c>
      <x:c r="AB582" s="31" t="str"/>
      <x:c r="AC582" s="31" t="str"/>
    </x:row>
    <x:row r="583">
      <x:c r="A583" s="31" t="str">
        <x:v>b121f14cc3c74e62</x:v>
      </x:c>
      <x:c r="B583" s="31" t="str">
        <x:v>b121f14cc3c74e620ab1a30876c250a0e82c35eb319b8df35f76c60e35ce6efa</x:v>
      </x:c>
      <x:c r="C583" s="31" t="n">
        <x:v>5</x:v>
      </x:c>
      <x:c r="D583" s="31" t="n">
        <x:v>36767</x:v>
      </x:c>
      <x:c r="E583" s="31" t="str">
        <x:v>Manhattan</x:v>
      </x:c>
      <x:c r="F583" s="31" t="str">
        <x:v>Washington Heights (South)</x:v>
      </x:c>
      <x:c r="G583" s="31" t="n">
        <x:v>88130.80292562851</x:v>
      </x:c>
      <x:c r="H583" s="31" t="n">
        <x:v>13949</x:v>
      </x:c>
      <x:c r="I583" s="31" t="n">
        <x:v>7.819340706693479</x:v>
      </x:c>
      <x:c r="J583" s="40" t="n">
        <x:v>0.09391354218940426</x:v>
      </x:c>
      <x:c r="K583" s="40" t="n">
        <x:v>0.9009964872033838</x:v>
      </x:c>
      <x:c r="L583" s="40" t="n">
        <x:v>0.004659832246039142</x:v>
      </x:c>
      <x:c r="M583" s="31" t="n">
        <x:v>87.04012544479238</x:v>
      </x:c>
      <x:c r="N583" s="31" t="n">
        <x:v>157</x:v>
      </x:c>
      <x:c r="O583" s="31" t="n">
        <x:v>4.2701335436668755</x:v>
      </x:c>
      <x:c r="P583" s="31" t="n">
        <x:v>2.4868449351207973</x:v>
      </x:c>
      <x:c r="Q583" s="40" t="n">
        <x:v>0</x:v>
      </x:c>
      <x:c r="R583" s="31" t="n">
        <x:v>0.09396544551573428</x:v>
      </x:c>
      <x:c r="S583" s="40"/>
      <x:c r="T583" s="40"/>
      <x:c r="U583" s="40" t="n">
        <x:v>1</x:v>
      </x:c>
      <x:c r="V583" s="40" t="n">
        <x:v>0.9995698616388271</x:v>
      </x:c>
      <x:c r="W583" s="31" t="n">
        <x:v>0</x:v>
      </x:c>
      <x:c r="X583" s="31" t="str"/>
      <x:c r="Y583" s="31" t="n">
        <x:v>0</x:v>
      </x:c>
      <x:c r="Z583" s="31" t="n">
        <x:v>0</x:v>
      </x:c>
      <x:c r="AA583" s="31" t="n">
        <x:v>0</x:v>
      </x:c>
      <x:c r="AB583" s="31" t="str"/>
      <x:c r="AC583" s="31" t="str"/>
    </x:row>
    <x:row r="584">
      <x:c r="A584" s="31" t="str">
        <x:v>b12a3846294a31c7</x:v>
      </x:c>
      <x:c r="B584" s="31" t="str">
        <x:v>b12a3846294a31c7cba42a2e3bb0dcd6f09b3f6e147e88dc8e050b96e72df8d5</x:v>
      </x:c>
      <x:c r="C584" s="31" t="n">
        <x:v>10</x:v>
      </x:c>
      <x:c r="D584" s="31" t="n">
        <x:v>32467</x:v>
      </x:c>
      <x:c r="E584" s="31" t="str">
        <x:v>Brooklyn</x:v>
      </x:c>
      <x:c r="F584" s="31" t="str">
        <x:v>Gravesend (East)-Homecrest</x:v>
      </x:c>
      <x:c r="G584" s="31" t="n">
        <x:v>43884.64874175487</x:v>
      </x:c>
      <x:c r="H584" s="31" t="n">
        <x:v>12282</x:v>
      </x:c>
      <x:c r="I584" s="31" t="n">
        <x:v>4.208946510110893</x:v>
      </x:c>
      <x:c r="J584" s="40" t="n">
        <x:v>0.01921511154535092</x:v>
      </x:c>
      <x:c r="K584" s="40" t="n">
        <x:v>0.5291483471747273</x:v>
      </x:c>
      <x:c r="L584" s="40" t="n">
        <x:v>0.04290832112033871</x:v>
      </x:c>
      <x:c r="M584" s="31" t="n">
        <x:v>48.15180072439274</x:v>
      </x:c>
      <x:c r="N584" s="31" t="n">
        <x:v>124</x:v>
      </x:c>
      <x:c r="O584" s="31" t="n">
        <x:v>3.819262635907229</x:v>
      </x:c>
      <x:c r="P584" s="31" t="n">
        <x:v>3.1750529229767137</x:v>
      </x:c>
      <x:c r="Q584" s="40" t="n">
        <x:v>0.1750529229767139</x:v>
      </x:c>
      <x:c r="R584" s="31" t="n">
        <x:v>0.15748110588113565</x:v>
      </x:c>
      <x:c r="S584" s="40"/>
      <x:c r="T584" s="40"/>
      <x:c r="U584" s="40" t="n">
        <x:v>1</x:v>
      </x:c>
      <x:c r="V584" s="40" t="n">
        <x:v>0.9975574010747436</x:v>
      </x:c>
      <x:c r="W584" s="31" t="n">
        <x:v>0</x:v>
      </x:c>
      <x:c r="X584" s="31" t="str"/>
      <x:c r="Y584" s="31" t="n">
        <x:v>0</x:v>
      </x:c>
      <x:c r="Z584" s="31" t="n">
        <x:v>0</x:v>
      </x:c>
      <x:c r="AA584" s="31" t="n">
        <x:v>0</x:v>
      </x:c>
      <x:c r="AB584" s="31" t="str"/>
      <x:c r="AC584" s="31" t="str"/>
    </x:row>
    <x:row r="585">
      <x:c r="A585" s="31" t="str">
        <x:v>b180b3507aee475f</x:v>
      </x:c>
      <x:c r="B585" s="31" t="str">
        <x:v>b180b3507aee475f8aab2e88c0290cb8b83385c8fe1312cbba49699568ce1588</x:v>
      </x:c>
      <x:c r="C585" s="31" t="n">
        <x:v>6</x:v>
      </x:c>
      <x:c r="D585" s="31" t="n">
        <x:v>33691</x:v>
      </x:c>
      <x:c r="E585" s="31" t="str">
        <x:v>Brooklyn</x:v>
      </x:c>
      <x:c r="F585" s="31" t="str">
        <x:v>South Williamsburg</x:v>
      </x:c>
      <x:c r="G585" s="31" t="n">
        <x:v>88819.63251385537</x:v>
      </x:c>
      <x:c r="H585" s="31" t="n">
        <x:v>8128</x:v>
      </x:c>
      <x:c r="I585" s="31" t="n">
        <x:v>5.163189945581757</x:v>
      </x:c>
      <x:c r="J585" s="40" t="n">
        <x:v>0.03801673228346457</x:v>
      </x:c>
      <x:c r="K585" s="40" t="n">
        <x:v>0.8649114173228346</x:v>
      </x:c>
      <x:c r="L585" s="40" t="n">
        <x:v>0.20054133858267717</x:v>
      </x:c>
      <x:c r="M585" s="31" t="n">
        <x:v>61.585948874492594</x:v>
      </x:c>
      <x:c r="N585" s="31" t="n">
        <x:v>377</x:v>
      </x:c>
      <x:c r="O585" s="31" t="n">
        <x:v>11.18993202932534</x:v>
      </x:c>
      <x:c r="P585" s="31" t="n">
        <x:v>3.687623031496063</x:v>
      </x:c>
      <x:c r="Q585" s="40" t="n">
        <x:v>0.687623031496063</x:v>
      </x:c>
      <x:c r="R585" s="31" t="n">
        <x:v>0.16127614047700928</x:v>
      </x:c>
      <x:c r="S585" s="40"/>
      <x:c r="T585" s="40"/>
      <x:c r="U585" s="40" t="n">
        <x:v>1</x:v>
      </x:c>
      <x:c r="V585" s="40" t="n">
        <x:v>0.9565698818897638</x:v>
      </x:c>
      <x:c r="W585" s="31" t="n">
        <x:v>1</x:v>
      </x:c>
      <x:c r="X585" s="31" t="str"/>
      <x:c r="Y585" s="31" t="n">
        <x:v>0</x:v>
      </x:c>
      <x:c r="Z585" s="31" t="n">
        <x:v>0</x:v>
      </x:c>
      <x:c r="AA585" s="31" t="n">
        <x:v>1</x:v>
      </x:c>
      <x:c r="AB585" s="31" t="str"/>
      <x:c r="AC585" s="31" t="str"/>
    </x:row>
    <x:row r="586">
      <x:c r="A586" s="31" t="str">
        <x:v>b18388d8ae8be139</x:v>
      </x:c>
      <x:c r="B586" s="31" t="str">
        <x:v>b18388d8ae8be139971c42bdd9a770f379cb9781fe0568bec0677a509bbf43e8</x:v>
      </x:c>
      <x:c r="C586" s="31" t="n">
        <x:v>10</x:v>
      </x:c>
      <x:c r="D586" s="31" t="n">
        <x:v>33602</x:v>
      </x:c>
      <x:c r="E586" s="31" t="str">
        <x:v>Queens</x:v>
      </x:c>
      <x:c r="F586" s="31" t="str">
        <x:v>Rosedale</x:v>
      </x:c>
      <x:c r="G586" s="31" t="n">
        <x:v>18990.93135112605</x:v>
      </x:c>
      <x:c r="H586" s="31" t="n">
        <x:v>9819</x:v>
      </x:c>
      <x:c r="I586" s="31" t="n">
        <x:v>1.9468707344402567</x:v>
      </x:c>
      <x:c r="J586" s="40" t="n">
        <x:v>0</x:v>
      </x:c>
      <x:c r="K586" s="40" t="n">
        <x:v>0.005703228434667481</x:v>
      </x:c>
      <x:c r="L586" s="40" t="n">
        <x:v>0.009675119665953764</x:v>
      </x:c>
      <x:c r="M586" s="31" t="n">
        <x:v>25.302273391562533</x:v>
      </x:c>
      <x:c r="N586" s="31" t="n">
        <x:v>4</x:v>
      </x:c>
      <x:c r="O586" s="31" t="n">
        <x:v>0.11904053330158919</x:v>
      </x:c>
      <x:c r="P586" s="31" t="n">
        <x:v>4.000305530094714</x:v>
      </x:c>
      <x:c r="Q586" s="40" t="n">
        <x:v>1</x:v>
      </x:c>
      <x:c r="R586" s="31" t="n">
        <x:v>0.2464459047490649</x:v>
      </x:c>
      <x:c r="S586" s="40"/>
      <x:c r="T586" s="40"/>
      <x:c r="U586" s="40" t="n">
        <x:v>1</x:v>
      </x:c>
      <x:c r="V586" s="40" t="n">
        <x:v>0.9959262654038089</x:v>
      </x:c>
      <x:c r="W586" s="31" t="n">
        <x:v>0</x:v>
      </x:c>
      <x:c r="X586" s="31" t="str"/>
      <x:c r="Y586" s="31" t="n">
        <x:v>0</x:v>
      </x:c>
      <x:c r="Z586" s="31" t="n">
        <x:v>0</x:v>
      </x:c>
      <x:c r="AA586" s="31" t="n">
        <x:v>0</x:v>
      </x:c>
      <x:c r="AB586" s="31" t="str"/>
      <x:c r="AC586" s="31" t="str"/>
    </x:row>
    <x:row r="587">
      <x:c r="A587" s="31" t="str">
        <x:v>b1b5cb7e6b41e957</x:v>
      </x:c>
      <x:c r="B587" s="31" t="str">
        <x:v>b1b5cb7e6b41e957104b08d69e9ec344a1e23340b030fea063e7a71c0a71badc</x:v>
      </x:c>
      <x:c r="C587" s="31" t="n">
        <x:v>7</x:v>
      </x:c>
      <x:c r="D587" s="31" t="n">
        <x:v>32193</x:v>
      </x:c>
      <x:c r="E587" s="31" t="str">
        <x:v>Queens</x:v>
      </x:c>
      <x:c r="F587" s="31" t="str">
        <x:v>Jamaica</x:v>
      </x:c>
      <x:c r="G587" s="31" t="n">
        <x:v>54285.48920258621</x:v>
      </x:c>
      <x:c r="H587" s="31" t="n">
        <x:v>13153</x:v>
      </x:c>
      <x:c r="I587" s="31" t="n">
        <x:v>8.175057882711348</x:v>
      </x:c>
      <x:c r="J587" s="40" t="n">
        <x:v>0.2873108796472288</x:v>
      </x:c>
      <x:c r="K587" s="40" t="n">
        <x:v>0.5513571048430016</x:v>
      </x:c>
      <x:c r="L587" s="40" t="n">
        <x:v>0.027370181707595226</x:v>
      </x:c>
      <x:c r="M587" s="31" t="n">
        <x:v>88.17950305043074</x:v>
      </x:c>
      <x:c r="N587" s="31" t="n">
        <x:v>172</x:v>
      </x:c>
      <x:c r="O587" s="31" t="n">
        <x:v>5.342776379958376</x:v>
      </x:c>
      <x:c r="P587" s="31" t="n">
        <x:v>3.536227476621303</x:v>
      </x:c>
      <x:c r="Q587" s="40" t="n">
        <x:v>0.4662814567018931</x:v>
      </x:c>
      <x:c r="R587" s="31" t="n">
        <x:v>0.09389485110430094</x:v>
      </x:c>
      <x:c r="S587" s="40"/>
      <x:c r="T587" s="40"/>
      <x:c r="U587" s="40" t="n">
        <x:v>1</x:v>
      </x:c>
      <x:c r="V587" s="40" t="n">
        <x:v>0.9302060366456322</x:v>
      </x:c>
      <x:c r="W587" s="31" t="n">
        <x:v>0</x:v>
      </x:c>
      <x:c r="X587" s="31" t="str"/>
      <x:c r="Y587" s="31" t="n">
        <x:v>0</x:v>
      </x:c>
      <x:c r="Z587" s="31" t="n">
        <x:v>0</x:v>
      </x:c>
      <x:c r="AA587" s="31" t="n">
        <x:v>0</x:v>
      </x:c>
      <x:c r="AB587" s="31" t="str"/>
      <x:c r="AC587" s="31" t="str"/>
    </x:row>
    <x:row r="588">
      <x:c r="A588" s="31" t="str">
        <x:v>b207a88e6e5110ce</x:v>
      </x:c>
      <x:c r="B588" s="31" t="str">
        <x:v>b207a88e6e5110ce14ca4e87eaddb34d057d3dd848673073412bb1c56851d1ca</x:v>
      </x:c>
      <x:c r="C588" s="31" t="n">
        <x:v>7</x:v>
      </x:c>
      <x:c r="D588" s="31" t="n">
        <x:v>34770</x:v>
      </x:c>
      <x:c r="E588" s="31" t="str">
        <x:v>Bronx</x:v>
      </x:c>
      <x:c r="F588" s="31" t="str">
        <x:v>Morrisania</x:v>
      </x:c>
      <x:c r="G588" s="31" t="n">
        <x:v>70930.03075553945</x:v>
      </x:c>
      <x:c r="H588" s="31" t="n">
        <x:v>13536</x:v>
      </x:c>
      <x:c r="I588" s="31" t="n">
        <x:v>6.851722860318636</x:v>
      </x:c>
      <x:c r="J588" s="40" t="n">
        <x:v>0.23020094562647755</x:v>
      </x:c>
      <x:c r="K588" s="40" t="n">
        <x:v>0.7147606382978723</x:v>
      </x:c>
      <x:c r="L588" s="40" t="n">
        <x:v>0.19222813238770686</x:v>
      </x:c>
      <x:c r="M588" s="31" t="n">
        <x:v>75.38107784604277</x:v>
      </x:c>
      <x:c r="N588" s="31" t="n">
        <x:v>165</x:v>
      </x:c>
      <x:c r="O588" s="31" t="n">
        <x:v>4.745470232959447</x:v>
      </x:c>
      <x:c r="P588" s="31" t="n">
        <x:v>5</x:v>
      </x:c>
      <x:c r="Q588" s="40" t="n">
        <x:v>1</x:v>
      </x:c>
      <x:c r="R588" s="31" t="n">
        <x:v>0.07125587231232994</x:v>
      </x:c>
      <x:c r="S588" s="40"/>
      <x:c r="T588" s="40"/>
      <x:c r="U588" s="40" t="n">
        <x:v>1</x:v>
      </x:c>
      <x:c r="V588" s="40" t="n">
        <x:v>0.9879580378250591</x:v>
      </x:c>
      <x:c r="W588" s="31" t="n">
        <x:v>1</x:v>
      </x:c>
      <x:c r="X588" s="31" t="str"/>
      <x:c r="Y588" s="31" t="n">
        <x:v>0</x:v>
      </x:c>
      <x:c r="Z588" s="31" t="n">
        <x:v>1</x:v>
      </x:c>
      <x:c r="AA588" s="31" t="n">
        <x:v>0</x:v>
      </x:c>
      <x:c r="AB588" s="31" t="str"/>
      <x:c r="AC588" s="31" t="str"/>
    </x:row>
    <x:row r="589">
      <x:c r="A589" s="31" t="str">
        <x:v>b23b900dc5f6da47</x:v>
      </x:c>
      <x:c r="B589" s="31" t="str">
        <x:v>b23b900dc5f6da473b870feb5d7ff54325f31fa5bb760ae074f0b90958097eb9</x:v>
      </x:c>
      <x:c r="C589" s="31" t="n">
        <x:v>4</x:v>
      </x:c>
      <x:c r="D589" s="31" t="n">
        <x:v>35548</x:v>
      </x:c>
      <x:c r="E589" s="31" t="str">
        <x:v>Manhattan</x:v>
      </x:c>
      <x:c r="F589" s="31" t="str">
        <x:v>Upper West Side (Central)</x:v>
      </x:c>
      <x:c r="G589" s="31" t="n">
        <x:v>137112.4171070301</x:v>
      </x:c>
      <x:c r="H589" s="31" t="n">
        <x:v>20859</x:v>
      </x:c>
      <x:c r="I589" s="31" t="n">
        <x:v>13.155494268310232</x:v>
      </x:c>
      <x:c r="J589" s="40" t="n">
        <x:v>0.634402416223213</x:v>
      </x:c>
      <x:c r="K589" s="40" t="n">
        <x:v>0.36511817440912797</x:v>
      </x:c>
      <x:c r="L589" s="40" t="n">
        <x:v>0.13207728079006664</x:v>
      </x:c>
      <x:c r="M589" s="31" t="n">
        <x:v>135.22360834096864</x:v>
      </x:c>
      <x:c r="N589" s="31" t="n">
        <x:v>514</x:v>
      </x:c>
      <x:c r="O589" s="31" t="n">
        <x:v>14.459322606053787</x:v>
      </x:c>
      <x:c r="P589" s="31" t="n">
        <x:v>1.3822810297713217</x:v>
      </x:c>
      <x:c r="Q589" s="40" t="n">
        <x:v>0</x:v>
      </x:c>
      <x:c r="R589" s="31" t="n">
        <x:v>0.08592339495959853</x:v>
      </x:c>
      <x:c r="S589" s="40"/>
      <x:c r="T589" s="40"/>
      <x:c r="U589" s="40" t="n">
        <x:v>1</x:v>
      </x:c>
      <x:c r="V589" s="40" t="n">
        <x:v>0.9977947169087684</x:v>
      </x:c>
      <x:c r="W589" s="31" t="n">
        <x:v>1</x:v>
      </x:c>
      <x:c r="X589" s="31" t="str"/>
      <x:c r="Y589" s="31" t="n">
        <x:v>1</x:v>
      </x:c>
      <x:c r="Z589" s="31" t="n">
        <x:v>0</x:v>
      </x:c>
      <x:c r="AA589" s="31" t="n">
        <x:v>0</x:v>
      </x:c>
      <x:c r="AB589" s="31" t="str"/>
      <x:c r="AC589" s="31" t="str"/>
    </x:row>
    <x:row r="590">
      <x:c r="A590" s="31" t="str">
        <x:v>b2904e01e50fe827</x:v>
      </x:c>
      <x:c r="B590" s="31" t="str">
        <x:v>b2904e01e50fe827da8aea282c9a6dee4c07a631c7e5a604a2ffa7a87e0f6031</x:v>
      </x:c>
      <x:c r="C590" s="31" t="n">
        <x:v>8</x:v>
      </x:c>
      <x:c r="D590" s="31" t="n">
        <x:v>34715</x:v>
      </x:c>
      <x:c r="E590" s="31" t="str">
        <x:v>Queens</x:v>
      </x:c>
      <x:c r="F590" s="31" t="str">
        <x:v>Whitestone-Beechhurst</x:v>
      </x:c>
      <x:c r="G590" s="31" t="n">
        <x:v>15294.388564072899</x:v>
      </x:c>
      <x:c r="H590" s="31" t="n">
        <x:v>13264</x:v>
      </x:c>
      <x:c r="I590" s="31" t="n">
        <x:v>2.940864579403999</x:v>
      </x:c>
      <x:c r="J590" s="40" t="n">
        <x:v>0.01801869722557298</x:v>
      </x:c>
      <x:c r="K590" s="40" t="n">
        <x:v>0.1627714113389626</x:v>
      </x:c>
      <x:c r="L590" s="40" t="n">
        <x:v>0.11376658624849216</x:v>
      </x:c>
      <x:c r="M590" s="31" t="n">
        <x:v>35.286575921226586</x:v>
      </x:c>
      <x:c r="N590" s="31" t="n">
        <x:v>63</x:v>
      </x:c>
      <x:c r="O590" s="31" t="n">
        <x:v>1.8147774737145328</x:v>
      </x:c>
      <x:c r="P590" s="31" t="n">
        <x:v>2.0030910735826297</x:v>
      </x:c>
      <x:c r="Q590" s="40" t="n">
        <x:v>0</x:v>
      </x:c>
      <x:c r="R590" s="31" t="n">
        <x:v>0.2614113840431288</x:v>
      </x:c>
      <x:c r="S590" s="40"/>
      <x:c r="T590" s="40"/>
      <x:c r="U590" s="40" t="n">
        <x:v>1</x:v>
      </x:c>
      <x:c r="V590" s="40" t="n">
        <x:v>0.9944963811821471</x:v>
      </x:c>
      <x:c r="W590" s="31" t="n">
        <x:v>0</x:v>
      </x:c>
      <x:c r="X590" s="31" t="str"/>
      <x:c r="Y590" s="31" t="n">
        <x:v>0</x:v>
      </x:c>
      <x:c r="Z590" s="31" t="n">
        <x:v>0</x:v>
      </x:c>
      <x:c r="AA590" s="31" t="n">
        <x:v>0</x:v>
      </x:c>
      <x:c r="AB590" s="31" t="str"/>
      <x:c r="AC590" s="31" t="str"/>
    </x:row>
    <x:row r="591">
      <x:c r="A591" s="31" t="str">
        <x:v>b2b5a5f3473cf46c</x:v>
      </x:c>
      <x:c r="B591" s="31" t="str">
        <x:v>b2b5a5f3473cf46c1c52cf134332c37817a4434f18ac3dee14bd8ad20d581a51</x:v>
      </x:c>
      <x:c r="C591" s="31" t="n">
        <x:v>8</x:v>
      </x:c>
      <x:c r="D591" s="31" t="n">
        <x:v>33196</x:v>
      </x:c>
      <x:c r="E591" s="31" t="str">
        <x:v>Staten Island</x:v>
      </x:c>
      <x:c r="F591" s="31" t="str">
        <x:v>Arden Heights-Rossville</x:v>
      </x:c>
      <x:c r="G591" s="31" t="n">
        <x:v>11834.433326574608</x:v>
      </x:c>
      <x:c r="H591" s="31" t="n">
        <x:v>12086</x:v>
      </x:c>
      <x:c r="I591" s="31" t="n">
        <x:v>2.0981293474660485</x:v>
      </x:c>
      <x:c r="J591" s="40" t="n">
        <x:v>0</x:v>
      </x:c>
      <x:c r="K591" s="40" t="n">
        <x:v>0.17764355452589772</x:v>
      </x:c>
      <x:c r="L591" s="40" t="n">
        <x:v>0.03458547079265266</x:v>
      </x:c>
      <x:c r="M591" s="31" t="n">
        <x:v>27.573548587212688</x:v>
      </x:c>
      <x:c r="N591" s="31" t="n">
        <x:v>4</x:v>
      </x:c>
      <x:c r="O591" s="31" t="n">
        <x:v>0.12049644535486204</x:v>
      </x:c>
      <x:c r="P591" s="31" t="n">
        <x:v>1</x:v>
      </x:c>
      <x:c r="Q591" s="40" t="n">
        <x:v>0</x:v>
      </x:c>
      <x:c r="R591" s="31" t="n">
        <x:v>0.41166766794798726</x:v>
      </x:c>
      <x:c r="S591" s="40"/>
      <x:c r="T591" s="40"/>
      <x:c r="U591" s="40" t="n">
        <x:v>1</x:v>
      </x:c>
      <x:c r="V591" s="40" t="n">
        <x:v>0.9935462518616581</x:v>
      </x:c>
      <x:c r="W591" s="31" t="n">
        <x:v>0</x:v>
      </x:c>
      <x:c r="X591" s="31" t="str"/>
      <x:c r="Y591" s="31" t="n">
        <x:v>0</x:v>
      </x:c>
      <x:c r="Z591" s="31" t="n">
        <x:v>0</x:v>
      </x:c>
      <x:c r="AA591" s="31" t="n">
        <x:v>0</x:v>
      </x:c>
      <x:c r="AB591" s="31" t="str"/>
      <x:c r="AC591" s="31" t="str"/>
    </x:row>
    <x:row r="592">
      <x:c r="A592" s="31" t="str">
        <x:v>b2df1dabf3142d14</x:v>
      </x:c>
      <x:c r="B592" s="31" t="str">
        <x:v>b2df1dabf3142d14ba591a81635f3626bbfcfa9025fe2bd7a8db4b552193c0a3</x:v>
      </x:c>
      <x:c r="C592" s="31" t="n">
        <x:v>9</x:v>
      </x:c>
      <x:c r="D592" s="31" t="n">
        <x:v>36617</x:v>
      </x:c>
      <x:c r="E592" s="31" t="str">
        <x:v>Queens</x:v>
      </x:c>
      <x:c r="F592" s="31" t="str">
        <x:v>Douglaston-Little Neck</x:v>
      </x:c>
      <x:c r="G592" s="31" t="n">
        <x:v>10071.996660978111</x:v>
      </x:c>
      <x:c r="H592" s="31" t="n">
        <x:v>14025</x:v>
      </x:c>
      <x:c r="I592" s="31" t="n">
        <x:v>2.332364729458918</x:v>
      </x:c>
      <x:c r="J592" s="40" t="n">
        <x:v>0</x:v>
      </x:c>
      <x:c r="K592" s="40" t="n">
        <x:v>0.14609625668449197</x:v>
      </x:c>
      <x:c r="L592" s="40" t="n">
        <x:v>0.3617825311942959</x:v>
      </x:c>
      <x:c r="M592" s="31" t="n">
        <x:v>32.16895977397962</x:v>
      </x:c>
      <x:c r="N592" s="31" t="n">
        <x:v>37</x:v>
      </x:c>
      <x:c r="O592" s="31" t="n">
        <x:v>1.0104596225796763</x:v>
      </x:c>
      <x:c r="P592" s="31" t="n">
        <x:v>1.8884348777818314</x:v>
      </x:c>
      <x:c r="Q592" s="40" t="n">
        <x:v>0</x:v>
      </x:c>
      <x:c r="R592" s="31" t="n">
        <x:v>0.29256226698841153</x:v>
      </x:c>
      <x:c r="S592" s="40"/>
      <x:c r="T592" s="40"/>
      <x:c r="U592" s="40" t="n">
        <x:v>0.9771836007130125</x:v>
      </x:c>
      <x:c r="V592" s="40" t="n">
        <x:v>0.9936541889483066</x:v>
      </x:c>
      <x:c r="W592" s="31" t="n">
        <x:v>0</x:v>
      </x:c>
      <x:c r="X592" s="31" t="str"/>
      <x:c r="Y592" s="31" t="n">
        <x:v>0</x:v>
      </x:c>
      <x:c r="Z592" s="31" t="n">
        <x:v>0</x:v>
      </x:c>
      <x:c r="AA592" s="31" t="n">
        <x:v>0</x:v>
      </x:c>
      <x:c r="AB592" s="31" t="str"/>
      <x:c r="AC592" s="31" t="str"/>
    </x:row>
    <x:row r="593">
      <x:c r="A593" s="31" t="str">
        <x:v>b2f151822a9ce2a0</x:v>
      </x:c>
      <x:c r="B593" s="31" t="str">
        <x:v>b2f151822a9ce2a020873592eb2ea0fb2ff3bde86fbe4c90a90e6d1941d712eb</x:v>
      </x:c>
      <x:c r="C593" s="31" t="n">
        <x:v>13</x:v>
      </x:c>
      <x:c r="D593" s="31" t="n">
        <x:v>33910</x:v>
      </x:c>
      <x:c r="E593" s="31" t="str">
        <x:v>Queens</x:v>
      </x:c>
      <x:c r="F593" s="31" t="str">
        <x:v>Hollis</x:v>
      </x:c>
      <x:c r="G593" s="31" t="n">
        <x:v>26950.90545200929</x:v>
      </x:c>
      <x:c r="H593" s="31" t="n">
        <x:v>10760</x:v>
      </x:c>
      <x:c r="I593" s="31" t="n">
        <x:v>3.1490119899618927</x:v>
      </x:c>
      <x:c r="J593" s="40" t="n">
        <x:v>0</x:v>
      </x:c>
      <x:c r="K593" s="40" t="n">
        <x:v>0.3059479553903346</x:v>
      </x:c>
      <x:c r="L593" s="40" t="n">
        <x:v>0.11496282527881041</x:v>
      </x:c>
      <x:c r="M593" s="31" t="n">
        <x:v>35.612747780851066</x:v>
      </x:c>
      <x:c r="N593" s="31" t="n">
        <x:v>52</x:v>
      </x:c>
      <x:c r="O593" s="31" t="n">
        <x:v>1.53347095252138</x:v>
      </x:c>
      <x:c r="P593" s="31" t="n">
        <x:v>4.075557620817844</x:v>
      </x:c>
      <x:c r="Q593" s="40" t="n">
        <x:v>0.9445167286245353</x:v>
      </x:c>
      <x:c r="R593" s="31" t="n">
        <x:v>0.24172890917509046</x:v>
      </x:c>
      <x:c r="S593" s="40"/>
      <x:c r="T593" s="40"/>
      <x:c r="U593" s="40" t="n">
        <x:v>1</x:v>
      </x:c>
      <x:c r="V593" s="40" t="n">
        <x:v>0.995910780669145</x:v>
      </x:c>
      <x:c r="W593" s="31" t="n">
        <x:v>0</x:v>
      </x:c>
      <x:c r="X593" s="31" t="str"/>
      <x:c r="Y593" s="31" t="n">
        <x:v>0</x:v>
      </x:c>
      <x:c r="Z593" s="31" t="n">
        <x:v>0</x:v>
      </x:c>
      <x:c r="AA593" s="31" t="n">
        <x:v>0</x:v>
      </x:c>
      <x:c r="AB593" s="31" t="str"/>
      <x:c r="AC593" s="31" t="str"/>
    </x:row>
    <x:row r="594">
      <x:c r="A594" s="31" t="str">
        <x:v>b32479c31cc3fc2f</x:v>
      </x:c>
      <x:c r="B594" s="31" t="str">
        <x:v>b32479c31cc3fc2fe0792bc1f107c0c12ebcf4f246f8afe7d43843abe07bde50</x:v>
      </x:c>
      <x:c r="C594" s="31" t="n">
        <x:v>7</x:v>
      </x:c>
      <x:c r="D594" s="31" t="n">
        <x:v>34749</x:v>
      </x:c>
      <x:c r="E594" s="31" t="str">
        <x:v>Manhattan</x:v>
      </x:c>
      <x:c r="F594" s="31" t="str">
        <x:v>Chelsea-Hudson Yards</x:v>
      </x:c>
      <x:c r="G594" s="31" t="n">
        <x:v>60748.01471692141</x:v>
      </x:c>
      <x:c r="H594" s="31" t="n">
        <x:v>22993</x:v>
      </x:c>
      <x:c r="I594" s="31" t="n">
        <x:v>24.556243190237524</x:v>
      </x:c>
      <x:c r="J594" s="40" t="n">
        <x:v>0.8204670986822076</x:v>
      </x:c>
      <x:c r="K594" s="40" t="n">
        <x:v>0.17731483494976732</x:v>
      </x:c>
      <x:c r="L594" s="40" t="n">
        <x:v>0.16931239942591222</x:v>
      </x:c>
      <x:c r="M594" s="31" t="n">
        <x:v>266.69958575593057</x:v>
      </x:c>
      <x:c r="N594" s="31" t="n">
        <x:v>515</x:v>
      </x:c>
      <x:c r="O594" s="31" t="n">
        <x:v>14.820570376125932</x:v>
      </x:c>
      <x:c r="P594" s="31" t="n">
        <x:v>1.883225329448093</x:v>
      </x:c>
      <x:c r="Q594" s="40" t="n">
        <x:v>0</x:v>
      </x:c>
      <x:c r="R594" s="31" t="n">
        <x:v>0.15681934790191265</x:v>
      </x:c>
      <x:c r="S594" s="40"/>
      <x:c r="T594" s="40"/>
      <x:c r="U594" s="40" t="n">
        <x:v>1</x:v>
      </x:c>
      <x:c r="V594" s="40" t="n">
        <x:v>0.9826034010350977</x:v>
      </x:c>
      <x:c r="W594" s="31" t="n">
        <x:v>0</x:v>
      </x:c>
      <x:c r="X594" s="31" t="str"/>
      <x:c r="Y594" s="31" t="n">
        <x:v>0</x:v>
      </x:c>
      <x:c r="Z594" s="31" t="n">
        <x:v>0</x:v>
      </x:c>
      <x:c r="AA594" s="31" t="n">
        <x:v>0</x:v>
      </x:c>
      <x:c r="AB594" s="31" t="str"/>
      <x:c r="AC594" s="31" t="str"/>
    </x:row>
    <x:row r="595">
      <x:c r="A595" s="31" t="str">
        <x:v>b39a5190a52eae7c</x:v>
      </x:c>
      <x:c r="B595" s="31" t="str">
        <x:v>b39a5190a52eae7c7abee6ae2c8eb1a130b27d57f922aac13e3d8b854a5a6580</x:v>
      </x:c>
      <x:c r="C595" s="31" t="n">
        <x:v>10</x:v>
      </x:c>
      <x:c r="D595" s="31" t="n">
        <x:v>33737</x:v>
      </x:c>
      <x:c r="E595" s="31" t="str">
        <x:v>Brooklyn</x:v>
      </x:c>
      <x:c r="F595" s="31" t="str">
        <x:v>Midwood</x:v>
      </x:c>
      <x:c r="G595" s="31" t="n">
        <x:v>46141.66700606918</x:v>
      </x:c>
      <x:c r="H595" s="31" t="n">
        <x:v>13186</x:v>
      </x:c>
      <x:c r="I595" s="31" t="n">
        <x:v>4.78911954950156</x:v>
      </x:c>
      <x:c r="J595" s="40" t="n">
        <x:v>0.010920673441528894</x:v>
      </x:c>
      <x:c r="K595" s="40" t="n">
        <x:v>0.6831487941756408</x:v>
      </x:c>
      <x:c r="L595" s="40" t="n">
        <x:v>0.0045502806006370395</x:v>
      </x:c>
      <x:c r="M595" s="31" t="n">
        <x:v>53.63093369332367</x:v>
      </x:c>
      <x:c r="N595" s="31" t="n">
        <x:v>233</x:v>
      </x:c>
      <x:c r="O595" s="31" t="n">
        <x:v>6.906363932774106</x:v>
      </x:c>
      <x:c r="P595" s="31" t="n">
        <x:v>4.192325193386925</x:v>
      </x:c>
      <x:c r="Q595" s="40" t="n">
        <x:v>0.9787653571970272</x:v>
      </x:c>
      <x:c r="R595" s="31" t="n">
        <x:v>0.16025395768630396</x:v>
      </x:c>
      <x:c r="S595" s="40"/>
      <x:c r="T595" s="40"/>
      <x:c r="U595" s="40" t="n">
        <x:v>1</x:v>
      </x:c>
      <x:c r="V595" s="40" t="n">
        <x:v>0.9941604732291824</x:v>
      </x:c>
      <x:c r="W595" s="31" t="n">
        <x:v>0</x:v>
      </x:c>
      <x:c r="X595" s="31" t="str"/>
      <x:c r="Y595" s="31" t="n">
        <x:v>0</x:v>
      </x:c>
      <x:c r="Z595" s="31" t="n">
        <x:v>0</x:v>
      </x:c>
      <x:c r="AA595" s="31" t="n">
        <x:v>0</x:v>
      </x:c>
      <x:c r="AB595" s="31" t="str"/>
      <x:c r="AC595" s="31" t="str"/>
    </x:row>
    <x:row r="596">
      <x:c r="A596" s="31" t="str">
        <x:v>b3a491c8e753ae5e</x:v>
      </x:c>
      <x:c r="B596" s="31" t="str">
        <x:v>b3a491c8e753ae5e8e2ed3d194149168ab16ecd65cff3ab1d5f40081ce010093</x:v>
      </x:c>
      <x:c r="C596" s="31" t="n">
        <x:v>10</x:v>
      </x:c>
      <x:c r="D596" s="31" t="n">
        <x:v>33811</x:v>
      </x:c>
      <x:c r="E596" s="31" t="str">
        <x:v>Bronx</x:v>
      </x:c>
      <x:c r="F596" s="31" t="str">
        <x:v>Williamsbridge-Olinville</x:v>
      </x:c>
      <x:c r="G596" s="31" t="n">
        <x:v>44212.54844650314</x:v>
      </x:c>
      <x:c r="H596" s="31" t="n">
        <x:v>12095</x:v>
      </x:c>
      <x:c r="I596" s="31" t="n">
        <x:v>3.9571841603843922</x:v>
      </x:c>
      <x:c r="J596" s="40" t="n">
        <x:v>0.04712691194708557</x:v>
      </x:c>
      <x:c r="K596" s="40" t="n">
        <x:v>0.5572550640760645</x:v>
      </x:c>
      <x:c r="L596" s="40" t="n">
        <x:v>0.01322860686233981</x:v>
      </x:c>
      <x:c r="M596" s="31" t="n">
        <x:v>42.20930466851163</x:v>
      </x:c>
      <x:c r="N596" s="31" t="n">
        <x:v>64</x:v>
      </x:c>
      <x:c r="O596" s="31" t="n">
        <x:v>1.8928750998195853</x:v>
      </x:c>
      <x:c r="P596" s="31" t="n">
        <x:v>4.6546506821000415</x:v>
      </x:c>
      <x:c r="Q596" s="40" t="n">
        <x:v>1</x:v>
      </x:c>
      <x:c r="R596" s="31" t="n">
        <x:v>0.16746951359472817</x:v>
      </x:c>
      <x:c r="S596" s="40"/>
      <x:c r="T596" s="40"/>
      <x:c r="U596" s="40" t="n">
        <x:v>1</x:v>
      </x:c>
      <x:c r="V596" s="40" t="n">
        <x:v>0.9776767259198016</x:v>
      </x:c>
      <x:c r="W596" s="31" t="n">
        <x:v>1</x:v>
      </x:c>
      <x:c r="X596" s="31" t="str"/>
      <x:c r="Y596" s="31" t="n">
        <x:v>0</x:v>
      </x:c>
      <x:c r="Z596" s="31" t="n">
        <x:v>1</x:v>
      </x:c>
      <x:c r="AA596" s="31" t="n">
        <x:v>0</x:v>
      </x:c>
      <x:c r="AB596" s="31" t="str"/>
      <x:c r="AC596" s="31" t="str"/>
    </x:row>
    <x:row r="597">
      <x:c r="A597" s="31" t="str">
        <x:v>b484c1f4fc808bae</x:v>
      </x:c>
      <x:c r="B597" s="31" t="str">
        <x:v>b484c1f4fc808bae18a87ab86e8cfa1f9bfec8753b9e2e138a80b78031f3067f</x:v>
      </x:c>
      <x:c r="C597" s="31" t="n">
        <x:v>9</x:v>
      </x:c>
      <x:c r="D597" s="31" t="n">
        <x:v>32365</x:v>
      </x:c>
      <x:c r="E597" s="31" t="str">
        <x:v>Brooklyn</x:v>
      </x:c>
      <x:c r="F597" s="31" t="str">
        <x:v>Bensonhurst</x:v>
      </x:c>
      <x:c r="G597" s="31" t="n">
        <x:v>50814.968514753695</x:v>
      </x:c>
      <x:c r="H597" s="31" t="n">
        <x:v>10319</x:v>
      </x:c>
      <x:c r="I597" s="31" t="n">
        <x:v>2.7374931959564544</x:v>
      </x:c>
      <x:c r="J597" s="40" t="n">
        <x:v>0</x:v>
      </x:c>
      <x:c r="K597" s="40" t="n">
        <x:v>0.4628355460800465</x:v>
      </x:c>
      <x:c r="L597" s="40" t="n">
        <x:v>0.02374261071809284</x:v>
      </x:c>
      <x:c r="M597" s="31" t="n">
        <x:v>33.3422458656728</x:v>
      </x:c>
      <x:c r="N597" s="31" t="n">
        <x:v>67</x:v>
      </x:c>
      <x:c r="O597" s="31" t="n">
        <x:v>2.070137494206705</x:v>
      </x:c>
      <x:c r="P597" s="31" t="n">
        <x:v>3.8465936621765673</x:v>
      </x:c>
      <x:c r="Q597" s="40" t="n">
        <x:v>0.8465936621765675</x:v>
      </x:c>
      <x:c r="R597" s="31" t="n">
        <x:v>0.14649507340018142</x:v>
      </x:c>
      <x:c r="S597" s="40"/>
      <x:c r="T597" s="40"/>
      <x:c r="U597" s="40" t="n">
        <x:v>1</x:v>
      </x:c>
      <x:c r="V597" s="40" t="n">
        <x:v>0.9945731175501502</x:v>
      </x:c>
      <x:c r="W597" s="31" t="n">
        <x:v>0</x:v>
      </x:c>
      <x:c r="X597" s="31" t="str"/>
      <x:c r="Y597" s="31" t="n">
        <x:v>0</x:v>
      </x:c>
      <x:c r="Z597" s="31" t="n">
        <x:v>0</x:v>
      </x:c>
      <x:c r="AA597" s="31" t="n">
        <x:v>0</x:v>
      </x:c>
      <x:c r="AB597" s="31" t="str"/>
      <x:c r="AC597" s="31" t="str"/>
    </x:row>
    <x:row r="598">
      <x:c r="A598" s="31" t="str">
        <x:v>b48c814316fc3265</x:v>
      </x:c>
      <x:c r="B598" s="31" t="str">
        <x:v>b48c814316fc326504f8c64b9aaa257482e8cc556b1f60201db0ebac0968eead</x:v>
      </x:c>
      <x:c r="C598" s="31" t="n">
        <x:v>12</x:v>
      </x:c>
      <x:c r="D598" s="31" t="n">
        <x:v>36082</x:v>
      </x:c>
      <x:c r="E598" s="31" t="str">
        <x:v>Brooklyn</x:v>
      </x:c>
      <x:c r="F598" s="31" t="str">
        <x:v>East Flatbush-Farragut</x:v>
      </x:c>
      <x:c r="G598" s="31" t="n">
        <x:v>56072.88500309746</x:v>
      </x:c>
      <x:c r="H598" s="31" t="n">
        <x:v>15106</x:v>
      </x:c>
      <x:c r="I598" s="31" t="n">
        <x:v>5.324024430724292</x:v>
      </x:c>
      <x:c r="J598" s="40" t="n">
        <x:v>0.07665828147755858</x:v>
      </x:c>
      <x:c r="K598" s="40" t="n">
        <x:v>0.6419303587978287</x:v>
      </x:c>
      <x:c r="L598" s="40" t="n">
        <x:v>0.1932344763670065</x:v>
      </x:c>
      <x:c r="M598" s="31" t="n">
        <x:v>57.80207781176716</x:v>
      </x:c>
      <x:c r="N598" s="31" t="n">
        <x:v>178</x:v>
      </x:c>
      <x:c r="O598" s="31" t="n">
        <x:v>4.93320769358683</x:v>
      </x:c>
      <x:c r="P598" s="31" t="n">
        <x:v>5</x:v>
      </x:c>
      <x:c r="Q598" s="40" t="n">
        <x:v>1</x:v>
      </x:c>
      <x:c r="R598" s="31" t="n">
        <x:v>0.18334074444482043</x:v>
      </x:c>
      <x:c r="S598" s="40"/>
      <x:c r="T598" s="40"/>
      <x:c r="U598" s="40" t="n">
        <x:v>1</x:v>
      </x:c>
      <x:c r="V598" s="40" t="n">
        <x:v>0.9870912220309811</x:v>
      </x:c>
      <x:c r="W598" s="31" t="n">
        <x:v>1</x:v>
      </x:c>
      <x:c r="X598" s="31" t="str"/>
      <x:c r="Y598" s="31" t="n">
        <x:v>0</x:v>
      </x:c>
      <x:c r="Z598" s="31" t="n">
        <x:v>1</x:v>
      </x:c>
      <x:c r="AA598" s="31" t="n">
        <x:v>0</x:v>
      </x:c>
      <x:c r="AB598" s="31" t="str"/>
      <x:c r="AC598" s="31" t="str"/>
    </x:row>
    <x:row r="599">
      <x:c r="A599" s="31" t="str">
        <x:v>b4bd9275d43217dd</x:v>
      </x:c>
      <x:c r="B599" s="31" t="str">
        <x:v>b4bd9275d43217dd331b21dd001bff1841ce58508830bc09ad1ed746ab6f0567</x:v>
      </x:c>
      <x:c r="C599" s="31" t="n">
        <x:v>5</x:v>
      </x:c>
      <x:c r="D599" s="31" t="n">
        <x:v>33798</x:v>
      </x:c>
      <x:c r="E599" s="31" t="str">
        <x:v>Manhattan</x:v>
      </x:c>
      <x:c r="F599" s="31" t="str">
        <x:v>Washington Heights (South)</x:v>
      </x:c>
      <x:c r="G599" s="31" t="n">
        <x:v>96415.849767976</x:v>
      </x:c>
      <x:c r="H599" s="31" t="n">
        <x:v>13905</x:v>
      </x:c>
      <x:c r="I599" s="31" t="n">
        <x:v>6.644336569579288</x:v>
      </x:c>
      <x:c r="J599" s="40" t="n">
        <x:v>0.1408126573175117</x:v>
      </x:c>
      <x:c r="K599" s="40" t="n">
        <x:v>0.8553757641136281</x:v>
      </x:c>
      <x:c r="L599" s="40" t="n">
        <x:v>0.00618482560230133</x:v>
      </x:c>
      <x:c r="M599" s="31" t="n">
        <x:v>82.67088364872451</x:v>
      </x:c>
      <x:c r="N599" s="31" t="n">
        <x:v>213</x:v>
      </x:c>
      <x:c r="O599" s="31" t="n">
        <x:v>6.302148056097994</x:v>
      </x:c>
      <x:c r="P599" s="31" t="n">
        <x:v>3</x:v>
      </x:c>
      <x:c r="Q599" s="40" t="n">
        <x:v>0</x:v>
      </x:c>
      <x:c r="R599" s="31" t="n">
        <x:v>0.16326970928150333</x:v>
      </x:c>
      <x:c r="S599" s="40"/>
      <x:c r="T599" s="40"/>
      <x:c r="U599" s="40" t="n">
        <x:v>1</x:v>
      </x:c>
      <x:c r="V599" s="40" t="n">
        <x:v>0.9912261776339446</x:v>
      </x:c>
      <x:c r="W599" s="31" t="n">
        <x:v>0</x:v>
      </x:c>
      <x:c r="X599" s="31" t="str"/>
      <x:c r="Y599" s="31" t="n">
        <x:v>0</x:v>
      </x:c>
      <x:c r="Z599" s="31" t="n">
        <x:v>0</x:v>
      </x:c>
      <x:c r="AA599" s="31" t="n">
        <x:v>0</x:v>
      </x:c>
      <x:c r="AB599" s="31" t="str"/>
      <x:c r="AC599" s="31" t="str"/>
    </x:row>
    <x:row r="600">
      <x:c r="A600" s="31" t="str">
        <x:v>b5c9920c1bd3bc58</x:v>
      </x:c>
      <x:c r="B600" s="31" t="str">
        <x:v>b5c9920c1bd3bc586323ca99484576f597755fdbef2579e8e97d171ecb92fe7f</x:v>
      </x:c>
      <x:c r="C600" s="31" t="n">
        <x:v>6</x:v>
      </x:c>
      <x:c r="D600" s="31" t="n">
        <x:v>32026</x:v>
      </x:c>
      <x:c r="E600" s="31" t="str">
        <x:v>Manhattan</x:v>
      </x:c>
      <x:c r="F600" s="31" t="str">
        <x:v>East Harlem (North)</x:v>
      </x:c>
      <x:c r="G600" s="31" t="n">
        <x:v>113441.20047807074</x:v>
      </x:c>
      <x:c r="H600" s="31" t="n">
        <x:v>13498</x:v>
      </x:c>
      <x:c r="I600" s="31" t="n">
        <x:v>12.760874406175772</x:v>
      </x:c>
      <x:c r="J600" s="40" t="n">
        <x:v>0.5590457845606757</x:v>
      </x:c>
      <x:c r="K600" s="40" t="n">
        <x:v>0.43858349385094086</x:v>
      </x:c>
      <x:c r="L600" s="40" t="n">
        <x:v>0.3483479033930953</x:v>
      </x:c>
      <x:c r="M600" s="31" t="n">
        <x:v>136.39910118572467</x:v>
      </x:c>
      <x:c r="N600" s="31" t="n">
        <x:v>265</x:v>
      </x:c>
      <x:c r="O600" s="31" t="n">
        <x:v>8.27452694685568</x:v>
      </x:c>
      <x:c r="P600" s="31" t="n">
        <x:v>4.412653726477997</x:v>
      </x:c>
      <x:c r="Q600" s="40" t="n">
        <x:v>1</x:v>
      </x:c>
      <x:c r="R600" s="31" t="n">
        <x:v>0.05985943588806923</x:v>
      </x:c>
      <x:c r="S600" s="40"/>
      <x:c r="T600" s="40"/>
      <x:c r="U600" s="40" t="n">
        <x:v>1</x:v>
      </x:c>
      <x:c r="V600" s="40" t="n">
        <x:v>0.9911838790931989</x:v>
      </x:c>
      <x:c r="W600" s="31" t="n">
        <x:v>1</x:v>
      </x:c>
      <x:c r="X600" s="31" t="str"/>
      <x:c r="Y600" s="31" t="n">
        <x:v>1</x:v>
      </x:c>
      <x:c r="Z600" s="31" t="n">
        <x:v>0</x:v>
      </x:c>
      <x:c r="AA600" s="31" t="n">
        <x:v>0</x:v>
      </x:c>
      <x:c r="AB600" s="31" t="str"/>
      <x:c r="AC600" s="31" t="str"/>
    </x:row>
    <x:row r="601">
      <x:c r="A601" s="31" t="str">
        <x:v>b5faca1eb1bda4ab</x:v>
      </x:c>
      <x:c r="B601" s="31" t="str">
        <x:v>b5faca1eb1bda4abc89a891259fec06678eff888ed97e0b788afb639530aa072</x:v>
      </x:c>
      <x:c r="C601" s="31" t="n">
        <x:v>7</x:v>
      </x:c>
      <x:c r="D601" s="31" t="n">
        <x:v>34190</x:v>
      </x:c>
      <x:c r="E601" s="31" t="str">
        <x:v>Manhattan</x:v>
      </x:c>
      <x:c r="F601" s="31" t="str">
        <x:v>West Village</x:v>
      </x:c>
      <x:c r="G601" s="31" t="n">
        <x:v>60368.64412159669</x:v>
      </x:c>
      <x:c r="H601" s="31" t="n">
        <x:v>23822</x:v>
      </x:c>
      <x:c r="I601" s="31" t="n">
        <x:v>8.290753338372387</x:v>
      </x:c>
      <x:c r="J601" s="40" t="n">
        <x:v>0.27424229703635294</x:v>
      </x:c>
      <x:c r="K601" s="40" t="n">
        <x:v>0.7194190244311981</x:v>
      </x:c>
      <x:c r="L601" s="40" t="n">
        <x:v>0.06947359583578205</x:v>
      </x:c>
      <x:c r="M601" s="31" t="n">
        <x:v>93.15200340445192</x:v>
      </x:c>
      <x:c r="N601" s="31" t="n">
        <x:v>588</x:v>
      </x:c>
      <x:c r="O601" s="31" t="n">
        <x:v>17.198011114360924</x:v>
      </x:c>
      <x:c r="P601" s="31" t="n">
        <x:v>1.2050205692217277</x:v>
      </x:c>
      <x:c r="Q601" s="40" t="n">
        <x:v>0</x:v>
      </x:c>
      <x:c r="R601" s="31" t="n">
        <x:v>0.1531466139509374</x:v>
      </x:c>
      <x:c r="S601" s="40"/>
      <x:c r="T601" s="40"/>
      <x:c r="U601" s="40" t="n">
        <x:v>1</x:v>
      </x:c>
      <x:c r="V601" s="40" t="n">
        <x:v>0.9861052808328435</x:v>
      </x:c>
      <x:c r="W601" s="31" t="n">
        <x:v>0</x:v>
      </x:c>
      <x:c r="X601" s="31" t="str"/>
      <x:c r="Y601" s="31" t="n">
        <x:v>0</x:v>
      </x:c>
      <x:c r="Z601" s="31" t="n">
        <x:v>0</x:v>
      </x:c>
      <x:c r="AA601" s="31" t="n">
        <x:v>0</x:v>
      </x:c>
      <x:c r="AB601" s="31" t="str"/>
      <x:c r="AC601" s="31" t="str"/>
    </x:row>
    <x:row r="602">
      <x:c r="A602" s="31" t="str">
        <x:v>b663f32efda0f38f</x:v>
      </x:c>
      <x:c r="B602" s="31" t="str">
        <x:v>b663f32efda0f38f0b93aa7fcdf0e0c716a0901353eb1a29a4b9f0bde8740059</x:v>
      </x:c>
      <x:c r="C602" s="31" t="n">
        <x:v>5</x:v>
      </x:c>
      <x:c r="D602" s="31" t="n">
        <x:v>34084</x:v>
      </x:c>
      <x:c r="E602" s="31" t="str">
        <x:v>Manhattan</x:v>
      </x:c>
      <x:c r="F602" s="31" t="str">
        <x:v>Washington Heights (North)</x:v>
      </x:c>
      <x:c r="G602" s="31" t="n">
        <x:v>124743.38951404343</x:v>
      </x:c>
      <x:c r="H602" s="31" t="n">
        <x:v>13755</x:v>
      </x:c>
      <x:c r="I602" s="31" t="n">
        <x:v>6.561105052708106</x:v>
      </x:c>
      <x:c r="J602" s="40" t="n">
        <x:v>0.07655398037077427</x:v>
      </x:c>
      <x:c r="K602" s="40" t="n">
        <x:v>0.9223555070883315</x:v>
      </x:c>
      <x:c r="L602" s="40" t="n">
        <x:v>0.041148673209741915</x:v>
      </x:c>
      <x:c r="M602" s="31" t="n">
        <x:v>74.55115048169876</x:v>
      </x:c>
      <x:c r="N602" s="31" t="n">
        <x:v>141</x:v>
      </x:c>
      <x:c r="O602" s="31" t="n">
        <x:v>4.136838399248915</x:v>
      </x:c>
      <x:c r="P602" s="31" t="n">
        <x:v>2</x:v>
      </x:c>
      <x:c r="Q602" s="40" t="n">
        <x:v>0</x:v>
      </x:c>
      <x:c r="R602" s="31" t="n">
        <x:v>0.11064876300208694</x:v>
      </x:c>
      <x:c r="S602" s="40"/>
      <x:c r="T602" s="40"/>
      <x:c r="U602" s="40" t="n">
        <x:v>1</x:v>
      </x:c>
      <x:c r="V602" s="40" t="n">
        <x:v>0.9933115230825155</x:v>
      </x:c>
      <x:c r="W602" s="31" t="n">
        <x:v>0</x:v>
      </x:c>
      <x:c r="X602" s="31" t="str"/>
      <x:c r="Y602" s="31" t="n">
        <x:v>0</x:v>
      </x:c>
      <x:c r="Z602" s="31" t="n">
        <x:v>0</x:v>
      </x:c>
      <x:c r="AA602" s="31" t="n">
        <x:v>0</x:v>
      </x:c>
      <x:c r="AB602" s="31" t="str"/>
      <x:c r="AC602" s="31" t="str"/>
    </x:row>
    <x:row r="603">
      <x:c r="A603" s="31" t="str">
        <x:v>b6e311196d36455f</x:v>
      </x:c>
      <x:c r="B603" s="31" t="str">
        <x:v>b6e311196d36455f12e33007a13d7bea9565c373be9ece831549543ef827c3a6</x:v>
      </x:c>
      <x:c r="C603" s="31" t="n">
        <x:v>7</x:v>
      </x:c>
      <x:c r="D603" s="31" t="n">
        <x:v>35179</x:v>
      </x:c>
      <x:c r="E603" s="31" t="str">
        <x:v>Bronx</x:v>
      </x:c>
      <x:c r="F603" s="31" t="str">
        <x:v>Castle Hill-Unionport</x:v>
      </x:c>
      <x:c r="G603" s="31" t="n">
        <x:v>63759.865012301045</x:v>
      </x:c>
      <x:c r="H603" s="31" t="n">
        <x:v>11889</x:v>
      </x:c>
      <x:c r="I603" s="31" t="n">
        <x:v>4.508189599133261</x:v>
      </x:c>
      <x:c r="J603" s="40" t="n">
        <x:v>0.0817562452687358</x:v>
      </x:c>
      <x:c r="K603" s="40" t="n">
        <x:v>0.39313651274287154</x:v>
      </x:c>
      <x:c r="L603" s="40" t="n">
        <x:v>0.24291361762974178</x:v>
      </x:c>
      <x:c r="M603" s="31" t="n">
        <x:v>72.9393324719122</x:v>
      </x:c>
      <x:c r="N603" s="31" t="n">
        <x:v>111</x:v>
      </x:c>
      <x:c r="O603" s="31" t="n">
        <x:v>3.155291509138975</x:v>
      </x:c>
      <x:c r="P603" s="31" t="n">
        <x:v>4.6053494827151145</x:v>
      </x:c>
      <x:c r="Q603" s="40" t="n">
        <x:v>1</x:v>
      </x:c>
      <x:c r="R603" s="31" t="n">
        <x:v>0.15190670607979367</x:v>
      </x:c>
      <x:c r="S603" s="40"/>
      <x:c r="T603" s="40"/>
      <x:c r="U603" s="40" t="n">
        <x:v>1</x:v>
      </x:c>
      <x:c r="V603" s="40" t="n">
        <x:v>0.9655143409874674</x:v>
      </x:c>
      <x:c r="W603" s="31" t="n">
        <x:v>0</x:v>
      </x:c>
      <x:c r="X603" s="31" t="str"/>
      <x:c r="Y603" s="31" t="n">
        <x:v>0</x:v>
      </x:c>
      <x:c r="Z603" s="31" t="n">
        <x:v>0</x:v>
      </x:c>
      <x:c r="AA603" s="31" t="n">
        <x:v>0</x:v>
      </x:c>
      <x:c r="AB603" s="31" t="str"/>
      <x:c r="AC603" s="31" t="str"/>
    </x:row>
    <x:row r="604">
      <x:c r="A604" s="31" t="str">
        <x:v>b6f60ed885afbc6d</x:v>
      </x:c>
      <x:c r="B604" s="31" t="str">
        <x:v>b6f60ed885afbc6daef636f5be71352bb8d0a639d8ba96bd22f33a65b565f171</x:v>
      </x:c>
      <x:c r="C604" s="31" t="n">
        <x:v>8</x:v>
      </x:c>
      <x:c r="D604" s="31" t="n">
        <x:v>32687</x:v>
      </x:c>
      <x:c r="E604" s="31" t="str">
        <x:v>Bronx</x:v>
      </x:c>
      <x:c r="F604" s="31" t="str">
        <x:v>Fordham Heights</x:v>
      </x:c>
      <x:c r="G604" s="31" t="n">
        <x:v>101582.04345694317</x:v>
      </x:c>
      <x:c r="H604" s="31" t="n">
        <x:v>11753</x:v>
      </x:c>
      <x:c r="I604" s="31" t="n">
        <x:v>5.840692175408426</x:v>
      </x:c>
      <x:c r="J604" s="40" t="n">
        <x:v>0.09963413596528546</x:v>
      </x:c>
      <x:c r="K604" s="40" t="n">
        <x:v>0.8727133497830342</x:v>
      </x:c>
      <x:c r="L604" s="40" t="n">
        <x:v>0.01063558240449247</x:v>
      </x:c>
      <x:c r="M604" s="31" t="n">
        <x:v>66.60912052611347</x:v>
      </x:c>
      <x:c r="N604" s="31" t="n">
        <x:v>108</x:v>
      </x:c>
      <x:c r="O604" s="31" t="n">
        <x:v>3.3040658365711137</x:v>
      </x:c>
      <x:c r="P604" s="31" t="n">
        <x:v>4.689866417085</x:v>
      </x:c>
      <x:c r="Q604" s="40" t="n">
        <x:v>1</x:v>
      </x:c>
      <x:c r="R604" s="31" t="n">
        <x:v>0.09541107630140172</x:v>
      </x:c>
      <x:c r="S604" s="40"/>
      <x:c r="T604" s="40"/>
      <x:c r="U604" s="40" t="n">
        <x:v>1</x:v>
      </x:c>
      <x:c r="V604" s="40" t="n">
        <x:v>0.9838339147451715</x:v>
      </x:c>
      <x:c r="W604" s="31" t="n">
        <x:v>1</x:v>
      </x:c>
      <x:c r="X604" s="31" t="str"/>
      <x:c r="Y604" s="31" t="n">
        <x:v>0</x:v>
      </x:c>
      <x:c r="Z604" s="31" t="n">
        <x:v>1</x:v>
      </x:c>
      <x:c r="AA604" s="31" t="n">
        <x:v>0</x:v>
      </x:c>
      <x:c r="AB604" s="31" t="str"/>
      <x:c r="AC604" s="31" t="str"/>
    </x:row>
    <x:row r="605">
      <x:c r="A605" s="31" t="str">
        <x:v>b79cf730e092bad5</x:v>
      </x:c>
      <x:c r="B605" s="31" t="str">
        <x:v>b79cf730e092bad51a3830064a7b5b405f489c3935b85abdbba3abc9b4a9e654</x:v>
      </x:c>
      <x:c r="C605" s="31" t="n">
        <x:v>8</x:v>
      </x:c>
      <x:c r="D605" s="31" t="n">
        <x:v>34966</x:v>
      </x:c>
      <x:c r="E605" s="31" t="str">
        <x:v>Manhattan</x:v>
      </x:c>
      <x:c r="F605" s="31" t="str">
        <x:v>Greenwich Village</x:v>
      </x:c>
      <x:c r="G605" s="31" t="n">
        <x:v>90138.4126232726</x:v>
      </x:c>
      <x:c r="H605" s="31" t="n">
        <x:v>21906</x:v>
      </x:c>
      <x:c r="I605" s="31" t="n">
        <x:v>10.813300109729335</x:v>
      </x:c>
      <x:c r="J605" s="40" t="n">
        <x:v>0.42075230530448277</x:v>
      </x:c>
      <x:c r="K605" s="40" t="n">
        <x:v>0.5762804711038072</x:v>
      </x:c>
      <x:c r="L605" s="40" t="n">
        <x:v>0.13489454943851</x:v>
      </x:c>
      <x:c r="M605" s="31" t="n">
        <x:v>115.2034044851498</x:v>
      </x:c>
      <x:c r="N605" s="31" t="n">
        <x:v>553</x:v>
      </x:c>
      <x:c r="O605" s="31" t="n">
        <x:v>15.815363495967512</x:v>
      </x:c>
      <x:c r="P605" s="31" t="n">
        <x:v>2.0781064548525516</x:v>
      </x:c>
      <x:c r="Q605" s="40" t="n">
        <x:v>0</x:v>
      </x:c>
      <x:c r="R605" s="31" t="n">
        <x:v>0.11911153304082248</x:v>
      </x:c>
      <x:c r="S605" s="40"/>
      <x:c r="T605" s="40"/>
      <x:c r="U605" s="40" t="n">
        <x:v>1</x:v>
      </x:c>
      <x:c r="V605" s="40" t="n">
        <x:v>0.9950241942846708</x:v>
      </x:c>
      <x:c r="W605" s="31" t="n">
        <x:v>1</x:v>
      </x:c>
      <x:c r="X605" s="31" t="str"/>
      <x:c r="Y605" s="31" t="n">
        <x:v>1</x:v>
      </x:c>
      <x:c r="Z605" s="31" t="n">
        <x:v>0</x:v>
      </x:c>
      <x:c r="AA605" s="31" t="n">
        <x:v>0</x:v>
      </x:c>
      <x:c r="AB605" s="31" t="str"/>
      <x:c r="AC605" s="31" t="str"/>
    </x:row>
    <x:row r="606">
      <x:c r="A606" s="31" t="str">
        <x:v>b79dfecba5df3656</x:v>
      </x:c>
      <x:c r="B606" s="31" t="str">
        <x:v>b79dfecba5df3656ff305cbbc6ce47778943133f6f02ea210343c26b52a3ab1e</x:v>
      </x:c>
      <x:c r="C606" s="31" t="n">
        <x:v>9</x:v>
      </x:c>
      <x:c r="D606" s="31" t="n">
        <x:v>34711</x:v>
      </x:c>
      <x:c r="E606" s="31" t="str">
        <x:v>Brooklyn</x:v>
      </x:c>
      <x:c r="F606" s="31" t="str">
        <x:v>Sheepshead Bay-Manhattan Beach-Gerritsen Beach</x:v>
      </x:c>
      <x:c r="G606" s="31" t="n">
        <x:v>41965.682376882156</x:v>
      </x:c>
      <x:c r="H606" s="31" t="n">
        <x:v>14012</x:v>
      </x:c>
      <x:c r="I606" s="31" t="n">
        <x:v>4.517907243879676</x:v>
      </x:c>
      <x:c r="J606" s="40" t="n">
        <x:v>0.02612046817013988</x:v>
      </x:c>
      <x:c r="K606" s="40" t="n">
        <x:v>0.5918498429917214</x:v>
      </x:c>
      <x:c r="L606" s="40" t="n">
        <x:v>0.05709391949757351</x:v>
      </x:c>
      <x:c r="M606" s="31" t="n">
        <x:v>50.874092966319</x:v>
      </x:c>
      <x:c r="N606" s="31" t="n">
        <x:v>188</x:v>
      </x:c>
      <x:c r="O606" s="31" t="n">
        <x:v>5.416150499841549</x:v>
      </x:c>
      <x:c r="P606" s="31" t="n">
        <x:v>3</x:v>
      </x:c>
      <x:c r="Q606" s="40" t="n">
        <x:v>0</x:v>
      </x:c>
      <x:c r="R606" s="31" t="n">
        <x:v>0.2011209054222991</x:v>
      </x:c>
      <x:c r="S606" s="40"/>
      <x:c r="T606" s="40"/>
      <x:c r="U606" s="40" t="n">
        <x:v>1</x:v>
      </x:c>
      <x:c r="V606" s="40" t="n">
        <x:v>0.9942192406508706</x:v>
      </x:c>
      <x:c r="W606" s="31" t="n">
        <x:v>0</x:v>
      </x:c>
      <x:c r="X606" s="31" t="str"/>
      <x:c r="Y606" s="31" t="n">
        <x:v>0</x:v>
      </x:c>
      <x:c r="Z606" s="31" t="n">
        <x:v>0</x:v>
      </x:c>
      <x:c r="AA606" s="31" t="n">
        <x:v>0</x:v>
      </x:c>
      <x:c r="AB606" s="31" t="str"/>
      <x:c r="AC606" s="31" t="str"/>
    </x:row>
    <x:row r="607">
      <x:c r="A607" s="31" t="str">
        <x:v>b7d5bd1c669e411f</x:v>
      </x:c>
      <x:c r="B607" s="31" t="str">
        <x:v>b7d5bd1c669e411fa58e4bdd8e52b0aef3977d3a56f95ddd8cca9b55021f43e2</x:v>
      </x:c>
      <x:c r="C607" s="31" t="n">
        <x:v>7</x:v>
      </x:c>
      <x:c r="D607" s="31" t="n">
        <x:v>37270</x:v>
      </x:c>
      <x:c r="E607" s="31" t="str">
        <x:v>Queens</x:v>
      </x:c>
      <x:c r="F607" s="31" t="str">
        <x:v>Far Rockaway-Bayswater</x:v>
      </x:c>
      <x:c r="G607" s="31" t="n">
        <x:v>27674.034251683894</x:v>
      </x:c>
      <x:c r="H607" s="31" t="n">
        <x:v>13160</x:v>
      </x:c>
      <x:c r="I607" s="31" t="n">
        <x:v>4.776322630560928</x:v>
      </x:c>
      <x:c r="J607" s="40" t="n">
        <x:v>0.1641337386018237</x:v>
      </x:c>
      <x:c r="K607" s="40" t="n">
        <x:v>0.43229483282674774</x:v>
      </x:c>
      <x:c r="L607" s="40" t="n">
        <x:v>0.24354103343465044</x:v>
      </x:c>
      <x:c r="M607" s="31" t="n">
        <x:v>60.86982940488012</x:v>
      </x:c>
      <x:c r="N607" s="31" t="n">
        <x:v>154</x:v>
      </x:c>
      <x:c r="O607" s="31" t="n">
        <x:v>4.1320096592433595</x:v>
      </x:c>
      <x:c r="P607" s="31" t="n">
        <x:v>5</x:v>
      </x:c>
      <x:c r="Q607" s="40" t="n">
        <x:v>1</x:v>
      </x:c>
      <x:c r="R607" s="31" t="n">
        <x:v>0.14305799675336375</x:v>
      </x:c>
      <x:c r="S607" s="40"/>
      <x:c r="T607" s="40"/>
      <x:c r="U607" s="40" t="n">
        <x:v>1</x:v>
      </x:c>
      <x:c r="V607" s="40" t="n">
        <x:v>0.9666413373860182</x:v>
      </x:c>
      <x:c r="W607" s="31" t="n">
        <x:v>0</x:v>
      </x:c>
      <x:c r="X607" s="31" t="str"/>
      <x:c r="Y607" s="31" t="n">
        <x:v>0</x:v>
      </x:c>
      <x:c r="Z607" s="31" t="n">
        <x:v>0</x:v>
      </x:c>
      <x:c r="AA607" s="31" t="n">
        <x:v>0</x:v>
      </x:c>
      <x:c r="AB607" s="31" t="str"/>
      <x:c r="AC607" s="31" t="str"/>
    </x:row>
    <x:row r="608">
      <x:c r="A608" s="31" t="str">
        <x:v>b8494aee4c86f633</x:v>
      </x:c>
      <x:c r="B608" s="31" t="str">
        <x:v>b8494aee4c86f633a854b349bed70bbe2680cd7d95a832675930d255b49b9f22</x:v>
      </x:c>
      <x:c r="C608" s="31" t="n">
        <x:v>10</x:v>
      </x:c>
      <x:c r="D608" s="31" t="n">
        <x:v>34732</x:v>
      </x:c>
      <x:c r="E608" s="31" t="str">
        <x:v>Brooklyn</x:v>
      </x:c>
      <x:c r="F608" s="31" t="str">
        <x:v>Gravesend (South)</x:v>
      </x:c>
      <x:c r="G608" s="31" t="n">
        <x:v>34535.04866462707</x:v>
      </x:c>
      <x:c r="H608" s="31" t="n">
        <x:v>12414</x:v>
      </x:c>
      <x:c r="I608" s="31" t="n">
        <x:v>4.135250121026303</x:v>
      </x:c>
      <x:c r="J608" s="40" t="n">
        <x:v>0.029321733526663445</x:v>
      </x:c>
      <x:c r="K608" s="40" t="n">
        <x:v>0.4915418076365394</x:v>
      </x:c>
      <x:c r="L608" s="40" t="n">
        <x:v>0.1673111003705494</x:v>
      </x:c>
      <x:c r="M608" s="31" t="n">
        <x:v>53.14703027089903</x:v>
      </x:c>
      <x:c r="N608" s="31" t="n">
        <x:v>104</x:v>
      </x:c>
      <x:c r="O608" s="31" t="n">
        <x:v>2.9943567891281813</x:v>
      </x:c>
      <x:c r="P608" s="31" t="n">
        <x:v>4</x:v>
      </x:c>
      <x:c r="Q608" s="40" t="n">
        <x:v>1</x:v>
      </x:c>
      <x:c r="R608" s="31" t="n">
        <x:v>0.17285243862572489</x:v>
      </x:c>
      <x:c r="S608" s="40"/>
      <x:c r="T608" s="40"/>
      <x:c r="U608" s="40" t="n">
        <x:v>1</x:v>
      </x:c>
      <x:c r="V608" s="40" t="n">
        <x:v>0.9963750604156597</x:v>
      </x:c>
      <x:c r="W608" s="31" t="n">
        <x:v>0</x:v>
      </x:c>
      <x:c r="X608" s="31" t="str"/>
      <x:c r="Y608" s="31" t="n">
        <x:v>0</x:v>
      </x:c>
      <x:c r="Z608" s="31" t="n">
        <x:v>0</x:v>
      </x:c>
      <x:c r="AA608" s="31" t="n">
        <x:v>0</x:v>
      </x:c>
      <x:c r="AB608" s="31" t="str"/>
      <x:c r="AC608" s="31" t="str"/>
    </x:row>
    <x:row r="609">
      <x:c r="A609" s="31" t="str">
        <x:v>b85fe9657497624f</x:v>
      </x:c>
      <x:c r="B609" s="31" t="str">
        <x:v>b85fe9657497624f484ae4edd51c587d5286bed551b5e14bc7f160e652c3bb3e</x:v>
      </x:c>
      <x:c r="C609" s="31" t="n">
        <x:v>10</x:v>
      </x:c>
      <x:c r="D609" s="31" t="n">
        <x:v>34223</x:v>
      </x:c>
      <x:c r="E609" s="31" t="str">
        <x:v>Brooklyn</x:v>
      </x:c>
      <x:c r="F609" s="31" t="str">
        <x:v>Ocean Hill</x:v>
      </x:c>
      <x:c r="G609" s="31" t="n">
        <x:v>50925.74611035943</x:v>
      </x:c>
      <x:c r="H609" s="31" t="n">
        <x:v>14828</x:v>
      </x:c>
      <x:c r="I609" s="31" t="n">
        <x:v>5.544888688535959</x:v>
      </x:c>
      <x:c r="J609" s="40" t="n">
        <x:v>0.1523469112489884</x:v>
      </x:c>
      <x:c r="K609" s="40" t="n">
        <x:v>0.5838278931750742</x:v>
      </x:c>
      <x:c r="L609" s="40" t="n">
        <x:v>0.10082276773671432</x:v>
      </x:c>
      <x:c r="M609" s="31" t="n">
        <x:v>58.05596933213979</x:v>
      </x:c>
      <x:c r="N609" s="31" t="n">
        <x:v>86</x:v>
      </x:c>
      <x:c r="O609" s="31" t="n">
        <x:v>2.5129299009438095</x:v>
      </x:c>
      <x:c r="P609" s="31" t="n">
        <x:v>4.992446722417049</x:v>
      </x:c>
      <x:c r="Q609" s="40" t="n">
        <x:v>1</x:v>
      </x:c>
      <x:c r="R609" s="31" t="n">
        <x:v>0.09476875145920502</x:v>
      </x:c>
      <x:c r="S609" s="40"/>
      <x:c r="T609" s="40"/>
      <x:c r="U609" s="40" t="n">
        <x:v>1</x:v>
      </x:c>
      <x:c r="V609" s="40" t="n">
        <x:v>0.9571756137038037</x:v>
      </x:c>
      <x:c r="W609" s="31" t="n">
        <x:v>1</x:v>
      </x:c>
      <x:c r="X609" s="31" t="str"/>
      <x:c r="Y609" s="31" t="n">
        <x:v>0</x:v>
      </x:c>
      <x:c r="Z609" s="31" t="n">
        <x:v>1</x:v>
      </x:c>
      <x:c r="AA609" s="31" t="n">
        <x:v>0</x:v>
      </x:c>
      <x:c r="AB609" s="31" t="str"/>
      <x:c r="AC609" s="31" t="str"/>
    </x:row>
    <x:row r="610">
      <x:c r="A610" s="31" t="str">
        <x:v>b8654314dd0340ef</x:v>
      </x:c>
      <x:c r="B610" s="31" t="str">
        <x:v>b8654314dd0340efe7a1334e46241175946c2dd6b70b776ee23209080979c051</x:v>
      </x:c>
      <x:c r="C610" s="31" t="n">
        <x:v>7</x:v>
      </x:c>
      <x:c r="D610" s="31" t="n">
        <x:v>37522</x:v>
      </x:c>
      <x:c r="E610" s="31" t="str">
        <x:v>Bronx</x:v>
      </x:c>
      <x:c r="F610" s="31" t="str">
        <x:v>Kingsbridge-Marble Hill</x:v>
      </x:c>
      <x:c r="G610" s="31" t="n">
        <x:v>57357.84803680528</x:v>
      </x:c>
      <x:c r="H610" s="31" t="n">
        <x:v>15527</x:v>
      </x:c>
      <x:c r="I610" s="31" t="n">
        <x:v>9.515218404193359</x:v>
      </x:c>
      <x:c r="J610" s="40" t="n">
        <x:v>0.32131126424937206</x:v>
      </x:c>
      <x:c r="K610" s="40" t="n">
        <x:v>0.6001803310362595</x:v>
      </x:c>
      <x:c r="L610" s="40" t="n">
        <x:v>0.10117859212983835</x:v>
      </x:c>
      <x:c r="M610" s="31" t="n">
        <x:v>103.57356249396058</x:v>
      </x:c>
      <x:c r="N610" s="31" t="n">
        <x:v>181</x:v>
      </x:c>
      <x:c r="O610" s="31" t="n">
        <x:v>4.8238366824796115</x:v>
      </x:c>
      <x:c r="P610" s="31" t="n">
        <x:v>1.1321568880015458</x:v>
      </x:c>
      <x:c r="Q610" s="40" t="n">
        <x:v>0.04405229600051523</x:v>
      </x:c>
      <x:c r="R610" s="31" t="n">
        <x:v>0.11659543999717495</x:v>
      </x:c>
      <x:c r="S610" s="40"/>
      <x:c r="T610" s="40"/>
      <x:c r="U610" s="40" t="n">
        <x:v>1</x:v>
      </x:c>
      <x:c r="V610" s="40" t="n">
        <x:v>0.9737231918593418</x:v>
      </x:c>
      <x:c r="W610" s="31" t="n">
        <x:v>0</x:v>
      </x:c>
      <x:c r="X610" s="31" t="str"/>
      <x:c r="Y610" s="31" t="n">
        <x:v>0</x:v>
      </x:c>
      <x:c r="Z610" s="31" t="n">
        <x:v>0</x:v>
      </x:c>
      <x:c r="AA610" s="31" t="n">
        <x:v>0</x:v>
      </x:c>
      <x:c r="AB610" s="31" t="str"/>
      <x:c r="AC610" s="31" t="str"/>
    </x:row>
    <x:row r="611">
      <x:c r="A611" s="31" t="str">
        <x:v>b8a9e990c7b4cbd2</x:v>
      </x:c>
      <x:c r="B611" s="31" t="str">
        <x:v>b8a9e990c7b4cbd23a47ff524ca23cc36100db599aebb936f216ad7f6695c1e9</x:v>
      </x:c>
      <x:c r="C611" s="31" t="n">
        <x:v>7</x:v>
      </x:c>
      <x:c r="D611" s="31" t="n">
        <x:v>35503</x:v>
      </x:c>
      <x:c r="E611" s="31" t="str">
        <x:v>Staten Island</x:v>
      </x:c>
      <x:c r="F611" s="31" t="str">
        <x:v>Great Kills-Eltingville</x:v>
      </x:c>
      <x:c r="G611" s="31" t="n">
        <x:v>13949.695563688192</x:v>
      </x:c>
      <x:c r="H611" s="31" t="n">
        <x:v>13533</x:v>
      </x:c>
      <x:c r="I611" s="31" t="n">
        <x:v>1.9038623312700427</x:v>
      </x:c>
      <x:c r="J611" s="40" t="n">
        <x:v>0</x:v>
      </x:c>
      <x:c r="K611" s="40" t="n">
        <x:v>0.058966969629793836</x:v>
      </x:c>
      <x:c r="L611" s="40" t="n">
        <x:v>0.04293209192344639</x:v>
      </x:c>
      <x:c r="M611" s="31" t="n">
        <x:v>25.51424035904836</x:v>
      </x:c>
      <x:c r="N611" s="31" t="n">
        <x:v>24</x:v>
      </x:c>
      <x:c r="O611" s="31" t="n">
        <x:v>0.6759992113342534</x:v>
      </x:c>
      <x:c r="P611" s="31" t="n">
        <x:v>1.5394620159621637</x:v>
      </x:c>
      <x:c r="Q611" s="40" t="n">
        <x:v>0</x:v>
      </x:c>
      <x:c r="R611" s="31" t="n">
        <x:v>0.33354109642417956</x:v>
      </x:c>
      <x:c r="S611" s="40"/>
      <x:c r="T611" s="40"/>
      <x:c r="U611" s="40" t="n">
        <x:v>0.9999261065543487</x:v>
      </x:c>
      <x:c r="V611" s="40" t="n">
        <x:v>0.9946796719131014</x:v>
      </x:c>
      <x:c r="W611" s="31" t="n">
        <x:v>0</x:v>
      </x:c>
      <x:c r="X611" s="31" t="str"/>
      <x:c r="Y611" s="31" t="n">
        <x:v>0</x:v>
      </x:c>
      <x:c r="Z611" s="31" t="n">
        <x:v>0</x:v>
      </x:c>
      <x:c r="AA611" s="31" t="n">
        <x:v>0</x:v>
      </x:c>
      <x:c r="AB611" s="31" t="str"/>
      <x:c r="AC611" s="31" t="str"/>
    </x:row>
    <x:row r="612">
      <x:c r="A612" s="31" t="str">
        <x:v>b8b95eaf7c5b7d9b</x:v>
      </x:c>
      <x:c r="B612" s="31" t="str">
        <x:v>b8b95eaf7c5b7d9b4c67413d56b52edda42757fb7781d91a321c9c51549d488a</x:v>
      </x:c>
      <x:c r="C612" s="31" t="n">
        <x:v>8</x:v>
      </x:c>
      <x:c r="D612" s="31" t="n">
        <x:v>33645</x:v>
      </x:c>
      <x:c r="E612" s="31" t="str">
        <x:v>Brooklyn</x:v>
      </x:c>
      <x:c r="F612" s="31" t="str">
        <x:v>East Flatbush-Remsen Village</x:v>
      </x:c>
      <x:c r="G612" s="31" t="n">
        <x:v>58952.731803147995</x:v>
      </x:c>
      <x:c r="H612" s="31" t="n">
        <x:v>12431</x:v>
      </x:c>
      <x:c r="I612" s="31" t="n">
        <x:v>3.622333574820897</x:v>
      </x:c>
      <x:c r="J612" s="40" t="n">
        <x:v>0.022926554581288713</x:v>
      </x:c>
      <x:c r="K612" s="40" t="n">
        <x:v>0.49111093234655295</x:v>
      </x:c>
      <x:c r="L612" s="40" t="n">
        <x:v>0.02646609283243504</x:v>
      </x:c>
      <x:c r="M612" s="31" t="n">
        <x:v>40.70455693257855</x:v>
      </x:c>
      <x:c r="N612" s="31" t="n">
        <x:v>57</x:v>
      </x:c>
      <x:c r="O612" s="31" t="n">
        <x:v>1.6941596076683012</x:v>
      </x:c>
      <x:c r="P612" s="31" t="n">
        <x:v>5</x:v>
      </x:c>
      <x:c r="Q612" s="40" t="n">
        <x:v>1</x:v>
      </x:c>
      <x:c r="R612" s="31" t="n">
        <x:v>0.11938983463085677</x:v>
      </x:c>
      <x:c r="S612" s="40"/>
      <x:c r="T612" s="40"/>
      <x:c r="U612" s="40" t="n">
        <x:v>1</x:v>
      </x:c>
      <x:c r="V612" s="40" t="n">
        <x:v>0.9933231437535194</x:v>
      </x:c>
      <x:c r="W612" s="31" t="n">
        <x:v>0</x:v>
      </x:c>
      <x:c r="X612" s="31" t="str"/>
      <x:c r="Y612" s="31" t="n">
        <x:v>0</x:v>
      </x:c>
      <x:c r="Z612" s="31" t="n">
        <x:v>0</x:v>
      </x:c>
      <x:c r="AA612" s="31" t="n">
        <x:v>0</x:v>
      </x:c>
      <x:c r="AB612" s="31" t="str"/>
      <x:c r="AC612" s="31" t="str"/>
    </x:row>
    <x:row r="613">
      <x:c r="A613" s="31" t="str">
        <x:v>ba227a38a8124174</x:v>
      </x:c>
      <x:c r="B613" s="31" t="str">
        <x:v>ba227a38a81241744391474b93d4ae4c768b5ba311ff12c5b04f957fe7070dcf</x:v>
      </x:c>
      <x:c r="C613" s="31" t="n">
        <x:v>6</x:v>
      </x:c>
      <x:c r="D613" s="31" t="n">
        <x:v>34342</x:v>
      </x:c>
      <x:c r="E613" s="31" t="str">
        <x:v>Brooklyn</x:v>
      </x:c>
      <x:c r="F613" s="31" t="str">
        <x:v>Borough Park</x:v>
      </x:c>
      <x:c r="G613" s="31" t="n">
        <x:v>83671.08099916452</x:v>
      </x:c>
      <x:c r="H613" s="31" t="n">
        <x:v>9493</x:v>
      </x:c>
      <x:c r="I613" s="31" t="n">
        <x:v>3.9523796932839765</x:v>
      </x:c>
      <x:c r="J613" s="40" t="n">
        <x:v>0</x:v>
      </x:c>
      <x:c r="K613" s="40" t="n">
        <x:v>0.808490466659644</x:v>
      </x:c>
      <x:c r="L613" s="40" t="n">
        <x:v>0.0013694301063941852</x:v>
      </x:c>
      <x:c r="M613" s="31" t="n">
        <x:v>45.94976773005315</x:v>
      </x:c>
      <x:c r="N613" s="31" t="n">
        <x:v>173</x:v>
      </x:c>
      <x:c r="O613" s="31" t="n">
        <x:v>5.037563333527459</x:v>
      </x:c>
      <x:c r="P613" s="31" t="n">
        <x:v>3.9048772779943115</x:v>
      </x:c>
      <x:c r="Q613" s="40" t="n">
        <x:v>0.9048772779943116</x:v>
      </x:c>
      <x:c r="R613" s="31" t="n">
        <x:v>0.21547059029713492</x:v>
      </x:c>
      <x:c r="S613" s="40"/>
      <x:c r="T613" s="40"/>
      <x:c r="U613" s="40" t="n">
        <x:v>1</x:v>
      </x:c>
      <x:c r="V613" s="40" t="n">
        <x:v>0.9908353523649005</x:v>
      </x:c>
      <x:c r="W613" s="31" t="n">
        <x:v>0</x:v>
      </x:c>
      <x:c r="X613" s="31" t="str"/>
      <x:c r="Y613" s="31" t="n">
        <x:v>0</x:v>
      </x:c>
      <x:c r="Z613" s="31" t="n">
        <x:v>0</x:v>
      </x:c>
      <x:c r="AA613" s="31" t="n">
        <x:v>0</x:v>
      </x:c>
      <x:c r="AB613" s="31" t="str"/>
      <x:c r="AC613" s="31" t="str"/>
    </x:row>
    <x:row r="614">
      <x:c r="A614" s="31" t="str">
        <x:v>ba78c36800a630d5</x:v>
      </x:c>
      <x:c r="B614" s="31" t="str">
        <x:v>ba78c36800a630d53173e6907062ebac58b33b15f8a7c86169c3b858d746d8c4</x:v>
      </x:c>
      <x:c r="C614" s="31" t="n">
        <x:v>7</x:v>
      </x:c>
      <x:c r="D614" s="31" t="n">
        <x:v>32953</x:v>
      </x:c>
      <x:c r="E614" s="31" t="str">
        <x:v>Brooklyn</x:v>
      </x:c>
      <x:c r="F614" s="31" t="str">
        <x:v>Flatbush</x:v>
      </x:c>
      <x:c r="G614" s="31" t="n">
        <x:v>117540.75359954275</x:v>
      </x:c>
      <x:c r="H614" s="31" t="n">
        <x:v>13649</x:v>
      </x:c>
      <x:c r="I614" s="31" t="n">
        <x:v>5.902996177594825</x:v>
      </x:c>
      <x:c r="J614" s="40" t="n">
        <x:v>0.07077441570811048</x:v>
      </x:c>
      <x:c r="K614" s="40" t="n">
        <x:v>0.9028500256429043</x:v>
      </x:c>
      <x:c r="L614" s="40" t="n">
        <x:v>0.008352260238845336</x:v>
      </x:c>
      <x:c r="M614" s="31" t="n">
        <x:v>64.71138167589508</x:v>
      </x:c>
      <x:c r="N614" s="31" t="n">
        <x:v>239</x:v>
      </x:c>
      <x:c r="O614" s="31" t="n">
        <x:v>7.252753922252905</x:v>
      </x:c>
      <x:c r="P614" s="31" t="n">
        <x:v>4.82020660854275</x:v>
      </x:c>
      <x:c r="Q614" s="40" t="n">
        <x:v>0.9101033042713752</x:v>
      </x:c>
      <x:c r="R614" s="31" t="n">
        <x:v>0.1575042436860136</x:v>
      </x:c>
      <x:c r="S614" s="40"/>
      <x:c r="T614" s="40"/>
      <x:c r="U614" s="40" t="n">
        <x:v>1</x:v>
      </x:c>
      <x:c r="V614" s="40" t="n">
        <x:v>0.9957506044398857</x:v>
      </x:c>
      <x:c r="W614" s="31" t="n">
        <x:v>0</x:v>
      </x:c>
      <x:c r="X614" s="31" t="str"/>
      <x:c r="Y614" s="31" t="n">
        <x:v>0</x:v>
      </x:c>
      <x:c r="Z614" s="31" t="n">
        <x:v>0</x:v>
      </x:c>
      <x:c r="AA614" s="31" t="n">
        <x:v>0</x:v>
      </x:c>
      <x:c r="AB614" s="31" t="str"/>
      <x:c r="AC614" s="31" t="str"/>
    </x:row>
    <x:row r="615">
      <x:c r="A615" s="31" t="str">
        <x:v>ba7a32f6e98c90c7</x:v>
      </x:c>
      <x:c r="B615" s="31" t="str">
        <x:v>ba7a32f6e98c90c7f3e78bf53c47eceb6bd7e5b12975d13c079a1254b9b00a87</x:v>
      </x:c>
      <x:c r="C615" s="31" t="n">
        <x:v>6</x:v>
      </x:c>
      <x:c r="D615" s="31" t="n">
        <x:v>36299</x:v>
      </x:c>
      <x:c r="E615" s="31" t="str">
        <x:v>Manhattan</x:v>
      </x:c>
      <x:c r="F615" s="31" t="str">
        <x:v>Inwood</x:v>
      </x:c>
      <x:c r="G615" s="31" t="n">
        <x:v>70095.33053674674</x:v>
      </x:c>
      <x:c r="H615" s="31" t="n">
        <x:v>17358</x:v>
      </x:c>
      <x:c r="I615" s="31" t="n">
        <x:v>7.758699158889273</x:v>
      </x:c>
      <x:c r="J615" s="40" t="n">
        <x:v>0.2067058416868303</x:v>
      </x:c>
      <x:c r="K615" s="40" t="n">
        <x:v>0.788166839497638</x:v>
      </x:c>
      <x:c r="L615" s="40" t="n">
        <x:v>0.10035718400737412</x:v>
      </x:c>
      <x:c r="M615" s="31" t="n">
        <x:v>75.10326540142431</x:v>
      </x:c>
      <x:c r="N615" s="31" t="n">
        <x:v>170</x:v>
      </x:c>
      <x:c r="O615" s="31" t="n">
        <x:v>4.683324609493374</x:v>
      </x:c>
      <x:c r="P615" s="31" t="n">
        <x:v>1.0095633137458233</x:v>
      </x:c>
      <x:c r="Q615" s="40" t="n">
        <x:v>0</x:v>
      </x:c>
      <x:c r="R615" s="31" t="n">
        <x:v>0.08925311139699126</x:v>
      </x:c>
      <x:c r="S615" s="40"/>
      <x:c r="T615" s="40"/>
      <x:c r="U615" s="40" t="n">
        <x:v>1</x:v>
      </x:c>
      <x:c r="V615" s="40" t="n">
        <x:v>0.964684871528978</x:v>
      </x:c>
      <x:c r="W615" s="31" t="n">
        <x:v>0</x:v>
      </x:c>
      <x:c r="X615" s="31" t="str"/>
      <x:c r="Y615" s="31" t="n">
        <x:v>0</x:v>
      </x:c>
      <x:c r="Z615" s="31" t="n">
        <x:v>0</x:v>
      </x:c>
      <x:c r="AA615" s="31" t="n">
        <x:v>0</x:v>
      </x:c>
      <x:c r="AB615" s="31" t="str"/>
      <x:c r="AC615" s="31" t="str"/>
    </x:row>
    <x:row r="616">
      <x:c r="A616" s="31" t="str">
        <x:v>baa5abd644e824ef</x:v>
      </x:c>
      <x:c r="B616" s="31" t="str">
        <x:v>baa5abd644e824ef9775642048483e60c93661476e2f59bea124750a192e9a20</x:v>
      </x:c>
      <x:c r="C616" s="31" t="n">
        <x:v>9</x:v>
      </x:c>
      <x:c r="D616" s="31" t="n">
        <x:v>33822</x:v>
      </x:c>
      <x:c r="E616" s="31" t="str">
        <x:v>Bronx</x:v>
      </x:c>
      <x:c r="F616" s="31" t="str">
        <x:v>Riverdale-Spuyten Duyvil</x:v>
      </x:c>
      <x:c r="G616" s="31" t="n">
        <x:v>21583.69923702692</x:v>
      </x:c>
      <x:c r="H616" s="31" t="n">
        <x:v>15843</x:v>
      </x:c>
      <x:c r="I616" s="31" t="n">
        <x:v>8.29692630775105</x:v>
      </x:c>
      <x:c r="J616" s="40" t="n">
        <x:v>0.31067348355740704</x:v>
      </x:c>
      <x:c r="K616" s="40" t="n">
        <x:v>0.5842959035536199</x:v>
      </x:c>
      <x:c r="L616" s="40" t="n">
        <x:v>0.09392160575648552</x:v>
      </x:c>
      <x:c r="M616" s="31" t="n">
        <x:v>89.88379848939562</x:v>
      </x:c>
      <x:c r="N616" s="31" t="n">
        <x:v>286</x:v>
      </x:c>
      <x:c r="O616" s="31" t="n">
        <x:v>8.456034533735439</x:v>
      </x:c>
      <x:c r="P616" s="31" t="n">
        <x:v>1</x:v>
      </x:c>
      <x:c r="Q616" s="40" t="n">
        <x:v>0</x:v>
      </x:c>
      <x:c r="R616" s="31" t="n">
        <x:v>0.3082345409613609</x:v>
      </x:c>
      <x:c r="S616" s="40"/>
      <x:c r="T616" s="40"/>
      <x:c r="U616" s="40" t="n">
        <x:v>1</x:v>
      </x:c>
      <x:c r="V616" s="40" t="n">
        <x:v>0.9451492772833427</x:v>
      </x:c>
      <x:c r="W616" s="31" t="n">
        <x:v>0</x:v>
      </x:c>
      <x:c r="X616" s="31" t="str"/>
      <x:c r="Y616" s="31" t="n">
        <x:v>0</x:v>
      </x:c>
      <x:c r="Z616" s="31" t="n">
        <x:v>0</x:v>
      </x:c>
      <x:c r="AA616" s="31" t="n">
        <x:v>0</x:v>
      </x:c>
      <x:c r="AB616" s="31" t="str"/>
      <x:c r="AC616" s="31" t="str"/>
    </x:row>
    <x:row r="617">
      <x:c r="A617" s="31" t="str">
        <x:v>bac87e354af4b95a</x:v>
      </x:c>
      <x:c r="B617" s="31" t="str">
        <x:v>bac87e354af4b95a1727ab3a4aa1de601f81090d5555fd45b08cd906402f74f2</x:v>
      </x:c>
      <x:c r="C617" s="31" t="n">
        <x:v>7</x:v>
      </x:c>
      <x:c r="D617" s="31" t="n">
        <x:v>32499</x:v>
      </x:c>
      <x:c r="E617" s="31" t="str">
        <x:v>Manhattan</x:v>
      </x:c>
      <x:c r="F617" s="31" t="str">
        <x:v>Morningside Heights</x:v>
      </x:c>
      <x:c r="G617" s="31" t="n">
        <x:v>68244.40691561991</x:v>
      </x:c>
      <x:c r="H617" s="31" t="n">
        <x:v>14194</x:v>
      </x:c>
      <x:c r="I617" s="31" t="n">
        <x:v>10.587149499788643</x:v>
      </x:c>
      <x:c r="J617" s="40" t="n">
        <x:v>0.5573481752853319</x:v>
      </x:c>
      <x:c r="K617" s="40" t="n">
        <x:v>0.4426518247146682</x:v>
      </x:c>
      <x:c r="L617" s="40" t="n">
        <x:v>0</x:v>
      </x:c>
      <x:c r="M617" s="31" t="n">
        <x:v>114.66805468194306</x:v>
      </x:c>
      <x:c r="N617" s="31" t="n">
        <x:v>370</x:v>
      </x:c>
      <x:c r="O617" s="31" t="n">
        <x:v>11.384965691252038</x:v>
      </x:c>
      <x:c r="P617" s="31" t="n">
        <x:v>2.5586867690573483</x:v>
      </x:c>
      <x:c r="Q617" s="40" t="n">
        <x:v>0.2793433845286741</x:v>
      </x:c>
      <x:c r="R617" s="31" t="n">
        <x:v>0.15342983144546982</x:v>
      </x:c>
      <x:c r="S617" s="40"/>
      <x:c r="T617" s="40"/>
      <x:c r="U617" s="40" t="n">
        <x:v>1</x:v>
      </x:c>
      <x:c r="V617" s="40" t="n">
        <x:v>0.9847823023812878</x:v>
      </x:c>
      <x:c r="W617" s="31" t="n">
        <x:v>0</x:v>
      </x:c>
      <x:c r="X617" s="31" t="str"/>
      <x:c r="Y617" s="31" t="n">
        <x:v>0</x:v>
      </x:c>
      <x:c r="Z617" s="31" t="n">
        <x:v>0</x:v>
      </x:c>
      <x:c r="AA617" s="31" t="n">
        <x:v>0</x:v>
      </x:c>
      <x:c r="AB617" s="31" t="str"/>
      <x:c r="AC617" s="31" t="str"/>
    </x:row>
    <x:row r="618">
      <x:c r="A618" s="31" t="str">
        <x:v>bb513d7e1a8ea57e</x:v>
      </x:c>
      <x:c r="B618" s="31" t="str">
        <x:v>bb513d7e1a8ea57e0bec3a63be4a7931122d6882a364b38f3136efce72fe2e17</x:v>
      </x:c>
      <x:c r="C618" s="31" t="n">
        <x:v>9</x:v>
      </x:c>
      <x:c r="D618" s="31" t="n">
        <x:v>32277</x:v>
      </x:c>
      <x:c r="E618" s="31" t="str">
        <x:v>Brooklyn</x:v>
      </x:c>
      <x:c r="F618" s="31" t="str">
        <x:v>Bensonhurst</x:v>
      </x:c>
      <x:c r="G618" s="31" t="n">
        <x:v>51583.70887512312</x:v>
      </x:c>
      <x:c r="H618" s="31" t="n">
        <x:v>10534</x:v>
      </x:c>
      <x:c r="I618" s="31" t="n">
        <x:v>2.6530385530699667</x:v>
      </x:c>
      <x:c r="J618" s="40" t="n">
        <x:v>0</x:v>
      </x:c>
      <x:c r="K618" s="40" t="n">
        <x:v>0.37696981203721286</x:v>
      </x:c>
      <x:c r="L618" s="40" t="n">
        <x:v>0.025156635655971142</x:v>
      </x:c>
      <x:c r="M618" s="31" t="n">
        <x:v>32.474163873565516</x:v>
      </x:c>
      <x:c r="N618" s="31" t="n">
        <x:v>49</x:v>
      </x:c>
      <x:c r="O618" s="31" t="n">
        <x:v>1.5181088700932552</x:v>
      </x:c>
      <x:c r="P618" s="31" t="n">
        <x:v>3.838048224795899</x:v>
      </x:c>
      <x:c r="Q618" s="40" t="n">
        <x:v>0.838048224795899</x:v>
      </x:c>
      <x:c r="R618" s="31" t="n">
        <x:v>0.20597899391249377</x:v>
      </x:c>
      <x:c r="S618" s="40"/>
      <x:c r="T618" s="40"/>
      <x:c r="U618" s="40" t="n">
        <x:v>1</x:v>
      </x:c>
      <x:c r="V618" s="40" t="n">
        <x:v>0.9976267324852858</x:v>
      </x:c>
      <x:c r="W618" s="31" t="n">
        <x:v>0</x:v>
      </x:c>
      <x:c r="X618" s="31" t="str"/>
      <x:c r="Y618" s="31" t="n">
        <x:v>0</x:v>
      </x:c>
      <x:c r="Z618" s="31" t="n">
        <x:v>0</x:v>
      </x:c>
      <x:c r="AA618" s="31" t="n">
        <x:v>0</x:v>
      </x:c>
      <x:c r="AB618" s="31" t="str"/>
      <x:c r="AC618" s="31" t="str"/>
    </x:row>
    <x:row r="619">
      <x:c r="A619" s="31" t="str">
        <x:v>bb55b74875731e2a</x:v>
      </x:c>
      <x:c r="B619" s="31" t="str">
        <x:v>bb55b74875731e2ac1a7f2d646173c732e21a474ca24566efac43ecd06d087d1</x:v>
      </x:c>
      <x:c r="C619" s="31" t="n">
        <x:v>7</x:v>
      </x:c>
      <x:c r="D619" s="31" t="n">
        <x:v>37309</x:v>
      </x:c>
      <x:c r="E619" s="31" t="str">
        <x:v>Bronx</x:v>
      </x:c>
      <x:c r="F619" s="31" t="str">
        <x:v>Mott Haven-Port Morris</x:v>
      </x:c>
      <x:c r="G619" s="31" t="n">
        <x:v>61215.962223390554</x:v>
      </x:c>
      <x:c r="H619" s="31" t="n">
        <x:v>18195</x:v>
      </x:c>
      <x:c r="I619" s="31" t="n">
        <x:v>12.47125583951635</x:v>
      </x:c>
      <x:c r="J619" s="40" t="n">
        <x:v>0.5701016762846935</x:v>
      </x:c>
      <x:c r="K619" s="40" t="n">
        <x:v>0.40368233031052486</x:v>
      </x:c>
      <x:c r="L619" s="40" t="n">
        <x:v>0.4142346798571036</x:v>
      </x:c>
      <x:c r="M619" s="31" t="n">
        <x:v>125.89668498648972</x:v>
      </x:c>
      <x:c r="N619" s="31" t="n">
        <x:v>257</x:v>
      </x:c>
      <x:c r="O619" s="31" t="n">
        <x:v>6.888418344099279</x:v>
      </x:c>
      <x:c r="P619" s="31" t="n">
        <x:v>5</x:v>
      </x:c>
      <x:c r="Q619" s="40" t="n">
        <x:v>1</x:v>
      </x:c>
      <x:c r="R619" s="31" t="n">
        <x:v>0.05438568426054816</x:v>
      </x:c>
      <x:c r="S619" s="40"/>
      <x:c r="T619" s="40"/>
      <x:c r="U619" s="40" t="n">
        <x:v>1</x:v>
      </x:c>
      <x:c r="V619" s="40" t="n">
        <x:v>0.9898323715306403</x:v>
      </x:c>
      <x:c r="W619" s="31" t="n">
        <x:v>0</x:v>
      </x:c>
      <x:c r="X619" s="31" t="str"/>
      <x:c r="Y619" s="31" t="n">
        <x:v>0</x:v>
      </x:c>
      <x:c r="Z619" s="31" t="n">
        <x:v>0</x:v>
      </x:c>
      <x:c r="AA619" s="31" t="n">
        <x:v>0</x:v>
      </x:c>
      <x:c r="AB619" s="31" t="str"/>
      <x:c r="AC619" s="31" t="str"/>
    </x:row>
    <x:row r="620">
      <x:c r="A620" s="31" t="str">
        <x:v>bb5cbe3fb7e70c81</x:v>
      </x:c>
      <x:c r="B620" s="31" t="str">
        <x:v>bb5cbe3fb7e70c81e98e21214e28b8b42c087d01facf914c0ba814bb5d81a28d</x:v>
      </x:c>
      <x:c r="C620" s="31" t="n">
        <x:v>11</x:v>
      </x:c>
      <x:c r="D620" s="31" t="n">
        <x:v>32586</x:v>
      </x:c>
      <x:c r="E620" s="31" t="str">
        <x:v>Bronx</x:v>
      </x:c>
      <x:c r="F620" s="31" t="str">
        <x:v>Williamsbridge-Olinville</x:v>
      </x:c>
      <x:c r="G620" s="31" t="n">
        <x:v>48608.87183711047</x:v>
      </x:c>
      <x:c r="H620" s="31" t="n">
        <x:v>12529</x:v>
      </x:c>
      <x:c r="I620" s="31" t="n">
        <x:v>5.316736522156455</x:v>
      </x:c>
      <x:c r="J620" s="40" t="n">
        <x:v>0.10910687205682816</x:v>
      </x:c>
      <x:c r="K620" s="40" t="n">
        <x:v>0.5419426929523505</x:v>
      </x:c>
      <x:c r="L620" s="40" t="n">
        <x:v>0.07390853220528375</x:v>
      </x:c>
      <x:c r="M620" s="31" t="n">
        <x:v>56.21332397316507</x:v>
      </x:c>
      <x:c r="N620" s="31" t="n">
        <x:v>89</x:v>
      </x:c>
      <x:c r="O620" s="31" t="n">
        <x:v>2.7312342723869145</x:v>
      </x:c>
      <x:c r="P620" s="31" t="n">
        <x:v>4.294756165695587</x:v>
      </x:c>
      <x:c r="Q620" s="40" t="n">
        <x:v>1</x:v>
      </x:c>
      <x:c r="R620" s="31" t="n">
        <x:v>0.1483480073716104</x:v>
      </x:c>
      <x:c r="S620" s="40"/>
      <x:c r="T620" s="40"/>
      <x:c r="U620" s="40" t="n">
        <x:v>1</x:v>
      </x:c>
      <x:c r="V620" s="40" t="n">
        <x:v>0.966078697421981</x:v>
      </x:c>
      <x:c r="W620" s="31" t="n">
        <x:v>1</x:v>
      </x:c>
      <x:c r="X620" s="31" t="str"/>
      <x:c r="Y620" s="31" t="n">
        <x:v>0</x:v>
      </x:c>
      <x:c r="Z620" s="31" t="n">
        <x:v>1</x:v>
      </x:c>
      <x:c r="AA620" s="31" t="n">
        <x:v>0</x:v>
      </x:c>
      <x:c r="AB620" s="31" t="str"/>
      <x:c r="AC620" s="31" t="str"/>
    </x:row>
    <x:row r="621">
      <x:c r="A621" s="31" t="str">
        <x:v>bba087f529a914eb</x:v>
      </x:c>
      <x:c r="B621" s="31" t="str">
        <x:v>bba087f529a914ebdda5579078669f3c937d9c52ec85ce888bffefbaf079109f</x:v>
      </x:c>
      <x:c r="C621" s="31" t="n">
        <x:v>9</x:v>
      </x:c>
      <x:c r="D621" s="31" t="n">
        <x:v>35664</x:v>
      </x:c>
      <x:c r="E621" s="31" t="str">
        <x:v>Brooklyn</x:v>
      </x:c>
      <x:c r="F621" s="31" t="str">
        <x:v>Downtown Brooklyn-DUMBO-Boerum Hill</x:v>
      </x:c>
      <x:c r="G621" s="31" t="n">
        <x:v>66380.90355632601</x:v>
      </x:c>
      <x:c r="H621" s="31" t="n">
        <x:v>27187</x:v>
      </x:c>
      <x:c r="I621" s="31" t="n">
        <x:v>28.38278986852856</x:v>
      </x:c>
      <x:c r="J621" s="40" t="n">
        <x:v>0.7490344650016552</x:v>
      </x:c>
      <x:c r="K621" s="40" t="n">
        <x:v>0.23610549159524774</x:v>
      </x:c>
      <x:c r="L621" s="40" t="n">
        <x:v>0.07551403244197595</x:v>
      </x:c>
      <x:c r="M621" s="31" t="n">
        <x:v>313.8765838778411</x:v>
      </x:c>
      <x:c r="N621" s="31" t="n">
        <x:v>520</x:v>
      </x:c>
      <x:c r="O621" s="31" t="n">
        <x:v>14.580529385374607</x:v>
      </x:c>
      <x:c r="P621" s="31" t="n">
        <x:v>2.0773163644388863</x:v>
      </x:c>
      <x:c r="Q621" s="40" t="n">
        <x:v>0.038658182219443116</x:v>
      </x:c>
      <x:c r="R621" s="31" t="n">
        <x:v>0.09529171274581698</x:v>
      </x:c>
      <x:c r="S621" s="40"/>
      <x:c r="T621" s="40"/>
      <x:c r="U621" s="40" t="n">
        <x:v>1</x:v>
      </x:c>
      <x:c r="V621" s="40" t="n">
        <x:v>0.9091109721558097</x:v>
      </x:c>
      <x:c r="W621" s="31" t="n">
        <x:v>0</x:v>
      </x:c>
      <x:c r="X621" s="31" t="str"/>
      <x:c r="Y621" s="31" t="n">
        <x:v>0</x:v>
      </x:c>
      <x:c r="Z621" s="31" t="n">
        <x:v>0</x:v>
      </x:c>
      <x:c r="AA621" s="31" t="n">
        <x:v>0</x:v>
      </x:c>
      <x:c r="AB621" s="31" t="str"/>
      <x:c r="AC621" s="31" t="str"/>
    </x:row>
    <x:row r="622">
      <x:c r="A622" s="31" t="str">
        <x:v>bbb120db1727fbf0</x:v>
      </x:c>
      <x:c r="B622" s="31" t="str">
        <x:v>bbb120db1727fbf004535c3ea09d4b35ae69ab46a3ab7f0c235a218d7b59f3cd</x:v>
      </x:c>
      <x:c r="C622" s="31" t="n">
        <x:v>11</x:v>
      </x:c>
      <x:c r="D622" s="31" t="n">
        <x:v>36727</x:v>
      </x:c>
      <x:c r="E622" s="31" t="str">
        <x:v>Brooklyn</x:v>
      </x:c>
      <x:c r="F622" s="31" t="str">
        <x:v>Cypress Hills</x:v>
      </x:c>
      <x:c r="G622" s="31" t="n">
        <x:v>49171.58383054745</x:v>
      </x:c>
      <x:c r="H622" s="31" t="n">
        <x:v>12597</x:v>
      </x:c>
      <x:c r="I622" s="31" t="n">
        <x:v>4.147089112067592</x:v>
      </x:c>
      <x:c r="J622" s="40" t="n">
        <x:v>0.12836389616575375</x:v>
      </x:c>
      <x:c r="K622" s="40" t="n">
        <x:v>0.3490513614352624</x:v>
      </x:c>
      <x:c r="L622" s="40" t="n">
        <x:v>0.03135667222354529</x:v>
      </x:c>
      <x:c r="M622" s="31" t="n">
        <x:v>43.983077336155944</x:v>
      </x:c>
      <x:c r="N622" s="31" t="n">
        <x:v>42</x:v>
      </x:c>
      <x:c r="O622" s="31" t="n">
        <x:v>1.14357284831323</x:v>
      </x:c>
      <x:c r="P622" s="31" t="n">
        <x:v>4.1641660712868145</x:v>
      </x:c>
      <x:c r="Q622" s="40" t="n">
        <x:v>1</x:v>
      </x:c>
      <x:c r="R622" s="31" t="n">
        <x:v>0.10001876112943951</x:v>
      </x:c>
      <x:c r="S622" s="40"/>
      <x:c r="T622" s="40"/>
      <x:c r="U622" s="40" t="n">
        <x:v>1</x:v>
      </x:c>
      <x:c r="V622" s="40" t="n">
        <x:v>0.9611018496467413</x:v>
      </x:c>
      <x:c r="W622" s="31" t="n">
        <x:v>0</x:v>
      </x:c>
      <x:c r="X622" s="31" t="str"/>
      <x:c r="Y622" s="31" t="n">
        <x:v>0</x:v>
      </x:c>
      <x:c r="Z622" s="31" t="n">
        <x:v>0</x:v>
      </x:c>
      <x:c r="AA622" s="31" t="n">
        <x:v>0</x:v>
      </x:c>
      <x:c r="AB622" s="31" t="str"/>
      <x:c r="AC622" s="31" t="str"/>
    </x:row>
    <x:row r="623">
      <x:c r="A623" s="31" t="str">
        <x:v>bbe30a92e2704ba5</x:v>
      </x:c>
      <x:c r="B623" s="31" t="str">
        <x:v>bbe30a92e2704ba5e513479de20d6c4dcf8278a0b43fec64bd4351a67824dc73</x:v>
      </x:c>
      <x:c r="C623" s="31" t="n">
        <x:v>7</x:v>
      </x:c>
      <x:c r="D623" s="31" t="n">
        <x:v>32785</x:v>
      </x:c>
      <x:c r="E623" s="31" t="str">
        <x:v>Bronx</x:v>
      </x:c>
      <x:c r="F623" s="31" t="str">
        <x:v>Fordham Heights</x:v>
      </x:c>
      <x:c r="G623" s="31" t="n">
        <x:v>123315.42677832677</x:v>
      </x:c>
      <x:c r="H623" s="31" t="n">
        <x:v>11528</x:v>
      </x:c>
      <x:c r="I623" s="31" t="n">
        <x:v>5.863007460097155</x:v>
      </x:c>
      <x:c r="J623" s="40" t="n">
        <x:v>0.10582928521859819</x:v>
      </x:c>
      <x:c r="K623" s="40" t="n">
        <x:v>0.8771686328938237</x:v>
      </x:c>
      <x:c r="L623" s="40" t="n">
        <x:v>0.010669673837612768</x:v>
      </x:c>
      <x:c r="M623" s="31" t="n">
        <x:v>66.0165825014533</x:v>
      </x:c>
      <x:c r="N623" s="31" t="n">
        <x:v>125</x:v>
      </x:c>
      <x:c r="O623" s="31" t="n">
        <x:v>3.812719231355803</x:v>
      </x:c>
      <x:c r="P623" s="31" t="n">
        <x:v>4.545194309507287</x:v>
      </x:c>
      <x:c r="Q623" s="40" t="n">
        <x:v>1</x:v>
      </x:c>
      <x:c r="R623" s="31" t="n">
        <x:v>0.09173434255009262</x:v>
      </x:c>
      <x:c r="S623" s="40"/>
      <x:c r="T623" s="40"/>
      <x:c r="U623" s="40" t="n">
        <x:v>1</x:v>
      </x:c>
      <x:c r="V623" s="40" t="n">
        <x:v>0.9973976405274115</x:v>
      </x:c>
      <x:c r="W623" s="31" t="n">
        <x:v>1</x:v>
      </x:c>
      <x:c r="X623" s="31" t="str"/>
      <x:c r="Y623" s="31" t="n">
        <x:v>0</x:v>
      </x:c>
      <x:c r="Z623" s="31" t="n">
        <x:v>1</x:v>
      </x:c>
      <x:c r="AA623" s="31" t="n">
        <x:v>0</x:v>
      </x:c>
      <x:c r="AB623" s="31" t="str"/>
      <x:c r="AC623" s="31" t="str"/>
    </x:row>
    <x:row r="624">
      <x:c r="A624" s="31" t="str">
        <x:v>bcc5c5ec7b2955a7</x:v>
      </x:c>
      <x:c r="B624" s="31" t="str">
        <x:v>bcc5c5ec7b2955a7977054fb5481c6d874f9a647d27a09b0fc099dbad2a5deb3</x:v>
      </x:c>
      <x:c r="C624" s="31" t="n">
        <x:v>7</x:v>
      </x:c>
      <x:c r="D624" s="31" t="n">
        <x:v>32108</x:v>
      </x:c>
      <x:c r="E624" s="31" t="str">
        <x:v>Bronx</x:v>
      </x:c>
      <x:c r="F624" s="31" t="str">
        <x:v>Mount Eden-Claremont (West)</x:v>
      </x:c>
      <x:c r="G624" s="31" t="n">
        <x:v>107351.89698810082</x:v>
      </x:c>
      <x:c r="H624" s="31" t="n">
        <x:v>11989</x:v>
      </x:c>
      <x:c r="I624" s="31" t="n">
        <x:v>6.459629660522145</x:v>
      </x:c>
      <x:c r="J624" s="40" t="n">
        <x:v>0.11268662941029277</x:v>
      </x:c>
      <x:c r="K624" s="40" t="n">
        <x:v>0.8607056468429394</x:v>
      </x:c>
      <x:c r="L624" s="40" t="n">
        <x:v>0.04212194511635666</x:v>
      </x:c>
      <x:c r="M624" s="31" t="n">
        <x:v>71.73041587704762</x:v>
      </x:c>
      <x:c r="N624" s="31" t="n">
        <x:v>145</x:v>
      </x:c>
      <x:c r="O624" s="31" t="n">
        <x:v>4.516008471408995</x:v>
      </x:c>
      <x:c r="P624" s="31" t="n">
        <x:v>5</x:v>
      </x:c>
      <x:c r="Q624" s="40" t="n">
        <x:v>1</x:v>
      </x:c>
      <x:c r="R624" s="31" t="n">
        <x:v>0.10602800106610259</x:v>
      </x:c>
      <x:c r="S624" s="40"/>
      <x:c r="T624" s="40"/>
      <x:c r="U624" s="40" t="n">
        <x:v>1</x:v>
      </x:c>
      <x:c r="V624" s="40" t="n">
        <x:v>0.9947451830844941</x:v>
      </x:c>
      <x:c r="W624" s="31" t="n">
        <x:v>1</x:v>
      </x:c>
      <x:c r="X624" s="31" t="str"/>
      <x:c r="Y624" s="31" t="n">
        <x:v>0</x:v>
      </x:c>
      <x:c r="Z624" s="31" t="n">
        <x:v>1</x:v>
      </x:c>
      <x:c r="AA624" s="31" t="n">
        <x:v>0</x:v>
      </x:c>
      <x:c r="AB624" s="31" t="str"/>
      <x:c r="AC624" s="31" t="str"/>
    </x:row>
    <x:row r="625">
      <x:c r="A625" s="31" t="str">
        <x:v>bce22f131ef137e0</x:v>
      </x:c>
      <x:c r="B625" s="31" t="str">
        <x:v>bce22f131ef137e0546b56e16cf51201f78ba0aed60cb92ea784ebce1363932d</x:v>
      </x:c>
      <x:c r="C625" s="31" t="n">
        <x:v>9</x:v>
      </x:c>
      <x:c r="D625" s="31" t="n">
        <x:v>35425</x:v>
      </x:c>
      <x:c r="E625" s="31" t="str">
        <x:v>Brooklyn</x:v>
      </x:c>
      <x:c r="F625" s="31" t="str">
        <x:v>Bushwick (East)</x:v>
      </x:c>
      <x:c r="G625" s="31" t="n">
        <x:v>62731.08748008023</x:v>
      </x:c>
      <x:c r="H625" s="31" t="n">
        <x:v>14144</x:v>
      </x:c>
      <x:c r="I625" s="31" t="n">
        <x:v>3.7125226325621496</x:v>
      </x:c>
      <x:c r="J625" s="40" t="n">
        <x:v>0.034148755656108594</x:v>
      </x:c>
      <x:c r="K625" s="40" t="n">
        <x:v>0.6653704751131222</x:v>
      </x:c>
      <x:c r="L625" s="40" t="n">
        <x:v>0.005161199095022624</x:v>
      </x:c>
      <x:c r="M625" s="31" t="n">
        <x:v>41.0497333077169</x:v>
      </x:c>
      <x:c r="N625" s="31" t="n">
        <x:v>79</x:v>
      </x:c>
      <x:c r="O625" s="31" t="n">
        <x:v>2.2300635144671843</x:v>
      </x:c>
      <x:c r="P625" s="31" t="n">
        <x:v>4.505656108597285</x:v>
      </x:c>
      <x:c r="Q625" s="40" t="n">
        <x:v>1</x:v>
      </x:c>
      <x:c r="R625" s="31" t="n">
        <x:v>0.08628991341890603</x:v>
      </x:c>
      <x:c r="S625" s="40"/>
      <x:c r="T625" s="40"/>
      <x:c r="U625" s="40" t="n">
        <x:v>1</x:v>
      </x:c>
      <x:c r="V625" s="40" t="n">
        <x:v>0.966487556561086</x:v>
      </x:c>
      <x:c r="W625" s="31" t="n">
        <x:v>1</x:v>
      </x:c>
      <x:c r="X625" s="31" t="str"/>
      <x:c r="Y625" s="31" t="n">
        <x:v>0</x:v>
      </x:c>
      <x:c r="Z625" s="31" t="n">
        <x:v>1</x:v>
      </x:c>
      <x:c r="AA625" s="31" t="n">
        <x:v>0</x:v>
      </x:c>
      <x:c r="AB625" s="31" t="str"/>
      <x:c r="AC625" s="31" t="str"/>
    </x:row>
    <x:row r="626">
      <x:c r="A626" s="31" t="str">
        <x:v>bcfd1f4f2e2af6ce</x:v>
      </x:c>
      <x:c r="B626" s="31" t="str">
        <x:v>bcfd1f4f2e2af6cea44ba0ef0aaa094b0eb58e71eb778f7edbd5b1e64af5c900</x:v>
      </x:c>
      <x:c r="C626" s="31" t="n">
        <x:v>8</x:v>
      </x:c>
      <x:c r="D626" s="31" t="n">
        <x:v>34987</x:v>
      </x:c>
      <x:c r="E626" s="31" t="str">
        <x:v>Staten Island</x:v>
      </x:c>
      <x:c r="F626" s="31" t="str">
        <x:v>Annadale-Huguenot-Prince's Bay-Woodrow</x:v>
      </x:c>
      <x:c r="G626" s="31" t="n">
        <x:v>9843.333614770301</x:v>
      </x:c>
      <x:c r="H626" s="31" t="n">
        <x:v>13428</x:v>
      </x:c>
      <x:c r="I626" s="31" t="n">
        <x:v>1.9632232516437536</x:v>
      </x:c>
      <x:c r="J626" s="40" t="n">
        <x:v>0</x:v>
      </x:c>
      <x:c r="K626" s="40" t="n">
        <x:v>0.08340780458742925</x:v>
      </x:c>
      <x:c r="L626" s="40" t="n">
        <x:v>0.03515043193327376</x:v>
      </x:c>
      <x:c r="M626" s="31" t="n">
        <x:v>26.615364610982866</x:v>
      </x:c>
      <x:c r="N626" s="31" t="n">
        <x:v>18</x:v>
      </x:c>
      <x:c r="O626" s="31" t="n">
        <x:v>0.5144768056706777</x:v>
      </x:c>
      <x:c r="P626" s="31" t="n">
        <x:v>1</x:v>
      </x:c>
      <x:c r="Q626" s="40" t="n">
        <x:v>0</x:v>
      </x:c>
      <x:c r="R626" s="31" t="n">
        <x:v>0.3938930245268619</x:v>
      </x:c>
      <x:c r="S626" s="40"/>
      <x:c r="T626" s="40"/>
      <x:c r="U626" s="40" t="n">
        <x:v>1</x:v>
      </x:c>
      <x:c r="V626" s="40" t="n">
        <x:v>0.9910634495084897</x:v>
      </x:c>
      <x:c r="W626" s="31" t="n">
        <x:v>0</x:v>
      </x:c>
      <x:c r="X626" s="31" t="str"/>
      <x:c r="Y626" s="31" t="n">
        <x:v>0</x:v>
      </x:c>
      <x:c r="Z626" s="31" t="n">
        <x:v>0</x:v>
      </x:c>
      <x:c r="AA626" s="31" t="n">
        <x:v>0</x:v>
      </x:c>
      <x:c r="AB626" s="31" t="str"/>
      <x:c r="AC626" s="31" t="str"/>
    </x:row>
    <x:row r="627">
      <x:c r="A627" s="31" t="str">
        <x:v>bd36e170a713643f</x:v>
      </x:c>
      <x:c r="B627" s="31" t="str">
        <x:v>bd36e170a713643f1fb48eccf707042e0341ee31d993fe1985778ca438fbf51d</x:v>
      </x:c>
      <x:c r="C627" s="31" t="n">
        <x:v>6</x:v>
      </x:c>
      <x:c r="D627" s="31" t="n">
        <x:v>32619</x:v>
      </x:c>
      <x:c r="E627" s="31" t="str">
        <x:v>Manhattan</x:v>
      </x:c>
      <x:c r="F627" s="31" t="str">
        <x:v>Harlem (North)</x:v>
      </x:c>
      <x:c r="G627" s="31" t="n">
        <x:v>100058.00212024944</x:v>
      </x:c>
      <x:c r="H627" s="31" t="n">
        <x:v>16013</x:v>
      </x:c>
      <x:c r="I627" s="31" t="n">
        <x:v>8.418944332998997</x:v>
      </x:c>
      <x:c r="J627" s="40" t="n">
        <x:v>0.26397302191969024</x:v>
      </x:c>
      <x:c r="K627" s="40" t="n">
        <x:v>0.7322175732217573</x:v>
      </x:c>
      <x:c r="L627" s="40" t="n">
        <x:v>0.12508586773246738</x:v>
      </x:c>
      <x:c r="M627" s="31" t="n">
        <x:v>88.67751054366173</x:v>
      </x:c>
      <x:c r="N627" s="31" t="n">
        <x:v>228</x:v>
      </x:c>
      <x:c r="O627" s="31" t="n">
        <x:v>6.989791225972593</x:v>
      </x:c>
      <x:c r="P627" s="31" t="n">
        <x:v>5</x:v>
      </x:c>
      <x:c r="Q627" s="40" t="n">
        <x:v>1</x:v>
      </x:c>
      <x:c r="R627" s="31" t="n">
        <x:v>0.11545853379095299</x:v>
      </x:c>
      <x:c r="S627" s="40"/>
      <x:c r="T627" s="40"/>
      <x:c r="U627" s="40" t="n">
        <x:v>1</x:v>
      </x:c>
      <x:c r="V627" s="40" t="n">
        <x:v>0.99581589958159</x:v>
      </x:c>
      <x:c r="W627" s="31" t="n">
        <x:v>1</x:v>
      </x:c>
      <x:c r="X627" s="31" t="str"/>
      <x:c r="Y627" s="31" t="n">
        <x:v>0</x:v>
      </x:c>
      <x:c r="Z627" s="31" t="n">
        <x:v>1</x:v>
      </x:c>
      <x:c r="AA627" s="31" t="n">
        <x:v>0</x:v>
      </x:c>
      <x:c r="AB627" s="31" t="str"/>
      <x:c r="AC627" s="31" t="str"/>
    </x:row>
    <x:row r="628">
      <x:c r="A628" s="31" t="str">
        <x:v>bd549c2863a5db35</x:v>
      </x:c>
      <x:c r="B628" s="31" t="str">
        <x:v>bd549c2863a5db35e85215fa65610297e4fa972bd01eb47e30ebc696edcbf074</x:v>
      </x:c>
      <x:c r="C628" s="31" t="n">
        <x:v>10</x:v>
      </x:c>
      <x:c r="D628" s="31" t="n">
        <x:v>35186</x:v>
      </x:c>
      <x:c r="E628" s="31" t="str">
        <x:v>Brooklyn</x:v>
      </x:c>
      <x:c r="F628" s="31" t="str">
        <x:v>Canarsie</x:v>
      </x:c>
      <x:c r="G628" s="31" t="n">
        <x:v>32441.373866564893</x:v>
      </x:c>
      <x:c r="H628" s="31" t="n">
        <x:v>11152</x:v>
      </x:c>
      <x:c r="I628" s="31" t="n">
        <x:v>2.4075660601627504</x:v>
      </x:c>
      <x:c r="J628" s="40" t="n">
        <x:v>0</x:v>
      </x:c>
      <x:c r="K628" s="40" t="n">
        <x:v>0.4148134863701578</x:v>
      </x:c>
      <x:c r="L628" s="40" t="n">
        <x:v>0.08940100430416069</x:v>
      </x:c>
      <x:c r="M628" s="31" t="n">
        <x:v>30.61132017585118</x:v>
      </x:c>
      <x:c r="N628" s="31" t="n">
        <x:v>5</x:v>
      </x:c>
      <x:c r="O628" s="31" t="n">
        <x:v>0.14210197237537656</x:v>
      </x:c>
      <x:c r="P628" s="31" t="n">
        <x:v>3.8338414634146343</x:v>
      </x:c>
      <x:c r="Q628" s="40" t="n">
        <x:v>0.6112804878048781</x:v>
      </x:c>
      <x:c r="R628" s="31" t="n">
        <x:v>0.19652661642861047</x:v>
      </x:c>
      <x:c r="S628" s="40"/>
      <x:c r="T628" s="40"/>
      <x:c r="U628" s="40" t="n">
        <x:v>1</x:v>
      </x:c>
      <x:c r="V628" s="40" t="n">
        <x:v>0.9965925394548063</x:v>
      </x:c>
      <x:c r="W628" s="31" t="n">
        <x:v>0</x:v>
      </x:c>
      <x:c r="X628" s="31" t="str"/>
      <x:c r="Y628" s="31" t="n">
        <x:v>0</x:v>
      </x:c>
      <x:c r="Z628" s="31" t="n">
        <x:v>0</x:v>
      </x:c>
      <x:c r="AA628" s="31" t="n">
        <x:v>0</x:v>
      </x:c>
      <x:c r="AB628" s="31" t="str"/>
      <x:c r="AC628" s="31" t="str"/>
    </x:row>
    <x:row r="629">
      <x:c r="A629" s="31" t="str">
        <x:v>bd77d823baff4900</x:v>
      </x:c>
      <x:c r="B629" s="31" t="str">
        <x:v>bd77d823baff490033d694ea06f73faca22a6ef9d3a70813d78e2e41d32fbfdb</x:v>
      </x:c>
      <x:c r="C629" s="31" t="n">
        <x:v>11</x:v>
      </x:c>
      <x:c r="D629" s="31" t="n">
        <x:v>33496</x:v>
      </x:c>
      <x:c r="E629" s="31" t="str">
        <x:v>Brooklyn</x:v>
      </x:c>
      <x:c r="F629" s="31" t="str">
        <x:v>East Flatbush-Rugby</x:v>
      </x:c>
      <x:c r="G629" s="31" t="n">
        <x:v>46125.02640228162</x:v>
      </x:c>
      <x:c r="H629" s="31" t="n">
        <x:v>10890</x:v>
      </x:c>
      <x:c r="I629" s="31" t="n">
        <x:v>3.0524708367778084</x:v>
      </x:c>
      <x:c r="J629" s="40" t="n">
        <x:v>0.02699724517906336</x:v>
      </x:c>
      <x:c r="K629" s="40" t="n">
        <x:v>0.4108356290174472</x:v>
      </x:c>
      <x:c r="L629" s="40" t="n">
        <x:v>0.009274563820018365</x:v>
      </x:c>
      <x:c r="M629" s="31" t="n">
        <x:v>36.70745416207326</x:v>
      </x:c>
      <x:c r="N629" s="31" t="n">
        <x:v>38</x:v>
      </x:c>
      <x:c r="O629" s="31" t="n">
        <x:v>1.1344638165751133</x:v>
      </x:c>
      <x:c r="P629" s="31" t="n">
        <x:v>5</x:v>
      </x:c>
      <x:c r="Q629" s="40" t="n">
        <x:v>1</x:v>
      </x:c>
      <x:c r="R629" s="31" t="n">
        <x:v>0.16379762319698718</x:v>
      </x:c>
      <x:c r="S629" s="40"/>
      <x:c r="T629" s="40"/>
      <x:c r="U629" s="40" t="n">
        <x:v>1</x:v>
      </x:c>
      <x:c r="V629" s="40" t="n">
        <x:v>0.9876951331496786</x:v>
      </x:c>
      <x:c r="W629" s="31" t="n">
        <x:v>0</x:v>
      </x:c>
      <x:c r="X629" s="31" t="str"/>
      <x:c r="Y629" s="31" t="n">
        <x:v>0</x:v>
      </x:c>
      <x:c r="Z629" s="31" t="n">
        <x:v>0</x:v>
      </x:c>
      <x:c r="AA629" s="31" t="n">
        <x:v>0</x:v>
      </x:c>
      <x:c r="AB629" s="31" t="str"/>
      <x:c r="AC629" s="31" t="str"/>
    </x:row>
    <x:row r="630">
      <x:c r="A630" s="31" t="str">
        <x:v>bdc52461a56eee32</x:v>
      </x:c>
      <x:c r="B630" s="31" t="str">
        <x:v>bdc52461a56eee3269d899e51bd6fb9aab78f5f668cf3ab2aeca998186919f03</x:v>
      </x:c>
      <x:c r="C630" s="31" t="n">
        <x:v>9</x:v>
      </x:c>
      <x:c r="D630" s="31" t="n">
        <x:v>35902</x:v>
      </x:c>
      <x:c r="E630" s="31" t="str">
        <x:v>Brooklyn</x:v>
      </x:c>
      <x:c r="F630" s="31" t="str">
        <x:v>Coney Island-Sea Gate</x:v>
      </x:c>
      <x:c r="G630" s="31" t="n">
        <x:v>24777.049446660872</x:v>
      </x:c>
      <x:c r="H630" s="31" t="n">
        <x:v>18805</x:v>
      </x:c>
      <x:c r="I630" s="31" t="n">
        <x:v>16.142126298960832</x:v>
      </x:c>
      <x:c r="J630" s="40" t="n">
        <x:v>0.726721616591332</x:v>
      </x:c>
      <x:c r="K630" s="40" t="n">
        <x:v>0.1986705663387397</x:v>
      </x:c>
      <x:c r="L630" s="40" t="n">
        <x:v>0.3106088806168572</x:v>
      </x:c>
      <x:c r="M630" s="31" t="n">
        <x:v>145.75306604996305</x:v>
      </x:c>
      <x:c r="N630" s="31" t="n">
        <x:v>234</x:v>
      </x:c>
      <x:c r="O630" s="31" t="n">
        <x:v>6.517742744136817</x:v>
      </x:c>
      <x:c r="P630" s="31" t="n">
        <x:v>4.719383142781175</x:v>
      </x:c>
      <x:c r="Q630" s="40" t="n">
        <x:v>0.9444828503057697</x:v>
      </x:c>
      <x:c r="R630" s="31" t="n">
        <x:v>0.1411942016937769</x:v>
      </x:c>
      <x:c r="S630" s="40"/>
      <x:c r="T630" s="40"/>
      <x:c r="U630" s="40" t="n">
        <x:v>1</x:v>
      </x:c>
      <x:c r="V630" s="40" t="n">
        <x:v>0.963998936453071</x:v>
      </x:c>
      <x:c r="W630" s="31" t="n">
        <x:v>0</x:v>
      </x:c>
      <x:c r="X630" s="31" t="str"/>
      <x:c r="Y630" s="31" t="n">
        <x:v>0</x:v>
      </x:c>
      <x:c r="Z630" s="31" t="n">
        <x:v>0</x:v>
      </x:c>
      <x:c r="AA630" s="31" t="n">
        <x:v>0</x:v>
      </x:c>
      <x:c r="AB630" s="31" t="str"/>
      <x:c r="AC630" s="31" t="str"/>
    </x:row>
    <x:row r="631">
      <x:c r="A631" s="31" t="str">
        <x:v>be468cda2170f105</x:v>
      </x:c>
      <x:c r="B631" s="31" t="str">
        <x:v>be468cda2170f105ea5b6108a75deca97352e18f162a6706ff9cb5e14635855e</x:v>
      </x:c>
      <x:c r="C631" s="31" t="n">
        <x:v>17</x:v>
      </x:c>
      <x:c r="D631" s="31" t="n">
        <x:v>32109</x:v>
      </x:c>
      <x:c r="E631" s="31" t="str">
        <x:v>Queens</x:v>
      </x:c>
      <x:c r="F631" s="31" t="str">
        <x:v>St. Albans</x:v>
      </x:c>
      <x:c r="G631" s="31" t="n">
        <x:v>24241.02050806685</x:v>
      </x:c>
      <x:c r="H631" s="31" t="n">
        <x:v>9346</x:v>
      </x:c>
      <x:c r="I631" s="31" t="n">
        <x:v>2.196137628424658</x:v>
      </x:c>
      <x:c r="J631" s="40" t="n">
        <x:v>0</x:v>
      </x:c>
      <x:c r="K631" s="40" t="n">
        <x:v>0.004707896426278622</x:v>
      </x:c>
      <x:c r="L631" s="40" t="n">
        <x:v>0.00920179756045367</x:v>
      </x:c>
      <x:c r="M631" s="31" t="n">
        <x:v>26.88884960050086</x:v>
      </x:c>
      <x:c r="N631" s="31" t="n">
        <x:v>6</x:v>
      </x:c>
      <x:c r="O631" s="31" t="n">
        <x:v>0.1868634962160142</x:v>
      </x:c>
      <x:c r="P631" s="31" t="n">
        <x:v>4.9769955060988655</x:v>
      </x:c>
      <x:c r="Q631" s="40" t="n">
        <x:v>1</x:v>
      </x:c>
      <x:c r="R631" s="31" t="n">
        <x:v>0.21605900871090056</x:v>
      </x:c>
      <x:c r="S631" s="40"/>
      <x:c r="T631" s="40"/>
      <x:c r="U631" s="40" t="n">
        <x:v>1</x:v>
      </x:c>
      <x:c r="V631" s="40" t="n">
        <x:v>0.9976460517868607</x:v>
      </x:c>
      <x:c r="W631" s="31" t="n">
        <x:v>0</x:v>
      </x:c>
      <x:c r="X631" s="31" t="str"/>
      <x:c r="Y631" s="31" t="n">
        <x:v>0</x:v>
      </x:c>
      <x:c r="Z631" s="31" t="n">
        <x:v>0</x:v>
      </x:c>
      <x:c r="AA631" s="31" t="n">
        <x:v>0</x:v>
      </x:c>
      <x:c r="AB631" s="31" t="str"/>
      <x:c r="AC631" s="31" t="str"/>
    </x:row>
    <x:row r="632">
      <x:c r="A632" s="31" t="str">
        <x:v>be571e91e7b50652</x:v>
      </x:c>
      <x:c r="B632" s="31" t="str">
        <x:v>be571e91e7b50652191744ffcdb49d32fd9c0db039d9a74e7239e71533f0d227</x:v>
      </x:c>
      <x:c r="C632" s="31" t="n">
        <x:v>10</x:v>
      </x:c>
      <x:c r="D632" s="31" t="n">
        <x:v>32849</x:v>
      </x:c>
      <x:c r="E632" s="31" t="str">
        <x:v>Brooklyn</x:v>
      </x:c>
      <x:c r="F632" s="31" t="str">
        <x:v>Crown Heights (South)</x:v>
      </x:c>
      <x:c r="G632" s="31" t="n">
        <x:v>69311.80364117469</x:v>
      </x:c>
      <x:c r="H632" s="31" t="n">
        <x:v>12408</x:v>
      </x:c>
      <x:c r="I632" s="31" t="n">
        <x:v>4.5353466064807355</x:v>
      </x:c>
      <x:c r="J632" s="40" t="n">
        <x:v>0.057624113475177305</x:v>
      </x:c>
      <x:c r="K632" s="40" t="n">
        <x:v>0.620003223726628</x:v>
      </x:c>
      <x:c r="L632" s="40" t="n">
        <x:v>0.07076079948420375</x:v>
      </x:c>
      <x:c r="M632" s="31" t="n">
        <x:v>51.33911282306892</x:v>
      </x:c>
      <x:c r="N632" s="31" t="n">
        <x:v>132</x:v>
      </x:c>
      <x:c r="O632" s="31" t="n">
        <x:v>4.018387165514931</x:v>
      </x:c>
      <x:c r="P632" s="31" t="n">
        <x:v>5</x:v>
      </x:c>
      <x:c r="Q632" s="40" t="n">
        <x:v>1</x:v>
      </x:c>
      <x:c r="R632" s="31" t="n">
        <x:v>0.15249414999483427</x:v>
      </x:c>
      <x:c r="S632" s="40"/>
      <x:c r="T632" s="40"/>
      <x:c r="U632" s="40" t="n">
        <x:v>1</x:v>
      </x:c>
      <x:c r="V632" s="40" t="n">
        <x:v>0.9916183107672469</x:v>
      </x:c>
      <x:c r="W632" s="31" t="n">
        <x:v>1</x:v>
      </x:c>
      <x:c r="X632" s="31" t="str"/>
      <x:c r="Y632" s="31" t="n">
        <x:v>0</x:v>
      </x:c>
      <x:c r="Z632" s="31" t="n">
        <x:v>1</x:v>
      </x:c>
      <x:c r="AA632" s="31" t="n">
        <x:v>0</x:v>
      </x:c>
      <x:c r="AB632" s="31" t="str"/>
      <x:c r="AC632" s="31" t="str"/>
    </x:row>
    <x:row r="633">
      <x:c r="A633" s="31" t="str">
        <x:v>be5be52f67588cd6</x:v>
      </x:c>
      <x:c r="B633" s="31" t="str">
        <x:v>be5be52f67588cd62d045f2789d705dc7b40c44e526f59317982d3ada34e4775</x:v>
      </x:c>
      <x:c r="C633" s="31" t="n">
        <x:v>9</x:v>
      </x:c>
      <x:c r="D633" s="31" t="n">
        <x:v>36042</x:v>
      </x:c>
      <x:c r="E633" s="31" t="str">
        <x:v>Queens</x:v>
      </x:c>
      <x:c r="F633" s="31" t="str">
        <x:v>Ridgewood</x:v>
      </x:c>
      <x:c r="G633" s="31" t="n">
        <x:v>68631.71980432517</x:v>
      </x:c>
      <x:c r="H633" s="31" t="n">
        <x:v>13378</x:v>
      </x:c>
      <x:c r="I633" s="31" t="n">
        <x:v>3.2042806674684305</x:v>
      </x:c>
      <x:c r="J633" s="40" t="n">
        <x:v>0.019509642696965167</x:v>
      </x:c>
      <x:c r="K633" s="40" t="n">
        <x:v>0.7434594109732396</x:v>
      </x:c>
      <x:c r="L633" s="40" t="n">
        <x:v>0.005008222454776499</x:v>
      </x:c>
      <x:c r="M633" s="31" t="n">
        <x:v>37.852852595416074</x:v>
      </x:c>
      <x:c r="N633" s="31" t="n">
        <x:v>49</x:v>
      </x:c>
      <x:c r="O633" s="31" t="n">
        <x:v>1.3595249986127296</x:v>
      </x:c>
      <x:c r="P633" s="31" t="n">
        <x:v>1.769846015846913</x:v>
      </x:c>
      <x:c r="Q633" s="40" t="n">
        <x:v>0.2566153386156376</x:v>
      </x:c>
      <x:c r="R633" s="31" t="n">
        <x:v>0.13511164607130344</x:v>
      </x:c>
      <x:c r="S633" s="40"/>
      <x:c r="T633" s="40"/>
      <x:c r="U633" s="40" t="n">
        <x:v>1</x:v>
      </x:c>
      <x:c r="V633" s="40" t="n">
        <x:v>0.9908058005680969</x:v>
      </x:c>
      <x:c r="W633" s="31" t="n">
        <x:v>0</x:v>
      </x:c>
      <x:c r="X633" s="31" t="str"/>
      <x:c r="Y633" s="31" t="n">
        <x:v>0</x:v>
      </x:c>
      <x:c r="Z633" s="31" t="n">
        <x:v>0</x:v>
      </x:c>
      <x:c r="AA633" s="31" t="n">
        <x:v>0</x:v>
      </x:c>
      <x:c r="AB633" s="31" t="str"/>
      <x:c r="AC633" s="31" t="str"/>
    </x:row>
    <x:row r="634">
      <x:c r="A634" s="31" t="str">
        <x:v>be6072f22702f534</x:v>
      </x:c>
      <x:c r="B634" s="31" t="str">
        <x:v>be6072f22702f534bd1adaab426418466d539708d781de6e6fa13aa2c4e98cb6</x:v>
      </x:c>
      <x:c r="C634" s="31" t="n">
        <x:v>8</x:v>
      </x:c>
      <x:c r="D634" s="31" t="n">
        <x:v>32328</x:v>
      </x:c>
      <x:c r="E634" s="31" t="str">
        <x:v>Queens</x:v>
      </x:c>
      <x:c r="F634" s="31" t="str">
        <x:v>Jamaica</x:v>
      </x:c>
      <x:c r="G634" s="31" t="n">
        <x:v>29581.985354542692</x:v>
      </x:c>
      <x:c r="H634" s="31" t="n">
        <x:v>10047</x:v>
      </x:c>
      <x:c r="I634" s="31" t="n">
        <x:v>4.810436261757054</x:v>
      </x:c>
      <x:c r="J634" s="40" t="n">
        <x:v>0.0904747685876381</x:v>
      </x:c>
      <x:c r="K634" s="40" t="n">
        <x:v>0.4866129192793869</x:v>
      </x:c>
      <x:c r="L634" s="40" t="n">
        <x:v>0.014929829799940281</x:v>
      </x:c>
      <x:c r="M634" s="31" t="n">
        <x:v>51.94487375532349</x:v>
      </x:c>
      <x:c r="N634" s="31" t="n">
        <x:v>109</x:v>
      </x:c>
      <x:c r="O634" s="31" t="n">
        <x:v>3.3716901756990842</x:v>
      </x:c>
      <x:c r="P634" s="31" t="n">
        <x:v>3.393948442321091</x:v>
      </x:c>
      <x:c r="Q634" s="40" t="n">
        <x:v>0.28625460336418834</x:v>
      </x:c>
      <x:c r="R634" s="31" t="n">
        <x:v>0.21039682010134206</x:v>
      </x:c>
      <x:c r="S634" s="40"/>
      <x:c r="T634" s="40"/>
      <x:c r="U634" s="40" t="n">
        <x:v>1</x:v>
      </x:c>
      <x:c r="V634" s="40" t="n">
        <x:v>0.9845725092067283</x:v>
      </x:c>
      <x:c r="W634" s="31" t="n">
        <x:v>0</x:v>
      </x:c>
      <x:c r="X634" s="31" t="str"/>
      <x:c r="Y634" s="31" t="n">
        <x:v>0</x:v>
      </x:c>
      <x:c r="Z634" s="31" t="n">
        <x:v>0</x:v>
      </x:c>
      <x:c r="AA634" s="31" t="n">
        <x:v>0</x:v>
      </x:c>
      <x:c r="AB634" s="31" t="str"/>
      <x:c r="AC634" s="31" t="str"/>
    </x:row>
    <x:row r="635">
      <x:c r="A635" s="31" t="str">
        <x:v>bec57519dfeb1076</x:v>
      </x:c>
      <x:c r="B635" s="31" t="str">
        <x:v>bec57519dfeb10764215080672a9622b05f15fbb8006f478f77b420edf9eba7a</x:v>
      </x:c>
      <x:c r="C635" s="31" t="n">
        <x:v>9</x:v>
      </x:c>
      <x:c r="D635" s="31" t="n">
        <x:v>34420</x:v>
      </x:c>
      <x:c r="E635" s="31" t="str">
        <x:v>Brooklyn</x:v>
      </x:c>
      <x:c r="F635" s="31" t="str">
        <x:v>Bensonhurst</x:v>
      </x:c>
      <x:c r="G635" s="31" t="n">
        <x:v>59175.5127497639</x:v>
      </x:c>
      <x:c r="H635" s="31" t="n">
        <x:v>11701</x:v>
      </x:c>
      <x:c r="I635" s="31" t="n">
        <x:v>3.68157332193245</x:v>
      </x:c>
      <x:c r="J635" s="40" t="n">
        <x:v>0.0035039740193145885</x:v>
      </x:c>
      <x:c r="K635" s="40" t="n">
        <x:v>0.5587556619092385</x:v>
      </x:c>
      <x:c r="L635" s="40" t="n">
        <x:v>0.006495171352875822</x:v>
      </x:c>
      <x:c r="M635" s="31" t="n">
        <x:v>42.47704253199914</x:v>
      </x:c>
      <x:c r="N635" s="31" t="n">
        <x:v>125</x:v>
      </x:c>
      <x:c r="O635" s="31" t="n">
        <x:v>3.631609529343405</x:v>
      </x:c>
      <x:c r="P635" s="31" t="n">
        <x:v>4</x:v>
      </x:c>
      <x:c r="Q635" s="40" t="n">
        <x:v>1</x:v>
      </x:c>
      <x:c r="R635" s="31" t="n">
        <x:v>0.23066189456795233</x:v>
      </x:c>
      <x:c r="S635" s="40"/>
      <x:c r="T635" s="40"/>
      <x:c r="U635" s="40" t="n">
        <x:v>1</x:v>
      </x:c>
      <x:c r="V635" s="40" t="n">
        <x:v>0.9939321425519186</x:v>
      </x:c>
      <x:c r="W635" s="31" t="n">
        <x:v>1</x:v>
      </x:c>
      <x:c r="X635" s="31" t="str"/>
      <x:c r="Y635" s="31" t="n">
        <x:v>0</x:v>
      </x:c>
      <x:c r="Z635" s="31" t="n">
        <x:v>1</x:v>
      </x:c>
      <x:c r="AA635" s="31" t="n">
        <x:v>0</x:v>
      </x:c>
      <x:c r="AB635" s="31" t="str"/>
      <x:c r="AC635" s="31" t="str"/>
    </x:row>
    <x:row r="636">
      <x:c r="A636" s="31" t="str">
        <x:v>bece069dfcd6ea16</x:v>
      </x:c>
      <x:c r="B636" s="31" t="str">
        <x:v>bece069dfcd6ea16675968863c10368f56ce4ab4d1b57bc08b9dad10aa763b1b</x:v>
      </x:c>
      <x:c r="C636" s="31" t="n">
        <x:v>8</x:v>
      </x:c>
      <x:c r="D636" s="31" t="n">
        <x:v>34260</x:v>
      </x:c>
      <x:c r="E636" s="31" t="str">
        <x:v>Bronx</x:v>
      </x:c>
      <x:c r="F636" s="31" t="str">
        <x:v>University Heights (South)-Morris Heights</x:v>
      </x:c>
      <x:c r="G636" s="31" t="n">
        <x:v>87075.85759774123</x:v>
      </x:c>
      <x:c r="H636" s="31" t="n">
        <x:v>13397</x:v>
      </x:c>
      <x:c r="I636" s="31" t="n">
        <x:v>6.229443158916176</x:v>
      </x:c>
      <x:c r="J636" s="40" t="n">
        <x:v>0.11928043591848922</x:v>
      </x:c>
      <x:c r="K636" s="40" t="n">
        <x:v>0.797491975815481</x:v>
      </x:c>
      <x:c r="L636" s="40" t="n">
        <x:v>0.008136149884302456</x:v>
      </x:c>
      <x:c r="M636" s="31" t="n">
        <x:v>69.77509386581731</x:v>
      </x:c>
      <x:c r="N636" s="31" t="n">
        <x:v>196</x:v>
      </x:c>
      <x:c r="O636" s="31" t="n">
        <x:v>5.720957384705195</x:v>
      </x:c>
      <x:c r="P636" s="31" t="n">
        <x:v>5</x:v>
      </x:c>
      <x:c r="Q636" s="40" t="n">
        <x:v>1</x:v>
      </x:c>
      <x:c r="R636" s="31" t="n">
        <x:v>0.07881322524161483</x:v>
      </x:c>
      <x:c r="S636" s="40"/>
      <x:c r="T636" s="40"/>
      <x:c r="U636" s="40" t="n">
        <x:v>1</x:v>
      </x:c>
      <x:c r="V636" s="40" t="n">
        <x:v>0.9667089646935881</x:v>
      </x:c>
      <x:c r="W636" s="31" t="n">
        <x:v>1</x:v>
      </x:c>
      <x:c r="X636" s="31" t="str"/>
      <x:c r="Y636" s="31" t="n">
        <x:v>0</x:v>
      </x:c>
      <x:c r="Z636" s="31" t="n">
        <x:v>1</x:v>
      </x:c>
      <x:c r="AA636" s="31" t="n">
        <x:v>0</x:v>
      </x:c>
      <x:c r="AB636" s="31" t="str"/>
      <x:c r="AC636" s="31" t="str"/>
    </x:row>
    <x:row r="637">
      <x:c r="A637" s="31" t="str">
        <x:v>bf1bcee2d2840a36</x:v>
      </x:c>
      <x:c r="B637" s="31" t="str">
        <x:v>bf1bcee2d2840a365737d6737cedfb4962f6ac356532dc450809ec5392efdfea</x:v>
      </x:c>
      <x:c r="C637" s="31" t="n">
        <x:v>9</x:v>
      </x:c>
      <x:c r="D637" s="31" t="n">
        <x:v>33101</x:v>
      </x:c>
      <x:c r="E637" s="31" t="str">
        <x:v>Queens</x:v>
      </x:c>
      <x:c r="F637" s="31" t="str">
        <x:v>Elmhurst</x:v>
      </x:c>
      <x:c r="G637" s="31" t="n">
        <x:v>56934.311624734626</x:v>
      </x:c>
      <x:c r="H637" s="31" t="n">
        <x:v>11763</x:v>
      </x:c>
      <x:c r="I637" s="31" t="n">
        <x:v>5.348889834113143</x:v>
      </x:c>
      <x:c r="J637" s="40" t="n">
        <x:v>0.13032389696505994</x:v>
      </x:c>
      <x:c r="K637" s="40" t="n">
        <x:v>0.6789934540508373</x:v>
      </x:c>
      <x:c r="L637" s="40" t="n">
        <x:v>0.019467822834310974</x:v>
      </x:c>
      <x:c r="M637" s="31" t="n">
        <x:v>59.77713185183742</x:v>
      </x:c>
      <x:c r="N637" s="31" t="n">
        <x:v>151</x:v>
      </x:c>
      <x:c r="O637" s="31" t="n">
        <x:v>4.561795716141506</x:v>
      </x:c>
      <x:c r="P637" s="31" t="n">
        <x:v>3</x:v>
      </x:c>
      <x:c r="Q637" s="40" t="n">
        <x:v>0</x:v>
      </x:c>
      <x:c r="R637" s="31" t="n">
        <x:v>0.13562657121065178</x:v>
      </x:c>
      <x:c r="S637" s="40"/>
      <x:c r="T637" s="40"/>
      <x:c r="U637" s="40" t="n">
        <x:v>1</x:v>
      </x:c>
      <x:c r="V637" s="40" t="n">
        <x:v>0.9767066224602567</x:v>
      </x:c>
      <x:c r="W637" s="31" t="n">
        <x:v>0</x:v>
      </x:c>
      <x:c r="X637" s="31" t="str"/>
      <x:c r="Y637" s="31" t="n">
        <x:v>0</x:v>
      </x:c>
      <x:c r="Z637" s="31" t="n">
        <x:v>0</x:v>
      </x:c>
      <x:c r="AA637" s="31" t="n">
        <x:v>0</x:v>
      </x:c>
      <x:c r="AB637" s="31" t="str"/>
      <x:c r="AC637" s="31" t="str"/>
    </x:row>
    <x:row r="638">
      <x:c r="A638" s="31" t="str">
        <x:v>bf1ca7e6b240ec47</x:v>
      </x:c>
      <x:c r="B638" s="31" t="str">
        <x:v>bf1ca7e6b240ec47f57e46b8c740526d5069a3bd23b96d3fa895f893e685b547</x:v>
      </x:c>
      <x:c r="C638" s="31" t="n">
        <x:v>9</x:v>
      </x:c>
      <x:c r="D638" s="31" t="n">
        <x:v>32316</x:v>
      </x:c>
      <x:c r="E638" s="31" t="str">
        <x:v>Brooklyn</x:v>
      </x:c>
      <x:c r="F638" s="31" t="str">
        <x:v>Bushwick (East)</x:v>
      </x:c>
      <x:c r="G638" s="31" t="n">
        <x:v>56737.98065807071</x:v>
      </x:c>
      <x:c r="H638" s="31" t="n">
        <x:v>11441</x:v>
      </x:c>
      <x:c r="I638" s="31" t="n">
        <x:v>2.959276715707867</x:v>
      </x:c>
      <x:c r="J638" s="40" t="n">
        <x:v>0.01188707280832095</x:v>
      </x:c>
      <x:c r="K638" s="40" t="n">
        <x:v>0.600297176820208</x:v>
      </x:c>
      <x:c r="L638" s="40" t="n">
        <x:v>0.004457652303120356</x:v>
      </x:c>
      <x:c r="M638" s="31" t="n">
        <x:v>35.68931856111917</x:v>
      </x:c>
      <x:c r="N638" s="31" t="n">
        <x:v>52</x:v>
      </x:c>
      <x:c r="O638" s="31" t="n">
        <x:v>1.6091100383710857</x:v>
      </x:c>
      <x:c r="P638" s="31" t="n">
        <x:v>3.9898610261340792</x:v>
      </x:c>
      <x:c r="Q638" s="40" t="n">
        <x:v>0.9009701949130321</x:v>
      </x:c>
      <x:c r="R638" s="31" t="n">
        <x:v>0.09999683484765173</x:v>
      </x:c>
      <x:c r="S638" s="40"/>
      <x:c r="T638" s="40"/>
      <x:c r="U638" s="40" t="n">
        <x:v>1</x:v>
      </x:c>
      <x:c r="V638" s="40" t="n">
        <x:v>0.9879381172974391</x:v>
      </x:c>
      <x:c r="W638" s="31" t="n">
        <x:v>0</x:v>
      </x:c>
      <x:c r="X638" s="31" t="str"/>
      <x:c r="Y638" s="31" t="n">
        <x:v>0</x:v>
      </x:c>
      <x:c r="Z638" s="31" t="n">
        <x:v>0</x:v>
      </x:c>
      <x:c r="AA638" s="31" t="n">
        <x:v>0</x:v>
      </x:c>
      <x:c r="AB638" s="31" t="str"/>
      <x:c r="AC638" s="31" t="str"/>
    </x:row>
    <x:row r="639">
      <x:c r="A639" s="31" t="str">
        <x:v>bf4f1f57cb830018</x:v>
      </x:c>
      <x:c r="B639" s="31" t="str">
        <x:v>bf4f1f57cb8300182e7d3fbc44bf8e77f16b6df4ef77145f1dfd17b192207b5e</x:v>
      </x:c>
      <x:c r="C639" s="31" t="n">
        <x:v>17</x:v>
      </x:c>
      <x:c r="D639" s="31" t="n">
        <x:v>32203</x:v>
      </x:c>
      <x:c r="E639" s="31" t="str">
        <x:v>Queens</x:v>
      </x:c>
      <x:c r="F639" s="31" t="str">
        <x:v>St. Albans</x:v>
      </x:c>
      <x:c r="G639" s="31" t="n">
        <x:v>23896.330216623206</x:v>
      </x:c>
      <x:c r="H639" s="31" t="n">
        <x:v>9108</x:v>
      </x:c>
      <x:c r="I639" s="31" t="n">
        <x:v>2.282808038655831</x:v>
      </x:c>
      <x:c r="J639" s="40" t="n">
        <x:v>0</x:v>
      </x:c>
      <x:c r="K639" s="40" t="n">
        <x:v>0.01152832674571805</x:v>
      </x:c>
      <x:c r="L639" s="40" t="n">
        <x:v>0.005928853754940711</x:v>
      </x:c>
      <x:c r="M639" s="31" t="n">
        <x:v>27.683873332975914</x:v>
      </x:c>
      <x:c r="N639" s="31" t="n">
        <x:v>6</x:v>
      </x:c>
      <x:c r="O639" s="31" t="n">
        <x:v>0.18631804490264883</x:v>
      </x:c>
      <x:c r="P639" s="31" t="n">
        <x:v>4.934782608695652</x:v>
      </x:c>
      <x:c r="Q639" s="40" t="n">
        <x:v>1</x:v>
      </x:c>
      <x:c r="R639" s="31" t="n">
        <x:v>0.22378798967884136</x:v>
      </x:c>
      <x:c r="S639" s="40"/>
      <x:c r="T639" s="40"/>
      <x:c r="U639" s="40" t="n">
        <x:v>1</x:v>
      </x:c>
      <x:c r="V639" s="40" t="n">
        <x:v>0.9983530961791831</x:v>
      </x:c>
      <x:c r="W639" s="31" t="n">
        <x:v>0</x:v>
      </x:c>
      <x:c r="X639" s="31" t="str"/>
      <x:c r="Y639" s="31" t="n">
        <x:v>0</x:v>
      </x:c>
      <x:c r="Z639" s="31" t="n">
        <x:v>0</x:v>
      </x:c>
      <x:c r="AA639" s="31" t="n">
        <x:v>0</x:v>
      </x:c>
      <x:c r="AB639" s="31" t="str"/>
      <x:c r="AC639" s="31" t="str"/>
    </x:row>
    <x:row r="640">
      <x:c r="A640" s="31" t="str">
        <x:v>bf90999b163cd24c</x:v>
      </x:c>
      <x:c r="B640" s="31" t="str">
        <x:v>bf90999b163cd24c12fbd646d7f8255fa009eccf6faa9b8eab52084735ced753</x:v>
      </x:c>
      <x:c r="C640" s="31" t="n">
        <x:v>6</x:v>
      </x:c>
      <x:c r="D640" s="31" t="n">
        <x:v>32088</x:v>
      </x:c>
      <x:c r="E640" s="31" t="str">
        <x:v>Bronx</x:v>
      </x:c>
      <x:c r="F640" s="31" t="str">
        <x:v>Norwood</x:v>
      </x:c>
      <x:c r="G640" s="31" t="n">
        <x:v>78052.24976571207</x:v>
      </x:c>
      <x:c r="H640" s="31" t="n">
        <x:v>12123</x:v>
      </x:c>
      <x:c r="I640" s="31" t="n">
        <x:v>6.40175699084385</x:v>
      </x:c>
      <x:c r="J640" s="40" t="n">
        <x:v>0.05848387362863978</x:v>
      </x:c>
      <x:c r="K640" s="40" t="n">
        <x:v>0.8944155737028788</x:v>
      </x:c>
      <x:c r="L640" s="40" t="n">
        <x:v>0.0014022931617586405</x:v>
      </x:c>
      <x:c r="M640" s="31" t="n">
        <x:v>70.79905256510024</x:v>
      </x:c>
      <x:c r="N640" s="31" t="n">
        <x:v>166</x:v>
      </x:c>
      <x:c r="O640" s="31" t="n">
        <x:v>5.173273497880827</x:v>
      </x:c>
      <x:c r="P640" s="31" t="n">
        <x:v>4</x:v>
      </x:c>
      <x:c r="Q640" s="40" t="n">
        <x:v>1</x:v>
      </x:c>
      <x:c r="R640" s="31" t="n">
        <x:v>0.08331775131382947</x:v>
      </x:c>
      <x:c r="S640" s="40"/>
      <x:c r="T640" s="40"/>
      <x:c r="U640" s="40" t="n">
        <x:v>1</x:v>
      </x:c>
      <x:c r="V640" s="40" t="n">
        <x:v>1</x:v>
      </x:c>
      <x:c r="W640" s="31" t="n">
        <x:v>1</x:v>
      </x:c>
      <x:c r="X640" s="31" t="str"/>
      <x:c r="Y640" s="31" t="n">
        <x:v>0</x:v>
      </x:c>
      <x:c r="Z640" s="31" t="n">
        <x:v>1</x:v>
      </x:c>
      <x:c r="AA640" s="31" t="n">
        <x:v>0</x:v>
      </x:c>
      <x:c r="AB640" s="31" t="str"/>
      <x:c r="AC640" s="31" t="str"/>
    </x:row>
    <x:row r="641">
      <x:c r="A641" s="31" t="str">
        <x:v>c0091ce4a85c431a</x:v>
      </x:c>
      <x:c r="B641" s="31" t="str">
        <x:v>c0091ce4a85c431a91c8d49dd4b5d08e49914fc3d02883fe271e78770974ba4a</x:v>
      </x:c>
      <x:c r="C641" s="31" t="n">
        <x:v>7</x:v>
      </x:c>
      <x:c r="D641" s="31" t="n">
        <x:v>34559</x:v>
      </x:c>
      <x:c r="E641" s="31" t="str">
        <x:v>Bronx</x:v>
      </x:c>
      <x:c r="F641" s="31" t="str">
        <x:v>Melrose</x:v>
      </x:c>
      <x:c r="G641" s="31" t="n">
        <x:v>66754.55672710841</x:v>
      </x:c>
      <x:c r="H641" s="31" t="n">
        <x:v>14681</x:v>
      </x:c>
      <x:c r="I641" s="31" t="n">
        <x:v>9.000170392584515</x:v>
      </x:c>
      <x:c r="J641" s="40" t="n">
        <x:v>0.3061099380151216</x:v>
      </x:c>
      <x:c r="K641" s="40" t="n">
        <x:v>0.6330631428376814</x:v>
      </x:c>
      <x:c r="L641" s="40" t="n">
        <x:v>0.20850078332538655</x:v>
      </x:c>
      <x:c r="M641" s="31" t="n">
        <x:v>93.92180710056232</x:v>
      </x:c>
      <x:c r="N641" s="31" t="n">
        <x:v>162</x:v>
      </x:c>
      <x:c r="O641" s="31" t="n">
        <x:v>4.687635637605255</x:v>
      </x:c>
      <x:c r="P641" s="31" t="n">
        <x:v>5</x:v>
      </x:c>
      <x:c r="Q641" s="40" t="n">
        <x:v>1</x:v>
      </x:c>
      <x:c r="R641" s="31" t="n">
        <x:v>0.07356765411385402</x:v>
      </x:c>
      <x:c r="S641" s="40"/>
      <x:c r="T641" s="40"/>
      <x:c r="U641" s="40" t="n">
        <x:v>1</x:v>
      </x:c>
      <x:c r="V641" s="40" t="n">
        <x:v>0.9860363735440365</x:v>
      </x:c>
      <x:c r="W641" s="31" t="n">
        <x:v>1</x:v>
      </x:c>
      <x:c r="X641" s="31" t="str"/>
      <x:c r="Y641" s="31" t="n">
        <x:v>0</x:v>
      </x:c>
      <x:c r="Z641" s="31" t="n">
        <x:v>1</x:v>
      </x:c>
      <x:c r="AA641" s="31" t="n">
        <x:v>0</x:v>
      </x:c>
      <x:c r="AB641" s="31" t="str"/>
      <x:c r="AC641" s="31" t="str"/>
    </x:row>
    <x:row r="642">
      <x:c r="A642" s="31" t="str">
        <x:v>c0c1517c4d4e26cb</x:v>
      </x:c>
      <x:c r="B642" s="31" t="str">
        <x:v>c0c1517c4d4e26cb33e8b2918cc6fe3b6e1f3e951a86d568bae3f4fa93c62745</x:v>
      </x:c>
      <x:c r="C642" s="31" t="n">
        <x:v>8</x:v>
      </x:c>
      <x:c r="D642" s="31" t="n">
        <x:v>33493</x:v>
      </x:c>
      <x:c r="E642" s="31" t="str">
        <x:v>Manhattan</x:v>
      </x:c>
      <x:c r="F642" s="31" t="str">
        <x:v>Harlem (North)</x:v>
      </x:c>
      <x:c r="G642" s="31" t="n">
        <x:v>69318.83648352495</x:v>
      </x:c>
      <x:c r="H642" s="31" t="n">
        <x:v>18634</x:v>
      </x:c>
      <x:c r="I642" s="31" t="n">
        <x:v>8.160440095155709</x:v>
      </x:c>
      <x:c r="J642" s="40" t="n">
        <x:v>0.26961468283782336</x:v>
      </x:c>
      <x:c r="K642" s="40" t="n">
        <x:v>0.7210475474938285</x:v>
      </x:c>
      <x:c r="L642" s="40" t="n">
        <x:v>0.13963722228185038</x:v>
      </x:c>
      <x:c r="M642" s="31" t="n">
        <x:v>90.4064748309973</x:v>
      </x:c>
      <x:c r="N642" s="31" t="n">
        <x:v>291</x:v>
      </x:c>
      <x:c r="O642" s="31" t="n">
        <x:v>8.688382647120294</x:v>
      </x:c>
      <x:c r="P642" s="31" t="n">
        <x:v>4.373671782762692</x:v>
      </x:c>
      <x:c r="Q642" s="40" t="n">
        <x:v>1</x:v>
      </x:c>
      <x:c r="R642" s="31" t="n">
        <x:v>0.10198540570247817</x:v>
      </x:c>
      <x:c r="S642" s="40"/>
      <x:c r="T642" s="40"/>
      <x:c r="U642" s="40" t="n">
        <x:v>1</x:v>
      </x:c>
      <x:c r="V642" s="40" t="n">
        <x:v>0.9728990018246216</x:v>
      </x:c>
      <x:c r="W642" s="31" t="n">
        <x:v>1</x:v>
      </x:c>
      <x:c r="X642" s="31" t="str"/>
      <x:c r="Y642" s="31" t="n">
        <x:v>0</x:v>
      </x:c>
      <x:c r="Z642" s="31" t="n">
        <x:v>1</x:v>
      </x:c>
      <x:c r="AA642" s="31" t="n">
        <x:v>0</x:v>
      </x:c>
      <x:c r="AB642" s="31" t="str"/>
      <x:c r="AC642" s="31" t="str"/>
    </x:row>
    <x:row r="643">
      <x:c r="A643" s="31" t="str">
        <x:v>c0e72687c03eca7c</x:v>
      </x:c>
      <x:c r="B643" s="31" t="str">
        <x:v>c0e72687c03eca7c819335a4d3881a831bc868177e3385219635b5e49f291906</x:v>
      </x:c>
      <x:c r="C643" s="31" t="n">
        <x:v>5</x:v>
      </x:c>
      <x:c r="D643" s="31" t="n">
        <x:v>34228</x:v>
      </x:c>
      <x:c r="E643" s="31" t="str">
        <x:v>Manhattan</x:v>
      </x:c>
      <x:c r="F643" s="31" t="str">
        <x:v>Upper West Side-Lincoln Square</x:v>
      </x:c>
      <x:c r="G643" s="31" t="n">
        <x:v>123756.54873837845</x:v>
      </x:c>
      <x:c r="H643" s="31" t="n">
        <x:v>21976</x:v>
      </x:c>
      <x:c r="I643" s="31" t="n">
        <x:v>22.32977861145848</x:v>
      </x:c>
      <x:c r="J643" s="40" t="n">
        <x:v>0.825309428467419</x:v>
      </x:c>
      <x:c r="K643" s="40" t="n">
        <x:v>0.15717145977429925</x:v>
      </x:c>
      <x:c r="L643" s="40" t="n">
        <x:v>0</x:v>
      </x:c>
      <x:c r="M643" s="31" t="n">
        <x:v>230.23524959362265</x:v>
      </x:c>
      <x:c r="N643" s="31" t="n">
        <x:v>548</x:v>
      </x:c>
      <x:c r="O643" s="31" t="n">
        <x:v>16.010283978029683</x:v>
      </x:c>
      <x:c r="P643" s="31" t="n">
        <x:v>1</x:v>
      </x:c>
      <x:c r="Q643" s="40" t="n">
        <x:v>0</x:v>
      </x:c>
      <x:c r="R643" s="31" t="n">
        <x:v>0.15282541229171598</x:v>
      </x:c>
      <x:c r="S643" s="40"/>
      <x:c r="T643" s="40"/>
      <x:c r="U643" s="40" t="n">
        <x:v>1</x:v>
      </x:c>
      <x:c r="V643" s="40" t="n">
        <x:v>0.9949490353112487</x:v>
      </x:c>
      <x:c r="W643" s="31" t="n">
        <x:v>1</x:v>
      </x:c>
      <x:c r="X643" s="31" t="str"/>
      <x:c r="Y643" s="31" t="n">
        <x:v>1</x:v>
      </x:c>
      <x:c r="Z643" s="31" t="n">
        <x:v>0</x:v>
      </x:c>
      <x:c r="AA643" s="31" t="n">
        <x:v>0</x:v>
      </x:c>
      <x:c r="AB643" s="31" t="str"/>
      <x:c r="AC643" s="31" t="str"/>
    </x:row>
    <x:row r="644">
      <x:c r="A644" s="31" t="str">
        <x:v>c1001e5dab599087</x:v>
      </x:c>
      <x:c r="B644" s="31" t="str">
        <x:v>c1001e5dab5990879ea653d910dc13712c2ed86bf0718a360206b8e38ae8a3b3</x:v>
      </x:c>
      <x:c r="C644" s="31" t="n">
        <x:v>11</x:v>
      </x:c>
      <x:c r="D644" s="31" t="n">
        <x:v>35216</x:v>
      </x:c>
      <x:c r="E644" s="31" t="str">
        <x:v>Brooklyn</x:v>
      </x:c>
      <x:c r="F644" s="31" t="str">
        <x:v>Bensonhurst</x:v>
      </x:c>
      <x:c r="G644" s="31" t="n">
        <x:v>52287.72631131884</x:v>
      </x:c>
      <x:c r="H644" s="31" t="n">
        <x:v>11662</x:v>
      </x:c>
      <x:c r="I644" s="31" t="n">
        <x:v>2.435289724439866</x:v>
      </x:c>
      <x:c r="J644" s="40" t="n">
        <x:v>0</x:v>
      </x:c>
      <x:c r="K644" s="40" t="n">
        <x:v>0.29000171497170296</x:v>
      </x:c>
      <x:c r="L644" s="40" t="n">
        <x:v>0.021865889212827987</x:v>
      </x:c>
      <x:c r="M644" s="31" t="n">
        <x:v>30.69501008888621</x:v>
      </x:c>
      <x:c r="N644" s="31" t="n">
        <x:v>10</x:v>
      </x:c>
      <x:c r="O644" s="31" t="n">
        <x:v>0.2839618355293049</x:v>
      </x:c>
      <x:c r="P644" s="31" t="n">
        <x:v>3.594409192248328</x:v>
      </x:c>
      <x:c r="Q644" s="40" t="n">
        <x:v>0.5944091922483279</x:v>
      </x:c>
      <x:c r="R644" s="31" t="n">
        <x:v>0.16119405929656264</x:v>
      </x:c>
      <x:c r="S644" s="40"/>
      <x:c r="T644" s="40"/>
      <x:c r="U644" s="40" t="n">
        <x:v>1</x:v>
      </x:c>
      <x:c r="V644" s="40" t="n">
        <x:v>0.9985422740524781</x:v>
      </x:c>
      <x:c r="W644" s="31" t="n">
        <x:v>0</x:v>
      </x:c>
      <x:c r="X644" s="31" t="str"/>
      <x:c r="Y644" s="31" t="n">
        <x:v>0</x:v>
      </x:c>
      <x:c r="Z644" s="31" t="n">
        <x:v>0</x:v>
      </x:c>
      <x:c r="AA644" s="31" t="n">
        <x:v>0</x:v>
      </x:c>
      <x:c r="AB644" s="31" t="str"/>
      <x:c r="AC644" s="31" t="str"/>
    </x:row>
    <x:row r="645">
      <x:c r="A645" s="31" t="str">
        <x:v>c118ef9c05d59820</x:v>
      </x:c>
      <x:c r="B645" s="31" t="str">
        <x:v>c118ef9c05d59820f82a9a1a55ba741198f746740b4ebdd12f046bc1b9dde4e5</x:v>
      </x:c>
      <x:c r="C645" s="31" t="n">
        <x:v>7</x:v>
      </x:c>
      <x:c r="D645" s="31" t="n">
        <x:v>35385</x:v>
      </x:c>
      <x:c r="E645" s="31" t="str">
        <x:v>Queens</x:v>
      </x:c>
      <x:c r="F645" s="31" t="str">
        <x:v>Flushing-Willets Point</x:v>
      </x:c>
      <x:c r="G645" s="31" t="n">
        <x:v>50239.87636901642</x:v>
      </x:c>
      <x:c r="H645" s="31" t="n">
        <x:v>15927</x:v>
      </x:c>
      <x:c r="I645" s="31" t="n">
        <x:v>6.483566779661017</x:v>
      </x:c>
      <x:c r="J645" s="40" t="n">
        <x:v>0.1474226156840585</x:v>
      </x:c>
      <x:c r="K645" s="40" t="n">
        <x:v>0.7280090412507063</x:v>
      </x:c>
      <x:c r="L645" s="40" t="n">
        <x:v>0.09957933069630187</x:v>
      </x:c>
      <x:c r="M645" s="31" t="n">
        <x:v>67.68982153178307</x:v>
      </x:c>
      <x:c r="N645" s="31" t="n">
        <x:v>325</x:v>
      </x:c>
      <x:c r="O645" s="31" t="n">
        <x:v>9.184682775187227</x:v>
      </x:c>
      <x:c r="P645" s="31" t="n">
        <x:v>4</x:v>
      </x:c>
      <x:c r="Q645" s="40" t="n">
        <x:v>1</x:v>
      </x:c>
      <x:c r="R645" s="31" t="n">
        <x:v>0.19037480804675863</x:v>
      </x:c>
      <x:c r="S645" s="40"/>
      <x:c r="T645" s="40"/>
      <x:c r="U645" s="40" t="n">
        <x:v>1</x:v>
      </x:c>
      <x:c r="V645" s="40" t="n">
        <x:v>0.8972185596785333</x:v>
      </x:c>
      <x:c r="W645" s="31" t="n">
        <x:v>1</x:v>
      </x:c>
      <x:c r="X645" s="31" t="str"/>
      <x:c r="Y645" s="31" t="n">
        <x:v>0</x:v>
      </x:c>
      <x:c r="Z645" s="31" t="n">
        <x:v>1</x:v>
      </x:c>
      <x:c r="AA645" s="31" t="n">
        <x:v>0</x:v>
      </x:c>
      <x:c r="AB645" s="31" t="str"/>
      <x:c r="AC645" s="31" t="str"/>
    </x:row>
    <x:row r="646">
      <x:c r="A646" s="31" t="str">
        <x:v>c152b5852a9442ff</x:v>
      </x:c>
      <x:c r="B646" s="31" t="str">
        <x:v>c152b5852a9442ff6c9b5fac9f86eff0a46a75a9bd39e767ef365408b5265dae</x:v>
      </x:c>
      <x:c r="C646" s="31" t="n">
        <x:v>9</x:v>
      </x:c>
      <x:c r="D646" s="31" t="n">
        <x:v>35352</x:v>
      </x:c>
      <x:c r="E646" s="31" t="str">
        <x:v>Manhattan</x:v>
      </x:c>
      <x:c r="F646" s="31" t="str">
        <x:v>East Midtown-Turtle Bay</x:v>
      </x:c>
      <x:c r="G646" s="31" t="n">
        <x:v>89607.84477968102</x:v>
      </x:c>
      <x:c r="H646" s="31" t="n">
        <x:v>26638</x:v>
      </x:c>
      <x:c r="I646" s="31" t="n">
        <x:v>20.799766674254496</x:v>
      </x:c>
      <x:c r="J646" s="40" t="n">
        <x:v>0.8102710413694721</x:v>
      </x:c>
      <x:c r="K646" s="40" t="n">
        <x:v>0.17906749755987686</x:v>
      </x:c>
      <x:c r="L646" s="40" t="n">
        <x:v>0.019295742923642917</x:v>
      </x:c>
      <x:c r="M646" s="31" t="n">
        <x:v>219.19724872064856</x:v>
      </x:c>
      <x:c r="N646" s="31" t="n">
        <x:v>804</x:v>
      </x:c>
      <x:c r="O646" s="31" t="n">
        <x:v>22.742701968771218</x:v>
      </x:c>
      <x:c r="P646" s="31" t="n">
        <x:v>1.038929349050229</x:v>
      </x:c>
      <x:c r="Q646" s="40" t="n">
        <x:v>0</x:v>
      </x:c>
      <x:c r="R646" s="31" t="n">
        <x:v>0.21949039990908714</x:v>
      </x:c>
      <x:c r="S646" s="40"/>
      <x:c r="T646" s="40"/>
      <x:c r="U646" s="40" t="n">
        <x:v>1</x:v>
      </x:c>
      <x:c r="V646" s="40" t="n">
        <x:v>0.9955702380058563</x:v>
      </x:c>
      <x:c r="W646" s="31" t="n">
        <x:v>1</x:v>
      </x:c>
      <x:c r="X646" s="31" t="str"/>
      <x:c r="Y646" s="31" t="n">
        <x:v>1</x:v>
      </x:c>
      <x:c r="Z646" s="31" t="n">
        <x:v>0</x:v>
      </x:c>
      <x:c r="AA646" s="31" t="n">
        <x:v>0</x:v>
      </x:c>
      <x:c r="AB646" s="31" t="str"/>
      <x:c r="AC646" s="31" t="str"/>
    </x:row>
    <x:row r="647">
      <x:c r="A647" s="31" t="str">
        <x:v>c18415bef9684a04</x:v>
      </x:c>
      <x:c r="B647" s="31" t="str">
        <x:v>c18415bef9684a040a808cdeafac6fc32d643ff6b1c275327f3f3284a7d84a4f</x:v>
      </x:c>
      <x:c r="C647" s="31" t="n">
        <x:v>7</x:v>
      </x:c>
      <x:c r="D647" s="31" t="n">
        <x:v>33268</x:v>
      </x:c>
      <x:c r="E647" s="31" t="str">
        <x:v>Manhattan</x:v>
      </x:c>
      <x:c r="F647" s="31" t="str">
        <x:v>Upper East Side-Yorkville</x:v>
      </x:c>
      <x:c r="G647" s="31" t="n">
        <x:v>160578.51948718066</x:v>
      </x:c>
      <x:c r="H647" s="31" t="n">
        <x:v>19214</x:v>
      </x:c>
      <x:c r="I647" s="31" t="n">
        <x:v>19.147523922798293</x:v>
      </x:c>
      <x:c r="J647" s="40" t="n">
        <x:v>0.6141355261788279</x:v>
      </x:c>
      <x:c r="K647" s="40" t="n">
        <x:v>0.3483397522639742</x:v>
      </x:c>
      <x:c r="L647" s="40" t="n">
        <x:v>0.1807536171541584</x:v>
      </x:c>
      <x:c r="M647" s="31" t="n">
        <x:v>204.06835590779303</x:v>
      </x:c>
      <x:c r="N647" s="31" t="n">
        <x:v>302</x:v>
      </x:c>
      <x:c r="O647" s="31" t="n">
        <x:v>9.077792473247566</x:v>
      </x:c>
      <x:c r="P647" s="31" t="n">
        <x:v>1.4771520766108046</x:v>
      </x:c>
      <x:c r="Q647" s="40" t="n">
        <x:v>0.15905069220360155</x:v>
      </x:c>
      <x:c r="R647" s="31" t="n">
        <x:v>0.10149975487807744</x:v>
      </x:c>
      <x:c r="S647" s="40"/>
      <x:c r="T647" s="40"/>
      <x:c r="U647" s="40" t="n">
        <x:v>1</x:v>
      </x:c>
      <x:c r="V647" s="40" t="n">
        <x:v>0.9963568231497866</x:v>
      </x:c>
      <x:c r="W647" s="31" t="n">
        <x:v>1</x:v>
      </x:c>
      <x:c r="X647" s="31" t="str"/>
      <x:c r="Y647" s="31" t="n">
        <x:v>1</x:v>
      </x:c>
      <x:c r="Z647" s="31" t="n">
        <x:v>0</x:v>
      </x:c>
      <x:c r="AA647" s="31" t="n">
        <x:v>0</x:v>
      </x:c>
      <x:c r="AB647" s="31" t="str"/>
      <x:c r="AC647" s="31" t="str"/>
    </x:row>
    <x:row r="648">
      <x:c r="A648" s="31" t="str">
        <x:v>c1906515a268e621</x:v>
      </x:c>
      <x:c r="B648" s="31" t="str">
        <x:v>c1906515a268e621ecfb2d778030d6642789e99804109bcd860a0d654a86a4e8</x:v>
      </x:c>
      <x:c r="C648" s="31" t="n">
        <x:v>8</x:v>
      </x:c>
      <x:c r="D648" s="31" t="n">
        <x:v>33270</x:v>
      </x:c>
      <x:c r="E648" s="31" t="str">
        <x:v>Brooklyn</x:v>
      </x:c>
      <x:c r="F648" s="31" t="str">
        <x:v>Bedford-Stuyvesant (East)</x:v>
      </x:c>
      <x:c r="G648" s="31" t="n">
        <x:v>63541.37912005985</x:v>
      </x:c>
      <x:c r="H648" s="31" t="n">
        <x:v>14282</x:v>
      </x:c>
      <x:c r="I648" s="31" t="n">
        <x:v>3.6889806814190376</x:v>
      </x:c>
      <x:c r="J648" s="40" t="n">
        <x:v>0.010292676095784905</x:v>
      </x:c>
      <x:c r="K648" s="40" t="n">
        <x:v>0.7171964710824814</x:v>
      </x:c>
      <x:c r="L648" s="40" t="n">
        <x:v>0.011202912757316903</x:v>
      </x:c>
      <x:c r="M648" s="31" t="n">
        <x:v>41.864679853080965</x:v>
      </x:c>
      <x:c r="N648" s="31" t="n">
        <x:v>86</x:v>
      </x:c>
      <x:c r="O648" s="31" t="n">
        <x:v>2.584911331529907</x:v>
      </x:c>
      <x:c r="P648" s="31" t="n">
        <x:v>4.240092424030248</x:v>
      </x:c>
      <x:c r="Q648" s="40" t="n">
        <x:v>1</x:v>
      </x:c>
      <x:c r="R648" s="31" t="n">
        <x:v>0.13890398164652848</x:v>
      </x:c>
      <x:c r="S648" s="40"/>
      <x:c r="T648" s="40"/>
      <x:c r="U648" s="40" t="n">
        <x:v>1</x:v>
      </x:c>
      <x:c r="V648" s="40" t="n">
        <x:v>0.9710824814451757</x:v>
      </x:c>
      <x:c r="W648" s="31" t="n">
        <x:v>1</x:v>
      </x:c>
      <x:c r="X648" s="31" t="str"/>
      <x:c r="Y648" s="31" t="n">
        <x:v>0</x:v>
      </x:c>
      <x:c r="Z648" s="31" t="n">
        <x:v>1</x:v>
      </x:c>
      <x:c r="AA648" s="31" t="n">
        <x:v>0</x:v>
      </x:c>
      <x:c r="AB648" s="31" t="str"/>
      <x:c r="AC648" s="31" t="str"/>
    </x:row>
    <x:row r="649">
      <x:c r="A649" s="31" t="str">
        <x:v>c1de9cdbf4e7aa8b</x:v>
      </x:c>
      <x:c r="B649" s="31" t="str">
        <x:v>c1de9cdbf4e7aa8b7e79ac5b429bffd82b9f535a0c674bd976936cb0526f723b</x:v>
      </x:c>
      <x:c r="C649" s="31" t="n">
        <x:v>11</x:v>
      </x:c>
      <x:c r="D649" s="31" t="n">
        <x:v>35358</x:v>
      </x:c>
      <x:c r="E649" s="31" t="str">
        <x:v>Queens</x:v>
      </x:c>
      <x:c r="F649" s="31" t="str">
        <x:v>Glendale</x:v>
      </x:c>
      <x:c r="G649" s="31" t="n">
        <x:v>46576.224487439664</x:v>
      </x:c>
      <x:c r="H649" s="31" t="n">
        <x:v>13180</x:v>
      </x:c>
      <x:c r="I649" s="31" t="n">
        <x:v>2.4184851258581235</x:v>
      </x:c>
      <x:c r="J649" s="40" t="n">
        <x:v>0</x:v>
      </x:c>
      <x:c r="K649" s="40" t="n">
        <x:v>0.3302731411229135</x:v>
      </x:c>
      <x:c r="L649" s="40" t="n">
        <x:v>0.013581183611532625</x:v>
      </x:c>
      <x:c r="M649" s="31" t="n">
        <x:v>30.22050665856828</x:v>
      </x:c>
      <x:c r="N649" s="31" t="n">
        <x:v>14</x:v>
      </x:c>
      <x:c r="O649" s="31" t="n">
        <x:v>0.3959499971717857</x:v>
      </x:c>
      <x:c r="P649" s="31" t="n">
        <x:v>1</x:v>
      </x:c>
      <x:c r="Q649" s="40" t="n">
        <x:v>0</x:v>
      </x:c>
      <x:c r="R649" s="31" t="n">
        <x:v>0.20007992211203687</x:v>
      </x:c>
      <x:c r="S649" s="40"/>
      <x:c r="T649" s="40"/>
      <x:c r="U649" s="40" t="n">
        <x:v>1</x:v>
      </x:c>
      <x:c r="V649" s="40" t="n">
        <x:v>0.9978755690440061</x:v>
      </x:c>
      <x:c r="W649" s="31" t="n">
        <x:v>0</x:v>
      </x:c>
      <x:c r="X649" s="31" t="str"/>
      <x:c r="Y649" s="31" t="n">
        <x:v>0</x:v>
      </x:c>
      <x:c r="Z649" s="31" t="n">
        <x:v>0</x:v>
      </x:c>
      <x:c r="AA649" s="31" t="n">
        <x:v>0</x:v>
      </x:c>
      <x:c r="AB649" s="31" t="str"/>
      <x:c r="AC649" s="31" t="str"/>
    </x:row>
    <x:row r="650">
      <x:c r="A650" s="31" t="str">
        <x:v>c1e44a181a5c95d7</x:v>
      </x:c>
      <x:c r="B650" s="31" t="str">
        <x:v>c1e44a181a5c95d78913b501f5cb957ed6779f1e1254f2e55973cd470187f41f</x:v>
      </x:c>
      <x:c r="C650" s="31" t="n">
        <x:v>9</x:v>
      </x:c>
      <x:c r="D650" s="31" t="n">
        <x:v>32081</x:v>
      </x:c>
      <x:c r="E650" s="31" t="str">
        <x:v>Staten Island</x:v>
      </x:c>
      <x:c r="F650" s="31" t="str">
        <x:v>St. George-New Brighton</x:v>
      </x:c>
      <x:c r="G650" s="31" t="n">
        <x:v>20209.42052116056</x:v>
      </x:c>
      <x:c r="H650" s="31" t="n">
        <x:v>13041</x:v>
      </x:c>
      <x:c r="I650" s="31" t="n">
        <x:v>4.533900737334497</x:v>
      </x:c>
      <x:c r="J650" s="40" t="n">
        <x:v>0.09439460164097846</x:v>
      </x:c>
      <x:c r="K650" s="40" t="n">
        <x:v>0.40671727628249366</x:v>
      </x:c>
      <x:c r="L650" s="40" t="n">
        <x:v>0.10382639368146615</x:v>
      </x:c>
      <x:c r="M650" s="31" t="n">
        <x:v>54.1839254487744</x:v>
      </x:c>
      <x:c r="N650" s="31" t="n">
        <x:v>100</x:v>
      </x:c>
      <x:c r="O650" s="31" t="n">
        <x:v>3.11710981577881</x:v>
      </x:c>
      <x:c r="P650" s="31" t="n">
        <x:v>2.1826547043938347</x:v>
      </x:c>
      <x:c r="Q650" s="40" t="n">
        <x:v>0</x:v>
      </x:c>
      <x:c r="R650" s="31" t="n">
        <x:v>0.1787130375784201</x:v>
      </x:c>
      <x:c r="S650" s="40"/>
      <x:c r="T650" s="40"/>
      <x:c r="U650" s="40" t="n">
        <x:v>1</x:v>
      </x:c>
      <x:c r="V650" s="40" t="n">
        <x:v>0.966030212407024</x:v>
      </x:c>
      <x:c r="W650" s="31" t="n">
        <x:v>0</x:v>
      </x:c>
      <x:c r="X650" s="31" t="str"/>
      <x:c r="Y650" s="31" t="n">
        <x:v>0</x:v>
      </x:c>
      <x:c r="Z650" s="31" t="n">
        <x:v>0</x:v>
      </x:c>
      <x:c r="AA650" s="31" t="n">
        <x:v>0</x:v>
      </x:c>
      <x:c r="AB650" s="31" t="str"/>
      <x:c r="AC650" s="31" t="str"/>
    </x:row>
    <x:row r="651">
      <x:c r="A651" s="31" t="str">
        <x:v>c1ea5bdfc829ff2c</x:v>
      </x:c>
      <x:c r="B651" s="31" t="str">
        <x:v>c1ea5bdfc829ff2cdce96c3b33e29c8b53d673dd967edd9b49a36ffe6c0386bc</x:v>
      </x:c>
      <x:c r="C651" s="31" t="n">
        <x:v>8</x:v>
      </x:c>
      <x:c r="D651" s="31" t="n">
        <x:v>32932</x:v>
      </x:c>
      <x:c r="E651" s="31" t="str">
        <x:v>Queens</x:v>
      </x:c>
      <x:c r="F651" s="31" t="str">
        <x:v>Jamaica</x:v>
      </x:c>
      <x:c r="G651" s="31" t="n">
        <x:v>47085.78144936799</x:v>
      </x:c>
      <x:c r="H651" s="31" t="n">
        <x:v>10972</x:v>
      </x:c>
      <x:c r="I651" s="31" t="n">
        <x:v>5.837573462310641</x:v>
      </x:c>
      <x:c r="J651" s="40" t="n">
        <x:v>0.17808968282901932</x:v>
      </x:c>
      <x:c r="K651" s="40" t="n">
        <x:v>0.5562340503098797</x:v>
      </x:c>
      <x:c r="L651" s="40" t="n">
        <x:v>0.011848341232227487</x:v>
      </x:c>
      <x:c r="M651" s="31" t="n">
        <x:v>57.851991750561474</x:v>
      </x:c>
      <x:c r="N651" s="31" t="n">
        <x:v>138</x:v>
      </x:c>
      <x:c r="O651" s="31" t="n">
        <x:v>4.190453054779546</x:v>
      </x:c>
      <x:c r="P651" s="31" t="n">
        <x:v>3.025063798760481</x:v>
      </x:c>
      <x:c r="Q651" s="40" t="n">
        <x:v>0.025063798760481225</x:v>
      </x:c>
      <x:c r="R651" s="31" t="n">
        <x:v>0.16572746555294043</x:v>
      </x:c>
      <x:c r="S651" s="40"/>
      <x:c r="T651" s="40"/>
      <x:c r="U651" s="40" t="n">
        <x:v>1</x:v>
      </x:c>
      <x:c r="V651" s="40" t="n">
        <x:v>0.9333758658403208</x:v>
      </x:c>
      <x:c r="W651" s="31" t="n">
        <x:v>0</x:v>
      </x:c>
      <x:c r="X651" s="31" t="str"/>
      <x:c r="Y651" s="31" t="n">
        <x:v>0</x:v>
      </x:c>
      <x:c r="Z651" s="31" t="n">
        <x:v>0</x:v>
      </x:c>
      <x:c r="AA651" s="31" t="n">
        <x:v>0</x:v>
      </x:c>
      <x:c r="AB651" s="31" t="str"/>
      <x:c r="AC651" s="31" t="str"/>
    </x:row>
    <x:row r="652">
      <x:c r="A652" s="31" t="str">
        <x:v>c208b6f7cd938a31</x:v>
      </x:c>
      <x:c r="B652" s="31" t="str">
        <x:v>c208b6f7cd938a3109cd19a326925a613be1d660146f8283c1ab86f225df0999</x:v>
      </x:c>
      <x:c r="C652" s="31" t="n">
        <x:v>9</x:v>
      </x:c>
      <x:c r="D652" s="31" t="n">
        <x:v>34141</x:v>
      </x:c>
      <x:c r="E652" s="31" t="str">
        <x:v>Queens</x:v>
      </x:c>
      <x:c r="F652" s="31" t="str">
        <x:v>Jamaica</x:v>
      </x:c>
      <x:c r="G652" s="31" t="n">
        <x:v>43631.815135730205</x:v>
      </x:c>
      <x:c r="H652" s="31" t="n">
        <x:v>11174</x:v>
      </x:c>
      <x:c r="I652" s="31" t="n">
        <x:v>5.802632616487456</x:v>
      </x:c>
      <x:c r="J652" s="40" t="n">
        <x:v>0.17487023447288347</x:v>
      </x:c>
      <x:c r="K652" s="40" t="n">
        <x:v>0.5569178449973152</x:v>
      </x:c>
      <x:c r="L652" s="40" t="n">
        <x:v>0.0117236441739753</x:v>
      </x:c>
      <x:c r="M652" s="31" t="n">
        <x:v>57.700174041702574</x:v>
      </x:c>
      <x:c r="N652" s="31" t="n">
        <x:v>139</x:v>
      </x:c>
      <x:c r="O652" s="31" t="n">
        <x:v>4.071351161360241</x:v>
      </x:c>
      <x:c r="P652" s="31" t="n">
        <x:v>3.0246107034186505</x:v>
      </x:c>
      <x:c r="Q652" s="40" t="n">
        <x:v>0.02461070341865044</x:v>
      </x:c>
      <x:c r="R652" s="31" t="n">
        <x:v>0.1622357639974368</x:v>
      </x:c>
      <x:c r="S652" s="40"/>
      <x:c r="T652" s="40"/>
      <x:c r="U652" s="40" t="n">
        <x:v>1</x:v>
      </x:c>
      <x:c r="V652" s="40" t="n">
        <x:v>0.9345802756398783</x:v>
      </x:c>
      <x:c r="W652" s="31" t="n">
        <x:v>0</x:v>
      </x:c>
      <x:c r="X652" s="31" t="str"/>
      <x:c r="Y652" s="31" t="n">
        <x:v>0</x:v>
      </x:c>
      <x:c r="Z652" s="31" t="n">
        <x:v>0</x:v>
      </x:c>
      <x:c r="AA652" s="31" t="n">
        <x:v>0</x:v>
      </x:c>
      <x:c r="AB652" s="31" t="str"/>
      <x:c r="AC652" s="31" t="str"/>
    </x:row>
    <x:row r="653">
      <x:c r="A653" s="31" t="str">
        <x:v>c211cf145e24abc2</x:v>
      </x:c>
      <x:c r="B653" s="31" t="str">
        <x:v>c211cf145e24abc26e3cc4a29c7470b4ad74f93f9f431debd30bc235f9e5e16e</x:v>
      </x:c>
      <x:c r="C653" s="31" t="n">
        <x:v>5</x:v>
      </x:c>
      <x:c r="D653" s="31" t="n">
        <x:v>36723</x:v>
      </x:c>
      <x:c r="E653" s="31" t="str">
        <x:v>Manhattan</x:v>
      </x:c>
      <x:c r="F653" s="31" t="str">
        <x:v>Financial District-Battery Park City</x:v>
      </x:c>
      <x:c r="G653" s="31" t="n">
        <x:v>72274.50994861731</x:v>
      </x:c>
      <x:c r="H653" s="31" t="n">
        <x:v>28169</x:v>
      </x:c>
      <x:c r="I653" s="31" t="n">
        <x:v>32.180099792402665</x:v>
      </x:c>
      <x:c r="J653" s="40" t="n">
        <x:v>0.872022436011218</x:v>
      </x:c>
      <x:c r="K653" s="40" t="n">
        <x:v>0.10270155135077567</x:v>
      </x:c>
      <x:c r="L653" s="40" t="n">
        <x:v>0.061166530583265294</x:v>
      </x:c>
      <x:c r="M653" s="31" t="n">
        <x:v>395.5845410147582</x:v>
      </x:c>
      <x:c r="N653" s="31" t="n">
        <x:v>737</x:v>
      </x:c>
      <x:c r="O653" s="31" t="n">
        <x:v>20.069166462434985</x:v>
      </x:c>
      <x:c r="P653" s="31" t="n">
        <x:v>1.4238702119351059</x:v>
      </x:c>
      <x:c r="Q653" s="40" t="n">
        <x:v>0</x:v>
      </x:c>
      <x:c r="R653" s="31" t="n">
        <x:v>0.0899798111426876</x:v>
      </x:c>
      <x:c r="S653" s="40"/>
      <x:c r="T653" s="40"/>
      <x:c r="U653" s="40" t="n">
        <x:v>1</x:v>
      </x:c>
      <x:c r="V653" s="40" t="n">
        <x:v>0.891937945968973</x:v>
      </x:c>
      <x:c r="W653" s="31" t="n">
        <x:v>0</x:v>
      </x:c>
      <x:c r="X653" s="31" t="str"/>
      <x:c r="Y653" s="31" t="n">
        <x:v>0</x:v>
      </x:c>
      <x:c r="Z653" s="31" t="n">
        <x:v>0</x:v>
      </x:c>
      <x:c r="AA653" s="31" t="n">
        <x:v>0</x:v>
      </x:c>
      <x:c r="AB653" s="31" t="str"/>
      <x:c r="AC653" s="31" t="str"/>
    </x:row>
    <x:row r="654">
      <x:c r="A654" s="31" t="str">
        <x:v>c212ddb5a1d0c7a4</x:v>
      </x:c>
      <x:c r="B654" s="31" t="str">
        <x:v>c212ddb5a1d0c7a49398a58641141b662ec3d711f567d472584746dab4df9b62</x:v>
      </x:c>
      <x:c r="C654" s="31" t="n">
        <x:v>12</x:v>
      </x:c>
      <x:c r="D654" s="31" t="n">
        <x:v>33934</x:v>
      </x:c>
      <x:c r="E654" s="31" t="str">
        <x:v>Queens</x:v>
      </x:c>
      <x:c r="F654" s="31" t="str">
        <x:v>South Ozone Park</x:v>
      </x:c>
      <x:c r="G654" s="31" t="n">
        <x:v>43239.575975207226</x:v>
      </x:c>
      <x:c r="H654" s="31" t="n">
        <x:v>9277</x:v>
      </x:c>
      <x:c r="I654" s="31" t="n">
        <x:v>2.407233606557377</x:v>
      </x:c>
      <x:c r="J654" s="40" t="n">
        <x:v>0</x:v>
      </x:c>
      <x:c r="K654" s="40" t="n">
        <x:v>0.17947612374690095</x:v>
      </x:c>
      <x:c r="L654" s="40" t="n">
        <x:v>0.01293521612590277</x:v>
      </x:c>
      <x:c r="M654" s="31" t="n">
        <x:v>28.608722598250864</x:v>
      </x:c>
      <x:c r="N654" s="31" t="n">
        <x:v>7</x:v>
      </x:c>
      <x:c r="O654" s="31" t="n">
        <x:v>0.2062827842282077</x:v>
      </x:c>
      <x:c r="P654" s="31" t="n">
        <x:v>3.7727713700549748</x:v>
      </x:c>
      <x:c r="Q654" s="40" t="n">
        <x:v>0.7727713700549746</x:v>
      </x:c>
      <x:c r="R654" s="31" t="n">
        <x:v>0.17805555679660487</x:v>
      </x:c>
      <x:c r="S654" s="40"/>
      <x:c r="T654" s="40"/>
      <x:c r="U654" s="40" t="n">
        <x:v>1</x:v>
      </x:c>
      <x:c r="V654" s="40" t="n">
        <x:v>0.9891128597606985</x:v>
      </x:c>
      <x:c r="W654" s="31" t="n">
        <x:v>0</x:v>
      </x:c>
      <x:c r="X654" s="31" t="str"/>
      <x:c r="Y654" s="31" t="n">
        <x:v>0</x:v>
      </x:c>
      <x:c r="Z654" s="31" t="n">
        <x:v>0</x:v>
      </x:c>
      <x:c r="AA654" s="31" t="n">
        <x:v>0</x:v>
      </x:c>
      <x:c r="AB654" s="31" t="str"/>
      <x:c r="AC654" s="31" t="str"/>
    </x:row>
    <x:row r="655">
      <x:c r="A655" s="31" t="str">
        <x:v>c25aa08527a3cd59</x:v>
      </x:c>
      <x:c r="B655" s="31" t="str">
        <x:v>c25aa08527a3cd592c11518b71f4d5e7dfbf54ded9215b6f03b5c54b1163df61</x:v>
      </x:c>
      <x:c r="C655" s="31" t="n">
        <x:v>6</x:v>
      </x:c>
      <x:c r="D655" s="31" t="n">
        <x:v>32041</x:v>
      </x:c>
      <x:c r="E655" s="31" t="str">
        <x:v>Queens</x:v>
      </x:c>
      <x:c r="F655" s="31" t="str">
        <x:v>College Point</x:v>
      </x:c>
      <x:c r="G655" s="31" t="n">
        <x:v>19849.992224205493</x:v>
      </x:c>
      <x:c r="H655" s="31" t="n">
        <x:v>9555</x:v>
      </x:c>
      <x:c r="I655" s="31" t="n">
        <x:v>2.2842723547336345</x:v>
      </x:c>
      <x:c r="J655" s="40" t="n">
        <x:v>0</x:v>
      </x:c>
      <x:c r="K655" s="40" t="n">
        <x:v>0.22752485609628467</x:v>
      </x:c>
      <x:c r="L655" s="40" t="n">
        <x:v>0.08644688644688645</x:v>
      </x:c>
      <x:c r="M655" s="31" t="n">
        <x:v>29.020316195340254</x:v>
      </x:c>
      <x:c r="N655" s="31" t="n">
        <x:v>32</x:v>
      </x:c>
      <x:c r="O655" s="31" t="n">
        <x:v>0.9987203895009519</x:v>
      </x:c>
      <x:c r="P655" s="31" t="n">
        <x:v>3.0049188906331765</x:v>
      </x:c>
      <x:c r="Q655" s="40" t="n">
        <x:v>0.07409733124018839</x:v>
      </x:c>
      <x:c r="R655" s="31" t="n">
        <x:v>0.21211474209441294</x:v>
      </x:c>
      <x:c r="S655" s="40"/>
      <x:c r="T655" s="40"/>
      <x:c r="U655" s="40" t="n">
        <x:v>1</x:v>
      </x:c>
      <x:c r="V655" s="40" t="n">
        <x:v>0.9781266352694924</x:v>
      </x:c>
      <x:c r="W655" s="31" t="n">
        <x:v>0</x:v>
      </x:c>
      <x:c r="X655" s="31" t="str"/>
      <x:c r="Y655" s="31" t="n">
        <x:v>0</x:v>
      </x:c>
      <x:c r="Z655" s="31" t="n">
        <x:v>0</x:v>
      </x:c>
      <x:c r="AA655" s="31" t="n">
        <x:v>0</x:v>
      </x:c>
      <x:c r="AB655" s="31" t="str"/>
      <x:c r="AC655" s="31" t="str"/>
    </x:row>
    <x:row r="656">
      <x:c r="A656" s="31" t="str">
        <x:v>c36d6758107c6d88</x:v>
      </x:c>
      <x:c r="B656" s="31" t="str">
        <x:v>c36d6758107c6d8876a0614ebbce90315ab0d5bd3caf7492b9f78a86427c23f4</x:v>
      </x:c>
      <x:c r="C656" s="31" t="n">
        <x:v>8</x:v>
      </x:c>
      <x:c r="D656" s="31" t="n">
        <x:v>32898</x:v>
      </x:c>
      <x:c r="E656" s="31" t="str">
        <x:v>Queens</x:v>
      </x:c>
      <x:c r="F656" s="31" t="str">
        <x:v>Ridgewood</x:v>
      </x:c>
      <x:c r="G656" s="31" t="n">
        <x:v>64392.23879280287</x:v>
      </x:c>
      <x:c r="H656" s="31" t="n">
        <x:v>12635</x:v>
      </x:c>
      <x:c r="I656" s="31" t="n">
        <x:v>2.7828544137546762</x:v>
      </x:c>
      <x:c r="J656" s="40" t="n">
        <x:v>0.005223585278986941</x:v>
      </x:c>
      <x:c r="K656" s="40" t="n">
        <x:v>0.5987336762960032</x:v>
      </x:c>
      <x:c r="L656" s="40" t="n">
        <x:v>0.0076770874554808076</x:v>
      </x:c>
      <x:c r="M656" s="31" t="n">
        <x:v>33.91985581437126</x:v>
      </x:c>
      <x:c r="N656" s="31" t="n">
        <x:v>14</x:v>
      </x:c>
      <x:c r="O656" s="31" t="n">
        <x:v>0.42555778466776095</x:v>
      </x:c>
      <x:c r="P656" s="31" t="n">
        <x:v>1</x:v>
      </x:c>
      <x:c r="Q656" s="40" t="n">
        <x:v>0</x:v>
      </x:c>
      <x:c r="R656" s="31" t="n">
        <x:v>0.14101817048891177</x:v>
      </x:c>
      <x:c r="S656" s="40"/>
      <x:c r="T656" s="40"/>
      <x:c r="U656" s="40" t="n">
        <x:v>1</x:v>
      </x:c>
      <x:c r="V656" s="40" t="n">
        <x:v>0.9912940245350218</x:v>
      </x:c>
      <x:c r="W656" s="31" t="n">
        <x:v>0</x:v>
      </x:c>
      <x:c r="X656" s="31" t="str"/>
      <x:c r="Y656" s="31" t="n">
        <x:v>0</x:v>
      </x:c>
      <x:c r="Z656" s="31" t="n">
        <x:v>0</x:v>
      </x:c>
      <x:c r="AA656" s="31" t="n">
        <x:v>0</x:v>
      </x:c>
      <x:c r="AB656" s="31" t="str"/>
      <x:c r="AC656" s="31" t="str"/>
    </x:row>
    <x:row r="657">
      <x:c r="A657" s="31" t="str">
        <x:v>c3bac2799aea4624</x:v>
      </x:c>
      <x:c r="B657" s="31" t="str">
        <x:v>c3bac2799aea462459af79cd2e66a260dfab1889334c91310004a4182f2b034c</x:v>
      </x:c>
      <x:c r="C657" s="31" t="n">
        <x:v>9</x:v>
      </x:c>
      <x:c r="D657" s="31" t="n">
        <x:v>33603</x:v>
      </x:c>
      <x:c r="E657" s="31" t="str">
        <x:v>Brooklyn</x:v>
      </x:c>
      <x:c r="F657" s="31" t="str">
        <x:v>Bedford-Stuyvesant (West)</x:v>
      </x:c>
      <x:c r="G657" s="31" t="n">
        <x:v>63034.5111099547</x:v>
      </x:c>
      <x:c r="H657" s="31" t="n">
        <x:v>14744</x:v>
      </x:c>
      <x:c r="I657" s="31" t="n">
        <x:v>3.8699245541838136</x:v>
      </x:c>
      <x:c r="J657" s="40" t="n">
        <x:v>0.03811720021703744</x:v>
      </x:c>
      <x:c r="K657" s="40" t="n">
        <x:v>0.8405453065653825</x:v>
      </x:c>
      <x:c r="L657" s="40" t="n">
        <x:v>0.04354313619099295</x:v>
      </x:c>
      <x:c r="M657" s="31" t="n">
        <x:v>46.93678963738423</x:v>
      </x:c>
      <x:c r="N657" s="31" t="n">
        <x:v>67</x:v>
      </x:c>
      <x:c r="O657" s="31" t="n">
        <x:v>1.9938695949766387</x:v>
      </x:c>
      <x:c r="P657" s="31" t="n">
        <x:v>3.9975583288117202</x:v>
      </x:c>
      <x:c r="Q657" s="40" t="n">
        <x:v>0.99877916440586</x:v>
      </x:c>
      <x:c r="R657" s="31" t="n">
        <x:v>0.14863564886639744</x:v>
      </x:c>
      <x:c r="S657" s="40"/>
      <x:c r="T657" s="40"/>
      <x:c r="U657" s="40" t="n">
        <x:v>1</x:v>
      </x:c>
      <x:c r="V657" s="40" t="n">
        <x:v>0.9710390667390125</x:v>
      </x:c>
      <x:c r="W657" s="31" t="n">
        <x:v>0</x:v>
      </x:c>
      <x:c r="X657" s="31" t="str"/>
      <x:c r="Y657" s="31" t="n">
        <x:v>0</x:v>
      </x:c>
      <x:c r="Z657" s="31" t="n">
        <x:v>0</x:v>
      </x:c>
      <x:c r="AA657" s="31" t="n">
        <x:v>0</x:v>
      </x:c>
      <x:c r="AB657" s="31" t="str"/>
      <x:c r="AC657" s="31" t="str"/>
    </x:row>
    <x:row r="658">
      <x:c r="A658" s="31" t="str">
        <x:v>c3f6fc8695dea65d</x:v>
      </x:c>
      <x:c r="B658" s="31" t="str">
        <x:v>c3f6fc8695dea65d4ecbb3b58ea3de7a1d77f885429e4598e555f14a092bbfb4</x:v>
      </x:c>
      <x:c r="C658" s="31" t="n">
        <x:v>11</x:v>
      </x:c>
      <x:c r="D658" s="31" t="n">
        <x:v>34011</x:v>
      </x:c>
      <x:c r="E658" s="31" t="str">
        <x:v>Brooklyn</x:v>
      </x:c>
      <x:c r="F658" s="31" t="str">
        <x:v>East Williamsburg</x:v>
      </x:c>
      <x:c r="G658" s="31" t="n">
        <x:v>44032.13321906671</x:v>
      </x:c>
      <x:c r="H658" s="31" t="n">
        <x:v>19109</x:v>
      </x:c>
      <x:c r="I658" s="31" t="n">
        <x:v>4.633679360203379</x:v>
      </x:c>
      <x:c r="J658" s="40" t="n">
        <x:v>0.038777539379350044</x:v>
      </x:c>
      <x:c r="K658" s="40" t="n">
        <x:v>0.8548328012978178</x:v>
      </x:c>
      <x:c r="L658" s="40" t="n">
        <x:v>0.10780260610183683</x:v>
      </x:c>
      <x:c r="M658" s="31" t="n">
        <x:v>51.63589006253307</x:v>
      </x:c>
      <x:c r="N658" s="31" t="n">
        <x:v>318</x:v>
      </x:c>
      <x:c r="O658" s="31" t="n">
        <x:v>9.349916203581195</x:v>
      </x:c>
      <x:c r="P658" s="31" t="n">
        <x:v>3.1052907007169397</x:v>
      </x:c>
      <x:c r="Q658" s="40" t="n">
        <x:v>0.10529070071693966</x:v>
      </x:c>
      <x:c r="R658" s="31" t="n">
        <x:v>0.1302748837647683</x:v>
      </x:c>
      <x:c r="S658" s="40"/>
      <x:c r="T658" s="40"/>
      <x:c r="U658" s="40" t="n">
        <x:v>1</x:v>
      </x:c>
      <x:c r="V658" s="40" t="n">
        <x:v>0.9612747919828353</x:v>
      </x:c>
      <x:c r="W658" s="31" t="n">
        <x:v>0</x:v>
      </x:c>
      <x:c r="X658" s="31" t="str"/>
      <x:c r="Y658" s="31" t="n">
        <x:v>0</x:v>
      </x:c>
      <x:c r="Z658" s="31" t="n">
        <x:v>0</x:v>
      </x:c>
      <x:c r="AA658" s="31" t="n">
        <x:v>0</x:v>
      </x:c>
      <x:c r="AB658" s="31" t="str"/>
      <x:c r="AC658" s="31" t="str"/>
    </x:row>
    <x:row r="659">
      <x:c r="A659" s="31" t="str">
        <x:v>c44fe293c82c08f3</x:v>
      </x:c>
      <x:c r="B659" s="31" t="str">
        <x:v>c44fe293c82c08f30edb9887da4291493944ed8c4c322871a6c7375467030982</x:v>
      </x:c>
      <x:c r="C659" s="31" t="n">
        <x:v>14</x:v>
      </x:c>
      <x:c r="D659" s="31" t="n">
        <x:v>33624</x:v>
      </x:c>
      <x:c r="E659" s="31" t="str">
        <x:v>Queens</x:v>
      </x:c>
      <x:c r="F659" s="31" t="str">
        <x:v>Laurelton</x:v>
      </x:c>
      <x:c r="G659" s="31" t="n">
        <x:v>16074.546926380151</x:v>
      </x:c>
      <x:c r="H659" s="31" t="n">
        <x:v>10185</x:v>
      </x:c>
      <x:c r="I659" s="31" t="n">
        <x:v>1.9184747593792972</x:v>
      </x:c>
      <x:c r="J659" s="40" t="n">
        <x:v>0</x:v>
      </x:c>
      <x:c r="K659" s="40" t="n">
        <x:v>0.008247422680412371</x:v>
      </x:c>
      <x:c r="L659" s="40" t="n">
        <x:v>0.04742268041237113</x:v>
      </x:c>
      <x:c r="M659" s="31" t="n">
        <x:v>25.278478840276957</x:v>
      </x:c>
      <x:c r="N659" s="31" t="n">
        <x:v>3</x:v>
      </x:c>
      <x:c r="O659" s="31" t="n">
        <x:v>0.08922198429693076</x:v>
      </x:c>
      <x:c r="P659" s="31" t="n">
        <x:v>4.042513500245459</x:v>
      </x:c>
      <x:c r="Q659" s="40" t="n">
        <x:v>1</x:v>
      </x:c>
      <x:c r="R659" s="31" t="n">
        <x:v>0.18725682377948244</x:v>
      </x:c>
      <x:c r="S659" s="40"/>
      <x:c r="T659" s="40"/>
      <x:c r="U659" s="40" t="n">
        <x:v>1</x:v>
      </x:c>
      <x:c r="V659" s="40" t="n">
        <x:v>0.9961708394698086</x:v>
      </x:c>
      <x:c r="W659" s="31" t="n">
        <x:v>0</x:v>
      </x:c>
      <x:c r="X659" s="31" t="str"/>
      <x:c r="Y659" s="31" t="n">
        <x:v>0</x:v>
      </x:c>
      <x:c r="Z659" s="31" t="n">
        <x:v>0</x:v>
      </x:c>
      <x:c r="AA659" s="31" t="n">
        <x:v>0</x:v>
      </x:c>
      <x:c r="AB659" s="31" t="str"/>
      <x:c r="AC659" s="31" t="str"/>
    </x:row>
    <x:row r="660">
      <x:c r="A660" s="31" t="str">
        <x:v>c45ed3e484821c14</x:v>
      </x:c>
      <x:c r="B660" s="31" t="str">
        <x:v>c45ed3e484821c146662cc4688a90fb93951738f88bc3f4138eb17ba83b2c0f7</x:v>
      </x:c>
      <x:c r="C660" s="31" t="n">
        <x:v>9</x:v>
      </x:c>
      <x:c r="D660" s="31" t="n">
        <x:v>32690</x:v>
      </x:c>
      <x:c r="E660" s="31" t="str">
        <x:v>Brooklyn</x:v>
      </x:c>
      <x:c r="F660" s="31" t="str">
        <x:v>Gravesend (East)-Homecrest</x:v>
      </x:c>
      <x:c r="G660" s="31" t="n">
        <x:v>41736.997566807986</x:v>
      </x:c>
      <x:c r="H660" s="31" t="n">
        <x:v>12177</x:v>
      </x:c>
      <x:c r="I660" s="31" t="n">
        <x:v>3.611397831800263</x:v>
      </x:c>
      <x:c r="J660" s="40" t="n">
        <x:v>0.015603186334893653</x:v>
      </x:c>
      <x:c r="K660" s="40" t="n">
        <x:v>0.43467192247680053</x:v>
      </x:c>
      <x:c r="L660" s="40" t="n">
        <x:v>0.037447647203744765</x:v>
      </x:c>
      <x:c r="M660" s="31" t="n">
        <x:v>41.79058164942829</x:v>
      </x:c>
      <x:c r="N660" s="31" t="n">
        <x:v>106</x:v>
      </x:c>
      <x:c r="O660" s="31" t="n">
        <x:v>3.2425818293055984</x:v>
      </x:c>
      <x:c r="P660" s="31" t="n">
        <x:v>3.831814075716515</x:v>
      </x:c>
      <x:c r="Q660" s="40" t="n">
        <x:v>0.8318140757165148</x:v>
      </x:c>
      <x:c r="R660" s="31" t="n">
        <x:v>0.18307185746377927</x:v>
      </x:c>
      <x:c r="S660" s="40"/>
      <x:c r="T660" s="40"/>
      <x:c r="U660" s="40" t="n">
        <x:v>1</x:v>
      </x:c>
      <x:c r="V660" s="40" t="n">
        <x:v>0.9968793627330212</x:v>
      </x:c>
      <x:c r="W660" s="31" t="n">
        <x:v>0</x:v>
      </x:c>
      <x:c r="X660" s="31" t="str"/>
      <x:c r="Y660" s="31" t="n">
        <x:v>0</x:v>
      </x:c>
      <x:c r="Z660" s="31" t="n">
        <x:v>0</x:v>
      </x:c>
      <x:c r="AA660" s="31" t="n">
        <x:v>0</x:v>
      </x:c>
      <x:c r="AB660" s="31" t="str"/>
      <x:c r="AC660" s="31" t="str"/>
    </x:row>
    <x:row r="661">
      <x:c r="A661" s="31" t="str">
        <x:v>c4cd97f07d36883e</x:v>
      </x:c>
      <x:c r="B661" s="31" t="str">
        <x:v>c4cd97f07d36883e7dfb73f86efeb2cc171ce6d90853baaa5583e3e44e1f4b04</x:v>
      </x:c>
      <x:c r="C661" s="31" t="n">
        <x:v>8</x:v>
      </x:c>
      <x:c r="D661" s="31" t="n">
        <x:v>32866</x:v>
      </x:c>
      <x:c r="E661" s="31" t="str">
        <x:v>Bronx</x:v>
      </x:c>
      <x:c r="F661" s="31" t="str">
        <x:v>Eastchester-Edenwald-Baychester</x:v>
      </x:c>
      <x:c r="G661" s="31" t="n">
        <x:v>26489.643699907392</x:v>
      </x:c>
      <x:c r="H661" s="31" t="n">
        <x:v>17712</x:v>
      </x:c>
      <x:c r="I661" s="31" t="n">
        <x:v>21.238286667797954</x:v>
      </x:c>
      <x:c r="J661" s="40" t="n">
        <x:v>0.6161924119241192</x:v>
      </x:c>
      <x:c r="K661" s="40" t="n">
        <x:v>0.10360207768744355</x:v>
      </x:c>
      <x:c r="L661" s="40" t="n">
        <x:v>0.6217253839205059</x:v>
      </x:c>
      <x:c r="M661" s="31" t="n">
        <x:v>190.43392319967995</x:v>
      </x:c>
      <x:c r="N661" s="31" t="n">
        <x:v>121</x:v>
      </x:c>
      <x:c r="O661" s="31" t="n">
        <x:v>3.6816162599647053</x:v>
      </x:c>
      <x:c r="P661" s="31" t="n">
        <x:v>4.368789521228545</x:v>
      </x:c>
      <x:c r="Q661" s="40" t="n">
        <x:v>1</x:v>
      </x:c>
      <x:c r="R661" s="31" t="n">
        <x:v>0.21422586834138116</x:v>
      </x:c>
      <x:c r="S661" s="40"/>
      <x:c r="T661" s="40"/>
      <x:c r="U661" s="40" t="n">
        <x:v>1</x:v>
      </x:c>
      <x:c r="V661" s="40" t="n">
        <x:v>0.9949186991869918</x:v>
      </x:c>
      <x:c r="W661" s="31" t="n">
        <x:v>0</x:v>
      </x:c>
      <x:c r="X661" s="31" t="str"/>
      <x:c r="Y661" s="31" t="n">
        <x:v>0</x:v>
      </x:c>
      <x:c r="Z661" s="31" t="n">
        <x:v>0</x:v>
      </x:c>
      <x:c r="AA661" s="31" t="n">
        <x:v>0</x:v>
      </x:c>
      <x:c r="AB661" s="31" t="str"/>
      <x:c r="AC661" s="31" t="str"/>
    </x:row>
    <x:row r="662">
      <x:c r="A662" s="31" t="str">
        <x:v>c5166f16ca3bd2bc</x:v>
      </x:c>
      <x:c r="B662" s="31" t="str">
        <x:v>c5166f16ca3bd2bc80e418978cebd29de37f78dc300ab35d7a750a9cee896761</x:v>
      </x:c>
      <x:c r="C662" s="31" t="n">
        <x:v>10</x:v>
      </x:c>
      <x:c r="D662" s="31" t="n">
        <x:v>34043</x:v>
      </x:c>
      <x:c r="E662" s="31" t="str">
        <x:v>Bronx</x:v>
      </x:c>
      <x:c r="F662" s="31" t="str">
        <x:v>Williamsbridge-Olinville</x:v>
      </x:c>
      <x:c r="G662" s="31" t="n">
        <x:v>44968.68941669832</x:v>
      </x:c>
      <x:c r="H662" s="31" t="n">
        <x:v>13307</x:v>
      </x:c>
      <x:c r="I662" s="31" t="n">
        <x:v>4.974470198675497</x:v>
      </x:c>
      <x:c r="J662" s="40" t="n">
        <x:v>0.08296385361088149</x:v>
      </x:c>
      <x:c r="K662" s="40" t="n">
        <x:v>0.583527466746825</x:v>
      </x:c>
      <x:c r="L662" s="40" t="n">
        <x:v>0.010746223791989178</x:v>
      </x:c>
      <x:c r="M662" s="31" t="n">
        <x:v>50.85264839505165</x:v>
      </x:c>
      <x:c r="N662" s="31" t="n">
        <x:v>80</x:v>
      </x:c>
      <x:c r="O662" s="31" t="n">
        <x:v>2.3499691566548186</x:v>
      </x:c>
      <x:c r="P662" s="31" t="n">
        <x:v>4.399413842338618</x:v>
      </x:c>
      <x:c r="Q662" s="40" t="n">
        <x:v>1</x:v>
      </x:c>
      <x:c r="R662" s="31" t="n">
        <x:v>0.18210312418766741</x:v>
      </x:c>
      <x:c r="S662" s="40"/>
      <x:c r="T662" s="40"/>
      <x:c r="U662" s="40" t="n">
        <x:v>1</x:v>
      </x:c>
      <x:c r="V662" s="40" t="n">
        <x:v>0.9602464868114526</x:v>
      </x:c>
      <x:c r="W662" s="31" t="n">
        <x:v>1</x:v>
      </x:c>
      <x:c r="X662" s="31" t="str"/>
      <x:c r="Y662" s="31" t="n">
        <x:v>0</x:v>
      </x:c>
      <x:c r="Z662" s="31" t="n">
        <x:v>1</x:v>
      </x:c>
      <x:c r="AA662" s="31" t="n">
        <x:v>0</x:v>
      </x:c>
      <x:c r="AB662" s="31" t="str"/>
      <x:c r="AC662" s="31" t="str"/>
    </x:row>
    <x:row r="663">
      <x:c r="A663" s="31" t="str">
        <x:v>c51701f12dec6d6d</x:v>
      </x:c>
      <x:c r="B663" s="31" t="str">
        <x:v>c51701f12dec6d6d32f119b5511c3ec808fe16f3765cbf73c0069da0d9384d19</x:v>
      </x:c>
      <x:c r="C663" s="31" t="n">
        <x:v>18</x:v>
      </x:c>
      <x:c r="D663" s="31" t="n">
        <x:v>32147</x:v>
      </x:c>
      <x:c r="E663" s="31" t="str">
        <x:v>Queens</x:v>
      </x:c>
      <x:c r="F663" s="31" t="str">
        <x:v>St. Albans</x:v>
      </x:c>
      <x:c r="G663" s="31" t="n">
        <x:v>22808.95812132805</x:v>
      </x:c>
      <x:c r="H663" s="31" t="n">
        <x:v>9485</x:v>
      </x:c>
      <x:c r="I663" s="31" t="n">
        <x:v>2.1390202488926384</x:v>
      </x:c>
      <x:c r="J663" s="40" t="n">
        <x:v>0</x:v>
      </x:c>
      <x:c r="K663" s="40" t="n">
        <x:v>0.005904059040590406</x:v>
      </x:c>
      <x:c r="L663" s="40" t="n">
        <x:v>0.008961518186610437</x:v>
      </x:c>
      <x:c r="M663" s="31" t="n">
        <x:v>26.54066050914871</x:v>
      </x:c>
      <x:c r="N663" s="31" t="n">
        <x:v>6</x:v>
      </x:c>
      <x:c r="O663" s="31" t="n">
        <x:v>0.18664261050797895</x:v>
      </x:c>
      <x:c r="P663" s="31" t="n">
        <x:v>4.99978914074855</x:v>
      </x:c>
      <x:c r="Q663" s="40" t="n">
        <x:v>1</x:v>
      </x:c>
      <x:c r="R663" s="31" t="n">
        <x:v>0.21299468188924878</x:v>
      </x:c>
      <x:c r="S663" s="40"/>
      <x:c r="T663" s="40"/>
      <x:c r="U663" s="40" t="n">
        <x:v>1</x:v>
      </x:c>
      <x:c r="V663" s="40" t="n">
        <x:v>0.9982076963626779</x:v>
      </x:c>
      <x:c r="W663" s="31" t="n">
        <x:v>0</x:v>
      </x:c>
      <x:c r="X663" s="31" t="str"/>
      <x:c r="Y663" s="31" t="n">
        <x:v>0</x:v>
      </x:c>
      <x:c r="Z663" s="31" t="n">
        <x:v>0</x:v>
      </x:c>
      <x:c r="AA663" s="31" t="n">
        <x:v>0</x:v>
      </x:c>
      <x:c r="AB663" s="31" t="str"/>
      <x:c r="AC663" s="31" t="str"/>
    </x:row>
    <x:row r="664">
      <x:c r="A664" s="31" t="str">
        <x:v>c538795af6fbf909</x:v>
      </x:c>
      <x:c r="B664" s="31" t="str">
        <x:v>c538795af6fbf90919c5ec4069b2329f04827dac22b637788c87c34f97fdeffb</x:v>
      </x:c>
      <x:c r="C664" s="31" t="n">
        <x:v>8</x:v>
      </x:c>
      <x:c r="D664" s="31" t="n">
        <x:v>32190</x:v>
      </x:c>
      <x:c r="E664" s="31" t="str">
        <x:v>Brooklyn</x:v>
      </x:c>
      <x:c r="F664" s="31" t="str">
        <x:v>Bushwick (East)</x:v>
      </x:c>
      <x:c r="G664" s="31" t="n">
        <x:v>64854.455195840506</x:v>
      </x:c>
      <x:c r="H664" s="31" t="n">
        <x:v>13692</x:v>
      </x:c>
      <x:c r="I664" s="31" t="n">
        <x:v>4.0124075704225355</x:v>
      </x:c>
      <x:c r="J664" s="40" t="n">
        <x:v>0.020230791703184342</x:v>
      </x:c>
      <x:c r="K664" s="40" t="n">
        <x:v>0.7758545135845749</x:v>
      </x:c>
      <x:c r="L664" s="40" t="n">
        <x:v>0.06091148115687993</x:v>
      </x:c>
      <x:c r="M664" s="31" t="n">
        <x:v>43.987673425726314</x:v>
      </x:c>
      <x:c r="N664" s="31" t="n">
        <x:v>101</x:v>
      </x:c>
      <x:c r="O664" s="31" t="n">
        <x:v>3.1376203789996895</x:v>
      </x:c>
      <x:c r="P664" s="31" t="n">
        <x:v>4.0106631609699095</x:v>
      </x:c>
      <x:c r="Q664" s="40" t="n">
        <x:v>1</x:v>
      </x:c>
      <x:c r="R664" s="31" t="n">
        <x:v>0.12157038420798076</x:v>
      </x:c>
      <x:c r="S664" s="40"/>
      <x:c r="T664" s="40"/>
      <x:c r="U664" s="40" t="n">
        <x:v>1</x:v>
      </x:c>
      <x:c r="V664" s="40" t="n">
        <x:v>0.9628250073035349</x:v>
      </x:c>
      <x:c r="W664" s="31" t="n">
        <x:v>1</x:v>
      </x:c>
      <x:c r="X664" s="31" t="str"/>
      <x:c r="Y664" s="31" t="n">
        <x:v>0</x:v>
      </x:c>
      <x:c r="Z664" s="31" t="n">
        <x:v>1</x:v>
      </x:c>
      <x:c r="AA664" s="31" t="n">
        <x:v>0</x:v>
      </x:c>
      <x:c r="AB664" s="31" t="str"/>
      <x:c r="AC664" s="31" t="str"/>
    </x:row>
    <x:row r="665">
      <x:c r="A665" s="31" t="str">
        <x:v>c54cbe9b026d5fdc</x:v>
      </x:c>
      <x:c r="B665" s="31" t="str">
        <x:v>c54cbe9b026d5fdc5e5f24520554691d4736e64aec1e68cf4ee2ce7adcfc67dd</x:v>
      </x:c>
      <x:c r="C665" s="31" t="n">
        <x:v>8</x:v>
      </x:c>
      <x:c r="D665" s="31" t="n">
        <x:v>34265</x:v>
      </x:c>
      <x:c r="E665" s="31" t="str">
        <x:v>Queens</x:v>
      </x:c>
      <x:c r="F665" s="31" t="str">
        <x:v>Jamaica</x:v>
      </x:c>
      <x:c r="G665" s="31" t="n">
        <x:v>34842.00118553177</x:v>
      </x:c>
      <x:c r="H665" s="31" t="n">
        <x:v>11289</x:v>
      </x:c>
      <x:c r="I665" s="31" t="n">
        <x:v>5.684817343500621</x:v>
      </x:c>
      <x:c r="J665" s="40" t="n">
        <x:v>0.18876782708831605</x:v>
      </x:c>
      <x:c r="K665" s="40" t="n">
        <x:v>0.49712109132784127</x:v>
      </x:c>
      <x:c r="L665" s="40" t="n">
        <x:v>0.011958543715120914</x:v>
      </x:c>
      <x:c r="M665" s="31" t="n">
        <x:v>56.40923238309174</x:v>
      </x:c>
      <x:c r="N665" s="31" t="n">
        <x:v>136</x:v>
      </x:c>
      <x:c r="O665" s="31" t="n">
        <x:v>3.9690646432219467</x:v>
      </x:c>
      <x:c r="P665" s="31" t="n">
        <x:v>3.290814066790681</x:v>
      </x:c>
      <x:c r="Q665" s="40" t="n">
        <x:v>0.1949685534591195</x:v>
      </x:c>
      <x:c r="R665" s="31" t="n">
        <x:v>0.17694927295008478</x:v>
      </x:c>
      <x:c r="S665" s="40"/>
      <x:c r="T665" s="40"/>
      <x:c r="U665" s="40" t="n">
        <x:v>1</x:v>
      </x:c>
      <x:c r="V665" s="40" t="n">
        <x:v>0.9337408096377005</x:v>
      </x:c>
      <x:c r="W665" s="31" t="n">
        <x:v>0</x:v>
      </x:c>
      <x:c r="X665" s="31" t="str"/>
      <x:c r="Y665" s="31" t="n">
        <x:v>0</x:v>
      </x:c>
      <x:c r="Z665" s="31" t="n">
        <x:v>0</x:v>
      </x:c>
      <x:c r="AA665" s="31" t="n">
        <x:v>0</x:v>
      </x:c>
      <x:c r="AB665" s="31" t="str"/>
      <x:c r="AC665" s="31" t="str"/>
    </x:row>
    <x:row r="666">
      <x:c r="A666" s="31" t="str">
        <x:v>c55040b754067429</x:v>
      </x:c>
      <x:c r="B666" s="31" t="str">
        <x:v>c55040b7540674298b6ae39dda8f7c8f96aff90edf8771506ff779ad0fa7f10b</x:v>
      </x:c>
      <x:c r="C666" s="31" t="n">
        <x:v>9</x:v>
      </x:c>
      <x:c r="D666" s="31" t="n">
        <x:v>32134</x:v>
      </x:c>
      <x:c r="E666" s="31" t="str">
        <x:v>Brooklyn</x:v>
      </x:c>
      <x:c r="F666" s="31" t="str">
        <x:v>Kensington</x:v>
      </x:c>
      <x:c r="G666" s="31" t="n">
        <x:v>61028.7591326796</x:v>
      </x:c>
      <x:c r="H666" s="31" t="n">
        <x:v>10953</x:v>
      </x:c>
      <x:c r="I666" s="31" t="n">
        <x:v>4.405765007320644</x:v>
      </x:c>
      <x:c r="J666" s="40" t="n">
        <x:v>0.0519492376517849</x:v>
      </x:c>
      <x:c r="K666" s="40" t="n">
        <x:v>0.5565598466173651</x:v>
      </x:c>
      <x:c r="L666" s="40" t="n">
        <x:v>0.03944124897288414</x:v>
      </x:c>
      <x:c r="M666" s="31" t="n">
        <x:v>49.07950790777239</x:v>
      </x:c>
      <x:c r="N666" s="31" t="n">
        <x:v>101</x:v>
      </x:c>
      <x:c r="O666" s="31" t="n">
        <x:v>3.1430883176697577</x:v>
      </x:c>
      <x:c r="P666" s="31" t="n">
        <x:v>3</x:v>
      </x:c>
      <x:c r="Q666" s="40" t="n">
        <x:v>0</x:v>
      </x:c>
      <x:c r="R666" s="31" t="n">
        <x:v>0.13310037812493133</x:v>
      </x:c>
      <x:c r="S666" s="40"/>
      <x:c r="T666" s="40"/>
      <x:c r="U666" s="40" t="n">
        <x:v>1</x:v>
      </x:c>
      <x:c r="V666" s="40" t="n">
        <x:v>0.9963480325025107</x:v>
      </x:c>
      <x:c r="W666" s="31" t="n">
        <x:v>0</x:v>
      </x:c>
      <x:c r="X666" s="31" t="str"/>
      <x:c r="Y666" s="31" t="n">
        <x:v>0</x:v>
      </x:c>
      <x:c r="Z666" s="31" t="n">
        <x:v>0</x:v>
      </x:c>
      <x:c r="AA666" s="31" t="n">
        <x:v>0</x:v>
      </x:c>
      <x:c r="AB666" s="31" t="str"/>
      <x:c r="AC666" s="31" t="str"/>
    </x:row>
    <x:row r="667">
      <x:c r="A667" s="31" t="str">
        <x:v>c5b7d9c15f2fe675</x:v>
      </x:c>
      <x:c r="B667" s="31" t="str">
        <x:v>c5b7d9c15f2fe6756fe53741b6c7b572b76888908deffe3288c7b3b9117f2862</x:v>
      </x:c>
      <x:c r="C667" s="31" t="n">
        <x:v>10</x:v>
      </x:c>
      <x:c r="D667" s="31" t="n">
        <x:v>32935</x:v>
      </x:c>
      <x:c r="E667" s="31" t="str">
        <x:v>Queens</x:v>
      </x:c>
      <x:c r="F667" s="31" t="str">
        <x:v>Jamaica Hills-Briarwood</x:v>
      </x:c>
      <x:c r="G667" s="31" t="n">
        <x:v>32792.32607342712</x:v>
      </x:c>
      <x:c r="H667" s="31" t="n">
        <x:v>9854</x:v>
      </x:c>
      <x:c r="I667" s="31" t="n">
        <x:v>5.46301930894309</x:v>
      </x:c>
      <x:c r="J667" s="40" t="n">
        <x:v>0.1973817738989243</x:v>
      </x:c>
      <x:c r="K667" s="40" t="n">
        <x:v>0.4239902577633448</x:v>
      </x:c>
      <x:c r="L667" s="40" t="n">
        <x:v>0.003450375482037751</x:v>
      </x:c>
      <x:c r="M667" s="31" t="n">
        <x:v>55.37257661337861</x:v>
      </x:c>
      <x:c r="N667" s="31" t="n">
        <x:v>114</x:v>
      </x:c>
      <x:c r="O667" s="31" t="n">
        <x:v>3.46136329133141</x:v>
      </x:c>
      <x:c r="P667" s="31" t="n">
        <x:v>2.994722955145119</x:v>
      </x:c>
      <x:c r="Q667" s="40" t="n">
        <x:v>0</x:v>
      </x:c>
      <x:c r="R667" s="31" t="n">
        <x:v>0.13084267945555694</x:v>
      </x:c>
      <x:c r="S667" s="40"/>
      <x:c r="T667" s="40"/>
      <x:c r="U667" s="40" t="n">
        <x:v>1</x:v>
      </x:c>
      <x:c r="V667" s="40" t="n">
        <x:v>0.9263243352953116</x:v>
      </x:c>
      <x:c r="W667" s="31" t="n">
        <x:v>0</x:v>
      </x:c>
      <x:c r="X667" s="31" t="str"/>
      <x:c r="Y667" s="31" t="n">
        <x:v>0</x:v>
      </x:c>
      <x:c r="Z667" s="31" t="n">
        <x:v>0</x:v>
      </x:c>
      <x:c r="AA667" s="31" t="n">
        <x:v>0</x:v>
      </x:c>
      <x:c r="AB667" s="31" t="str"/>
      <x:c r="AC667" s="31" t="str"/>
    </x:row>
    <x:row r="668">
      <x:c r="A668" s="31" t="str">
        <x:v>c5bf19f701a38c66</x:v>
      </x:c>
      <x:c r="B668" s="31" t="str">
        <x:v>c5bf19f701a38c66325b7cff01dfcb355ae44838ebbbec1a113f08ac0d045e1e</x:v>
      </x:c>
      <x:c r="C668" s="31" t="n">
        <x:v>9</x:v>
      </x:c>
      <x:c r="D668" s="31" t="n">
        <x:v>33453</x:v>
      </x:c>
      <x:c r="E668" s="31" t="str">
        <x:v>Brooklyn</x:v>
      </x:c>
      <x:c r="F668" s="31" t="str">
        <x:v>Bedford-Stuyvesant (East)</x:v>
      </x:c>
      <x:c r="G668" s="31" t="n">
        <x:v>55933.783441585576</x:v>
      </x:c>
      <x:c r="H668" s="31" t="n">
        <x:v>14840</x:v>
      </x:c>
      <x:c r="I668" s="31" t="n">
        <x:v>3.791494897614381</x:v>
      </x:c>
      <x:c r="J668" s="40" t="n">
        <x:v>0.03207547169811321</x:v>
      </x:c>
      <x:c r="K668" s="40" t="n">
        <x:v>0.788611859838275</x:v>
      </x:c>
      <x:c r="L668" s="40" t="n">
        <x:v>0.07877358490566037</x:v>
      </x:c>
      <x:c r="M668" s="31" t="n">
        <x:v>45.67371344889626</x:v>
      </x:c>
      <x:c r="N668" s="31" t="n">
        <x:v>99</x:v>
      </x:c>
      <x:c r="O668" s="31" t="n">
        <x:v>2.959375840731773</x:v>
      </x:c>
      <x:c r="P668" s="31" t="n">
        <x:v>4.361253369272237</x:v>
      </x:c>
      <x:c r="Q668" s="40" t="n">
        <x:v>1</x:v>
      </x:c>
      <x:c r="R668" s="31" t="n">
        <x:v>0.13579266706203236</x:v>
      </x:c>
      <x:c r="S668" s="40"/>
      <x:c r="T668" s="40"/>
      <x:c r="U668" s="40" t="n">
        <x:v>1</x:v>
      </x:c>
      <x:c r="V668" s="40" t="n">
        <x:v>0.9853773584905661</x:v>
      </x:c>
      <x:c r="W668" s="31" t="n">
        <x:v>1</x:v>
      </x:c>
      <x:c r="X668" s="31" t="str"/>
      <x:c r="Y668" s="31" t="n">
        <x:v>0</x:v>
      </x:c>
      <x:c r="Z668" s="31" t="n">
        <x:v>1</x:v>
      </x:c>
      <x:c r="AA668" s="31" t="n">
        <x:v>0</x:v>
      </x:c>
      <x:c r="AB668" s="31" t="str"/>
      <x:c r="AC668" s="31" t="str"/>
    </x:row>
    <x:row r="669">
      <x:c r="A669" s="31" t="str">
        <x:v>c61d45c221c16da2</x:v>
      </x:c>
      <x:c r="B669" s="31" t="str">
        <x:v>c61d45c221c16da26e9cb25bf3cb562d0d0bb1e2c39049162144195f4be52d1c</x:v>
      </x:c>
      <x:c r="C669" s="31" t="n">
        <x:v>8</x:v>
      </x:c>
      <x:c r="D669" s="31" t="n">
        <x:v>34529</x:v>
      </x:c>
      <x:c r="E669" s="31" t="str">
        <x:v>Staten Island</x:v>
      </x:c>
      <x:c r="F669" s="31" t="str">
        <x:v>New Dorp-Midland Beach</x:v>
      </x:c>
      <x:c r="G669" s="31" t="n">
        <x:v>13666.702165762536</x:v>
      </x:c>
      <x:c r="H669" s="31" t="n">
        <x:v>13177</x:v>
      </x:c>
      <x:c r="I669" s="31" t="n">
        <x:v>2.3117597871531737</x:v>
      </x:c>
      <x:c r="J669" s="40" t="n">
        <x:v>0</x:v>
      </x:c>
      <x:c r="K669" s="40" t="n">
        <x:v>0.17386355012521817</x:v>
      </x:c>
      <x:c r="L669" s="40" t="n">
        <x:v>0.07277832587083555</x:v>
      </x:c>
      <x:c r="M669" s="31" t="n">
        <x:v>29.68312465594831</x:v>
      </x:c>
      <x:c r="N669" s="31" t="n">
        <x:v>108</x:v>
      </x:c>
      <x:c r="O669" s="31" t="n">
        <x:v>3.127805612673405</x:v>
      </x:c>
      <x:c r="P669" s="31" t="n">
        <x:v>1.4092737345374515</x:v>
      </x:c>
      <x:c r="Q669" s="40" t="n">
        <x:v>0</x:v>
      </x:c>
      <x:c r="R669" s="31" t="n">
        <x:v>0.24404115740645393</x:v>
      </x:c>
      <x:c r="S669" s="40"/>
      <x:c r="T669" s="40"/>
      <x:c r="U669" s="40" t="n">
        <x:v>1</x:v>
      </x:c>
      <x:c r="V669" s="40" t="n">
        <x:v>0.9895272064961675</x:v>
      </x:c>
      <x:c r="W669" s="31" t="n">
        <x:v>0</x:v>
      </x:c>
      <x:c r="X669" s="31" t="str"/>
      <x:c r="Y669" s="31" t="n">
        <x:v>0</x:v>
      </x:c>
      <x:c r="Z669" s="31" t="n">
        <x:v>0</x:v>
      </x:c>
      <x:c r="AA669" s="31" t="n">
        <x:v>0</x:v>
      </x:c>
      <x:c r="AB669" s="31" t="str"/>
      <x:c r="AC669" s="31" t="str"/>
    </x:row>
    <x:row r="670">
      <x:c r="A670" s="31" t="str">
        <x:v>c64c21e451ea28e8</x:v>
      </x:c>
      <x:c r="B670" s="31" t="str">
        <x:v>c64c21e451ea28e80458e17415dabdc309dbfce5cdcc282fcd0f9085557ed48e</x:v>
      </x:c>
      <x:c r="C670" s="31" t="n">
        <x:v>9</x:v>
      </x:c>
      <x:c r="D670" s="31" t="n">
        <x:v>33258</x:v>
      </x:c>
      <x:c r="E670" s="31" t="str">
        <x:v>Brooklyn</x:v>
      </x:c>
      <x:c r="F670" s="31" t="str">
        <x:v>Sheepshead Bay-Manhattan Beach-Gerritsen Beach</x:v>
      </x:c>
      <x:c r="G670" s="31" t="n">
        <x:v>41846.58372438707</x:v>
      </x:c>
      <x:c r="H670" s="31" t="n">
        <x:v>12816</x:v>
      </x:c>
      <x:c r="I670" s="31" t="n">
        <x:v>4.110870413739266</x:v>
      </x:c>
      <x:c r="J670" s="40" t="n">
        <x:v>0</x:v>
      </x:c>
      <x:c r="K670" s="40" t="n">
        <x:v>0.5340980024968789</x:v>
      </x:c>
      <x:c r="L670" s="40" t="n">
        <x:v>0.3356741573033708</x:v>
      </x:c>
      <x:c r="M670" s="31" t="n">
        <x:v>44.70934240566123</x:v>
      </x:c>
      <x:c r="N670" s="31" t="n">
        <x:v>153</x:v>
      </x:c>
      <x:c r="O670" s="31" t="n">
        <x:v>4.600396896987191</x:v>
      </x:c>
      <x:c r="P670" s="31" t="n">
        <x:v>3</x:v>
      </x:c>
      <x:c r="Q670" s="40" t="n">
        <x:v>0</x:v>
      </x:c>
      <x:c r="R670" s="31" t="n">
        <x:v>0.1336196150817417</x:v>
      </x:c>
      <x:c r="S670" s="40"/>
      <x:c r="T670" s="40"/>
      <x:c r="U670" s="40" t="n">
        <x:v>1</x:v>
      </x:c>
      <x:c r="V670" s="40" t="n">
        <x:v>0.9811953807740325</x:v>
      </x:c>
      <x:c r="W670" s="31" t="n">
        <x:v>0</x:v>
      </x:c>
      <x:c r="X670" s="31" t="str"/>
      <x:c r="Y670" s="31" t="n">
        <x:v>0</x:v>
      </x:c>
      <x:c r="Z670" s="31" t="n">
        <x:v>0</x:v>
      </x:c>
      <x:c r="AA670" s="31" t="n">
        <x:v>0</x:v>
      </x:c>
      <x:c r="AB670" s="31" t="str"/>
      <x:c r="AC670" s="31" t="str"/>
    </x:row>
    <x:row r="671">
      <x:c r="A671" s="31" t="str">
        <x:v>c659de9e3ff7f11c</x:v>
      </x:c>
      <x:c r="B671" s="31" t="str">
        <x:v>c659de9e3ff7f11c280ad2fa1379f034dd49d6829e8cc4f210948aa986e87808</x:v>
      </x:c>
      <x:c r="C671" s="31" t="n">
        <x:v>7</x:v>
      </x:c>
      <x:c r="D671" s="31" t="n">
        <x:v>34728</x:v>
      </x:c>
      <x:c r="E671" s="31" t="str">
        <x:v>Queens</x:v>
      </x:c>
      <x:c r="F671" s="31" t="str">
        <x:v>Rockaway Beach-Arverne-Edgemere</x:v>
      </x:c>
      <x:c r="G671" s="31" t="n">
        <x:v>22225.446674734034</x:v>
      </x:c>
      <x:c r="H671" s="31" t="n">
        <x:v>13533</x:v>
      </x:c>
      <x:c r="I671" s="31" t="n">
        <x:v>7.702899207248017</x:v>
      </x:c>
      <x:c r="J671" s="40" t="n">
        <x:v>0.4129165742998596</x:v>
      </x:c>
      <x:c r="K671" s="40" t="n">
        <x:v>0.27577033917091553</x:v>
      </x:c>
      <x:c r="L671" s="40" t="n">
        <x:v>0.4780166999187172</x:v>
      </x:c>
      <x:c r="M671" s="31" t="n">
        <x:v>76.82207800601876</x:v>
      </x:c>
      <x:c r="N671" s="31" t="n">
        <x:v>178</x:v>
      </x:c>
      <x:c r="O671" s="31" t="n">
        <x:v>5.125547108961069</x:v>
      </x:c>
      <x:c r="P671" s="31" t="n">
        <x:v>4.754230399763541</x:v>
      </x:c>
      <x:c r="Q671" s="40" t="n">
        <x:v>1</x:v>
      </x:c>
      <x:c r="R671" s="31" t="n">
        <x:v>0.17724069110406077</x:v>
      </x:c>
      <x:c r="S671" s="40"/>
      <x:c r="T671" s="40"/>
      <x:c r="U671" s="40" t="n">
        <x:v>1</x:v>
      </x:c>
      <x:c r="V671" s="40" t="n">
        <x:v>0.9454666371092884</x:v>
      </x:c>
      <x:c r="W671" s="31" t="n">
        <x:v>1</x:v>
      </x:c>
      <x:c r="X671" s="31" t="str"/>
      <x:c r="Y671" s="31" t="n">
        <x:v>0</x:v>
      </x:c>
      <x:c r="Z671" s="31" t="n">
        <x:v>0</x:v>
      </x:c>
      <x:c r="AA671" s="31" t="n">
        <x:v>1</x:v>
      </x:c>
      <x:c r="AB671" s="31" t="str"/>
      <x:c r="AC671" s="31" t="str"/>
    </x:row>
    <x:row r="672">
      <x:c r="A672" s="31" t="str">
        <x:v>c6b5f60f84334974</x:v>
      </x:c>
      <x:c r="B672" s="31" t="str">
        <x:v>c6b5f60f84334974272c246c8e3813c9128f6e0f6ca15584aa9de9151dea6bb4</x:v>
      </x:c>
      <x:c r="C672" s="31" t="n">
        <x:v>15</x:v>
      </x:c>
      <x:c r="D672" s="31" t="n">
        <x:v>32734</x:v>
      </x:c>
      <x:c r="E672" s="31" t="str">
        <x:v>Queens</x:v>
      </x:c>
      <x:c r="F672" s="31" t="str">
        <x:v>Queens Village</x:v>
      </x:c>
      <x:c r="G672" s="31" t="n">
        <x:v>22412.62429676982</x:v>
      </x:c>
      <x:c r="H672" s="31" t="n">
        <x:v>9359</x:v>
      </x:c>
      <x:c r="I672" s="31" t="n">
        <x:v>2.168512299465241</x:v>
      </x:c>
      <x:c r="J672" s="40" t="n">
        <x:v>0</x:v>
      </x:c>
      <x:c r="K672" s="40" t="n">
        <x:v>0.004060262848594935</x:v>
      </x:c>
      <x:c r="L672" s="40" t="n">
        <x:v>0.009936959076824447</x:v>
      </x:c>
      <x:c r="M672" s="31" t="n">
        <x:v>26.513004424089257</x:v>
      </x:c>
      <x:c r="N672" s="31" t="n">
        <x:v>3</x:v>
      </x:c>
      <x:c r="O672" s="31" t="n">
        <x:v>0.09164782794647766</x:v>
      </x:c>
      <x:c r="P672" s="31" t="n">
        <x:v>4.976386366064751</x:v>
      </x:c>
      <x:c r="Q672" s="40" t="n">
        <x:v>1</x:v>
      </x:c>
      <x:c r="R672" s="31" t="n">
        <x:v>0.22935812144638262</x:v>
      </x:c>
      <x:c r="S672" s="40"/>
      <x:c r="T672" s="40"/>
      <x:c r="U672" s="40" t="n">
        <x:v>1</x:v>
      </x:c>
      <x:c r="V672" s="40" t="n">
        <x:v>0.9983972646650283</x:v>
      </x:c>
      <x:c r="W672" s="31" t="n">
        <x:v>0</x:v>
      </x:c>
      <x:c r="X672" s="31" t="str"/>
      <x:c r="Y672" s="31" t="n">
        <x:v>0</x:v>
      </x:c>
      <x:c r="Z672" s="31" t="n">
        <x:v>0</x:v>
      </x:c>
      <x:c r="AA672" s="31" t="n">
        <x:v>0</x:v>
      </x:c>
      <x:c r="AB672" s="31" t="str"/>
      <x:c r="AC672" s="31" t="str"/>
    </x:row>
    <x:row r="673">
      <x:c r="A673" s="31" t="str">
        <x:v>c6bcd6f2909b6771</x:v>
      </x:c>
      <x:c r="B673" s="31" t="str">
        <x:v>c6bcd6f2909b6771d7f5e30de729598769fa886e67470c013d4dbbde4bc81c6d</x:v>
      </x:c>
      <x:c r="C673" s="31" t="n">
        <x:v>5</x:v>
      </x:c>
      <x:c r="D673" s="31" t="n">
        <x:v>34189</x:v>
      </x:c>
      <x:c r="E673" s="31" t="str">
        <x:v>Manhattan</x:v>
      </x:c>
      <x:c r="F673" s="31" t="str">
        <x:v>Upper West Side-Lincoln Square</x:v>
      </x:c>
      <x:c r="G673" s="31" t="n">
        <x:v>123647.17918017786</x:v>
      </x:c>
      <x:c r="H673" s="31" t="n">
        <x:v>22402</x:v>
      </x:c>
      <x:c r="I673" s="31" t="n">
        <x:v>13.909586105281958</x:v>
      </x:c>
      <x:c r="J673" s="40" t="n">
        <x:v>0.5969109900901706</x:v>
      </x:c>
      <x:c r="K673" s="40" t="n">
        <x:v>0.40282117668065354</x:v>
      </x:c>
      <x:c r="L673" s="40" t="n">
        <x:v>0.015712882778323365</x:v>
      </x:c>
      <x:c r="M673" s="31" t="n">
        <x:v>157.74216329451457</x:v>
      </x:c>
      <x:c r="N673" s="31" t="n">
        <x:v>628</x:v>
      </x:c>
      <x:c r="O673" s="31" t="n">
        <x:v>18.368481090409198</x:v>
      </x:c>
      <x:c r="P673" s="31" t="n">
        <x:v>1</x:v>
      </x:c>
      <x:c r="Q673" s="40" t="n">
        <x:v>0</x:v>
      </x:c>
      <x:c r="R673" s="31" t="n">
        <x:v>0.15641020862277188</x:v>
      </x:c>
      <x:c r="S673" s="40"/>
      <x:c r="T673" s="40"/>
      <x:c r="U673" s="40" t="n">
        <x:v>1</x:v>
      </x:c>
      <x:c r="V673" s="40" t="n">
        <x:v>0.9986608338541202</x:v>
      </x:c>
      <x:c r="W673" s="31" t="n">
        <x:v>1</x:v>
      </x:c>
      <x:c r="X673" s="31" t="str"/>
      <x:c r="Y673" s="31" t="n">
        <x:v>1</x:v>
      </x:c>
      <x:c r="Z673" s="31" t="n">
        <x:v>0</x:v>
      </x:c>
      <x:c r="AA673" s="31" t="n">
        <x:v>0</x:v>
      </x:c>
      <x:c r="AB673" s="31" t="str"/>
      <x:c r="AC673" s="31" t="str"/>
    </x:row>
    <x:row r="674">
      <x:c r="A674" s="31" t="str">
        <x:v>c6c3f5ca93d1f36f</x:v>
      </x:c>
      <x:c r="B674" s="31" t="str">
        <x:v>c6c3f5ca93d1f36fadb9f1b2a2b213be7ed087a105570f12fc4a1d47fa046f0c</x:v>
      </x:c>
      <x:c r="C674" s="31" t="n">
        <x:v>8</x:v>
      </x:c>
      <x:c r="D674" s="31" t="n">
        <x:v>36831</x:v>
      </x:c>
      <x:c r="E674" s="31" t="str">
        <x:v>Bronx</x:v>
      </x:c>
      <x:c r="F674" s="31" t="str">
        <x:v>Parkchester</x:v>
      </x:c>
      <x:c r="G674" s="31" t="n">
        <x:v>50466.10759509963</x:v>
      </x:c>
      <x:c r="H674" s="31" t="n">
        <x:v>13546</x:v>
      </x:c>
      <x:c r="I674" s="31" t="n">
        <x:v>4.134938074310827</x:v>
      </x:c>
      <x:c r="J674" s="40" t="n">
        <x:v>0.023401742211723017</x:v>
      </x:c>
      <x:c r="K674" s="40" t="n">
        <x:v>0.3227521039421231</x:v>
      </x:c>
      <x:c r="L674" s="40" t="n">
        <x:v>0.46316255721246125</x:v>
      </x:c>
      <x:c r="M674" s="31" t="n">
        <x:v>92.73577232398621</x:v>
      </x:c>
      <x:c r="N674" s="31" t="n">
        <x:v>153</x:v>
      </x:c>
      <x:c r="O674" s="31" t="n">
        <x:v>4.154109310092042</x:v>
      </x:c>
      <x:c r="P674" s="31" t="n">
        <x:v>4.88491067473793</x:v>
      </x:c>
      <x:c r="Q674" s="40" t="n">
        <x:v>1</x:v>
      </x:c>
      <x:c r="R674" s="31" t="n">
        <x:v>0.1533860254683471</x:v>
      </x:c>
      <x:c r="S674" s="40"/>
      <x:c r="T674" s="40"/>
      <x:c r="U674" s="40" t="n">
        <x:v>1</x:v>
      </x:c>
      <x:c r="V674" s="40" t="n">
        <x:v>0.997268566366455</x:v>
      </x:c>
      <x:c r="W674" s="31" t="n">
        <x:v>0</x:v>
      </x:c>
      <x:c r="X674" s="31" t="str"/>
      <x:c r="Y674" s="31" t="n">
        <x:v>0</x:v>
      </x:c>
      <x:c r="Z674" s="31" t="n">
        <x:v>0</x:v>
      </x:c>
      <x:c r="AA674" s="31" t="n">
        <x:v>0</x:v>
      </x:c>
      <x:c r="AB674" s="31" t="str"/>
      <x:c r="AC674" s="31" t="str"/>
    </x:row>
    <x:row r="675">
      <x:c r="A675" s="31" t="str">
        <x:v>c74389de23b64be9</x:v>
      </x:c>
      <x:c r="B675" s="31" t="str">
        <x:v>c74389de23b64be9f7f6eeef6591af3d42648e6032bdf58103647d0089ec8afa</x:v>
      </x:c>
      <x:c r="C675" s="31" t="n">
        <x:v>6</x:v>
      </x:c>
      <x:c r="D675" s="31" t="n">
        <x:v>36338</x:v>
      </x:c>
      <x:c r="E675" s="31" t="str">
        <x:v>Manhattan</x:v>
      </x:c>
      <x:c r="F675" s="31" t="str">
        <x:v>East Harlem (North)</x:v>
      </x:c>
      <x:c r="G675" s="31" t="n">
        <x:v>99759.53578521422</x:v>
      </x:c>
      <x:c r="H675" s="31" t="n">
        <x:v>17178</x:v>
      </x:c>
      <x:c r="I675" s="31" t="n">
        <x:v>10.715535849717053</x:v>
      </x:c>
      <x:c r="J675" s="40" t="n">
        <x:v>0.41395971591570613</x:v>
      </x:c>
      <x:c r="K675" s="40" t="n">
        <x:v>0.5833624403306555</x:v>
      </x:c>
      <x:c r="L675" s="40" t="n">
        <x:v>0.3206426825008732</x:v>
      </x:c>
      <x:c r="M675" s="31" t="n">
        <x:v>116.77611067638506</x:v>
      </x:c>
      <x:c r="N675" s="31" t="n">
        <x:v>308</x:v>
      </x:c>
      <x:c r="O675" s="31" t="n">
        <x:v>8.475975562771755</x:v>
      </x:c>
      <x:c r="P675" s="31" t="n">
        <x:v>4.237222028175573</x:v>
      </x:c>
      <x:c r="Q675" s="40" t="n">
        <x:v>1</x:v>
      </x:c>
      <x:c r="R675" s="31" t="n">
        <x:v>0.06868965261797483</x:v>
      </x:c>
      <x:c r="S675" s="40"/>
      <x:c r="T675" s="40"/>
      <x:c r="U675" s="40" t="n">
        <x:v>1</x:v>
      </x:c>
      <x:c r="V675" s="40" t="n">
        <x:v>0.9950518104552334</x:v>
      </x:c>
      <x:c r="W675" s="31" t="n">
        <x:v>2</x:v>
      </x:c>
      <x:c r="X675" s="31" t="str"/>
      <x:c r="Y675" s="31" t="n">
        <x:v>1</x:v>
      </x:c>
      <x:c r="Z675" s="31" t="n">
        <x:v>1</x:v>
      </x:c>
      <x:c r="AA675" s="31" t="n">
        <x:v>0</x:v>
      </x:c>
      <x:c r="AB675" s="31" t="str"/>
      <x:c r="AC675" s="31" t="str"/>
    </x:row>
    <x:row r="676">
      <x:c r="A676" s="31" t="str">
        <x:v>c79575b91adfdba0</x:v>
      </x:c>
      <x:c r="B676" s="31" t="str">
        <x:v>c79575b91adfdba0226cf4d50adefeb406cea1d23adcc875979f08eb9f855f91</x:v>
      </x:c>
      <x:c r="C676" s="31" t="n">
        <x:v>6</x:v>
      </x:c>
      <x:c r="D676" s="31" t="n">
        <x:v>33575</x:v>
      </x:c>
      <x:c r="E676" s="31" t="str">
        <x:v>Manhattan</x:v>
      </x:c>
      <x:c r="F676" s="31" t="str">
        <x:v>East Village</x:v>
      </x:c>
      <x:c r="G676" s="31" t="n">
        <x:v>117273.57802040955</x:v>
      </x:c>
      <x:c r="H676" s="31" t="n">
        <x:v>18561</x:v>
      </x:c>
      <x:c r="I676" s="31" t="n">
        <x:v>10.858241580310882</x:v>
      </x:c>
      <x:c r="J676" s="40" t="n">
        <x:v>0.4368299121814557</x:v>
      </x:c>
      <x:c r="K676" s="40" t="n">
        <x:v>0.5600991325898389</x:v>
      </x:c>
      <x:c r="L676" s="40" t="n">
        <x:v>0.03038629384192662</x:v>
      </x:c>
      <x:c r="M676" s="31" t="n">
        <x:v>115.9947272137809</x:v>
      </x:c>
      <x:c r="N676" s="31" t="n">
        <x:v>441</x:v>
      </x:c>
      <x:c r="O676" s="31" t="n">
        <x:v>13.134772896500372</x:v>
      </x:c>
      <x:c r="P676" s="31" t="n">
        <x:v>2</x:v>
      </x:c>
      <x:c r="Q676" s="40" t="n">
        <x:v>0</x:v>
      </x:c>
      <x:c r="R676" s="31" t="n">
        <x:v>0.1423960449881758</x:v>
      </x:c>
      <x:c r="S676" s="40"/>
      <x:c r="T676" s="40"/>
      <x:c r="U676" s="40" t="n">
        <x:v>1</x:v>
      </x:c>
      <x:c r="V676" s="40" t="n">
        <x:v>0.9914875276116588</x:v>
      </x:c>
      <x:c r="W676" s="31" t="n">
        <x:v>1</x:v>
      </x:c>
      <x:c r="X676" s="31" t="str"/>
      <x:c r="Y676" s="31" t="n">
        <x:v>1</x:v>
      </x:c>
      <x:c r="Z676" s="31" t="n">
        <x:v>0</x:v>
      </x:c>
      <x:c r="AA676" s="31" t="n">
        <x:v>0</x:v>
      </x:c>
      <x:c r="AB676" s="31" t="str"/>
      <x:c r="AC676" s="31" t="str"/>
    </x:row>
    <x:row r="677">
      <x:c r="A677" s="31" t="str">
        <x:v>c7dd5bfbcefa6d14</x:v>
      </x:c>
      <x:c r="B677" s="31" t="str">
        <x:v>c7dd5bfbcefa6d144846f155fa4318f23db6574f0f5c0df347aa643862de9d91</x:v>
      </x:c>
      <x:c r="C677" s="31" t="n">
        <x:v>11</x:v>
      </x:c>
      <x:c r="D677" s="31" t="n">
        <x:v>32533</x:v>
      </x:c>
      <x:c r="E677" s="31" t="str">
        <x:v>Queens</x:v>
      </x:c>
      <x:c r="F677" s="31" t="str">
        <x:v>Murray Hill-Broadway Flushing</x:v>
      </x:c>
      <x:c r="G677" s="31" t="n">
        <x:v>27464.686266693236</x:v>
      </x:c>
      <x:c r="H677" s="31" t="n">
        <x:v>11596</x:v>
      </x:c>
      <x:c r="I677" s="31" t="n">
        <x:v>3.921711049628221</x:v>
      </x:c>
      <x:c r="J677" s="40" t="n">
        <x:v>0.017850983097619868</x:v>
      </x:c>
      <x:c r="K677" s="40" t="n">
        <x:v>0.5582097274922387</x:v>
      </x:c>
      <x:c r="L677" s="40" t="n">
        <x:v>0.03509830976198689</x:v>
      </x:c>
      <x:c r="M677" s="31" t="n">
        <x:v>43.46505292581405</x:v>
      </x:c>
      <x:c r="N677" s="31" t="n">
        <x:v>115</x:v>
      </x:c>
      <x:c r="O677" s="31" t="n">
        <x:v>3.534872283527495</x:v>
      </x:c>
      <x:c r="P677" s="31" t="n">
        <x:v>3.7733701276302174</x:v>
      </x:c>
      <x:c r="Q677" s="40" t="n">
        <x:v>0.8016557433597792</x:v>
      </x:c>
      <x:c r="R677" s="31" t="n">
        <x:v>0.3027037364232848</x:v>
      </x:c>
      <x:c r="S677" s="40"/>
      <x:c r="T677" s="40"/>
      <x:c r="U677" s="40" t="n">
        <x:v>1</x:v>
      </x:c>
      <x:c r="V677" s="40" t="n">
        <x:v>0.9767161090031046</x:v>
      </x:c>
      <x:c r="W677" s="31" t="n">
        <x:v>0</x:v>
      </x:c>
      <x:c r="X677" s="31" t="str"/>
      <x:c r="Y677" s="31" t="n">
        <x:v>0</x:v>
      </x:c>
      <x:c r="Z677" s="31" t="n">
        <x:v>0</x:v>
      </x:c>
      <x:c r="AA677" s="31" t="n">
        <x:v>0</x:v>
      </x:c>
      <x:c r="AB677" s="31" t="str"/>
      <x:c r="AC677" s="31" t="str"/>
    </x:row>
    <x:row r="678">
      <x:c r="A678" s="31" t="str">
        <x:v>c8053b241dba2e61</x:v>
      </x:c>
      <x:c r="B678" s="31" t="str">
        <x:v>c8053b241dba2e61a7dce27e9ca1e9210231017ff148911eed77edbc2ec6516d</x:v>
      </x:c>
      <x:c r="C678" s="31" t="n">
        <x:v>8</x:v>
      </x:c>
      <x:c r="D678" s="31" t="n">
        <x:v>34258</x:v>
      </x:c>
      <x:c r="E678" s="31" t="str">
        <x:v>Manhattan</x:v>
      </x:c>
      <x:c r="F678" s="31" t="str">
        <x:v>Lower East Side</x:v>
      </x:c>
      <x:c r="G678" s="31" t="n">
        <x:v>92022.52237793262</x:v>
      </x:c>
      <x:c r="H678" s="31" t="n">
        <x:v>19498</x:v>
      </x:c>
      <x:c r="I678" s="31" t="n">
        <x:v>11.391662390969728</x:v>
      </x:c>
      <x:c r="J678" s="40" t="n">
        <x:v>0.4917940301569392</x:v>
      </x:c>
      <x:c r="K678" s="40" t="n">
        <x:v>0.5067186378090061</x:v>
      </x:c>
      <x:c r="L678" s="40" t="n">
        <x:v>0.24151194994358396</x:v>
      </x:c>
      <x:c r="M678" s="31" t="n">
        <x:v>127.87884047009341</x:v>
      </x:c>
      <x:c r="N678" s="31" t="n">
        <x:v>314</x:v>
      </x:c>
      <x:c r="O678" s="31" t="n">
        <x:v>9.16574230836593</x:v>
      </x:c>
      <x:c r="P678" s="31" t="n">
        <x:v>2.7232023797312546</x:v>
      </x:c>
      <x:c r="Q678" s="40" t="n">
        <x:v>0</x:v>
      </x:c>
      <x:c r="R678" s="31" t="n">
        <x:v>0.06474163727293145</x:v>
      </x:c>
      <x:c r="S678" s="40"/>
      <x:c r="T678" s="40"/>
      <x:c r="U678" s="40" t="n">
        <x:v>1</x:v>
      </x:c>
      <x:c r="V678" s="40" t="n">
        <x:v>0.9772797209970253</x:v>
      </x:c>
      <x:c r="W678" s="31" t="n">
        <x:v>1</x:v>
      </x:c>
      <x:c r="X678" s="31" t="str"/>
      <x:c r="Y678" s="31" t="n">
        <x:v>1</x:v>
      </x:c>
      <x:c r="Z678" s="31" t="n">
        <x:v>0</x:v>
      </x:c>
      <x:c r="AA678" s="31" t="n">
        <x:v>0</x:v>
      </x:c>
      <x:c r="AB678" s="31" t="str"/>
      <x:c r="AC678" s="31" t="str"/>
    </x:row>
    <x:row r="679">
      <x:c r="A679" s="31" t="str">
        <x:v>c811c24b06a81194</x:v>
      </x:c>
      <x:c r="B679" s="31" t="str">
        <x:v>c811c24b06a811940ad90ce53e1917d6b8f4600a7356d6b1edd7ee26631d24f8</x:v>
      </x:c>
      <x:c r="C679" s="31" t="n">
        <x:v>8</x:v>
      </x:c>
      <x:c r="D679" s="31" t="n">
        <x:v>33606</x:v>
      </x:c>
      <x:c r="E679" s="31" t="str">
        <x:v>Queens</x:v>
      </x:c>
      <x:c r="F679" s="31" t="str">
        <x:v>Sunnyside</x:v>
      </x:c>
      <x:c r="G679" s="31" t="n">
        <x:v>80088.36197572509</x:v>
      </x:c>
      <x:c r="H679" s="31" t="n">
        <x:v>15570</x:v>
      </x:c>
      <x:c r="I679" s="31" t="n">
        <x:v>4.892381321950588</x:v>
      </x:c>
      <x:c r="J679" s="40" t="n">
        <x:v>0.024084778420038536</x:v>
      </x:c>
      <x:c r="K679" s="40" t="n">
        <x:v>0.8552344251766217</x:v>
      </x:c>
      <x:c r="L679" s="40" t="n">
        <x:v>0.12575465639049455</x:v>
      </x:c>
      <x:c r="M679" s="31" t="n">
        <x:v>54.20474833203734</x:v>
      </x:c>
      <x:c r="N679" s="31" t="n">
        <x:v>187</x:v>
      </x:c>
      <x:c r="O679" s="31" t="n">
        <x:v>5.5644825328810334</x:v>
      </x:c>
      <x:c r="P679" s="31" t="n">
        <x:v>3</x:v>
      </x:c>
      <x:c r="Q679" s="40" t="n">
        <x:v>0</x:v>
      </x:c>
      <x:c r="R679" s="31" t="n">
        <x:v>0.1551815775135251</x:v>
      </x:c>
      <x:c r="S679" s="40"/>
      <x:c r="T679" s="40"/>
      <x:c r="U679" s="40" t="n">
        <x:v>1</x:v>
      </x:c>
      <x:c r="V679" s="40" t="n">
        <x:v>0.9942838792549775</x:v>
      </x:c>
      <x:c r="W679" s="31" t="n">
        <x:v>0</x:v>
      </x:c>
      <x:c r="X679" s="31" t="str"/>
      <x:c r="Y679" s="31" t="n">
        <x:v>0</x:v>
      </x:c>
      <x:c r="Z679" s="31" t="n">
        <x:v>0</x:v>
      </x:c>
      <x:c r="AA679" s="31" t="n">
        <x:v>0</x:v>
      </x:c>
      <x:c r="AB679" s="31" t="str"/>
      <x:c r="AC679" s="31" t="str"/>
    </x:row>
    <x:row r="680">
      <x:c r="A680" s="31" t="str">
        <x:v>c84e17212a17c519</x:v>
      </x:c>
      <x:c r="B680" s="31" t="str">
        <x:v>c84e17212a17c519697f44003c4679e1a493e1202e6f76e042f868e0ba8a4c9f</x:v>
      </x:c>
      <x:c r="C680" s="31" t="n">
        <x:v>6</x:v>
      </x:c>
      <x:c r="D680" s="31" t="n">
        <x:v>32162</x:v>
      </x:c>
      <x:c r="E680" s="31" t="str">
        <x:v>Manhattan</x:v>
      </x:c>
      <x:c r="F680" s="31" t="str">
        <x:v>Murray Hill-Kips Bay</x:v>
      </x:c>
      <x:c r="G680" s="31" t="n">
        <x:v>87184.34234398857</x:v>
      </x:c>
      <x:c r="H680" s="31" t="n">
        <x:v>22322</x:v>
      </x:c>
      <x:c r="I680" s="31" t="n">
        <x:v>20.457146707393765</x:v>
      </x:c>
      <x:c r="J680" s="40" t="n">
        <x:v>0.7952692411074277</x:v>
      </x:c>
      <x:c r="K680" s="40" t="n">
        <x:v>0.20195322999731208</x:v>
      </x:c>
      <x:c r="L680" s="40" t="n">
        <x:v>0.017561150434548877</x:v>
      </x:c>
      <x:c r="M680" s="31" t="n">
        <x:v>210.37760664993476</x:v>
      </x:c>
      <x:c r="N680" s="31" t="n">
        <x:v>597</x:v>
      </x:c>
      <x:c r="O680" s="31" t="n">
        <x:v>18.562278465269575</x:v>
      </x:c>
      <x:c r="P680" s="31" t="n">
        <x:v>2</x:v>
      </x:c>
      <x:c r="Q680" s="40" t="n">
        <x:v>0</x:v>
      </x:c>
      <x:c r="R680" s="31" t="n">
        <x:v>0.1190536529907531</x:v>
      </x:c>
      <x:c r="S680" s="40"/>
      <x:c r="T680" s="40"/>
      <x:c r="U680" s="40" t="n">
        <x:v>1</x:v>
      </x:c>
      <x:c r="V680" s="40" t="n">
        <x:v>0.9884866947406147</x:v>
      </x:c>
      <x:c r="W680" s="31" t="n">
        <x:v>1</x:v>
      </x:c>
      <x:c r="X680" s="31" t="str"/>
      <x:c r="Y680" s="31" t="n">
        <x:v>1</x:v>
      </x:c>
      <x:c r="Z680" s="31" t="n">
        <x:v>0</x:v>
      </x:c>
      <x:c r="AA680" s="31" t="n">
        <x:v>0</x:v>
      </x:c>
      <x:c r="AB680" s="31" t="str"/>
      <x:c r="AC680" s="31" t="str"/>
    </x:row>
    <x:row r="681">
      <x:c r="A681" s="31" t="str">
        <x:v>c8574d07f99cc106</x:v>
      </x:c>
      <x:c r="B681" s="31" t="str">
        <x:v>c8574d07f99cc106b95c7db12dec34266fa75b1cd5d16678a7fc0e719d046564</x:v>
      </x:c>
      <x:c r="C681" s="31" t="n">
        <x:v>9</x:v>
      </x:c>
      <x:c r="D681" s="31" t="n">
        <x:v>32611</x:v>
      </x:c>
      <x:c r="E681" s="31" t="str">
        <x:v>Brooklyn</x:v>
      </x:c>
      <x:c r="F681" s="31" t="str">
        <x:v>Brooklyn Heights</x:v>
      </x:c>
      <x:c r="G681" s="31" t="n">
        <x:v>54127.97480190562</x:v>
      </x:c>
      <x:c r="H681" s="31" t="n">
        <x:v>19760</x:v>
      </x:c>
      <x:c r="I681" s="31" t="n">
        <x:v>13.590296427666582</x:v>
      </x:c>
      <x:c r="J681" s="40" t="n">
        <x:v>0.5011639676113361</x:v>
      </x:c>
      <x:c r="K681" s="40" t="n">
        <x:v>0.49084008097165993</x:v>
      </x:c>
      <x:c r="L681" s="40" t="n">
        <x:v>0.09600202429149797</x:v>
      </x:c>
      <x:c r="M681" s="31" t="n">
        <x:v>152.45647516731034</x:v>
      </x:c>
      <x:c r="N681" s="31" t="n">
        <x:v>445</x:v>
      </x:c>
      <x:c r="O681" s="31" t="n">
        <x:v>13.645702370365827</x:v>
      </x:c>
      <x:c r="P681" s="31" t="n">
        <x:v>2</x:v>
      </x:c>
      <x:c r="Q681" s="40" t="n">
        <x:v>0</x:v>
      </x:c>
      <x:c r="R681" s="31" t="n">
        <x:v>0.13838041761632666</x:v>
      </x:c>
      <x:c r="S681" s="40"/>
      <x:c r="T681" s="40"/>
      <x:c r="U681" s="40" t="n">
        <x:v>1</x:v>
      </x:c>
      <x:c r="V681" s="40" t="n">
        <x:v>0.9812246963562753</x:v>
      </x:c>
      <x:c r="W681" s="31" t="n">
        <x:v>0</x:v>
      </x:c>
      <x:c r="X681" s="31" t="str"/>
      <x:c r="Y681" s="31" t="n">
        <x:v>0</x:v>
      </x:c>
      <x:c r="Z681" s="31" t="n">
        <x:v>0</x:v>
      </x:c>
      <x:c r="AA681" s="31" t="n">
        <x:v>0</x:v>
      </x:c>
      <x:c r="AB681" s="31" t="str"/>
      <x:c r="AC681" s="31" t="str"/>
    </x:row>
    <x:row r="682">
      <x:c r="A682" s="31" t="str">
        <x:v>c9795cd0cef992bb</x:v>
      </x:c>
      <x:c r="B682" s="31" t="str">
        <x:v>c9795cd0cef992bbca006a4aea30b1e826c16ba7f8f76b03f2290b31de84f6b8</x:v>
      </x:c>
      <x:c r="C682" s="31" t="n">
        <x:v>9</x:v>
      </x:c>
      <x:c r="D682" s="31" t="n">
        <x:v>34861</x:v>
      </x:c>
      <x:c r="E682" s="31" t="str">
        <x:v>Brooklyn</x:v>
      </x:c>
      <x:c r="F682" s="31" t="str">
        <x:v>Downtown Brooklyn-DUMBO-Boerum Hill</x:v>
      </x:c>
      <x:c r="G682" s="31" t="n">
        <x:v>58583.187047236985</x:v>
      </x:c>
      <x:c r="H682" s="31" t="n">
        <x:v>26824</x:v>
      </x:c>
      <x:c r="I682" s="31" t="n">
        <x:v>30.377681999548294</x:v>
      </x:c>
      <x:c r="J682" s="40" t="n">
        <x:v>0.8704891142260662</x:v>
      </x:c>
      <x:c r="K682" s="40" t="n">
        <x:v>0.11843871160155085</x:v>
      </x:c>
      <x:c r="L682" s="40" t="n">
        <x:v>0.16213092752758723</x:v>
      </x:c>
      <x:c r="M682" s="31" t="n">
        <x:v>340.54562926932624</x:v>
      </x:c>
      <x:c r="N682" s="31" t="n">
        <x:v>490</x:v>
      </x:c>
      <x:c r="O682" s="31" t="n">
        <x:v>14.055821691861967</x:v>
      </x:c>
      <x:c r="P682" s="31" t="n">
        <x:v>2.0783626603042054</x:v>
      </x:c>
      <x:c r="Q682" s="40" t="n">
        <x:v>0.039181330152102595</x:v>
      </x:c>
      <x:c r="R682" s="31" t="n">
        <x:v>0.09461473784180291</x:v>
      </x:c>
      <x:c r="S682" s="40"/>
      <x:c r="T682" s="40"/>
      <x:c r="U682" s="40" t="n">
        <x:v>1</x:v>
      </x:c>
      <x:c r="V682" s="40" t="n">
        <x:v>0.9074336415150611</x:v>
      </x:c>
      <x:c r="W682" s="31" t="n">
        <x:v>0</x:v>
      </x:c>
      <x:c r="X682" s="31" t="str"/>
      <x:c r="Y682" s="31" t="n">
        <x:v>0</x:v>
      </x:c>
      <x:c r="Z682" s="31" t="n">
        <x:v>0</x:v>
      </x:c>
      <x:c r="AA682" s="31" t="n">
        <x:v>0</x:v>
      </x:c>
      <x:c r="AB682" s="31" t="str"/>
      <x:c r="AC682" s="31" t="str"/>
    </x:row>
    <x:row r="683">
      <x:c r="A683" s="31" t="str">
        <x:v>c9c7663f3bf076c1</x:v>
      </x:c>
      <x:c r="B683" s="31" t="str">
        <x:v>c9c7663f3bf076c1d542f470d082b9781d374f563d272d13e4683b8cff64634e</x:v>
      </x:c>
      <x:c r="C683" s="31" t="n">
        <x:v>9</x:v>
      </x:c>
      <x:c r="D683" s="31" t="n">
        <x:v>33167</x:v>
      </x:c>
      <x:c r="E683" s="31" t="str">
        <x:v>Staten Island</x:v>
      </x:c>
      <x:c r="F683" s="31" t="str">
        <x:v>Rosebank-Shore Acres-Park Hill</x:v>
      </x:c>
      <x:c r="G683" s="31" t="n">
        <x:v>19333.52026143856</x:v>
      </x:c>
      <x:c r="H683" s="31" t="n">
        <x:v>11348</x:v>
      </x:c>
      <x:c r="I683" s="31" t="n">
        <x:v>3.7808673784523075</x:v>
      </x:c>
      <x:c r="J683" s="40" t="n">
        <x:v>0.028286922805780754</x:v>
      </x:c>
      <x:c r="K683" s="40" t="n">
        <x:v>0.3921395840676771</x:v>
      </x:c>
      <x:c r="L683" s="40" t="n">
        <x:v>0.300845964046528</x:v>
      </x:c>
      <x:c r="M683" s="31" t="n">
        <x:v>43.76209031368793</x:v>
      </x:c>
      <x:c r="N683" s="31" t="n">
        <x:v>68</x:v>
      </x:c>
      <x:c r="O683" s="31" t="n">
        <x:v>2.0502306509482318</x:v>
      </x:c>
      <x:c r="P683" s="31" t="n">
        <x:v>2.7425096933380333</x:v>
      </x:c>
      <x:c r="Q683" s="40" t="n">
        <x:v>0</x:v>
      </x:c>
      <x:c r="R683" s="31" t="n">
        <x:v>0.23058797444823262</x:v>
      </x:c>
      <x:c r="S683" s="40"/>
      <x:c r="T683" s="40"/>
      <x:c r="U683" s="40" t="n">
        <x:v>1</x:v>
      </x:c>
      <x:c r="V683" s="40" t="n">
        <x:v>0.9866055692633063</x:v>
      </x:c>
      <x:c r="W683" s="31" t="n">
        <x:v>0</x:v>
      </x:c>
      <x:c r="X683" s="31" t="str"/>
      <x:c r="Y683" s="31" t="n">
        <x:v>0</x:v>
      </x:c>
      <x:c r="Z683" s="31" t="n">
        <x:v>0</x:v>
      </x:c>
      <x:c r="AA683" s="31" t="n">
        <x:v>0</x:v>
      </x:c>
      <x:c r="AB683" s="31" t="str"/>
      <x:c r="AC683" s="31" t="str"/>
    </x:row>
    <x:row r="684">
      <x:c r="A684" s="31" t="str">
        <x:v>ca485529d9c1d714</x:v>
      </x:c>
      <x:c r="B684" s="31" t="str">
        <x:v>ca485529d9c1d7143adda528c4649e35c4c42a30d570e52e42eb4a5e36092e7c</x:v>
      </x:c>
      <x:c r="C684" s="31" t="n">
        <x:v>7</x:v>
      </x:c>
      <x:c r="D684" s="31" t="n">
        <x:v>36003</x:v>
      </x:c>
      <x:c r="E684" s="31" t="str">
        <x:v>Brooklyn</x:v>
      </x:c>
      <x:c r="F684" s="31" t="str">
        <x:v>South Williamsburg</x:v>
      </x:c>
      <x:c r="G684" s="31" t="n">
        <x:v>91340.19330848653</x:v>
      </x:c>
      <x:c r="H684" s="31" t="n">
        <x:v>10538</x:v>
      </x:c>
      <x:c r="I684" s="31" t="n">
        <x:v>5.9400038707180185</x:v>
      </x:c>
      <x:c r="J684" s="40" t="n">
        <x:v>0.08920098690453597</x:v>
      </x:c>
      <x:c r="K684" s="40" t="n">
        <x:v>0.8505408996014424</x:v>
      </x:c>
      <x:c r="L684" s="40" t="n">
        <x:v>0.09869045359650788</x:v>
      </x:c>
      <x:c r="M684" s="31" t="n">
        <x:v>66.36462993087639</x:v>
      </x:c>
      <x:c r="N684" s="31" t="n">
        <x:v>307</x:v>
      </x:c>
      <x:c r="O684" s="31" t="n">
        <x:v>8.527067188845374</x:v>
      </x:c>
      <x:c r="P684" s="31" t="n">
        <x:v>3.460903397229076</x:v>
      </x:c>
      <x:c r="Q684" s="40" t="n">
        <x:v>0.46090339722907575</x:v>
      </x:c>
      <x:c r="R684" s="31" t="n">
        <x:v>0.12334893627984395</x:v>
      </x:c>
      <x:c r="S684" s="40"/>
      <x:c r="T684" s="40"/>
      <x:c r="U684" s="40" t="n">
        <x:v>1</x:v>
      </x:c>
      <x:c r="V684" s="40" t="n">
        <x:v>0.9734294932624786</x:v>
      </x:c>
      <x:c r="W684" s="31" t="n">
        <x:v>0</x:v>
      </x:c>
      <x:c r="X684" s="31" t="str"/>
      <x:c r="Y684" s="31" t="n">
        <x:v>0</x:v>
      </x:c>
      <x:c r="Z684" s="31" t="n">
        <x:v>0</x:v>
      </x:c>
      <x:c r="AA684" s="31" t="n">
        <x:v>0</x:v>
      </x:c>
      <x:c r="AB684" s="31" t="str"/>
      <x:c r="AC684" s="31" t="str"/>
    </x:row>
    <x:row r="685">
      <x:c r="A685" s="31" t="str">
        <x:v>ca9cbc8be7bac163</x:v>
      </x:c>
      <x:c r="B685" s="31" t="str">
        <x:v>ca9cbc8be7bac163ba5b7ca47c0df44ffd7bcb7dad7147a11b5dd0d65080e897</x:v>
      </x:c>
      <x:c r="C685" s="31" t="n">
        <x:v>6</x:v>
      </x:c>
      <x:c r="D685" s="31" t="n">
        <x:v>35588</x:v>
      </x:c>
      <x:c r="E685" s="31" t="str">
        <x:v>Manhattan</x:v>
      </x:c>
      <x:c r="F685" s="31" t="str">
        <x:v>Harlem (North)</x:v>
      </x:c>
      <x:c r="G685" s="31" t="n">
        <x:v>108329.77399485413</x:v>
      </x:c>
      <x:c r="H685" s="31" t="n">
        <x:v>15602</x:v>
      </x:c>
      <x:c r="I685" s="31" t="n">
        <x:v>9.444380329550555</x:v>
      </x:c>
      <x:c r="J685" s="40" t="n">
        <x:v>0.23990514036661967</x:v>
      </x:c>
      <x:c r="K685" s="40" t="n">
        <x:v>0.7595180105114729</x:v>
      </x:c>
      <x:c r="L685" s="40" t="n">
        <x:v>0.2150365337777208</x:v>
      </x:c>
      <x:c r="M685" s="31" t="n">
        <x:v>99.1997958547167</x:v>
      </x:c>
      <x:c r="N685" s="31" t="n">
        <x:v>210</x:v>
      </x:c>
      <x:c r="O685" s="31" t="n">
        <x:v>5.900865460267506</x:v>
      </x:c>
      <x:c r="P685" s="31" t="n">
        <x:v>4.809383412383028</x:v>
      </x:c>
      <x:c r="Q685" s="40" t="n">
        <x:v>1</x:v>
      </x:c>
      <x:c r="R685" s="31" t="n">
        <x:v>0.07838245805559867</x:v>
      </x:c>
      <x:c r="S685" s="40"/>
      <x:c r="T685" s="40"/>
      <x:c r="U685" s="40" t="n">
        <x:v>1</x:v>
      </x:c>
      <x:c r="V685" s="40" t="n">
        <x:v>0.9853223945647994</x:v>
      </x:c>
      <x:c r="W685" s="31" t="n">
        <x:v>1</x:v>
      </x:c>
      <x:c r="X685" s="31" t="str"/>
      <x:c r="Y685" s="31" t="n">
        <x:v>0</x:v>
      </x:c>
      <x:c r="Z685" s="31" t="n">
        <x:v>1</x:v>
      </x:c>
      <x:c r="AA685" s="31" t="n">
        <x:v>0</x:v>
      </x:c>
      <x:c r="AB685" s="31" t="str"/>
      <x:c r="AC685" s="31" t="str"/>
    </x:row>
    <x:row r="686">
      <x:c r="A686" s="31" t="str">
        <x:v>cb0bd63e720d1a10</x:v>
      </x:c>
      <x:c r="B686" s="31" t="str">
        <x:v>cb0bd63e720d1a102ecc940a94bd2b7a652e5f35b835f6c0c7c7dfc823577e6d</x:v>
      </x:c>
      <x:c r="C686" s="31" t="n">
        <x:v>7</x:v>
      </x:c>
      <x:c r="D686" s="31" t="n">
        <x:v>36169</x:v>
      </x:c>
      <x:c r="E686" s="31" t="str">
        <x:v>Brooklyn</x:v>
      </x:c>
      <x:c r="F686" s="31" t="str">
        <x:v>Williamsburg</x:v>
      </x:c>
      <x:c r="G686" s="31" t="n">
        <x:v>90694.36902256456</x:v>
      </x:c>
      <x:c r="H686" s="31" t="n">
        <x:v>14115</x:v>
      </x:c>
      <x:c r="I686" s="31" t="n">
        <x:v>10.449437794704389</x:v>
      </x:c>
      <x:c r="J686" s="40" t="n">
        <x:v>0.3749911441728657</x:v>
      </x:c>
      <x:c r="K686" s="40" t="n">
        <x:v>0.5895855472901169</x:v>
      </x:c>
      <x:c r="L686" s="40" t="n">
        <x:v>0.25356004250797026</x:v>
      </x:c>
      <x:c r="M686" s="31" t="n">
        <x:v>106.01481107362584</x:v>
      </x:c>
      <x:c r="N686" s="31" t="n">
        <x:v>330</x:v>
      </x:c>
      <x:c r="O686" s="31" t="n">
        <x:v>9.123835328596313</x:v>
      </x:c>
      <x:c r="P686" s="31" t="n">
        <x:v>3</x:v>
      </x:c>
      <x:c r="Q686" s="40" t="n">
        <x:v>0</x:v>
      </x:c>
      <x:c r="R686" s="31" t="n">
        <x:v>0.13662187765978934</x:v>
      </x:c>
      <x:c r="S686" s="40"/>
      <x:c r="T686" s="40"/>
      <x:c r="U686" s="40" t="n">
        <x:v>1</x:v>
      </x:c>
      <x:c r="V686" s="40" t="n">
        <x:v>0.9793127878143819</x:v>
      </x:c>
      <x:c r="W686" s="31" t="n">
        <x:v>1</x:v>
      </x:c>
      <x:c r="X686" s="31" t="str"/>
      <x:c r="Y686" s="31" t="n">
        <x:v>1</x:v>
      </x:c>
      <x:c r="Z686" s="31" t="n">
        <x:v>0</x:v>
      </x:c>
      <x:c r="AA686" s="31" t="n">
        <x:v>0</x:v>
      </x:c>
      <x:c r="AB686" s="31" t="str"/>
      <x:c r="AC686" s="31" t="str"/>
    </x:row>
    <x:row r="687">
      <x:c r="A687" s="31" t="str">
        <x:v>cb73d1542ba571b0</x:v>
      </x:c>
      <x:c r="B687" s="31" t="str">
        <x:v>cb73d1542ba571b08718677a37dbf6981ce4c1b9aec8aca907bc0ef7de924867</x:v>
      </x:c>
      <x:c r="C687" s="31" t="n">
        <x:v>14</x:v>
      </x:c>
      <x:c r="D687" s="31" t="n">
        <x:v>33872</x:v>
      </x:c>
      <x:c r="E687" s="31" t="str">
        <x:v>Queens</x:v>
      </x:c>
      <x:c r="F687" s="31" t="str">
        <x:v>Richmond Hill</x:v>
      </x:c>
      <x:c r="G687" s="31" t="n">
        <x:v>38820.39368598213</x:v>
      </x:c>
      <x:c r="H687" s="31" t="n">
        <x:v>9693</x:v>
      </x:c>
      <x:c r="I687" s="31" t="n">
        <x:v>2.661047471620227</x:v>
      </x:c>
      <x:c r="J687" s="40" t="n">
        <x:v>0</x:v>
      </x:c>
      <x:c r="K687" s="40" t="n">
        <x:v>0.23026926648096566</x:v>
      </x:c>
      <x:c r="L687" s="40" t="n">
        <x:v>0.013514907665325492</x:v>
      </x:c>
      <x:c r="M687" s="31" t="n">
        <x:v>32.43943155841941</x:v>
      </x:c>
      <x:c r="N687" s="31" t="n">
        <x:v>16</x:v>
      </x:c>
      <x:c r="O687" s="31" t="n">
        <x:v>0.4723665564478035</x:v>
      </x:c>
      <x:c r="P687" s="31" t="n">
        <x:v>3.2055091303002166</x:v>
      </x:c>
      <x:c r="Q687" s="40" t="n">
        <x:v>0.26875064479521305</x:v>
      </x:c>
      <x:c r="R687" s="31" t="n">
        <x:v>0.1257425426781174</x:v>
      </x:c>
      <x:c r="S687" s="40"/>
      <x:c r="T687" s="40"/>
      <x:c r="U687" s="40" t="n">
        <x:v>1</x:v>
      </x:c>
      <x:c r="V687" s="40" t="n">
        <x:v>0.9908181161663056</x:v>
      </x:c>
      <x:c r="W687" s="31" t="n">
        <x:v>0</x:v>
      </x:c>
      <x:c r="X687" s="31" t="str"/>
      <x:c r="Y687" s="31" t="n">
        <x:v>0</x:v>
      </x:c>
      <x:c r="Z687" s="31" t="n">
        <x:v>0</x:v>
      </x:c>
      <x:c r="AA687" s="31" t="n">
        <x:v>0</x:v>
      </x:c>
      <x:c r="AB687" s="31" t="str"/>
      <x:c r="AC687" s="31" t="str"/>
    </x:row>
    <x:row r="688">
      <x:c r="A688" s="31" t="str">
        <x:v>cc66f52d44f65053</x:v>
      </x:c>
      <x:c r="B688" s="31" t="str">
        <x:v>cc66f52d44f65053dac33ab28cfe1055c8e8014a0907667f52ee1334a69a4efa</x:v>
      </x:c>
      <x:c r="C688" s="31" t="n">
        <x:v>7</x:v>
      </x:c>
      <x:c r="D688" s="31" t="n">
        <x:v>34743</x:v>
      </x:c>
      <x:c r="E688" s="31" t="str">
        <x:v>Bronx</x:v>
      </x:c>
      <x:c r="F688" s="31" t="str">
        <x:v>Soundview-Bruckner-Bronx River</x:v>
      </x:c>
      <x:c r="G688" s="31" t="n">
        <x:v>80578.6227882816</x:v>
      </x:c>
      <x:c r="H688" s="31" t="n">
        <x:v>10960</x:v>
      </x:c>
      <x:c r="I688" s="31" t="n">
        <x:v>5.863184306569343</x:v>
      </x:c>
      <x:c r="J688" s="40" t="n">
        <x:v>0.2174270072992701</x:v>
      </x:c>
      <x:c r="K688" s="40" t="n">
        <x:v>0.45985401459854014</x:v>
      </x:c>
      <x:c r="L688" s="40" t="n">
        <x:v>0.11487226277372263</x:v>
      </x:c>
      <x:c r="M688" s="31" t="n">
        <x:v>61.955680220083984</x:v>
      </x:c>
      <x:c r="N688" s="31" t="n">
        <x:v>84</x:v>
      </x:c>
      <x:c r="O688" s="31" t="n">
        <x:v>2.417753216475261</x:v>
      </x:c>
      <x:c r="P688" s="31" t="n">
        <x:v>4</x:v>
      </x:c>
      <x:c r="Q688" s="40" t="n">
        <x:v>1</x:v>
      </x:c>
      <x:c r="R688" s="31" t="n">
        <x:v>0.147037001679247</x:v>
      </x:c>
      <x:c r="S688" s="40"/>
      <x:c r="T688" s="40"/>
      <x:c r="U688" s="40" t="n">
        <x:v>1</x:v>
      </x:c>
      <x:c r="V688" s="40" t="n">
        <x:v>0.9996350364963503</x:v>
      </x:c>
      <x:c r="W688" s="31" t="n">
        <x:v>0</x:v>
      </x:c>
      <x:c r="X688" s="31" t="str"/>
      <x:c r="Y688" s="31" t="n">
        <x:v>0</x:v>
      </x:c>
      <x:c r="Z688" s="31" t="n">
        <x:v>0</x:v>
      </x:c>
      <x:c r="AA688" s="31" t="n">
        <x:v>0</x:v>
      </x:c>
      <x:c r="AB688" s="31" t="str"/>
      <x:c r="AC688" s="31" t="str"/>
    </x:row>
    <x:row r="689">
      <x:c r="A689" s="31" t="str">
        <x:v>cc6ce9690eab1a6b</x:v>
      </x:c>
      <x:c r="B689" s="31" t="str">
        <x:v>cc6ce9690eab1a6b2d2343a3cb212bcb7f6d4d64c9360bdfa6758eeff540d4f1</x:v>
      </x:c>
      <x:c r="C689" s="31" t="n">
        <x:v>7</x:v>
      </x:c>
      <x:c r="D689" s="31" t="n">
        <x:v>34452</x:v>
      </x:c>
      <x:c r="E689" s="31" t="str">
        <x:v>Queens</x:v>
      </x:c>
      <x:c r="F689" s="31" t="str">
        <x:v>Corona</x:v>
      </x:c>
      <x:c r="G689" s="31" t="n">
        <x:v>79448.53985363543</x:v>
      </x:c>
      <x:c r="H689" s="31" t="n">
        <x:v>9668</x:v>
      </x:c>
      <x:c r="I689" s="31" t="n">
        <x:v>3.675228955877751</x:v>
      </x:c>
      <x:c r="J689" s="40" t="n">
        <x:v>0</x:v>
      </x:c>
      <x:c r="K689" s="40" t="n">
        <x:v>0.6954902772031444</x:v>
      </x:c>
      <x:c r="L689" s="40" t="n">
        <x:v>0.0978485726106744</x:v>
      </x:c>
      <x:c r="M689" s="31" t="n">
        <x:v>40.2723377925099</x:v>
      </x:c>
      <x:c r="N689" s="31" t="n">
        <x:v>65</x:v>
      </x:c>
      <x:c r="O689" s="31" t="n">
        <x:v>1.8866829211656797</x:v>
      </x:c>
      <x:c r="P689" s="31" t="n">
        <x:v>4</x:v>
      </x:c>
      <x:c r="Q689" s="40" t="n">
        <x:v>1</x:v>
      </x:c>
      <x:c r="R689" s="31" t="n">
        <x:v>0.16895755040512622</x:v>
      </x:c>
      <x:c r="S689" s="40"/>
      <x:c r="T689" s="40"/>
      <x:c r="U689" s="40" t="n">
        <x:v>1</x:v>
      </x:c>
      <x:c r="V689" s="40" t="n">
        <x:v>0.9923458833264377</x:v>
      </x:c>
      <x:c r="W689" s="31" t="n">
        <x:v>1</x:v>
      </x:c>
      <x:c r="X689" s="31" t="str"/>
      <x:c r="Y689" s="31" t="n">
        <x:v>0</x:v>
      </x:c>
      <x:c r="Z689" s="31" t="n">
        <x:v>1</x:v>
      </x:c>
      <x:c r="AA689" s="31" t="n">
        <x:v>0</x:v>
      </x:c>
      <x:c r="AB689" s="31" t="str"/>
      <x:c r="AC689" s="31" t="str"/>
    </x:row>
    <x:row r="690">
      <x:c r="A690" s="31" t="str">
        <x:v>cc8ab2d630ea707d</x:v>
      </x:c>
      <x:c r="B690" s="31" t="str">
        <x:v>cc8ab2d630ea707df8b42ee2d0cc6b7b4d6c492799832d8ab5803cd3f2055181</x:v>
      </x:c>
      <x:c r="C690" s="31" t="n">
        <x:v>13</x:v>
      </x:c>
      <x:c r="D690" s="31" t="n">
        <x:v>32160</x:v>
      </x:c>
      <x:c r="E690" s="31" t="str">
        <x:v>Queens</x:v>
      </x:c>
      <x:c r="F690" s="31" t="str">
        <x:v>St. Albans</x:v>
      </x:c>
      <x:c r="G690" s="31" t="n">
        <x:v>23480.44710612669</x:v>
      </x:c>
      <x:c r="H690" s="31" t="n">
        <x:v>9708</x:v>
      </x:c>
      <x:c r="I690" s="31" t="n">
        <x:v>2.149107584501236</x:v>
      </x:c>
      <x:c r="J690" s="40" t="n">
        <x:v>0</x:v>
      </x:c>
      <x:c r="K690" s="40" t="n">
        <x:v>0.015451174289245983</x:v>
      </x:c>
      <x:c r="L690" s="40" t="n">
        <x:v>0.021837659662134322</x:v>
      </x:c>
      <x:c r="M690" s="31" t="n">
        <x:v>26.673277520050654</x:v>
      </x:c>
      <x:c r="N690" s="31" t="n">
        <x:v>9</x:v>
      </x:c>
      <x:c r="O690" s="31" t="n">
        <x:v>0.27985074626865675</x:v>
      </x:c>
      <x:c r="P690" s="31" t="n">
        <x:v>4.917902760609806</x:v>
      </x:c>
      <x:c r="Q690" s="40" t="n">
        <x:v>1</x:v>
      </x:c>
      <x:c r="R690" s="31" t="n">
        <x:v>0.2478700642210812</x:v>
      </x:c>
      <x:c r="S690" s="40"/>
      <x:c r="T690" s="40"/>
      <x:c r="U690" s="40" t="n">
        <x:v>1</x:v>
      </x:c>
      <x:c r="V690" s="40" t="n">
        <x:v>0.996497733827771</x:v>
      </x:c>
      <x:c r="W690" s="31" t="n">
        <x:v>0</x:v>
      </x:c>
      <x:c r="X690" s="31" t="str"/>
      <x:c r="Y690" s="31" t="n">
        <x:v>0</x:v>
      </x:c>
      <x:c r="Z690" s="31" t="n">
        <x:v>0</x:v>
      </x:c>
      <x:c r="AA690" s="31" t="n">
        <x:v>0</x:v>
      </x:c>
      <x:c r="AB690" s="31" t="str"/>
      <x:c r="AC690" s="31" t="str"/>
    </x:row>
    <x:row r="691">
      <x:c r="A691" s="31" t="str">
        <x:v>cca0b012e8e6920f</x:v>
      </x:c>
      <x:c r="B691" s="31" t="str">
        <x:v>cca0b012e8e6920ff53b23491fa70e6bdbb062fe15e7b2770a063f18e55a148c</x:v>
      </x:c>
      <x:c r="C691" s="31" t="n">
        <x:v>8</x:v>
      </x:c>
      <x:c r="D691" s="31" t="n">
        <x:v>37273</x:v>
      </x:c>
      <x:c r="E691" s="31" t="str">
        <x:v>Manhattan</x:v>
      </x:c>
      <x:c r="F691" s="31" t="str">
        <x:v>East Harlem (South)</x:v>
      </x:c>
      <x:c r="G691" s="31" t="n">
        <x:v>106062.54029835147</x:v>
      </x:c>
      <x:c r="H691" s="31" t="n">
        <x:v>19255</x:v>
      </x:c>
      <x:c r="I691" s="31" t="n">
        <x:v>14.610102348295927</x:v>
      </x:c>
      <x:c r="J691" s="40" t="n">
        <x:v>0.6054011944949363</x:v>
      </x:c>
      <x:c r="K691" s="40" t="n">
        <x:v>0.3939236561931966</x:v>
      </x:c>
      <x:c r="L691" s="40" t="n">
        <x:v>0.19922098156323034</x:v>
      </x:c>
      <x:c r="M691" s="31" t="n">
        <x:v>160.55109096748416</x:v>
      </x:c>
      <x:c r="N691" s="31" t="n">
        <x:v>477</x:v>
      </x:c>
      <x:c r="O691" s="31" t="n">
        <x:v>12.797467335604862</x:v>
      </x:c>
      <x:c r="P691" s="31" t="n">
        <x:v>2.492910932225396</x:v>
      </x:c>
      <x:c r="Q691" s="40" t="n">
        <x:v>0.49763697740846535</x:v>
      </x:c>
      <x:c r="R691" s="31" t="n">
        <x:v>0.11287341889631693</x:v>
      </x:c>
      <x:c r="S691" s="40"/>
      <x:c r="T691" s="40"/>
      <x:c r="U691" s="40" t="n">
        <x:v>1</x:v>
      </x:c>
      <x:c r="V691" s="40" t="n">
        <x:v>0.9921059465074007</x:v>
      </x:c>
      <x:c r="W691" s="31" t="n">
        <x:v>1</x:v>
      </x:c>
      <x:c r="X691" s="31" t="str"/>
      <x:c r="Y691" s="31" t="n">
        <x:v>1</x:v>
      </x:c>
      <x:c r="Z691" s="31" t="n">
        <x:v>0</x:v>
      </x:c>
      <x:c r="AA691" s="31" t="n">
        <x:v>0</x:v>
      </x:c>
      <x:c r="AB691" s="31" t="str"/>
      <x:c r="AC691" s="31" t="str"/>
    </x:row>
    <x:row r="692">
      <x:c r="A692" s="31" t="str">
        <x:v>cca188da3ed3d6af</x:v>
      </x:c>
      <x:c r="B692" s="31" t="str">
        <x:v>cca188da3ed3d6afff9ab1dc752769b885c8d5723c51fe0d1635dff3f6588554</x:v>
      </x:c>
      <x:c r="C692" s="31" t="n">
        <x:v>10</x:v>
      </x:c>
      <x:c r="D692" s="31" t="n">
        <x:v>34339</x:v>
      </x:c>
      <x:c r="E692" s="31" t="str">
        <x:v>Brooklyn</x:v>
      </x:c>
      <x:c r="F692" s="31" t="str">
        <x:v>Crown Heights (North)</x:v>
      </x:c>
      <x:c r="G692" s="31" t="n">
        <x:v>65744.97879618261</x:v>
      </x:c>
      <x:c r="H692" s="31" t="n">
        <x:v>12551</x:v>
      </x:c>
      <x:c r="I692" s="31" t="n">
        <x:v>4.896353128736548</x:v>
      </x:c>
      <x:c r="J692" s="40" t="n">
        <x:v>0.0979204844235519</x:v>
      </x:c>
      <x:c r="K692" s="40" t="n">
        <x:v>0.6696677555573262</x:v>
      </x:c>
      <x:c r="L692" s="40" t="n">
        <x:v>0.10572862720101985</x:v>
      </x:c>
      <x:c r="M692" s="31" t="n">
        <x:v>56.31646924962572</x:v>
      </x:c>
      <x:c r="N692" s="31" t="n">
        <x:v>125</x:v>
      </x:c>
      <x:c r="O692" s="31" t="n">
        <x:v>3.640175893299164</x:v>
      </x:c>
      <x:c r="P692" s="31" t="n">
        <x:v>4.974344673731177</x:v>
      </x:c>
      <x:c r="Q692" s="40" t="n">
        <x:v>1</x:v>
      </x:c>
      <x:c r="R692" s="31" t="n">
        <x:v>0.2089230542791278</x:v>
      </x:c>
      <x:c r="S692" s="40"/>
      <x:c r="T692" s="40"/>
      <x:c r="U692" s="40" t="n">
        <x:v>1</x:v>
      </x:c>
      <x:c r="V692" s="40" t="n">
        <x:v>0.9877300613496932</x:v>
      </x:c>
      <x:c r="W692" s="31" t="n">
        <x:v>1</x:v>
      </x:c>
      <x:c r="X692" s="31" t="str"/>
      <x:c r="Y692" s="31" t="n">
        <x:v>0</x:v>
      </x:c>
      <x:c r="Z692" s="31" t="n">
        <x:v>1</x:v>
      </x:c>
      <x:c r="AA692" s="31" t="n">
        <x:v>0</x:v>
      </x:c>
      <x:c r="AB692" s="31" t="str"/>
      <x:c r="AC692" s="31" t="str"/>
    </x:row>
    <x:row r="693">
      <x:c r="A693" s="31" t="str">
        <x:v>cccd54db5039e96f</x:v>
      </x:c>
      <x:c r="B693" s="31" t="str">
        <x:v>cccd54db5039e96f45b419931bb55575d07c6531d4f643ea1ea3c2f2af29ed51</x:v>
      </x:c>
      <x:c r="C693" s="31" t="n">
        <x:v>5</x:v>
      </x:c>
      <x:c r="D693" s="31" t="n">
        <x:v>33925</x:v>
      </x:c>
      <x:c r="E693" s="31" t="str">
        <x:v>Manhattan</x:v>
      </x:c>
      <x:c r="F693" s="31" t="str">
        <x:v>Hamilton Heights-Sugar Hill</x:v>
      </x:c>
      <x:c r="G693" s="31" t="n">
        <x:v>87781.80733766287</x:v>
      </x:c>
      <x:c r="H693" s="31" t="n">
        <x:v>12813</x:v>
      </x:c>
      <x:c r="I693" s="31" t="n">
        <x:v>8.734878638882385</x:v>
      </x:c>
      <x:c r="J693" s="40" t="n">
        <x:v>0.2223522984468899</x:v>
      </x:c>
      <x:c r="K693" s="40" t="n">
        <x:v>0.7761648325918988</x:v>
      </x:c>
      <x:c r="L693" s="40" t="n">
        <x:v>0.12128307188012175</x:v>
      </x:c>
      <x:c r="M693" s="31" t="n">
        <x:v>96.1388526626286</x:v>
      </x:c>
      <x:c r="N693" s="31" t="n">
        <x:v>196</x:v>
      </x:c>
      <x:c r="O693" s="31" t="n">
        <x:v>5.7774502579218865</x:v>
      </x:c>
      <x:c r="P693" s="31" t="n">
        <x:v>4</x:v>
      </x:c>
      <x:c r="Q693" s="40" t="n">
        <x:v>1</x:v>
      </x:c>
      <x:c r="R693" s="31" t="n">
        <x:v>0.15255324874762619</x:v>
      </x:c>
      <x:c r="S693" s="40"/>
      <x:c r="T693" s="40"/>
      <x:c r="U693" s="40" t="n">
        <x:v>1</x:v>
      </x:c>
      <x:c r="V693" s="40" t="n">
        <x:v>1</x:v>
      </x:c>
      <x:c r="W693" s="31" t="n">
        <x:v>1</x:v>
      </x:c>
      <x:c r="X693" s="31" t="str"/>
      <x:c r="Y693" s="31" t="n">
        <x:v>0</x:v>
      </x:c>
      <x:c r="Z693" s="31" t="n">
        <x:v>1</x:v>
      </x:c>
      <x:c r="AA693" s="31" t="n">
        <x:v>0</x:v>
      </x:c>
      <x:c r="AB693" s="31" t="str"/>
      <x:c r="AC693" s="31" t="str"/>
    </x:row>
    <x:row r="694">
      <x:c r="A694" s="31" t="str">
        <x:v>cd1caa0e0846cd59</x:v>
      </x:c>
      <x:c r="B694" s="31" t="str">
        <x:v>cd1caa0e0846cd59c80c0a6cea21dc9f263341f2a60e6c50a8225250ea9c5a25</x:v>
      </x:c>
      <x:c r="C694" s="31" t="n">
        <x:v>4</x:v>
      </x:c>
      <x:c r="D694" s="31" t="n">
        <x:v>32264</x:v>
      </x:c>
      <x:c r="E694" s="31" t="str">
        <x:v>Manhattan</x:v>
      </x:c>
      <x:c r="F694" s="31" t="str">
        <x:v>Upper East Side-Lenox Hill-Roosevelt Island</x:v>
      </x:c>
      <x:c r="G694" s="31" t="n">
        <x:v>153553.97709209385</x:v>
      </x:c>
      <x:c r="H694" s="31" t="n">
        <x:v>21307</x:v>
      </x:c>
      <x:c r="I694" s="31" t="n">
        <x:v>16.150114985685455</x:v>
      </x:c>
      <x:c r="J694" s="40" t="n">
        <x:v>0.6953114000093866</x:v>
      </x:c>
      <x:c r="K694" s="40" t="n">
        <x:v>0.3044070023935796</x:v>
      </x:c>
      <x:c r="L694" s="40" t="n">
        <x:v>0.015300136105505234</x:v>
      </x:c>
      <x:c r="M694" s="31" t="n">
        <x:v>161.7134256602156</x:v>
      </x:c>
      <x:c r="N694" s="31" t="n">
        <x:v>594</x:v>
      </x:c>
      <x:c r="O694" s="31" t="n">
        <x:v>18.410612447309695</x:v>
      </x:c>
      <x:c r="P694" s="31" t="n">
        <x:v>2</x:v>
      </x:c>
      <x:c r="Q694" s="40" t="n">
        <x:v>0</x:v>
      </x:c>
      <x:c r="R694" s="31" t="n">
        <x:v>0.16055938558200875</x:v>
      </x:c>
      <x:c r="S694" s="40"/>
      <x:c r="T694" s="40"/>
      <x:c r="U694" s="40" t="n">
        <x:v>1</x:v>
      </x:c>
      <x:c r="V694" s="40" t="n">
        <x:v>0.9905664804993664</x:v>
      </x:c>
      <x:c r="W694" s="31" t="n">
        <x:v>1</x:v>
      </x:c>
      <x:c r="X694" s="31" t="str"/>
      <x:c r="Y694" s="31" t="n">
        <x:v>1</x:v>
      </x:c>
      <x:c r="Z694" s="31" t="n">
        <x:v>0</x:v>
      </x:c>
      <x:c r="AA694" s="31" t="n">
        <x:v>0</x:v>
      </x:c>
      <x:c r="AB694" s="31" t="str"/>
      <x:c r="AC694" s="31" t="str"/>
    </x:row>
    <x:row r="695">
      <x:c r="A695" s="31" t="str">
        <x:v>cd5b59e6b3433438</x:v>
      </x:c>
      <x:c r="B695" s="31" t="str">
        <x:v>cd5b59e6b34334389a9fe2c189506d593ce24345c345f0ea57edd535684b9863</x:v>
      </x:c>
      <x:c r="C695" s="31" t="n">
        <x:v>10</x:v>
      </x:c>
      <x:c r="D695" s="31" t="n">
        <x:v>34483</x:v>
      </x:c>
      <x:c r="E695" s="31" t="str">
        <x:v>Brooklyn</x:v>
      </x:c>
      <x:c r="F695" s="31" t="str">
        <x:v>Sheepshead Bay-Manhattan Beach-Gerritsen Beach</x:v>
      </x:c>
      <x:c r="G695" s="31" t="n">
        <x:v>49019.71202384027</x:v>
      </x:c>
      <x:c r="H695" s="31" t="n">
        <x:v>13158</x:v>
      </x:c>
      <x:c r="I695" s="31" t="n">
        <x:v>4.366584474885845</x:v>
      </x:c>
      <x:c r="J695" s="40" t="n">
        <x:v>0.020215838273293815</x:v>
      </x:c>
      <x:c r="K695" s="40" t="n">
        <x:v>0.5598875208998328</x:v>
      </x:c>
      <x:c r="L695" s="40" t="n">
        <x:v>0.025231798145614836</x:v>
      </x:c>
      <x:c r="M695" s="31" t="n">
        <x:v>49.57549498997106</x:v>
      </x:c>
      <x:c r="N695" s="31" t="n">
        <x:v>151</x:v>
      </x:c>
      <x:c r="O695" s="31" t="n">
        <x:v>4.37896934721457</x:v>
      </x:c>
      <x:c r="P695" s="31" t="n">
        <x:v>3.0092719258245935</x:v>
      </x:c>
      <x:c r="Q695" s="40" t="n">
        <x:v>0.009271925824593403</x:v>
      </x:c>
      <x:c r="R695" s="31" t="n">
        <x:v>0.18335755044682917</x:v>
      </x:c>
      <x:c r="S695" s="40"/>
      <x:c r="T695" s="40"/>
      <x:c r="U695" s="40" t="n">
        <x:v>1</x:v>
      </x:c>
      <x:c r="V695" s="40" t="n">
        <x:v>0.9981000151998785</x:v>
      </x:c>
      <x:c r="W695" s="31" t="n">
        <x:v>0</x:v>
      </x:c>
      <x:c r="X695" s="31" t="str"/>
      <x:c r="Y695" s="31" t="n">
        <x:v>0</x:v>
      </x:c>
      <x:c r="Z695" s="31" t="n">
        <x:v>0</x:v>
      </x:c>
      <x:c r="AA695" s="31" t="n">
        <x:v>0</x:v>
      </x:c>
      <x:c r="AB695" s="31" t="str"/>
      <x:c r="AC695" s="31" t="str"/>
    </x:row>
    <x:row r="696">
      <x:c r="A696" s="31" t="str">
        <x:v>cd5d1a380479b669</x:v>
      </x:c>
      <x:c r="B696" s="31" t="str">
        <x:v>cd5d1a380479b669a1d9516e6267e80b0a5f8a26cd5a00825d076bd8c0658dd2</x:v>
      </x:c>
      <x:c r="C696" s="31" t="n">
        <x:v>12</x:v>
      </x:c>
      <x:c r="D696" s="31" t="n">
        <x:v>34326</x:v>
      </x:c>
      <x:c r="E696" s="31" t="str">
        <x:v>Queens</x:v>
      </x:c>
      <x:c r="F696" s="31" t="str">
        <x:v>Queens Village</x:v>
      </x:c>
      <x:c r="G696" s="31" t="n">
        <x:v>22224.09930635887</x:v>
      </x:c>
      <x:c r="H696" s="31" t="n">
        <x:v>10519</x:v>
      </x:c>
      <x:c r="I696" s="31" t="n">
        <x:v>2.368618689989543</x:v>
      </x:c>
      <x:c r="J696" s="40" t="n">
        <x:v>0</x:v>
      </x:c>
      <x:c r="K696" s="40" t="n">
        <x:v>0.11407928510314669</x:v>
      </x:c>
      <x:c r="L696" s="40" t="n">
        <x:v>0.14088791710238616</x:v>
      </x:c>
      <x:c r="M696" s="31" t="n">
        <x:v>29.28800629908563</x:v>
      </x:c>
      <x:c r="N696" s="31" t="n">
        <x:v>8</x:v>
      </x:c>
      <x:c r="O696" s="31" t="n">
        <x:v>0.23305948843442287</x:v>
      </x:c>
      <x:c r="P696" s="31" t="n">
        <x:v>3.439680578001711</x:v>
      </x:c>
      <x:c r="Q696" s="40" t="n">
        <x:v>0.4396805780017112</x:v>
      </x:c>
      <x:c r="R696" s="31" t="n">
        <x:v>0.21986013527208928</x:v>
      </x:c>
      <x:c r="S696" s="40"/>
      <x:c r="T696" s="40"/>
      <x:c r="U696" s="40" t="n">
        <x:v>1</x:v>
      </x:c>
      <x:c r="V696" s="40" t="n">
        <x:v>0.9991444053617264</x:v>
      </x:c>
      <x:c r="W696" s="31" t="n">
        <x:v>0</x:v>
      </x:c>
      <x:c r="X696" s="31" t="str"/>
      <x:c r="Y696" s="31" t="n">
        <x:v>0</x:v>
      </x:c>
      <x:c r="Z696" s="31" t="n">
        <x:v>0</x:v>
      </x:c>
      <x:c r="AA696" s="31" t="n">
        <x:v>0</x:v>
      </x:c>
      <x:c r="AB696" s="31" t="str"/>
      <x:c r="AC696" s="31" t="str"/>
    </x:row>
    <x:row r="697">
      <x:c r="A697" s="31" t="str">
        <x:v>cde03296734328a6</x:v>
      </x:c>
      <x:c r="B697" s="31" t="str">
        <x:v>cde03296734328a6875cf9e171979a77bdce488833c152bbc2ab67379000ca9e</x:v>
      </x:c>
      <x:c r="C697" s="31" t="n">
        <x:v>10</x:v>
      </x:c>
      <x:c r="D697" s="31" t="n">
        <x:v>37618</x:v>
      </x:c>
      <x:c r="E697" s="31" t="str">
        <x:v>Queens</x:v>
      </x:c>
      <x:c r="F697" s="31" t="str">
        <x:v>Rockaway Beach-Arverne-Edgemere</x:v>
      </x:c>
      <x:c r="G697" s="31" t="n">
        <x:v>14646.885089477752</x:v>
      </x:c>
      <x:c r="H697" s="31" t="n">
        <x:v>16853</x:v>
      </x:c>
      <x:c r="I697" s="31" t="n">
        <x:v>5.577712473572938</x:v>
      </x:c>
      <x:c r="J697" s="40" t="n">
        <x:v>0.2581142823236219</x:v>
      </x:c>
      <x:c r="K697" s="40" t="n">
        <x:v>0.2812555628078087</x:v>
      </x:c>
      <x:c r="L697" s="40" t="n">
        <x:v>0.27015961549872425</x:v>
      </x:c>
      <x:c r="M697" s="31" t="n">
        <x:v>59.20654730394848</x:v>
      </x:c>
      <x:c r="N697" s="31" t="n">
        <x:v>206</x:v>
      </x:c>
      <x:c r="O697" s="31" t="n">
        <x:v>5.476101866127918</x:v>
      </x:c>
      <x:c r="P697" s="31" t="n">
        <x:v>4.20981427638996</x:v>
      </x:c>
      <x:c r="Q697" s="40" t="n">
        <x:v>1</x:v>
      </x:c>
      <x:c r="R697" s="31" t="n">
        <x:v>0.22127932033377395</x:v>
      </x:c>
      <x:c r="S697" s="40"/>
      <x:c r="T697" s="40"/>
      <x:c r="U697" s="40" t="n">
        <x:v>1</x:v>
      </x:c>
      <x:c r="V697" s="40" t="n">
        <x:v>0.9883700231412805</x:v>
      </x:c>
      <x:c r="W697" s="31" t="n">
        <x:v>1</x:v>
      </x:c>
      <x:c r="X697" s="31" t="str"/>
      <x:c r="Y697" s="31" t="n">
        <x:v>0</x:v>
      </x:c>
      <x:c r="Z697" s="31" t="n">
        <x:v>0</x:v>
      </x:c>
      <x:c r="AA697" s="31" t="n">
        <x:v>1</x:v>
      </x:c>
      <x:c r="AB697" s="31" t="str"/>
      <x:c r="AC697" s="31" t="str"/>
    </x:row>
    <x:row r="698">
      <x:c r="A698" s="31" t="str">
        <x:v>ce4b8137fa87db21</x:v>
      </x:c>
      <x:c r="B698" s="31" t="str">
        <x:v>ce4b8137fa87db210161dc475346d9d1a68942c5e900bd27de36d2f90282059d</x:v>
      </x:c>
      <x:c r="C698" s="31" t="n">
        <x:v>7</x:v>
      </x:c>
      <x:c r="D698" s="31" t="n">
        <x:v>37064</x:v>
      </x:c>
      <x:c r="E698" s="31" t="str">
        <x:v>Manhattan</x:v>
      </x:c>
      <x:c r="F698" s="31" t="str">
        <x:v>Greenwich Village</x:v>
      </x:c>
      <x:c r="G698" s="31" t="n">
        <x:v>93480.8975074747</x:v>
      </x:c>
      <x:c r="H698" s="31" t="n">
        <x:v>22048</x:v>
      </x:c>
      <x:c r="I698" s="31" t="n">
        <x:v>12.848218771408998</x:v>
      </x:c>
      <x:c r="J698" s="40" t="n">
        <x:v>0.6637790275761973</x:v>
      </x:c>
      <x:c r="K698" s="40" t="n">
        <x:v>0.32878265602322204</x:v>
      </x:c>
      <x:c r="L698" s="40" t="n">
        <x:v>0.02403846153846154</x:v>
      </x:c>
      <x:c r="M698" s="31" t="n">
        <x:v>133.623415920718</x:v>
      </x:c>
      <x:c r="N698" s="31" t="n">
        <x:v>814</x:v>
      </x:c>
      <x:c r="O698" s="31" t="n">
        <x:v>21.962011655514786</x:v>
      </x:c>
      <x:c r="P698" s="31" t="n">
        <x:v>1.638017053701016</x:v>
      </x:c>
      <x:c r="Q698" s="40" t="n">
        <x:v>0</x:v>
      </x:c>
      <x:c r="R698" s="31" t="n">
        <x:v>0.12603999829756618</x:v>
      </x:c>
      <x:c r="S698" s="40"/>
      <x:c r="T698" s="40"/>
      <x:c r="U698" s="40" t="n">
        <x:v>1</x:v>
      </x:c>
      <x:c r="V698" s="40" t="n">
        <x:v>0.9930152394775036</x:v>
      </x:c>
      <x:c r="W698" s="31" t="n">
        <x:v>1</x:v>
      </x:c>
      <x:c r="X698" s="31" t="str"/>
      <x:c r="Y698" s="31" t="n">
        <x:v>1</x:v>
      </x:c>
      <x:c r="Z698" s="31" t="n">
        <x:v>0</x:v>
      </x:c>
      <x:c r="AA698" s="31" t="n">
        <x:v>0</x:v>
      </x:c>
      <x:c r="AB698" s="31" t="str"/>
      <x:c r="AC698" s="31" t="str"/>
    </x:row>
    <x:row r="699">
      <x:c r="A699" s="31" t="str">
        <x:v>ce75ab99032361e5</x:v>
      </x:c>
      <x:c r="B699" s="31" t="str">
        <x:v>ce75ab99032361e5035c5974444184c304e93e4f6cb1a6910d10bc7f282a39a9</x:v>
      </x:c>
      <x:c r="C699" s="31" t="n">
        <x:v>9</x:v>
      </x:c>
      <x:c r="D699" s="31" t="n">
        <x:v>32517</x:v>
      </x:c>
      <x:c r="E699" s="31" t="str">
        <x:v>Queens</x:v>
      </x:c>
      <x:c r="F699" s="31" t="str">
        <x:v>Sunnyside</x:v>
      </x:c>
      <x:c r="G699" s="31" t="n">
        <x:v>80135.44730966045</x:v>
      </x:c>
      <x:c r="H699" s="31" t="n">
        <x:v>15278</x:v>
      </x:c>
      <x:c r="I699" s="31" t="n">
        <x:v>4.953806855636124</x:v>
      </x:c>
      <x:c r="J699" s="40" t="n">
        <x:v>0.02454509752585417</x:v>
      </x:c>
      <x:c r="K699" s="40" t="n">
        <x:v>0.8851289435790025</x:v>
      </x:c>
      <x:c r="L699" s="40" t="n">
        <x:v>0.11271108783872234</x:v>
      </x:c>
      <x:c r="M699" s="31" t="n">
        <x:v>54.653435949550996</x:v>
      </x:c>
      <x:c r="N699" s="31" t="n">
        <x:v>197</x:v>
      </x:c>
      <x:c r="O699" s="31" t="n">
        <x:v>6.058369468278132</x:v>
      </x:c>
      <x:c r="P699" s="31" t="n">
        <x:v>3.0001309071868048</x:v>
      </x:c>
      <x:c r="Q699" s="40" t="n">
        <x:v>0.00013090718680455556</x:v>
      </x:c>
      <x:c r="R699" s="31" t="n">
        <x:v>0.15619554148766374</x:v>
      </x:c>
      <x:c r="S699" s="40"/>
      <x:c r="T699" s="40"/>
      <x:c r="U699" s="40" t="n">
        <x:v>1</x:v>
      </x:c>
      <x:c r="V699" s="40" t="n">
        <x:v>0.9941746301871973</x:v>
      </x:c>
      <x:c r="W699" s="31" t="n">
        <x:v>0</x:v>
      </x:c>
      <x:c r="X699" s="31" t="str"/>
      <x:c r="Y699" s="31" t="n">
        <x:v>0</x:v>
      </x:c>
      <x:c r="Z699" s="31" t="n">
        <x:v>0</x:v>
      </x:c>
      <x:c r="AA699" s="31" t="n">
        <x:v>0</x:v>
      </x:c>
      <x:c r="AB699" s="31" t="str"/>
      <x:c r="AC699" s="31" t="str"/>
    </x:row>
    <x:row r="700">
      <x:c r="A700" s="31" t="str">
        <x:v>cea61e9b11bc3219</x:v>
      </x:c>
      <x:c r="B700" s="31" t="str">
        <x:v>cea61e9b11bc321977af06fe8881ee38096094747c310d33e23703192212ba9a</x:v>
      </x:c>
      <x:c r="C700" s="31" t="n">
        <x:v>10</x:v>
      </x:c>
      <x:c r="D700" s="31" t="n">
        <x:v>33309</x:v>
      </x:c>
      <x:c r="E700" s="31" t="str">
        <x:v>Queens</x:v>
      </x:c>
      <x:c r="F700" s="31" t="str">
        <x:v>South Jamaica</x:v>
      </x:c>
      <x:c r="G700" s="31" t="n">
        <x:v>26140.11889116757</x:v>
      </x:c>
      <x:c r="H700" s="31" t="n">
        <x:v>9511</x:v>
      </x:c>
      <x:c r="I700" s="31" t="n">
        <x:v>3.28477778950702</x:v>
      </x:c>
      <x:c r="J700" s="40" t="n">
        <x:v>0.03227841446745873</x:v>
      </x:c>
      <x:c r="K700" s="40" t="n">
        <x:v>0.27420881085059406</x:v>
      </x:c>
      <x:c r="L700" s="40" t="n">
        <x:v>0.1367889811796867</x:v>
      </x:c>
      <x:c r="M700" s="31" t="n">
        <x:v>37.35114245120098</x:v>
      </x:c>
      <x:c r="N700" s="31" t="n">
        <x:v>48</x:v>
      </x:c>
      <x:c r="O700" s="31" t="n">
        <x:v>1.4410519679365938</x:v>
      </x:c>
      <x:c r="P700" s="31" t="n">
        <x:v>4.967195878456524</x:v>
      </x:c>
      <x:c r="Q700" s="40" t="n">
        <x:v>0.9864367574387551</x:v>
      </x:c>
      <x:c r="R700" s="31" t="n">
        <x:v>0.16261969643050242</x:v>
      </x:c>
      <x:c r="S700" s="40"/>
      <x:c r="T700" s="40"/>
      <x:c r="U700" s="40" t="n">
        <x:v>1</x:v>
      </x:c>
      <x:c r="V700" s="40" t="n">
        <x:v>0.9919041110293344</x:v>
      </x:c>
      <x:c r="W700" s="31" t="n">
        <x:v>0</x:v>
      </x:c>
      <x:c r="X700" s="31" t="str"/>
      <x:c r="Y700" s="31" t="n">
        <x:v>0</x:v>
      </x:c>
      <x:c r="Z700" s="31" t="n">
        <x:v>0</x:v>
      </x:c>
      <x:c r="AA700" s="31" t="n">
        <x:v>0</x:v>
      </x:c>
      <x:c r="AB700" s="31" t="str"/>
      <x:c r="AC700" s="31" t="str"/>
    </x:row>
    <x:row r="701">
      <x:c r="A701" s="31" t="str">
        <x:v>ceb78b96829a0519</x:v>
      </x:c>
      <x:c r="B701" s="31" t="str">
        <x:v>ceb78b96829a051999511a5e1e4cf2cc0cfe32c0f08124f0b70515fa3df1dff6</x:v>
      </x:c>
      <x:c r="C701" s="31" t="n">
        <x:v>5</x:v>
      </x:c>
      <x:c r="D701" s="31" t="n">
        <x:v>34800</x:v>
      </x:c>
      <x:c r="E701" s="31" t="str">
        <x:v>Manhattan</x:v>
      </x:c>
      <x:c r="F701" s="31" t="str">
        <x:v>Murray Hill-Kips Bay</x:v>
      </x:c>
      <x:c r="G701" s="31" t="n">
        <x:v>109814.83227732238</x:v>
      </x:c>
      <x:c r="H701" s="31" t="n">
        <x:v>20713</x:v>
      </x:c>
      <x:c r="I701" s="31" t="n">
        <x:v>18.691118246342523</x:v>
      </x:c>
      <x:c r="J701" s="40" t="n">
        <x:v>0.7210447545020036</x:v>
      </x:c>
      <x:c r="K701" s="40" t="n">
        <x:v>0.27871385120455755</x:v>
      </x:c>
      <x:c r="L701" s="40" t="n">
        <x:v>0.17250036209144015</x:v>
      </x:c>
      <x:c r="M701" s="31" t="n">
        <x:v>177.7054108708555</x:v>
      </x:c>
      <x:c r="N701" s="31" t="n">
        <x:v>354</x:v>
      </x:c>
      <x:c r="O701" s="31" t="n">
        <x:v>10.172413793103447</x:v>
      </x:c>
      <x:c r="P701" s="31" t="n">
        <x:v>1.774875681938879</x:v>
      </x:c>
      <x:c r="Q701" s="40" t="n">
        <x:v>0</x:v>
      </x:c>
      <x:c r="R701" s="31" t="n">
        <x:v>0.09401718527919935</x:v>
      </x:c>
      <x:c r="S701" s="40"/>
      <x:c r="T701" s="40"/>
      <x:c r="U701" s="40" t="n">
        <x:v>1</x:v>
      </x:c>
      <x:c r="V701" s="40" t="n">
        <x:v>0.9909718534253851</x:v>
      </x:c>
      <x:c r="W701" s="31" t="n">
        <x:v>1</x:v>
      </x:c>
      <x:c r="X701" s="31" t="str"/>
      <x:c r="Y701" s="31" t="n">
        <x:v>1</x:v>
      </x:c>
      <x:c r="Z701" s="31" t="n">
        <x:v>0</x:v>
      </x:c>
      <x:c r="AA701" s="31" t="n">
        <x:v>0</x:v>
      </x:c>
      <x:c r="AB701" s="31" t="str"/>
      <x:c r="AC701" s="31" t="str"/>
    </x:row>
    <x:row r="702">
      <x:c r="A702" s="31" t="str">
        <x:v>cee1d1f3744b0b00</x:v>
      </x:c>
      <x:c r="B702" s="31" t="str">
        <x:v>cee1d1f3744b0b00d9b4e69a13d3cd5c71b0d6c7aa1fae374e1d1b115bca768c</x:v>
      </x:c>
      <x:c r="C702" s="31" t="n">
        <x:v>9</x:v>
      </x:c>
      <x:c r="D702" s="31" t="n">
        <x:v>34678</x:v>
      </x:c>
      <x:c r="E702" s="31" t="str">
        <x:v>Bronx</x:v>
      </x:c>
      <x:c r="F702" s="31" t="str">
        <x:v>Tremont</x:v>
      </x:c>
      <x:c r="G702" s="31" t="n">
        <x:v>76396.73016299376</x:v>
      </x:c>
      <x:c r="H702" s="31" t="n">
        <x:v>15806</x:v>
      </x:c>
      <x:c r="I702" s="31" t="n">
        <x:v>7.215764279707614</x:v>
      </x:c>
      <x:c r="J702" s="40" t="n">
        <x:v>0.22826774642540806</x:v>
      </x:c>
      <x:c r="K702" s="40" t="n">
        <x:v>0.6899911426040743</x:v>
      </x:c>
      <x:c r="L702" s="40" t="n">
        <x:v>0.007655320764266734</x:v>
      </x:c>
      <x:c r="M702" s="31" t="n">
        <x:v>76.09233077947619</x:v>
      </x:c>
      <x:c r="N702" s="31" t="n">
        <x:v>194</x:v>
      </x:c>
      <x:c r="O702" s="31" t="n">
        <x:v>5.594324932233692</x:v>
      </x:c>
      <x:c r="P702" s="31" t="n">
        <x:v>5</x:v>
      </x:c>
      <x:c r="Q702" s="40" t="n">
        <x:v>1</x:v>
      </x:c>
      <x:c r="R702" s="31" t="n">
        <x:v>0.07532858822962323</x:v>
      </x:c>
      <x:c r="S702" s="40"/>
      <x:c r="T702" s="40"/>
      <x:c r="U702" s="40" t="n">
        <x:v>1</x:v>
      </x:c>
      <x:c r="V702" s="40" t="n">
        <x:v>0.9590029102872327</x:v>
      </x:c>
      <x:c r="W702" s="31" t="n">
        <x:v>1</x:v>
      </x:c>
      <x:c r="X702" s="31" t="str"/>
      <x:c r="Y702" s="31" t="n">
        <x:v>0</x:v>
      </x:c>
      <x:c r="Z702" s="31" t="n">
        <x:v>1</x:v>
      </x:c>
      <x:c r="AA702" s="31" t="n">
        <x:v>0</x:v>
      </x:c>
      <x:c r="AB702" s="31" t="str"/>
      <x:c r="AC702" s="31" t="str"/>
    </x:row>
    <x:row r="703">
      <x:c r="A703" s="31" t="str">
        <x:v>cee49e38cca789c9</x:v>
      </x:c>
      <x:c r="B703" s="31" t="str">
        <x:v>cee49e38cca789c9ed775178e965f132d82a3ee267271c6f12b7920367fda498</x:v>
      </x:c>
      <x:c r="C703" s="31" t="n">
        <x:v>5</x:v>
      </x:c>
      <x:c r="D703" s="31" t="n">
        <x:v>32384</x:v>
      </x:c>
      <x:c r="E703" s="31" t="str">
        <x:v>Bronx</x:v>
      </x:c>
      <x:c r="F703" s="31" t="str">
        <x:v>Parkchester</x:v>
      </x:c>
      <x:c r="G703" s="31" t="n">
        <x:v>86149.3019051165</x:v>
      </x:c>
      <x:c r="H703" s="31" t="n">
        <x:v>13680</x:v>
      </x:c>
      <x:c r="I703" s="31" t="n">
        <x:v>10.511725991842788</x:v>
      </x:c>
      <x:c r="J703" s="40" t="n">
        <x:v>0.2913011695906433</x:v>
      </x:c>
      <x:c r="K703" s="40" t="n">
        <x:v>0.061769005847953216</x:v>
      </x:c>
      <x:c r="L703" s="40" t="n">
        <x:v>0.8787280701754386</x:v>
      </x:c>
      <x:c r="M703" s="31" t="n">
        <x:v>133.45818550102067</x:v>
      </x:c>
      <x:c r="N703" s="31" t="n">
        <x:v>226</x:v>
      </x:c>
      <x:c r="O703" s="31" t="n">
        <x:v>6.978754940711462</x:v>
      </x:c>
      <x:c r="P703" s="31" t="n">
        <x:v>5</x:v>
      </x:c>
      <x:c r="Q703" s="40" t="n">
        <x:v>1</x:v>
      </x:c>
      <x:c r="R703" s="31" t="n">
        <x:v>0.2007850950716108</x:v>
      </x:c>
      <x:c r="S703" s="40"/>
      <x:c r="T703" s="40"/>
      <x:c r="U703" s="40" t="n">
        <x:v>1</x:v>
      </x:c>
      <x:c r="V703" s="40" t="n">
        <x:v>0.9969298245614036</x:v>
      </x:c>
      <x:c r="W703" s="31" t="n">
        <x:v>1</x:v>
      </x:c>
      <x:c r="X703" s="31" t="str"/>
      <x:c r="Y703" s="31" t="n">
        <x:v>0</x:v>
      </x:c>
      <x:c r="Z703" s="31" t="n">
        <x:v>0</x:v>
      </x:c>
      <x:c r="AA703" s="31" t="n">
        <x:v>1</x:v>
      </x:c>
      <x:c r="AB703" s="31" t="str"/>
      <x:c r="AC703" s="31" t="str"/>
    </x:row>
    <x:row r="704">
      <x:c r="A704" s="31" t="str">
        <x:v>cef7ccab081bc1f5</x:v>
      </x:c>
      <x:c r="B704" s="31" t="str">
        <x:v>cef7ccab081bc1f5abdf60655e5a1857488a4405924f7a9baca0714f158fd4d5</x:v>
      </x:c>
      <x:c r="C704" s="31" t="n">
        <x:v>8</x:v>
      </x:c>
      <x:c r="D704" s="31" t="n">
        <x:v>32627</x:v>
      </x:c>
      <x:c r="E704" s="31" t="str">
        <x:v>Bronx</x:v>
      </x:c>
      <x:c r="F704" s="31" t="str">
        <x:v>Soundview-Clason Point</x:v>
      </x:c>
      <x:c r="G704" s="31" t="n">
        <x:v>43140.1058804173</x:v>
      </x:c>
      <x:c r="H704" s="31" t="n">
        <x:v>12178</x:v>
      </x:c>
      <x:c r="I704" s="31" t="n">
        <x:v>8.42339356110381</x:v>
      </x:c>
      <x:c r="J704" s="40" t="n">
        <x:v>0.29421908359336507</x:v>
      </x:c>
      <x:c r="K704" s="40" t="n">
        <x:v>0.5184759402200689</x:v>
      </x:c>
      <x:c r="L704" s="40" t="n">
        <x:v>0.4930202003613073</x:v>
      </x:c>
      <x:c r="M704" s="31" t="n">
        <x:v>94.28170468940354</x:v>
      </x:c>
      <x:c r="N704" s="31" t="n">
        <x:v>162</x:v>
      </x:c>
      <x:c r="O704" s="31" t="n">
        <x:v>4.965212860514298</x:v>
      </x:c>
      <x:c r="P704" s="31" t="n">
        <x:v>4</x:v>
      </x:c>
      <x:c r="Q704" s="40" t="n">
        <x:v>1</x:v>
      </x:c>
      <x:c r="R704" s="31" t="n">
        <x:v>0.08993643217848475</x:v>
      </x:c>
      <x:c r="S704" s="40"/>
      <x:c r="T704" s="40"/>
      <x:c r="U704" s="40" t="n">
        <x:v>1</x:v>
      </x:c>
      <x:c r="V704" s="40" t="n">
        <x:v>0.9995073082607981</x:v>
      </x:c>
      <x:c r="W704" s="31" t="n">
        <x:v>1</x:v>
      </x:c>
      <x:c r="X704" s="31" t="str"/>
      <x:c r="Y704" s="31" t="n">
        <x:v>0</x:v>
      </x:c>
      <x:c r="Z704" s="31" t="n">
        <x:v>1</x:v>
      </x:c>
      <x:c r="AA704" s="31" t="n">
        <x:v>0</x:v>
      </x:c>
      <x:c r="AB704" s="31" t="str"/>
      <x:c r="AC704" s="31" t="str"/>
    </x:row>
    <x:row r="705">
      <x:c r="A705" s="31" t="str">
        <x:v>cf3d758b44a75689</x:v>
      </x:c>
      <x:c r="B705" s="31" t="str">
        <x:v>cf3d758b44a75689e77a50d4852915bf6e84291606c560d020c1df109e77c557</x:v>
      </x:c>
      <x:c r="C705" s="31" t="n">
        <x:v>8</x:v>
      </x:c>
      <x:c r="D705" s="31" t="n">
        <x:v>36780</x:v>
      </x:c>
      <x:c r="E705" s="31" t="str">
        <x:v>Manhattan</x:v>
      </x:c>
      <x:c r="F705" s="31" t="str">
        <x:v>East Village</x:v>
      </x:c>
      <x:c r="G705" s="31" t="n">
        <x:v>106260.5979928935</x:v>
      </x:c>
      <x:c r="H705" s="31" t="n">
        <x:v>21204</x:v>
      </x:c>
      <x:c r="I705" s="31" t="n">
        <x:v>9.832806454656978</x:v>
      </x:c>
      <x:c r="J705" s="40" t="n">
        <x:v>0.35422561780796075</x:v>
      </x:c>
      <x:c r="K705" s="40" t="n">
        <x:v>0.6440765893227693</x:v>
      </x:c>
      <x:c r="L705" s="40" t="n">
        <x:v>0.02230711186568572</x:v>
      </x:c>
      <x:c r="M705" s="31" t="n">
        <x:v>105.2919366564985</x:v>
      </x:c>
      <x:c r="N705" s="31" t="n">
        <x:v>468</x:v>
      </x:c>
      <x:c r="O705" s="31" t="n">
        <x:v>12.724306688417618</x:v>
      </x:c>
      <x:c r="P705" s="31" t="n">
        <x:v>2</x:v>
      </x:c>
      <x:c r="Q705" s="40" t="n">
        <x:v>0</x:v>
      </x:c>
      <x:c r="R705" s="31" t="n">
        <x:v>0.12898439563183073</x:v>
      </x:c>
      <x:c r="S705" s="40"/>
      <x:c r="T705" s="40"/>
      <x:c r="U705" s="40" t="n">
        <x:v>1</x:v>
      </x:c>
      <x:c r="V705" s="40" t="n">
        <x:v>0.9908979437841917</x:v>
      </x:c>
      <x:c r="W705" s="31" t="n">
        <x:v>1</x:v>
      </x:c>
      <x:c r="X705" s="31" t="str"/>
      <x:c r="Y705" s="31" t="n">
        <x:v>1</x:v>
      </x:c>
      <x:c r="Z705" s="31" t="n">
        <x:v>0</x:v>
      </x:c>
      <x:c r="AA705" s="31" t="n">
        <x:v>0</x:v>
      </x:c>
      <x:c r="AB705" s="31" t="str"/>
      <x:c r="AC705" s="31" t="str"/>
    </x:row>
    <x:row r="706">
      <x:c r="A706" s="31" t="str">
        <x:v>cf92a4a6886b153c</x:v>
      </x:c>
      <x:c r="B706" s="31" t="str">
        <x:v>cf92a4a6886b153c40282265a2a106b4b81e3a895e137b67d89e9e7eb00e7388</x:v>
      </x:c>
      <x:c r="C706" s="31" t="n">
        <x:v>13</x:v>
      </x:c>
      <x:c r="D706" s="31" t="n">
        <x:v>32463</x:v>
      </x:c>
      <x:c r="E706" s="31" t="str">
        <x:v>Queens</x:v>
      </x:c>
      <x:c r="F706" s="31" t="str">
        <x:v>Middle Village</x:v>
      </x:c>
      <x:c r="G706" s="31" t="n">
        <x:v>28670.600696388887</x:v>
      </x:c>
      <x:c r="H706" s="31" t="n">
        <x:v>13027</x:v>
      </x:c>
      <x:c r="I706" s="31" t="n">
        <x:v>2.456095801028633</x:v>
      </x:c>
      <x:c r="J706" s="40" t="n">
        <x:v>0</x:v>
      </x:c>
      <x:c r="K706" s="40" t="n">
        <x:v>0.23704613495048746</x:v>
      </x:c>
      <x:c r="L706" s="40" t="n">
        <x:v>0.07998771781684194</x:v>
      </x:c>
      <x:c r="M706" s="31" t="n">
        <x:v>29.005167030177688</x:v>
      </x:c>
      <x:c r="N706" s="31" t="n">
        <x:v>35</x:v>
      </x:c>
      <x:c r="O706" s="31" t="n">
        <x:v>1.0781505098111697</x:v>
      </x:c>
      <x:c r="P706" s="31" t="n">
        <x:v>1.3050587241882246</x:v>
      </x:c>
      <x:c r="Q706" s="40" t="n">
        <x:v>0</x:v>
      </x:c>
      <x:c r="R706" s="31" t="n">
        <x:v>0.29079602549623834</x:v>
      </x:c>
      <x:c r="S706" s="40"/>
      <x:c r="T706" s="40"/>
      <x:c r="U706" s="40" t="n">
        <x:v>1</x:v>
      </x:c>
      <x:c r="V706" s="40" t="n">
        <x:v>0.9979273815920779</x:v>
      </x:c>
      <x:c r="W706" s="31" t="n">
        <x:v>0</x:v>
      </x:c>
      <x:c r="X706" s="31" t="str"/>
      <x:c r="Y706" s="31" t="n">
        <x:v>0</x:v>
      </x:c>
      <x:c r="Z706" s="31" t="n">
        <x:v>0</x:v>
      </x:c>
      <x:c r="AA706" s="31" t="n">
        <x:v>0</x:v>
      </x:c>
      <x:c r="AB706" s="31" t="str"/>
      <x:c r="AC706" s="31" t="str"/>
    </x:row>
    <x:row r="707">
      <x:c r="A707" s="31" t="str">
        <x:v>d075d1cde3757a49</x:v>
      </x:c>
      <x:c r="B707" s="31" t="str">
        <x:v>d075d1cde3757a493f56cbd0c32bdebf2794af90782f685f4021a04061e726ec</x:v>
      </x:c>
      <x:c r="C707" s="31" t="n">
        <x:v>11</x:v>
      </x:c>
      <x:c r="D707" s="31" t="n">
        <x:v>34633</x:v>
      </x:c>
      <x:c r="E707" s="31" t="str">
        <x:v>Brooklyn</x:v>
      </x:c>
      <x:c r="F707" s="31" t="str">
        <x:v>Borough Park</x:v>
      </x:c>
      <x:c r="G707" s="31" t="n">
        <x:v>45185.18861705041</x:v>
      </x:c>
      <x:c r="H707" s="31" t="n">
        <x:v>10885</x:v>
      </x:c>
      <x:c r="I707" s="31" t="n">
        <x:v>4.003000461467467</x:v>
      </x:c>
      <x:c r="J707" s="40" t="n">
        <x:v>0.0401469912723932</x:v>
      </x:c>
      <x:c r="K707" s="40" t="n">
        <x:v>0.5779513091410198</x:v>
      </x:c>
      <x:c r="L707" s="40" t="n">
        <x:v>0.002572347266881029</x:v>
      </x:c>
      <x:c r="M707" s="31" t="n">
        <x:v>46.33301963439199</x:v>
      </x:c>
      <x:c r="N707" s="31" t="n">
        <x:v>167</x:v>
      </x:c>
      <x:c r="O707" s="31" t="n">
        <x:v>4.821990587012388</x:v>
      </x:c>
      <x:c r="P707" s="31" t="n">
        <x:v>3.7496554892053284</x:v>
      </x:c>
      <x:c r="Q707" s="40" t="n">
        <x:v>0.7496554892053284</x:v>
      </x:c>
      <x:c r="R707" s="31" t="n">
        <x:v>0.18459340078220246</x:v>
      </x:c>
      <x:c r="S707" s="40"/>
      <x:c r="T707" s="40"/>
      <x:c r="U707" s="40" t="n">
        <x:v>1</x:v>
      </x:c>
      <x:c r="V707" s="40" t="n">
        <x:v>0.9904455672944419</x:v>
      </x:c>
      <x:c r="W707" s="31" t="n">
        <x:v>0</x:v>
      </x:c>
      <x:c r="X707" s="31" t="str"/>
      <x:c r="Y707" s="31" t="n">
        <x:v>0</x:v>
      </x:c>
      <x:c r="Z707" s="31" t="n">
        <x:v>0</x:v>
      </x:c>
      <x:c r="AA707" s="31" t="n">
        <x:v>0</x:v>
      </x:c>
      <x:c r="AB707" s="31" t="str"/>
      <x:c r="AC707" s="31" t="str"/>
    </x:row>
    <x:row r="708">
      <x:c r="A708" s="31" t="str">
        <x:v>d15604a404f59abd</x:v>
      </x:c>
      <x:c r="B708" s="31" t="str">
        <x:v>d15604a404f59abdd1ec3f956f310a65afedcb05591a51a143a686781232c1bb</x:v>
      </x:c>
      <x:c r="C708" s="31" t="n">
        <x:v>7</x:v>
      </x:c>
      <x:c r="D708" s="31" t="n">
        <x:v>35799</x:v>
      </x:c>
      <x:c r="E708" s="31" t="str">
        <x:v>Bronx</x:v>
      </x:c>
      <x:c r="F708" s="31" t="str">
        <x:v>Norwood</x:v>
      </x:c>
      <x:c r="G708" s="31" t="n">
        <x:v>79420.7779573618</x:v>
      </x:c>
      <x:c r="H708" s="31" t="n">
        <x:v>13585</x:v>
      </x:c>
      <x:c r="I708" s="31" t="n">
        <x:v>6.298877438351123</x:v>
      </x:c>
      <x:c r="J708" s="40" t="n">
        <x:v>0.057342657342657345</x:v>
      </x:c>
      <x:c r="K708" s="40" t="n">
        <x:v>0.8918660287081339</x:v>
      </x:c>
      <x:c r="L708" s="40" t="n">
        <x:v>0.005226352594773647</x:v>
      </x:c>
      <x:c r="M708" s="31" t="n">
        <x:v>69.72384346076221</x:v>
      </x:c>
      <x:c r="N708" s="31" t="n">
        <x:v>180</x:v>
      </x:c>
      <x:c r="O708" s="31" t="n">
        <x:v>5.0280734098717845</x:v>
      </x:c>
      <x:c r="P708" s="31" t="n">
        <x:v>4</x:v>
      </x:c>
      <x:c r="Q708" s="40" t="n">
        <x:v>1</x:v>
      </x:c>
      <x:c r="R708" s="31" t="n">
        <x:v>0.07944705938516787</x:v>
      </x:c>
      <x:c r="S708" s="40"/>
      <x:c r="T708" s="40"/>
      <x:c r="U708" s="40" t="n">
        <x:v>1</x:v>
      </x:c>
      <x:c r="V708" s="40" t="n">
        <x:v>0.9927861612072139</x:v>
      </x:c>
      <x:c r="W708" s="31" t="n">
        <x:v>1</x:v>
      </x:c>
      <x:c r="X708" s="31" t="str"/>
      <x:c r="Y708" s="31" t="n">
        <x:v>0</x:v>
      </x:c>
      <x:c r="Z708" s="31" t="n">
        <x:v>1</x:v>
      </x:c>
      <x:c r="AA708" s="31" t="n">
        <x:v>0</x:v>
      </x:c>
      <x:c r="AB708" s="31" t="str"/>
      <x:c r="AC708" s="31" t="str"/>
    </x:row>
    <x:row r="709">
      <x:c r="A709" s="31" t="str">
        <x:v>d1d8dfa4f2308cc5</x:v>
      </x:c>
      <x:c r="B709" s="31" t="str">
        <x:v>d1d8dfa4f2308cc561c651a1aa72bc92c9b12577e34eeb46b88cf96487c132ef</x:v>
      </x:c>
      <x:c r="C709" s="31" t="n">
        <x:v>6</x:v>
      </x:c>
      <x:c r="D709" s="31" t="n">
        <x:v>34672</x:v>
      </x:c>
      <x:c r="E709" s="31" t="str">
        <x:v>Manhattan</x:v>
      </x:c>
      <x:c r="F709" s="31" t="str">
        <x:v>Murray Hill-Kips Bay</x:v>
      </x:c>
      <x:c r="G709" s="31" t="n">
        <x:v>85203.88037327162</x:v>
      </x:c>
      <x:c r="H709" s="31" t="n">
        <x:v>27639</x:v>
      </x:c>
      <x:c r="I709" s="31" t="n">
        <x:v>24.2063077650826</x:v>
      </x:c>
      <x:c r="J709" s="40" t="n">
        <x:v>0.8760447194182134</x:v>
      </x:c>
      <x:c r="K709" s="40" t="n">
        <x:v>0.1182387206483592</x:v>
      </x:c>
      <x:c r="L709" s="40" t="n">
        <x:v>0.012518542639024566</x:v>
      </x:c>
      <x:c r="M709" s="31" t="n">
        <x:v>246.16241606773463</x:v>
      </x:c>
      <x:c r="N709" s="31" t="n">
        <x:v>585</x:v>
      </x:c>
      <x:c r="O709" s="31" t="n">
        <x:v>16.872404245500693</x:v>
      </x:c>
      <x:c r="P709" s="31" t="n">
        <x:v>2</x:v>
      </x:c>
      <x:c r="Q709" s="40" t="n">
        <x:v>0</x:v>
      </x:c>
      <x:c r="R709" s="31" t="n">
        <x:v>0.18282617231108877</x:v>
      </x:c>
      <x:c r="S709" s="40"/>
      <x:c r="T709" s="40"/>
      <x:c r="U709" s="40" t="n">
        <x:v>1</x:v>
      </x:c>
      <x:c r="V709" s="40" t="n">
        <x:v>0.9886030608922175</x:v>
      </x:c>
      <x:c r="W709" s="31" t="n">
        <x:v>1</x:v>
      </x:c>
      <x:c r="X709" s="31" t="str"/>
      <x:c r="Y709" s="31" t="n">
        <x:v>1</x:v>
      </x:c>
      <x:c r="Z709" s="31" t="n">
        <x:v>0</x:v>
      </x:c>
      <x:c r="AA709" s="31" t="n">
        <x:v>0</x:v>
      </x:c>
      <x:c r="AB709" s="31" t="str"/>
      <x:c r="AC709" s="31" t="str"/>
    </x:row>
    <x:row r="710">
      <x:c r="A710" s="31" t="str">
        <x:v>d24de951e442730b</x:v>
      </x:c>
      <x:c r="B710" s="31" t="str">
        <x:v>d24de951e442730b1992ee2e1dfae14468bd57ddfc0e8dfafb18dcfe1136216e</x:v>
      </x:c>
      <x:c r="C710" s="31" t="n">
        <x:v>6</x:v>
      </x:c>
      <x:c r="D710" s="31" t="n">
        <x:v>36216</x:v>
      </x:c>
      <x:c r="E710" s="31" t="str">
        <x:v>Manhattan</x:v>
      </x:c>
      <x:c r="F710" s="31" t="str">
        <x:v>Washington Heights (South)</x:v>
      </x:c>
      <x:c r="G710" s="31" t="n">
        <x:v>115380.00191703011</x:v>
      </x:c>
      <x:c r="H710" s="31" t="n">
        <x:v>14407</x:v>
      </x:c>
      <x:c r="I710" s="31" t="n">
        <x:v>9.547376554049308</x:v>
      </x:c>
      <x:c r="J710" s="40" t="n">
        <x:v>0.25911015478586796</x:v>
      </x:c>
      <x:c r="K710" s="40" t="n">
        <x:v>0.7261747761504824</x:v>
      </x:c>
      <x:c r="L710" s="40" t="n">
        <x:v>0.1916429513430971</x:v>
      </x:c>
      <x:c r="M710" s="31" t="n">
        <x:v>100.23308673116838</x:v>
      </x:c>
      <x:c r="N710" s="31" t="n">
        <x:v>203</x:v>
      </x:c>
      <x:c r="O710" s="31" t="n">
        <x:v>5.605257344819969</x:v>
      </x:c>
      <x:c r="P710" s="31" t="n">
        <x:v>3.611022419657111</x:v>
      </x:c>
      <x:c r="Q710" s="40" t="n">
        <x:v>0.3630873880752412</x:v>
      </x:c>
      <x:c r="R710" s="31" t="n">
        <x:v>0.10764049092350712</x:v>
      </x:c>
      <x:c r="S710" s="40"/>
      <x:c r="T710" s="40"/>
      <x:c r="U710" s="40" t="n">
        <x:v>1</x:v>
      </x:c>
      <x:c r="V710" s="40" t="n">
        <x:v>0.9938918581245229</x:v>
      </x:c>
      <x:c r="W710" s="31" t="n">
        <x:v>0</x:v>
      </x:c>
      <x:c r="X710" s="31" t="str"/>
      <x:c r="Y710" s="31" t="n">
        <x:v>0</x:v>
      </x:c>
      <x:c r="Z710" s="31" t="n">
        <x:v>0</x:v>
      </x:c>
      <x:c r="AA710" s="31" t="n">
        <x:v>0</x:v>
      </x:c>
      <x:c r="AB710" s="31" t="str"/>
      <x:c r="AC710" s="31" t="str"/>
    </x:row>
    <x:row r="711">
      <x:c r="A711" s="31" t="str">
        <x:v>d2b556aa72905f67</x:v>
      </x:c>
      <x:c r="B711" s="31" t="str">
        <x:v>d2b556aa72905f67b48442f3e5085c5941b993eff04ca265e87584e57385fe5b</x:v>
      </x:c>
      <x:c r="C711" s="31" t="n">
        <x:v>13</x:v>
      </x:c>
      <x:c r="D711" s="31" t="n">
        <x:v>32326</x:v>
      </x:c>
      <x:c r="E711" s="31" t="str">
        <x:v>Brooklyn</x:v>
      </x:c>
      <x:c r="F711" s="31" t="str">
        <x:v>Flatlands</x:v>
      </x:c>
      <x:c r="G711" s="31" t="n">
        <x:v>37852.71205538718</x:v>
      </x:c>
      <x:c r="H711" s="31" t="n">
        <x:v>10094</x:v>
      </x:c>
      <x:c r="I711" s="31" t="n">
        <x:v>3.1295956793182045</x:v>
      </x:c>
      <x:c r="J711" s="40" t="n">
        <x:v>0</x:v>
      </x:c>
      <x:c r="K711" s="40" t="n">
        <x:v>0.33356449375866853</x:v>
      </x:c>
      <x:c r="L711" s="40" t="n">
        <x:v>0.007925500297206262</x:v>
      </x:c>
      <x:c r="M711" s="31" t="n">
        <x:v>37.06760316977</x:v>
      </x:c>
      <x:c r="N711" s="31" t="n">
        <x:v>60</x:v>
      </x:c>
      <x:c r="O711" s="31" t="n">
        <x:v>1.8560910722019428</x:v>
      </x:c>
      <x:c r="P711" s="31" t="n">
        <x:v>3.93055280364573</x:v>
      </x:c>
      <x:c r="Q711" s="40" t="n">
        <x:v>0.6434515553794333</x:v>
      </x:c>
      <x:c r="R711" s="31" t="n">
        <x:v>0.210389348546542</x:v>
      </x:c>
      <x:c r="S711" s="40"/>
      <x:c r="T711" s="40"/>
      <x:c r="U711" s="40" t="n">
        <x:v>1</x:v>
      </x:c>
      <x:c r="V711" s="40" t="n">
        <x:v>0.9993065187239945</x:v>
      </x:c>
      <x:c r="W711" s="31" t="n">
        <x:v>0</x:v>
      </x:c>
      <x:c r="X711" s="31" t="str"/>
      <x:c r="Y711" s="31" t="n">
        <x:v>0</x:v>
      </x:c>
      <x:c r="Z711" s="31" t="n">
        <x:v>0</x:v>
      </x:c>
      <x:c r="AA711" s="31" t="n">
        <x:v>0</x:v>
      </x:c>
      <x:c r="AB711" s="31" t="str"/>
      <x:c r="AC711" s="31" t="str"/>
    </x:row>
    <x:row r="712">
      <x:c r="A712" s="31" t="str">
        <x:v>d35fe1f2fda3218d</x:v>
      </x:c>
      <x:c r="B712" s="31" t="str">
        <x:v>d35fe1f2fda3218dd5350e4a1205bbf4a1abba1bd6bd49deea8c892dc1d34818</x:v>
      </x:c>
      <x:c r="C712" s="31" t="n">
        <x:v>14</x:v>
      </x:c>
      <x:c r="D712" s="31" t="n">
        <x:v>33263</x:v>
      </x:c>
      <x:c r="E712" s="31" t="str">
        <x:v>Brooklyn</x:v>
      </x:c>
      <x:c r="F712" s="31" t="str">
        <x:v>Flatlands</x:v>
      </x:c>
      <x:c r="G712" s="31" t="n">
        <x:v>35529.804887141174</x:v>
      </x:c>
      <x:c r="H712" s="31" t="n">
        <x:v>10480</x:v>
      </x:c>
      <x:c r="I712" s="31" t="n">
        <x:v>3.0656819700295888</x:v>
      </x:c>
      <x:c r="J712" s="40" t="n">
        <x:v>0</x:v>
      </x:c>
      <x:c r="K712" s="40" t="n">
        <x:v>0.3095419847328244</x:v>
      </x:c>
      <x:c r="L712" s="40" t="n">
        <x:v>0.007538167938931297</x:v>
      </x:c>
      <x:c r="M712" s="31" t="n">
        <x:v>36.339034404105185</x:v>
      </x:c>
      <x:c r="N712" s="31" t="n">
        <x:v>70</x:v>
      </x:c>
      <x:c r="O712" s="31" t="n">
        <x:v>2.1044403691789677</x:v>
      </x:c>
      <x:c r="P712" s="31" t="n">
        <x:v>3.8327290076335876</x:v>
      </x:c>
      <x:c r="Q712" s="40" t="n">
        <x:v>0.6062022900763359</x:v>
      </x:c>
      <x:c r="R712" s="31" t="n">
        <x:v>0.20199694195424614</x:v>
      </x:c>
      <x:c r="S712" s="40"/>
      <x:c r="T712" s="40"/>
      <x:c r="U712" s="40" t="n">
        <x:v>1</x:v>
      </x:c>
      <x:c r="V712" s="40" t="n">
        <x:v>0.9997137404580153</x:v>
      </x:c>
      <x:c r="W712" s="31" t="n">
        <x:v>0</x:v>
      </x:c>
      <x:c r="X712" s="31" t="str"/>
      <x:c r="Y712" s="31" t="n">
        <x:v>0</x:v>
      </x:c>
      <x:c r="Z712" s="31" t="n">
        <x:v>0</x:v>
      </x:c>
      <x:c r="AA712" s="31" t="n">
        <x:v>0</x:v>
      </x:c>
      <x:c r="AB712" s="31" t="str"/>
      <x:c r="AC712" s="31" t="str"/>
    </x:row>
    <x:row r="713">
      <x:c r="A713" s="31" t="str">
        <x:v>d381a95f9871a5cc</x:v>
      </x:c>
      <x:c r="B713" s="31" t="str">
        <x:v>d381a95f9871a5ccf442a75ede7d3b8885cd3dcc108f5e6d1243c6c955d4b1a2</x:v>
      </x:c>
      <x:c r="C713" s="31" t="n">
        <x:v>7</x:v>
      </x:c>
      <x:c r="D713" s="31" t="n">
        <x:v>32259</x:v>
      </x:c>
      <x:c r="E713" s="31" t="str">
        <x:v>Staten Island</x:v>
      </x:c>
      <x:c r="F713" s="31" t="str">
        <x:v>Mariner's Harbor-Arlington-Graniteville</x:v>
      </x:c>
      <x:c r="G713" s="31" t="n">
        <x:v>18828.201981200662</x:v>
      </x:c>
      <x:c r="H713" s="31" t="n">
        <x:v>10143</x:v>
      </x:c>
      <x:c r="I713" s="31" t="n">
        <x:v>2.9261537684380685</x:v>
      </x:c>
      <x:c r="J713" s="40" t="n">
        <x:v>0.052844326136251604</x:v>
      </x:c>
      <x:c r="K713" s="40" t="n">
        <x:v>0.12984324164448388</x:v>
      </x:c>
      <x:c r="L713" s="40" t="n">
        <x:v>0.25347530316474415</x:v>
      </x:c>
      <x:c r="M713" s="31" t="n">
        <x:v>34.487154499770874</x:v>
      </x:c>
      <x:c r="N713" s="31" t="n">
        <x:v>22</x:v>
      </x:c>
      <x:c r="O713" s="31" t="n">
        <x:v>0.6819802225735453</x:v>
      </x:c>
      <x:c r="P713" s="31" t="n">
        <x:v>2.578625653159815</x:v>
      </x:c>
      <x:c r="Q713" s="40" t="n">
        <x:v>0</x:v>
      </x:c>
      <x:c r="R713" s="31" t="n">
        <x:v>0.23570495562267887</x:v>
      </x:c>
      <x:c r="S713" s="40"/>
      <x:c r="T713" s="40"/>
      <x:c r="U713" s="40" t="n">
        <x:v>1</x:v>
      </x:c>
      <x:c r="V713" s="40" t="n">
        <x:v>0.989648033126294</x:v>
      </x:c>
      <x:c r="W713" s="31" t="n">
        <x:v>0</x:v>
      </x:c>
      <x:c r="X713" s="31" t="str"/>
      <x:c r="Y713" s="31" t="n">
        <x:v>0</x:v>
      </x:c>
      <x:c r="Z713" s="31" t="n">
        <x:v>0</x:v>
      </x:c>
      <x:c r="AA713" s="31" t="n">
        <x:v>0</x:v>
      </x:c>
      <x:c r="AB713" s="31" t="str"/>
      <x:c r="AC713" s="31" t="str"/>
    </x:row>
    <x:row r="714">
      <x:c r="A714" s="31" t="str">
        <x:v>d391cefd9df125eb</x:v>
      </x:c>
      <x:c r="B714" s="31" t="str">
        <x:v>d391cefd9df125ebb6e4c5d2d61f71ac8564cd134b87d83f4ca40b30b3ce536d</x:v>
      </x:c>
      <x:c r="C714" s="31" t="n">
        <x:v>19</x:v>
      </x:c>
      <x:c r="D714" s="31" t="n">
        <x:v>32118</x:v>
      </x:c>
      <x:c r="E714" s="31" t="str">
        <x:v>Queens</x:v>
      </x:c>
      <x:c r="F714" s="31" t="str">
        <x:v>Cambria Heights</x:v>
      </x:c>
      <x:c r="G714" s="31" t="n">
        <x:v>19494.064524033296</x:v>
      </x:c>
      <x:c r="H714" s="31" t="n">
        <x:v>9664</x:v>
      </x:c>
      <x:c r="I714" s="31" t="n">
        <x:v>1.9843039022875484</x:v>
      </x:c>
      <x:c r="J714" s="40" t="n">
        <x:v>0</x:v>
      </x:c>
      <x:c r="K714" s="40" t="n">
        <x:v>0.004449503311258278</x:v>
      </x:c>
      <x:c r="L714" s="40" t="n">
        <x:v>0.010968543046357616</x:v>
      </x:c>
      <x:c r="M714" s="31" t="n">
        <x:v>25.42935135049855</x:v>
      </x:c>
      <x:c r="N714" s="31" t="n">
        <x:v>4</x:v>
      </x:c>
      <x:c r="O714" s="31" t="n">
        <x:v>0.12454075596238869</x:v>
      </x:c>
      <x:c r="P714" s="31" t="n">
        <x:v>4.999793046357616</x:v>
      </x:c>
      <x:c r="Q714" s="40" t="n">
        <x:v>1</x:v>
      </x:c>
      <x:c r="R714" s="31" t="n">
        <x:v>0.2833605330089258</x:v>
      </x:c>
      <x:c r="S714" s="40"/>
      <x:c r="T714" s="40"/>
      <x:c r="U714" s="40" t="n">
        <x:v>1</x:v>
      </x:c>
      <x:c r="V714" s="40" t="n">
        <x:v>0.9983443708609272</x:v>
      </x:c>
      <x:c r="W714" s="31" t="n">
        <x:v>0</x:v>
      </x:c>
      <x:c r="X714" s="31" t="str"/>
      <x:c r="Y714" s="31" t="n">
        <x:v>0</x:v>
      </x:c>
      <x:c r="Z714" s="31" t="n">
        <x:v>0</x:v>
      </x:c>
      <x:c r="AA714" s="31" t="n">
        <x:v>0</x:v>
      </x:c>
      <x:c r="AB714" s="31" t="str"/>
      <x:c r="AC714" s="31" t="str"/>
    </x:row>
    <x:row r="715">
      <x:c r="A715" s="31" t="str">
        <x:v>d398c4d9df131f23</x:v>
      </x:c>
      <x:c r="B715" s="31" t="str">
        <x:v>d398c4d9df131f2314196799874c3a3fdfd70da7a406c09481ff1f93c9fbc1e7</x:v>
      </x:c>
      <x:c r="C715" s="31" t="n">
        <x:v>9</x:v>
      </x:c>
      <x:c r="D715" s="31" t="n">
        <x:v>33770</x:v>
      </x:c>
      <x:c r="E715" s="31" t="str">
        <x:v>Queens</x:v>
      </x:c>
      <x:c r="F715" s="31" t="str">
        <x:v>Rosedale</x:v>
      </x:c>
      <x:c r="G715" s="31" t="n">
        <x:v>17600.33179165271</x:v>
      </x:c>
      <x:c r="H715" s="31" t="n">
        <x:v>9923</x:v>
      </x:c>
      <x:c r="I715" s="31" t="n">
        <x:v>1.9607168132645836</x:v>
      </x:c>
      <x:c r="J715" s="40" t="n">
        <x:v>0</x:v>
      </x:c>
      <x:c r="K715" s="40" t="n">
        <x:v>0.004534918875340119</x:v>
      </x:c>
      <x:c r="L715" s="40" t="n">
        <x:v>0.01682958782626222</x:v>
      </x:c>
      <x:c r="M715" s="31" t="n">
        <x:v>25.45614324150532</x:v>
      </x:c>
      <x:c r="N715" s="31" t="n">
        <x:v>5</x:v>
      </x:c>
      <x:c r="O715" s="31" t="n">
        <x:v>0.14806040864672784</x:v>
      </x:c>
      <x:c r="P715" s="31" t="n">
        <x:v>4.000302327925023</x:v>
      </x:c>
      <x:c r="Q715" s="40" t="n">
        <x:v>1</x:v>
      </x:c>
      <x:c r="R715" s="31" t="n">
        <x:v>0.2659797322268255</x:v>
      </x:c>
      <x:c r="S715" s="40"/>
      <x:c r="T715" s="40"/>
      <x:c r="U715" s="40" t="n">
        <x:v>1</x:v>
      </x:c>
      <x:c r="V715" s="40" t="n">
        <x:v>0.9941549934495616</x:v>
      </x:c>
      <x:c r="W715" s="31" t="n">
        <x:v>0</x:v>
      </x:c>
      <x:c r="X715" s="31" t="str"/>
      <x:c r="Y715" s="31" t="n">
        <x:v>0</x:v>
      </x:c>
      <x:c r="Z715" s="31" t="n">
        <x:v>0</x:v>
      </x:c>
      <x:c r="AA715" s="31" t="n">
        <x:v>0</x:v>
      </x:c>
      <x:c r="AB715" s="31" t="str"/>
      <x:c r="AC715" s="31" t="str"/>
    </x:row>
    <x:row r="716">
      <x:c r="A716" s="31" t="str">
        <x:v>d3ebf8c7692beb36</x:v>
      </x:c>
      <x:c r="B716" s="31" t="str">
        <x:v>d3ebf8c7692beb362f5eb07a3707a3ee199147b11fc1dc8ff483346931be4a11</x:v>
      </x:c>
      <x:c r="C716" s="31" t="n">
        <x:v>13</x:v>
      </x:c>
      <x:c r="D716" s="31" t="n">
        <x:v>32595</x:v>
      </x:c>
      <x:c r="E716" s="31" t="str">
        <x:v>Queens</x:v>
      </x:c>
      <x:c r="F716" s="31" t="str">
        <x:v>South Jamaica</x:v>
      </x:c>
      <x:c r="G716" s="31" t="n">
        <x:v>31813.41895123935</x:v>
      </x:c>
      <x:c r="H716" s="31" t="n">
        <x:v>8761</x:v>
      </x:c>
      <x:c r="I716" s="31" t="n">
        <x:v>2.4347161621930327</x:v>
      </x:c>
      <x:c r="J716" s="40" t="n">
        <x:v>0</x:v>
      </x:c>
      <x:c r="K716" s="40" t="n">
        <x:v>0.09941787467184111</x:v>
      </x:c>
      <x:c r="L716" s="40" t="n">
        <x:v>0.048282159570825246</x:v>
      </x:c>
      <x:c r="M716" s="31" t="n">
        <x:v>28.83143076964315</x:v>
      </x:c>
      <x:c r="N716" s="31" t="n">
        <x:v>16</x:v>
      </x:c>
      <x:c r="O716" s="31" t="n">
        <x:v>0.49087283325663444</x:v>
      </x:c>
      <x:c r="P716" s="31" t="n">
        <x:v>4.51706426207054</x:v>
      </x:c>
      <x:c r="Q716" s="40" t="n">
        <x:v>1</x:v>
      </x:c>
      <x:c r="R716" s="31" t="n">
        <x:v>0.18212298693890738</x:v>
      </x:c>
      <x:c r="S716" s="40"/>
      <x:c r="T716" s="40"/>
      <x:c r="U716" s="40" t="n">
        <x:v>1</x:v>
      </x:c>
      <x:c r="V716" s="40" t="n">
        <x:v>0.9915534756306358</x:v>
      </x:c>
      <x:c r="W716" s="31" t="n">
        <x:v>0</x:v>
      </x:c>
      <x:c r="X716" s="31" t="str"/>
      <x:c r="Y716" s="31" t="n">
        <x:v>0</x:v>
      </x:c>
      <x:c r="Z716" s="31" t="n">
        <x:v>0</x:v>
      </x:c>
      <x:c r="AA716" s="31" t="n">
        <x:v>0</x:v>
      </x:c>
      <x:c r="AB716" s="31" t="str"/>
      <x:c r="AC716" s="31" t="str"/>
    </x:row>
    <x:row r="717">
      <x:c r="A717" s="31" t="str">
        <x:v>d4ac7935f41e8395</x:v>
      </x:c>
      <x:c r="B717" s="31" t="str">
        <x:v>d4ac7935f41e8395c6beeef0f2b1742c58f9b7147fefeb321b449405f584825c</x:v>
      </x:c>
      <x:c r="C717" s="31" t="n">
        <x:v>11</x:v>
      </x:c>
      <x:c r="D717" s="31" t="n">
        <x:v>34294</x:v>
      </x:c>
      <x:c r="E717" s="31" t="str">
        <x:v>Brooklyn</x:v>
      </x:c>
      <x:c r="F717" s="31" t="str">
        <x:v>Sunset Park (East)-Borough Park (West)</x:v>
      </x:c>
      <x:c r="G717" s="31" t="n">
        <x:v>83501.34239494616</x:v>
      </x:c>
      <x:c r="H717" s="31" t="n">
        <x:v>9711</x:v>
      </x:c>
      <x:c r="I717" s="31" t="n">
        <x:v>3.3926517571884984</x:v>
      </x:c>
      <x:c r="J717" s="40" t="n">
        <x:v>0.021727937390587992</x:v>
      </x:c>
      <x:c r="K717" s="40" t="n">
        <x:v>0.5870662135722376</x:v>
      </x:c>
      <x:c r="L717" s="40" t="n">
        <x:v>0.015240448975388735</x:v>
      </x:c>
      <x:c r="M717" s="31" t="n">
        <x:v>39.51701031465624</x:v>
      </x:c>
      <x:c r="N717" s="31" t="n">
        <x:v>141</x:v>
      </x:c>
      <x:c r="O717" s="31" t="n">
        <x:v>4.111506385956727</x:v>
      </x:c>
      <x:c r="P717" s="31" t="n">
        <x:v>3.6509113376583255</x:v>
      </x:c>
      <x:c r="Q717" s="40" t="n">
        <x:v>0.6509113376583257</x:v>
      </x:c>
      <x:c r="R717" s="31" t="n">
        <x:v>0.14454357328047268</x:v>
      </x:c>
      <x:c r="S717" s="40"/>
      <x:c r="T717" s="40"/>
      <x:c r="U717" s="40" t="n">
        <x:v>1</x:v>
      </x:c>
      <x:c r="V717" s="40" t="n">
        <x:v>0.9945422716507054</x:v>
      </x:c>
      <x:c r="W717" s="31" t="n">
        <x:v>0</x:v>
      </x:c>
      <x:c r="X717" s="31" t="str"/>
      <x:c r="Y717" s="31" t="n">
        <x:v>0</x:v>
      </x:c>
      <x:c r="Z717" s="31" t="n">
        <x:v>0</x:v>
      </x:c>
      <x:c r="AA717" s="31" t="n">
        <x:v>0</x:v>
      </x:c>
      <x:c r="AB717" s="31" t="str"/>
      <x:c r="AC717" s="31" t="str"/>
    </x:row>
    <x:row r="718">
      <x:c r="A718" s="31" t="str">
        <x:v>d4dfe73794f3af4d</x:v>
      </x:c>
      <x:c r="B718" s="31" t="str">
        <x:v>d4dfe73794f3af4d88c7ad8c2959c25f1e099bc83a7e2bbe5ac11b7a443ed78b</x:v>
      </x:c>
      <x:c r="C718" s="31" t="n">
        <x:v>9</x:v>
      </x:c>
      <x:c r="D718" s="31" t="n">
        <x:v>37654</x:v>
      </x:c>
      <x:c r="E718" s="31" t="str">
        <x:v>Bronx</x:v>
      </x:c>
      <x:c r="F718" s="31" t="str">
        <x:v>Soundview-Bruckner-Bronx River</x:v>
      </x:c>
      <x:c r="G718" s="31" t="n">
        <x:v>52407.08151214319</x:v>
      </x:c>
      <x:c r="H718" s="31" t="n">
        <x:v>12363</x:v>
      </x:c>
      <x:c r="I718" s="31" t="n">
        <x:v>7.274596780716654</x:v>
      </x:c>
      <x:c r="J718" s="40" t="n">
        <x:v>0.2727493326862412</x:v>
      </x:c>
      <x:c r="K718" s="40" t="n">
        <x:v>0.42522041575669334</x:v>
      </x:c>
      <x:c r="L718" s="40" t="n">
        <x:v>0.2861764943783871</x:v>
      </x:c>
      <x:c r="M718" s="31" t="n">
        <x:v>71.54461758640711</x:v>
      </x:c>
      <x:c r="N718" s="31" t="n">
        <x:v>104</x:v>
      </x:c>
      <x:c r="O718" s="31" t="n">
        <x:v>2.761990757954002</x:v>
      </x:c>
      <x:c r="P718" s="31" t="n">
        <x:v>4</x:v>
      </x:c>
      <x:c r="Q718" s="40" t="n">
        <x:v>1</x:v>
      </x:c>
      <x:c r="R718" s="31" t="n">
        <x:v>0.11889629344566448</x:v>
      </x:c>
      <x:c r="S718" s="40"/>
      <x:c r="T718" s="40"/>
      <x:c r="U718" s="40" t="n">
        <x:v>1</x:v>
      </x:c>
      <x:c r="V718" s="40" t="n">
        <x:v>0.9961983337377659</x:v>
      </x:c>
      <x:c r="W718" s="31" t="n">
        <x:v>0</x:v>
      </x:c>
      <x:c r="X718" s="31" t="str"/>
      <x:c r="Y718" s="31" t="n">
        <x:v>0</x:v>
      </x:c>
      <x:c r="Z718" s="31" t="n">
        <x:v>0</x:v>
      </x:c>
      <x:c r="AA718" s="31" t="n">
        <x:v>0</x:v>
      </x:c>
      <x:c r="AB718" s="31" t="str"/>
      <x:c r="AC718" s="31" t="str"/>
    </x:row>
    <x:row r="719">
      <x:c r="A719" s="31" t="str">
        <x:v>d53e1ffaf4e64b53</x:v>
      </x:c>
      <x:c r="B719" s="31" t="str">
        <x:v>d53e1ffaf4e64b537f796978e6aac8b8f2bc4a4bb6ad3f06fb706179070c1dd8</x:v>
      </x:c>
      <x:c r="C719" s="31" t="n">
        <x:v>9</x:v>
      </x:c>
      <x:c r="D719" s="31" t="n">
        <x:v>33846</x:v>
      </x:c>
      <x:c r="E719" s="31" t="str">
        <x:v>Queens</x:v>
      </x:c>
      <x:c r="F719" s="31" t="str">
        <x:v>Jamaica</x:v>
      </x:c>
      <x:c r="G719" s="31" t="n">
        <x:v>28662.461315406723</x:v>
      </x:c>
      <x:c r="H719" s="31" t="n">
        <x:v>10464</x:v>
      </x:c>
      <x:c r="I719" s="31" t="n">
        <x:v>4.74404476034963</x:v>
      </x:c>
      <x:c r="J719" s="40" t="n">
        <x:v>0.08686926605504587</x:v>
      </x:c>
      <x:c r="K719" s="40" t="n">
        <x:v>0.4783065749235474</x:v>
      </x:c>
      <x:c r="L719" s="40" t="n">
        <x:v>0.014621559633027524</x:v>
      </x:c>
      <x:c r="M719" s="31" t="n">
        <x:v>51.35658476611995</x:v>
      </x:c>
      <x:c r="N719" s="31" t="n">
        <x:v>112</x:v>
      </x:c>
      <x:c r="O719" s="31" t="n">
        <x:v>3.309105950481593</x:v>
      </x:c>
      <x:c r="P719" s="31" t="n">
        <x:v>3.4181001529051986</x:v>
      </x:c>
      <x:c r="Q719" s="40" t="n">
        <x:v>0.3146980122324159</x:v>
      </x:c>
      <x:c r="R719" s="31" t="n">
        <x:v>0.20576085143852776</x:v>
      </x:c>
      <x:c r="S719" s="40"/>
      <x:c r="T719" s="40"/>
      <x:c r="U719" s="40" t="n">
        <x:v>1</x:v>
      </x:c>
      <x:c r="V719" s="40" t="n">
        <x:v>0.9847094801223242</x:v>
      </x:c>
      <x:c r="W719" s="31" t="n">
        <x:v>0</x:v>
      </x:c>
      <x:c r="X719" s="31" t="str"/>
      <x:c r="Y719" s="31" t="n">
        <x:v>0</x:v>
      </x:c>
      <x:c r="Z719" s="31" t="n">
        <x:v>0</x:v>
      </x:c>
      <x:c r="AA719" s="31" t="n">
        <x:v>0</x:v>
      </x:c>
      <x:c r="AB719" s="31" t="str"/>
      <x:c r="AC719" s="31" t="str"/>
    </x:row>
    <x:row r="720">
      <x:c r="A720" s="31" t="str">
        <x:v>d588506c01b142a3</x:v>
      </x:c>
      <x:c r="B720" s="31" t="str">
        <x:v>d588506c01b142a34b5e3abd356f4a7dbb02644afcd67cfabec1a5688fe57adf</x:v>
      </x:c>
      <x:c r="C720" s="31" t="n">
        <x:v>12</x:v>
      </x:c>
      <x:c r="D720" s="31" t="n">
        <x:v>34112</x:v>
      </x:c>
      <x:c r="E720" s="31" t="str">
        <x:v>Queens</x:v>
      </x:c>
      <x:c r="F720" s="31" t="str">
        <x:v>South Ozone Park</x:v>
      </x:c>
      <x:c r="G720" s="31" t="n">
        <x:v>43699.352721169336</x:v>
      </x:c>
      <x:c r="H720" s="31" t="n">
        <x:v>9263</x:v>
      </x:c>
      <x:c r="I720" s="31" t="n">
        <x:v>2.382050340283029</x:v>
      </x:c>
      <x:c r="J720" s="40" t="n">
        <x:v>0</x:v>
      </x:c>
      <x:c r="K720" s="40" t="n">
        <x:v>0.16333801144337687</x:v>
      </x:c>
      <x:c r="L720" s="40" t="n">
        <x:v>0.016085501457411205</x:v>
      </x:c>
      <x:c r="M720" s="31" t="n">
        <x:v>28.406047180998577</x:v>
      </x:c>
      <x:c r="N720" s="31" t="n">
        <x:v>7</x:v>
      </x:c>
      <x:c r="O720" s="31" t="n">
        <x:v>0.2052063789868668</x:v>
      </x:c>
      <x:c r="P720" s="31" t="n">
        <x:v>3.8150707114325813</x:v>
      </x:c>
      <x:c r="Q720" s="40" t="n">
        <x:v>0.8150707114325813</x:v>
      </x:c>
      <x:c r="R720" s="31" t="n">
        <x:v>0.17732541351450157</x:v>
      </x:c>
      <x:c r="S720" s="40"/>
      <x:c r="T720" s="40"/>
      <x:c r="U720" s="40" t="n">
        <x:v>1</x:v>
      </x:c>
      <x:c r="V720" s="40" t="n">
        <x:v>0.9892043614379791</x:v>
      </x:c>
      <x:c r="W720" s="31" t="n">
        <x:v>0</x:v>
      </x:c>
      <x:c r="X720" s="31" t="str"/>
      <x:c r="Y720" s="31" t="n">
        <x:v>0</x:v>
      </x:c>
      <x:c r="Z720" s="31" t="n">
        <x:v>0</x:v>
      </x:c>
      <x:c r="AA720" s="31" t="n">
        <x:v>0</x:v>
      </x:c>
      <x:c r="AB720" s="31" t="str"/>
      <x:c r="AC720" s="31" t="str"/>
    </x:row>
    <x:row r="721">
      <x:c r="A721" s="31" t="str">
        <x:v>d592b0651caa0a3e</x:v>
      </x:c>
      <x:c r="B721" s="31" t="str">
        <x:v>d592b0651caa0a3eee33e79bc31082c959f7dcd4e1361868aa1ff7fd363c1ca3</x:v>
      </x:c>
      <x:c r="C721" s="31" t="n">
        <x:v>10</x:v>
      </x:c>
      <x:c r="D721" s="31" t="n">
        <x:v>35306</x:v>
      </x:c>
      <x:c r="E721" s="31" t="str">
        <x:v>Brooklyn</x:v>
      </x:c>
      <x:c r="F721" s="31" t="str">
        <x:v>Bay Ridge</x:v>
      </x:c>
      <x:c r="G721" s="31" t="n">
        <x:v>48900.16137982212</x:v>
      </x:c>
      <x:c r="H721" s="31" t="n">
        <x:v>12107</x:v>
      </x:c>
      <x:c r="I721" s="31" t="n">
        <x:v>3.3018575442075693</x:v>
      </x:c>
      <x:c r="J721" s="40" t="n">
        <x:v>0</x:v>
      </x:c>
      <x:c r="K721" s="40" t="n">
        <x:v>0.5984141405798299</x:v>
      </x:c>
      <x:c r="L721" s="40" t="n">
        <x:v>0.010242008755265548</x:v>
      </x:c>
      <x:c r="M721" s="31" t="n">
        <x:v>39.280065635942904</x:v>
      </x:c>
      <x:c r="N721" s="31" t="n">
        <x:v>61</x:v>
      </x:c>
      <x:c r="O721" s="31" t="n">
        <x:v>1.7277516569421627</x:v>
      </x:c>
      <x:c r="P721" s="31" t="n">
        <x:v>2.4090195754522177</x:v>
      </x:c>
      <x:c r="Q721" s="40" t="n">
        <x:v>0.016023787891302554</x:v>
      </x:c>
      <x:c r="R721" s="31" t="n">
        <x:v>0.16306051255442758</x:v>
      </x:c>
      <x:c r="S721" s="40"/>
      <x:c r="T721" s="40"/>
      <x:c r="U721" s="40" t="n">
        <x:v>1</x:v>
      </x:c>
      <x:c r="V721" s="40" t="n">
        <x:v>0.9981828694143884</x:v>
      </x:c>
      <x:c r="W721" s="31" t="n">
        <x:v>0</x:v>
      </x:c>
      <x:c r="X721" s="31" t="str"/>
      <x:c r="Y721" s="31" t="n">
        <x:v>0</x:v>
      </x:c>
      <x:c r="Z721" s="31" t="n">
        <x:v>0</x:v>
      </x:c>
      <x:c r="AA721" s="31" t="n">
        <x:v>0</x:v>
      </x:c>
      <x:c r="AB721" s="31" t="str"/>
      <x:c r="AC721" s="31" t="str"/>
    </x:row>
    <x:row r="722">
      <x:c r="A722" s="31" t="str">
        <x:v>d601387223c083c0</x:v>
      </x:c>
      <x:c r="B722" s="31" t="str">
        <x:v>d601387223c083c0c2017bf9fa5124d63d65a2eff5a15e24d3f2239308e8c891</x:v>
      </x:c>
      <x:c r="C722" s="31" t="n">
        <x:v>11</x:v>
      </x:c>
      <x:c r="D722" s="31" t="n">
        <x:v>36252</x:v>
      </x:c>
      <x:c r="E722" s="31" t="str">
        <x:v>Brooklyn</x:v>
      </x:c>
      <x:c r="F722" s="31" t="str">
        <x:v>Gravesend (West)</x:v>
      </x:c>
      <x:c r="G722" s="31" t="n">
        <x:v>53572.64293096917</x:v>
      </x:c>
      <x:c r="H722" s="31" t="n">
        <x:v>12203</x:v>
      </x:c>
      <x:c r="I722" s="31" t="n">
        <x:v>3.6195858958589584</x:v>
      </x:c>
      <x:c r="J722" s="40" t="n">
        <x:v>0.0033598295501106284</x:v>
      </x:c>
      <x:c r="K722" s="40" t="n">
        <x:v>0.5225764156354995</x:v>
      </x:c>
      <x:c r="L722" s="40" t="n">
        <x:v>0.005818241416045235</x:v>
      </x:c>
      <x:c r="M722" s="31" t="n">
        <x:v>41.71816875889484</x:v>
      </x:c>
      <x:c r="N722" s="31" t="n">
        <x:v>146</x:v>
      </x:c>
      <x:c r="O722" s="31" t="n">
        <x:v>4.027364007503034</x:v>
      </x:c>
      <x:c r="P722" s="31" t="n">
        <x:v>4</x:v>
      </x:c>
      <x:c r="Q722" s="40" t="n">
        <x:v>1</x:v>
      </x:c>
      <x:c r="R722" s="31" t="n">
        <x:v>0.19843745669923604</x:v>
      </x:c>
      <x:c r="S722" s="40"/>
      <x:c r="T722" s="40"/>
      <x:c r="U722" s="40" t="n">
        <x:v>1</x:v>
      </x:c>
      <x:c r="V722" s="40" t="n">
        <x:v>0.99360812914857</x:v>
      </x:c>
      <x:c r="W722" s="31" t="n">
        <x:v>1</x:v>
      </x:c>
      <x:c r="X722" s="31" t="str"/>
      <x:c r="Y722" s="31" t="n">
        <x:v>0</x:v>
      </x:c>
      <x:c r="Z722" s="31" t="n">
        <x:v>1</x:v>
      </x:c>
      <x:c r="AA722" s="31" t="n">
        <x:v>0</x:v>
      </x:c>
      <x:c r="AB722" s="31" t="str"/>
      <x:c r="AC722" s="31" t="str"/>
    </x:row>
    <x:row r="723">
      <x:c r="A723" s="31" t="str">
        <x:v>d629ef242e4610bd</x:v>
      </x:c>
      <x:c r="B723" s="31" t="str">
        <x:v>d629ef242e4610bd0c60f8c24da876b723ab1b341696b2415a68de0488f02e3c</x:v>
      </x:c>
      <x:c r="C723" s="31" t="n">
        <x:v>8</x:v>
      </x:c>
      <x:c r="D723" s="31" t="n">
        <x:v>34319</x:v>
      </x:c>
      <x:c r="E723" s="31" t="str">
        <x:v>Queens</x:v>
      </x:c>
      <x:c r="F723" s="31" t="str">
        <x:v>Elmhurst</x:v>
      </x:c>
      <x:c r="G723" s="31" t="n">
        <x:v>61644.444747476424</x:v>
      </x:c>
      <x:c r="H723" s="31" t="n">
        <x:v>11115</x:v>
      </x:c>
      <x:c r="I723" s="31" t="n">
        <x:v>4.4760820434906465</x:v>
      </x:c>
      <x:c r="J723" s="40" t="n">
        <x:v>0.04930274403958614</x:v>
      </x:c>
      <x:c r="K723" s="40" t="n">
        <x:v>0.6618983355825461</x:v>
      </x:c>
      <x:c r="L723" s="40" t="n">
        <x:v>0.03733693207377418</x:v>
      </x:c>
      <x:c r="M723" s="31" t="n">
        <x:v>51.72232998936573</x:v>
      </x:c>
      <x:c r="N723" s="31" t="n">
        <x:v>103</x:v>
      </x:c>
      <x:c r="O723" s="31" t="n">
        <x:v>3.0012529502607883</x:v>
      </x:c>
      <x:c r="P723" s="31" t="n">
        <x:v>3.00629779577148</x:v>
      </x:c>
      <x:c r="Q723" s="40" t="n">
        <x:v>0.006297795771479982</x:v>
      </x:c>
      <x:c r="R723" s="31" t="n">
        <x:v>0.11259747243278334</x:v>
      </x:c>
      <x:c r="S723" s="40"/>
      <x:c r="T723" s="40"/>
      <x:c r="U723" s="40" t="n">
        <x:v>1</x:v>
      </x:c>
      <x:c r="V723" s="40" t="n">
        <x:v>0.9957714799820063</x:v>
      </x:c>
      <x:c r="W723" s="31" t="n">
        <x:v>0</x:v>
      </x:c>
      <x:c r="X723" s="31" t="str"/>
      <x:c r="Y723" s="31" t="n">
        <x:v>0</x:v>
      </x:c>
      <x:c r="Z723" s="31" t="n">
        <x:v>0</x:v>
      </x:c>
      <x:c r="AA723" s="31" t="n">
        <x:v>0</x:v>
      </x:c>
      <x:c r="AB723" s="31" t="str"/>
      <x:c r="AC723" s="31" t="str"/>
    </x:row>
    <x:row r="724">
      <x:c r="A724" s="31" t="str">
        <x:v>d6458945c4c41474</x:v>
      </x:c>
      <x:c r="B724" s="31" t="str">
        <x:v>d6458945c4c41474fad847f075a16ea7a8c407ee7009b843ca684d1e150e64e3</x:v>
      </x:c>
      <x:c r="C724" s="31" t="n">
        <x:v>12</x:v>
      </x:c>
      <x:c r="D724" s="31" t="n">
        <x:v>34038</x:v>
      </x:c>
      <x:c r="E724" s="31" t="str">
        <x:v>Brooklyn</x:v>
      </x:c>
      <x:c r="F724" s="31" t="str">
        <x:v>Mapleton-Midwood (West)</x:v>
      </x:c>
      <x:c r="G724" s="31" t="n">
        <x:v>43095.30873122382</x:v>
      </x:c>
      <x:c r="H724" s="31" t="n">
        <x:v>11878</x:v>
      </x:c>
      <x:c r="I724" s="31" t="n">
        <x:v>3.8930045485175198</x:v>
      </x:c>
      <x:c r="J724" s="40" t="n">
        <x:v>0.027866644216198014</x:v>
      </x:c>
      <x:c r="K724" s="40" t="n">
        <x:v>0.5173429870348544</x:v>
      </x:c>
      <x:c r="L724" s="40" t="n">
        <x:v>0.011197171240949655</x:v>
      </x:c>
      <x:c r="M724" s="31" t="n">
        <x:v>44.03869337787533</x:v>
      </x:c>
      <x:c r="N724" s="31" t="n">
        <x:v>139</x:v>
      </x:c>
      <x:c r="O724" s="31" t="n">
        <x:v>4.0836711910218</x:v>
      </x:c>
      <x:c r="P724" s="31" t="n">
        <x:v>4</x:v>
      </x:c>
      <x:c r="Q724" s="40" t="n">
        <x:v>1</x:v>
      </x:c>
      <x:c r="R724" s="31" t="n">
        <x:v>0.21333748516131187</x:v>
      </x:c>
      <x:c r="S724" s="40"/>
      <x:c r="T724" s="40"/>
      <x:c r="U724" s="40" t="n">
        <x:v>1</x:v>
      </x:c>
      <x:c r="V724" s="40" t="n">
        <x:v>0.9953695908402088</x:v>
      </x:c>
      <x:c r="W724" s="31" t="n">
        <x:v>1</x:v>
      </x:c>
      <x:c r="X724" s="31" t="str"/>
      <x:c r="Y724" s="31" t="n">
        <x:v>0</x:v>
      </x:c>
      <x:c r="Z724" s="31" t="n">
        <x:v>1</x:v>
      </x:c>
      <x:c r="AA724" s="31" t="n">
        <x:v>0</x:v>
      </x:c>
      <x:c r="AB724" s="31" t="str"/>
      <x:c r="AC724" s="31" t="str"/>
    </x:row>
    <x:row r="725">
      <x:c r="A725" s="31" t="str">
        <x:v>d674ff374e288caa</x:v>
      </x:c>
      <x:c r="B725" s="31" t="str">
        <x:v>d674ff374e288caafd8f56e661a032855c0612f72476e766fa44478265684cf7</x:v>
      </x:c>
      <x:c r="C725" s="31" t="n">
        <x:v>6</x:v>
      </x:c>
      <x:c r="D725" s="31" t="n">
        <x:v>35832</x:v>
      </x:c>
      <x:c r="E725" s="31" t="str">
        <x:v>Manhattan</x:v>
      </x:c>
      <x:c r="F725" s="31" t="str">
        <x:v>Manhattanville-West Harlem</x:v>
      </x:c>
      <x:c r="G725" s="31" t="n">
        <x:v>80983.69581974323</x:v>
      </x:c>
      <x:c r="H725" s="31" t="n">
        <x:v>14936</x:v>
      </x:c>
      <x:c r="I725" s="31" t="n">
        <x:v>11.840452597750401</x:v>
      </x:c>
      <x:c r="J725" s="40" t="n">
        <x:v>0.39307712908409215</x:v>
      </x:c>
      <x:c r="K725" s="40" t="n">
        <x:v>0.6061863952865559</x:v>
      </x:c>
      <x:c r="L725" s="40" t="n">
        <x:v>0.30583824317086233</x:v>
      </x:c>
      <x:c r="M725" s="31" t="n">
        <x:v>122.51376198240816</x:v>
      </x:c>
      <x:c r="N725" s="31" t="n">
        <x:v>188</x:v>
      </x:c>
      <x:c r="O725" s="31" t="n">
        <x:v>5.2467068542085284</x:v>
      </x:c>
      <x:c r="P725" s="31" t="n">
        <x:v>4</x:v>
      </x:c>
      <x:c r="Q725" s="40" t="n">
        <x:v>1</x:v>
      </x:c>
      <x:c r="R725" s="31" t="n">
        <x:v>0.09821810474548455</x:v>
      </x:c>
      <x:c r="S725" s="40"/>
      <x:c r="T725" s="40"/>
      <x:c r="U725" s="40" t="n">
        <x:v>1</x:v>
      </x:c>
      <x:c r="V725" s="40" t="n">
        <x:v>0.996719335832887</x:v>
      </x:c>
      <x:c r="W725" s="31" t="n">
        <x:v>1</x:v>
      </x:c>
      <x:c r="X725" s="31" t="str"/>
      <x:c r="Y725" s="31" t="n">
        <x:v>0</x:v>
      </x:c>
      <x:c r="Z725" s="31" t="n">
        <x:v>1</x:v>
      </x:c>
      <x:c r="AA725" s="31" t="n">
        <x:v>0</x:v>
      </x:c>
      <x:c r="AB725" s="31" t="str"/>
      <x:c r="AC725" s="31" t="str"/>
    </x:row>
    <x:row r="726">
      <x:c r="A726" s="31" t="str">
        <x:v>d68af98c02501106</x:v>
      </x:c>
      <x:c r="B726" s="31" t="str">
        <x:v>d68af98c025011066f6655f410595d3a9bd302ddb260ec0700e9c45068ebb207</x:v>
      </x:c>
      <x:c r="C726" s="31" t="n">
        <x:v>10</x:v>
      </x:c>
      <x:c r="D726" s="31" t="n">
        <x:v>35831</x:v>
      </x:c>
      <x:c r="E726" s="31" t="str">
        <x:v>Brooklyn</x:v>
      </x:c>
      <x:c r="F726" s="31" t="str">
        <x:v>East Williamsburg</x:v>
      </x:c>
      <x:c r="G726" s="31" t="n">
        <x:v>57469.34870011851</x:v>
      </x:c>
      <x:c r="H726" s="31" t="n">
        <x:v>19429</x:v>
      </x:c>
      <x:c r="I726" s="31" t="n">
        <x:v>5.4177868895001815</x:v>
      </x:c>
      <x:c r="J726" s="40" t="n">
        <x:v>0.08806423387719388</x:v>
      </x:c>
      <x:c r="K726" s="40" t="n">
        <x:v>0.8251582685676051</x:v>
      </x:c>
      <x:c r="L726" s="40" t="n">
        <x:v>0.13253384116526842</x:v>
      </x:c>
      <x:c r="M726" s="31" t="n">
        <x:v>58.11578799234113</x:v>
      </x:c>
      <x:c r="N726" s="31" t="n">
        <x:v>285</x:v>
      </x:c>
      <x:c r="O726" s="31" t="n">
        <x:v>7.954006307387457</x:v>
      </x:c>
      <x:c r="P726" s="31" t="n">
        <x:v>3.319265016212878</x:v>
      </x:c>
      <x:c r="Q726" s="40" t="n">
        <x:v>0.3192650162128777</x:v>
      </x:c>
      <x:c r="R726" s="31" t="n">
        <x:v>0.1301566505326365</x:v>
      </x:c>
      <x:c r="S726" s="40"/>
      <x:c r="T726" s="40"/>
      <x:c r="U726" s="40" t="n">
        <x:v>1</x:v>
      </x:c>
      <x:c r="V726" s="40" t="n">
        <x:v>0.9638169746255597</x:v>
      </x:c>
      <x:c r="W726" s="31" t="n">
        <x:v>0</x:v>
      </x:c>
      <x:c r="X726" s="31" t="str"/>
      <x:c r="Y726" s="31" t="n">
        <x:v>0</x:v>
      </x:c>
      <x:c r="Z726" s="31" t="n">
        <x:v>0</x:v>
      </x:c>
      <x:c r="AA726" s="31" t="n">
        <x:v>0</x:v>
      </x:c>
      <x:c r="AB726" s="31" t="str"/>
      <x:c r="AC726" s="31" t="str"/>
    </x:row>
    <x:row r="727">
      <x:c r="A727" s="31" t="str">
        <x:v>d75298792ca460fe</x:v>
      </x:c>
      <x:c r="B727" s="31" t="str">
        <x:v>d75298792ca460fe5f603f3ada8a23f8a58e0170173ce5674251f612a70ec513</x:v>
      </x:c>
      <x:c r="C727" s="31" t="n">
        <x:v>8</x:v>
      </x:c>
      <x:c r="D727" s="31" t="n">
        <x:v>33319</x:v>
      </x:c>
      <x:c r="E727" s="31" t="str">
        <x:v>Brooklyn</x:v>
      </x:c>
      <x:c r="F727" s="31" t="str">
        <x:v>Clinton Hill</x:v>
      </x:c>
      <x:c r="G727" s="31" t="n">
        <x:v>60421.36150034233</x:v>
      </x:c>
      <x:c r="H727" s="31" t="n">
        <x:v>17185</x:v>
      </x:c>
      <x:c r="I727" s="31" t="n">
        <x:v>8.145948611931482</x:v>
      </x:c>
      <x:c r="J727" s="40" t="n">
        <x:v>0.2773348850741926</x:v>
      </x:c>
      <x:c r="K727" s="40" t="n">
        <x:v>0.6815827756764621</x:v>
      </x:c>
      <x:c r="L727" s="40" t="n">
        <x:v>0.09880709921443119</x:v>
      </x:c>
      <x:c r="M727" s="31" t="n">
        <x:v>86.92219876774163</x:v>
      </x:c>
      <x:c r="N727" s="31" t="n">
        <x:v>216</x:v>
      </x:c>
      <x:c r="O727" s="31" t="n">
        <x:v>6.482787598667427</x:v>
      </x:c>
      <x:c r="P727" s="31" t="n">
        <x:v>2.622636019784696</x:v>
      </x:c>
      <x:c r="Q727" s="40" t="n">
        <x:v>0.311318009892348</x:v>
      </x:c>
      <x:c r="R727" s="31" t="n">
        <x:v>0.11679750981334028</x:v>
      </x:c>
      <x:c r="S727" s="40"/>
      <x:c r="T727" s="40"/>
      <x:c r="U727" s="40" t="n">
        <x:v>1</x:v>
      </x:c>
      <x:c r="V727" s="40" t="n">
        <x:v>0.9915042187954611</x:v>
      </x:c>
      <x:c r="W727" s="31" t="n">
        <x:v>0</x:v>
      </x:c>
      <x:c r="X727" s="31" t="str"/>
      <x:c r="Y727" s="31" t="n">
        <x:v>0</x:v>
      </x:c>
      <x:c r="Z727" s="31" t="n">
        <x:v>0</x:v>
      </x:c>
      <x:c r="AA727" s="31" t="n">
        <x:v>0</x:v>
      </x:c>
      <x:c r="AB727" s="31" t="str"/>
      <x:c r="AC727" s="31" t="str"/>
    </x:row>
    <x:row r="728">
      <x:c r="A728" s="31" t="str">
        <x:v>d83bceacb49b2c32</x:v>
      </x:c>
      <x:c r="B728" s="31" t="str">
        <x:v>d83bceacb49b2c320b38980595ccf58cefe13089fa39b4af4fb1519e05b1cfbd</x:v>
      </x:c>
      <x:c r="C728" s="31" t="n">
        <x:v>9</x:v>
      </x:c>
      <x:c r="D728" s="31" t="n">
        <x:v>34606</x:v>
      </x:c>
      <x:c r="E728" s="31" t="str">
        <x:v>Brooklyn</x:v>
      </x:c>
      <x:c r="F728" s="31" t="str">
        <x:v>Kensington</x:v>
      </x:c>
      <x:c r="G728" s="31" t="n">
        <x:v>56037.33012256541</x:v>
      </x:c>
      <x:c r="H728" s="31" t="n">
        <x:v>12118</x:v>
      </x:c>
      <x:c r="I728" s="31" t="n">
        <x:v>4.835805172271337</x:v>
      </x:c>
      <x:c r="J728" s="40" t="n">
        <x:v>0.05908565769929031</x:v>
      </x:c>
      <x:c r="K728" s="40" t="n">
        <x:v>0.6138801782472355</x:v>
      </x:c>
      <x:c r="L728" s="40" t="n">
        <x:v>0.011800627166199043</x:v>
      </x:c>
      <x:c r="M728" s="31" t="n">
        <x:v>53.42987228140156</x:v>
      </x:c>
      <x:c r="N728" s="31" t="n">
        <x:v>135</x:v>
      </x:c>
      <x:c r="O728" s="31" t="n">
        <x:v>3.901057620065884</x:v>
      </x:c>
      <x:c r="P728" s="31" t="n">
        <x:v>3.046542333718435</x:v>
      </x:c>
      <x:c r="Q728" s="40" t="n">
        <x:v>0.023271166859217693</x:v>
      </x:c>
      <x:c r="R728" s="31" t="n">
        <x:v>0.13411187650642528</x:v>
      </x:c>
      <x:c r="S728" s="40"/>
      <x:c r="T728" s="40"/>
      <x:c r="U728" s="40" t="n">
        <x:v>1</x:v>
      </x:c>
      <x:c r="V728" s="40" t="n">
        <x:v>0.9950486879022941</x:v>
      </x:c>
      <x:c r="W728" s="31" t="n">
        <x:v>0</x:v>
      </x:c>
      <x:c r="X728" s="31" t="str"/>
      <x:c r="Y728" s="31" t="n">
        <x:v>0</x:v>
      </x:c>
      <x:c r="Z728" s="31" t="n">
        <x:v>0</x:v>
      </x:c>
      <x:c r="AA728" s="31" t="n">
        <x:v>0</x:v>
      </x:c>
      <x:c r="AB728" s="31" t="str"/>
      <x:c r="AC728" s="31" t="str"/>
    </x:row>
    <x:row r="729">
      <x:c r="A729" s="31" t="str">
        <x:v>d8526eed8949fe12</x:v>
      </x:c>
      <x:c r="B729" s="31" t="str">
        <x:v>d8526eed8949fe12681d08bb8774589c70f9f841054650c7329fef2ae25b3330</x:v>
      </x:c>
      <x:c r="C729" s="31" t="n">
        <x:v>9</x:v>
      </x:c>
      <x:c r="D729" s="31" t="n">
        <x:v>33727</x:v>
      </x:c>
      <x:c r="E729" s="31" t="str">
        <x:v>Queens</x:v>
      </x:c>
      <x:c r="F729" s="31" t="str">
        <x:v>Woodhaven</x:v>
      </x:c>
      <x:c r="G729" s="31" t="n">
        <x:v>52410.16798996499</x:v>
      </x:c>
      <x:c r="H729" s="31" t="n">
        <x:v>8728</x:v>
      </x:c>
      <x:c r="I729" s="31" t="n">
        <x:v>2.1904997707473632</x:v>
      </x:c>
      <x:c r="J729" s="40" t="n">
        <x:v>0</x:v>
      </x:c>
      <x:c r="K729" s="40" t="n">
        <x:v>0.12293767186067828</x:v>
      </x:c>
      <x:c r="L729" s="40" t="n">
        <x:v>0.00847846012832264</x:v>
      </x:c>
      <x:c r="M729" s="31" t="n">
        <x:v>27.42043446560078</x:v>
      </x:c>
      <x:c r="N729" s="31" t="n">
        <x:v>5</x:v>
      </x:c>
      <x:c r="O729" s="31" t="n">
        <x:v>0.14824917721706643</x:v>
      </x:c>
      <x:c r="P729" s="31" t="n">
        <x:v>2.816911090742438</x:v>
      </x:c>
      <x:c r="Q729" s="40" t="n">
        <x:v>0.40456003666361134</x:v>
      </x:c>
      <x:c r="R729" s="31" t="n">
        <x:v>0.21248597930555385</x:v>
      </x:c>
      <x:c r="S729" s="40"/>
      <x:c r="T729" s="40"/>
      <x:c r="U729" s="40" t="n">
        <x:v>1</x:v>
      </x:c>
      <x:c r="V729" s="40" t="n">
        <x:v>0.9993125572868927</x:v>
      </x:c>
      <x:c r="W729" s="31" t="n">
        <x:v>0</x:v>
      </x:c>
      <x:c r="X729" s="31" t="str"/>
      <x:c r="Y729" s="31" t="n">
        <x:v>0</x:v>
      </x:c>
      <x:c r="Z729" s="31" t="n">
        <x:v>0</x:v>
      </x:c>
      <x:c r="AA729" s="31" t="n">
        <x:v>0</x:v>
      </x:c>
      <x:c r="AB729" s="31" t="str"/>
      <x:c r="AC729" s="31" t="str"/>
    </x:row>
    <x:row r="730">
      <x:c r="A730" s="31" t="str">
        <x:v>d976623f49ee8001</x:v>
      </x:c>
      <x:c r="B730" s="31" t="str">
        <x:v>d976623f49ee8001afadea2422e56ab5994be4b321e1974d3b95df0ebbc68c22</x:v>
      </x:c>
      <x:c r="C730" s="31" t="n">
        <x:v>6</x:v>
      </x:c>
      <x:c r="D730" s="31" t="n">
        <x:v>37973</x:v>
      </x:c>
      <x:c r="E730" s="31" t="str">
        <x:v>Manhattan</x:v>
      </x:c>
      <x:c r="F730" s="31" t="str">
        <x:v>Harlem (North)</x:v>
      </x:c>
      <x:c r="G730" s="31" t="n">
        <x:v>112899.03523485782</x:v>
      </x:c>
      <x:c r="H730" s="31" t="n">
        <x:v>17828</x:v>
      </x:c>
      <x:c r="I730" s="31" t="n">
        <x:v>7.09709909101111</x:v>
      </x:c>
      <x:c r="J730" s="40" t="n">
        <x:v>0.1361341709670182</x:v>
      </x:c>
      <x:c r="K730" s="40" t="n">
        <x:v>0.8633049136190263</x:v>
      </x:c>
      <x:c r="L730" s="40" t="n">
        <x:v>0.10287188691945255</x:v>
      </x:c>
      <x:c r="M730" s="31" t="n">
        <x:v>78.16813726742436</x:v>
      </x:c>
      <x:c r="N730" s="31" t="n">
        <x:v>252</x:v>
      </x:c>
      <x:c r="O730" s="31" t="n">
        <x:v>6.636294209043268</x:v>
      </x:c>
      <x:c r="P730" s="31" t="n">
        <x:v>4.7474758806372</x:v>
      </x:c>
      <x:c r="Q730" s="40" t="n">
        <x:v>1</x:v>
      </x:c>
      <x:c r="R730" s="31" t="n">
        <x:v>0.10562659946500716</x:v>
      </x:c>
      <x:c r="S730" s="40"/>
      <x:c r="T730" s="40"/>
      <x:c r="U730" s="40" t="n">
        <x:v>1</x:v>
      </x:c>
      <x:c r="V730" s="40" t="n">
        <x:v>0.9971954229302221</x:v>
      </x:c>
      <x:c r="W730" s="31" t="n">
        <x:v>1</x:v>
      </x:c>
      <x:c r="X730" s="31" t="str"/>
      <x:c r="Y730" s="31" t="n">
        <x:v>0</x:v>
      </x:c>
      <x:c r="Z730" s="31" t="n">
        <x:v>1</x:v>
      </x:c>
      <x:c r="AA730" s="31" t="n">
        <x:v>0</x:v>
      </x:c>
      <x:c r="AB730" s="31" t="str"/>
      <x:c r="AC730" s="31" t="str"/>
    </x:row>
    <x:row r="731">
      <x:c r="A731" s="31" t="str">
        <x:v>d9c1b4d19d228a2e</x:v>
      </x:c>
      <x:c r="B731" s="31" t="str">
        <x:v>d9c1b4d19d228a2e8ba5974f46694f9e6c325a04692ca80ee3ba7cc59c8a215b</x:v>
      </x:c>
      <x:c r="C731" s="31" t="n">
        <x:v>9</x:v>
      </x:c>
      <x:c r="D731" s="31" t="n">
        <x:v>35818</x:v>
      </x:c>
      <x:c r="E731" s="31" t="str">
        <x:v>Brooklyn</x:v>
      </x:c>
      <x:c r="F731" s="31" t="str">
        <x:v>Gravesend (West)</x:v>
      </x:c>
      <x:c r="G731" s="31" t="n">
        <x:v>39530.25662419944</x:v>
      </x:c>
      <x:c r="H731" s="31" t="n">
        <x:v>12796</x:v>
      </x:c>
      <x:c r="I731" s="31" t="n">
        <x:v>5.404080882352941</x:v>
      </x:c>
      <x:c r="J731" s="40" t="n">
        <x:v>0.12832135042200687</x:v>
      </x:c>
      <x:c r="K731" s="40" t="n">
        <x:v>0.42943107221006566</x:v>
      </x:c>
      <x:c r="L731" s="40" t="n">
        <x:v>0.15129728040012505</x:v>
      </x:c>
      <x:c r="M731" s="31" t="n">
        <x:v>65.75106253336057</x:v>
      </x:c>
      <x:c r="N731" s="31" t="n">
        <x:v>88</x:v>
      </x:c>
      <x:c r="O731" s="31" t="n">
        <x:v>2.456865263275448</x:v>
      </x:c>
      <x:c r="P731" s="31" t="n">
        <x:v>4</x:v>
      </x:c>
      <x:c r="Q731" s="40" t="n">
        <x:v>1</x:v>
      </x:c>
      <x:c r="R731" s="31" t="n">
        <x:v>0.1700824258008013</x:v>
      </x:c>
      <x:c r="S731" s="40"/>
      <x:c r="T731" s="40"/>
      <x:c r="U731" s="40" t="n">
        <x:v>1</x:v>
      </x:c>
      <x:c r="V731" s="40" t="n">
        <x:v>0.9948421381681776</x:v>
      </x:c>
      <x:c r="W731" s="31" t="n">
        <x:v>0</x:v>
      </x:c>
      <x:c r="X731" s="31" t="str"/>
      <x:c r="Y731" s="31" t="n">
        <x:v>0</x:v>
      </x:c>
      <x:c r="Z731" s="31" t="n">
        <x:v>0</x:v>
      </x:c>
      <x:c r="AA731" s="31" t="n">
        <x:v>0</x:v>
      </x:c>
      <x:c r="AB731" s="31" t="str"/>
      <x:c r="AC731" s="31" t="str"/>
    </x:row>
    <x:row r="732">
      <x:c r="A732" s="31" t="str">
        <x:v>da00193dfd064b6b</x:v>
      </x:c>
      <x:c r="B732" s="31" t="str">
        <x:v>da00193dfd064b6b98ac538bdeb3e08ee3dcd453a0f65f3af75e8bf953515ea5</x:v>
      </x:c>
      <x:c r="C732" s="31" t="n">
        <x:v>10</x:v>
      </x:c>
      <x:c r="D732" s="31" t="n">
        <x:v>32010</x:v>
      </x:c>
      <x:c r="E732" s="31" t="str">
        <x:v>Brooklyn</x:v>
      </x:c>
      <x:c r="F732" s="31" t="str">
        <x:v>Mapleton-Midwood (West)</x:v>
      </x:c>
      <x:c r="G732" s="31" t="n">
        <x:v>49026.852048038156</x:v>
      </x:c>
      <x:c r="H732" s="31" t="n">
        <x:v>11017</x:v>
      </x:c>
      <x:c r="I732" s="31" t="n">
        <x:v>3.71409639647817</x:v>
      </x:c>
      <x:c r="J732" s="40" t="n">
        <x:v>0.019696832168466915</x:v>
      </x:c>
      <x:c r="K732" s="40" t="n">
        <x:v>0.5036761368793683</x:v>
      </x:c>
      <x:c r="L732" s="40" t="n">
        <x:v>0.007896886629754017</x:v>
      </x:c>
      <x:c r="M732" s="31" t="n">
        <x:v>42.45211172556337</x:v>
      </x:c>
      <x:c r="N732" s="31" t="n">
        <x:v>115</x:v>
      </x:c>
      <x:c r="O732" s="31" t="n">
        <x:v>3.59262730396751</x:v>
      </x:c>
      <x:c r="P732" s="31" t="n">
        <x:v>4</x:v>
      </x:c>
      <x:c r="Q732" s="40" t="n">
        <x:v>1</x:v>
      </x:c>
      <x:c r="R732" s="31" t="n">
        <x:v>0.19114848975029541</x:v>
      </x:c>
      <x:c r="S732" s="40"/>
      <x:c r="T732" s="40"/>
      <x:c r="U732" s="40" t="n">
        <x:v>1</x:v>
      </x:c>
      <x:c r="V732" s="40" t="n">
        <x:v>0.9932831079241172</x:v>
      </x:c>
      <x:c r="W732" s="31" t="n">
        <x:v>1</x:v>
      </x:c>
      <x:c r="X732" s="31" t="str"/>
      <x:c r="Y732" s="31" t="n">
        <x:v>0</x:v>
      </x:c>
      <x:c r="Z732" s="31" t="n">
        <x:v>1</x:v>
      </x:c>
      <x:c r="AA732" s="31" t="n">
        <x:v>0</x:v>
      </x:c>
      <x:c r="AB732" s="31" t="str"/>
      <x:c r="AC732" s="31" t="str"/>
    </x:row>
    <x:row r="733">
      <x:c r="A733" s="31" t="str">
        <x:v>daa244932ae12dce</x:v>
      </x:c>
      <x:c r="B733" s="31" t="str">
        <x:v>daa244932ae12dce777a7a77c9c737af7a07027275faf41f2bbc20b5cd83a85e</x:v>
      </x:c>
      <x:c r="C733" s="31" t="n">
        <x:v>11</x:v>
      </x:c>
      <x:c r="D733" s="31" t="n">
        <x:v>32823</x:v>
      </x:c>
      <x:c r="E733" s="31" t="str">
        <x:v>Queens</x:v>
      </x:c>
      <x:c r="F733" s="31" t="str">
        <x:v>East Flushing</x:v>
      </x:c>
      <x:c r="G733" s="31" t="n">
        <x:v>40786.91907368491</x:v>
      </x:c>
      <x:c r="H733" s="31" t="n">
        <x:v>11223</x:v>
      </x:c>
      <x:c r="I733" s="31" t="n">
        <x:v>3.9682100282100286</x:v>
      </x:c>
      <x:c r="J733" s="40" t="n">
        <x:v>0.008375657132673972</x:v>
      </x:c>
      <x:c r="K733" s="40" t="n">
        <x:v>0.6186402922569723</x:v>
      </x:c>
      <x:c r="L733" s="40" t="n">
        <x:v>0.08224182482402209</x:v>
      </x:c>
      <x:c r="M733" s="31" t="n">
        <x:v>44.65337022233306</x:v>
      </x:c>
      <x:c r="N733" s="31" t="n">
        <x:v>117</x:v>
      </x:c>
      <x:c r="O733" s="31" t="n">
        <x:v>3.564573622155196</x:v>
      </x:c>
      <x:c r="P733" s="31" t="n">
        <x:v>3.760046333422436</x:v>
      </x:c>
      <x:c r="Q733" s="40" t="n">
        <x:v>0.7600463334224361</x:v>
      </x:c>
      <x:c r="R733" s="31" t="n">
        <x:v>0.23660983604725322</x:v>
      </x:c>
      <x:c r="S733" s="40"/>
      <x:c r="T733" s="40"/>
      <x:c r="U733" s="40" t="n">
        <x:v>1</x:v>
      </x:c>
      <x:c r="V733" s="40" t="n">
        <x:v>0.98342689120556</x:v>
      </x:c>
      <x:c r="W733" s="31" t="n">
        <x:v>0</x:v>
      </x:c>
      <x:c r="X733" s="31" t="str"/>
      <x:c r="Y733" s="31" t="n">
        <x:v>0</x:v>
      </x:c>
      <x:c r="Z733" s="31" t="n">
        <x:v>0</x:v>
      </x:c>
      <x:c r="AA733" s="31" t="n">
        <x:v>0</x:v>
      </x:c>
      <x:c r="AB733" s="31" t="str"/>
      <x:c r="AC733" s="31" t="str"/>
    </x:row>
    <x:row r="734">
      <x:c r="A734" s="31" t="str">
        <x:v>db1941a5424bb3f5</x:v>
      </x:c>
      <x:c r="B734" s="31" t="str">
        <x:v>db1941a5424bb3f53e3e3c8d03257db3f2d8f915587db4c5744da7a09b56cf7b</x:v>
      </x:c>
      <x:c r="C734" s="31" t="n">
        <x:v>7</x:v>
      </x:c>
      <x:c r="D734" s="31" t="n">
        <x:v>34051</x:v>
      </x:c>
      <x:c r="E734" s="31" t="str">
        <x:v>Bronx</x:v>
      </x:c>
      <x:c r="F734" s="31" t="str">
        <x:v>Concourse-Concourse Village</x:v>
      </x:c>
      <x:c r="G734" s="31" t="n">
        <x:v>141838.96405860575</x:v>
      </x:c>
      <x:c r="H734" s="31" t="n">
        <x:v>12003</x:v>
      </x:c>
      <x:c r="I734" s="31" t="n">
        <x:v>6.126260101641257</x:v>
      </x:c>
      <x:c r="J734" s="40" t="n">
        <x:v>0.10414063150878947</x:v>
      </x:c>
      <x:c r="K734" s="40" t="n">
        <x:v>0.8650337415646089</x:v>
      </x:c>
      <x:c r="L734" s="40" t="n">
        <x:v>0.0110805631925352</x:v>
      </x:c>
      <x:c r="M734" s="31" t="n">
        <x:v>67.87044155890014</x:v>
      </x:c>
      <x:c r="N734" s="31" t="n">
        <x:v>143</x:v>
      </x:c>
      <x:c r="O734" s="31" t="n">
        <x:v>4.199582978473467</x:v>
      </x:c>
      <x:c r="P734" s="31" t="n">
        <x:v>5</x:v>
      </x:c>
      <x:c r="Q734" s="40" t="n">
        <x:v>1</x:v>
      </x:c>
      <x:c r="R734" s="31" t="n">
        <x:v>0.11991933539412913</x:v>
      </x:c>
      <x:c r="S734" s="40"/>
      <x:c r="T734" s="40"/>
      <x:c r="U734" s="40" t="n">
        <x:v>1</x:v>
      </x:c>
      <x:c r="V734" s="40" t="n">
        <x:v>0.9794218112138632</x:v>
      </x:c>
      <x:c r="W734" s="31" t="n">
        <x:v>1</x:v>
      </x:c>
      <x:c r="X734" s="31" t="str"/>
      <x:c r="Y734" s="31" t="n">
        <x:v>0</x:v>
      </x:c>
      <x:c r="Z734" s="31" t="n">
        <x:v>1</x:v>
      </x:c>
      <x:c r="AA734" s="31" t="n">
        <x:v>0</x:v>
      </x:c>
      <x:c r="AB734" s="31" t="str"/>
      <x:c r="AC734" s="31" t="str"/>
    </x:row>
    <x:row r="735">
      <x:c r="A735" s="31" t="str">
        <x:v>db870bd1bd585d4b</x:v>
      </x:c>
      <x:c r="B735" s="31" t="str">
        <x:v>db870bd1bd585d4b96a8476041e2b85ae2cda5965d2e9d3ac38d684f544b13d7</x:v>
      </x:c>
      <x:c r="C735" s="31" t="n">
        <x:v>7</x:v>
      </x:c>
      <x:c r="D735" s="31" t="n">
        <x:v>35561</x:v>
      </x:c>
      <x:c r="E735" s="31" t="str">
        <x:v>Queens</x:v>
      </x:c>
      <x:c r="F735" s="31" t="str">
        <x:v>Woodside</x:v>
      </x:c>
      <x:c r="G735" s="31" t="n">
        <x:v>54963.8900735001</x:v>
      </x:c>
      <x:c r="H735" s="31" t="n">
        <x:v>12115</x:v>
      </x:c>
      <x:c r="I735" s="31" t="n">
        <x:v>5.117726181607483</x:v>
      </x:c>
      <x:c r="J735" s="40" t="n">
        <x:v>0.13470903838217085</x:v>
      </x:c>
      <x:c r="K735" s="40" t="n">
        <x:v>0.5594717292612464</x:v>
      </x:c>
      <x:c r="L735" s="40" t="n">
        <x:v>0.12059430458109781</x:v>
      </x:c>
      <x:c r="M735" s="31" t="n">
        <x:v>53.710652159362645</x:v>
      </x:c>
      <x:c r="N735" s="31" t="n">
        <x:v>95</x:v>
      </x:c>
      <x:c r="O735" s="31" t="n">
        <x:v>2.6714659317791964</x:v>
      </x:c>
      <x:c r="P735" s="31" t="n">
        <x:v>3</x:v>
      </x:c>
      <x:c r="Q735" s="40" t="n">
        <x:v>0</x:v>
      </x:c>
      <x:c r="R735" s="31" t="n">
        <x:v>0.290021282216101</x:v>
      </x:c>
      <x:c r="S735" s="40"/>
      <x:c r="T735" s="40"/>
      <x:c r="U735" s="40" t="n">
        <x:v>1</x:v>
      </x:c>
      <x:c r="V735" s="40" t="n">
        <x:v>0.9855550969872059</x:v>
      </x:c>
      <x:c r="W735" s="31" t="n">
        <x:v>0</x:v>
      </x:c>
      <x:c r="X735" s="31" t="str"/>
      <x:c r="Y735" s="31" t="n">
        <x:v>0</x:v>
      </x:c>
      <x:c r="Z735" s="31" t="n">
        <x:v>0</x:v>
      </x:c>
      <x:c r="AA735" s="31" t="n">
        <x:v>0</x:v>
      </x:c>
      <x:c r="AB735" s="31" t="str"/>
      <x:c r="AC735" s="31" t="str"/>
    </x:row>
    <x:row r="736">
      <x:c r="A736" s="31" t="str">
        <x:v>dba0b54729aa8f8a</x:v>
      </x:c>
      <x:c r="B736" s="31" t="str">
        <x:v>dba0b54729aa8f8ab0715722cf493eec229a66113540790b87ec18d97663845c</x:v>
      </x:c>
      <x:c r="C736" s="31" t="n">
        <x:v>9</x:v>
      </x:c>
      <x:c r="D736" s="31" t="n">
        <x:v>34025</x:v>
      </x:c>
      <x:c r="E736" s="31" t="str">
        <x:v>Queens</x:v>
      </x:c>
      <x:c r="F736" s="31" t="str">
        <x:v>Jackson Heights</x:v>
      </x:c>
      <x:c r="G736" s="31" t="n">
        <x:v>48301.622000804244</x:v>
      </x:c>
      <x:c r="H736" s="31" t="n">
        <x:v>9737</x:v>
      </x:c>
      <x:c r="I736" s="31" t="n">
        <x:v>3.282704118311595</x:v>
      </x:c>
      <x:c r="J736" s="40" t="n">
        <x:v>0</x:v>
      </x:c>
      <x:c r="K736" s="40" t="n">
        <x:v>0.4045393858477971</x:v>
      </x:c>
      <x:c r="L736" s="40" t="n">
        <x:v>0.18855910444695492</x:v>
      </x:c>
      <x:c r="M736" s="31" t="n">
        <x:v>38.01814053093775</x:v>
      </x:c>
      <x:c r="N736" s="31" t="n">
        <x:v>47</x:v>
      </x:c>
      <x:c r="O736" s="31" t="n">
        <x:v>1.3813372520205731</x:v>
      </x:c>
      <x:c r="P736" s="31" t="n">
        <x:v>3.6238061004416147</x:v>
      </x:c>
      <x:c r="Q736" s="40" t="n">
        <x:v>0.6238061004416144</x:v>
      </x:c>
      <x:c r="R736" s="31" t="n">
        <x:v>0.2297698382342485</x:v>
      </x:c>
      <x:c r="S736" s="40"/>
      <x:c r="T736" s="40"/>
      <x:c r="U736" s="40" t="n">
        <x:v>1</x:v>
      </x:c>
      <x:c r="V736" s="40" t="n">
        <x:v>0.9966108657697442</x:v>
      </x:c>
      <x:c r="W736" s="31" t="n">
        <x:v>0</x:v>
      </x:c>
      <x:c r="X736" s="31" t="str"/>
      <x:c r="Y736" s="31" t="n">
        <x:v>0</x:v>
      </x:c>
      <x:c r="Z736" s="31" t="n">
        <x:v>0</x:v>
      </x:c>
      <x:c r="AA736" s="31" t="n">
        <x:v>0</x:v>
      </x:c>
      <x:c r="AB736" s="31" t="str"/>
      <x:c r="AC736" s="31" t="str"/>
    </x:row>
    <x:row r="737">
      <x:c r="A737" s="31" t="str">
        <x:v>dbe35cab3778f162</x:v>
      </x:c>
      <x:c r="B737" s="31" t="str">
        <x:v>dbe35cab3778f162401d690904a4c16de90c33c8c7eaacbe126f1b1ebae66754</x:v>
      </x:c>
      <x:c r="C737" s="31" t="n">
        <x:v>7</x:v>
      </x:c>
      <x:c r="D737" s="31" t="n">
        <x:v>32423</x:v>
      </x:c>
      <x:c r="E737" s="31" t="str">
        <x:v>Staten Island</x:v>
      </x:c>
      <x:c r="F737" s="31" t="str">
        <x:v>Great Kills-Eltingville</x:v>
      </x:c>
      <x:c r="G737" s="31" t="n">
        <x:v>15421.051199737964</x:v>
      </x:c>
      <x:c r="H737" s="31" t="n">
        <x:v>12177</x:v>
      </x:c>
      <x:c r="I737" s="31" t="n">
        <x:v>1.9621624533775381</x:v>
      </x:c>
      <x:c r="J737" s="40" t="n">
        <x:v>0</x:v>
      </x:c>
      <x:c r="K737" s="40" t="n">
        <x:v>0.06495852837316252</x:v>
      </x:c>
      <x:c r="L737" s="40" t="n">
        <x:v>0.04106101667077277</x:v>
      </x:c>
      <x:c r="M737" s="31" t="n">
        <x:v>25.700241850213796</x:v>
      </x:c>
      <x:c r="N737" s="31" t="n">
        <x:v>11</x:v>
      </x:c>
      <x:c r="O737" s="31" t="n">
        <x:v>0.3392653363353175</x:v>
      </x:c>
      <x:c r="P737" s="31" t="n">
        <x:v>1.4287591360762093</x:v>
      </x:c>
      <x:c r="Q737" s="40" t="n">
        <x:v>0</x:v>
      </x:c>
      <x:c r="R737" s="31" t="n">
        <x:v>0.3507402653588356</x:v>
      </x:c>
      <x:c r="S737" s="40"/>
      <x:c r="T737" s="40"/>
      <x:c r="U737" s="40" t="n">
        <x:v>1</x:v>
      </x:c>
      <x:c r="V737" s="40" t="n">
        <x:v>0.9948263118994827</x:v>
      </x:c>
      <x:c r="W737" s="31" t="n">
        <x:v>0</x:v>
      </x:c>
      <x:c r="X737" s="31" t="str"/>
      <x:c r="Y737" s="31" t="n">
        <x:v>0</x:v>
      </x:c>
      <x:c r="Z737" s="31" t="n">
        <x:v>0</x:v>
      </x:c>
      <x:c r="AA737" s="31" t="n">
        <x:v>0</x:v>
      </x:c>
      <x:c r="AB737" s="31" t="str"/>
      <x:c r="AC737" s="31" t="str"/>
    </x:row>
    <x:row r="738">
      <x:c r="A738" s="31" t="str">
        <x:v>dc349af9617a2ca2</x:v>
      </x:c>
      <x:c r="B738" s="31" t="str">
        <x:v>dc349af9617a2ca2bc90fd8dd174ad59364ab758a349ce1236390b90c73b968e</x:v>
      </x:c>
      <x:c r="C738" s="31" t="n">
        <x:v>8</x:v>
      </x:c>
      <x:c r="D738" s="31" t="n">
        <x:v>35327</x:v>
      </x:c>
      <x:c r="E738" s="31" t="str">
        <x:v>Staten Island</x:v>
      </x:c>
      <x:c r="F738" s="31" t="str">
        <x:v>Arden Heights-Rossville</x:v>
      </x:c>
      <x:c r="G738" s="31" t="n">
        <x:v>12732.538297898558</x:v>
      </x:c>
      <x:c r="H738" s="31" t="n">
        <x:v>13004</x:v>
      </x:c>
      <x:c r="I738" s="31" t="n">
        <x:v>2.0827975365665896</x:v>
      </x:c>
      <x:c r="J738" s="40" t="n">
        <x:v>0</x:v>
      </x:c>
      <x:c r="K738" s="40" t="n">
        <x:v>0.1734850815133805</x:v>
      </x:c>
      <x:c r="L738" s="40" t="n">
        <x:v>0.032297754537065515</x:v>
      </x:c>
      <x:c r="M738" s="31" t="n">
        <x:v>27.3996120020203</x:v>
      </x:c>
      <x:c r="N738" s="31" t="n">
        <x:v>4</x:v>
      </x:c>
      <x:c r="O738" s="31" t="n">
        <x:v>0.11322784272652646</x:v>
      </x:c>
      <x:c r="P738" s="31" t="n">
        <x:v>1</x:v>
      </x:c>
      <x:c r="Q738" s="40" t="n">
        <x:v>0</x:v>
      </x:c>
      <x:c r="R738" s="31" t="n">
        <x:v>0.3816265645419533</x:v>
      </x:c>
      <x:c r="S738" s="40"/>
      <x:c r="T738" s="40"/>
      <x:c r="U738" s="40" t="n">
        <x:v>1</x:v>
      </x:c>
      <x:c r="V738" s="40" t="n">
        <x:v>0.9923100584435558</x:v>
      </x:c>
      <x:c r="W738" s="31" t="n">
        <x:v>0</x:v>
      </x:c>
      <x:c r="X738" s="31" t="str"/>
      <x:c r="Y738" s="31" t="n">
        <x:v>0</x:v>
      </x:c>
      <x:c r="Z738" s="31" t="n">
        <x:v>0</x:v>
      </x:c>
      <x:c r="AA738" s="31" t="n">
        <x:v>0</x:v>
      </x:c>
      <x:c r="AB738" s="31" t="str"/>
      <x:c r="AC738" s="31" t="str"/>
    </x:row>
    <x:row r="739">
      <x:c r="A739" s="31" t="str">
        <x:v>dca1bca1568d0a3c</x:v>
      </x:c>
      <x:c r="B739" s="31" t="str">
        <x:v>dca1bca1568d0a3ccb414981dac9869f555f16f35fcc410f6797c86ded446bf0</x:v>
      </x:c>
      <x:c r="C739" s="31" t="n">
        <x:v>9</x:v>
      </x:c>
      <x:c r="D739" s="31" t="n">
        <x:v>34618</x:v>
      </x:c>
      <x:c r="E739" s="31" t="str">
        <x:v>Manhattan</x:v>
      </x:c>
      <x:c r="F739" s="31" t="str">
        <x:v>Greenwich Village</x:v>
      </x:c>
      <x:c r="G739" s="31" t="n">
        <x:v>69460.53222014304</x:v>
      </x:c>
      <x:c r="H739" s="31" t="n">
        <x:v>22450</x:v>
      </x:c>
      <x:c r="I739" s="31" t="n">
        <x:v>10.68316677076827</x:v>
      </x:c>
      <x:c r="J739" s="40" t="n">
        <x:v>0.40053452115812915</x:v>
      </x:c>
      <x:c r="K739" s="40" t="n">
        <x:v>0.5969265033407573</x:v>
      </x:c>
      <x:c r="L739" s="40" t="n">
        <x:v>0.14605790645879732</x:v>
      </x:c>
      <x:c r="M739" s="31" t="n">
        <x:v>117.14097459486979</x:v>
      </x:c>
      <x:c r="N739" s="31" t="n">
        <x:v>1014</x:v>
      </x:c>
      <x:c r="O739" s="31" t="n">
        <x:v>29.29112022647178</x:v>
      </x:c>
      <x:c r="P739" s="31" t="n">
        <x:v>1.9763028953229398</x:v>
      </x:c>
      <x:c r="Q739" s="40" t="n">
        <x:v>0</x:v>
      </x:c>
      <x:c r="R739" s="31" t="n">
        <x:v>0.185558964654154</x:v>
      </x:c>
      <x:c r="S739" s="40"/>
      <x:c r="T739" s="40"/>
      <x:c r="U739" s="40" t="n">
        <x:v>1</x:v>
      </x:c>
      <x:c r="V739" s="40" t="n">
        <x:v>0.9971046770601336</x:v>
      </x:c>
      <x:c r="W739" s="31" t="n">
        <x:v>1</x:v>
      </x:c>
      <x:c r="X739" s="31" t="str"/>
      <x:c r="Y739" s="31" t="n">
        <x:v>0</x:v>
      </x:c>
      <x:c r="Z739" s="31" t="n">
        <x:v>0</x:v>
      </x:c>
      <x:c r="AA739" s="31" t="n">
        <x:v>1</x:v>
      </x:c>
      <x:c r="AB739" s="31" t="str"/>
      <x:c r="AC739" s="31" t="str"/>
    </x:row>
    <x:row r="740">
      <x:c r="A740" s="31" t="str">
        <x:v>de4cf69483cf3cb4</x:v>
      </x:c>
      <x:c r="B740" s="31" t="str">
        <x:v>de4cf69483cf3cb43338030b18e0b1a247be1427ce643a7118116704b5af07ac</x:v>
      </x:c>
      <x:c r="C740" s="31" t="n">
        <x:v>6</x:v>
      </x:c>
      <x:c r="D740" s="31" t="n">
        <x:v>32953</x:v>
      </x:c>
      <x:c r="E740" s="31" t="str">
        <x:v>Bronx</x:v>
      </x:c>
      <x:c r="F740" s="31" t="str">
        <x:v>Claremont Village-Claremont (East)</x:v>
      </x:c>
      <x:c r="G740" s="31" t="n">
        <x:v>101656.94483770028</x:v>
      </x:c>
      <x:c r="H740" s="31" t="n">
        <x:v>11702</x:v>
      </x:c>
      <x:c r="I740" s="31" t="n">
        <x:v>10.367688558234992</x:v>
      </x:c>
      <x:c r="J740" s="40" t="n">
        <x:v>0.4237737138950607</x:v>
      </x:c>
      <x:c r="K740" s="40" t="n">
        <x:v>0.5192274824816271</x:v>
      </x:c>
      <x:c r="L740" s="40" t="n">
        <x:v>0.3413946333960007</x:v>
      </x:c>
      <x:c r="M740" s="31" t="n">
        <x:v>107.54739770762357</x:v>
      </x:c>
      <x:c r="N740" s="31" t="n">
        <x:v>134</x:v>
      </x:c>
      <x:c r="O740" s="31" t="n">
        <x:v>4.066397596576943</x:v>
      </x:c>
      <x:c r="P740" s="31" t="n">
        <x:v>5</x:v>
      </x:c>
      <x:c r="Q740" s="40" t="n">
        <x:v>1</x:v>
      </x:c>
      <x:c r="R740" s="31" t="n">
        <x:v>0.0709802011977178</x:v>
      </x:c>
      <x:c r="S740" s="40"/>
      <x:c r="T740" s="40"/>
      <x:c r="U740" s="40" t="n">
        <x:v>1</x:v>
      </x:c>
      <x:c r="V740" s="40" t="n">
        <x:v>0.9888907878995044</x:v>
      </x:c>
      <x:c r="W740" s="31" t="n">
        <x:v>1</x:v>
      </x:c>
      <x:c r="X740" s="31" t="str"/>
      <x:c r="Y740" s="31" t="n">
        <x:v>0</x:v>
      </x:c>
      <x:c r="Z740" s="31" t="n">
        <x:v>1</x:v>
      </x:c>
      <x:c r="AA740" s="31" t="n">
        <x:v>0</x:v>
      </x:c>
      <x:c r="AB740" s="31" t="str"/>
      <x:c r="AC740" s="31" t="str"/>
    </x:row>
    <x:row r="741">
      <x:c r="A741" s="31" t="str">
        <x:v>de7b57d9b7ca0dad</x:v>
      </x:c>
      <x:c r="B741" s="31" t="str">
        <x:v>de7b57d9b7ca0dad100422d1e11883599ce41b4faa79b292bb6fb3495725860b</x:v>
      </x:c>
      <x:c r="C741" s="31" t="n">
        <x:v>9</x:v>
      </x:c>
      <x:c r="D741" s="31" t="n">
        <x:v>35886</x:v>
      </x:c>
      <x:c r="E741" s="31" t="str">
        <x:v>Bronx</x:v>
      </x:c>
      <x:c r="F741" s="31" t="str">
        <x:v>Longwood</x:v>
      </x:c>
      <x:c r="G741" s="31" t="n">
        <x:v>46459.18731219288</x:v>
      </x:c>
      <x:c r="H741" s="31" t="n">
        <x:v>15077</x:v>
      </x:c>
      <x:c r="I741" s="31" t="n">
        <x:v>6.134186897239774</x:v>
      </x:c>
      <x:c r="J741" s="40" t="n">
        <x:v>0.12064734363600185</x:v>
      </x:c>
      <x:c r="K741" s="40" t="n">
        <x:v>0.7949857398686742</x:v>
      </x:c>
      <x:c r="L741" s="40" t="n">
        <x:v>0.06115274922066724</x:v>
      </x:c>
      <x:c r="M741" s="31" t="n">
        <x:v>65.66103770368474</x:v>
      </x:c>
      <x:c r="N741" s="31" t="n">
        <x:v>171</x:v>
      </x:c>
      <x:c r="O741" s="31" t="n">
        <x:v>4.765089449924762</x:v>
      </x:c>
      <x:c r="P741" s="31" t="n">
        <x:v>5</x:v>
      </x:c>
      <x:c r="Q741" s="40" t="n">
        <x:v>1</x:v>
      </x:c>
      <x:c r="R741" s="31" t="n">
        <x:v>0.07872052090138014</x:v>
      </x:c>
      <x:c r="S741" s="40"/>
      <x:c r="T741" s="40"/>
      <x:c r="U741" s="40" t="n">
        <x:v>1</x:v>
      </x:c>
      <x:c r="V741" s="40" t="n">
        <x:v>0.9770511374941965</x:v>
      </x:c>
      <x:c r="W741" s="31" t="n">
        <x:v>1</x:v>
      </x:c>
      <x:c r="X741" s="31" t="str"/>
      <x:c r="Y741" s="31" t="n">
        <x:v>0</x:v>
      </x:c>
      <x:c r="Z741" s="31" t="n">
        <x:v>1</x:v>
      </x:c>
      <x:c r="AA741" s="31" t="n">
        <x:v>0</x:v>
      </x:c>
      <x:c r="AB741" s="31" t="str"/>
      <x:c r="AC741" s="31" t="str"/>
    </x:row>
    <x:row r="742">
      <x:c r="A742" s="31" t="str">
        <x:v>dece6290daf3f7b0</x:v>
      </x:c>
      <x:c r="B742" s="31" t="str">
        <x:v>dece6290daf3f7b049b0e4598625ad349b5b1a77206f7e10027a049a838d3623</x:v>
      </x:c>
      <x:c r="C742" s="31" t="n">
        <x:v>9</x:v>
      </x:c>
      <x:c r="D742" s="31" t="n">
        <x:v>33204</x:v>
      </x:c>
      <x:c r="E742" s="31" t="str">
        <x:v>Staten Island</x:v>
      </x:c>
      <x:c r="F742" s="31" t="str">
        <x:v>Tompkinsville-Stapleton-Clifton-Fox Hills</x:v>
      </x:c>
      <x:c r="G742" s="31" t="n">
        <x:v>20348.01313396754</x:v>
      </x:c>
      <x:c r="H742" s="31" t="n">
        <x:v>11960</x:v>
      </x:c>
      <x:c r="I742" s="31" t="n">
        <x:v>4.1033311008790285</x:v>
      </x:c>
      <x:c r="J742" s="40" t="n">
        <x:v>0.041638795986622075</x:v>
      </x:c>
      <x:c r="K742" s="40" t="n">
        <x:v>0.4427257525083612</x:v>
      </x:c>
      <x:c r="L742" s="40" t="n">
        <x:v>0.27065217391304347</x:v>
      </x:c>
      <x:c r="M742" s="31" t="n">
        <x:v>47.993944521873786</x:v>
      </x:c>
      <x:c r="N742" s="31" t="n">
        <x:v>88</x:v>
      </x:c>
      <x:c r="O742" s="31" t="n">
        <x:v>2.650283098421877</x:v>
      </x:c>
      <x:c r="P742" s="31" t="n">
        <x:v>2.805351170568562</x:v>
      </x:c>
      <x:c r="Q742" s="40" t="n">
        <x:v>0</x:v>
      </x:c>
      <x:c r="R742" s="31" t="n">
        <x:v>0.2097587125612487</x:v>
      </x:c>
      <x:c r="S742" s="40"/>
      <x:c r="T742" s="40"/>
      <x:c r="U742" s="40" t="n">
        <x:v>1</x:v>
      </x:c>
      <x:c r="V742" s="40" t="n">
        <x:v>0.9857023411371237</x:v>
      </x:c>
      <x:c r="W742" s="31" t="n">
        <x:v>0</x:v>
      </x:c>
      <x:c r="X742" s="31" t="str"/>
      <x:c r="Y742" s="31" t="n">
        <x:v>0</x:v>
      </x:c>
      <x:c r="Z742" s="31" t="n">
        <x:v>0</x:v>
      </x:c>
      <x:c r="AA742" s="31" t="n">
        <x:v>0</x:v>
      </x:c>
      <x:c r="AB742" s="31" t="str"/>
      <x:c r="AC742" s="31" t="str"/>
    </x:row>
    <x:row r="743">
      <x:c r="A743" s="31" t="str">
        <x:v>df17953a25d45a89</x:v>
      </x:c>
      <x:c r="B743" s="31" t="str">
        <x:v>df17953a25d45a89977fd196f3a680f930e585f1427da0213cc023e09df73e8e</x:v>
      </x:c>
      <x:c r="C743" s="31" t="n">
        <x:v>8</x:v>
      </x:c>
      <x:c r="D743" s="31" t="n">
        <x:v>34136</x:v>
      </x:c>
      <x:c r="E743" s="31" t="str">
        <x:v>Brooklyn</x:v>
      </x:c>
      <x:c r="F743" s="31" t="str">
        <x:v>Ocean Hill</x:v>
      </x:c>
      <x:c r="G743" s="31" t="n">
        <x:v>59686.17049431582</x:v>
      </x:c>
      <x:c r="H743" s="31" t="n">
        <x:v>13885</x:v>
      </x:c>
      <x:c r="I743" s="31" t="n">
        <x:v>3.989803707742639</x:v>
      </x:c>
      <x:c r="J743" s="40" t="n">
        <x:v>0.016708678429960388</x:v>
      </x:c>
      <x:c r="K743" s="40" t="n">
        <x:v>0.8087864602088585</x:v>
      </x:c>
      <x:c r="L743" s="40" t="n">
        <x:v>0.04767734965790421</x:v>
      </x:c>
      <x:c r="M743" s="31" t="n">
        <x:v>45.73489528938123</x:v>
      </x:c>
      <x:c r="N743" s="31" t="n">
        <x:v>84</x:v>
      </x:c>
      <x:c r="O743" s="31" t="n">
        <x:v>2.4607452542770094</x:v>
      </x:c>
      <x:c r="P743" s="31" t="n">
        <x:v>5</x:v>
      </x:c>
      <x:c r="Q743" s="40" t="n">
        <x:v>1</x:v>
      </x:c>
      <x:c r="R743" s="31" t="n">
        <x:v>0.10947265865953662</x:v>
      </x:c>
      <x:c r="S743" s="40"/>
      <x:c r="T743" s="40"/>
      <x:c r="U743" s="40" t="n">
        <x:v>1</x:v>
      </x:c>
      <x:c r="V743" s="40" t="n">
        <x:v>0.9904933381346777</x:v>
      </x:c>
      <x:c r="W743" s="31" t="n">
        <x:v>1</x:v>
      </x:c>
      <x:c r="X743" s="31" t="str"/>
      <x:c r="Y743" s="31" t="n">
        <x:v>0</x:v>
      </x:c>
      <x:c r="Z743" s="31" t="n">
        <x:v>1</x:v>
      </x:c>
      <x:c r="AA743" s="31" t="n">
        <x:v>0</x:v>
      </x:c>
      <x:c r="AB743" s="31" t="str"/>
      <x:c r="AC743" s="31" t="str"/>
    </x:row>
    <x:row r="744">
      <x:c r="A744" s="31" t="str">
        <x:v>df903bf40145f99c</x:v>
      </x:c>
      <x:c r="B744" s="31" t="str">
        <x:v>df903bf40145f99c8f5ebd7dcb45c4611d8f2bc3b924ebe731c471accfaf0cbd</x:v>
      </x:c>
      <x:c r="C744" s="31" t="n">
        <x:v>6</x:v>
      </x:c>
      <x:c r="D744" s="31" t="n">
        <x:v>37086</x:v>
      </x:c>
      <x:c r="E744" s="31" t="str">
        <x:v>Manhattan</x:v>
      </x:c>
      <x:c r="F744" s="31" t="str">
        <x:v>East Village</x:v>
      </x:c>
      <x:c r="G744" s="31" t="n">
        <x:v>119101.07268663216</x:v>
      </x:c>
      <x:c r="H744" s="31" t="n">
        <x:v>21666</x:v>
      </x:c>
      <x:c r="I744" s="31" t="n">
        <x:v>7.912656589469791</x:v>
      </x:c>
      <x:c r="J744" s="40" t="n">
        <x:v>0.21752977014677374</x:v>
      </x:c>
      <x:c r="K744" s="40" t="n">
        <x:v>0.7794239822763778</x:v>
      </x:c>
      <x:c r="L744" s="40" t="n">
        <x:v>0.022569925228468568</x:v>
      </x:c>
      <x:c r="M744" s="31" t="n">
        <x:v>84.0149122075873</x:v>
      </x:c>
      <x:c r="N744" s="31" t="n">
        <x:v>305</x:v>
      </x:c>
      <x:c r="O744" s="31" t="n">
        <x:v>8.2241277031764</x:v>
      </x:c>
      <x:c r="P744" s="31" t="n">
        <x:v>2</x:v>
      </x:c>
      <x:c r="Q744" s="40" t="n">
        <x:v>0</x:v>
      </x:c>
      <x:c r="R744" s="31" t="n">
        <x:v>0.11082329951398162</x:v>
      </x:c>
      <x:c r="S744" s="40"/>
      <x:c r="T744" s="40"/>
      <x:c r="U744" s="40" t="n">
        <x:v>1</x:v>
      </x:c>
      <x:c r="V744" s="40" t="n">
        <x:v>0.9913228099326133</x:v>
      </x:c>
      <x:c r="W744" s="31" t="n">
        <x:v>0</x:v>
      </x:c>
      <x:c r="X744" s="31" t="str"/>
      <x:c r="Y744" s="31" t="n">
        <x:v>0</x:v>
      </x:c>
      <x:c r="Z744" s="31" t="n">
        <x:v>0</x:v>
      </x:c>
      <x:c r="AA744" s="31" t="n">
        <x:v>0</x:v>
      </x:c>
      <x:c r="AB744" s="31" t="str"/>
      <x:c r="AC744" s="31" t="str"/>
    </x:row>
    <x:row r="745">
      <x:c r="A745" s="31" t="str">
        <x:v>e08a95698308fbeb</x:v>
      </x:c>
      <x:c r="B745" s="31" t="str">
        <x:v>e08a95698308fbeb9660666c27583677a01472c9f2ea516f214113d42b645374</x:v>
      </x:c>
      <x:c r="C745" s="31" t="n">
        <x:v>10</x:v>
      </x:c>
      <x:c r="D745" s="31" t="n">
        <x:v>35540</x:v>
      </x:c>
      <x:c r="E745" s="31" t="str">
        <x:v>Manhattan</x:v>
      </x:c>
      <x:c r="F745" s="31" t="str">
        <x:v>Midtown-Times Square</x:v>
      </x:c>
      <x:c r="G745" s="31" t="n">
        <x:v>54493.747848502644</x:v>
      </x:c>
      <x:c r="H745" s="31" t="n">
        <x:v>27664</x:v>
      </x:c>
      <x:c r="I745" s="31" t="n">
        <x:v>24.0154356816368</x:v>
      </x:c>
      <x:c r="J745" s="40" t="n">
        <x:v>0.7278412377096588</x:v>
      </x:c>
      <x:c r="K745" s="40" t="n">
        <x:v>0.2681463273568537</x:v>
      </x:c>
      <x:c r="L745" s="40" t="n">
        <x:v>0.018941584731058416</x:v>
      </x:c>
      <x:c r="M745" s="31" t="n">
        <x:v>259.62042157012024</x:v>
      </x:c>
      <x:c r="N745" s="31" t="n">
        <x:v>792</x:v>
      </x:c>
      <x:c r="O745" s="31" t="n">
        <x:v>22.28474957794035</x:v>
      </x:c>
      <x:c r="P745" s="31" t="n">
        <x:v>1.9978672643146327</x:v>
      </x:c>
      <x:c r="Q745" s="40" t="n">
        <x:v>0</x:v>
      </x:c>
      <x:c r="R745" s="31" t="n">
        <x:v>0.14266586495580064</x:v>
      </x:c>
      <x:c r="S745" s="40"/>
      <x:c r="T745" s="40"/>
      <x:c r="U745" s="40" t="n">
        <x:v>1</x:v>
      </x:c>
      <x:c r="V745" s="40" t="n">
        <x:v>0.9801908617698092</x:v>
      </x:c>
      <x:c r="W745" s="31" t="n">
        <x:v>0</x:v>
      </x:c>
      <x:c r="X745" s="31" t="str"/>
      <x:c r="Y745" s="31" t="n">
        <x:v>0</x:v>
      </x:c>
      <x:c r="Z745" s="31" t="n">
        <x:v>0</x:v>
      </x:c>
      <x:c r="AA745" s="31" t="n">
        <x:v>0</x:v>
      </x:c>
      <x:c r="AB745" s="31" t="str"/>
      <x:c r="AC745" s="31" t="str"/>
    </x:row>
    <x:row r="746">
      <x:c r="A746" s="31" t="str">
        <x:v>e08afe0cbaa927de</x:v>
      </x:c>
      <x:c r="B746" s="31" t="str">
        <x:v>e08afe0cbaa927de5b0bfec67adcd62de25289efb9aa70e2f93e92bac5de175c</x:v>
      </x:c>
      <x:c r="C746" s="31" t="n">
        <x:v>11</x:v>
      </x:c>
      <x:c r="D746" s="31" t="n">
        <x:v>33158</x:v>
      </x:c>
      <x:c r="E746" s="31" t="str">
        <x:v>Queens</x:v>
      </x:c>
      <x:c r="F746" s="31" t="str">
        <x:v>South Jamaica</x:v>
      </x:c>
      <x:c r="G746" s="31" t="n">
        <x:v>34211.26588370957</x:v>
      </x:c>
      <x:c r="H746" s="31" t="n">
        <x:v>9015</x:v>
      </x:c>
      <x:c r="I746" s="31" t="n">
        <x:v>2.7451843600311907</x:v>
      </x:c>
      <x:c r="J746" s="40" t="n">
        <x:v>0</x:v>
      </x:c>
      <x:c r="K746" s="40" t="n">
        <x:v>0.22462562396006655</x:v>
      </x:c>
      <x:c r="L746" s="40" t="n">
        <x:v>0.13544093178036606</x:v>
      </x:c>
      <x:c r="M746" s="31" t="n">
        <x:v>32.06608365252323</x:v>
      </x:c>
      <x:c r="N746" s="31" t="n">
        <x:v>30</x:v>
      </x:c>
      <x:c r="O746" s="31" t="n">
        <x:v>0.9047590325110079</x:v>
      </x:c>
      <x:c r="P746" s="31" t="n">
        <x:v>4.688297282307266</x:v>
      </x:c>
      <x:c r="Q746" s="40" t="n">
        <x:v>1</x:v>
      </x:c>
      <x:c r="R746" s="31" t="n">
        <x:v>0.1672921603740657</x:v>
      </x:c>
      <x:c r="S746" s="40"/>
      <x:c r="T746" s="40"/>
      <x:c r="U746" s="40" t="n">
        <x:v>1</x:v>
      </x:c>
      <x:c r="V746" s="40" t="n">
        <x:v>0.990904048807543</x:v>
      </x:c>
      <x:c r="W746" s="31" t="n">
        <x:v>0</x:v>
      </x:c>
      <x:c r="X746" s="31" t="str"/>
      <x:c r="Y746" s="31" t="n">
        <x:v>0</x:v>
      </x:c>
      <x:c r="Z746" s="31" t="n">
        <x:v>0</x:v>
      </x:c>
      <x:c r="AA746" s="31" t="n">
        <x:v>0</x:v>
      </x:c>
      <x:c r="AB746" s="31" t="str"/>
      <x:c r="AC746" s="31" t="str"/>
    </x:row>
    <x:row r="747">
      <x:c r="A747" s="31" t="str">
        <x:v>e0eb5d40c2b7fd39</x:v>
      </x:c>
      <x:c r="B747" s="31" t="str">
        <x:v>e0eb5d40c2b7fd39fe0df7986e5c23c0c6e77660305d239941124a53ff8e1d00</x:v>
      </x:c>
      <x:c r="C747" s="31" t="n">
        <x:v>9</x:v>
      </x:c>
      <x:c r="D747" s="31" t="n">
        <x:v>32768</x:v>
      </x:c>
      <x:c r="E747" s="31" t="str">
        <x:v>Queens</x:v>
      </x:c>
      <x:c r="F747" s="31" t="str">
        <x:v>Astoria (Central)</x:v>
      </x:c>
      <x:c r="G747" s="31" t="n">
        <x:v>57032.78778367157</x:v>
      </x:c>
      <x:c r="H747" s="31" t="n">
        <x:v>18012</x:v>
      </x:c>
      <x:c r="I747" s="31" t="n">
        <x:v>5.924911199095022</x:v>
      </x:c>
      <x:c r="J747" s="40" t="n">
        <x:v>0.13113479902287364</x:v>
      </x:c>
      <x:c r="K747" s="40" t="n">
        <x:v>0.7327892516100377</x:v>
      </x:c>
      <x:c r="L747" s="40" t="n">
        <x:v>0.07961359093937376</x:v>
      </x:c>
      <x:c r="M747" s="31" t="n">
        <x:v>61.8891656767308</x:v>
      </x:c>
      <x:c r="N747" s="31" t="n">
        <x:v>352</x:v>
      </x:c>
      <x:c r="O747" s="31" t="n">
        <x:v>10.7421875</x:v>
      </x:c>
      <x:c r="P747" s="31" t="n">
        <x:v>3</x:v>
      </x:c>
      <x:c r="Q747" s="40" t="n">
        <x:v>0</x:v>
      </x:c>
      <x:c r="R747" s="31" t="n">
        <x:v>0.10143423931598729</x:v>
      </x:c>
      <x:c r="S747" s="40"/>
      <x:c r="T747" s="40"/>
      <x:c r="U747" s="40" t="n">
        <x:v>1</x:v>
      </x:c>
      <x:c r="V747" s="40" t="n">
        <x:v>0.9550854985565179</x:v>
      </x:c>
      <x:c r="W747" s="31" t="n">
        <x:v>0</x:v>
      </x:c>
      <x:c r="X747" s="31" t="str"/>
      <x:c r="Y747" s="31" t="n">
        <x:v>0</x:v>
      </x:c>
      <x:c r="Z747" s="31" t="n">
        <x:v>0</x:v>
      </x:c>
      <x:c r="AA747" s="31" t="n">
        <x:v>0</x:v>
      </x:c>
      <x:c r="AB747" s="31" t="str"/>
      <x:c r="AC747" s="31" t="str"/>
    </x:row>
    <x:row r="748">
      <x:c r="A748" s="31" t="str">
        <x:v>e11b7decc66753ed</x:v>
      </x:c>
      <x:c r="B748" s="31" t="str">
        <x:v>e11b7decc66753edcca274ce87c43ce406bdf6278aad7a14acb487861713f122</x:v>
      </x:c>
      <x:c r="C748" s="31" t="n">
        <x:v>8</x:v>
      </x:c>
      <x:c r="D748" s="31" t="n">
        <x:v>32298</x:v>
      </x:c>
      <x:c r="E748" s="31" t="str">
        <x:v>Bronx</x:v>
      </x:c>
      <x:c r="F748" s="31" t="str">
        <x:v>Tremont</x:v>
      </x:c>
      <x:c r="G748" s="31" t="n">
        <x:v>70435.9055507613</x:v>
      </x:c>
      <x:c r="H748" s="31" t="n">
        <x:v>14525</x:v>
      </x:c>
      <x:c r="I748" s="31" t="n">
        <x:v>6.8214671760045285</x:v>
      </x:c>
      <x:c r="J748" s="40" t="n">
        <x:v>0.17845094664371772</x:v>
      </x:c>
      <x:c r="K748" s="40" t="n">
        <x:v>0.7357659208261618</x:v>
      </x:c>
      <x:c r="L748" s="40" t="n">
        <x:v>0.009225473321858864</x:v>
      </x:c>
      <x:c r="M748" s="31" t="n">
        <x:v>72.92386438364902</x:v>
      </x:c>
      <x:c r="N748" s="31" t="n">
        <x:v>173</x:v>
      </x:c>
      <x:c r="O748" s="31" t="n">
        <x:v>5.356368815406526</x:v>
      </x:c>
      <x:c r="P748" s="31" t="n">
        <x:v>5</x:v>
      </x:c>
      <x:c r="Q748" s="40" t="n">
        <x:v>1</x:v>
      </x:c>
      <x:c r="R748" s="31" t="n">
        <x:v>0.06325834888715388</x:v>
      </x:c>
      <x:c r="S748" s="40"/>
      <x:c r="T748" s="40"/>
      <x:c r="U748" s="40" t="n">
        <x:v>1</x:v>
      </x:c>
      <x:c r="V748" s="40" t="n">
        <x:v>0.958829604130809</x:v>
      </x:c>
      <x:c r="W748" s="31" t="n">
        <x:v>1</x:v>
      </x:c>
      <x:c r="X748" s="31" t="str"/>
      <x:c r="Y748" s="31" t="n">
        <x:v>0</x:v>
      </x:c>
      <x:c r="Z748" s="31" t="n">
        <x:v>1</x:v>
      </x:c>
      <x:c r="AA748" s="31" t="n">
        <x:v>0</x:v>
      </x:c>
      <x:c r="AB748" s="31" t="str"/>
      <x:c r="AC748" s="31" t="str"/>
    </x:row>
    <x:row r="749">
      <x:c r="A749" s="31" t="str">
        <x:v>e11d64c8c3ee88c1</x:v>
      </x:c>
      <x:c r="B749" s="31" t="str">
        <x:v>e11d64c8c3ee88c181ffbc8633557f4b764c00febbbc25fdbb2b8ca7bacec89f</x:v>
      </x:c>
      <x:c r="C749" s="31" t="n">
        <x:v>9</x:v>
      </x:c>
      <x:c r="D749" s="31" t="n">
        <x:v>35704</x:v>
      </x:c>
      <x:c r="E749" s="31" t="str">
        <x:v>Brooklyn</x:v>
      </x:c>
      <x:c r="F749" s="31" t="str">
        <x:v>Brighton Beach</x:v>
      </x:c>
      <x:c r="G749" s="31" t="n">
        <x:v>64782.14277054427</x:v>
      </x:c>
      <x:c r="H749" s="31" t="n">
        <x:v>16981</x:v>
      </x:c>
      <x:c r="I749" s="31" t="n">
        <x:v>13.75017789373814</x:v>
      </x:c>
      <x:c r="J749" s="40" t="n">
        <x:v>0.5141628879335728</x:v>
      </x:c>
      <x:c r="K749" s="40" t="n">
        <x:v>0.34544490901595903</x:v>
      </x:c>
      <x:c r="L749" s="40" t="n">
        <x:v>0.19621930392791945</x:v>
      </x:c>
      <x:c r="M749" s="31" t="n">
        <x:v>124.86986541415406</x:v>
      </x:c>
      <x:c r="N749" s="31" t="n">
        <x:v>287</x:v>
      </x:c>
      <x:c r="O749" s="31" t="n">
        <x:v>8.038315034730003</x:v>
      </x:c>
      <x:c r="P749" s="31" t="n">
        <x:v>3.815146340027089</x:v>
      </x:c>
      <x:c r="Q749" s="40" t="n">
        <x:v>0.40757317001354454</x:v>
      </x:c>
      <x:c r="R749" s="31" t="n">
        <x:v>0.12016885958515972</x:v>
      </x:c>
      <x:c r="S749" s="40"/>
      <x:c r="T749" s="40"/>
      <x:c r="U749" s="40" t="n">
        <x:v>1</x:v>
      </x:c>
      <x:c r="V749" s="40" t="n">
        <x:v>0.9655497320534715</x:v>
      </x:c>
      <x:c r="W749" s="31" t="n">
        <x:v>0</x:v>
      </x:c>
      <x:c r="X749" s="31" t="str"/>
      <x:c r="Y749" s="31" t="n">
        <x:v>0</x:v>
      </x:c>
      <x:c r="Z749" s="31" t="n">
        <x:v>0</x:v>
      </x:c>
      <x:c r="AA749" s="31" t="n">
        <x:v>0</x:v>
      </x:c>
      <x:c r="AB749" s="31" t="str"/>
      <x:c r="AC749" s="31" t="str"/>
    </x:row>
    <x:row r="750">
      <x:c r="A750" s="31" t="str">
        <x:v>e12c808bd30e509f</x:v>
      </x:c>
      <x:c r="B750" s="31" t="str">
        <x:v>e12c808bd30e509f60555c034572120499ce7d48619f339f105e7966c4ce4222</x:v>
      </x:c>
      <x:c r="C750" s="31" t="n">
        <x:v>15</x:v>
      </x:c>
      <x:c r="D750" s="31" t="n">
        <x:v>32862</x:v>
      </x:c>
      <x:c r="E750" s="31" t="str">
        <x:v>Brooklyn</x:v>
      </x:c>
      <x:c r="F750" s="31" t="str">
        <x:v>East Flatbush-Farragut</x:v>
      </x:c>
      <x:c r="G750" s="31" t="n">
        <x:v>27932.99100292726</x:v>
      </x:c>
      <x:c r="H750" s="31" t="n">
        <x:v>10585</x:v>
      </x:c>
      <x:c r="I750" s="31" t="n">
        <x:v>2.5499480347694634</x:v>
      </x:c>
      <x:c r="J750" s="40" t="n">
        <x:v>0</x:v>
      </x:c>
      <x:c r="K750" s="40" t="n">
        <x:v>0.2449692961738309</x:v>
      </x:c>
      <x:c r="L750" s="40" t="n">
        <x:v>0.1403873405762872</x:v>
      </x:c>
      <x:c r="M750" s="31" t="n">
        <x:v>31.062541633124585</x:v>
      </x:c>
      <x:c r="N750" s="31" t="n">
        <x:v>55</x:v>
      </x:c>
      <x:c r="O750" s="31" t="n">
        <x:v>1.6736656320370031</x:v>
      </x:c>
      <x:c r="P750" s="31" t="n">
        <x:v>3.8762399622106756</x:v>
      </x:c>
      <x:c r="Q750" s="40" t="n">
        <x:v>0.6254133207368918</x:v>
      </x:c>
      <x:c r="R750" s="31" t="n">
        <x:v>0.1783924733370355</x:v>
      </x:c>
      <x:c r="S750" s="40"/>
      <x:c r="T750" s="40"/>
      <x:c r="U750" s="40" t="n">
        <x:v>1</x:v>
      </x:c>
      <x:c r="V750" s="40" t="n">
        <x:v>0.9986773736419462</x:v>
      </x:c>
      <x:c r="W750" s="31" t="n">
        <x:v>0</x:v>
      </x:c>
      <x:c r="X750" s="31" t="str"/>
      <x:c r="Y750" s="31" t="n">
        <x:v>0</x:v>
      </x:c>
      <x:c r="Z750" s="31" t="n">
        <x:v>0</x:v>
      </x:c>
      <x:c r="AA750" s="31" t="n">
        <x:v>0</x:v>
      </x:c>
      <x:c r="AB750" s="31" t="str"/>
      <x:c r="AC750" s="31" t="str"/>
    </x:row>
    <x:row r="751">
      <x:c r="A751" s="31" t="str">
        <x:v>e173552fd586e4c5</x:v>
      </x:c>
      <x:c r="B751" s="31" t="str">
        <x:v>e173552fd586e4c5cfb24c6752a56879702fca16008f737bb9ee219088fe9b45</x:v>
      </x:c>
      <x:c r="C751" s="31" t="n">
        <x:v>6</x:v>
      </x:c>
      <x:c r="D751" s="31" t="n">
        <x:v>32531</x:v>
      </x:c>
      <x:c r="E751" s="31" t="str">
        <x:v>Queens</x:v>
      </x:c>
      <x:c r="F751" s="31" t="str">
        <x:v>Jackson Heights</x:v>
      </x:c>
      <x:c r="G751" s="31" t="n">
        <x:v>102669.59781101582</x:v>
      </x:c>
      <x:c r="H751" s="31" t="n">
        <x:v>11390</x:v>
      </x:c>
      <x:c r="I751" s="31" t="n">
        <x:v>5.274385425812116</x:v>
      </x:c>
      <x:c r="J751" s="40" t="n">
        <x:v>0.03845478489903424</x:v>
      </x:c>
      <x:c r="K751" s="40" t="n">
        <x:v>0.8328358208955224</x:v>
      </x:c>
      <x:c r="L751" s="40" t="n">
        <x:v>0.20087796312554873</x:v>
      </x:c>
      <x:c r="M751" s="31" t="n">
        <x:v>58.96238645749427</x:v>
      </x:c>
      <x:c r="N751" s="31" t="n">
        <x:v>159</x:v>
      </x:c>
      <x:c r="O751" s="31" t="n">
        <x:v>4.887645630321847</x:v>
      </x:c>
      <x:c r="P751" s="31" t="n">
        <x:v>3.0036874451273046</x:v>
      </x:c>
      <x:c r="Q751" s="40" t="n">
        <x:v>0.003687445127304653</x:v>
      </x:c>
      <x:c r="R751" s="31" t="n">
        <x:v>0.1728643154615932</x:v>
      </x:c>
      <x:c r="S751" s="40"/>
      <x:c r="T751" s="40"/>
      <x:c r="U751" s="40" t="n">
        <x:v>1</x:v>
      </x:c>
      <x:c r="V751" s="40" t="n">
        <x:v>0.9964881474978051</x:v>
      </x:c>
      <x:c r="W751" s="31" t="n">
        <x:v>0</x:v>
      </x:c>
      <x:c r="X751" s="31" t="str"/>
      <x:c r="Y751" s="31" t="n">
        <x:v>0</x:v>
      </x:c>
      <x:c r="Z751" s="31" t="n">
        <x:v>0</x:v>
      </x:c>
      <x:c r="AA751" s="31" t="n">
        <x:v>0</x:v>
      </x:c>
      <x:c r="AB751" s="31" t="str"/>
      <x:c r="AC751" s="31" t="str"/>
    </x:row>
    <x:row r="752">
      <x:c r="A752" s="31" t="str">
        <x:v>e17d4a1910bfb9cd</x:v>
      </x:c>
      <x:c r="B752" s="31" t="str">
        <x:v>e17d4a1910bfb9cda0e62c00302effb3eaf29d15bc96c0435181fadd05b439f9</x:v>
      </x:c>
      <x:c r="C752" s="31" t="n">
        <x:v>8</x:v>
      </x:c>
      <x:c r="D752" s="31" t="n">
        <x:v>35318</x:v>
      </x:c>
      <x:c r="E752" s="31" t="str">
        <x:v>Brooklyn</x:v>
      </x:c>
      <x:c r="F752" s="31" t="str">
        <x:v>Bushwick (West)</x:v>
      </x:c>
      <x:c r="G752" s="31" t="n">
        <x:v>72573.88988836457</x:v>
      </x:c>
      <x:c r="H752" s="31" t="n">
        <x:v>13802</x:v>
      </x:c>
      <x:c r="I752" s="31" t="n">
        <x:v>3.675749763996805</x:v>
      </x:c>
      <x:c r="J752" s="40" t="n">
        <x:v>0.051152006955513696</x:v>
      </x:c>
      <x:c r="K752" s="40" t="n">
        <x:v>0.8522677872772062</x:v>
      </x:c>
      <x:c r="L752" s="40" t="n">
        <x:v>0.016881611360672365</x:v>
      </x:c>
      <x:c r="M752" s="31" t="n">
        <x:v>42.62340112702667</x:v>
      </x:c>
      <x:c r="N752" s="31" t="n">
        <x:v>77</x:v>
      </x:c>
      <x:c r="O752" s="31" t="n">
        <x:v>2.1801914038167505</x:v>
      </x:c>
      <x:c r="P752" s="31" t="n">
        <x:v>3.704825387624982</x:v>
      </x:c>
      <x:c r="Q752" s="40" t="n">
        <x:v>0.9016084625416606</x:v>
      </x:c>
      <x:c r="R752" s="31" t="n">
        <x:v>0.14439138219964784</x:v>
      </x:c>
      <x:c r="S752" s="40"/>
      <x:c r="T752" s="40"/>
      <x:c r="U752" s="40" t="n">
        <x:v>1</x:v>
      </x:c>
      <x:c r="V752" s="40" t="n">
        <x:v>0.9915229676858426</x:v>
      </x:c>
      <x:c r="W752" s="31" t="n">
        <x:v>0</x:v>
      </x:c>
      <x:c r="X752" s="31" t="str"/>
      <x:c r="Y752" s="31" t="n">
        <x:v>0</x:v>
      </x:c>
      <x:c r="Z752" s="31" t="n">
        <x:v>0</x:v>
      </x:c>
      <x:c r="AA752" s="31" t="n">
        <x:v>0</x:v>
      </x:c>
      <x:c r="AB752" s="31" t="str"/>
      <x:c r="AC752" s="31" t="str"/>
    </x:row>
    <x:row r="753">
      <x:c r="A753" s="31" t="str">
        <x:v>e1cd2468d4aee0c1</x:v>
      </x:c>
      <x:c r="B753" s="31" t="str">
        <x:v>e1cd2468d4aee0c104c80aa9a42ac31ad0505fa62609d3519ff87a057d1ffe38</x:v>
      </x:c>
      <x:c r="C753" s="31" t="n">
        <x:v>8</x:v>
      </x:c>
      <x:c r="D753" s="31" t="n">
        <x:v>37251</x:v>
      </x:c>
      <x:c r="E753" s="31" t="str">
        <x:v>Bronx</x:v>
      </x:c>
      <x:c r="F753" s="31" t="str">
        <x:v>Longwood</x:v>
      </x:c>
      <x:c r="G753" s="31" t="n">
        <x:v>70276.74950627763</x:v>
      </x:c>
      <x:c r="H753" s="31" t="n">
        <x:v>14722</x:v>
      </x:c>
      <x:c r="I753" s="31" t="n">
        <x:v>6.848716027518561</x:v>
      </x:c>
      <x:c r="J753" s="40" t="n">
        <x:v>0.21165602499660371</x:v>
      </x:c>
      <x:c r="K753" s="40" t="n">
        <x:v>0.7377394375764162</x:v>
      </x:c>
      <x:c r="L753" s="40" t="n">
        <x:v>0.22687134900149436</x:v>
      </x:c>
      <x:c r="M753" s="31" t="n">
        <x:v>75.0527159442647</x:v>
      </x:c>
      <x:c r="N753" s="31" t="n">
        <x:v>184</x:v>
      </x:c>
      <x:c r="O753" s="31" t="n">
        <x:v>4.939464712356715</x:v>
      </x:c>
      <x:c r="P753" s="31" t="n">
        <x:v>5</x:v>
      </x:c>
      <x:c r="Q753" s="40" t="n">
        <x:v>1</x:v>
      </x:c>
      <x:c r="R753" s="31" t="n">
        <x:v>0.06964872362599518</x:v>
      </x:c>
      <x:c r="S753" s="40"/>
      <x:c r="T753" s="40"/>
      <x:c r="U753" s="40" t="n">
        <x:v>1</x:v>
      </x:c>
      <x:c r="V753" s="40" t="n">
        <x:v>0.9889281347642983</x:v>
      </x:c>
      <x:c r="W753" s="31" t="n">
        <x:v>1</x:v>
      </x:c>
      <x:c r="X753" s="31" t="str"/>
      <x:c r="Y753" s="31" t="n">
        <x:v>0</x:v>
      </x:c>
      <x:c r="Z753" s="31" t="n">
        <x:v>1</x:v>
      </x:c>
      <x:c r="AA753" s="31" t="n">
        <x:v>0</x:v>
      </x:c>
      <x:c r="AB753" s="31" t="str"/>
      <x:c r="AC753" s="31" t="str"/>
    </x:row>
    <x:row r="754">
      <x:c r="A754" s="31" t="str">
        <x:v>e260eb85b22446f9</x:v>
      </x:c>
      <x:c r="B754" s="31" t="str">
        <x:v>e260eb85b22446f9a4d0a1d7decffd24c2c47ac16ce112925e79923fc69f070b</x:v>
      </x:c>
      <x:c r="C754" s="31" t="n">
        <x:v>7</x:v>
      </x:c>
      <x:c r="D754" s="31" t="n">
        <x:v>33567</x:v>
      </x:c>
      <x:c r="E754" s="31" t="str">
        <x:v>Brooklyn</x:v>
      </x:c>
      <x:c r="F754" s="31" t="str">
        <x:v>Crown Heights (North)</x:v>
      </x:c>
      <x:c r="G754" s="31" t="n">
        <x:v>72910.58516954801</x:v>
      </x:c>
      <x:c r="H754" s="31" t="n">
        <x:v>16878</x:v>
      </x:c>
      <x:c r="I754" s="31" t="n">
        <x:v>5.540036856497444</x:v>
      </x:c>
      <x:c r="J754" s="40" t="n">
        <x:v>0.144863135442588</x:v>
      </x:c>
      <x:c r="K754" s="40" t="n">
        <x:v>0.7952956511435004</x:v>
      </x:c>
      <x:c r="L754" s="40" t="n">
        <x:v>0.01096101433819173</x:v>
      </x:c>
      <x:c r="M754" s="31" t="n">
        <x:v>61.515993980820035</x:v>
      </x:c>
      <x:c r="N754" s="31" t="n">
        <x:v>233</x:v>
      </x:c>
      <x:c r="O754" s="31" t="n">
        <x:v>6.941341198200614</x:v>
      </x:c>
      <x:c r="P754" s="31" t="n">
        <x:v>2.4352411423154403</x:v>
      </x:c>
      <x:c r="Q754" s="40" t="n">
        <x:v>0.2176205711577201</x:v>
      </x:c>
      <x:c r="R754" s="31" t="n">
        <x:v>0.15029798353828924</x:v>
      </x:c>
      <x:c r="S754" s="40"/>
      <x:c r="T754" s="40"/>
      <x:c r="U754" s="40" t="n">
        <x:v>1</x:v>
      </x:c>
      <x:c r="V754" s="40" t="n">
        <x:v>0.9732195757791208</x:v>
      </x:c>
      <x:c r="W754" s="31" t="n">
        <x:v>0</x:v>
      </x:c>
      <x:c r="X754" s="31" t="str"/>
      <x:c r="Y754" s="31" t="n">
        <x:v>0</x:v>
      </x:c>
      <x:c r="Z754" s="31" t="n">
        <x:v>0</x:v>
      </x:c>
      <x:c r="AA754" s="31" t="n">
        <x:v>0</x:v>
      </x:c>
      <x:c r="AB754" s="31" t="str"/>
      <x:c r="AC754" s="31" t="str"/>
    </x:row>
    <x:row r="755">
      <x:c r="A755" s="31" t="str">
        <x:v>e2f996b111d4aee4</x:v>
      </x:c>
      <x:c r="B755" s="31" t="str">
        <x:v>e2f996b111d4aee49dd93f1b7d65783ee3aa4a41ef8588e7e824528273848bb6</x:v>
      </x:c>
      <x:c r="C755" s="31" t="n">
        <x:v>8</x:v>
      </x:c>
      <x:c r="D755" s="31" t="n">
        <x:v>32060</x:v>
      </x:c>
      <x:c r="E755" s="31" t="str">
        <x:v>Queens</x:v>
      </x:c>
      <x:c r="F755" s="31" t="str">
        <x:v>Kew Gardens Hills</x:v>
      </x:c>
      <x:c r="G755" s="31" t="n">
        <x:v>32968.422345999024</x:v>
      </x:c>
      <x:c r="H755" s="31" t="n">
        <x:v>11825</x:v>
      </x:c>
      <x:c r="I755" s="31" t="n">
        <x:v>3.5675576154434903</x:v>
      </x:c>
      <x:c r="J755" s="40" t="n">
        <x:v>0.07154334038054969</x:v>
      </x:c>
      <x:c r="K755" s="40" t="n">
        <x:v>0.38224101479915434</x:v>
      </x:c>
      <x:c r="L755" s="40" t="n">
        <x:v>0.4956448202959831</x:v>
      </x:c>
      <x:c r="M755" s="31" t="n">
        <x:v>41.91557216213022</x:v>
      </x:c>
      <x:c r="N755" s="31" t="n">
        <x:v>48</x:v>
      </x:c>
      <x:c r="O755" s="31" t="n">
        <x:v>1.4971927635683093</x:v>
      </x:c>
      <x:c r="P755" s="31" t="n">
        <x:v>2.0175898520084568</x:v>
      </x:c>
      <x:c r="Q755" s="40" t="n">
        <x:v>0.0586046511627907</x:v>
      </x:c>
      <x:c r="R755" s="31" t="n">
        <x:v>0.17261492710883164</x:v>
      </x:c>
      <x:c r="S755" s="40"/>
      <x:c r="T755" s="40"/>
      <x:c r="U755" s="40" t="n">
        <x:v>1</x:v>
      </x:c>
      <x:c r="V755" s="40" t="n">
        <x:v>0.9988160676532769</x:v>
      </x:c>
      <x:c r="W755" s="31" t="n">
        <x:v>0</x:v>
      </x:c>
      <x:c r="X755" s="31" t="str"/>
      <x:c r="Y755" s="31" t="n">
        <x:v>0</x:v>
      </x:c>
      <x:c r="Z755" s="31" t="n">
        <x:v>0</x:v>
      </x:c>
      <x:c r="AA755" s="31" t="n">
        <x:v>0</x:v>
      </x:c>
      <x:c r="AB755" s="31" t="str"/>
      <x:c r="AC755" s="31" t="str"/>
    </x:row>
    <x:row r="756">
      <x:c r="A756" s="31" t="str">
        <x:v>e308efa666762575</x:v>
      </x:c>
      <x:c r="B756" s="31" t="str">
        <x:v>e308efa666762575d4d370153c9aaef535b48e98922df268325a9a6470842cd1</x:v>
      </x:c>
      <x:c r="C756" s="31" t="n">
        <x:v>10</x:v>
      </x:c>
      <x:c r="D756" s="31" t="n">
        <x:v>34762</x:v>
      </x:c>
      <x:c r="E756" s="31" t="str">
        <x:v>Brooklyn</x:v>
      </x:c>
      <x:c r="F756" s="31" t="str">
        <x:v>Bay Ridge</x:v>
      </x:c>
      <x:c r="G756" s="31" t="n">
        <x:v>46200.74263184622</x:v>
      </x:c>
      <x:c r="H756" s="31" t="n">
        <x:v>13655</x:v>
      </x:c>
      <x:c r="I756" s="31" t="n">
        <x:v>4.638880990766525</x:v>
      </x:c>
      <x:c r="J756" s="40" t="n">
        <x:v>0.06195532771878433</x:v>
      </x:c>
      <x:c r="K756" s="40" t="n">
        <x:v>0.6261442694983522</x:v>
      </x:c>
      <x:c r="L756" s="40" t="n">
        <x:v>0.04811424386671549</x:v>
      </x:c>
      <x:c r="M756" s="31" t="n">
        <x:v>51.36169775557684</x:v>
      </x:c>
      <x:c r="N756" s="31" t="n">
        <x:v>107</x:v>
      </x:c>
      <x:c r="O756" s="31" t="n">
        <x:v>3.0780737587020313</x:v>
      </x:c>
      <x:c r="P756" s="31" t="n">
        <x:v>2.3296228487733432</x:v>
      </x:c>
      <x:c r="Q756" s="40" t="n">
        <x:v>0</x:v>
      </x:c>
      <x:c r="R756" s="31" t="n">
        <x:v>0.2091867167277286</x:v>
      </x:c>
      <x:c r="S756" s="40"/>
      <x:c r="T756" s="40"/>
      <x:c r="U756" s="40" t="n">
        <x:v>1</x:v>
      </x:c>
      <x:c r="V756" s="40" t="n">
        <x:v>0.9978762358110582</x:v>
      </x:c>
      <x:c r="W756" s="31" t="n">
        <x:v>0</x:v>
      </x:c>
      <x:c r="X756" s="31" t="str"/>
      <x:c r="Y756" s="31" t="n">
        <x:v>0</x:v>
      </x:c>
      <x:c r="Z756" s="31" t="n">
        <x:v>0</x:v>
      </x:c>
      <x:c r="AA756" s="31" t="n">
        <x:v>0</x:v>
      </x:c>
      <x:c r="AB756" s="31" t="str"/>
      <x:c r="AC756" s="31" t="str"/>
    </x:row>
    <x:row r="757">
      <x:c r="A757" s="31" t="str">
        <x:v>e3992f7d9dc47dad</x:v>
      </x:c>
      <x:c r="B757" s="31" t="str">
        <x:v>e3992f7d9dc47dadc9560be0f856a8a56f7b6d8e02c0e33b61392bff38b48c13</x:v>
      </x:c>
      <x:c r="C757" s="31" t="n">
        <x:v>6</x:v>
      </x:c>
      <x:c r="D757" s="31" t="n">
        <x:v>34763</x:v>
      </x:c>
      <x:c r="E757" s="31" t="str">
        <x:v>Manhattan</x:v>
      </x:c>
      <x:c r="F757" s="31" t="str">
        <x:v>Hell's Kitchen</x:v>
      </x:c>
      <x:c r="G757" s="31" t="n">
        <x:v>87298.32559612207</x:v>
      </x:c>
      <x:c r="H757" s="31" t="n">
        <x:v>22422</x:v>
      </x:c>
      <x:c r="I757" s="31" t="n">
        <x:v>19.16999954859387</x:v>
      </x:c>
      <x:c r="J757" s="40" t="n">
        <x:v>0.5772009633395772</x:v>
      </x:c>
      <x:c r="K757" s="40" t="n">
        <x:v>0.41022210329141023</x:v>
      </x:c>
      <x:c r="L757" s="40" t="n">
        <x:v>0.025956649719025955</x:v>
      </x:c>
      <x:c r="M757" s="31" t="n">
        <x:v>179.80781848650153</x:v>
      </x:c>
      <x:c r="N757" s="31" t="n">
        <x:v>392</x:v>
      </x:c>
      <x:c r="O757" s="31" t="n">
        <x:v>11.276357046284843</x:v>
      </x:c>
      <x:c r="P757" s="31" t="n">
        <x:v>1.947150120417447</x:v>
      </x:c>
      <x:c r="Q757" s="40" t="n">
        <x:v>0</x:v>
      </x:c>
      <x:c r="R757" s="31" t="n">
        <x:v>0.12059034751572575</x:v>
      </x:c>
      <x:c r="S757" s="40"/>
      <x:c r="T757" s="40"/>
      <x:c r="U757" s="40" t="n">
        <x:v>1</x:v>
      </x:c>
      <x:c r="V757" s="40" t="n">
        <x:v>0.9810900008919811</x:v>
      </x:c>
      <x:c r="W757" s="31" t="n">
        <x:v>1</x:v>
      </x:c>
      <x:c r="X757" s="31" t="str"/>
      <x:c r="Y757" s="31" t="n">
        <x:v>1</x:v>
      </x:c>
      <x:c r="Z757" s="31" t="n">
        <x:v>0</x:v>
      </x:c>
      <x:c r="AA757" s="31" t="n">
        <x:v>0</x:v>
      </x:c>
      <x:c r="AB757" s="31" t="str"/>
      <x:c r="AC757" s="31" t="str"/>
    </x:row>
    <x:row r="758">
      <x:c r="A758" s="31" t="str">
        <x:v>e39f692d66ad7f66</x:v>
      </x:c>
      <x:c r="B758" s="31" t="str">
        <x:v>e39f692d66ad7f66f89ce0467298baa1af0c4b6a012f3330f973714625f1ab4c</x:v>
      </x:c>
      <x:c r="C758" s="31" t="n">
        <x:v>8</x:v>
      </x:c>
      <x:c r="D758" s="31" t="n">
        <x:v>37242</x:v>
      </x:c>
      <x:c r="E758" s="31" t="str">
        <x:v>Queens</x:v>
      </x:c>
      <x:c r="F758" s="31" t="str">
        <x:v>Whitestone-Beechhurst</x:v>
      </x:c>
      <x:c r="G758" s="31" t="n">
        <x:v>15229.44728682061</x:v>
      </x:c>
      <x:c r="H758" s="31" t="n">
        <x:v>14247</x:v>
      </x:c>
      <x:c r="I758" s="31" t="n">
        <x:v>2.8635601910380672</x:v>
      </x:c>
      <x:c r="J758" s="40" t="n">
        <x:v>0.016635081069698885</x:v>
      </x:c>
      <x:c r="K758" s="40" t="n">
        <x:v>0.15736646311504177</x:v>
      </x:c>
      <x:c r="L758" s="40" t="n">
        <x:v>0.1466975503614796</x:v>
      </x:c>
      <x:c r="M758" s="31" t="n">
        <x:v>34.745590378142616</x:v>
      </x:c>
      <x:c r="N758" s="31" t="n">
        <x:v>55</x:v>
      </x:c>
      <x:c r="O758" s="31" t="n">
        <x:v>1.4768272380645506</x:v>
      </x:c>
      <x:c r="P758" s="31" t="n">
        <x:v>2.120727170632414</x:v>
      </x:c>
      <x:c r="Q758" s="40" t="n">
        <x:v>0.04597459114199481</x:v>
      </x:c>
      <x:c r="R758" s="31" t="n">
        <x:v>0.2701595353895205</x:v>
      </x:c>
      <x:c r="S758" s="40"/>
      <x:c r="T758" s="40"/>
      <x:c r="U758" s="40" t="n">
        <x:v>1</x:v>
      </x:c>
      <x:c r="V758" s="40" t="n">
        <x:v>0.9961395381483821</x:v>
      </x:c>
      <x:c r="W758" s="31" t="n">
        <x:v>0</x:v>
      </x:c>
      <x:c r="X758" s="31" t="str"/>
      <x:c r="Y758" s="31" t="n">
        <x:v>0</x:v>
      </x:c>
      <x:c r="Z758" s="31" t="n">
        <x:v>0</x:v>
      </x:c>
      <x:c r="AA758" s="31" t="n">
        <x:v>0</x:v>
      </x:c>
      <x:c r="AB758" s="31" t="str"/>
      <x:c r="AC758" s="31" t="str"/>
    </x:row>
    <x:row r="759">
      <x:c r="A759" s="31" t="str">
        <x:v>e3bfcfcf0ab3eb13</x:v>
      </x:c>
      <x:c r="B759" s="31" t="str">
        <x:v>e3bfcfcf0ab3eb1398b26d78c0429e5eb7e523fcd74826148f6a23305219df70</x:v>
      </x:c>
      <x:c r="C759" s="31" t="n">
        <x:v>12</x:v>
      </x:c>
      <x:c r="D759" s="31" t="n">
        <x:v>34145</x:v>
      </x:c>
      <x:c r="E759" s="31" t="str">
        <x:v>Brooklyn</x:v>
      </x:c>
      <x:c r="F759" s="31" t="str">
        <x:v>Bay Ridge</x:v>
      </x:c>
      <x:c r="G759" s="31" t="n">
        <x:v>41717.24605439966</x:v>
      </x:c>
      <x:c r="H759" s="31" t="n">
        <x:v>16719</x:v>
      </x:c>
      <x:c r="I759" s="31" t="n">
        <x:v>4.6626401197604785</x:v>
      </x:c>
      <x:c r="J759" s="40" t="n">
        <x:v>0.03786111609546026</x:v>
      </x:c>
      <x:c r="K759" s="40" t="n">
        <x:v>0.7157724744302889</x:v>
      </x:c>
      <x:c r="L759" s="40" t="n">
        <x:v>0.050242239368383276</x:v>
      </x:c>
      <x:c r="M759" s="31" t="n">
        <x:v>52.30403205420171</x:v>
      </x:c>
      <x:c r="N759" s="31" t="n">
        <x:v>188</x:v>
      </x:c>
      <x:c r="O759" s="31" t="n">
        <x:v>5.505930590130326</x:v>
      </x:c>
      <x:c r="P759" s="31" t="n">
        <x:v>2</x:v>
      </x:c>
      <x:c r="Q759" s="40" t="n">
        <x:v>0</x:v>
      </x:c>
      <x:c r="R759" s="31" t="n">
        <x:v>0.23128099698887666</x:v>
      </x:c>
      <x:c r="S759" s="40"/>
      <x:c r="T759" s="40"/>
      <x:c r="U759" s="40" t="n">
        <x:v>1</x:v>
      </x:c>
      <x:c r="V759" s="40" t="n">
        <x:v>0.9987439440157904</x:v>
      </x:c>
      <x:c r="W759" s="31" t="n">
        <x:v>0</x:v>
      </x:c>
      <x:c r="X759" s="31" t="str"/>
      <x:c r="Y759" s="31" t="n">
        <x:v>0</x:v>
      </x:c>
      <x:c r="Z759" s="31" t="n">
        <x:v>0</x:v>
      </x:c>
      <x:c r="AA759" s="31" t="n">
        <x:v>0</x:v>
      </x:c>
      <x:c r="AB759" s="31" t="str"/>
      <x:c r="AC759" s="31" t="str"/>
    </x:row>
    <x:row r="760">
      <x:c r="A760" s="31" t="str">
        <x:v>e3c43545297fcc65</x:v>
      </x:c>
      <x:c r="B760" s="31" t="str">
        <x:v>e3c43545297fcc65a00e8ac78f05d1a409d91bf3ba9793e06e513ab9c4e0ae9b</x:v>
      </x:c>
      <x:c r="C760" s="31" t="n">
        <x:v>5</x:v>
      </x:c>
      <x:c r="D760" s="31" t="n">
        <x:v>33616</x:v>
      </x:c>
      <x:c r="E760" s="31" t="str">
        <x:v>Manhattan</x:v>
      </x:c>
      <x:c r="F760" s="31" t="str">
        <x:v>Hamilton Heights-Sugar Hill</x:v>
      </x:c>
      <x:c r="G760" s="31" t="n">
        <x:v>99798.26762832134</x:v>
      </x:c>
      <x:c r="H760" s="31" t="n">
        <x:v>12903</x:v>
      </x:c>
      <x:c r="I760" s="31" t="n">
        <x:v>6.418035963416525</x:v>
      </x:c>
      <x:c r="J760" s="40" t="n">
        <x:v>0.09369913973494536</x:v>
      </x:c>
      <x:c r="K760" s="40" t="n">
        <x:v>0.9049833372084012</x:v>
      </x:c>
      <x:c r="L760" s="40" t="n">
        <x:v>0.030535534371851508</x:v>
      </x:c>
      <x:c r="M760" s="31" t="n">
        <x:v>74.45597510022588</x:v>
      </x:c>
      <x:c r="N760" s="31" t="n">
        <x:v>209</x:v>
      </x:c>
      <x:c r="O760" s="31" t="n">
        <x:v>6.217277486910994</x:v>
      </x:c>
      <x:c r="P760" s="31" t="n">
        <x:v>4.0971867007672635</x:v>
      </x:c>
      <x:c r="Q760" s="40" t="n">
        <x:v>1</x:v>
      </x:c>
      <x:c r="R760" s="31" t="n">
        <x:v>0.15228598576414992</x:v>
      </x:c>
      <x:c r="S760" s="40"/>
      <x:c r="T760" s="40"/>
      <x:c r="U760" s="40" t="n">
        <x:v>1</x:v>
      </x:c>
      <x:c r="V760" s="40" t="n">
        <x:v>0.9984499728745253</x:v>
      </x:c>
      <x:c r="W760" s="31" t="n">
        <x:v>1</x:v>
      </x:c>
      <x:c r="X760" s="31" t="str"/>
      <x:c r="Y760" s="31" t="n">
        <x:v>0</x:v>
      </x:c>
      <x:c r="Z760" s="31" t="n">
        <x:v>1</x:v>
      </x:c>
      <x:c r="AA760" s="31" t="n">
        <x:v>0</x:v>
      </x:c>
      <x:c r="AB760" s="31" t="str"/>
      <x:c r="AC760" s="31" t="str"/>
    </x:row>
    <x:row r="761">
      <x:c r="A761" s="31" t="str">
        <x:v>e3cbf4e5171e7f66</x:v>
      </x:c>
      <x:c r="B761" s="31" t="str">
        <x:v>e3cbf4e5171e7f6695b7b30972d6f7137c767504992cf3ed6f3b3135522b961f</x:v>
      </x:c>
      <x:c r="C761" s="31" t="n">
        <x:v>10</x:v>
      </x:c>
      <x:c r="D761" s="31" t="n">
        <x:v>36584</x:v>
      </x:c>
      <x:c r="E761" s="31" t="str">
        <x:v>Queens</x:v>
      </x:c>
      <x:c r="F761" s="31" t="str">
        <x:v>Springfield Gardens (North)-Rochdale Village</x:v>
      </x:c>
      <x:c r="G761" s="31" t="n">
        <x:v>22353.224247091686</x:v>
      </x:c>
      <x:c r="H761" s="31" t="n">
        <x:v>14774</x:v>
      </x:c>
      <x:c r="I761" s="31" t="n">
        <x:v>6.98641551584078</x:v>
      </x:c>
      <x:c r="J761" s="40" t="n">
        <x:v>0.40774333288209014</x:v>
      </x:c>
      <x:c r="K761" s="40" t="n">
        <x:v>0.02653309868688236</x:v>
      </x:c>
      <x:c r="L761" s="40" t="n">
        <x:v>0.41139840259916066</x:v>
      </x:c>
      <x:c r="M761" s="31" t="n">
        <x:v>68.26559080033648</x:v>
      </x:c>
      <x:c r="N761" s="31" t="n">
        <x:v>135</x:v>
      </x:c>
      <x:c r="O761" s="31" t="n">
        <x:v>3.6901377651432323</x:v>
      </x:c>
      <x:c r="P761" s="31" t="n">
        <x:v>4.736158115608501</x:v>
      </x:c>
      <x:c r="Q761" s="40" t="n">
        <x:v>1</x:v>
      </x:c>
      <x:c r="R761" s="31" t="n">
        <x:v>0.25156563704183843</x:v>
      </x:c>
      <x:c r="S761" s="40"/>
      <x:c r="T761" s="40"/>
      <x:c r="U761" s="40" t="n">
        <x:v>1</x:v>
      </x:c>
      <x:c r="V761" s="40" t="n">
        <x:v>0.995735751996751</x:v>
      </x:c>
      <x:c r="W761" s="31" t="n">
        <x:v>0</x:v>
      </x:c>
      <x:c r="X761" s="31" t="str"/>
      <x:c r="Y761" s="31" t="n">
        <x:v>0</x:v>
      </x:c>
      <x:c r="Z761" s="31" t="n">
        <x:v>0</x:v>
      </x:c>
      <x:c r="AA761" s="31" t="n">
        <x:v>0</x:v>
      </x:c>
      <x:c r="AB761" s="31" t="str"/>
      <x:c r="AC761" s="31" t="str"/>
    </x:row>
    <x:row r="762">
      <x:c r="A762" s="31" t="str">
        <x:v>e43eee2c36f8e7f6</x:v>
      </x:c>
      <x:c r="B762" s="31" t="str">
        <x:v>e43eee2c36f8e7f6db7e754ec036c6cb7adfbac4ac201396678b649f5e4b2462</x:v>
      </x:c>
      <x:c r="C762" s="31" t="n">
        <x:v>10</x:v>
      </x:c>
      <x:c r="D762" s="31" t="n">
        <x:v>32924</x:v>
      </x:c>
      <x:c r="E762" s="31" t="str">
        <x:v>Brooklyn</x:v>
      </x:c>
      <x:c r="F762" s="31" t="str">
        <x:v>East New York (North)</x:v>
      </x:c>
      <x:c r="G762" s="31" t="n">
        <x:v>52381.16835208502</x:v>
      </x:c>
      <x:c r="H762" s="31" t="n">
        <x:v>10488</x:v>
      </x:c>
      <x:c r="I762" s="31" t="n">
        <x:v>2.6963687685388957</x:v>
      </x:c>
      <x:c r="J762" s="40" t="n">
        <x:v>0</x:v>
      </x:c>
      <x:c r="K762" s="40" t="n">
        <x:v>0.4108504958047292</x:v>
      </x:c>
      <x:c r="L762" s="40" t="n">
        <x:v>0.04729214340198322</x:v>
      </x:c>
      <x:c r="M762" s="31" t="n">
        <x:v>31.69558464603746</x:v>
      </x:c>
      <x:c r="N762" s="31" t="n">
        <x:v>23</x:v>
      </x:c>
      <x:c r="O762" s="31" t="n">
        <x:v>0.6985785445267889</x:v>
      </x:c>
      <x:c r="P762" s="31" t="n">
        <x:v>4.675438596491228</x:v>
      </x:c>
      <x:c r="Q762" s="40" t="n">
        <x:v>1</x:v>
      </x:c>
      <x:c r="R762" s="31" t="n">
        <x:v>0.13257457262861966</x:v>
      </x:c>
      <x:c r="S762" s="40"/>
      <x:c r="T762" s="40"/>
      <x:c r="U762" s="40" t="n">
        <x:v>1</x:v>
      </x:c>
      <x:c r="V762" s="40" t="n">
        <x:v>0.9723493516399695</x:v>
      </x:c>
      <x:c r="W762" s="31" t="n">
        <x:v>0</x:v>
      </x:c>
      <x:c r="X762" s="31" t="str"/>
      <x:c r="Y762" s="31" t="n">
        <x:v>0</x:v>
      </x:c>
      <x:c r="Z762" s="31" t="n">
        <x:v>0</x:v>
      </x:c>
      <x:c r="AA762" s="31" t="n">
        <x:v>0</x:v>
      </x:c>
      <x:c r="AB762" s="31" t="str"/>
      <x:c r="AC762" s="31" t="str"/>
    </x:row>
    <x:row r="763">
      <x:c r="A763" s="31" t="str">
        <x:v>e4666b29438073f9</x:v>
      </x:c>
      <x:c r="B763" s="31" t="str">
        <x:v>e4666b29438073f99b2c2bcddd75f240ff4c74ee84289885baf90da7c29aca6c</x:v>
      </x:c>
      <x:c r="C763" s="31" t="n">
        <x:v>7</x:v>
      </x:c>
      <x:c r="D763" s="31" t="n">
        <x:v>35494</x:v>
      </x:c>
      <x:c r="E763" s="31" t="str">
        <x:v>Bronx</x:v>
      </x:c>
      <x:c r="F763" s="31" t="str">
        <x:v>Bedford Park</x:v>
      </x:c>
      <x:c r="G763" s="31" t="n">
        <x:v>47710.44916889444</x:v>
      </x:c>
      <x:c r="H763" s="31" t="n">
        <x:v>16609</x:v>
      </x:c>
      <x:c r="I763" s="31" t="n">
        <x:v>8.762440075247284</x:v>
      </x:c>
      <x:c r="J763" s="40" t="n">
        <x:v>0.22373412005539164</x:v>
      </x:c>
      <x:c r="K763" s="40" t="n">
        <x:v>0.7402613041122283</x:v>
      </x:c>
      <x:c r="L763" s="40" t="n">
        <x:v>0.014148955385634295</x:v>
      </x:c>
      <x:c r="M763" s="31" t="n">
        <x:v>94.26600497933936</x:v>
      </x:c>
      <x:c r="N763" s="31" t="n">
        <x:v>246</x:v>
      </x:c>
      <x:c r="O763" s="31" t="n">
        <x:v>6.930748858962078</x:v>
      </x:c>
      <x:c r="P763" s="31" t="n">
        <x:v>4.538804262749112</x:v>
      </x:c>
      <x:c r="Q763" s="40" t="n">
        <x:v>0.9854295863688362</x:v>
      </x:c>
      <x:c r="R763" s="31" t="n">
        <x:v>0.18556137700588082</x:v>
      </x:c>
      <x:c r="S763" s="40"/>
      <x:c r="T763" s="40"/>
      <x:c r="U763" s="40" t="n">
        <x:v>1</x:v>
      </x:c>
      <x:c r="V763" s="40" t="n">
        <x:v>0.9742308387019086</x:v>
      </x:c>
      <x:c r="W763" s="31" t="n">
        <x:v>0</x:v>
      </x:c>
      <x:c r="X763" s="31" t="str"/>
      <x:c r="Y763" s="31" t="n">
        <x:v>0</x:v>
      </x:c>
      <x:c r="Z763" s="31" t="n">
        <x:v>0</x:v>
      </x:c>
      <x:c r="AA763" s="31" t="n">
        <x:v>0</x:v>
      </x:c>
      <x:c r="AB763" s="31" t="str"/>
      <x:c r="AC763" s="31" t="str"/>
    </x:row>
    <x:row r="764">
      <x:c r="A764" s="31" t="str">
        <x:v>e46a5e34883376c0</x:v>
      </x:c>
      <x:c r="B764" s="31" t="str">
        <x:v>e46a5e34883376c07d754b9c65339329b3bcc9dafb8f831a4ec53021a4f69f00</x:v>
      </x:c>
      <x:c r="C764" s="31" t="n">
        <x:v>5</x:v>
      </x:c>
      <x:c r="D764" s="31" t="n">
        <x:v>32783</x:v>
      </x:c>
      <x:c r="E764" s="31" t="str">
        <x:v>Manhattan</x:v>
      </x:c>
      <x:c r="F764" s="31" t="str">
        <x:v>West Village</x:v>
      </x:c>
      <x:c r="G764" s="31" t="n">
        <x:v>98564.58846151271</x:v>
      </x:c>
      <x:c r="H764" s="31" t="n">
        <x:v>23493</x:v>
      </x:c>
      <x:c r="I764" s="31" t="n">
        <x:v>8.911914045762277</x:v>
      </x:c>
      <x:c r="J764" s="40" t="n">
        <x:v>0.334567743583195</x:v>
      </x:c>
      <x:c r="K764" s="40" t="n">
        <x:v>0.6549184863576385</x:v>
      </x:c>
      <x:c r="L764" s="40" t="n">
        <x:v>0.04767377516707104</x:v>
      </x:c>
      <x:c r="M764" s="31" t="n">
        <x:v>97.70344797800846</x:v>
      </x:c>
      <x:c r="N764" s="31" t="n">
        <x:v>591</x:v>
      </x:c>
      <x:c r="O764" s="31" t="n">
        <x:v>18.027636274898576</x:v>
      </x:c>
      <x:c r="P764" s="31" t="n">
        <x:v>1</x:v>
      </x:c>
      <x:c r="Q764" s="40" t="n">
        <x:v>0</x:v>
      </x:c>
      <x:c r="R764" s="31" t="n">
        <x:v>0.14957890962859124</x:v>
      </x:c>
      <x:c r="S764" s="40"/>
      <x:c r="T764" s="40"/>
      <x:c r="U764" s="40" t="n">
        <x:v>1</x:v>
      </x:c>
      <x:c r="V764" s="40" t="n">
        <x:v>0.9880815562082322</x:v>
      </x:c>
      <x:c r="W764" s="31" t="n">
        <x:v>1</x:v>
      </x:c>
      <x:c r="X764" s="31" t="str"/>
      <x:c r="Y764" s="31" t="n">
        <x:v>1</x:v>
      </x:c>
      <x:c r="Z764" s="31" t="n">
        <x:v>0</x:v>
      </x:c>
      <x:c r="AA764" s="31" t="n">
        <x:v>0</x:v>
      </x:c>
      <x:c r="AB764" s="31" t="str"/>
      <x:c r="AC764" s="31" t="str"/>
    </x:row>
    <x:row r="765">
      <x:c r="A765" s="31" t="str">
        <x:v>e545edaf569e2aef</x:v>
      </x:c>
      <x:c r="B765" s="31" t="str">
        <x:v>e545edaf569e2aef9889a867c82013fcba897fc555ef6500ea0ad2a0e35b1fa7</x:v>
      </x:c>
      <x:c r="C765" s="31" t="n">
        <x:v>9</x:v>
      </x:c>
      <x:c r="D765" s="31" t="n">
        <x:v>36437</x:v>
      </x:c>
      <x:c r="E765" s="31" t="str">
        <x:v>Queens</x:v>
      </x:c>
      <x:c r="F765" s="31" t="str">
        <x:v>Springfield Gardens (South)-Brookville</x:v>
      </x:c>
      <x:c r="G765" s="31" t="n">
        <x:v>18719.630717625976</x:v>
      </x:c>
      <x:c r="H765" s="31" t="n">
        <x:v>10120</x:v>
      </x:c>
      <x:c r="I765" s="31" t="n">
        <x:v>1.9307829955511613</x:v>
      </x:c>
      <x:c r="J765" s="40" t="n">
        <x:v>0</x:v>
      </x:c>
      <x:c r="K765" s="40" t="n">
        <x:v>0.006126482213438735</x:v>
      </x:c>
      <x:c r="L765" s="40" t="n">
        <x:v>0.007509881422924901</x:v>
      </x:c>
      <x:c r="M765" s="31" t="n">
        <x:v>24.99379328802187</x:v>
      </x:c>
      <x:c r="N765" s="31" t="n">
        <x:v>5</x:v>
      </x:c>
      <x:c r="O765" s="31" t="n">
        <x:v>0.13722315229025442</x:v>
      </x:c>
      <x:c r="P765" s="31" t="n">
        <x:v>4.15296442687747</x:v>
      </x:c>
      <x:c r="Q765" s="40" t="n">
        <x:v>1</x:v>
      </x:c>
      <x:c r="R765" s="31" t="n">
        <x:v>0.2691645414045089</x:v>
      </x:c>
      <x:c r="S765" s="40"/>
      <x:c r="T765" s="40"/>
      <x:c r="U765" s="40" t="n">
        <x:v>1</x:v>
      </x:c>
      <x:c r="V765" s="40" t="n">
        <x:v>0.9940711462450593</x:v>
      </x:c>
      <x:c r="W765" s="31" t="n">
        <x:v>0</x:v>
      </x:c>
      <x:c r="X765" s="31" t="str"/>
      <x:c r="Y765" s="31" t="n">
        <x:v>0</x:v>
      </x:c>
      <x:c r="Z765" s="31" t="n">
        <x:v>0</x:v>
      </x:c>
      <x:c r="AA765" s="31" t="n">
        <x:v>0</x:v>
      </x:c>
      <x:c r="AB765" s="31" t="str"/>
      <x:c r="AC765" s="31" t="str"/>
    </x:row>
    <x:row r="766">
      <x:c r="A766" s="31" t="str">
        <x:v>e54f36c4c01d993f</x:v>
      </x:c>
      <x:c r="B766" s="31" t="str">
        <x:v>e54f36c4c01d993fd688b51955f2651c368562c1fab8b1343cae39a0b185a06e</x:v>
      </x:c>
      <x:c r="C766" s="31" t="n">
        <x:v>7</x:v>
      </x:c>
      <x:c r="D766" s="31" t="n">
        <x:v>35496</x:v>
      </x:c>
      <x:c r="E766" s="31" t="str">
        <x:v>Bronx</x:v>
      </x:c>
      <x:c r="F766" s="31" t="str">
        <x:v>Melrose</x:v>
      </x:c>
      <x:c r="G766" s="31" t="n">
        <x:v>75446.5490791053</x:v>
      </x:c>
      <x:c r="H766" s="31" t="n">
        <x:v>14061</x:v>
      </x:c>
      <x:c r="I766" s="31" t="n">
        <x:v>8.42744805009963</x:v>
      </x:c>
      <x:c r="J766" s="40" t="n">
        <x:v>0.23255813953488372</x:v>
      </x:c>
      <x:c r="K766" s="40" t="n">
        <x:v>0.7006614038830808</x:v>
      </x:c>
      <x:c r="L766" s="40" t="n">
        <x:v>0.1992745892895242</x:v>
      </x:c>
      <x:c r="M766" s="31" t="n">
        <x:v>88.47998530118734</x:v>
      </x:c>
      <x:c r="N766" s="31" t="n">
        <x:v>151</x:v>
      </x:c>
      <x:c r="O766" s="31" t="n">
        <x:v>4.254000450755015</x:v>
      </x:c>
      <x:c r="P766" s="31" t="n">
        <x:v>5</x:v>
      </x:c>
      <x:c r="Q766" s="40" t="n">
        <x:v>1</x:v>
      </x:c>
      <x:c r="R766" s="31" t="n">
        <x:v>0.07005443198275497</x:v>
      </x:c>
      <x:c r="S766" s="40"/>
      <x:c r="T766" s="40"/>
      <x:c r="U766" s="40" t="n">
        <x:v>1</x:v>
      </x:c>
      <x:c r="V766" s="40" t="n">
        <x:v>0.9805134769931015</x:v>
      </x:c>
      <x:c r="W766" s="31" t="n">
        <x:v>1</x:v>
      </x:c>
      <x:c r="X766" s="31" t="str"/>
      <x:c r="Y766" s="31" t="n">
        <x:v>0</x:v>
      </x:c>
      <x:c r="Z766" s="31" t="n">
        <x:v>1</x:v>
      </x:c>
      <x:c r="AA766" s="31" t="n">
        <x:v>0</x:v>
      </x:c>
      <x:c r="AB766" s="31" t="str"/>
      <x:c r="AC766" s="31" t="str"/>
    </x:row>
    <x:row r="767">
      <x:c r="A767" s="31" t="str">
        <x:v>e5a93e0d7de58635</x:v>
      </x:c>
      <x:c r="B767" s="31" t="str">
        <x:v>e5a93e0d7de586354873bfe631f34197cb6ff754f381d9e23ba2a34db402bb3d</x:v>
      </x:c>
      <x:c r="C767" s="31" t="n">
        <x:v>9</x:v>
      </x:c>
      <x:c r="D767" s="31" t="n">
        <x:v>33807</x:v>
      </x:c>
      <x:c r="E767" s="31" t="str">
        <x:v>Brooklyn</x:v>
      </x:c>
      <x:c r="F767" s="31" t="str">
        <x:v>East New York-New Lots</x:v>
      </x:c>
      <x:c r="G767" s="31" t="n">
        <x:v>58514.83095659065</x:v>
      </x:c>
      <x:c r="H767" s="31" t="n">
        <x:v>11498</x:v>
      </x:c>
      <x:c r="I767" s="31" t="n">
        <x:v>3.0607120715614204</x:v>
      </x:c>
      <x:c r="J767" s="40" t="n">
        <x:v>0</x:v>
      </x:c>
      <x:c r="K767" s="40" t="n">
        <x:v>0.46782049052009045</x:v>
      </x:c>
      <x:c r="L767" s="40" t="n">
        <x:v>0.06853365802748304</x:v>
      </x:c>
      <x:c r="M767" s="31" t="n">
        <x:v>36.75047832306971</x:v>
      </x:c>
      <x:c r="N767" s="31" t="n">
        <x:v>52</x:v>
      </x:c>
      <x:c r="O767" s="31" t="n">
        <x:v>1.538142988138551</x:v>
      </x:c>
      <x:c r="P767" s="31" t="n">
        <x:v>4.992955296573317</x:v>
      </x:c>
      <x:c r="Q767" s="40" t="n">
        <x:v>1</x:v>
      </x:c>
      <x:c r="R767" s="31" t="n">
        <x:v>0.10913856039884455</x:v>
      </x:c>
      <x:c r="S767" s="40"/>
      <x:c r="T767" s="40"/>
      <x:c r="U767" s="40" t="n">
        <x:v>1</x:v>
      </x:c>
      <x:c r="V767" s="40" t="n">
        <x:v>0.9919116368064012</x:v>
      </x:c>
      <x:c r="W767" s="31" t="n">
        <x:v>0</x:v>
      </x:c>
      <x:c r="X767" s="31" t="str"/>
      <x:c r="Y767" s="31" t="n">
        <x:v>0</x:v>
      </x:c>
      <x:c r="Z767" s="31" t="n">
        <x:v>0</x:v>
      </x:c>
      <x:c r="AA767" s="31" t="n">
        <x:v>0</x:v>
      </x:c>
      <x:c r="AB767" s="31" t="str"/>
      <x:c r="AC767" s="31" t="str"/>
    </x:row>
    <x:row r="768">
      <x:c r="A768" s="31" t="str">
        <x:v>e5d56a1cda313a1e</x:v>
      </x:c>
      <x:c r="B768" s="31" t="str">
        <x:v>e5d56a1cda313a1e8245c190637c7e7941a4ece44e3cb86a5403e7775ab558f8</x:v>
      </x:c>
      <x:c r="C768" s="31" t="n">
        <x:v>9</x:v>
      </x:c>
      <x:c r="D768" s="31" t="n">
        <x:v>33431</x:v>
      </x:c>
      <x:c r="E768" s="31" t="str">
        <x:v>Queens</x:v>
      </x:c>
      <x:c r="F768" s="31" t="str">
        <x:v>Pomonok-Electchester-Hillcrest</x:v>
      </x:c>
      <x:c r="G768" s="31" t="n">
        <x:v>25773.650804388526</x:v>
      </x:c>
      <x:c r="H768" s="31" t="n">
        <x:v>11192</x:v>
      </x:c>
      <x:c r="I768" s="31" t="n">
        <x:v>3.4368842863574973</x:v>
      </x:c>
      <x:c r="J768" s="40" t="n">
        <x:v>0.05253752680486062</x:v>
      </x:c>
      <x:c r="K768" s="40" t="n">
        <x:v>0.3827734095782702</x:v>
      </x:c>
      <x:c r="L768" s="40" t="n">
        <x:v>0.20076840600428877</x:v>
      </x:c>
      <x:c r="M768" s="31" t="n">
        <x:v>41.13855341557223</x:v>
      </x:c>
      <x:c r="N768" s="31" t="n">
        <x:v>93</x:v>
      </x:c>
      <x:c r="O768" s="31" t="n">
        <x:v>2.7818491818970417</x:v>
      </x:c>
      <x:c r="P768" s="31" t="n">
        <x:v>1.8142423159399572</x:v>
      </x:c>
      <x:c r="Q768" s="40" t="n">
        <x:v>0</x:v>
      </x:c>
      <x:c r="R768" s="31" t="n">
        <x:v>0.2324052747869939</x:v>
      </x:c>
      <x:c r="S768" s="40"/>
      <x:c r="T768" s="40"/>
      <x:c r="U768" s="40" t="n">
        <x:v>1</x:v>
      </x:c>
      <x:c r="V768" s="40" t="n">
        <x:v>0.9938348820586133</x:v>
      </x:c>
      <x:c r="W768" s="31" t="n">
        <x:v>0</x:v>
      </x:c>
      <x:c r="X768" s="31" t="str"/>
      <x:c r="Y768" s="31" t="n">
        <x:v>0</x:v>
      </x:c>
      <x:c r="Z768" s="31" t="n">
        <x:v>0</x:v>
      </x:c>
      <x:c r="AA768" s="31" t="n">
        <x:v>0</x:v>
      </x:c>
      <x:c r="AB768" s="31" t="str"/>
      <x:c r="AC768" s="31" t="str"/>
    </x:row>
    <x:row r="769">
      <x:c r="A769" s="31" t="str">
        <x:v>e5ff30a7f81f56f3</x:v>
      </x:c>
      <x:c r="B769" s="31" t="str">
        <x:v>e5ff30a7f81f56f3f18efe7d504e13677e60c01f42fc1188117d402ecc04f1a3</x:v>
      </x:c>
      <x:c r="C769" s="31" t="n">
        <x:v>7</x:v>
      </x:c>
      <x:c r="D769" s="31" t="n">
        <x:v>33237</x:v>
      </x:c>
      <x:c r="E769" s="31" t="str">
        <x:v>Staten Island</x:v>
      </x:c>
      <x:c r="F769" s="31" t="str">
        <x:v>Great Kills-Eltingville</x:v>
      </x:c>
      <x:c r="G769" s="31" t="n">
        <x:v>14267.089262022562</x:v>
      </x:c>
      <x:c r="H769" s="31" t="n">
        <x:v>12363</x:v>
      </x:c>
      <x:c r="I769" s="31" t="n">
        <x:v>2.05797225622195</x:v>
      </x:c>
      <x:c r="J769" s="40" t="n">
        <x:v>0</x:v>
      </x:c>
      <x:c r="K769" s="40" t="n">
        <x:v>0.14098519776753216</x:v>
      </x:c>
      <x:c r="L769" s="40" t="n">
        <x:v>0.04084769068996198</x:v>
      </x:c>
      <x:c r="M769" s="31" t="n">
        <x:v>26.511628935006907</x:v>
      </x:c>
      <x:c r="N769" s="31" t="n">
        <x:v>7</x:v>
      </x:c>
      <x:c r="O769" s="31" t="n">
        <x:v>0.21060865902458104</x:v>
      </x:c>
      <x:c r="P769" s="31" t="n">
        <x:v>1.2028633826741082</x:v>
      </x:c>
      <x:c r="Q769" s="40" t="n">
        <x:v>0</x:v>
      </x:c>
      <x:c r="R769" s="31" t="n">
        <x:v>0.44954080155405984</x:v>
      </x:c>
      <x:c r="S769" s="40"/>
      <x:c r="T769" s="40"/>
      <x:c r="U769" s="40" t="n">
        <x:v>1</x:v>
      </x:c>
      <x:c r="V769" s="40" t="n">
        <x:v>0.9953085820593707</x:v>
      </x:c>
      <x:c r="W769" s="31" t="n">
        <x:v>0</x:v>
      </x:c>
      <x:c r="X769" s="31" t="str"/>
      <x:c r="Y769" s="31" t="n">
        <x:v>0</x:v>
      </x:c>
      <x:c r="Z769" s="31" t="n">
        <x:v>0</x:v>
      </x:c>
      <x:c r="AA769" s="31" t="n">
        <x:v>0</x:v>
      </x:c>
      <x:c r="AB769" s="31" t="str"/>
      <x:c r="AC769" s="31" t="str"/>
    </x:row>
    <x:row r="770">
      <x:c r="A770" s="31" t="str">
        <x:v>e665e71032dc0778</x:v>
      </x:c>
      <x:c r="B770" s="31" t="str">
        <x:v>e665e71032dc0778465f3eaf211f73ee934993b5566e3eb87c8fa75300620146</x:v>
      </x:c>
      <x:c r="C770" s="31" t="n">
        <x:v>5</x:v>
      </x:c>
      <x:c r="D770" s="31" t="n">
        <x:v>36175</x:v>
      </x:c>
      <x:c r="E770" s="31" t="str">
        <x:v>Manhattan</x:v>
      </x:c>
      <x:c r="F770" s="31" t="str">
        <x:v>Upper East Side-Lenox Hill-Roosevelt Island</x:v>
      </x:c>
      <x:c r="G770" s="31" t="n">
        <x:v>129697.14754871048</x:v>
      </x:c>
      <x:c r="H770" s="31" t="n">
        <x:v>24322</x:v>
      </x:c>
      <x:c r="I770" s="31" t="n">
        <x:v>15.759662034372173</x:v>
      </x:c>
      <x:c r="J770" s="40" t="n">
        <x:v>0.701422580379903</x:v>
      </x:c>
      <x:c r="K770" s="40" t="n">
        <x:v>0.2982073842611627</x:v>
      </x:c>
      <x:c r="L770" s="40" t="n">
        <x:v>0.013403503001397912</x:v>
      </x:c>
      <x:c r="M770" s="31" t="n">
        <x:v>160.73130545111962</x:v>
      </x:c>
      <x:c r="N770" s="31" t="n">
        <x:v>911</x:v>
      </x:c>
      <x:c r="O770" s="31" t="n">
        <x:v>25.183137525915686</x:v>
      </x:c>
      <x:c r="P770" s="31" t="n">
        <x:v>2</x:v>
      </x:c>
      <x:c r="Q770" s="40" t="n">
        <x:v>0</x:v>
      </x:c>
      <x:c r="R770" s="31" t="n">
        <x:v>0.17429877413999942</x:v>
      </x:c>
      <x:c r="S770" s="40"/>
      <x:c r="T770" s="40"/>
      <x:c r="U770" s="40" t="n">
        <x:v>1</x:v>
      </x:c>
      <x:c r="V770" s="40" t="n">
        <x:v>0.9914891867445111</x:v>
      </x:c>
      <x:c r="W770" s="31" t="n">
        <x:v>1</x:v>
      </x:c>
      <x:c r="X770" s="31" t="str"/>
      <x:c r="Y770" s="31" t="n">
        <x:v>1</x:v>
      </x:c>
      <x:c r="Z770" s="31" t="n">
        <x:v>0</x:v>
      </x:c>
      <x:c r="AA770" s="31" t="n">
        <x:v>0</x:v>
      </x:c>
      <x:c r="AB770" s="31" t="str"/>
      <x:c r="AC770" s="31" t="str"/>
    </x:row>
    <x:row r="771">
      <x:c r="A771" s="31" t="str">
        <x:v>e677f952fd2e72d1</x:v>
      </x:c>
      <x:c r="B771" s="31" t="str">
        <x:v>e677f952fd2e72d1229762fb1e558b6a5d7112a035b5fdc681facef0136f2947</x:v>
      </x:c>
      <x:c r="C771" s="31" t="n">
        <x:v>11</x:v>
      </x:c>
      <x:c r="D771" s="31" t="n">
        <x:v>35417</x:v>
      </x:c>
      <x:c r="E771" s="31" t="str">
        <x:v>Bronx</x:v>
      </x:c>
      <x:c r="F771" s="31" t="str">
        <x:v>Pelham Parkway-Van Nest</x:v>
      </x:c>
      <x:c r="G771" s="31" t="n">
        <x:v>44631.58378115101</x:v>
      </x:c>
      <x:c r="H771" s="31" t="n">
        <x:v>13076</x:v>
      </x:c>
      <x:c r="I771" s="31" t="n">
        <x:v>4.168269083677528</x:v>
      </x:c>
      <x:c r="J771" s="40" t="n">
        <x:v>0.017589476904252065</x:v>
      </x:c>
      <x:c r="K771" s="40" t="n">
        <x:v>0.5395380850412971</x:v>
      </x:c>
      <x:c r="L771" s="40" t="n">
        <x:v>0.006959314775160599</x:v>
      </x:c>
      <x:c r="M771" s="31" t="n">
        <x:v>48.37685555747093</x:v>
      </x:c>
      <x:c r="N771" s="31" t="n">
        <x:v>105</x:v>
      </x:c>
      <x:c r="O771" s="31" t="n">
        <x:v>2.9646779795013694</x:v>
      </x:c>
      <x:c r="P771" s="31" t="n">
        <x:v>4.794203120220251</x:v>
      </x:c>
      <x:c r="Q771" s="40" t="n">
        <x:v>1</x:v>
      </x:c>
      <x:c r="R771" s="31" t="n">
        <x:v>0.14669495867344753</x:v>
      </x:c>
      <x:c r="S771" s="40"/>
      <x:c r="T771" s="40"/>
      <x:c r="U771" s="40" t="n">
        <x:v>1</x:v>
      </x:c>
      <x:c r="V771" s="40" t="n">
        <x:v>0.9866931783420007</x:v>
      </x:c>
      <x:c r="W771" s="31" t="n">
        <x:v>1</x:v>
      </x:c>
      <x:c r="X771" s="31" t="str"/>
      <x:c r="Y771" s="31" t="n">
        <x:v>0</x:v>
      </x:c>
      <x:c r="Z771" s="31" t="n">
        <x:v>1</x:v>
      </x:c>
      <x:c r="AA771" s="31" t="n">
        <x:v>0</x:v>
      </x:c>
      <x:c r="AB771" s="31" t="str"/>
      <x:c r="AC771" s="31" t="str"/>
    </x:row>
    <x:row r="772">
      <x:c r="A772" s="31" t="str">
        <x:v>e697e74b3fe102f5</x:v>
      </x:c>
      <x:c r="B772" s="31" t="str">
        <x:v>e697e74b3fe102f514a5b07d43c86ce8331b9bcea618e029b3b4611c5ccf2874</x:v>
      </x:c>
      <x:c r="C772" s="31" t="n">
        <x:v>10</x:v>
      </x:c>
      <x:c r="D772" s="31" t="n">
        <x:v>37922</x:v>
      </x:c>
      <x:c r="E772" s="31" t="str">
        <x:v>Queens</x:v>
      </x:c>
      <x:c r="F772" s="31" t="str">
        <x:v>East Elmhurst</x:v>
      </x:c>
      <x:c r="G772" s="31" t="n">
        <x:v>46803.4291101474</x:v>
      </x:c>
      <x:c r="H772" s="31" t="n">
        <x:v>9547</x:v>
      </x:c>
      <x:c r="I772" s="31" t="n">
        <x:v>2.7204987426655487</x:v>
      </x:c>
      <x:c r="J772" s="40" t="n">
        <x:v>0</x:v>
      </x:c>
      <x:c r="K772" s="40" t="n">
        <x:v>0.2921336545511679</x:v>
      </x:c>
      <x:c r="L772" s="40" t="n">
        <x:v>0.0829579972766314</x:v>
      </x:c>
      <x:c r="M772" s="31" t="n">
        <x:v>32.455412008465586</x:v>
      </x:c>
      <x:c r="N772" s="31" t="n">
        <x:v>29</x:v>
      </x:c>
      <x:c r="O772" s="31" t="n">
        <x:v>0.7647275987553399</x:v>
      </x:c>
      <x:c r="P772" s="31" t="n">
        <x:v>4</x:v>
      </x:c>
      <x:c r="Q772" s="40" t="n">
        <x:v>1</x:v>
      </x:c>
      <x:c r="R772" s="31" t="n">
        <x:v>0.16821871963428195</x:v>
      </x:c>
      <x:c r="S772" s="40"/>
      <x:c r="T772" s="40"/>
      <x:c r="U772" s="40" t="n">
        <x:v>1</x:v>
      </x:c>
      <x:c r="V772" s="40" t="n">
        <x:v>0.9952864774274641</x:v>
      </x:c>
      <x:c r="W772" s="31" t="n">
        <x:v>0</x:v>
      </x:c>
      <x:c r="X772" s="31" t="str"/>
      <x:c r="Y772" s="31" t="n">
        <x:v>0</x:v>
      </x:c>
      <x:c r="Z772" s="31" t="n">
        <x:v>0</x:v>
      </x:c>
      <x:c r="AA772" s="31" t="n">
        <x:v>0</x:v>
      </x:c>
      <x:c r="AB772" s="31" t="str"/>
      <x:c r="AC772" s="31" t="str"/>
    </x:row>
    <x:row r="773">
      <x:c r="A773" s="31" t="str">
        <x:v>e6a55f8544d17ff2</x:v>
      </x:c>
      <x:c r="B773" s="31" t="str">
        <x:v>e6a55f8544d17ff21d03ce975d991499808bd700d50c5f352e7c1becc775c295</x:v>
      </x:c>
      <x:c r="C773" s="31" t="n">
        <x:v>9</x:v>
      </x:c>
      <x:c r="D773" s="31" t="n">
        <x:v>35069</x:v>
      </x:c>
      <x:c r="E773" s="31" t="str">
        <x:v>Brooklyn</x:v>
      </x:c>
      <x:c r="F773" s="31" t="str">
        <x:v>Bedford-Stuyvesant (East)</x:v>
      </x:c>
      <x:c r="G773" s="31" t="n">
        <x:v>56275.077161602596</x:v>
      </x:c>
      <x:c r="H773" s="31" t="n">
        <x:v>15485</x:v>
      </x:c>
      <x:c r="I773" s="31" t="n">
        <x:v>3.6352560348753986</x:v>
      </x:c>
      <x:c r="J773" s="40" t="n">
        <x:v>0.021375524701323863</x:v>
      </x:c>
      <x:c r="K773" s="40" t="n">
        <x:v>0.6907329673877947</x:v>
      </x:c>
      <x:c r="L773" s="40" t="n">
        <x:v>0.10158217629964482</x:v>
      </x:c>
      <x:c r="M773" s="31" t="n">
        <x:v>42.6025787039388</x:v>
      </x:c>
      <x:c r="N773" s="31" t="n">
        <x:v>79</x:v>
      </x:c>
      <x:c r="O773" s="31" t="n">
        <x:v>2.2527018164190595</x:v>
      </x:c>
      <x:c r="P773" s="31" t="n">
        <x:v>4.634937035841136</x:v>
      </x:c>
      <x:c r="Q773" s="40" t="n">
        <x:v>1</x:v>
      </x:c>
      <x:c r="R773" s="31" t="n">
        <x:v>0.1243747959188257</x:v>
      </x:c>
      <x:c r="S773" s="40"/>
      <x:c r="T773" s="40"/>
      <x:c r="U773" s="40" t="n">
        <x:v>1</x:v>
      </x:c>
      <x:c r="V773" s="40" t="n">
        <x:v>0.9709396189861156</x:v>
      </x:c>
      <x:c r="W773" s="31" t="n">
        <x:v>1</x:v>
      </x:c>
      <x:c r="X773" s="31" t="str"/>
      <x:c r="Y773" s="31" t="n">
        <x:v>0</x:v>
      </x:c>
      <x:c r="Z773" s="31" t="n">
        <x:v>1</x:v>
      </x:c>
      <x:c r="AA773" s="31" t="n">
        <x:v>0</x:v>
      </x:c>
      <x:c r="AB773" s="31" t="str"/>
      <x:c r="AC773" s="31" t="str"/>
    </x:row>
    <x:row r="774">
      <x:c r="A774" s="31" t="str">
        <x:v>e70f034a385e0358</x:v>
      </x:c>
      <x:c r="B774" s="31" t="str">
        <x:v>e70f034a385e03580517b588db93401a8755cb5bdfffad17e7ebe07990253026</x:v>
      </x:c>
      <x:c r="C774" s="31" t="n">
        <x:v>7</x:v>
      </x:c>
      <x:c r="D774" s="31" t="n">
        <x:v>33649</x:v>
      </x:c>
      <x:c r="E774" s="31" t="str">
        <x:v>Manhattan</x:v>
      </x:c>
      <x:c r="F774" s="31" t="str">
        <x:v>East Midtown-Turtle Bay</x:v>
      </x:c>
      <x:c r="G774" s="31" t="n">
        <x:v>113071.1225586802</x:v>
      </x:c>
      <x:c r="H774" s="31" t="n">
        <x:v>24713</x:v>
      </x:c>
      <x:c r="I774" s="31" t="n">
        <x:v>19.99366019456995</x:v>
      </x:c>
      <x:c r="J774" s="40" t="n">
        <x:v>0.802775866952616</x:v>
      </x:c>
      <x:c r="K774" s="40" t="n">
        <x:v>0.1911544531218387</x:v>
      </x:c>
      <x:c r="L774" s="40" t="n">
        <x:v>0.020798769878201756</x:v>
      </x:c>
      <x:c r="M774" s="31" t="n">
        <x:v>207.78132536213744</x:v>
      </x:c>
      <x:c r="N774" s="31" t="n">
        <x:v>681</x:v>
      </x:c>
      <x:c r="O774" s="31" t="n">
        <x:v>20.238342892805136</x:v>
      </x:c>
      <x:c r="P774" s="31" t="n">
        <x:v>1.0419617205519363</x:v>
      </x:c>
      <x:c r="Q774" s="40" t="n">
        <x:v>0</x:v>
      </x:c>
      <x:c r="R774" s="31" t="n">
        <x:v>0.22603363542295965</x:v>
      </x:c>
      <x:c r="S774" s="40"/>
      <x:c r="T774" s="40"/>
      <x:c r="U774" s="40" t="n">
        <x:v>1</x:v>
      </x:c>
      <x:c r="V774" s="40" t="n">
        <x:v>0.9952251851252377</x:v>
      </x:c>
      <x:c r="W774" s="31" t="n">
        <x:v>1</x:v>
      </x:c>
      <x:c r="X774" s="31" t="str"/>
      <x:c r="Y774" s="31" t="n">
        <x:v>1</x:v>
      </x:c>
      <x:c r="Z774" s="31" t="n">
        <x:v>0</x:v>
      </x:c>
      <x:c r="AA774" s="31" t="n">
        <x:v>0</x:v>
      </x:c>
      <x:c r="AB774" s="31" t="str"/>
      <x:c r="AC774" s="31" t="str"/>
    </x:row>
    <x:row r="775">
      <x:c r="A775" s="31" t="str">
        <x:v>e7d16b2c348f8a3a</x:v>
      </x:c>
      <x:c r="B775" s="31" t="str">
        <x:v>e7d16b2c348f8a3ae4ee5fb80c6a37ce793f9c36233a5917da4c34e292c37c61</x:v>
      </x:c>
      <x:c r="C775" s="31" t="n">
        <x:v>7</x:v>
      </x:c>
      <x:c r="D775" s="31" t="n">
        <x:v>35889</x:v>
      </x:c>
      <x:c r="E775" s="31" t="str">
        <x:v>Staten Island</x:v>
      </x:c>
      <x:c r="F775" s="31" t="str">
        <x:v>New Springville-Willowbrook-Bulls Head-Travis</x:v>
      </x:c>
      <x:c r="G775" s="31" t="n">
        <x:v>5719.235112838674</x:v>
      </x:c>
      <x:c r="H775" s="31" t="n">
        <x:v>12361</x:v>
      </x:c>
      <x:c r="I775" s="31" t="n">
        <x:v>2.023678462927991</x:v>
      </x:c>
      <x:c r="J775" s="40" t="n">
        <x:v>0</x:v>
      </x:c>
      <x:c r="K775" s="40" t="n">
        <x:v>0.08332659169970068</x:v>
      </x:c>
      <x:c r="L775" s="40" t="n">
        <x:v>0.16438799449882696</x:v>
      </x:c>
      <x:c r="M775" s="31" t="n">
        <x:v>26.768689902987354</x:v>
      </x:c>
      <x:c r="N775" s="31" t="n">
        <x:v>7</x:v>
      </x:c>
      <x:c r="O775" s="31" t="n">
        <x:v>0.1950458357714063</x:v>
      </x:c>
      <x:c r="P775" s="31" t="n">
        <x:v>1.4540894749615727</x:v>
      </x:c>
      <x:c r="Q775" s="40" t="n">
        <x:v>0.06302079119812314</x:v>
      </x:c>
      <x:c r="R775" s="31" t="n">
        <x:v>0.30006470843533334</x:v>
      </x:c>
      <x:c r="S775" s="40"/>
      <x:c r="T775" s="40"/>
      <x:c r="U775" s="40" t="n">
        <x:v>1</x:v>
      </x:c>
      <x:c r="V775" s="40" t="n">
        <x:v>0.9914246420192541</x:v>
      </x:c>
      <x:c r="W775" s="31" t="n">
        <x:v>0</x:v>
      </x:c>
      <x:c r="X775" s="31" t="str"/>
      <x:c r="Y775" s="31" t="n">
        <x:v>0</x:v>
      </x:c>
      <x:c r="Z775" s="31" t="n">
        <x:v>0</x:v>
      </x:c>
      <x:c r="AA775" s="31" t="n">
        <x:v>0</x:v>
      </x:c>
      <x:c r="AB775" s="31" t="str"/>
      <x:c r="AC775" s="31" t="str"/>
    </x:row>
    <x:row r="776">
      <x:c r="A776" s="31" t="str">
        <x:v>e82d25f93d3f2bd8</x:v>
      </x:c>
      <x:c r="B776" s="31" t="str">
        <x:v>e82d25f93d3f2bd88f05c3ab46a1c865a0544be01b3f1e45c082c9f328328040</x:v>
      </x:c>
      <x:c r="C776" s="31" t="n">
        <x:v>10</x:v>
      </x:c>
      <x:c r="D776" s="31" t="n">
        <x:v>34720</x:v>
      </x:c>
      <x:c r="E776" s="31" t="str">
        <x:v>Brooklyn</x:v>
      </x:c>
      <x:c r="F776" s="31" t="str">
        <x:v>Kensington</x:v>
      </x:c>
      <x:c r="G776" s="31" t="n">
        <x:v>55845.86075481191</x:v>
      </x:c>
      <x:c r="H776" s="31" t="n">
        <x:v>14546</x:v>
      </x:c>
      <x:c r="I776" s="31" t="n">
        <x:v>5.390347861955177</x:v>
      </x:c>
      <x:c r="J776" s="40" t="n">
        <x:v>0.06819744259590266</x:v>
      </x:c>
      <x:c r="K776" s="40" t="n">
        <x:v>0.7347724460332737</x:v>
      </x:c>
      <x:c r="L776" s="40" t="n">
        <x:v>0.0070122370411109585</x:v>
      </x:c>
      <x:c r="M776" s="31" t="n">
        <x:v>60.01000168669125</x:v>
      </x:c>
      <x:c r="N776" s="31" t="n">
        <x:v>210</x:v>
      </x:c>
      <x:c r="O776" s="31" t="n">
        <x:v>6.048387096774193</x:v>
      </x:c>
      <x:c r="P776" s="31" t="n">
        <x:v>3.505293551491819</x:v>
      </x:c>
      <x:c r="Q776" s="40" t="n">
        <x:v>0.25264677574590955</x:v>
      </x:c>
      <x:c r="R776" s="31" t="n">
        <x:v>0.13822991512703664</x:v>
      </x:c>
      <x:c r="S776" s="40"/>
      <x:c r="T776" s="40"/>
      <x:c r="U776" s="40" t="n">
        <x:v>1</x:v>
      </x:c>
      <x:c r="V776" s="40" t="n">
        <x:v>0.9879692011549567</x:v>
      </x:c>
      <x:c r="W776" s="31" t="n">
        <x:v>0</x:v>
      </x:c>
      <x:c r="X776" s="31" t="str"/>
      <x:c r="Y776" s="31" t="n">
        <x:v>0</x:v>
      </x:c>
      <x:c r="Z776" s="31" t="n">
        <x:v>0</x:v>
      </x:c>
      <x:c r="AA776" s="31" t="n">
        <x:v>0</x:v>
      </x:c>
      <x:c r="AB776" s="31" t="str"/>
      <x:c r="AC776" s="31" t="str"/>
    </x:row>
    <x:row r="777">
      <x:c r="A777" s="31" t="str">
        <x:v>e84cdf4eba1b334a</x:v>
      </x:c>
      <x:c r="B777" s="31" t="str">
        <x:v>e84cdf4eba1b334a585b4f8aafa1d25fff0f5210051616b73d07b4cebe7e50f2</x:v>
      </x:c>
      <x:c r="C777" s="31" t="n">
        <x:v>8</x:v>
      </x:c>
      <x:c r="D777" s="31" t="n">
        <x:v>36991</x:v>
      </x:c>
      <x:c r="E777" s="31" t="str">
        <x:v>Bronx</x:v>
      </x:c>
      <x:c r="F777" s="31" t="str">
        <x:v>Mount Eden-Claremont (West)</x:v>
      </x:c>
      <x:c r="G777" s="31" t="n">
        <x:v>122552.94909595014</x:v>
      </x:c>
      <x:c r="H777" s="31" t="n">
        <x:v>13782</x:v>
      </x:c>
      <x:c r="I777" s="31" t="n">
        <x:v>6.625489769264258</x:v>
      </x:c>
      <x:c r="J777" s="40" t="n">
        <x:v>0.1412712233347845</x:v>
      </x:c>
      <x:c r="K777" s="40" t="n">
        <x:v>0.8506747932085329</x:v>
      </x:c>
      <x:c r="L777" s="40" t="n">
        <x:v>0.030764765636337253</x:v>
      </x:c>
      <x:c r="M777" s="31" t="n">
        <x:v>71.53131328519541</x:v>
      </x:c>
      <x:c r="N777" s="31" t="n">
        <x:v>178</x:v>
      </x:c>
      <x:c r="O777" s="31" t="n">
        <x:v>4.811981292746885</x:v>
      </x:c>
      <x:c r="P777" s="31" t="n">
        <x:v>5</x:v>
      </x:c>
      <x:c r="Q777" s="40" t="n">
        <x:v>1</x:v>
      </x:c>
      <x:c r="R777" s="31" t="n">
        <x:v>0.11185622904772809</x:v>
      </x:c>
      <x:c r="S777" s="40"/>
      <x:c r="T777" s="40"/>
      <x:c r="U777" s="40" t="n">
        <x:v>1</x:v>
      </x:c>
      <x:c r="V777" s="40" t="n">
        <x:v>0.9820780728486431</x:v>
      </x:c>
      <x:c r="W777" s="31" t="n">
        <x:v>1</x:v>
      </x:c>
      <x:c r="X777" s="31" t="str"/>
      <x:c r="Y777" s="31" t="n">
        <x:v>0</x:v>
      </x:c>
      <x:c r="Z777" s="31" t="n">
        <x:v>1</x:v>
      </x:c>
      <x:c r="AA777" s="31" t="n">
        <x:v>0</x:v>
      </x:c>
      <x:c r="AB777" s="31" t="str"/>
      <x:c r="AC777" s="31" t="str"/>
    </x:row>
    <x:row r="778">
      <x:c r="A778" s="31" t="str">
        <x:v>e86dbc5752916281</x:v>
      </x:c>
      <x:c r="B778" s="31" t="str">
        <x:v>e86dbc57529162813c8f52b7cfa3e0f294384abcfe3e056b71d5cabec887c505</x:v>
      </x:c>
      <x:c r="C778" s="31" t="n">
        <x:v>9</x:v>
      </x:c>
      <x:c r="D778" s="31" t="n">
        <x:v>35675</x:v>
      </x:c>
      <x:c r="E778" s="31" t="str">
        <x:v>Queens</x:v>
      </x:c>
      <x:c r="F778" s="31" t="str">
        <x:v>Jamaica Hills-Briarwood</x:v>
      </x:c>
      <x:c r="G778" s="31" t="n">
        <x:v>42545.60778926117</x:v>
      </x:c>
      <x:c r="H778" s="31" t="n">
        <x:v>13461</x:v>
      </x:c>
      <x:c r="I778" s="31" t="n">
        <x:v>5.459458234244947</x:v>
      </x:c>
      <x:c r="J778" s="40" t="n">
        <x:v>0.12428497139885596</x:v>
      </x:c>
      <x:c r="K778" s="40" t="n">
        <x:v>0.5353242701136617</x:v>
      </x:c>
      <x:c r="L778" s="40" t="n">
        <x:v>0.13178812866800385</x:v>
      </x:c>
      <x:c r="M778" s="31" t="n">
        <x:v>62.527438225586046</x:v>
      </x:c>
      <x:c r="N778" s="31" t="n">
        <x:v>135</x:v>
      </x:c>
      <x:c r="O778" s="31" t="n">
        <x:v>3.7841625788367206</x:v>
      </x:c>
      <x:c r="P778" s="31" t="n">
        <x:v>3.655151920362529</x:v>
      </x:c>
      <x:c r="Q778" s="40" t="n">
        <x:v>0.6925934180224352</x:v>
      </x:c>
      <x:c r="R778" s="31" t="n">
        <x:v>0.17457952746643937</x:v>
      </x:c>
      <x:c r="S778" s="40"/>
      <x:c r="T778" s="40"/>
      <x:c r="U778" s="40" t="n">
        <x:v>1</x:v>
      </x:c>
      <x:c r="V778" s="40" t="n">
        <x:v>0.979867766139217</x:v>
      </x:c>
      <x:c r="W778" s="31" t="n">
        <x:v>0</x:v>
      </x:c>
      <x:c r="X778" s="31" t="str"/>
      <x:c r="Y778" s="31" t="n">
        <x:v>0</x:v>
      </x:c>
      <x:c r="Z778" s="31" t="n">
        <x:v>0</x:v>
      </x:c>
      <x:c r="AA778" s="31" t="n">
        <x:v>0</x:v>
      </x:c>
      <x:c r="AB778" s="31" t="str"/>
      <x:c r="AC778" s="31" t="str"/>
    </x:row>
    <x:row r="779">
      <x:c r="A779" s="31" t="str">
        <x:v>e87a3567d7f4bb13</x:v>
      </x:c>
      <x:c r="B779" s="31" t="str">
        <x:v>e87a3567d7f4bb13c64ab1a9fb125ca3b3b945e7862265c23458c962e34e3b6a</x:v>
      </x:c>
      <x:c r="C779" s="31" t="n">
        <x:v>10</x:v>
      </x:c>
      <x:c r="D779" s="31" t="n">
        <x:v>32948</x:v>
      </x:c>
      <x:c r="E779" s="31" t="str">
        <x:v>Queens</x:v>
      </x:c>
      <x:c r="F779" s="31" t="str">
        <x:v>Ridgewood</x:v>
      </x:c>
      <x:c r="G779" s="31" t="n">
        <x:v>50235.28806190824</x:v>
      </x:c>
      <x:c r="H779" s="31" t="n">
        <x:v>12111</x:v>
      </x:c>
      <x:c r="I779" s="31" t="n">
        <x:v>2.563183819254091</x:v>
      </x:c>
      <x:c r="J779" s="40" t="n">
        <x:v>0</x:v>
      </x:c>
      <x:c r="K779" s="40" t="n">
        <x:v>0.46271984146643547</x:v>
      </x:c>
      <x:c r="L779" s="40" t="n">
        <x:v>0.012633143423334159</x:v>
      </x:c>
      <x:c r="M779" s="31" t="n">
        <x:v>31.742351011517506</x:v>
      </x:c>
      <x:c r="N779" s="31" t="n">
        <x:v>11</x:v>
      </x:c>
      <x:c r="O779" s="31" t="n">
        <x:v>0.33385941483549836</x:v>
      </x:c>
      <x:c r="P779" s="31" t="n">
        <x:v>1</x:v>
      </x:c>
      <x:c r="Q779" s="40" t="n">
        <x:v>0</x:v>
      </x:c>
      <x:c r="R779" s="31" t="n">
        <x:v>0.20222479623806566</x:v>
      </x:c>
      <x:c r="S779" s="40"/>
      <x:c r="T779" s="40"/>
      <x:c r="U779" s="40" t="n">
        <x:v>1</x:v>
      </x:c>
      <x:c r="V779" s="40" t="n">
        <x:v>0.9973577739245314</x:v>
      </x:c>
      <x:c r="W779" s="31" t="n">
        <x:v>0</x:v>
      </x:c>
      <x:c r="X779" s="31" t="str"/>
      <x:c r="Y779" s="31" t="n">
        <x:v>0</x:v>
      </x:c>
      <x:c r="Z779" s="31" t="n">
        <x:v>0</x:v>
      </x:c>
      <x:c r="AA779" s="31" t="n">
        <x:v>0</x:v>
      </x:c>
      <x:c r="AB779" s="31" t="str"/>
      <x:c r="AC779" s="31" t="str"/>
    </x:row>
    <x:row r="780">
      <x:c r="A780" s="31" t="str">
        <x:v>e89f654e917eb309</x:v>
      </x:c>
      <x:c r="B780" s="31" t="str">
        <x:v>e89f654e917eb309737c38ac07b2e9a353f1dfcee2af05dede3c9010c0e46265</x:v>
      </x:c>
      <x:c r="C780" s="31" t="n">
        <x:v>9</x:v>
      </x:c>
      <x:c r="D780" s="31" t="n">
        <x:v>35451</x:v>
      </x:c>
      <x:c r="E780" s="31" t="str">
        <x:v>Brooklyn</x:v>
      </x:c>
      <x:c r="F780" s="31" t="str">
        <x:v>Clinton Hill</x:v>
      </x:c>
      <x:c r="G780" s="31" t="n">
        <x:v>58530.56262550709</x:v>
      </x:c>
      <x:c r="H780" s="31" t="n">
        <x:v>18397</x:v>
      </x:c>
      <x:c r="I780" s="31" t="n">
        <x:v>8.005235258425728</x:v>
      </x:c>
      <x:c r="J780" s="40" t="n">
        <x:v>0.2693373919660814</x:v>
      </x:c>
      <x:c r="K780" s="40" t="n">
        <x:v>0.685981410012502</x:v>
      </x:c>
      <x:c r="L780" s="40" t="n">
        <x:v>0.0924063706039028</x:v>
      </x:c>
      <x:c r="M780" s="31" t="n">
        <x:v>85.75859001776766</x:v>
      </x:c>
      <x:c r="N780" s="31" t="n">
        <x:v>244</x:v>
      </x:c>
      <x:c r="O780" s="31" t="n">
        <x:v>6.882739556006882</x:v>
      </x:c>
      <x:c r="P780" s="31" t="n">
        <x:v>2.581616567918682</x:v>
      </x:c>
      <x:c r="Q780" s="40" t="n">
        <x:v>0.2908082839593412</x:v>
      </x:c>
      <x:c r="R780" s="31" t="n">
        <x:v>0.11681305610159147</x:v>
      </x:c>
      <x:c r="S780" s="40"/>
      <x:c r="T780" s="40"/>
      <x:c r="U780" s="40" t="n">
        <x:v>1</x:v>
      </x:c>
      <x:c r="V780" s="40" t="n">
        <x:v>0.9905419361852476</x:v>
      </x:c>
      <x:c r="W780" s="31" t="n">
        <x:v>0</x:v>
      </x:c>
      <x:c r="X780" s="31" t="str"/>
      <x:c r="Y780" s="31" t="n">
        <x:v>0</x:v>
      </x:c>
      <x:c r="Z780" s="31" t="n">
        <x:v>0</x:v>
      </x:c>
      <x:c r="AA780" s="31" t="n">
        <x:v>0</x:v>
      </x:c>
      <x:c r="AB780" s="31" t="str"/>
      <x:c r="AC780" s="31" t="str"/>
    </x:row>
    <x:row r="781">
      <x:c r="A781" s="31" t="str">
        <x:v>e905098b65c2dd8f</x:v>
      </x:c>
      <x:c r="B781" s="31" t="str">
        <x:v>e905098b65c2dd8f2b0bb27ac06f4ec2a917782c7ad82aa133a6d0ee46ebb006</x:v>
      </x:c>
      <x:c r="C781" s="31" t="n">
        <x:v>8</x:v>
      </x:c>
      <x:c r="D781" s="31" t="n">
        <x:v>37661</x:v>
      </x:c>
      <x:c r="E781" s="31" t="str">
        <x:v>Queens</x:v>
      </x:c>
      <x:c r="F781" s="31" t="str">
        <x:v>Flushing-Willets Point</x:v>
      </x:c>
      <x:c r="G781" s="31" t="n">
        <x:v>47218.6513789791</x:v>
      </x:c>
      <x:c r="H781" s="31" t="n">
        <x:v>15608</x:v>
      </x:c>
      <x:c r="I781" s="31" t="n">
        <x:v>9.755142365249636</x:v>
      </x:c>
      <x:c r="J781" s="40" t="n">
        <x:v>0.4081881086622245</x:v>
      </x:c>
      <x:c r="K781" s="40" t="n">
        <x:v>0.5283188108662225</x:v>
      </x:c>
      <x:c r="L781" s="40" t="n">
        <x:v>0.07938236801640185</x:v>
      </x:c>
      <x:c r="M781" s="31" t="n">
        <x:v>98.26660411699812</x:v>
      </x:c>
      <x:c r="N781" s="31" t="n">
        <x:v>381</x:v>
      </x:c>
      <x:c r="O781" s="31" t="n">
        <x:v>10.116566209075701</x:v>
      </x:c>
      <x:c r="P781" s="31" t="n">
        <x:v>4</x:v>
      </x:c>
      <x:c r="Q781" s="40" t="n">
        <x:v>1</x:v>
      </x:c>
      <x:c r="R781" s="31" t="n">
        <x:v>0.20262480698850244</x:v>
      </x:c>
      <x:c r="S781" s="40"/>
      <x:c r="T781" s="40"/>
      <x:c r="U781" s="40" t="n">
        <x:v>1</x:v>
      </x:c>
      <x:c r="V781" s="40" t="n">
        <x:v>0.9188236801640185</x:v>
      </x:c>
      <x:c r="W781" s="31" t="n">
        <x:v>1</x:v>
      </x:c>
      <x:c r="X781" s="31" t="str"/>
      <x:c r="Y781" s="31" t="n">
        <x:v>0</x:v>
      </x:c>
      <x:c r="Z781" s="31" t="n">
        <x:v>1</x:v>
      </x:c>
      <x:c r="AA781" s="31" t="n">
        <x:v>0</x:v>
      </x:c>
      <x:c r="AB781" s="31" t="str"/>
      <x:c r="AC781" s="31" t="str"/>
    </x:row>
    <x:row r="782">
      <x:c r="A782" s="31" t="str">
        <x:v>e9c1b900dc9e40ad</x:v>
      </x:c>
      <x:c r="B782" s="31" t="str">
        <x:v>e9c1b900dc9e40ada90a4ce3f8535edd7f89d44aef6e205f60dc50813ddb4e0a</x:v>
      </x:c>
      <x:c r="C782" s="31" t="n">
        <x:v>9</x:v>
      </x:c>
      <x:c r="D782" s="31" t="n">
        <x:v>33037</x:v>
      </x:c>
      <x:c r="E782" s="31" t="str">
        <x:v>Brooklyn</x:v>
      </x:c>
      <x:c r="F782" s="31" t="str">
        <x:v>Bedford-Stuyvesant (West)</x:v>
      </x:c>
      <x:c r="G782" s="31" t="n">
        <x:v>72124.3937331861</x:v>
      </x:c>
      <x:c r="H782" s="31" t="n">
        <x:v>14733</x:v>
      </x:c>
      <x:c r="I782" s="31" t="n">
        <x:v>6.1396915025478584</x:v>
      </x:c>
      <x:c r="J782" s="40" t="n">
        <x:v>0.18251544152582638</x:v>
      </x:c>
      <x:c r="K782" s="40" t="n">
        <x:v>0.6806488834589017</x:v>
      </x:c>
      <x:c r="L782" s="40" t="n">
        <x:v>0.2522229009706102</x:v>
      </x:c>
      <x:c r="M782" s="31" t="n">
        <x:v>70.89689705206727</x:v>
      </x:c>
      <x:c r="N782" s="31" t="n">
        <x:v>161</x:v>
      </x:c>
      <x:c r="O782" s="31" t="n">
        <x:v>4.873323849017768</x:v>
      </x:c>
      <x:c r="P782" s="31" t="n">
        <x:v>4</x:v>
      </x:c>
      <x:c r="Q782" s="40" t="n">
        <x:v>1</x:v>
      </x:c>
      <x:c r="R782" s="31" t="n">
        <x:v>0.12344822782339424</x:v>
      </x:c>
      <x:c r="S782" s="40"/>
      <x:c r="T782" s="40"/>
      <x:c r="U782" s="40" t="n">
        <x:v>1</x:v>
      </x:c>
      <x:c r="V782" s="40" t="n">
        <x:v>0.9564243534921605</x:v>
      </x:c>
      <x:c r="W782" s="31" t="n">
        <x:v>1</x:v>
      </x:c>
      <x:c r="X782" s="31" t="str"/>
      <x:c r="Y782" s="31" t="n">
        <x:v>0</x:v>
      </x:c>
      <x:c r="Z782" s="31" t="n">
        <x:v>1</x:v>
      </x:c>
      <x:c r="AA782" s="31" t="n">
        <x:v>0</x:v>
      </x:c>
      <x:c r="AB782" s="31" t="str"/>
      <x:c r="AC782" s="31" t="str"/>
    </x:row>
    <x:row r="783">
      <x:c r="A783" s="31" t="str">
        <x:v>e9cb29e8bdcd7805</x:v>
      </x:c>
      <x:c r="B783" s="31" t="str">
        <x:v>e9cb29e8bdcd7805c037ddc914f33fe2cd9137c188dc3d95ab120d26366ce2e5</x:v>
      </x:c>
      <x:c r="C783" s="31" t="n">
        <x:v>7</x:v>
      </x:c>
      <x:c r="D783" s="31" t="n">
        <x:v>37805</x:v>
      </x:c>
      <x:c r="E783" s="31" t="str">
        <x:v>Bronx</x:v>
      </x:c>
      <x:c r="F783" s="31" t="str">
        <x:v>Castle Hill-Unionport</x:v>
      </x:c>
      <x:c r="G783" s="31" t="n">
        <x:v>54542.19858699475</x:v>
      </x:c>
      <x:c r="H783" s="31" t="n">
        <x:v>12900</x:v>
      </x:c>
      <x:c r="I783" s="31" t="n">
        <x:v>4.737779513719363</x:v>
      </x:c>
      <x:c r="J783" s="40" t="n">
        <x:v>0.11992248062015504</x:v>
      </x:c>
      <x:c r="K783" s="40" t="n">
        <x:v>0.34782945736434107</x:v>
      </x:c>
      <x:c r="L783" s="40" t="n">
        <x:v>0.22387596899224807</x:v>
      </x:c>
      <x:c r="M783" s="31" t="n">
        <x:v>73.41737058694494</x:v>
      </x:c>
      <x:c r="N783" s="31" t="n">
        <x:v>114</x:v>
      </x:c>
      <x:c r="O783" s="31" t="n">
        <x:v>3.0154741436317947</x:v>
      </x:c>
      <x:c r="P783" s="31" t="n">
        <x:v>4.473875968992248</x:v>
      </x:c>
      <x:c r="Q783" s="40" t="n">
        <x:v>1</x:v>
      </x:c>
      <x:c r="R783" s="31" t="n">
        <x:v>0.14590303186388326</x:v>
      </x:c>
      <x:c r="S783" s="40"/>
      <x:c r="T783" s="40"/>
      <x:c r="U783" s="40" t="n">
        <x:v>1</x:v>
      </x:c>
      <x:c r="V783" s="40" t="n">
        <x:v>0.9685271317829457</x:v>
      </x:c>
      <x:c r="W783" s="31" t="n">
        <x:v>0</x:v>
      </x:c>
      <x:c r="X783" s="31" t="str"/>
      <x:c r="Y783" s="31" t="n">
        <x:v>0</x:v>
      </x:c>
      <x:c r="Z783" s="31" t="n">
        <x:v>0</x:v>
      </x:c>
      <x:c r="AA783" s="31" t="n">
        <x:v>0</x:v>
      </x:c>
      <x:c r="AB783" s="31" t="str"/>
      <x:c r="AC783" s="31" t="str"/>
    </x:row>
    <x:row r="784">
      <x:c r="A784" s="31" t="str">
        <x:v>ea6179c2e8b2d254</x:v>
      </x:c>
      <x:c r="B784" s="31" t="str">
        <x:v>ea6179c2e8b2d25434200f3e243abc365a8293245e1122655a55315f9d7e3c3a</x:v>
      </x:c>
      <x:c r="C784" s="31" t="n">
        <x:v>9</x:v>
      </x:c>
      <x:c r="D784" s="31" t="n">
        <x:v>33195</x:v>
      </x:c>
      <x:c r="E784" s="31" t="str">
        <x:v>Bronx</x:v>
      </x:c>
      <x:c r="F784" s="31" t="str">
        <x:v>Williamsbridge-Olinville</x:v>
      </x:c>
      <x:c r="G784" s="31" t="n">
        <x:v>44993.18559279522</x:v>
      </x:c>
      <x:c r="H784" s="31" t="n">
        <x:v>11081</x:v>
      </x:c>
      <x:c r="I784" s="31" t="n">
        <x:v>2.9358810213690694</x:v>
      </x:c>
      <x:c r="J784" s="40" t="n">
        <x:v>0</x:v>
      </x:c>
      <x:c r="K784" s="40" t="n">
        <x:v>0.48226694341665916</x:v>
      </x:c>
      <x:c r="L784" s="40" t="n">
        <x:v>0.14484252323797492</x:v>
      </x:c>
      <x:c r="M784" s="31" t="n">
        <x:v>34.14336124494863</x:v>
      </x:c>
      <x:c r="N784" s="31" t="n">
        <x:v>18</x:v>
      </x:c>
      <x:c r="O784" s="31" t="n">
        <x:v>0.5422503389064618</x:v>
      </x:c>
      <x:c r="P784" s="31" t="n">
        <x:v>4.795957043588124</x:v>
      </x:c>
      <x:c r="Q784" s="40" t="n">
        <x:v>1</x:v>
      </x:c>
      <x:c r="R784" s="31" t="n">
        <x:v>0.17661013822460264</x:v>
      </x:c>
      <x:c r="S784" s="40"/>
      <x:c r="T784" s="40"/>
      <x:c r="U784" s="40" t="n">
        <x:v>1</x:v>
      </x:c>
      <x:c r="V784" s="40" t="n">
        <x:v>0.9838462232650483</x:v>
      </x:c>
      <x:c r="W784" s="31" t="n">
        <x:v>0</x:v>
      </x:c>
      <x:c r="X784" s="31" t="str"/>
      <x:c r="Y784" s="31" t="n">
        <x:v>0</x:v>
      </x:c>
      <x:c r="Z784" s="31" t="n">
        <x:v>0</x:v>
      </x:c>
      <x:c r="AA784" s="31" t="n">
        <x:v>0</x:v>
      </x:c>
      <x:c r="AB784" s="31" t="str"/>
      <x:c r="AC784" s="31" t="str"/>
    </x:row>
    <x:row r="785">
      <x:c r="A785" s="31" t="str">
        <x:v>ea9d42ebf660f714</x:v>
      </x:c>
      <x:c r="B785" s="31" t="str">
        <x:v>ea9d42ebf660f71404e5cde855f3a8f790e5b6806162b9de99160e646b24e3ea</x:v>
      </x:c>
      <x:c r="C785" s="31" t="n">
        <x:v>7</x:v>
      </x:c>
      <x:c r="D785" s="31" t="n">
        <x:v>37212</x:v>
      </x:c>
      <x:c r="E785" s="31" t="str">
        <x:v>Brooklyn</x:v>
      </x:c>
      <x:c r="F785" s="31" t="str">
        <x:v>Sunset Park (Central)</x:v>
      </x:c>
      <x:c r="G785" s="31" t="n">
        <x:v>82422.30627982682</x:v>
      </x:c>
      <x:c r="H785" s="31" t="n">
        <x:v>9546</x:v>
      </x:c>
      <x:c r="I785" s="31" t="n">
        <x:v>4.3894720301697046</x:v>
      </x:c>
      <x:c r="J785" s="40" t="n">
        <x:v>0.06075843285145611</x:v>
      </x:c>
      <x:c r="K785" s="40" t="n">
        <x:v>0.6018227529855437</x:v>
      </x:c>
      <x:c r="L785" s="40" t="n">
        <x:v>0.018541797611565054</x:v>
      </x:c>
      <x:c r="M785" s="31" t="n">
        <x:v>49.50084394967285</x:v>
      </x:c>
      <x:c r="N785" s="31" t="n">
        <x:v>85</x:v>
      </x:c>
      <x:c r="O785" s="31" t="n">
        <x:v>2.2842093948188755</x:v>
      </x:c>
      <x:c r="P785" s="31" t="n">
        <x:v>3</x:v>
      </x:c>
      <x:c r="Q785" s="40" t="n">
        <x:v>0</x:v>
      </x:c>
      <x:c r="R785" s="31" t="n">
        <x:v>0.16339272783096656</x:v>
      </x:c>
      <x:c r="S785" s="40"/>
      <x:c r="T785" s="40"/>
      <x:c r="U785" s="40" t="n">
        <x:v>1</x:v>
      </x:c>
      <x:c r="V785" s="40" t="n">
        <x:v>0.9926670856903415</x:v>
      </x:c>
      <x:c r="W785" s="31" t="n">
        <x:v>0</x:v>
      </x:c>
      <x:c r="X785" s="31" t="str"/>
      <x:c r="Y785" s="31" t="n">
        <x:v>0</x:v>
      </x:c>
      <x:c r="Z785" s="31" t="n">
        <x:v>0</x:v>
      </x:c>
      <x:c r="AA785" s="31" t="n">
        <x:v>0</x:v>
      </x:c>
      <x:c r="AB785" s="31" t="str"/>
      <x:c r="AC785" s="31" t="str"/>
    </x:row>
    <x:row r="786">
      <x:c r="A786" s="31" t="str">
        <x:v>eb2bffb487b4267a</x:v>
      </x:c>
      <x:c r="B786" s="31" t="str">
        <x:v>eb2bffb487b4267a01b6b3a72eb077667444421a5899c6c7b77e914b43e3a28d</x:v>
      </x:c>
      <x:c r="C786" s="31" t="n">
        <x:v>11</x:v>
      </x:c>
      <x:c r="D786" s="31" t="n">
        <x:v>33986</x:v>
      </x:c>
      <x:c r="E786" s="31" t="str">
        <x:v>Brooklyn</x:v>
      </x:c>
      <x:c r="F786" s="31" t="str">
        <x:v>Dyker Heights</x:v>
      </x:c>
      <x:c r="G786" s="31" t="n">
        <x:v>51428.51047135463</x:v>
      </x:c>
      <x:c r="H786" s="31" t="n">
        <x:v>10185</x:v>
      </x:c>
      <x:c r="I786" s="31" t="n">
        <x:v>2.5231581532416505</x:v>
      </x:c>
      <x:c r="J786" s="40" t="n">
        <x:v>0.00019636720667648503</x:v>
      </x:c>
      <x:c r="K786" s="40" t="n">
        <x:v>0.3219440353460972</x:v>
      </x:c>
      <x:c r="L786" s="40" t="n">
        <x:v>0.010603829160530192</x:v>
      </x:c>
      <x:c r="M786" s="31" t="n">
        <x:v>31.48230539858479</x:v>
      </x:c>
      <x:c r="N786" s="31" t="n">
        <x:v>31</x:v>
      </x:c>
      <x:c r="O786" s="31" t="n">
        <x:v>0.912140293061849</x:v>
      </x:c>
      <x:c r="P786" s="31" t="n">
        <x:v>3.3823269513991163</x:v>
      </x:c>
      <x:c r="Q786" s="40" t="n">
        <x:v>0.3823269513991163</x:v>
      </x:c>
      <x:c r="R786" s="31" t="n">
        <x:v>0.1749451054936808</x:v>
      </x:c>
      <x:c r="S786" s="40"/>
      <x:c r="T786" s="40"/>
      <x:c r="U786" s="40" t="n">
        <x:v>1</x:v>
      </x:c>
      <x:c r="V786" s="40" t="n">
        <x:v>0.9969563082965145</x:v>
      </x:c>
      <x:c r="W786" s="31" t="n">
        <x:v>0</x:v>
      </x:c>
      <x:c r="X786" s="31" t="str"/>
      <x:c r="Y786" s="31" t="n">
        <x:v>0</x:v>
      </x:c>
      <x:c r="Z786" s="31" t="n">
        <x:v>0</x:v>
      </x:c>
      <x:c r="AA786" s="31" t="n">
        <x:v>0</x:v>
      </x:c>
      <x:c r="AB786" s="31" t="str"/>
      <x:c r="AC786" s="31" t="str"/>
    </x:row>
    <x:row r="787">
      <x:c r="A787" s="31" t="str">
        <x:v>ebb336aff20a09eb</x:v>
      </x:c>
      <x:c r="B787" s="31" t="str">
        <x:v>ebb336aff20a09ebc8117f0c06c43f11a109c3ebd8f15fae650ee2af225fd82f</x:v>
      </x:c>
      <x:c r="C787" s="31" t="n">
        <x:v>9</x:v>
      </x:c>
      <x:c r="D787" s="31" t="n">
        <x:v>33189</x:v>
      </x:c>
      <x:c r="E787" s="31" t="str">
        <x:v>Brooklyn</x:v>
      </x:c>
      <x:c r="F787" s="31" t="str">
        <x:v>Flatbush (West)-Ditmas Park-Parkville</x:v>
      </x:c>
      <x:c r="G787" s="31" t="n">
        <x:v>55537.84579400824</x:v>
      </x:c>
      <x:c r="H787" s="31" t="n">
        <x:v>12402</x:v>
      </x:c>
      <x:c r="I787" s="31" t="n">
        <x:v>4.8570788895221035</x:v>
      </x:c>
      <x:c r="J787" s="40" t="n">
        <x:v>0.012497984196097404</x:v>
      </x:c>
      <x:c r="K787" s="40" t="n">
        <x:v>0.7714884696016772</x:v>
      </x:c>
      <x:c r="L787" s="40" t="n">
        <x:v>0.0070149975810353165</x:v>
      </x:c>
      <x:c r="M787" s="31" t="n">
        <x:v>55.78477487535842</x:v>
      </x:c>
      <x:c r="N787" s="31" t="n">
        <x:v>169</x:v>
      </x:c>
      <x:c r="O787" s="31" t="n">
        <x:v>5.09204857030944</x:v>
      </x:c>
      <x:c r="P787" s="31" t="n">
        <x:v>4.056442509272698</x:v>
      </x:c>
      <x:c r="Q787" s="40" t="n">
        <x:v>0.8614739558135784</x:v>
      </x:c>
      <x:c r="R787" s="31" t="n">
        <x:v>0.21230567155202978</x:v>
      </x:c>
      <x:c r="S787" s="40"/>
      <x:c r="T787" s="40"/>
      <x:c r="U787" s="40" t="n">
        <x:v>1</x:v>
      </x:c>
      <x:c r="V787" s="40" t="n">
        <x:v>0.9920980487018223</x:v>
      </x:c>
      <x:c r="W787" s="31" t="n">
        <x:v>0</x:v>
      </x:c>
      <x:c r="X787" s="31" t="str"/>
      <x:c r="Y787" s="31" t="n">
        <x:v>0</x:v>
      </x:c>
      <x:c r="Z787" s="31" t="n">
        <x:v>0</x:v>
      </x:c>
      <x:c r="AA787" s="31" t="n">
        <x:v>0</x:v>
      </x:c>
      <x:c r="AB787" s="31" t="str"/>
      <x:c r="AC787" s="31" t="str"/>
    </x:row>
    <x:row r="788">
      <x:c r="A788" s="31" t="str">
        <x:v>ec6b761bf3bf7865</x:v>
      </x:c>
      <x:c r="B788" s="31" t="str">
        <x:v>ec6b761bf3bf7865896948daf14775b6f596699b0eb6dfba638afefb520d330e</x:v>
      </x:c>
      <x:c r="C788" s="31" t="n">
        <x:v>10</x:v>
      </x:c>
      <x:c r="D788" s="31" t="n">
        <x:v>34424</x:v>
      </x:c>
      <x:c r="E788" s="31" t="str">
        <x:v>Brooklyn</x:v>
      </x:c>
      <x:c r="F788" s="31" t="str">
        <x:v>East New York (North)</x:v>
      </x:c>
      <x:c r="G788" s="31" t="n">
        <x:v>49095.50454651403</x:v>
      </x:c>
      <x:c r="H788" s="31" t="n">
        <x:v>11574</x:v>
      </x:c>
      <x:c r="I788" s="31" t="n">
        <x:v>3.1375640691512467</x:v>
      </x:c>
      <x:c r="J788" s="40" t="n">
        <x:v>0.04924831518921721</x:v>
      </x:c>
      <x:c r="K788" s="40" t="n">
        <x:v>0.3673751512009677</x:v>
      </x:c>
      <x:c r="L788" s="40" t="n">
        <x:v>0.03913945049248315</x:v>
      </x:c>
      <x:c r="M788" s="31" t="n">
        <x:v>34.861319220632424</x:v>
      </x:c>
      <x:c r="N788" s="31" t="n">
        <x:v>33</x:v>
      </x:c>
      <x:c r="O788" s="31" t="n">
        <x:v>0.9586335115036021</x:v>
      </x:c>
      <x:c r="P788" s="31" t="n">
        <x:v>4.195524451356489</x:v>
      </x:c>
      <x:c r="Q788" s="40" t="n">
        <x:v>1</x:v>
      </x:c>
      <x:c r="R788" s="31" t="n">
        <x:v>0.10689300945943607</x:v>
      </x:c>
      <x:c r="S788" s="40"/>
      <x:c r="T788" s="40"/>
      <x:c r="U788" s="40" t="n">
        <x:v>1</x:v>
      </x:c>
      <x:c r="V788" s="40" t="n">
        <x:v>0.9604285467426992</x:v>
      </x:c>
      <x:c r="W788" s="31" t="n">
        <x:v>0</x:v>
      </x:c>
      <x:c r="X788" s="31" t="str"/>
      <x:c r="Y788" s="31" t="n">
        <x:v>0</x:v>
      </x:c>
      <x:c r="Z788" s="31" t="n">
        <x:v>0</x:v>
      </x:c>
      <x:c r="AA788" s="31" t="n">
        <x:v>0</x:v>
      </x:c>
      <x:c r="AB788" s="31" t="str"/>
      <x:c r="AC788" s="31" t="str"/>
    </x:row>
    <x:row r="789">
      <x:c r="A789" s="31" t="str">
        <x:v>ec9a93c3a3d3ae09</x:v>
      </x:c>
      <x:c r="B789" s="31" t="str">
        <x:v>ec9a93c3a3d3ae09f4f33f1d6f20a3ae0512b33d1baccf1ae554238e42953d66</x:v>
      </x:c>
      <x:c r="C789" s="31" t="n">
        <x:v>8</x:v>
      </x:c>
      <x:c r="D789" s="31" t="n">
        <x:v>32167</x:v>
      </x:c>
      <x:c r="E789" s="31" t="str">
        <x:v>Brooklyn</x:v>
      </x:c>
      <x:c r="F789" s="31" t="str">
        <x:v>South Williamsburg</x:v>
      </x:c>
      <x:c r="G789" s="31" t="n">
        <x:v>76147.73340232018</x:v>
      </x:c>
      <x:c r="H789" s="31" t="n">
        <x:v>10623</x:v>
      </x:c>
      <x:c r="I789" s="31" t="n">
        <x:v>8.146528517478455</x:v>
      </x:c>
      <x:c r="J789" s="40" t="n">
        <x:v>0.21199284571213406</x:v>
      </x:c>
      <x:c r="K789" s="40" t="n">
        <x:v>0.7197590134613574</x:v>
      </x:c>
      <x:c r="L789" s="40" t="n">
        <x:v>0.3155417490351125</x:v>
      </x:c>
      <x:c r="M789" s="31" t="n">
        <x:v>86.7337096944369</x:v>
      </x:c>
      <x:c r="N789" s="31" t="n">
        <x:v>427</x:v>
      </x:c>
      <x:c r="O789" s="31" t="n">
        <x:v>13.27447383964933</x:v>
      </x:c>
      <x:c r="P789" s="31" t="n">
        <x:v>4</x:v>
      </x:c>
      <x:c r="Q789" s="40" t="n">
        <x:v>1</x:v>
      </x:c>
      <x:c r="R789" s="31" t="n">
        <x:v>0.09908245554932346</x:v>
      </x:c>
      <x:c r="S789" s="40"/>
      <x:c r="T789" s="40"/>
      <x:c r="U789" s="40" t="n">
        <x:v>1</x:v>
      </x:c>
      <x:c r="V789" s="40" t="n">
        <x:v>0.9704414948696225</x:v>
      </x:c>
      <x:c r="W789" s="31" t="n">
        <x:v>1</x:v>
      </x:c>
      <x:c r="X789" s="31" t="str"/>
      <x:c r="Y789" s="31" t="n">
        <x:v>0</x:v>
      </x:c>
      <x:c r="Z789" s="31" t="n">
        <x:v>1</x:v>
      </x:c>
      <x:c r="AA789" s="31" t="n">
        <x:v>0</x:v>
      </x:c>
      <x:c r="AB789" s="31" t="str"/>
      <x:c r="AC789" s="31" t="str"/>
    </x:row>
    <x:row r="790">
      <x:c r="A790" s="31" t="str">
        <x:v>ecf41f5b54e70939</x:v>
      </x:c>
      <x:c r="B790" s="31" t="str">
        <x:v>ecf41f5b54e70939b45428fe2701faf61575dd456d870b879e322e4d92966a3f</x:v>
      </x:c>
      <x:c r="C790" s="31" t="n">
        <x:v>12</x:v>
      </x:c>
      <x:c r="D790" s="31" t="n">
        <x:v>34055</x:v>
      </x:c>
      <x:c r="E790" s="31" t="str">
        <x:v>Brooklyn</x:v>
      </x:c>
      <x:c r="F790" s="31" t="str">
        <x:v>East Williamsburg</x:v>
      </x:c>
      <x:c r="G790" s="31" t="n">
        <x:v>23530.499455004905</x:v>
      </x:c>
      <x:c r="H790" s="31" t="n">
        <x:v>19115</x:v>
      </x:c>
      <x:c r="I790" s="31" t="n">
        <x:v>4.633160374861015</x:v>
      </x:c>
      <x:c r="J790" s="40" t="n">
        <x:v>0.0387653675124248</x:v>
      </x:c>
      <x:c r="K790" s="40" t="n">
        <x:v>0.8548783677739995</x:v>
      </x:c>
      <x:c r="L790" s="40" t="n">
        <x:v>0.10776876798325923</x:v>
      </x:c>
      <x:c r="M790" s="31" t="n">
        <x:v>51.635365690267754</x:v>
      </x:c>
      <x:c r="N790" s="31" t="n">
        <x:v>318</x:v>
      </x:c>
      <x:c r="O790" s="31" t="n">
        <x:v>9.337835853765966</x:v>
      </x:c>
      <x:c r="P790" s="31" t="n">
        <x:v>3.1055715406748625</x:v>
      </x:c>
      <x:c r="Q790" s="40" t="n">
        <x:v>0.10557154067486267</x:v>
      </x:c>
      <x:c r="R790" s="31" t="n">
        <x:v>0.1307925435110953</x:v>
      </x:c>
      <x:c r="S790" s="40"/>
      <x:c r="T790" s="40"/>
      <x:c r="U790" s="40" t="n">
        <x:v>1</x:v>
      </x:c>
      <x:c r="V790" s="40" t="n">
        <x:v>0.9612869474234894</x:v>
      </x:c>
      <x:c r="W790" s="31" t="n">
        <x:v>0</x:v>
      </x:c>
      <x:c r="X790" s="31" t="str"/>
      <x:c r="Y790" s="31" t="n">
        <x:v>0</x:v>
      </x:c>
      <x:c r="Z790" s="31" t="n">
        <x:v>0</x:v>
      </x:c>
      <x:c r="AA790" s="31" t="n">
        <x:v>0</x:v>
      </x:c>
      <x:c r="AB790" s="31" t="str"/>
      <x:c r="AC790" s="31" t="str"/>
    </x:row>
    <x:row r="791">
      <x:c r="A791" s="31" t="str">
        <x:v>edc43ad111278732</x:v>
      </x:c>
      <x:c r="B791" s="31" t="str">
        <x:v>edc43ad1112787329bd0369f250e69584b1df3fba6c7ba77f66a39eba70bd05d</x:v>
      </x:c>
      <x:c r="C791" s="31" t="n">
        <x:v>10</x:v>
      </x:c>
      <x:c r="D791" s="31" t="n">
        <x:v>33194</x:v>
      </x:c>
      <x:c r="E791" s="31" t="str">
        <x:v>Brooklyn</x:v>
      </x:c>
      <x:c r="F791" s="31" t="str">
        <x:v>Crown Heights (North)</x:v>
      </x:c>
      <x:c r="G791" s="31" t="n">
        <x:v>66696.78556458054</x:v>
      </x:c>
      <x:c r="H791" s="31" t="n">
        <x:v>13670</x:v>
      </x:c>
      <x:c r="I791" s="31" t="n">
        <x:v>4.364527694446477</x:v>
      </x:c>
      <x:c r="J791" s="40" t="n">
        <x:v>0.023189465983906365</x:v>
      </x:c>
      <x:c r="K791" s="40" t="n">
        <x:v>0.8063643013899049</x:v>
      </x:c>
      <x:c r="L791" s="40" t="n">
        <x:v>0.09590343818580833</x:v>
      </x:c>
      <x:c r="M791" s="31" t="n">
        <x:v>47.88282840112226</x:v>
      </x:c>
      <x:c r="N791" s="31" t="n">
        <x:v>109</x:v>
      </x:c>
      <x:c r="O791" s="31" t="n">
        <x:v>3.283725974573718</x:v>
      </x:c>
      <x:c r="P791" s="31" t="n">
        <x:v>5</x:v>
      </x:c>
      <x:c r="Q791" s="40" t="n">
        <x:v>1</x:v>
      </x:c>
      <x:c r="R791" s="31" t="n">
        <x:v>0.09832008350907116</x:v>
      </x:c>
      <x:c r="S791" s="40"/>
      <x:c r="T791" s="40"/>
      <x:c r="U791" s="40" t="n">
        <x:v>1</x:v>
      </x:c>
      <x:c r="V791" s="40" t="n">
        <x:v>0.991441111923921</x:v>
      </x:c>
      <x:c r="W791" s="31" t="n">
        <x:v>1</x:v>
      </x:c>
      <x:c r="X791" s="31" t="str"/>
      <x:c r="Y791" s="31" t="n">
        <x:v>0</x:v>
      </x:c>
      <x:c r="Z791" s="31" t="n">
        <x:v>1</x:v>
      </x:c>
      <x:c r="AA791" s="31" t="n">
        <x:v>0</x:v>
      </x:c>
      <x:c r="AB791" s="31" t="str"/>
      <x:c r="AC791" s="31" t="str"/>
    </x:row>
    <x:row r="792">
      <x:c r="A792" s="31" t="str">
        <x:v>edd8e361e661523c</x:v>
      </x:c>
      <x:c r="B792" s="31" t="str">
        <x:v>edd8e361e661523c0d89607bdd46f0294edd8f9b40eeefb8ce530aee731c56c8</x:v>
      </x:c>
      <x:c r="C792" s="31" t="n">
        <x:v>11</x:v>
      </x:c>
      <x:c r="D792" s="31" t="n">
        <x:v>32128</x:v>
      </x:c>
      <x:c r="E792" s="31" t="str">
        <x:v>Brooklyn</x:v>
      </x:c>
      <x:c r="F792" s="31" t="str">
        <x:v>Canarsie</x:v>
      </x:c>
      <x:c r="G792" s="31" t="n">
        <x:v>40466.893652972285</x:v>
      </x:c>
      <x:c r="H792" s="31" t="n">
        <x:v>9138</x:v>
      </x:c>
      <x:c r="I792" s="31" t="n">
        <x:v>2.306293821209465</x:v>
      </x:c>
      <x:c r="J792" s="40" t="n">
        <x:v>0</x:v>
      </x:c>
      <x:c r="K792" s="40" t="n">
        <x:v>0.34307288246881157</x:v>
      </x:c>
      <x:c r="L792" s="40" t="n">
        <x:v>0.047056248632085795</x:v>
      </x:c>
      <x:c r="M792" s="31" t="n">
        <x:v>28.659247394812457</x:v>
      </x:c>
      <x:c r="N792" s="31" t="n">
        <x:v>6</x:v>
      </x:c>
      <x:c r="O792" s="31" t="n">
        <x:v>0.18675298804780877</x:v>
      </x:c>
      <x:c r="P792" s="31" t="n">
        <x:v>5</x:v>
      </x:c>
      <x:c r="Q792" s="40" t="n">
        <x:v>1</x:v>
      </x:c>
      <x:c r="R792" s="31" t="n">
        <x:v>0.16069161286561098</x:v>
      </x:c>
      <x:c r="S792" s="40"/>
      <x:c r="T792" s="40"/>
      <x:c r="U792" s="40" t="n">
        <x:v>1</x:v>
      </x:c>
      <x:c r="V792" s="40" t="n">
        <x:v>0.9978113372729263</x:v>
      </x:c>
      <x:c r="W792" s="31" t="n">
        <x:v>0</x:v>
      </x:c>
      <x:c r="X792" s="31" t="str"/>
      <x:c r="Y792" s="31" t="n">
        <x:v>0</x:v>
      </x:c>
      <x:c r="Z792" s="31" t="n">
        <x:v>0</x:v>
      </x:c>
      <x:c r="AA792" s="31" t="n">
        <x:v>0</x:v>
      </x:c>
      <x:c r="AB792" s="31" t="str"/>
      <x:c r="AC792" s="31" t="str"/>
    </x:row>
    <x:row r="793">
      <x:c r="A793" s="31" t="str">
        <x:v>ee135748b0efa301</x:v>
      </x:c>
      <x:c r="B793" s="31" t="str">
        <x:v>ee135748b0efa30121de964f09aa1deea109a34f36e87e1e591c21ded17bac13</x:v>
      </x:c>
      <x:c r="C793" s="31" t="n">
        <x:v>13</x:v>
      </x:c>
      <x:c r="D793" s="31" t="n">
        <x:v>35053</x:v>
      </x:c>
      <x:c r="E793" s="31" t="str">
        <x:v>Queens</x:v>
      </x:c>
      <x:c r="F793" s="31" t="str">
        <x:v>Auburndale</x:v>
      </x:c>
      <x:c r="G793" s="31" t="n">
        <x:v>20118.540885930313</x:v>
      </x:c>
      <x:c r="H793" s="31" t="n">
        <x:v>12862</x:v>
      </x:c>
      <x:c r="I793" s="31" t="n">
        <x:v>2.2787926838841353</x:v>
      </x:c>
      <x:c r="J793" s="40" t="n">
        <x:v>0</x:v>
      </x:c>
      <x:c r="K793" s="40" t="n">
        <x:v>0.17353444254392786</x:v>
      </x:c>
      <x:c r="L793" s="40" t="n">
        <x:v>0.09609703001088478</x:v>
      </x:c>
      <x:c r="M793" s="31" t="n">
        <x:v>28.477486795614983</x:v>
      </x:c>
      <x:c r="N793" s="31" t="n">
        <x:v>24</x:v>
      </x:c>
      <x:c r="O793" s="31" t="n">
        <x:v>0.6846774883747468</x:v>
      </x:c>
      <x:c r="P793" s="31" t="n">
        <x:v>2.3692271808427927</x:v>
      </x:c>
      <x:c r="Q793" s="40" t="n">
        <x:v>0</x:v>
      </x:c>
      <x:c r="R793" s="31" t="n">
        <x:v>0.23869670275772722</x:v>
      </x:c>
      <x:c r="S793" s="40"/>
      <x:c r="T793" s="40"/>
      <x:c r="U793" s="40" t="n">
        <x:v>1</x:v>
      </x:c>
      <x:c r="V793" s="40" t="n">
        <x:v>0.9943243663504898</x:v>
      </x:c>
      <x:c r="W793" s="31" t="n">
        <x:v>0</x:v>
      </x:c>
      <x:c r="X793" s="31" t="str"/>
      <x:c r="Y793" s="31" t="n">
        <x:v>0</x:v>
      </x:c>
      <x:c r="Z793" s="31" t="n">
        <x:v>0</x:v>
      </x:c>
      <x:c r="AA793" s="31" t="n">
        <x:v>0</x:v>
      </x:c>
      <x:c r="AB793" s="31" t="str"/>
      <x:c r="AC793" s="31" t="str"/>
    </x:row>
    <x:row r="794">
      <x:c r="A794" s="31" t="str">
        <x:v>ee568c31ab058731</x:v>
      </x:c>
      <x:c r="B794" s="31" t="str">
        <x:v>ee568c31ab058731bd000e2a9dea3756abb44718c905bdd9d02500029f886feb</x:v>
      </x:c>
      <x:c r="C794" s="31" t="n">
        <x:v>12</x:v>
      </x:c>
      <x:c r="D794" s="31" t="n">
        <x:v>33079</x:v>
      </x:c>
      <x:c r="E794" s="31" t="str">
        <x:v>Queens</x:v>
      </x:c>
      <x:c r="F794" s="31" t="str">
        <x:v>Hollis</x:v>
      </x:c>
      <x:c r="G794" s="31" t="n">
        <x:v>27392.358911483996</x:v>
      </x:c>
      <x:c r="H794" s="31" t="n">
        <x:v>10959</x:v>
      </x:c>
      <x:c r="I794" s="31" t="n">
        <x:v>3.1908304435115897</x:v>
      </x:c>
      <x:c r="J794" s="40" t="n">
        <x:v>0</x:v>
      </x:c>
      <x:c r="K794" s="40" t="n">
        <x:v>0.39693402682726525</x:v>
      </x:c>
      <x:c r="L794" s="40" t="n">
        <x:v>0.2172643489369468</x:v>
      </x:c>
      <x:c r="M794" s="31" t="n">
        <x:v>36.24560579335013</x:v>
      </x:c>
      <x:c r="N794" s="31" t="n">
        <x:v>51</x:v>
      </x:c>
      <x:c r="O794" s="31" t="n">
        <x:v>1.5417636567006259</x:v>
      </x:c>
      <x:c r="P794" s="31" t="n">
        <x:v>3.855643763117073</x:v>
      </x:c>
      <x:c r="Q794" s="40" t="n">
        <x:v>0.8271740122273931</x:v>
      </x:c>
      <x:c r="R794" s="31" t="n">
        <x:v>0.2539617216326136</x:v>
      </x:c>
      <x:c r="S794" s="40"/>
      <x:c r="T794" s="40"/>
      <x:c r="U794" s="40" t="n">
        <x:v>1</x:v>
      </x:c>
      <x:c r="V794" s="40" t="n">
        <x:v>0.996076284332512</x:v>
      </x:c>
      <x:c r="W794" s="31" t="n">
        <x:v>0</x:v>
      </x:c>
      <x:c r="X794" s="31" t="str"/>
      <x:c r="Y794" s="31" t="n">
        <x:v>0</x:v>
      </x:c>
      <x:c r="Z794" s="31" t="n">
        <x:v>0</x:v>
      </x:c>
      <x:c r="AA794" s="31" t="n">
        <x:v>0</x:v>
      </x:c>
      <x:c r="AB794" s="31" t="str"/>
      <x:c r="AC794" s="31" t="str"/>
    </x:row>
    <x:row r="795">
      <x:c r="A795" s="31" t="str">
        <x:v>ee99eed7e5fe0f8f</x:v>
      </x:c>
      <x:c r="B795" s="31" t="str">
        <x:v>ee99eed7e5fe0f8f2c01f0b41551facf265b371b604e06816c3d328418d474e8</x:v>
      </x:c>
      <x:c r="C795" s="31" t="n">
        <x:v>8</x:v>
      </x:c>
      <x:c r="D795" s="31" t="n">
        <x:v>35051</x:v>
      </x:c>
      <x:c r="E795" s="31" t="str">
        <x:v>Manhattan</x:v>
      </x:c>
      <x:c r="F795" s="31" t="str">
        <x:v>Lower East Side</x:v>
      </x:c>
      <x:c r="G795" s="31" t="n">
        <x:v>77421.71736540724</x:v>
      </x:c>
      <x:c r="H795" s="31" t="n">
        <x:v>18178</x:v>
      </x:c>
      <x:c r="I795" s="31" t="n">
        <x:v>15.079340411486411</x:v>
      </x:c>
      <x:c r="J795" s="40" t="n">
        <x:v>0.7185608977885356</x:v>
      </x:c>
      <x:c r="K795" s="40" t="n">
        <x:v>0.28094399823963034</x:v>
      </x:c>
      <x:c r="L795" s="40" t="n">
        <x:v>0.43739685333920125</x:v>
      </x:c>
      <x:c r="M795" s="31" t="n">
        <x:v>160.30873689493484</x:v>
      </x:c>
      <x:c r="N795" s="31" t="n">
        <x:v>324</x:v>
      </x:c>
      <x:c r="O795" s="31" t="n">
        <x:v>9.243673504322274</x:v>
      </x:c>
      <x:c r="P795" s="31" t="n">
        <x:v>3</x:v>
      </x:c>
      <x:c r="Q795" s="40" t="n">
        <x:v>0</x:v>
      </x:c>
      <x:c r="R795" s="31" t="n">
        <x:v>0.08565018840451129</x:v>
      </x:c>
      <x:c r="S795" s="40"/>
      <x:c r="T795" s="40"/>
      <x:c r="U795" s="40" t="n">
        <x:v>1</x:v>
      </x:c>
      <x:c r="V795" s="40" t="n">
        <x:v>0.9916932555836726</x:v>
      </x:c>
      <x:c r="W795" s="31" t="n">
        <x:v>1</x:v>
      </x:c>
      <x:c r="X795" s="31" t="str"/>
      <x:c r="Y795" s="31" t="n">
        <x:v>1</x:v>
      </x:c>
      <x:c r="Z795" s="31" t="n">
        <x:v>0</x:v>
      </x:c>
      <x:c r="AA795" s="31" t="n">
        <x:v>0</x:v>
      </x:c>
      <x:c r="AB795" s="31" t="str"/>
      <x:c r="AC795" s="31" t="str"/>
    </x:row>
    <x:row r="796">
      <x:c r="A796" s="31" t="str">
        <x:v>eeb7c1aad416d811</x:v>
      </x:c>
      <x:c r="B796" s="31" t="str">
        <x:v>eeb7c1aad416d811cce7e6737a0437d0bbe318547ed667e797cb3c8faf10f25c</x:v>
      </x:c>
      <x:c r="C796" s="31" t="n">
        <x:v>11</x:v>
      </x:c>
      <x:c r="D796" s="31" t="n">
        <x:v>34623</x:v>
      </x:c>
      <x:c r="E796" s="31" t="str">
        <x:v>Brooklyn</x:v>
      </x:c>
      <x:c r="F796" s="31" t="str">
        <x:v>Bath Beach</x:v>
      </x:c>
      <x:c r="G796" s="31" t="n">
        <x:v>49278.87238072355</x:v>
      </x:c>
      <x:c r="H796" s="31" t="n">
        <x:v>12401</x:v>
      </x:c>
      <x:c r="I796" s="31" t="n">
        <x:v>3.263836467834369</x:v>
      </x:c>
      <x:c r="J796" s="40" t="n">
        <x:v>0.009837916297072816</x:v>
      </x:c>
      <x:c r="K796" s="40" t="n">
        <x:v>0.4972179662930409</x:v>
      </x:c>
      <x:c r="L796" s="40" t="n">
        <x:v>0.1940972502217563</x:v>
      </x:c>
      <x:c r="M796" s="31" t="n">
        <x:v>38.70720170485136</x:v>
      </x:c>
      <x:c r="N796" s="31" t="n">
        <x:v>65</x:v>
      </x:c>
      <x:c r="O796" s="31" t="n">
        <x:v>1.877364757531121</x:v>
      </x:c>
      <x:c r="P796" s="31" t="n">
        <x:v>3.864285138295299</x:v>
      </x:c>
      <x:c r="Q796" s="40" t="n">
        <x:v>0.8642851382952987</x:v>
      </x:c>
      <x:c r="R796" s="31" t="n">
        <x:v>0.20521348180861118</x:v>
      </x:c>
      <x:c r="S796" s="40"/>
      <x:c r="T796" s="40"/>
      <x:c r="U796" s="40" t="n">
        <x:v>1</x:v>
      </x:c>
      <x:c r="V796" s="40" t="n">
        <x:v>0.9954842351423272</x:v>
      </x:c>
      <x:c r="W796" s="31" t="n">
        <x:v>0</x:v>
      </x:c>
      <x:c r="X796" s="31" t="str"/>
      <x:c r="Y796" s="31" t="n">
        <x:v>0</x:v>
      </x:c>
      <x:c r="Z796" s="31" t="n">
        <x:v>0</x:v>
      </x:c>
      <x:c r="AA796" s="31" t="n">
        <x:v>0</x:v>
      </x:c>
      <x:c r="AB796" s="31" t="str"/>
      <x:c r="AC796" s="31" t="str"/>
    </x:row>
    <x:row r="797">
      <x:c r="A797" s="31" t="str">
        <x:v>eed95fd3d76887fe</x:v>
      </x:c>
      <x:c r="B797" s="31" t="str">
        <x:v>eed95fd3d76887fe17d562ba7446fbe4e3a084d1674a4ad93089631bbfbd621f</x:v>
      </x:c>
      <x:c r="C797" s="31" t="n">
        <x:v>7</x:v>
      </x:c>
      <x:c r="D797" s="31" t="n">
        <x:v>33470</x:v>
      </x:c>
      <x:c r="E797" s="31" t="str">
        <x:v>Brooklyn</x:v>
      </x:c>
      <x:c r="F797" s="31" t="str">
        <x:v>Flatbush</x:v>
      </x:c>
      <x:c r="G797" s="31" t="n">
        <x:v>114082.43817465275</x:v>
      </x:c>
      <x:c r="H797" s="31" t="n">
        <x:v>16277</x:v>
      </x:c>
      <x:c r="I797" s="31" t="n">
        <x:v>6.2833423299020845</x:v>
      </x:c>
      <x:c r="J797" s="40" t="n">
        <x:v>0.08902131842477115</x:v>
      </x:c>
      <x:c r="K797" s="40" t="n">
        <x:v>0.862136757387725</x:v>
      </x:c>
      <x:c r="L797" s="40" t="n">
        <x:v>0.007003747619340173</x:v>
      </x:c>
      <x:c r="M797" s="31" t="n">
        <x:v>71.32342139505087</x:v>
      </x:c>
      <x:c r="N797" s="31" t="n">
        <x:v>284</x:v>
      </x:c>
      <x:c r="O797" s="31" t="n">
        <x:v>8.485210636390798</x:v>
      </x:c>
      <x:c r="P797" s="31" t="n">
        <x:v>5</x:v>
      </x:c>
      <x:c r="Q797" s="40" t="n">
        <x:v>1</x:v>
      </x:c>
      <x:c r="R797" s="31" t="n">
        <x:v>0.1881179416684891</x:v>
      </x:c>
      <x:c r="S797" s="40"/>
      <x:c r="T797" s="40"/>
      <x:c r="U797" s="40" t="n">
        <x:v>1</x:v>
      </x:c>
      <x:c r="V797" s="40" t="n">
        <x:v>0.9662714259384407</x:v>
      </x:c>
      <x:c r="W797" s="31" t="n">
        <x:v>1</x:v>
      </x:c>
      <x:c r="X797" s="31" t="str"/>
      <x:c r="Y797" s="31" t="n">
        <x:v>0</x:v>
      </x:c>
      <x:c r="Z797" s="31" t="n">
        <x:v>1</x:v>
      </x:c>
      <x:c r="AA797" s="31" t="n">
        <x:v>0</x:v>
      </x:c>
      <x:c r="AB797" s="31" t="str"/>
      <x:c r="AC797" s="31" t="str"/>
    </x:row>
    <x:row r="798">
      <x:c r="A798" s="31" t="str">
        <x:v>ef5b6119c621eb9e</x:v>
      </x:c>
      <x:c r="B798" s="31" t="str">
        <x:v>ef5b6119c621eb9e72c6ae9caf443042251402a89c94ca9b334cdbac6441016b</x:v>
      </x:c>
      <x:c r="C798" s="31" t="n">
        <x:v>9</x:v>
      </x:c>
      <x:c r="D798" s="31" t="n">
        <x:v>34574</x:v>
      </x:c>
      <x:c r="E798" s="31" t="str">
        <x:v>Staten Island</x:v>
      </x:c>
      <x:c r="F798" s="31" t="str">
        <x:v>Grasmere-Arrochar-South Beach-Dongan Hills</x:v>
      </x:c>
      <x:c r="G798" s="31" t="n">
        <x:v>12499.401274961294</x:v>
      </x:c>
      <x:c r="H798" s="31" t="n">
        <x:v>12308</x:v>
      </x:c>
      <x:c r="I798" s="31" t="n">
        <x:v>2.515441391643635</x:v>
      </x:c>
      <x:c r="J798" s="40" t="n">
        <x:v>0</x:v>
      </x:c>
      <x:c r="K798" s="40" t="n">
        <x:v>0.24252518687032823</x:v>
      </x:c>
      <x:c r="L798" s="40" t="n">
        <x:v>0.1359278518037049</x:v>
      </x:c>
      <x:c r="M798" s="31" t="n">
        <x:v>31.546074170904436</x:v>
      </x:c>
      <x:c r="N798" s="31" t="n">
        <x:v>55</x:v>
      </x:c>
      <x:c r="O798" s="31" t="n">
        <x:v>1.590790767628854</x:v>
      </x:c>
      <x:c r="P798" s="31" t="n">
        <x:v>2.2698245043873904</x:v>
      </x:c>
      <x:c r="Q798" s="40" t="n">
        <x:v>0</x:v>
      </x:c>
      <x:c r="R798" s="31" t="n">
        <x:v>0.28000108055631706</x:v>
      </x:c>
      <x:c r="S798" s="40"/>
      <x:c r="T798" s="40"/>
      <x:c r="U798" s="40" t="n">
        <x:v>1</x:v>
      </x:c>
      <x:c r="V798" s="40" t="n">
        <x:v>0.9683945401364966</x:v>
      </x:c>
      <x:c r="W798" s="31" t="n">
        <x:v>0</x:v>
      </x:c>
      <x:c r="X798" s="31" t="str"/>
      <x:c r="Y798" s="31" t="n">
        <x:v>0</x:v>
      </x:c>
      <x:c r="Z798" s="31" t="n">
        <x:v>0</x:v>
      </x:c>
      <x:c r="AA798" s="31" t="n">
        <x:v>0</x:v>
      </x:c>
      <x:c r="AB798" s="31" t="str"/>
      <x:c r="AC798" s="31" t="str"/>
    </x:row>
    <x:row r="799">
      <x:c r="A799" s="31" t="str">
        <x:v>efc10c6113da3568</x:v>
      </x:c>
      <x:c r="B799" s="31" t="str">
        <x:v>efc10c6113da356807d395f81ebb25bd462e7b49e1737d7d0e37a84b50c717b3</x:v>
      </x:c>
      <x:c r="C799" s="31" t="n">
        <x:v>8</x:v>
      </x:c>
      <x:c r="D799" s="31" t="n">
        <x:v>34098</x:v>
      </x:c>
      <x:c r="E799" s="31" t="str">
        <x:v>Brooklyn</x:v>
      </x:c>
      <x:c r="F799" s="31" t="str">
        <x:v>Ocean Hill</x:v>
      </x:c>
      <x:c r="G799" s="31" t="n">
        <x:v>55410.8814510596</x:v>
      </x:c>
      <x:c r="H799" s="31" t="n">
        <x:v>14292</x:v>
      </x:c>
      <x:c r="I799" s="31" t="n">
        <x:v>5.521656884237324</x:v>
      </x:c>
      <x:c r="J799" s="40" t="n">
        <x:v>0.11013154212146656</x:v>
      </x:c>
      <x:c r="K799" s="40" t="n">
        <x:v>0.6961237055695494</x:v>
      </x:c>
      <x:c r="L799" s="40" t="n">
        <x:v>0.11950741673663588</x:v>
      </x:c>
      <x:c r="M799" s="31" t="n">
        <x:v>58.80902482449405</x:v>
      </x:c>
      <x:c r="N799" s="31" t="n">
        <x:v>74</x:v>
      </x:c>
      <x:c r="O799" s="31" t="n">
        <x:v>2.170215261892193</x:v>
      </x:c>
      <x:c r="P799" s="31" t="n">
        <x:v>5</x:v>
      </x:c>
      <x:c r="Q799" s="40" t="n">
        <x:v>1</x:v>
      </x:c>
      <x:c r="R799" s="31" t="n">
        <x:v>0.11080921531107286</x:v>
      </x:c>
      <x:c r="S799" s="40"/>
      <x:c r="T799" s="40"/>
      <x:c r="U799" s="40" t="n">
        <x:v>1</x:v>
      </x:c>
      <x:c r="V799" s="40" t="n">
        <x:v>0.9936328015673104</x:v>
      </x:c>
      <x:c r="W799" s="31" t="n">
        <x:v>1</x:v>
      </x:c>
      <x:c r="X799" s="31" t="str"/>
      <x:c r="Y799" s="31" t="n">
        <x:v>0</x:v>
      </x:c>
      <x:c r="Z799" s="31" t="n">
        <x:v>1</x:v>
      </x:c>
      <x:c r="AA799" s="31" t="n">
        <x:v>0</x:v>
      </x:c>
      <x:c r="AB799" s="31" t="str"/>
      <x:c r="AC799" s="31" t="str"/>
    </x:row>
    <x:row r="800">
      <x:c r="A800" s="31" t="str">
        <x:v>f00d661f9fcfdf1d</x:v>
      </x:c>
      <x:c r="B800" s="31" t="str">
        <x:v>f00d661f9fcfdf1d024ad98dff4cb561aecca0143cec7a1fd5bb4c7ba41628b0</x:v>
      </x:c>
      <x:c r="C800" s="31" t="n">
        <x:v>9</x:v>
      </x:c>
      <x:c r="D800" s="31" t="n">
        <x:v>32996</x:v>
      </x:c>
      <x:c r="E800" s="31" t="str">
        <x:v>Brooklyn</x:v>
      </x:c>
      <x:c r="F800" s="31" t="str">
        <x:v>Midwood</x:v>
      </x:c>
      <x:c r="G800" s="31" t="n">
        <x:v>52302.32077419345</x:v>
      </x:c>
      <x:c r="H800" s="31" t="n">
        <x:v>13058</x:v>
      </x:c>
      <x:c r="I800" s="31" t="n">
        <x:v>4.809336703431373</x:v>
      </x:c>
      <x:c r="J800" s="40" t="n">
        <x:v>0.010261908408638382</x:v>
      </x:c>
      <x:c r="K800" s="40" t="n">
        <x:v>0.7354112421504059</x:v>
      </x:c>
      <x:c r="L800" s="40" t="n">
        <x:v>0.0027569306172461326</x:v>
      </x:c>
      <x:c r="M800" s="31" t="n">
        <x:v>53.37752305906202</x:v>
      </x:c>
      <x:c r="N800" s="31" t="n">
        <x:v>249</x:v>
      </x:c>
      <x:c r="O800" s="31" t="n">
        <x:v>7.546369256879622</x:v>
      </x:c>
      <x:c r="P800" s="31" t="n">
        <x:v>3.6774391177822023</x:v>
      </x:c>
      <x:c r="Q800" s="40" t="n">
        <x:v>0.5800275693061725</x:v>
      </x:c>
      <x:c r="R800" s="31" t="n">
        <x:v>0.16915148886531953</x:v>
      </x:c>
      <x:c r="S800" s="40"/>
      <x:c r="T800" s="40"/>
      <x:c r="U800" s="40" t="n">
        <x:v>1</x:v>
      </x:c>
      <x:c r="V800" s="40" t="n">
        <x:v>0.9879001378465309</x:v>
      </x:c>
      <x:c r="W800" s="31" t="n">
        <x:v>0</x:v>
      </x:c>
      <x:c r="X800" s="31" t="str"/>
      <x:c r="Y800" s="31" t="n">
        <x:v>0</x:v>
      </x:c>
      <x:c r="Z800" s="31" t="n">
        <x:v>0</x:v>
      </x:c>
      <x:c r="AA800" s="31" t="n">
        <x:v>0</x:v>
      </x:c>
      <x:c r="AB800" s="31" t="str"/>
      <x:c r="AC800" s="31" t="str"/>
    </x:row>
    <x:row r="801">
      <x:c r="A801" s="31" t="str">
        <x:v>f039fbabf7c84e9a</x:v>
      </x:c>
      <x:c r="B801" s="31" t="str">
        <x:v>f039fbabf7c84e9a1db0ee0a93ba7503087f1c6015a243fcb8a0d3c2133787f2</x:v>
      </x:c>
      <x:c r="C801" s="31" t="n">
        <x:v>7</x:v>
      </x:c>
      <x:c r="D801" s="31" t="n">
        <x:v>34050</x:v>
      </x:c>
      <x:c r="E801" s="31" t="str">
        <x:v>Queens</x:v>
      </x:c>
      <x:c r="F801" s="31" t="str">
        <x:v>Forest Hills</x:v>
      </x:c>
      <x:c r="G801" s="31" t="n">
        <x:v>67397.26312416133</x:v>
      </x:c>
      <x:c r="H801" s="31" t="n">
        <x:v>16649</x:v>
      </x:c>
      <x:c r="I801" s="31" t="n">
        <x:v>7.646140909363926</x:v>
      </x:c>
      <x:c r="J801" s="40" t="n">
        <x:v>0.17965042945522253</x:v>
      </x:c>
      <x:c r="K801" s="40" t="n">
        <x:v>0.7172803171361644</x:v>
      </x:c>
      <x:c r="L801" s="40" t="n">
        <x:v>0.2982161090756202</x:v>
      </x:c>
      <x:c r="M801" s="31" t="n">
        <x:v>80.30020761949335</x:v>
      </x:c>
      <x:c r="N801" s="31" t="n">
        <x:v>279</x:v>
      </x:c>
      <x:c r="O801" s="31" t="n">
        <x:v>8.193832599118943</x:v>
      </x:c>
      <x:c r="P801" s="31" t="n">
        <x:v>2.42062586341522</x:v>
      </x:c>
      <x:c r="Q801" s="40" t="n">
        <x:v>0</x:v>
      </x:c>
      <x:c r="R801" s="31" t="n">
        <x:v>0.1893706966860221</x:v>
      </x:c>
      <x:c r="S801" s="40"/>
      <x:c r="T801" s="40"/>
      <x:c r="U801" s="40" t="n">
        <x:v>1</x:v>
      </x:c>
      <x:c r="V801" s="40" t="n">
        <x:v>0.9993993633251246</x:v>
      </x:c>
      <x:c r="W801" s="31" t="n">
        <x:v>1</x:v>
      </x:c>
      <x:c r="X801" s="31" t="str"/>
      <x:c r="Y801" s="31" t="n">
        <x:v>0</x:v>
      </x:c>
      <x:c r="Z801" s="31" t="n">
        <x:v>0</x:v>
      </x:c>
      <x:c r="AA801" s="31" t="n">
        <x:v>1</x:v>
      </x:c>
      <x:c r="AB801" s="31" t="str"/>
      <x:c r="AC801" s="31" t="str"/>
    </x:row>
    <x:row r="802">
      <x:c r="A802" s="31" t="str">
        <x:v>f0cd5e1ed5281955</x:v>
      </x:c>
      <x:c r="B802" s="31" t="str">
        <x:v>f0cd5e1ed5281955a480b34c21dcf11834d2b04351b90935acca84b2bdb6295f</x:v>
      </x:c>
      <x:c r="C802" s="31" t="n">
        <x:v>13</x:v>
      </x:c>
      <x:c r="D802" s="31" t="n">
        <x:v>35949</x:v>
      </x:c>
      <x:c r="E802" s="31" t="str">
        <x:v>Brooklyn</x:v>
      </x:c>
      <x:c r="F802" s="31" t="str">
        <x:v>Flatlands</x:v>
      </x:c>
      <x:c r="G802" s="31" t="n">
        <x:v>44293.94667685791</x:v>
      </x:c>
      <x:c r="H802" s="31" t="n">
        <x:v>13594</x:v>
      </x:c>
      <x:c r="I802" s="31" t="n">
        <x:v>4.986062440032475</x:v>
      </x:c>
      <x:c r="J802" s="40" t="n">
        <x:v>0.08518464028247756</x:v>
      </x:c>
      <x:c r="K802" s="40" t="n">
        <x:v>0.4972046491099014</x:v>
      </x:c>
      <x:c r="L802" s="40" t="n">
        <x:v>0.10534059143739885</x:v>
      </x:c>
      <x:c r="M802" s="31" t="n">
        <x:v>54.70724086964308</x:v>
      </x:c>
      <x:c r="N802" s="31" t="n">
        <x:v>127</x:v>
      </x:c>
      <x:c r="O802" s="31" t="n">
        <x:v>3.5327825530612813</x:v>
      </x:c>
      <x:c r="P802" s="31" t="n">
        <x:v>4.830072090628218</x:v>
      </x:c>
      <x:c r="Q802" s="40" t="n">
        <x:v>0.9433573635427395</x:v>
      </x:c>
      <x:c r="R802" s="31" t="n">
        <x:v>0.22739439786244417</x:v>
      </x:c>
      <x:c r="S802" s="40"/>
      <x:c r="T802" s="40"/>
      <x:c r="U802" s="40" t="n">
        <x:v>1</x:v>
      </x:c>
      <x:c r="V802" s="40" t="n">
        <x:v>0.9913196998675886</x:v>
      </x:c>
      <x:c r="W802" s="31" t="n">
        <x:v>0</x:v>
      </x:c>
      <x:c r="X802" s="31" t="str"/>
      <x:c r="Y802" s="31" t="n">
        <x:v>0</x:v>
      </x:c>
      <x:c r="Z802" s="31" t="n">
        <x:v>0</x:v>
      </x:c>
      <x:c r="AA802" s="31" t="n">
        <x:v>0</x:v>
      </x:c>
      <x:c r="AB802" s="31" t="str"/>
      <x:c r="AC802" s="31" t="str"/>
    </x:row>
    <x:row r="803">
      <x:c r="A803" s="31" t="str">
        <x:v>f1287155fb59dc90</x:v>
      </x:c>
      <x:c r="B803" s="31" t="str">
        <x:v>f1287155fb59dc900c6c491cfd30722ac4539bf4837ff9e208e402a1afe6fd11</x:v>
      </x:c>
      <x:c r="C803" s="31" t="n">
        <x:v>12</x:v>
      </x:c>
      <x:c r="D803" s="31" t="n">
        <x:v>33863</x:v>
      </x:c>
      <x:c r="E803" s="31" t="str">
        <x:v>Brooklyn</x:v>
      </x:c>
      <x:c r="F803" s="31" t="str">
        <x:v>Marine Park-Mill Basin-Bergen Beach</x:v>
      </x:c>
      <x:c r="G803" s="31" t="n">
        <x:v>21239.477991695974</x:v>
      </x:c>
      <x:c r="H803" s="31" t="n">
        <x:v>12171</x:v>
      </x:c>
      <x:c r="I803" s="31" t="n">
        <x:v>2.0960646700674674</x:v>
      </x:c>
      <x:c r="J803" s="40" t="n">
        <x:v>0</x:v>
      </x:c>
      <x:c r="K803" s="40" t="n">
        <x:v>0.18453701421411553</x:v>
      </x:c>
      <x:c r="L803" s="40" t="n">
        <x:v>0.06334730096130145</x:v>
      </x:c>
      <x:c r="M803" s="31" t="n">
        <x:v>28.107854083076923</x:v>
      </x:c>
      <x:c r="N803" s="31" t="n">
        <x:v>41</x:v>
      </x:c>
      <x:c r="O803" s="31" t="n">
        <x:v>1.2107610075894044</x:v>
      </x:c>
      <x:c r="P803" s="31" t="n">
        <x:v>2</x:v>
      </x:c>
      <x:c r="Q803" s="40" t="n">
        <x:v>0</x:v>
      </x:c>
      <x:c r="R803" s="31" t="n">
        <x:v>0.2834273231024238</x:v>
      </x:c>
      <x:c r="S803" s="40"/>
      <x:c r="T803" s="40"/>
      <x:c r="U803" s="40" t="n">
        <x:v>1</x:v>
      </x:c>
      <x:c r="V803" s="40" t="n">
        <x:v>0.9954810615397256</x:v>
      </x:c>
      <x:c r="W803" s="31" t="n">
        <x:v>0</x:v>
      </x:c>
      <x:c r="X803" s="31" t="str"/>
      <x:c r="Y803" s="31" t="n">
        <x:v>0</x:v>
      </x:c>
      <x:c r="Z803" s="31" t="n">
        <x:v>0</x:v>
      </x:c>
      <x:c r="AA803" s="31" t="n">
        <x:v>0</x:v>
      </x:c>
      <x:c r="AB803" s="31" t="str"/>
      <x:c r="AC803" s="31" t="str"/>
    </x:row>
    <x:row r="804">
      <x:c r="A804" s="31" t="str">
        <x:v>f176862f8e47df97</x:v>
      </x:c>
      <x:c r="B804" s="31" t="str">
        <x:v>f176862f8e47df97b5efb5a49eb3df69dbaa92e7f50ba7da633a172f0e18c3c2</x:v>
      </x:c>
      <x:c r="C804" s="31" t="n">
        <x:v>8</x:v>
      </x:c>
      <x:c r="D804" s="31" t="n">
        <x:v>33106</x:v>
      </x:c>
      <x:c r="E804" s="31" t="str">
        <x:v>Brooklyn</x:v>
      </x:c>
      <x:c r="F804" s="31" t="str">
        <x:v>Bensonhurst</x:v>
      </x:c>
      <x:c r="G804" s="31" t="n">
        <x:v>68763.48763235101</x:v>
      </x:c>
      <x:c r="H804" s="31" t="n">
        <x:v>11289</x:v>
      </x:c>
      <x:c r="I804" s="31" t="n">
        <x:v>3.7717583975892937</x:v>
      </x:c>
      <x:c r="J804" s="40" t="n">
        <x:v>0</x:v>
      </x:c>
      <x:c r="K804" s="40" t="n">
        <x:v>0.5862343874568163</x:v>
      </x:c>
      <x:c r="L804" s="40" t="n">
        <x:v>0.0054920719284259015</x:v>
      </x:c>
      <x:c r="M804" s="31" t="n">
        <x:v>43.6539913196659</x:v>
      </x:c>
      <x:c r="N804" s="31" t="n">
        <x:v>120</x:v>
      </x:c>
      <x:c r="O804" s="31" t="n">
        <x:v>3.6247205944541774</x:v>
      </x:c>
      <x:c r="P804" s="31" t="n">
        <x:v>4</x:v>
      </x:c>
      <x:c r="Q804" s="40" t="n">
        <x:v>1</x:v>
      </x:c>
      <x:c r="R804" s="31" t="n">
        <x:v>0.1869029065058566</x:v>
      </x:c>
      <x:c r="S804" s="40"/>
      <x:c r="T804" s="40"/>
      <x:c r="U804" s="40" t="n">
        <x:v>1</x:v>
      </x:c>
      <x:c r="V804" s="40" t="n">
        <x:v>0.9968996368145983</x:v>
      </x:c>
      <x:c r="W804" s="31" t="n">
        <x:v>1</x:v>
      </x:c>
      <x:c r="X804" s="31" t="str"/>
      <x:c r="Y804" s="31" t="n">
        <x:v>0</x:v>
      </x:c>
      <x:c r="Z804" s="31" t="n">
        <x:v>1</x:v>
      </x:c>
      <x:c r="AA804" s="31" t="n">
        <x:v>0</x:v>
      </x:c>
      <x:c r="AB804" s="31" t="str"/>
      <x:c r="AC804" s="31" t="str"/>
    </x:row>
    <x:row r="805">
      <x:c r="A805" s="31" t="str">
        <x:v>f1cd135db99ab38e</x:v>
      </x:c>
      <x:c r="B805" s="31" t="str">
        <x:v>f1cd135db99ab38ef821dd5212066d31b718858871f772f8665b6c4312efe99a</x:v>
      </x:c>
      <x:c r="C805" s="31" t="n">
        <x:v>8</x:v>
      </x:c>
      <x:c r="D805" s="31" t="n">
        <x:v>32559</x:v>
      </x:c>
      <x:c r="E805" s="31" t="str">
        <x:v>Queens</x:v>
      </x:c>
      <x:c r="F805" s="31" t="str">
        <x:v>Glen Oaks-Floral Park-New Hyde Park</x:v>
      </x:c>
      <x:c r="G805" s="31" t="n">
        <x:v>12471.187078994342</x:v>
      </x:c>
      <x:c r="H805" s="31" t="n">
        <x:v>11228</x:v>
      </x:c>
      <x:c r="I805" s="31" t="n">
        <x:v>1.9698334224122571</x:v>
      </x:c>
      <x:c r="J805" s="40" t="n">
        <x:v>0</x:v>
      </x:c>
      <x:c r="K805" s="40" t="n">
        <x:v>0.06457071606697543</x:v>
      </x:c>
      <x:c r="L805" s="40" t="n">
        <x:v>0.34218026362664766</x:v>
      </x:c>
      <x:c r="M805" s="31" t="n">
        <x:v>27.923097535427296</x:v>
      </x:c>
      <x:c r="N805" s="31" t="n">
        <x:v>13</x:v>
      </x:c>
      <x:c r="O805" s="31" t="n">
        <x:v>0.3992751620135753</x:v>
      </x:c>
      <x:c r="P805" s="31" t="n">
        <x:v>3</x:v>
      </x:c>
      <x:c r="Q805" s="40" t="n">
        <x:v>0</x:v>
      </x:c>
      <x:c r="R805" s="31" t="n">
        <x:v>0.22353813787699323</x:v>
      </x:c>
      <x:c r="S805" s="40"/>
      <x:c r="T805" s="40"/>
      <x:c r="U805" s="40" t="n">
        <x:v>0.9131635197719986</x:v>
      </x:c>
      <x:c r="V805" s="40" t="n">
        <x:v>0.9983968649804061</x:v>
      </x:c>
      <x:c r="W805" s="31" t="n">
        <x:v>0</x:v>
      </x:c>
      <x:c r="X805" s="31" t="str"/>
      <x:c r="Y805" s="31" t="n">
        <x:v>0</x:v>
      </x:c>
      <x:c r="Z805" s="31" t="n">
        <x:v>0</x:v>
      </x:c>
      <x:c r="AA805" s="31" t="n">
        <x:v>0</x:v>
      </x:c>
      <x:c r="AB805" s="31" t="str"/>
      <x:c r="AC805" s="31" t="str"/>
    </x:row>
    <x:row r="806">
      <x:c r="A806" s="31" t="str">
        <x:v>f2101c158a4bd56f</x:v>
      </x:c>
      <x:c r="B806" s="31" t="str">
        <x:v>f2101c158a4bd56fd8ba34529abd473a1ce7ae23135bcd1be5339756f4dc4aa0</x:v>
      </x:c>
      <x:c r="C806" s="31" t="n">
        <x:v>14</x:v>
      </x:c>
      <x:c r="D806" s="31" t="n">
        <x:v>33045</x:v>
      </x:c>
      <x:c r="E806" s="31" t="str">
        <x:v>Queens</x:v>
      </x:c>
      <x:c r="F806" s="31" t="str">
        <x:v>Baisley Park</x:v>
      </x:c>
      <x:c r="G806" s="31" t="n">
        <x:v>28976.666551173534</x:v>
      </x:c>
      <x:c r="H806" s="31" t="n">
        <x:v>14736</x:v>
      </x:c>
      <x:c r="I806" s="31" t="n">
        <x:v>7.403966711956522</x:v>
      </x:c>
      <x:c r="J806" s="40" t="n">
        <x:v>0.3976655808903366</x:v>
      </x:c>
      <x:c r="K806" s="40" t="n">
        <x:v>0.11549945711183496</x:v>
      </x:c>
      <x:c r="L806" s="40" t="n">
        <x:v>0.4769272529858849</x:v>
      </x:c>
      <x:c r="M806" s="31" t="n">
        <x:v>71.48697180428192</x:v>
      </x:c>
      <x:c r="N806" s="31" t="n">
        <x:v>143</x:v>
      </x:c>
      <x:c r="O806" s="31" t="n">
        <x:v>4.327432289302466</x:v>
      </x:c>
      <x:c r="P806" s="31" t="n">
        <x:v>4.998846362649294</x:v>
      </x:c>
      <x:c r="Q806" s="40" t="n">
        <x:v>1</x:v>
      </x:c>
      <x:c r="R806" s="31" t="n">
        <x:v>0.1913499775368424</x:v>
      </x:c>
      <x:c r="S806" s="40"/>
      <x:c r="T806" s="40"/>
      <x:c r="U806" s="40" t="n">
        <x:v>1</x:v>
      </x:c>
      <x:c r="V806" s="40" t="n">
        <x:v>0.9965390879478827</x:v>
      </x:c>
      <x:c r="W806" s="31" t="n">
        <x:v>0</x:v>
      </x:c>
      <x:c r="X806" s="31" t="str"/>
      <x:c r="Y806" s="31" t="n">
        <x:v>0</x:v>
      </x:c>
      <x:c r="Z806" s="31" t="n">
        <x:v>0</x:v>
      </x:c>
      <x:c r="AA806" s="31" t="n">
        <x:v>0</x:v>
      </x:c>
      <x:c r="AB806" s="31" t="str"/>
      <x:c r="AC806" s="31" t="str"/>
    </x:row>
    <x:row r="807">
      <x:c r="A807" s="31" t="str">
        <x:v>f283bf7f8a61ba87</x:v>
      </x:c>
      <x:c r="B807" s="31" t="str">
        <x:v>f283bf7f8a61ba87f0e917a18f8d3043ce98b54d5f3a1c983bddf1b18990a855</x:v>
      </x:c>
      <x:c r="C807" s="31" t="n">
        <x:v>10</x:v>
      </x:c>
      <x:c r="D807" s="31" t="n">
        <x:v>32986</x:v>
      </x:c>
      <x:c r="E807" s="31" t="str">
        <x:v>Queens</x:v>
      </x:c>
      <x:c r="F807" s="31" t="str">
        <x:v>Astoria (North)-Ditmars-Steinway</x:v>
      </x:c>
      <x:c r="G807" s="31" t="n">
        <x:v>45489.82637644019</x:v>
      </x:c>
      <x:c r="H807" s="31" t="n">
        <x:v>14607</x:v>
      </x:c>
      <x:c r="I807" s="31" t="n">
        <x:v>3.1062907096331847</x:v>
      </x:c>
      <x:c r="J807" s="40" t="n">
        <x:v>0.0054768261792291365</x:v>
      </x:c>
      <x:c r="K807" s="40" t="n">
        <x:v>0.5901280208119395</x:v>
      </x:c>
      <x:c r="L807" s="40" t="n">
        <x:v>0.16670089683028685</x:v>
      </x:c>
      <x:c r="M807" s="31" t="n">
        <x:v>34.767860748176545</x:v>
      </x:c>
      <x:c r="N807" s="31" t="n">
        <x:v>56</x:v>
      </x:c>
      <x:c r="O807" s="31" t="n">
        <x:v>1.6976899290608136</x:v>
      </x:c>
      <x:c r="P807" s="31" t="n">
        <x:v>3</x:v>
      </x:c>
      <x:c r="Q807" s="40" t="n">
        <x:v>0</x:v>
      </x:c>
      <x:c r="R807" s="31" t="n">
        <x:v>0.1753686378212846</x:v>
      </x:c>
      <x:c r="S807" s="40"/>
      <x:c r="T807" s="40"/>
      <x:c r="U807" s="40" t="n">
        <x:v>1</x:v>
      </x:c>
      <x:c r="V807" s="40" t="n">
        <x:v>0.9081947011706716</x:v>
      </x:c>
      <x:c r="W807" s="31" t="n">
        <x:v>0</x:v>
      </x:c>
      <x:c r="X807" s="31" t="str"/>
      <x:c r="Y807" s="31" t="n">
        <x:v>0</x:v>
      </x:c>
      <x:c r="Z807" s="31" t="n">
        <x:v>0</x:v>
      </x:c>
      <x:c r="AA807" s="31" t="n">
        <x:v>0</x:v>
      </x:c>
      <x:c r="AB807" s="31" t="str"/>
      <x:c r="AC807" s="31" t="str"/>
    </x:row>
    <x:row r="808">
      <x:c r="A808" s="31" t="str">
        <x:v>f2a344ef9f0e61d3</x:v>
      </x:c>
      <x:c r="B808" s="31" t="str">
        <x:v>f2a344ef9f0e61d330ec7c7cc5841652de38c2ef063acdd3feb51c7617aface2</x:v>
      </x:c>
      <x:c r="C808" s="31" t="n">
        <x:v>9</x:v>
      </x:c>
      <x:c r="D808" s="31" t="n">
        <x:v>34222</x:v>
      </x:c>
      <x:c r="E808" s="31" t="str">
        <x:v>Brooklyn</x:v>
      </x:c>
      <x:c r="F808" s="31" t="str">
        <x:v>East New York (North)</x:v>
      </x:c>
      <x:c r="G808" s="31" t="n">
        <x:v>52376.18523233606</x:v>
      </x:c>
      <x:c r="H808" s="31" t="n">
        <x:v>11486</x:v>
      </x:c>
      <x:c r="I808" s="31" t="n">
        <x:v>3.436714659685864</x:v>
      </x:c>
      <x:c r="J808" s="40" t="n">
        <x:v>0.020807940100992513</x:v>
      </x:c>
      <x:c r="K808" s="40" t="n">
        <x:v>0.43365836670729585</x:v>
      </x:c>
      <x:c r="L808" s="40" t="n">
        <x:v>0.16507052063381508</x:v>
      </x:c>
      <x:c r="M808" s="31" t="n">
        <x:v>36.994582615863095</x:v>
      </x:c>
      <x:c r="N808" s="31" t="n">
        <x:v>53</x:v>
      </x:c>
      <x:c r="O808" s="31" t="n">
        <x:v>1.5487113552685405</x:v>
      </x:c>
      <x:c r="P808" s="31" t="n">
        <x:v>4.073829009228626</x:v>
      </x:c>
      <x:c r="Q808" s="40" t="n">
        <x:v>1</x:v>
      </x:c>
      <x:c r="R808" s="31" t="n">
        <x:v>0.11961691705734973</x:v>
      </x:c>
      <x:c r="S808" s="40"/>
      <x:c r="T808" s="40"/>
      <x:c r="U808" s="40" t="n">
        <x:v>1</x:v>
      </x:c>
      <x:c r="V808" s="40" t="n">
        <x:v>0.9653491206686401</x:v>
      </x:c>
      <x:c r="W808" s="31" t="n">
        <x:v>0</x:v>
      </x:c>
      <x:c r="X808" s="31" t="str"/>
      <x:c r="Y808" s="31" t="n">
        <x:v>0</x:v>
      </x:c>
      <x:c r="Z808" s="31" t="n">
        <x:v>0</x:v>
      </x:c>
      <x:c r="AA808" s="31" t="n">
        <x:v>0</x:v>
      </x:c>
      <x:c r="AB808" s="31" t="str"/>
      <x:c r="AC808" s="31" t="str"/>
    </x:row>
    <x:row r="809">
      <x:c r="A809" s="31" t="str">
        <x:v>f3d4a71e57cba372</x:v>
      </x:c>
      <x:c r="B809" s="31" t="str">
        <x:v>f3d4a71e57cba372d4e0eaf2adf25d5ce773386d547ae0b1fdd5affa29af1924</x:v>
      </x:c>
      <x:c r="C809" s="31" t="n">
        <x:v>14</x:v>
      </x:c>
      <x:c r="D809" s="31" t="n">
        <x:v>34116</x:v>
      </x:c>
      <x:c r="E809" s="31" t="str">
        <x:v>Queens</x:v>
      </x:c>
      <x:c r="F809" s="31" t="str">
        <x:v>East Flushing</x:v>
      </x:c>
      <x:c r="G809" s="31" t="n">
        <x:v>29419.53165502674</x:v>
      </x:c>
      <x:c r="H809" s="31" t="n">
        <x:v>10834</x:v>
      </x:c>
      <x:c r="I809" s="31" t="n">
        <x:v>3.0499370195424653</x:v>
      </x:c>
      <x:c r="J809" s="40" t="n">
        <x:v>0.013752999815395975</x:v>
      </x:c>
      <x:c r="K809" s="40" t="n">
        <x:v>0.36210079379730475</x:v>
      </x:c>
      <x:c r="L809" s="40" t="n">
        <x:v>0.03553627469078826</x:v>
      </x:c>
      <x:c r="M809" s="31" t="n">
        <x:v>35.43254198819492</x:v>
      </x:c>
      <x:c r="N809" s="31" t="n">
        <x:v>60</x:v>
      </x:c>
      <x:c r="O809" s="31" t="n">
        <x:v>1.758705592683785</x:v>
      </x:c>
      <x:c r="P809" s="31" t="n">
        <x:v>3.5241831271921726</x:v>
      </x:c>
      <x:c r="Q809" s="40" t="n">
        <x:v>0.5526121469448034</x:v>
      </x:c>
      <x:c r="R809" s="31" t="n">
        <x:v>0.25961537429628384</x:v>
      </x:c>
      <x:c r="S809" s="40"/>
      <x:c r="T809" s="40"/>
      <x:c r="U809" s="40" t="n">
        <x:v>1</x:v>
      </x:c>
      <x:c r="V809" s="40" t="n">
        <x:v>0.9858777921358686</x:v>
      </x:c>
      <x:c r="W809" s="31" t="n">
        <x:v>0</x:v>
      </x:c>
      <x:c r="X809" s="31" t="str"/>
      <x:c r="Y809" s="31" t="n">
        <x:v>0</x:v>
      </x:c>
      <x:c r="Z809" s="31" t="n">
        <x:v>0</x:v>
      </x:c>
      <x:c r="AA809" s="31" t="n">
        <x:v>0</x:v>
      </x:c>
      <x:c r="AB809" s="31" t="str"/>
      <x:c r="AC809" s="31" t="str"/>
    </x:row>
    <x:row r="810">
      <x:c r="A810" s="31" t="str">
        <x:v>f412a9c874a1405c</x:v>
      </x:c>
      <x:c r="B810" s="31" t="str">
        <x:v>f412a9c874a1405cee2f5ea0c5f7ddde0fb8bc6363b31284fbb67f657fbd5c66</x:v>
      </x:c>
      <x:c r="C810" s="31" t="n">
        <x:v>8</x:v>
      </x:c>
      <x:c r="D810" s="31" t="n">
        <x:v>33971</x:v>
      </x:c>
      <x:c r="E810" s="31" t="str">
        <x:v>Bronx</x:v>
      </x:c>
      <x:c r="F810" s="31" t="str">
        <x:v>Morrisania</x:v>
      </x:c>
      <x:c r="G810" s="31" t="n">
        <x:v>63171.40873526611</x:v>
      </x:c>
      <x:c r="H810" s="31" t="n">
        <x:v>13674</x:v>
      </x:c>
      <x:c r="I810" s="31" t="n">
        <x:v>5.295920733944954</x:v>
      </x:c>
      <x:c r="J810" s="40" t="n">
        <x:v>0.06143045195261079</x:v>
      </x:c>
      <x:c r="K810" s="40" t="n">
        <x:v>0.8297498903027644</x:v>
      </x:c>
      <x:c r="L810" s="40" t="n">
        <x:v>0.060479742577153724</x:v>
      </x:c>
      <x:c r="M810" s="31" t="n">
        <x:v>56.571341576561714</x:v>
      </x:c>
      <x:c r="N810" s="31" t="n">
        <x:v>129</x:v>
      </x:c>
      <x:c r="O810" s="31" t="n">
        <x:v>3.7973565688381266</x:v>
      </x:c>
      <x:c r="P810" s="31" t="n">
        <x:v>5</x:v>
      </x:c>
      <x:c r="Q810" s="40" t="n">
        <x:v>1</x:v>
      </x:c>
      <x:c r="R810" s="31" t="n">
        <x:v>0.09495670063670031</x:v>
      </x:c>
      <x:c r="S810" s="40"/>
      <x:c r="T810" s="40"/>
      <x:c r="U810" s="40" t="n">
        <x:v>1</x:v>
      </x:c>
      <x:c r="V810" s="40" t="n">
        <x:v>0.9777680269123885</x:v>
      </x:c>
      <x:c r="W810" s="31" t="n">
        <x:v>1</x:v>
      </x:c>
      <x:c r="X810" s="31" t="str"/>
      <x:c r="Y810" s="31" t="n">
        <x:v>0</x:v>
      </x:c>
      <x:c r="Z810" s="31" t="n">
        <x:v>1</x:v>
      </x:c>
      <x:c r="AA810" s="31" t="n">
        <x:v>0</x:v>
      </x:c>
      <x:c r="AB810" s="31" t="str"/>
      <x:c r="AC810" s="31" t="str"/>
    </x:row>
    <x:row r="811">
      <x:c r="A811" s="31" t="str">
        <x:v>f45edcd21e421618</x:v>
      </x:c>
      <x:c r="B811" s="31" t="str">
        <x:v>f45edcd21e421618142e2dc5f597b63ba87e38cb13af675fca1ebded1c2d4511</x:v>
      </x:c>
      <x:c r="C811" s="31" t="n">
        <x:v>8</x:v>
      </x:c>
      <x:c r="D811" s="31" t="n">
        <x:v>32953</x:v>
      </x:c>
      <x:c r="E811" s="31" t="str">
        <x:v>Brooklyn</x:v>
      </x:c>
      <x:c r="F811" s="31" t="str">
        <x:v>Kensington</x:v>
      </x:c>
      <x:c r="G811" s="31" t="n">
        <x:v>66068.46787141502</x:v>
      </x:c>
      <x:c r="H811" s="31" t="n">
        <x:v>10925</x:v>
      </x:c>
      <x:c r="I811" s="31" t="n">
        <x:v>4.532246210381259</x:v>
      </x:c>
      <x:c r="J811" s="40" t="n">
        <x:v>0.039359267734553775</x:v>
      </x:c>
      <x:c r="K811" s="40" t="n">
        <x:v>0.6220594965675057</x:v>
      </x:c>
      <x:c r="L811" s="40" t="n">
        <x:v>0.016018306636155607</x:v>
      </x:c>
      <x:c r="M811" s="31" t="n">
        <x:v>50.58055666748599</x:v>
      </x:c>
      <x:c r="N811" s="31" t="n">
        <x:v>118</x:v>
      </x:c>
      <x:c r="O811" s="31" t="n">
        <x:v>3.5808575850453677</x:v>
      </x:c>
      <x:c r="P811" s="31" t="n">
        <x:v>3</x:v>
      </x:c>
      <x:c r="Q811" s="40" t="n">
        <x:v>0</x:v>
      </x:c>
      <x:c r="R811" s="31" t="n">
        <x:v>0.14184321104282427</x:v>
      </x:c>
      <x:c r="S811" s="40"/>
      <x:c r="T811" s="40"/>
      <x:c r="U811" s="40" t="n">
        <x:v>1</x:v>
      </x:c>
      <x:c r="V811" s="40" t="n">
        <x:v>0.9965217391304347</x:v>
      </x:c>
      <x:c r="W811" s="31" t="n">
        <x:v>0</x:v>
      </x:c>
      <x:c r="X811" s="31" t="str"/>
      <x:c r="Y811" s="31" t="n">
        <x:v>0</x:v>
      </x:c>
      <x:c r="Z811" s="31" t="n">
        <x:v>0</x:v>
      </x:c>
      <x:c r="AA811" s="31" t="n">
        <x:v>0</x:v>
      </x:c>
      <x:c r="AB811" s="31" t="str"/>
      <x:c r="AC811" s="31" t="str"/>
    </x:row>
    <x:row r="812">
      <x:c r="A812" s="31" t="str">
        <x:v>f4a04357e45a9f4f</x:v>
      </x:c>
      <x:c r="B812" s="31" t="str">
        <x:v>f4a04357e45a9f4f312ff1e0edb79acb5446bf53e9592af6ddc207ec1c8694a5</x:v>
      </x:c>
      <x:c r="C812" s="31" t="n">
        <x:v>10</x:v>
      </x:c>
      <x:c r="D812" s="31" t="n">
        <x:v>34533</x:v>
      </x:c>
      <x:c r="E812" s="31" t="str">
        <x:v>Brooklyn</x:v>
      </x:c>
      <x:c r="F812" s="31" t="str">
        <x:v>Bushwick (West)</x:v>
      </x:c>
      <x:c r="G812" s="31" t="n">
        <x:v>63080.95157146568</x:v>
      </x:c>
      <x:c r="H812" s="31" t="n">
        <x:v>18411</x:v>
      </x:c>
      <x:c r="I812" s="31" t="n">
        <x:v>7.718396792494</x:v>
      </x:c>
      <x:c r="J812" s="40" t="n">
        <x:v>0.2793438705121938</x:v>
      </x:c>
      <x:c r="K812" s="40" t="n">
        <x:v>0.6360328064743903</x:v>
      </x:c>
      <x:c r="L812" s="40" t="n">
        <x:v>0.17994677095214817</x:v>
      </x:c>
      <x:c r="M812" s="31" t="n">
        <x:v>82.38653217466141</x:v>
      </x:c>
      <x:c r="N812" s="31" t="n">
        <x:v>207</x:v>
      </x:c>
      <x:c r="O812" s="31" t="n">
        <x:v>5.994266353922335</x:v>
      </x:c>
      <x:c r="P812" s="31" t="n">
        <x:v>4</x:v>
      </x:c>
      <x:c r="Q812" s="40" t="n">
        <x:v>1</x:v>
      </x:c>
      <x:c r="R812" s="31" t="n">
        <x:v>0.07524280542679795</x:v>
      </x:c>
      <x:c r="S812" s="40"/>
      <x:c r="T812" s="40"/>
      <x:c r="U812" s="40" t="n">
        <x:v>1</x:v>
      </x:c>
      <x:c r="V812" s="40" t="n">
        <x:v>0.9352017815436424</x:v>
      </x:c>
      <x:c r="W812" s="31" t="n">
        <x:v>1</x:v>
      </x:c>
      <x:c r="X812" s="31" t="str"/>
      <x:c r="Y812" s="31" t="n">
        <x:v>0</x:v>
      </x:c>
      <x:c r="Z812" s="31" t="n">
        <x:v>1</x:v>
      </x:c>
      <x:c r="AA812" s="31" t="n">
        <x:v>0</x:v>
      </x:c>
      <x:c r="AB812" s="31" t="str"/>
      <x:c r="AC812" s="31" t="str"/>
    </x:row>
    <x:row r="813">
      <x:c r="A813" s="31" t="str">
        <x:v>f571cdb6f68faa8f</x:v>
      </x:c>
      <x:c r="B813" s="31" t="str">
        <x:v>f571cdb6f68faa8f78a2b80219050592736291da37d62fdd2cf4a768ae947e65</x:v>
      </x:c>
      <x:c r="C813" s="31" t="n">
        <x:v>11</x:v>
      </x:c>
      <x:c r="D813" s="31" t="n">
        <x:v>33977</x:v>
      </x:c>
      <x:c r="E813" s="31" t="str">
        <x:v>Brooklyn</x:v>
      </x:c>
      <x:c r="F813" s="31" t="str">
        <x:v>Madison</x:v>
      </x:c>
      <x:c r="G813" s="31" t="n">
        <x:v>46295.5208978815</x:v>
      </x:c>
      <x:c r="H813" s="31" t="n">
        <x:v>12110</x:v>
      </x:c>
      <x:c r="I813" s="31" t="n">
        <x:v>3.641473431947773</x:v>
      </x:c>
      <x:c r="J813" s="40" t="n">
        <x:v>0.011560693641618497</x:v>
      </x:c>
      <x:c r="K813" s="40" t="n">
        <x:v>0.4658959537572254</x:v>
      </x:c>
      <x:c r="L813" s="40" t="n">
        <x:v>0.004046242774566474</x:v>
      </x:c>
      <x:c r="M813" s="31" t="n">
        <x:v>43.264794726526354</x:v>
      </x:c>
      <x:c r="N813" s="31" t="n">
        <x:v>129</x:v>
      </x:c>
      <x:c r="O813" s="31" t="n">
        <x:v>3.7966859934661685</x:v>
      </x:c>
      <x:c r="P813" s="31" t="n">
        <x:v>3.0289843104872007</x:v>
      </x:c>
      <x:c r="Q813" s="40" t="n">
        <x:v>0.02898431048720066</x:v>
      </x:c>
      <x:c r="R813" s="31" t="n">
        <x:v>0.17890655142511389</x:v>
      </x:c>
      <x:c r="S813" s="40"/>
      <x:c r="T813" s="40"/>
      <x:c r="U813" s="40" t="n">
        <x:v>1</x:v>
      </x:c>
      <x:c r="V813" s="40" t="n">
        <x:v>0.9965317919075144</x:v>
      </x:c>
      <x:c r="W813" s="31" t="n">
        <x:v>0</x:v>
      </x:c>
      <x:c r="X813" s="31" t="str"/>
      <x:c r="Y813" s="31" t="n">
        <x:v>0</x:v>
      </x:c>
      <x:c r="Z813" s="31" t="n">
        <x:v>0</x:v>
      </x:c>
      <x:c r="AA813" s="31" t="n">
        <x:v>0</x:v>
      </x:c>
      <x:c r="AB813" s="31" t="str"/>
      <x:c r="AC813" s="31" t="str"/>
    </x:row>
    <x:row r="814">
      <x:c r="A814" s="31" t="str">
        <x:v>f60b88ac7fdfe423</x:v>
      </x:c>
      <x:c r="B814" s="31" t="str">
        <x:v>f60b88ac7fdfe423b7775cdab42ddfcc5ab87d3532bb52595103453f0295fb32</x:v>
      </x:c>
      <x:c r="C814" s="31" t="n">
        <x:v>10</x:v>
      </x:c>
      <x:c r="D814" s="31" t="n">
        <x:v>33527</x:v>
      </x:c>
      <x:c r="E814" s="31" t="str">
        <x:v>Brooklyn</x:v>
      </x:c>
      <x:c r="F814" s="31" t="str">
        <x:v>Sunset Park (East)-Borough Park (West)</x:v>
      </x:c>
      <x:c r="G814" s="31" t="n">
        <x:v>93041.9383631059</x:v>
      </x:c>
      <x:c r="H814" s="31" t="n">
        <x:v>8945</x:v>
      </x:c>
      <x:c r="I814" s="31" t="n">
        <x:v>3.2278449144008055</x:v>
      </x:c>
      <x:c r="J814" s="40" t="n">
        <x:v>0.013750698714365567</x:v>
      </x:c>
      <x:c r="K814" s="40" t="n">
        <x:v>0.5266629401900503</x:v>
      </x:c>
      <x:c r="L814" s="40" t="n">
        <x:v>0.008160983789826718</x:v>
      </x:c>
      <x:c r="M814" s="31" t="n">
        <x:v>37.0065879209864</x:v>
      </x:c>
      <x:c r="N814" s="31" t="n">
        <x:v>293</x:v>
      </x:c>
      <x:c r="O814" s="31" t="n">
        <x:v>8.739225102156471</x:v>
      </x:c>
      <x:c r="P814" s="31" t="n">
        <x:v>3.2879821129122413</x:v>
      </x:c>
      <x:c r="Q814" s="40" t="n">
        <x:v>0.28798211291224146</x:v>
      </x:c>
      <x:c r="R814" s="31" t="n">
        <x:v>0.18755046805168457</x:v>
      </x:c>
      <x:c r="S814" s="40"/>
      <x:c r="T814" s="40"/>
      <x:c r="U814" s="40" t="n">
        <x:v>1</x:v>
      </x:c>
      <x:c r="V814" s="40" t="n">
        <x:v>0.9860257126886529</x:v>
      </x:c>
      <x:c r="W814" s="31" t="n">
        <x:v>0</x:v>
      </x:c>
      <x:c r="X814" s="31" t="str"/>
      <x:c r="Y814" s="31" t="n">
        <x:v>0</x:v>
      </x:c>
      <x:c r="Z814" s="31" t="n">
        <x:v>0</x:v>
      </x:c>
      <x:c r="AA814" s="31" t="n">
        <x:v>0</x:v>
      </x:c>
      <x:c r="AB814" s="31" t="str"/>
      <x:c r="AC814" s="31" t="str"/>
    </x:row>
    <x:row r="815">
      <x:c r="A815" s="31" t="str">
        <x:v>f6243c83d209d5e1</x:v>
      </x:c>
      <x:c r="B815" s="31" t="str">
        <x:v>f6243c83d209d5e1a4dd7f7ab945389c961f68febd2d86730b268b5327eb8e9f</x:v>
      </x:c>
      <x:c r="C815" s="31" t="n">
        <x:v>7</x:v>
      </x:c>
      <x:c r="D815" s="31" t="n">
        <x:v>35366</x:v>
      </x:c>
      <x:c r="E815" s="31" t="str">
        <x:v>Bronx</x:v>
      </x:c>
      <x:c r="F815" s="31" t="str">
        <x:v>University Heights (North)-Fordham</x:v>
      </x:c>
      <x:c r="G815" s="31" t="n">
        <x:v>70712.59961307299</x:v>
      </x:c>
      <x:c r="H815" s="31" t="n">
        <x:v>12773</x:v>
      </x:c>
      <x:c r="I815" s="31" t="n">
        <x:v>6.652587489235105</x:v>
      </x:c>
      <x:c r="J815" s="40" t="n">
        <x:v>0.14624598763015736</x:v>
      </x:c>
      <x:c r="K815" s="40" t="n">
        <x:v>0.815861583026697</x:v>
      </x:c>
      <x:c r="L815" s="40" t="n">
        <x:v>0.08760667032020669</x:v>
      </x:c>
      <x:c r="M815" s="31" t="n">
        <x:v>74.0557635334625</x:v>
      </x:c>
      <x:c r="N815" s="31" t="n">
        <x:v>128</x:v>
      </x:c>
      <x:c r="O815" s="31" t="n">
        <x:v>3.6192953684329585</x:v>
      </x:c>
      <x:c r="P815" s="31" t="n">
        <x:v>3.7392155327644248</x:v>
      </x:c>
      <x:c r="Q815" s="40" t="n">
        <x:v>0.9125499099663352</x:v>
      </x:c>
      <x:c r="R815" s="31" t="n">
        <x:v>0.1701156831125107</x:v>
      </x:c>
      <x:c r="S815" s="40"/>
      <x:c r="T815" s="40"/>
      <x:c r="U815" s="40" t="n">
        <x:v>1</x:v>
      </x:c>
      <x:c r="V815" s="40" t="n">
        <x:v>0.998042746418226</x:v>
      </x:c>
      <x:c r="W815" s="31" t="n">
        <x:v>0</x:v>
      </x:c>
      <x:c r="X815" s="31" t="str"/>
      <x:c r="Y815" s="31" t="n">
        <x:v>0</x:v>
      </x:c>
      <x:c r="Z815" s="31" t="n">
        <x:v>0</x:v>
      </x:c>
      <x:c r="AA815" s="31" t="n">
        <x:v>0</x:v>
      </x:c>
      <x:c r="AB815" s="31" t="str"/>
      <x:c r="AC815" s="31" t="str"/>
    </x:row>
    <x:row r="816">
      <x:c r="A816" s="31" t="str">
        <x:v>f646f2dffff0ee6b</x:v>
      </x:c>
      <x:c r="B816" s="31" t="str">
        <x:v>f646f2dffff0ee6b9f5bff5223f33b052966d770f2c9c709abd43d5b2ba0660f</x:v>
      </x:c>
      <x:c r="C816" s="31" t="n">
        <x:v>7</x:v>
      </x:c>
      <x:c r="D816" s="31" t="n">
        <x:v>36582</x:v>
      </x:c>
      <x:c r="E816" s="31" t="str">
        <x:v>Manhattan</x:v>
      </x:c>
      <x:c r="F816" s="31" t="str">
        <x:v>Lower East Side</x:v>
      </x:c>
      <x:c r="G816" s="31" t="n">
        <x:v>86147.6578735313</x:v>
      </x:c>
      <x:c r="H816" s="31" t="n">
        <x:v>18540</x:v>
      </x:c>
      <x:c r="I816" s="31" t="n">
        <x:v>7.145240153438867</x:v>
      </x:c>
      <x:c r="J816" s="40" t="n">
        <x:v>0.16014023732470334</x:v>
      </x:c>
      <x:c r="K816" s="40" t="n">
        <x:v>0.8370550161812298</x:v>
      </x:c>
      <x:c r="L816" s="40" t="n">
        <x:v>0.030151024811218986</x:v>
      </x:c>
      <x:c r="M816" s="31" t="n">
        <x:v>80.37880971523353</x:v>
      </x:c>
      <x:c r="N816" s="31" t="n">
        <x:v>458</x:v>
      </x:c>
      <x:c r="O816" s="31" t="n">
        <x:v>12.519818489967744</x:v>
      </x:c>
      <x:c r="P816" s="31" t="n">
        <x:v>2.601995685005394</x:v>
      </x:c>
      <x:c r="Q816" s="40" t="n">
        <x:v>0</x:v>
      </x:c>
      <x:c r="R816" s="31" t="n">
        <x:v>0.06150285571627888</x:v>
      </x:c>
      <x:c r="S816" s="40"/>
      <x:c r="T816" s="40"/>
      <x:c r="U816" s="40" t="n">
        <x:v>1</x:v>
      </x:c>
      <x:c r="V816" s="40" t="n">
        <x:v>0.9908306364617044</x:v>
      </x:c>
      <x:c r="W816" s="31" t="n">
        <x:v>0</x:v>
      </x:c>
      <x:c r="X816" s="31" t="str"/>
      <x:c r="Y816" s="31" t="n">
        <x:v>0</x:v>
      </x:c>
      <x:c r="Z816" s="31" t="n">
        <x:v>0</x:v>
      </x:c>
      <x:c r="AA816" s="31" t="n">
        <x:v>0</x:v>
      </x:c>
      <x:c r="AB816" s="31" t="str"/>
      <x:c r="AC816" s="31" t="str"/>
    </x:row>
    <x:row r="817">
      <x:c r="A817" s="31" t="str">
        <x:v>f694a284164ad62d</x:v>
      </x:c>
      <x:c r="B817" s="31" t="str">
        <x:v>f694a284164ad62d1d0b9ed1f9ff2ad9907d96e72c77f2faaa67adfa3ce7ec73</x:v>
      </x:c>
      <x:c r="C817" s="31" t="n">
        <x:v>14</x:v>
      </x:c>
      <x:c r="D817" s="31" t="n">
        <x:v>33040</x:v>
      </x:c>
      <x:c r="E817" s="31" t="str">
        <x:v>Brooklyn</x:v>
      </x:c>
      <x:c r="F817" s="31" t="str">
        <x:v>East Flatbush-Farragut</x:v>
      </x:c>
      <x:c r="G817" s="31" t="n">
        <x:v>37668.18963276642</x:v>
      </x:c>
      <x:c r="H817" s="31" t="n">
        <x:v>11697</x:v>
      </x:c>
      <x:c r="I817" s="31" t="n">
        <x:v>3.3030588335898754</x:v>
      </x:c>
      <x:c r="J817" s="40" t="n">
        <x:v>0</x:v>
      </x:c>
      <x:c r="K817" s="40" t="n">
        <x:v>0.3778746687184748</x:v>
      </x:c>
      <x:c r="L817" s="40" t="n">
        <x:v>0.2197999487047961</x:v>
      </x:c>
      <x:c r="M817" s="31" t="n">
        <x:v>38.920277154106294</x:v>
      </x:c>
      <x:c r="N817" s="31" t="n">
        <x:v>88</x:v>
      </x:c>
      <x:c r="O817" s="31" t="n">
        <x:v>2.6634382566585955</x:v>
      </x:c>
      <x:c r="P817" s="31" t="n">
        <x:v>4.978199538343165</x:v>
      </x:c>
      <x:c r="Q817" s="40" t="n">
        <x:v>0.9927331794477217</x:v>
      </x:c>
      <x:c r="R817" s="31" t="n">
        <x:v>0.1798889171863139</x:v>
      </x:c>
      <x:c r="S817" s="40"/>
      <x:c r="T817" s="40"/>
      <x:c r="U817" s="40" t="n">
        <x:v>1</x:v>
      </x:c>
      <x:c r="V817" s="40" t="n">
        <x:v>0.9972642557920834</x:v>
      </x:c>
      <x:c r="W817" s="31" t="n">
        <x:v>0</x:v>
      </x:c>
      <x:c r="X817" s="31" t="str"/>
      <x:c r="Y817" s="31" t="n">
        <x:v>0</x:v>
      </x:c>
      <x:c r="Z817" s="31" t="n">
        <x:v>0</x:v>
      </x:c>
      <x:c r="AA817" s="31" t="n">
        <x:v>0</x:v>
      </x:c>
      <x:c r="AB817" s="31" t="str"/>
      <x:c r="AC817" s="31" t="str"/>
    </x:row>
    <x:row r="818">
      <x:c r="A818" s="31" t="str">
        <x:v>f6d72d9cf3a307ab</x:v>
      </x:c>
      <x:c r="B818" s="31" t="str">
        <x:v>f6d72d9cf3a307aba796e7b0a2ccaaac87ee993abebda60b675d5887a73d4d3c</x:v>
      </x:c>
      <x:c r="C818" s="31" t="n">
        <x:v>6</x:v>
      </x:c>
      <x:c r="D818" s="31" t="n">
        <x:v>33388</x:v>
      </x:c>
      <x:c r="E818" s="31" t="str">
        <x:v>Queens</x:v>
      </x:c>
      <x:c r="F818" s="31" t="str">
        <x:v>Jackson Heights</x:v>
      </x:c>
      <x:c r="G818" s="31" t="n">
        <x:v>98711.72627647918</x:v>
      </x:c>
      <x:c r="H818" s="31" t="n">
        <x:v>12682</x:v>
      </x:c>
      <x:c r="I818" s="31" t="n">
        <x:v>5.489867528780949</x:v>
      </x:c>
      <x:c r="J818" s="40" t="n">
        <x:v>0.034537139252483834</x:v>
      </x:c>
      <x:c r="K818" s="40" t="n">
        <x:v>0.9085317773221889</x:v>
      </x:c>
      <x:c r="L818" s="40" t="n">
        <x:v>0.08303106765494402</x:v>
      </x:c>
      <x:c r="M818" s="31" t="n">
        <x:v>61.44926488819267</x:v>
      </x:c>
      <x:c r="N818" s="31" t="n">
        <x:v>239</x:v>
      </x:c>
      <x:c r="O818" s="31" t="n">
        <x:v>7.158260452857314</x:v>
      </x:c>
      <x:c r="P818" s="31" t="n">
        <x:v>3</x:v>
      </x:c>
      <x:c r="Q818" s="40" t="n">
        <x:v>0</x:v>
      </x:c>
      <x:c r="R818" s="31" t="n">
        <x:v>0.1615255852141177</x:v>
      </x:c>
      <x:c r="S818" s="40"/>
      <x:c r="T818" s="40"/>
      <x:c r="U818" s="40" t="n">
        <x:v>1</x:v>
      </x:c>
      <x:c r="V818" s="40" t="n">
        <x:v>0.996057404194922</x:v>
      </x:c>
      <x:c r="W818" s="31" t="n">
        <x:v>0</x:v>
      </x:c>
      <x:c r="X818" s="31" t="str"/>
      <x:c r="Y818" s="31" t="n">
        <x:v>0</x:v>
      </x:c>
      <x:c r="Z818" s="31" t="n">
        <x:v>0</x:v>
      </x:c>
      <x:c r="AA818" s="31" t="n">
        <x:v>0</x:v>
      </x:c>
      <x:c r="AB818" s="31" t="str"/>
      <x:c r="AC818" s="31" t="str"/>
    </x:row>
    <x:row r="819">
      <x:c r="A819" s="31" t="str">
        <x:v>f70ad2955dfbbab6</x:v>
      </x:c>
      <x:c r="B819" s="31" t="str">
        <x:v>f70ad2955dfbbab6397a60039db25da1ad1e6dcf93d325ab8cdcce6404811be8</x:v>
      </x:c>
      <x:c r="C819" s="31" t="n">
        <x:v>7</x:v>
      </x:c>
      <x:c r="D819" s="31" t="n">
        <x:v>35270</x:v>
      </x:c>
      <x:c r="E819" s="31" t="str">
        <x:v>Manhattan</x:v>
      </x:c>
      <x:c r="F819" s="31" t="str">
        <x:v>East Village</x:v>
      </x:c>
      <x:c r="G819" s="31" t="n">
        <x:v>94382.97728909549</x:v>
      </x:c>
      <x:c r="H819" s="31" t="n">
        <x:v>18853</x:v>
      </x:c>
      <x:c r="I819" s="31" t="n">
        <x:v>9.478026357742587</x:v>
      </x:c>
      <x:c r="J819" s="40" t="n">
        <x:v>0.3791439028271363</x:v>
      </x:c>
      <x:c r="K819" s="40" t="n">
        <x:v>0.6183100832758712</x:v>
      </x:c>
      <x:c r="L819" s="40" t="n">
        <x:v>0.3070598843685355</x:v>
      </x:c>
      <x:c r="M819" s="31" t="n">
        <x:v>97.79786135806556</x:v>
      </x:c>
      <x:c r="N819" s="31" t="n">
        <x:v>318</x:v>
      </x:c>
      <x:c r="O819" s="31" t="n">
        <x:v>9.016161043379643</x:v>
      </x:c>
      <x:c r="P819" s="31" t="n">
        <x:v>2</x:v>
      </x:c>
      <x:c r="Q819" s="40" t="n">
        <x:v>0</x:v>
      </x:c>
      <x:c r="R819" s="31" t="n">
        <x:v>0.10913557104313863</x:v>
      </x:c>
      <x:c r="S819" s="40"/>
      <x:c r="T819" s="40"/>
      <x:c r="U819" s="40" t="n">
        <x:v>1</x:v>
      </x:c>
      <x:c r="V819" s="40" t="n">
        <x:v>0.9950670980745769</x:v>
      </x:c>
      <x:c r="W819" s="31" t="n">
        <x:v>1</x:v>
      </x:c>
      <x:c r="X819" s="31" t="str"/>
      <x:c r="Y819" s="31" t="n">
        <x:v>1</x:v>
      </x:c>
      <x:c r="Z819" s="31" t="n">
        <x:v>0</x:v>
      </x:c>
      <x:c r="AA819" s="31" t="n">
        <x:v>0</x:v>
      </x:c>
      <x:c r="AB819" s="31" t="str"/>
      <x:c r="AC819" s="31" t="str"/>
    </x:row>
    <x:row r="820">
      <x:c r="A820" s="31" t="str">
        <x:v>f75f6cf5f7f9b234</x:v>
      </x:c>
      <x:c r="B820" s="31" t="str">
        <x:v>f75f6cf5f7f9b23470b08aaa71d54575cc61fa543754a6d3fc5df31d7953cb85</x:v>
      </x:c>
      <x:c r="C820" s="31" t="n">
        <x:v>8</x:v>
      </x:c>
      <x:c r="D820" s="31" t="n">
        <x:v>33098</x:v>
      </x:c>
      <x:c r="E820" s="31" t="str">
        <x:v>Brooklyn</x:v>
      </x:c>
      <x:c r="F820" s="31" t="str">
        <x:v>Brownsville</x:v>
      </x:c>
      <x:c r="G820" s="31" t="n">
        <x:v>55127.07985242364</x:v>
      </x:c>
      <x:c r="H820" s="31" t="n">
        <x:v>14047</x:v>
      </x:c>
      <x:c r="I820" s="31" t="n">
        <x:v>11.103203422736751</x:v>
      </x:c>
      <x:c r="J820" s="40" t="n">
        <x:v>0.4954794618067915</x:v>
      </x:c>
      <x:c r="K820" s="40" t="n">
        <x:v>0.4427279846230512</x:v>
      </x:c>
      <x:c r="L820" s="40" t="n">
        <x:v>0.5599060297572436</x:v>
      </x:c>
      <x:c r="M820" s="31" t="n">
        <x:v>117.28221160600467</x:v>
      </x:c>
      <x:c r="N820" s="31" t="n">
        <x:v>180</x:v>
      </x:c>
      <x:c r="O820" s="31" t="n">
        <x:v>5.438395069188471</x:v>
      </x:c>
      <x:c r="P820" s="31" t="n">
        <x:v>5</x:v>
      </x:c>
      <x:c r="Q820" s="40" t="n">
        <x:v>1</x:v>
      </x:c>
      <x:c r="R820" s="31" t="n">
        <x:v>0.06906072223679299</x:v>
      </x:c>
      <x:c r="S820" s="40"/>
      <x:c r="T820" s="40"/>
      <x:c r="U820" s="40" t="n">
        <x:v>1</x:v>
      </x:c>
      <x:c r="V820" s="40" t="n">
        <x:v>0.9151420232078024</x:v>
      </x:c>
      <x:c r="W820" s="31" t="n">
        <x:v>0</x:v>
      </x:c>
      <x:c r="X820" s="31" t="str"/>
      <x:c r="Y820" s="31" t="n">
        <x:v>0</x:v>
      </x:c>
      <x:c r="Z820" s="31" t="n">
        <x:v>0</x:v>
      </x:c>
      <x:c r="AA820" s="31" t="n">
        <x:v>0</x:v>
      </x:c>
      <x:c r="AB820" s="31" t="str"/>
      <x:c r="AC820" s="31" t="str"/>
    </x:row>
    <x:row r="821">
      <x:c r="A821" s="31" t="str">
        <x:v>f78438a469b343c9</x:v>
      </x:c>
      <x:c r="B821" s="31" t="str">
        <x:v>f78438a469b343c94dc512b1294f846bd4bdf16248262f9930b80a482cc1e6fe</x:v>
      </x:c>
      <x:c r="C821" s="31" t="n">
        <x:v>14</x:v>
      </x:c>
      <x:c r="D821" s="31" t="n">
        <x:v>34968</x:v>
      </x:c>
      <x:c r="E821" s="31" t="str">
        <x:v>Queens</x:v>
      </x:c>
      <x:c r="F821" s="31" t="str">
        <x:v>Richmond Hill</x:v>
      </x:c>
      <x:c r="G821" s="31" t="n">
        <x:v>37072.46761278493</x:v>
      </x:c>
      <x:c r="H821" s="31" t="n">
        <x:v>10123</x:v>
      </x:c>
      <x:c r="I821" s="31" t="n">
        <x:v>2.7484421614146006</x:v>
      </x:c>
      <x:c r="J821" s="40" t="n">
        <x:v>0</x:v>
      </x:c>
      <x:c r="K821" s="40" t="n">
        <x:v>0.2741282228588363</x:v>
      </x:c>
      <x:c r="L821" s="40" t="n">
        <x:v>0.01165662353057394</x:v>
      </x:c>
      <x:c r="M821" s="31" t="n">
        <x:v>32.98572547312207</x:v>
      </x:c>
      <x:c r="N821" s="31" t="n">
        <x:v>18</x:v>
      </x:c>
      <x:c r="O821" s="31" t="n">
        <x:v>0.5147563486616336</x:v>
      </x:c>
      <x:c r="P821" s="31" t="n">
        <x:v>3.251210115578386</x:v>
      </x:c>
      <x:c r="Q821" s="40" t="n">
        <x:v>0.28133952385656424</x:v>
      </x:c>
      <x:c r="R821" s="31" t="n">
        <x:v>0.1385825962415776</x:v>
      </x:c>
      <x:c r="S821" s="40"/>
      <x:c r="T821" s="40"/>
      <x:c r="U821" s="40" t="n">
        <x:v>1</x:v>
      </x:c>
      <x:c r="V821" s="40" t="n">
        <x:v>0.9913069248246568</x:v>
      </x:c>
      <x:c r="W821" s="31" t="n">
        <x:v>0</x:v>
      </x:c>
      <x:c r="X821" s="31" t="str"/>
      <x:c r="Y821" s="31" t="n">
        <x:v>0</x:v>
      </x:c>
      <x:c r="Z821" s="31" t="n">
        <x:v>0</x:v>
      </x:c>
      <x:c r="AA821" s="31" t="n">
        <x:v>0</x:v>
      </x:c>
      <x:c r="AB821" s="31" t="str"/>
      <x:c r="AC821" s="31" t="str"/>
    </x:row>
    <x:row r="822">
      <x:c r="A822" s="31" t="str">
        <x:v>f7ee54898649b065</x:v>
      </x:c>
      <x:c r="B822" s="31" t="str">
        <x:v>f7ee54898649b0658e998eef1491da5f131e2cd00fb54a1af7bbde5fe14f5d17</x:v>
      </x:c>
      <x:c r="C822" s="31" t="n">
        <x:v>5</x:v>
      </x:c>
      <x:c r="D822" s="31" t="n">
        <x:v>33975</x:v>
      </x:c>
      <x:c r="E822" s="31" t="str">
        <x:v>Manhattan</x:v>
      </x:c>
      <x:c r="F822" s="31" t="str">
        <x:v>Upper East Side-Lenox Hill-Roosevelt Island</x:v>
      </x:c>
      <x:c r="G822" s="31" t="n">
        <x:v>123545.09704018188</x:v>
      </x:c>
      <x:c r="H822" s="31" t="n">
        <x:v>22767</x:v>
      </x:c>
      <x:c r="I822" s="31" t="n">
        <x:v>18.26922739052137</x:v>
      </x:c>
      <x:c r="J822" s="40" t="n">
        <x:v>0.7712039355207098</x:v>
      </x:c>
      <x:c r="K822" s="40" t="n">
        <x:v>0.22826898581279922</x:v>
      </x:c>
      <x:c r="L822" s="40" t="n">
        <x:v>0.0375104317652743</x:v>
      </x:c>
      <x:c r="M822" s="31" t="n">
        <x:v>186.3139037260415</x:v>
      </x:c>
      <x:c r="N822" s="31" t="n">
        <x:v>826</x:v>
      </x:c>
      <x:c r="O822" s="31" t="n">
        <x:v>24.31199411331862</x:v>
      </x:c>
      <x:c r="P822" s="31" t="n">
        <x:v>1.621118285237405</x:v>
      </x:c>
      <x:c r="Q822" s="40" t="n">
        <x:v>0</x:v>
      </x:c>
      <x:c r="R822" s="31" t="n">
        <x:v>0.15287260440766254</x:v>
      </x:c>
      <x:c r="S822" s="40"/>
      <x:c r="T822" s="40"/>
      <x:c r="U822" s="40" t="n">
        <x:v>1</x:v>
      </x:c>
      <x:c r="V822" s="40" t="n">
        <x:v>0.9950805991127509</x:v>
      </x:c>
      <x:c r="W822" s="31" t="n">
        <x:v>1</x:v>
      </x:c>
      <x:c r="X822" s="31" t="str"/>
      <x:c r="Y822" s="31" t="n">
        <x:v>1</x:v>
      </x:c>
      <x:c r="Z822" s="31" t="n">
        <x:v>0</x:v>
      </x:c>
      <x:c r="AA822" s="31" t="n">
        <x:v>0</x:v>
      </x:c>
      <x:c r="AB822" s="31" t="str"/>
      <x:c r="AC822" s="31" t="str"/>
    </x:row>
    <x:row r="823">
      <x:c r="A823" s="31" t="str">
        <x:v>f824619d07b84183</x:v>
      </x:c>
      <x:c r="B823" s="31" t="str">
        <x:v>f824619d07b841830ee9029d22342d449281a9a9f0b7adff8910f768b7edcc5c</x:v>
      </x:c>
      <x:c r="C823" s="31" t="n">
        <x:v>10</x:v>
      </x:c>
      <x:c r="D823" s="31" t="n">
        <x:v>37115</x:v>
      </x:c>
      <x:c r="E823" s="31" t="str">
        <x:v>Manhattan</x:v>
      </x:c>
      <x:c r="F823" s="31" t="str">
        <x:v>East Midtown-Turtle Bay</x:v>
      </x:c>
      <x:c r="G823" s="31" t="n">
        <x:v>100268.1508878911</x:v>
      </x:c>
      <x:c r="H823" s="31" t="n">
        <x:v>26533</x:v>
      </x:c>
      <x:c r="I823" s="31" t="n">
        <x:v>21.456919084779148</x:v>
      </x:c>
      <x:c r="J823" s="40" t="n">
        <x:v>0.8110654656465534</x:v>
      </x:c>
      <x:c r="K823" s="40" t="n">
        <x:v>0.18380884181962084</x:v>
      </x:c>
      <x:c r="L823" s="40" t="n">
        <x:v>0.03422153544642521</x:v>
      </x:c>
      <x:c r="M823" s="31" t="n">
        <x:v>224.33302015309187</x:v>
      </x:c>
      <x:c r="N823" s="31" t="n">
        <x:v>890</x:v>
      </x:c>
      <x:c r="O823" s="31" t="n">
        <x:v>23.979523103866363</x:v>
      </x:c>
      <x:c r="P823" s="31" t="n">
        <x:v>1</x:v>
      </x:c>
      <x:c r="Q823" s="40" t="n">
        <x:v>0</x:v>
      </x:c>
      <x:c r="R823" s="31" t="n">
        <x:v>0.17248948942244333</x:v>
      </x:c>
      <x:c r="S823" s="40"/>
      <x:c r="T823" s="40"/>
      <x:c r="U823" s="40" t="n">
        <x:v>1</x:v>
      </x:c>
      <x:c r="V823" s="40" t="n">
        <x:v>0.9915199939697735</x:v>
      </x:c>
      <x:c r="W823" s="31" t="n">
        <x:v>1</x:v>
      </x:c>
      <x:c r="X823" s="31" t="str"/>
      <x:c r="Y823" s="31" t="n">
        <x:v>1</x:v>
      </x:c>
      <x:c r="Z823" s="31" t="n">
        <x:v>0</x:v>
      </x:c>
      <x:c r="AA823" s="31" t="n">
        <x:v>0</x:v>
      </x:c>
      <x:c r="AB823" s="31" t="str"/>
      <x:c r="AC823" s="31" t="str"/>
    </x:row>
    <x:row r="824">
      <x:c r="A824" s="31" t="str">
        <x:v>f873895310bc5c2b</x:v>
      </x:c>
      <x:c r="B824" s="31" t="str">
        <x:v>f873895310bc5c2b1e9dd612bfa3497706770a576f079e470f7f00b9476d379d</x:v>
      </x:c>
      <x:c r="C824" s="31" t="n">
        <x:v>9</x:v>
      </x:c>
      <x:c r="D824" s="31" t="n">
        <x:v>36209</x:v>
      </x:c>
      <x:c r="E824" s="31" t="str">
        <x:v>Bronx</x:v>
      </x:c>
      <x:c r="F824" s="31" t="str">
        <x:v>Williamsbridge-Olinville</x:v>
      </x:c>
      <x:c r="G824" s="31" t="n">
        <x:v>45556.441630818255</x:v>
      </x:c>
      <x:c r="H824" s="31" t="n">
        <x:v>12249</x:v>
      </x:c>
      <x:c r="I824" s="31" t="n">
        <x:v>5.028991321434419</x:v>
      </x:c>
      <x:c r="J824" s="40" t="n">
        <x:v>0.18409666095191443</x:v>
      </x:c>
      <x:c r="K824" s="40" t="n">
        <x:v>0.41758510898848883</x:v>
      </x:c>
      <x:c r="L824" s="40" t="n">
        <x:v>0.35006939341987103</x:v>
      </x:c>
      <x:c r="M824" s="31" t="n">
        <x:v>52.816460869766296</x:v>
      </x:c>
      <x:c r="N824" s="31" t="n">
        <x:v>45</x:v>
      </x:c>
      <x:c r="O824" s="31" t="n">
        <x:v>1.24278494296998</x:v>
      </x:c>
      <x:c r="P824" s="31" t="n">
        <x:v>4.918768879092171</x:v>
      </x:c>
      <x:c r="Q824" s="40" t="n">
        <x:v>1</x:v>
      </x:c>
      <x:c r="R824" s="31" t="n">
        <x:v>0.17759374782292417</x:v>
      </x:c>
      <x:c r="S824" s="40"/>
      <x:c r="T824" s="40"/>
      <x:c r="U824" s="40" t="n">
        <x:v>1</x:v>
      </x:c>
      <x:c r="V824" s="40" t="n">
        <x:v>0.9955914768552535</x:v>
      </x:c>
      <x:c r="W824" s="31" t="n">
        <x:v>0</x:v>
      </x:c>
      <x:c r="X824" s="31" t="str"/>
      <x:c r="Y824" s="31" t="n">
        <x:v>0</x:v>
      </x:c>
      <x:c r="Z824" s="31" t="n">
        <x:v>0</x:v>
      </x:c>
      <x:c r="AA824" s="31" t="n">
        <x:v>0</x:v>
      </x:c>
      <x:c r="AB824" s="31" t="str"/>
      <x:c r="AC824" s="31" t="str"/>
    </x:row>
    <x:row r="825">
      <x:c r="A825" s="31" t="str">
        <x:v>f8afe81693be37f4</x:v>
      </x:c>
      <x:c r="B825" s="31" t="str">
        <x:v>f8afe81693be37f475b90813bd0514816ae6af81b931bad762386a56e4bd92f0</x:v>
      </x:c>
      <x:c r="C825" s="31" t="n">
        <x:v>13</x:v>
      </x:c>
      <x:c r="D825" s="31" t="n">
        <x:v>34218</x:v>
      </x:c>
      <x:c r="E825" s="31" t="str">
        <x:v>Brooklyn</x:v>
      </x:c>
      <x:c r="F825" s="31" t="str">
        <x:v>Bay Ridge</x:v>
      </x:c>
      <x:c r="G825" s="31" t="n">
        <x:v>29431.18176130242</x:v>
      </x:c>
      <x:c r="H825" s="31" t="n">
        <x:v>16777</x:v>
      </x:c>
      <x:c r="I825" s="31" t="n">
        <x:v>4.669934940909633</x:v>
      </x:c>
      <x:c r="J825" s="40" t="n">
        <x:v>0.03773022590451213</x:v>
      </x:c>
      <x:c r="K825" s="40" t="n">
        <x:v>0.7122846754485307</x:v>
      </x:c>
      <x:c r="L825" s="40" t="n">
        <x:v>0.07969243607319544</x:v>
      </x:c>
      <x:c r="M825" s="31" t="n">
        <x:v>51.24360740690799</x:v>
      </x:c>
      <x:c r="N825" s="31" t="n">
        <x:v>184</x:v>
      </x:c>
      <x:c r="O825" s="31" t="n">
        <x:v>5.3772868081126886</x:v>
      </x:c>
      <x:c r="P825" s="31" t="n">
        <x:v>2.0411873398104547</x:v>
      </x:c>
      <x:c r="Q825" s="40" t="n">
        <x:v>0</x:v>
      </x:c>
      <x:c r="R825" s="31" t="n">
        <x:v>0.23770843031852376</x:v>
      </x:c>
      <x:c r="S825" s="40"/>
      <x:c r="T825" s="40"/>
      <x:c r="U825" s="40" t="n">
        <x:v>1</x:v>
      </x:c>
      <x:c r="V825" s="40" t="n">
        <x:v>0.9987482863444</x:v>
      </x:c>
      <x:c r="W825" s="31" t="n">
        <x:v>0</x:v>
      </x:c>
      <x:c r="X825" s="31" t="str"/>
      <x:c r="Y825" s="31" t="n">
        <x:v>0</x:v>
      </x:c>
      <x:c r="Z825" s="31" t="n">
        <x:v>0</x:v>
      </x:c>
      <x:c r="AA825" s="31" t="n">
        <x:v>0</x:v>
      </x:c>
      <x:c r="AB825" s="31" t="str"/>
      <x:c r="AC825" s="31" t="str"/>
    </x:row>
    <x:row r="826">
      <x:c r="A826" s="31" t="str">
        <x:v>f8dd43836af595c0</x:v>
      </x:c>
      <x:c r="B826" s="31" t="str">
        <x:v>f8dd43836af595c01d142b055b0cb252baa383b7f11aff5b2d4daf52513a8e3f</x:v>
      </x:c>
      <x:c r="C826" s="31" t="n">
        <x:v>7</x:v>
      </x:c>
      <x:c r="D826" s="31" t="n">
        <x:v>36891</x:v>
      </x:c>
      <x:c r="E826" s="31" t="str">
        <x:v>Queens</x:v>
      </x:c>
      <x:c r="F826" s="31" t="str">
        <x:v>Forest Hills</x:v>
      </x:c>
      <x:c r="G826" s="31" t="n">
        <x:v>72327.64008093206</x:v>
      </x:c>
      <x:c r="H826" s="31" t="n">
        <x:v>19098</x:v>
      </x:c>
      <x:c r="I826" s="31" t="n">
        <x:v>9.122435857157816</x:v>
      </x:c>
      <x:c r="J826" s="40" t="n">
        <x:v>0.2575662373023353</x:v>
      </x:c>
      <x:c r="K826" s="40" t="n">
        <x:v>0.6778196669808357</x:v>
      </x:c>
      <x:c r="L826" s="40" t="n">
        <x:v>0.2423290396900199</x:v>
      </x:c>
      <x:c r="M826" s="31" t="n">
        <x:v>92.46524894912454</x:v>
      </x:c>
      <x:c r="N826" s="31" t="n">
        <x:v>326</x:v>
      </x:c>
      <x:c r="O826" s="31" t="n">
        <x:v>8.836843674608984</x:v>
      </x:c>
      <x:c r="P826" s="31" t="n">
        <x:v>2.399780081683946</x:v>
      </x:c>
      <x:c r="Q826" s="40" t="n">
        <x:v>0</x:v>
      </x:c>
      <x:c r="R826" s="31" t="n">
        <x:v>0.15546074908907978</x:v>
      </x:c>
      <x:c r="S826" s="40"/>
      <x:c r="T826" s="40"/>
      <x:c r="U826" s="40" t="n">
        <x:v>1</x:v>
      </x:c>
      <x:c r="V826" s="40" t="n">
        <x:v>0.9994240234579537</x:v>
      </x:c>
      <x:c r="W826" s="31" t="n">
        <x:v>0</x:v>
      </x:c>
      <x:c r="X826" s="31" t="str"/>
      <x:c r="Y826" s="31" t="n">
        <x:v>0</x:v>
      </x:c>
      <x:c r="Z826" s="31" t="n">
        <x:v>0</x:v>
      </x:c>
      <x:c r="AA826" s="31" t="n">
        <x:v>0</x:v>
      </x:c>
      <x:c r="AB826" s="31" t="str"/>
      <x:c r="AC826" s="31" t="str"/>
    </x:row>
    <x:row r="827">
      <x:c r="A827" s="31" t="str">
        <x:v>f93318c1a1d168a7</x:v>
      </x:c>
      <x:c r="B827" s="31" t="str">
        <x:v>f93318c1a1d168a7ffa23ce4b72b53fcd0e8930a3aa23ef29a558d5a6b3f790f</x:v>
      </x:c>
      <x:c r="C827" s="31" t="n">
        <x:v>12</x:v>
      </x:c>
      <x:c r="D827" s="31" t="n">
        <x:v>35012</x:v>
      </x:c>
      <x:c r="E827" s="31" t="str">
        <x:v>Brooklyn</x:v>
      </x:c>
      <x:c r="F827" s="31" t="str">
        <x:v>Cypress Hills</x:v>
      </x:c>
      <x:c r="G827" s="31" t="n">
        <x:v>37807.03860094926</x:v>
      </x:c>
      <x:c r="H827" s="31" t="n">
        <x:v>12294</x:v>
      </x:c>
      <x:c r="I827" s="31" t="n">
        <x:v>4.003008137044968</x:v>
      </x:c>
      <x:c r="J827" s="40" t="n">
        <x:v>0.0951683748169839</x:v>
      </x:c>
      <x:c r="K827" s="40" t="n">
        <x:v>0.40198470798763625</x:v>
      </x:c>
      <x:c r="L827" s="40" t="n">
        <x:v>0.021311208719700665</x:v>
      </x:c>
      <x:c r="M827" s="31" t="n">
        <x:v>44.458293885249454</x:v>
      </x:c>
      <x:c r="N827" s="31" t="n">
        <x:v>54</x:v>
      </x:c>
      <x:c r="O827" s="31" t="n">
        <x:v>1.5423283445675768</x:v>
      </x:c>
      <x:c r="P827" s="31" t="n">
        <x:v>4.7041646331543845</x:v>
      </x:c>
      <x:c r="Q827" s="40" t="n">
        <x:v>1</x:v>
      </x:c>
      <x:c r="R827" s="31" t="n">
        <x:v>0.1335446901173237</x:v>
      </x:c>
      <x:c r="S827" s="40"/>
      <x:c r="T827" s="40"/>
      <x:c r="U827" s="40" t="n">
        <x:v>1</x:v>
      </x:c>
      <x:c r="V827" s="40" t="n">
        <x:v>0.9244346835854889</x:v>
      </x:c>
      <x:c r="W827" s="31" t="n">
        <x:v>0</x:v>
      </x:c>
      <x:c r="X827" s="31" t="str"/>
      <x:c r="Y827" s="31" t="n">
        <x:v>0</x:v>
      </x:c>
      <x:c r="Z827" s="31" t="n">
        <x:v>0</x:v>
      </x:c>
      <x:c r="AA827" s="31" t="n">
        <x:v>0</x:v>
      </x:c>
      <x:c r="AB827" s="31" t="str"/>
      <x:c r="AC827" s="31" t="str"/>
    </x:row>
    <x:row r="828">
      <x:c r="A828" s="31" t="str">
        <x:v>f933727e2361a1d1</x:v>
      </x:c>
      <x:c r="B828" s="31" t="str">
        <x:v>f933727e2361a1d10c46f6ceeaf3dccc6b5ce3d233c5d3eb78c7426037aa1558</x:v>
      </x:c>
      <x:c r="C828" s="31" t="n">
        <x:v>8</x:v>
      </x:c>
      <x:c r="D828" s="31" t="n">
        <x:v>33176</x:v>
      </x:c>
      <x:c r="E828" s="31" t="str">
        <x:v>Queens</x:v>
      </x:c>
      <x:c r="F828" s="31" t="str">
        <x:v>Elmhurst</x:v>
      </x:c>
      <x:c r="G828" s="31" t="n">
        <x:v>69563.80731290179</x:v>
      </x:c>
      <x:c r="H828" s="31" t="n">
        <x:v>10676</x:v>
      </x:c>
      <x:c r="I828" s="31" t="n">
        <x:v>4.74802159698831</x:v>
      </x:c>
      <x:c r="J828" s="40" t="n">
        <x:v>0.05133008617459723</x:v>
      </x:c>
      <x:c r="K828" s="40" t="n">
        <x:v>0.6880854252529037</x:v>
      </x:c>
      <x:c r="L828" s="40" t="n">
        <x:v>0.030535781191457476</x:v>
      </x:c>
      <x:c r="M828" s="31" t="n">
        <x:v>54.095096750249375</x:v>
      </x:c>
      <x:c r="N828" s="31" t="n">
        <x:v>105</x:v>
      </x:c>
      <x:c r="O828" s="31" t="n">
        <x:v>3.1649385097660963</x:v>
      </x:c>
      <x:c r="P828" s="31" t="n">
        <x:v>3.0065567628325214</x:v>
      </x:c>
      <x:c r="Q828" s="40" t="n">
        <x:v>0.006556762832521544</x:v>
      </x:c>
      <x:c r="R828" s="31" t="n">
        <x:v>0.11937364174694386</x:v>
      </x:c>
      <x:c r="S828" s="40"/>
      <x:c r="T828" s="40"/>
      <x:c r="U828" s="40" t="n">
        <x:v>1</x:v>
      </x:c>
      <x:c r="V828" s="40" t="n">
        <x:v>0.9953165979767703</x:v>
      </x:c>
      <x:c r="W828" s="31" t="n">
        <x:v>0</x:v>
      </x:c>
      <x:c r="X828" s="31" t="str"/>
      <x:c r="Y828" s="31" t="n">
        <x:v>0</x:v>
      </x:c>
      <x:c r="Z828" s="31" t="n">
        <x:v>0</x:v>
      </x:c>
      <x:c r="AA828" s="31" t="n">
        <x:v>0</x:v>
      </x:c>
      <x:c r="AB828" s="31" t="str"/>
      <x:c r="AC828" s="31" t="str"/>
    </x:row>
    <x:row r="829">
      <x:c r="A829" s="31" t="str">
        <x:v>f991858b9a2883a0</x:v>
      </x:c>
      <x:c r="B829" s="31" t="str">
        <x:v>f991858b9a2883a0696a3ec2e0bd326252df6d75ea2fe36e155858950bf3b764</x:v>
      </x:c>
      <x:c r="C829" s="31" t="n">
        <x:v>9</x:v>
      </x:c>
      <x:c r="D829" s="31" t="n">
        <x:v>33745</x:v>
      </x:c>
      <x:c r="E829" s="31" t="str">
        <x:v>Queens</x:v>
      </x:c>
      <x:c r="F829" s="31" t="str">
        <x:v>Murray Hill-Broadway Flushing</x:v>
      </x:c>
      <x:c r="G829" s="31" t="n">
        <x:v>47840.02774699597</x:v>
      </x:c>
      <x:c r="H829" s="31" t="n">
        <x:v>14201</x:v>
      </x:c>
      <x:c r="I829" s="31" t="n">
        <x:v>5.4536232105948095</x:v>
      </x:c>
      <x:c r="J829" s="40" t="n">
        <x:v>0.07182592775156679</x:v>
      </x:c>
      <x:c r="K829" s="40" t="n">
        <x:v>0.7001619604253222</x:v>
      </x:c>
      <x:c r="L829" s="40" t="n">
        <x:v>0.044081402718118445</x:v>
      </x:c>
      <x:c r="M829" s="31" t="n">
        <x:v>59.1093618104763</x:v>
      </x:c>
      <x:c r="N829" s="31" t="n">
        <x:v>223</x:v>
      </x:c>
      <x:c r="O829" s="31" t="n">
        <x:v>6.608386427618907</x:v>
      </x:c>
      <x:c r="P829" s="31" t="n">
        <x:v>3.9880290120414057</x:v>
      </x:c>
      <x:c r="Q829" s="40" t="n">
        <x:v>0.9880290120414056</x:v>
      </x:c>
      <x:c r="R829" s="31" t="n">
        <x:v>0.23277941784319736</x:v>
      </x:c>
      <x:c r="S829" s="40"/>
      <x:c r="T829" s="40"/>
      <x:c r="U829" s="40" t="n">
        <x:v>1</x:v>
      </x:c>
      <x:c r="V829" s="40" t="n">
        <x:v>0.903316667840293</x:v>
      </x:c>
      <x:c r="W829" s="31" t="n">
        <x:v>0</x:v>
      </x:c>
      <x:c r="X829" s="31" t="str"/>
      <x:c r="Y829" s="31" t="n">
        <x:v>0</x:v>
      </x:c>
      <x:c r="Z829" s="31" t="n">
        <x:v>0</x:v>
      </x:c>
      <x:c r="AA829" s="31" t="n">
        <x:v>0</x:v>
      </x:c>
      <x:c r="AB829" s="31" t="str"/>
      <x:c r="AC829" s="31" t="str"/>
    </x:row>
    <x:row r="830">
      <x:c r="A830" s="31" t="str">
        <x:v>fa00771b8c8c1477</x:v>
      </x:c>
      <x:c r="B830" s="31" t="str">
        <x:v>fa00771b8c8c147794d72a1306b689bb2570b564cb0b6e3e3689f2d9d78702db</x:v>
      </x:c>
      <x:c r="C830" s="31" t="n">
        <x:v>10</x:v>
      </x:c>
      <x:c r="D830" s="31" t="n">
        <x:v>32570</x:v>
      </x:c>
      <x:c r="E830" s="31" t="str">
        <x:v>Queens</x:v>
      </x:c>
      <x:c r="F830" s="31" t="str">
        <x:v>South Ozone Park</x:v>
      </x:c>
      <x:c r="G830" s="31" t="n">
        <x:v>24193.082911510828</x:v>
      </x:c>
      <x:c r="H830" s="31" t="n">
        <x:v>9118</x:v>
      </x:c>
      <x:c r="I830" s="31" t="n">
        <x:v>2.07592604783849</x:v>
      </x:c>
      <x:c r="J830" s="40" t="n">
        <x:v>0</x:v>
      </x:c>
      <x:c r="K830" s="40" t="n">
        <x:v>0.013928493090590043</x:v>
      </x:c>
      <x:c r="L830" s="40" t="n">
        <x:v>0.01557359069971485</x:v>
      </x:c>
      <x:c r="M830" s="31" t="n">
        <x:v>26.123172700222295</x:v>
      </x:c>
      <x:c r="N830" s="31" t="n">
        <x:v>5</x:v>
      </x:c>
      <x:c r="O830" s="31" t="n">
        <x:v>0.15351550506601166</x:v>
      </x:c>
      <x:c r="P830" s="31" t="n">
        <x:v>4</x:v>
      </x:c>
      <x:c r="Q830" s="40" t="n">
        <x:v>1</x:v>
      </x:c>
      <x:c r="R830" s="31" t="n">
        <x:v>0.2248591494764898</x:v>
      </x:c>
      <x:c r="S830" s="40"/>
      <x:c r="T830" s="40"/>
      <x:c r="U830" s="40" t="n">
        <x:v>1</x:v>
      </x:c>
      <x:c r="V830" s="40" t="n">
        <x:v>0.9966001316078087</x:v>
      </x:c>
      <x:c r="W830" s="31" t="n">
        <x:v>0</x:v>
      </x:c>
      <x:c r="X830" s="31" t="str"/>
      <x:c r="Y830" s="31" t="n">
        <x:v>0</x:v>
      </x:c>
      <x:c r="Z830" s="31" t="n">
        <x:v>0</x:v>
      </x:c>
      <x:c r="AA830" s="31" t="n">
        <x:v>0</x:v>
      </x:c>
      <x:c r="AB830" s="31" t="str"/>
      <x:c r="AC830" s="31" t="str"/>
    </x:row>
    <x:row r="831">
      <x:c r="A831" s="31" t="str">
        <x:v>fa429503213b9a78</x:v>
      </x:c>
      <x:c r="B831" s="31" t="str">
        <x:v>fa429503213b9a78a51f933665c5a8c25ecbce38fa261d6eff6893e166dd5624</x:v>
      </x:c>
      <x:c r="C831" s="31" t="n">
        <x:v>11</x:v>
      </x:c>
      <x:c r="D831" s="31" t="n">
        <x:v>34090</x:v>
      </x:c>
      <x:c r="E831" s="31" t="str">
        <x:v>Brooklyn</x:v>
      </x:c>
      <x:c r="F831" s="31" t="str">
        <x:v>Park Slope</x:v>
      </x:c>
      <x:c r="G831" s="31" t="n">
        <x:v>59278.23088904951</x:v>
      </x:c>
      <x:c r="H831" s="31" t="n">
        <x:v>17570</x:v>
      </x:c>
      <x:c r="I831" s="31" t="n">
        <x:v>4.191683569979716</x:v>
      </x:c>
      <x:c r="J831" s="40" t="n">
        <x:v>0.06385885031303358</x:v>
      </x:c>
      <x:c r="K831" s="40" t="n">
        <x:v>0.7465566306203757</x:v>
      </x:c>
      <x:c r="L831" s="40" t="n">
        <x:v>0.013887307911212293</x:v>
      </x:c>
      <x:c r="M831" s="31" t="n">
        <x:v>49.84679533692299</x:v>
      </x:c>
      <x:c r="N831" s="31" t="n">
        <x:v>145</x:v>
      </x:c>
      <x:c r="O831" s="31" t="n">
        <x:v>4.253446758580229</x:v>
      </x:c>
      <x:c r="P831" s="31" t="n">
        <x:v>1</x:v>
      </x:c>
      <x:c r="Q831" s="40" t="n">
        <x:v>0</x:v>
      </x:c>
      <x:c r="R831" s="31" t="n">
        <x:v>0.1312955187114199</x:v>
      </x:c>
      <x:c r="S831" s="40"/>
      <x:c r="T831" s="40"/>
      <x:c r="U831" s="40" t="n">
        <x:v>1</x:v>
      </x:c>
      <x:c r="V831" s="40" t="n">
        <x:v>0.9511098463289699</x:v>
      </x:c>
      <x:c r="W831" s="31" t="n">
        <x:v>0</x:v>
      </x:c>
      <x:c r="X831" s="31" t="str"/>
      <x:c r="Y831" s="31" t="n">
        <x:v>0</x:v>
      </x:c>
      <x:c r="Z831" s="31" t="n">
        <x:v>0</x:v>
      </x:c>
      <x:c r="AA831" s="31" t="n">
        <x:v>0</x:v>
      </x:c>
      <x:c r="AB831" s="31" t="str"/>
      <x:c r="AC831" s="31" t="str"/>
    </x:row>
    <x:row r="832">
      <x:c r="A832" s="31" t="str">
        <x:v>fa484be0cc418eb1</x:v>
      </x:c>
      <x:c r="B832" s="31" t="str">
        <x:v>fa484be0cc418eb1175fa9c665cd8ead0e0ccdca40030134424fe2545bf20940</x:v>
      </x:c>
      <x:c r="C832" s="31" t="n">
        <x:v>7</x:v>
      </x:c>
      <x:c r="D832" s="31" t="n">
        <x:v>35825</x:v>
      </x:c>
      <x:c r="E832" s="31" t="str">
        <x:v>Bronx</x:v>
      </x:c>
      <x:c r="F832" s="31" t="str">
        <x:v>Belmont</x:v>
      </x:c>
      <x:c r="G832" s="31" t="n">
        <x:v>60921.448860137454</x:v>
      </x:c>
      <x:c r="H832" s="31" t="n">
        <x:v>13379</x:v>
      </x:c>
      <x:c r="I832" s="31" t="n">
        <x:v>5.7411990571776155</x:v>
      </x:c>
      <x:c r="J832" s="40" t="n">
        <x:v>0.12385081097241947</x:v>
      </x:c>
      <x:c r="K832" s="40" t="n">
        <x:v>0.7798041707153001</x:v>
      </x:c>
      <x:c r="L832" s="40" t="n">
        <x:v>0.02698258464758203</x:v>
      </x:c>
      <x:c r="M832" s="31" t="n">
        <x:v>63.427784430342314</x:v>
      </x:c>
      <x:c r="N832" s="31" t="n">
        <x:v>97</x:v>
      </x:c>
      <x:c r="O832" s="31" t="n">
        <x:v>2.7076064200976973</x:v>
      </x:c>
      <x:c r="P832" s="31" t="n">
        <x:v>5</x:v>
      </x:c>
      <x:c r="Q832" s="40" t="n">
        <x:v>1</x:v>
      </x:c>
      <x:c r="R832" s="31" t="n">
        <x:v>0.12364880992807975</x:v>
      </x:c>
      <x:c r="S832" s="40"/>
      <x:c r="T832" s="40"/>
      <x:c r="U832" s="40" t="n">
        <x:v>1</x:v>
      </x:c>
      <x:c r="V832" s="40" t="n">
        <x:v>0.9825846475820316</x:v>
      </x:c>
      <x:c r="W832" s="31" t="n">
        <x:v>1</x:v>
      </x:c>
      <x:c r="X832" s="31" t="str"/>
      <x:c r="Y832" s="31" t="n">
        <x:v>0</x:v>
      </x:c>
      <x:c r="Z832" s="31" t="n">
        <x:v>1</x:v>
      </x:c>
      <x:c r="AA832" s="31" t="n">
        <x:v>0</x:v>
      </x:c>
      <x:c r="AB832" s="31" t="str"/>
      <x:c r="AC832" s="31" t="str"/>
    </x:row>
    <x:row r="833">
      <x:c r="A833" s="31" t="str">
        <x:v>fa53b99f6edc0b64</x:v>
      </x:c>
      <x:c r="B833" s="31" t="str">
        <x:v>fa53b99f6edc0b646ab941599632a0f68083db33a80d093a3fb2d67a4f65af27</x:v>
      </x:c>
      <x:c r="C833" s="31" t="n">
        <x:v>9</x:v>
      </x:c>
      <x:c r="D833" s="31" t="n">
        <x:v>32626</x:v>
      </x:c>
      <x:c r="E833" s="31" t="str">
        <x:v>Brooklyn</x:v>
      </x:c>
      <x:c r="F833" s="31" t="str">
        <x:v>Carroll Gardens-Cobble Hill-Gowanus-Red Hook</x:v>
      </x:c>
      <x:c r="G833" s="31" t="n">
        <x:v>30924.197743933662</x:v>
      </x:c>
      <x:c r="H833" s="31" t="n">
        <x:v>18953</x:v>
      </x:c>
      <x:c r="I833" s="31" t="n">
        <x:v>7.215362326545803</x:v>
      </x:c>
      <x:c r="J833" s="40" t="n">
        <x:v>0.22619110431066322</x:v>
      </x:c>
      <x:c r="K833" s="40" t="n">
        <x:v>0.689600590935472</x:v>
      </x:c>
      <x:c r="L833" s="40" t="n">
        <x:v>0.176225399672875</x:v>
      </x:c>
      <x:c r="M833" s="31" t="n">
        <x:v>72.59588161557797</x:v>
      </x:c>
      <x:c r="N833" s="31" t="n">
        <x:v>224</x:v>
      </x:c>
      <x:c r="O833" s="31" t="n">
        <x:v>6.865689940538221</x:v>
      </x:c>
      <x:c r="P833" s="31" t="n">
        <x:v>2</x:v>
      </x:c>
      <x:c r="Q833" s="40" t="n">
        <x:v>0</x:v>
      </x:c>
      <x:c r="R833" s="31" t="n">
        <x:v>0.17368311167344413</x:v>
      </x:c>
      <x:c r="S833" s="40"/>
      <x:c r="T833" s="40"/>
      <x:c r="U833" s="40" t="n">
        <x:v>1</x:v>
      </x:c>
      <x:c r="V833" s="40" t="n">
        <x:v>0.9261330660053817</x:v>
      </x:c>
      <x:c r="W833" s="31" t="n">
        <x:v>1</x:v>
      </x:c>
      <x:c r="X833" s="31" t="str"/>
      <x:c r="Y833" s="31" t="n">
        <x:v>0</x:v>
      </x:c>
      <x:c r="Z833" s="31" t="n">
        <x:v>0</x:v>
      </x:c>
      <x:c r="AA833" s="31" t="n">
        <x:v>1</x:v>
      </x:c>
      <x:c r="AB833" s="31" t="str"/>
      <x:c r="AC833" s="31" t="str"/>
    </x:row>
    <x:row r="834">
      <x:c r="A834" s="31" t="str">
        <x:v>fa62264d4f10b58e</x:v>
      </x:c>
      <x:c r="B834" s="31" t="str">
        <x:v>fa62264d4f10b58ea497d57d223f3df16cfd2750b0fc4f07ff6c82586b6fd142</x:v>
      </x:c>
      <x:c r="C834" s="31" t="n">
        <x:v>9</x:v>
      </x:c>
      <x:c r="D834" s="31" t="n">
        <x:v>33140</x:v>
      </x:c>
      <x:c r="E834" s="31" t="str">
        <x:v>Brooklyn</x:v>
      </x:c>
      <x:c r="F834" s="31" t="str">
        <x:v>Ocean Hill</x:v>
      </x:c>
      <x:c r="G834" s="31" t="n">
        <x:v>51994.83361792438</x:v>
      </x:c>
      <x:c r="H834" s="31" t="n">
        <x:v>13488</x:v>
      </x:c>
      <x:c r="I834" s="31" t="n">
        <x:v>3.8821321896300836</x:v>
      </x:c>
      <x:c r="J834" s="40" t="n">
        <x:v>0.06294483985765124</x:v>
      </x:c>
      <x:c r="K834" s="40" t="n">
        <x:v>0.6298190984578885</x:v>
      </x:c>
      <x:c r="L834" s="40" t="n">
        <x:v>0.025800711743772242</x:v>
      </x:c>
      <x:c r="M834" s="31" t="n">
        <x:v>44.79921607171133</x:v>
      </x:c>
      <x:c r="N834" s="31" t="n">
        <x:v>69</x:v>
      </x:c>
      <x:c r="O834" s="31" t="n">
        <x:v>2.082076041038021</x:v>
      </x:c>
      <x:c r="P834" s="31" t="n">
        <x:v>4.985172004744959</x:v>
      </x:c>
      <x:c r="Q834" s="40" t="n">
        <x:v>1</x:v>
      </x:c>
      <x:c r="R834" s="31" t="n">
        <x:v>0.09367453314486691</x:v>
      </x:c>
      <x:c r="S834" s="40"/>
      <x:c r="T834" s="40"/>
      <x:c r="U834" s="40" t="n">
        <x:v>1</x:v>
      </x:c>
      <x:c r="V834" s="40" t="n">
        <x:v>0.9656731909845789</x:v>
      </x:c>
      <x:c r="W834" s="31" t="n">
        <x:v>1</x:v>
      </x:c>
      <x:c r="X834" s="31" t="str"/>
      <x:c r="Y834" s="31" t="n">
        <x:v>0</x:v>
      </x:c>
      <x:c r="Z834" s="31" t="n">
        <x:v>1</x:v>
      </x:c>
      <x:c r="AA834" s="31" t="n">
        <x:v>0</x:v>
      </x:c>
      <x:c r="AB834" s="31" t="str"/>
      <x:c r="AC834" s="31" t="str"/>
    </x:row>
    <x:row r="835">
      <x:c r="A835" s="31" t="str">
        <x:v>fa7bd5640d17ab4b</x:v>
      </x:c>
      <x:c r="B835" s="31" t="str">
        <x:v>fa7bd5640d17ab4b2d772b304d8bf31f084c30f0a7ec24d3c66f35f8987f2ed1</x:v>
      </x:c>
      <x:c r="C835" s="31" t="n">
        <x:v>7</x:v>
      </x:c>
      <x:c r="D835" s="31" t="n">
        <x:v>36335</x:v>
      </x:c>
      <x:c r="E835" s="31" t="str">
        <x:v>Bronx</x:v>
      </x:c>
      <x:c r="F835" s="31" t="str">
        <x:v>Concourse-Concourse Village</x:v>
      </x:c>
      <x:c r="G835" s="31" t="n">
        <x:v>128274.01359186004</x:v>
      </x:c>
      <x:c r="H835" s="31" t="n">
        <x:v>12875</x:v>
      </x:c>
      <x:c r="I835" s="31" t="n">
        <x:v>5.873708737864078</x:v>
      </x:c>
      <x:c r="J835" s="40" t="n">
        <x:v>0.0843495145631068</x:v>
      </x:c>
      <x:c r="K835" s="40" t="n">
        <x:v>0.8747961165048543</x:v>
      </x:c>
      <x:c r="L835" s="40" t="n">
        <x:v>0.014058252427184467</x:v>
      </x:c>
      <x:c r="M835" s="31" t="n">
        <x:v>65.22718269413208</x:v>
      </x:c>
      <x:c r="N835" s="31" t="n">
        <x:v>145</x:v>
      </x:c>
      <x:c r="O835" s="31" t="n">
        <x:v>3.990642631071969</x:v>
      </x:c>
      <x:c r="P835" s="31" t="n">
        <x:v>5</x:v>
      </x:c>
      <x:c r="Q835" s="40" t="n">
        <x:v>1</x:v>
      </x:c>
      <x:c r="R835" s="31" t="n">
        <x:v>0.09225780296717155</x:v>
      </x:c>
      <x:c r="S835" s="40"/>
      <x:c r="T835" s="40"/>
      <x:c r="U835" s="40" t="n">
        <x:v>1</x:v>
      </x:c>
      <x:c r="V835" s="40" t="n">
        <x:v>0.9808155339805825</x:v>
      </x:c>
      <x:c r="W835" s="31" t="n">
        <x:v>1</x:v>
      </x:c>
      <x:c r="X835" s="31" t="str"/>
      <x:c r="Y835" s="31" t="n">
        <x:v>0</x:v>
      </x:c>
      <x:c r="Z835" s="31" t="n">
        <x:v>1</x:v>
      </x:c>
      <x:c r="AA835" s="31" t="n">
        <x:v>0</x:v>
      </x:c>
      <x:c r="AB835" s="31" t="str"/>
      <x:c r="AC835" s="31" t="str"/>
    </x:row>
    <x:row r="836">
      <x:c r="A836" s="31" t="str">
        <x:v>faf4940977f48ffc</x:v>
      </x:c>
      <x:c r="B836" s="31" t="str">
        <x:v>faf4940977f48ffcc431f0a85aff590816cddb884f8eebd18b7ffb2bb68edcb5</x:v>
      </x:c>
      <x:c r="C836" s="31" t="n">
        <x:v>8</x:v>
      </x:c>
      <x:c r="D836" s="31" t="n">
        <x:v>32069</x:v>
      </x:c>
      <x:c r="E836" s="31" t="str">
        <x:v>Queens</x:v>
      </x:c>
      <x:c r="F836" s="31" t="str">
        <x:v>Bellerose</x:v>
      </x:c>
      <x:c r="G836" s="31" t="n">
        <x:v>13830.665025113414</x:v>
      </x:c>
      <x:c r="H836" s="31" t="n">
        <x:v>9879</x:v>
      </x:c>
      <x:c r="I836" s="31" t="n">
        <x:v>2.036183051533867</x:v>
      </x:c>
      <x:c r="J836" s="40" t="n">
        <x:v>0</x:v>
      </x:c>
      <x:c r="K836" s="40" t="n">
        <x:v>0.05749569794513615</x:v>
      </x:c>
      <x:c r="L836" s="40" t="n">
        <x:v>0.07025002530620508</x:v>
      </x:c>
      <x:c r="M836" s="31" t="n">
        <x:v>26.134743332851926</x:v>
      </x:c>
      <x:c r="N836" s="31" t="n">
        <x:v>8</x:v>
      </x:c>
      <x:c r="O836" s="31" t="n">
        <x:v>0.2494620973525835</x:v>
      </x:c>
      <x:c r="P836" s="31" t="n">
        <x:v>3.0556736511792693</x:v>
      </x:c>
      <x:c r="Q836" s="40" t="n">
        <x:v>0.05567365117926916</x:v>
      </x:c>
      <x:c r="R836" s="31" t="n">
        <x:v>0.20843846839542518</x:v>
      </x:c>
      <x:c r="S836" s="40"/>
      <x:c r="T836" s="40"/>
      <x:c r="U836" s="40" t="n">
        <x:v>1</x:v>
      </x:c>
      <x:c r="V836" s="40" t="n">
        <x:v>0.998076728413807</x:v>
      </x:c>
      <x:c r="W836" s="31" t="n">
        <x:v>0</x:v>
      </x:c>
      <x:c r="X836" s="31" t="str"/>
      <x:c r="Y836" s="31" t="n">
        <x:v>0</x:v>
      </x:c>
      <x:c r="Z836" s="31" t="n">
        <x:v>0</x:v>
      </x:c>
      <x:c r="AA836" s="31" t="n">
        <x:v>0</x:v>
      </x:c>
      <x:c r="AB836" s="31" t="str"/>
      <x:c r="AC836" s="31" t="str"/>
    </x:row>
    <x:row r="837">
      <x:c r="A837" s="31" t="str">
        <x:v>fbd2d19f51248421</x:v>
      </x:c>
      <x:c r="B837" s="31" t="str">
        <x:v>fbd2d19f51248421ca6a674e1ac8740d8bd618c3dc13b123645665f26e293db5</x:v>
      </x:c>
      <x:c r="C837" s="31" t="n">
        <x:v>12</x:v>
      </x:c>
      <x:c r="D837" s="31" t="n">
        <x:v>32029</x:v>
      </x:c>
      <x:c r="E837" s="31" t="str">
        <x:v>Brooklyn</x:v>
      </x:c>
      <x:c r="F837" s="31" t="str">
        <x:v>Dyker Heights</x:v>
      </x:c>
      <x:c r="G837" s="31" t="n">
        <x:v>44093.90156267756</x:v>
      </x:c>
      <x:c r="H837" s="31" t="n">
        <x:v>10637</x:v>
      </x:c>
      <x:c r="I837" s="31" t="n">
        <x:v>2.34589258841234</x:v>
      </x:c>
      <x:c r="J837" s="40" t="n">
        <x:v>0</x:v>
      </x:c>
      <x:c r="K837" s="40" t="n">
        <x:v>0.22515746921124377</x:v>
      </x:c>
      <x:c r="L837" s="40" t="n">
        <x:v>0.009213124001128137</x:v>
      </x:c>
      <x:c r="M837" s="31" t="n">
        <x:v>30.15455677392472</x:v>
      </x:c>
      <x:c r="N837" s="31" t="n">
        <x:v>24</x:v>
      </x:c>
      <x:c r="O837" s="31" t="n">
        <x:v>0.7493209279090824</x:v>
      </x:c>
      <x:c r="P837" s="31" t="n">
        <x:v>3.2163203910877125</x:v>
      </x:c>
      <x:c r="Q837" s="40" t="n">
        <x:v>0.2163203910877127</x:v>
      </x:c>
      <x:c r="R837" s="31" t="n">
        <x:v>0.1837908645989266</x:v>
      </x:c>
      <x:c r="S837" s="40"/>
      <x:c r="T837" s="40"/>
      <x:c r="U837" s="40" t="n">
        <x:v>1</x:v>
      </x:c>
      <x:c r="V837" s="40" t="n">
        <x:v>0.9866503713453041</x:v>
      </x:c>
      <x:c r="W837" s="31" t="n">
        <x:v>0</x:v>
      </x:c>
      <x:c r="X837" s="31" t="str"/>
      <x:c r="Y837" s="31" t="n">
        <x:v>0</x:v>
      </x:c>
      <x:c r="Z837" s="31" t="n">
        <x:v>0</x:v>
      </x:c>
      <x:c r="AA837" s="31" t="n">
        <x:v>0</x:v>
      </x:c>
      <x:c r="AB837" s="31" t="str"/>
      <x:c r="AC837" s="31" t="str"/>
    </x:row>
    <x:row r="838">
      <x:c r="A838" s="31" t="str">
        <x:v>fbdd0b0d00d35ee3</x:v>
      </x:c>
      <x:c r="B838" s="31" t="str">
        <x:v>fbdd0b0d00d35ee3fed7a9c46b516c55540704ca0e4f20d9aaaf505d841fe50d</x:v>
      </x:c>
      <x:c r="C838" s="31" t="n">
        <x:v>9</x:v>
      </x:c>
      <x:c r="D838" s="31" t="n">
        <x:v>34681</x:v>
      </x:c>
      <x:c r="E838" s="31" t="str">
        <x:v>Queens</x:v>
      </x:c>
      <x:c r="F838" s="31" t="str">
        <x:v>Rego Park</x:v>
      </x:c>
      <x:c r="G838" s="31" t="n">
        <x:v>44806.8522447</x:v>
      </x:c>
      <x:c r="H838" s="31" t="n">
        <x:v>15512</x:v>
      </x:c>
      <x:c r="I838" s="31" t="n">
        <x:v>7.672685851318945</x:v>
      </x:c>
      <x:c r="J838" s="40" t="n">
        <x:v>0.26843733883445076</x:v>
      </x:c>
      <x:c r="K838" s="40" t="n">
        <x:v>0.5070912841670965</x:v>
      </x:c>
      <x:c r="L838" s="40" t="n">
        <x:v>0.2685018050541516</x:v>
      </x:c>
      <x:c r="M838" s="31" t="n">
        <x:v>74.79980883296143</x:v>
      </x:c>
      <x:c r="N838" s="31" t="n">
        <x:v>221</x:v>
      </x:c>
      <x:c r="O838" s="31" t="n">
        <x:v>6.3723652720509785</x:v>
      </x:c>
      <x:c r="P838" s="31" t="n">
        <x:v>2.7157039711191335</x:v>
      </x:c>
      <x:c r="Q838" s="40" t="n">
        <x:v>0</x:v>
      </x:c>
      <x:c r="R838" s="31" t="n">
        <x:v>0.2112524959657586</x:v>
      </x:c>
      <x:c r="S838" s="40"/>
      <x:c r="T838" s="40"/>
      <x:c r="U838" s="40" t="n">
        <x:v>1</x:v>
      </x:c>
      <x:c r="V838" s="40" t="n">
        <x:v>0.9943914388860238</x:v>
      </x:c>
      <x:c r="W838" s="31" t="n">
        <x:v>1</x:v>
      </x:c>
      <x:c r="X838" s="31" t="str"/>
      <x:c r="Y838" s="31" t="n">
        <x:v>0</x:v>
      </x:c>
      <x:c r="Z838" s="31" t="n">
        <x:v>0</x:v>
      </x:c>
      <x:c r="AA838" s="31" t="n">
        <x:v>1</x:v>
      </x:c>
      <x:c r="AB838" s="31" t="str"/>
      <x:c r="AC838" s="31" t="str"/>
    </x:row>
    <x:row r="839">
      <x:c r="A839" s="31" t="str">
        <x:v>fbdfc4187a123c01</x:v>
      </x:c>
      <x:c r="B839" s="31" t="str">
        <x:v>fbdfc4187a123c011128f2fb2c61473a59edb01e87ad0512a51c7ae2c64e47c0</x:v>
      </x:c>
      <x:c r="C839" s="31" t="n">
        <x:v>9</x:v>
      </x:c>
      <x:c r="D839" s="31" t="n">
        <x:v>34602</x:v>
      </x:c>
      <x:c r="E839" s="31" t="str">
        <x:v>Brooklyn</x:v>
      </x:c>
      <x:c r="F839" s="31" t="str">
        <x:v>Bedford-Stuyvesant (East)</x:v>
      </x:c>
      <x:c r="G839" s="31" t="n">
        <x:v>59536.77779362585</x:v>
      </x:c>
      <x:c r="H839" s="31" t="n">
        <x:v>14902</x:v>
      </x:c>
      <x:c r="I839" s="31" t="n">
        <x:v>3.774365978686092</x:v>
      </x:c>
      <x:c r="J839" s="40" t="n">
        <x:v>0.03194202120520735</x:v>
      </x:c>
      <x:c r="K839" s="40" t="n">
        <x:v>0.8004965776405851</x:v>
      </x:c>
      <x:c r="L839" s="40" t="n">
        <x:v>0.056368272715071804</x:v>
      </x:c>
      <x:c r="M839" s="31" t="n">
        <x:v>45.62502860001638</x:v>
      </x:c>
      <x:c r="N839" s="31" t="n">
        <x:v>102</x:v>
      </x:c>
      <x:c r="O839" s="31" t="n">
        <x:v>2.9478064851742674</x:v>
      </x:c>
      <x:c r="P839" s="31" t="n">
        <x:v>4.169574553751175</x:v>
      </x:c>
      <x:c r="Q839" s="40" t="n">
        <x:v>1</x:v>
      </x:c>
      <x:c r="R839" s="31" t="n">
        <x:v>0.141789275943988</x:v>
      </x:c>
      <x:c r="S839" s="40"/>
      <x:c r="T839" s="40"/>
      <x:c r="U839" s="40" t="n">
        <x:v>1</x:v>
      </x:c>
      <x:c r="V839" s="40" t="n">
        <x:v>0.9828882029257818</x:v>
      </x:c>
      <x:c r="W839" s="31" t="n">
        <x:v>1</x:v>
      </x:c>
      <x:c r="X839" s="31" t="str"/>
      <x:c r="Y839" s="31" t="n">
        <x:v>0</x:v>
      </x:c>
      <x:c r="Z839" s="31" t="n">
        <x:v>1</x:v>
      </x:c>
      <x:c r="AA839" s="31" t="n">
        <x:v>0</x:v>
      </x:c>
      <x:c r="AB839" s="31" t="str"/>
      <x:c r="AC839" s="31" t="str"/>
    </x:row>
    <x:row r="840">
      <x:c r="A840" s="31" t="str">
        <x:v>fc16139a0b56f88e</x:v>
      </x:c>
      <x:c r="B840" s="31" t="str">
        <x:v>fc16139a0b56f88e1079299a6206c7e51b485e50e0ef2cfaf9d05c40375f503a</x:v>
      </x:c>
      <x:c r="C840" s="31" t="n">
        <x:v>9</x:v>
      </x:c>
      <x:c r="D840" s="31" t="n">
        <x:v>34706</x:v>
      </x:c>
      <x:c r="E840" s="31" t="str">
        <x:v>Manhattan</x:v>
      </x:c>
      <x:c r="F840" s="31" t="str">
        <x:v>Harlem (South)</x:v>
      </x:c>
      <x:c r="G840" s="31" t="n">
        <x:v>73888.40094123392</x:v>
      </x:c>
      <x:c r="H840" s="31" t="n">
        <x:v>16012</x:v>
      </x:c>
      <x:c r="I840" s="31" t="n">
        <x:v>8.269776684330052</x:v>
      </x:c>
      <x:c r="J840" s="40" t="n">
        <x:v>0.3055208593554834</x:v>
      </x:c>
      <x:c r="K840" s="40" t="n">
        <x:v>0.6841119160629527</x:v>
      </x:c>
      <x:c r="L840" s="40" t="n">
        <x:v>0.08374968773419936</x:v>
      </x:c>
      <x:c r="M840" s="31" t="n">
        <x:v>93.46976084181257</x:v>
      </x:c>
      <x:c r="N840" s="31" t="n">
        <x:v>319</x:v>
      </x:c>
      <x:c r="O840" s="31" t="n">
        <x:v>9.191494266121131</x:v>
      </x:c>
      <x:c r="P840" s="31" t="n">
        <x:v>4.298838371221584</x:v>
      </x:c>
      <x:c r="Q840" s="40" t="n">
        <x:v>0.9261179115663253</x:v>
      </x:c>
      <x:c r="R840" s="31" t="n">
        <x:v>0.10735368384273992</x:v>
      </x:c>
      <x:c r="S840" s="40"/>
      <x:c r="T840" s="40"/>
      <x:c r="U840" s="40" t="n">
        <x:v>1</x:v>
      </x:c>
      <x:c r="V840" s="40" t="n">
        <x:v>0.9730202348238821</x:v>
      </x:c>
      <x:c r="W840" s="31" t="n">
        <x:v>0</x:v>
      </x:c>
      <x:c r="X840" s="31" t="str"/>
      <x:c r="Y840" s="31" t="n">
        <x:v>0</x:v>
      </x:c>
      <x:c r="Z840" s="31" t="n">
        <x:v>0</x:v>
      </x:c>
      <x:c r="AA840" s="31" t="n">
        <x:v>0</x:v>
      </x:c>
      <x:c r="AB840" s="31" t="str"/>
      <x:c r="AC840" s="31" t="str"/>
    </x:row>
    <x:row r="841">
      <x:c r="A841" s="31" t="str">
        <x:v>fc72109a169aded6</x:v>
      </x:c>
      <x:c r="B841" s="31" t="str">
        <x:v>fc72109a169aded66ec32147c34c270b12183ce7c3726f87b5a746aa455c2129</x:v>
      </x:c>
      <x:c r="C841" s="31" t="n">
        <x:v>7</x:v>
      </x:c>
      <x:c r="D841" s="31" t="n">
        <x:v>32842</x:v>
      </x:c>
      <x:c r="E841" s="31" t="str">
        <x:v>Staten Island</x:v>
      </x:c>
      <x:c r="F841" s="31" t="str">
        <x:v>Great Kills-Eltingville</x:v>
      </x:c>
      <x:c r="G841" s="31" t="n">
        <x:v>12054.937231647646</x:v>
      </x:c>
      <x:c r="H841" s="31" t="n">
        <x:v>12318</x:v>
      </x:c>
      <x:c r="I841" s="31" t="n">
        <x:v>1.978127234319142</x:v>
      </x:c>
      <x:c r="J841" s="40" t="n">
        <x:v>0</x:v>
      </x:c>
      <x:c r="K841" s="40" t="n">
        <x:v>0.09676895599935055</x:v>
      </x:c>
      <x:c r="L841" s="40" t="n">
        <x:v>0.03807436272122098</x:v>
      </x:c>
      <x:c r="M841" s="31" t="n">
        <x:v>25.745926629637957</x:v>
      </x:c>
      <x:c r="N841" s="31" t="n">
        <x:v>16</x:v>
      </x:c>
      <x:c r="O841" s="31" t="n">
        <x:v>0.48718104865720724</x:v>
      </x:c>
      <x:c r="P841" s="31" t="n">
        <x:v>1.4484494236077285</x:v>
      </x:c>
      <x:c r="Q841" s="40" t="n">
        <x:v>0</x:v>
      </x:c>
      <x:c r="R841" s="31" t="n">
        <x:v>0.23363375774738165</x:v>
      </x:c>
      <x:c r="S841" s="40"/>
      <x:c r="T841" s="40"/>
      <x:c r="U841" s="40" t="n">
        <x:v>1</x:v>
      </x:c>
      <x:c r="V841" s="40" t="n">
        <x:v>0.9933430751745413</x:v>
      </x:c>
      <x:c r="W841" s="31" t="n">
        <x:v>0</x:v>
      </x:c>
      <x:c r="X841" s="31" t="str"/>
      <x:c r="Y841" s="31" t="n">
        <x:v>0</x:v>
      </x:c>
      <x:c r="Z841" s="31" t="n">
        <x:v>0</x:v>
      </x:c>
      <x:c r="AA841" s="31" t="n">
        <x:v>0</x:v>
      </x:c>
      <x:c r="AB841" s="31" t="str"/>
      <x:c r="AC841" s="31" t="str"/>
    </x:row>
    <x:row r="842">
      <x:c r="A842" s="31" t="str">
        <x:v>fc7ccb04d603cda2</x:v>
      </x:c>
      <x:c r="B842" s="31" t="str">
        <x:v>fc7ccb04d603cda236a7dba575770b93b3d010350f06505a27c441f3d037a0e4</x:v>
      </x:c>
      <x:c r="C842" s="31" t="n">
        <x:v>12</x:v>
      </x:c>
      <x:c r="D842" s="31" t="n">
        <x:v>34125</x:v>
      </x:c>
      <x:c r="E842" s="31" t="str">
        <x:v>Queens</x:v>
      </x:c>
      <x:c r="F842" s="31" t="str">
        <x:v>Astoria (North)-Ditmars-Steinway</x:v>
      </x:c>
      <x:c r="G842" s="31" t="n">
        <x:v>46220.28370820834</x:v>
      </x:c>
      <x:c r="H842" s="31" t="n">
        <x:v>16346</x:v>
      </x:c>
      <x:c r="I842" s="31" t="n">
        <x:v>3.4405254648342765</x:v>
      </x:c>
      <x:c r="J842" s="40" t="n">
        <x:v>0.004894163709776092</x:v>
      </x:c>
      <x:c r="K842" s="40" t="n">
        <x:v>0.6806558179371099</x:v>
      </x:c>
      <x:c r="L842" s="40" t="n">
        <x:v>0.05469227945674783</x:v>
      </x:c>
      <x:c r="M842" s="31" t="n">
        <x:v>39.091505718986035</x:v>
      </x:c>
      <x:c r="N842" s="31" t="n">
        <x:v>89</x:v>
      </x:c>
      <x:c r="O842" s="31" t="n">
        <x:v>2.608058608058608</x:v>
      </x:c>
      <x:c r="P842" s="31" t="n">
        <x:v>3</x:v>
      </x:c>
      <x:c r="Q842" s="40" t="n">
        <x:v>0</x:v>
      </x:c>
      <x:c r="R842" s="31" t="n">
        <x:v>0.2081140899979917</x:v>
      </x:c>
      <x:c r="S842" s="40"/>
      <x:c r="T842" s="40"/>
      <x:c r="U842" s="40" t="n">
        <x:v>1</x:v>
      </x:c>
      <x:c r="V842" s="40" t="n">
        <x:v>0.9768138994249358</x:v>
      </x:c>
      <x:c r="W842" s="31" t="n">
        <x:v>0</x:v>
      </x:c>
      <x:c r="X842" s="31" t="str"/>
      <x:c r="Y842" s="31" t="n">
        <x:v>0</x:v>
      </x:c>
      <x:c r="Z842" s="31" t="n">
        <x:v>0</x:v>
      </x:c>
      <x:c r="AA842" s="31" t="n">
        <x:v>0</x:v>
      </x:c>
      <x:c r="AB842" s="31" t="str"/>
      <x:c r="AC842" s="31" t="str"/>
    </x:row>
    <x:row r="843">
      <x:c r="A843" s="31" t="str">
        <x:v>fd9a5f75691fbc31</x:v>
      </x:c>
      <x:c r="B843" s="31" t="str">
        <x:v>fd9a5f75691fbc31bddeb248eb4298b6a7256e158eb98c998c87492438b6b054</x:v>
      </x:c>
      <x:c r="C843" s="31" t="n">
        <x:v>8</x:v>
      </x:c>
      <x:c r="D843" s="31" t="n">
        <x:v>35699</x:v>
      </x:c>
      <x:c r="E843" s="31" t="str">
        <x:v>Brooklyn</x:v>
      </x:c>
      <x:c r="F843" s="31" t="str">
        <x:v>Crown Heights (North)</x:v>
      </x:c>
      <x:c r="G843" s="31" t="n">
        <x:v>69368.91093443187</x:v>
      </x:c>
      <x:c r="H843" s="31" t="n">
        <x:v>18090</x:v>
      </x:c>
      <x:c r="I843" s="31" t="n">
        <x:v>5.57186060706953</x:v>
      </x:c>
      <x:c r="J843" s="40" t="n">
        <x:v>0.14560530679933664</x:v>
      </x:c>
      <x:c r="K843" s="40" t="n">
        <x:v>0.7921503593145384</x:v>
      </x:c>
      <x:c r="L843" s="40" t="n">
        <x:v>0.010337202874516307</x:v>
      </x:c>
      <x:c r="M843" s="31" t="n">
        <x:v>62.02005441335491</x:v>
      </x:c>
      <x:c r="N843" s="31" t="n">
        <x:v>261</x:v>
      </x:c>
      <x:c r="O843" s="31" t="n">
        <x:v>7.311129163281885</x:v>
      </x:c>
      <x:c r="P843" s="31" t="n">
        <x:v>2.406080707573245</x:v>
      </x:c>
      <x:c r="Q843" s="40" t="n">
        <x:v>0.20304035378662244</x:v>
      </x:c>
      <x:c r="R843" s="31" t="n">
        <x:v>0.14831272124755845</x:v>
      </x:c>
      <x:c r="S843" s="40"/>
      <x:c r="T843" s="40"/>
      <x:c r="U843" s="40" t="n">
        <x:v>1</x:v>
      </x:c>
      <x:c r="V843" s="40" t="n">
        <x:v>0.9734660033167496</x:v>
      </x:c>
      <x:c r="W843" s="31" t="n">
        <x:v>0</x:v>
      </x:c>
      <x:c r="X843" s="31" t="str"/>
      <x:c r="Y843" s="31" t="n">
        <x:v>0</x:v>
      </x:c>
      <x:c r="Z843" s="31" t="n">
        <x:v>0</x:v>
      </x:c>
      <x:c r="AA843" s="31" t="n">
        <x:v>0</x:v>
      </x:c>
      <x:c r="AB843" s="31" t="str"/>
      <x:c r="AC843" s="31" t="str"/>
    </x:row>
    <x:row r="844">
      <x:c r="A844" s="31" t="str">
        <x:v>fdd4ed0ec0d15d1e</x:v>
      </x:c>
      <x:c r="B844" s="31" t="str">
        <x:v>fdd4ed0ec0d15d1efc635380724f82af3b85b86d4e9f1c5e6b775c0a039fafbc</x:v>
      </x:c>
      <x:c r="C844" s="31" t="n">
        <x:v>8</x:v>
      </x:c>
      <x:c r="D844" s="31" t="n">
        <x:v>36341</x:v>
      </x:c>
      <x:c r="E844" s="31" t="str">
        <x:v>Brooklyn</x:v>
      </x:c>
      <x:c r="F844" s="31" t="str">
        <x:v>Coney Island-Sea Gate</x:v>
      </x:c>
      <x:c r="G844" s="31" t="n">
        <x:v>30787.79911631528</x:v>
      </x:c>
      <x:c r="H844" s="31" t="n">
        <x:v>16686</x:v>
      </x:c>
      <x:c r="I844" s="31" t="n">
        <x:v>11.324664707293666</x:v>
      </x:c>
      <x:c r="J844" s="40" t="n">
        <x:v>0.58276399376723</x:v>
      </x:c>
      <x:c r="K844" s="40" t="n">
        <x:v>0.18626393383674936</x:v>
      </x:c>
      <x:c r="L844" s="40" t="n">
        <x:v>0.2049023133165528</x:v>
      </x:c>
      <x:c r="M844" s="31" t="n">
        <x:v>102.76418116138157</x:v>
      </x:c>
      <x:c r="N844" s="31" t="n">
        <x:v>210</x:v>
      </x:c>
      <x:c r="O844" s="31" t="n">
        <x:v>5.778597176742522</x:v>
      </x:c>
      <x:c r="P844" s="31" t="n">
        <x:v>4.87156897998322</x:v>
      </x:c>
      <x:c r="Q844" s="40" t="n">
        <x:v>1</x:v>
      </x:c>
      <x:c r="R844" s="31" t="n">
        <x:v>0.16848519639329648</x:v>
      </x:c>
      <x:c r="S844" s="40"/>
      <x:c r="T844" s="40"/>
      <x:c r="U844" s="40" t="n">
        <x:v>1</x:v>
      </x:c>
      <x:c r="V844" s="40" t="n">
        <x:v>0.9491190219345559</x:v>
      </x:c>
      <x:c r="W844" s="31" t="n">
        <x:v>1</x:v>
      </x:c>
      <x:c r="X844" s="31" t="str"/>
      <x:c r="Y844" s="31" t="n">
        <x:v>0</x:v>
      </x:c>
      <x:c r="Z844" s="31" t="n">
        <x:v>0</x:v>
      </x:c>
      <x:c r="AA844" s="31" t="n">
        <x:v>1</x:v>
      </x:c>
      <x:c r="AB844" s="31" t="str"/>
      <x:c r="AC844" s="31" t="str"/>
    </x:row>
    <x:row r="845">
      <x:c r="A845" s="31" t="str">
        <x:v>fe09f395ab41513d</x:v>
      </x:c>
      <x:c r="B845" s="31" t="str">
        <x:v>fe09f395ab41513d001379ac8481324c3604c8fa5086cf6e30cacfdf9f384c1e</x:v>
      </x:c>
      <x:c r="C845" s="31" t="n">
        <x:v>6</x:v>
      </x:c>
      <x:c r="D845" s="31" t="n">
        <x:v>32785</x:v>
      </x:c>
      <x:c r="E845" s="31" t="str">
        <x:v>Manhattan</x:v>
      </x:c>
      <x:c r="F845" s="31" t="str">
        <x:v>Tribeca-Civic Center</x:v>
      </x:c>
      <x:c r="G845" s="31" t="n">
        <x:v>55574.94884589598</x:v>
      </x:c>
      <x:c r="H845" s="31" t="n">
        <x:v>16799</x:v>
      </x:c>
      <x:c r="I845" s="31" t="n">
        <x:v>20.652568751888786</x:v>
      </x:c>
      <x:c r="J845" s="40" t="n">
        <x:v>0.6816477171260195</x:v>
      </x:c>
      <x:c r="K845" s="40" t="n">
        <x:v>0.3021013155544973</x:v>
      </x:c>
      <x:c r="L845" s="40" t="n">
        <x:v>0.09030299422584678</x:v>
      </x:c>
      <x:c r="M845" s="31" t="n">
        <x:v>225.09715894764565</x:v>
      </x:c>
      <x:c r="N845" s="31" t="n">
        <x:v>1186</x:v>
      </x:c>
      <x:c r="O845" s="31" t="n">
        <x:v>36.175080067103856</x:v>
      </x:c>
      <x:c r="P845" s="31" t="n">
        <x:v>1.5780105958688018</x:v>
      </x:c>
      <x:c r="Q845" s="40" t="n">
        <x:v>0</x:v>
      </x:c>
      <x:c r="R845" s="31" t="n">
        <x:v>0.15996895692791388</x:v>
      </x:c>
      <x:c r="S845" s="40"/>
      <x:c r="T845" s="40"/>
      <x:c r="U845" s="40" t="n">
        <x:v>1</x:v>
      </x:c>
      <x:c r="V845" s="40" t="n">
        <x:v>0.9941663194237752</x:v>
      </x:c>
      <x:c r="W845" s="31" t="n">
        <x:v>0</x:v>
      </x:c>
      <x:c r="X845" s="31" t="str"/>
      <x:c r="Y845" s="31" t="n">
        <x:v>0</x:v>
      </x:c>
      <x:c r="Z845" s="31" t="n">
        <x:v>0</x:v>
      </x:c>
      <x:c r="AA845" s="31" t="n">
        <x:v>0</x:v>
      </x:c>
      <x:c r="AB845" s="31" t="str"/>
      <x:c r="AC845" s="31" t="str"/>
    </x:row>
    <x:row r="846">
      <x:c r="A846" s="31" t="str">
        <x:v>fe92d1ce993c2487</x:v>
      </x:c>
      <x:c r="B846" s="31" t="str">
        <x:v>fe92d1ce993c2487ae3ca4f706daa1369f14bd30023601d000c29ace50aaba94</x:v>
      </x:c>
      <x:c r="C846" s="31" t="n">
        <x:v>8</x:v>
      </x:c>
      <x:c r="D846" s="31" t="n">
        <x:v>32163</x:v>
      </x:c>
      <x:c r="E846" s="31" t="str">
        <x:v>Queens</x:v>
      </x:c>
      <x:c r="F846" s="31" t="str">
        <x:v>Woodside</x:v>
      </x:c>
      <x:c r="G846" s="31" t="n">
        <x:v>67674.9053676515</x:v>
      </x:c>
      <x:c r="H846" s="31" t="n">
        <x:v>10806</x:v>
      </x:c>
      <x:c r="I846" s="31" t="n">
        <x:v>4.2892812703129355</x:v>
      </x:c>
      <x:c r="J846" s="40" t="n">
        <x:v>0.052285767166389045</x:v>
      </x:c>
      <x:c r="K846" s="40" t="n">
        <x:v>0.6906348325004628</x:v>
      </x:c>
      <x:c r="L846" s="40" t="n">
        <x:v>0.04784379048676661</x:v>
      </x:c>
      <x:c r="M846" s="31" t="n">
        <x:v>47.03129889406856</x:v>
      </x:c>
      <x:c r="N846" s="31" t="n">
        <x:v>89</x:v>
      </x:c>
      <x:c r="O846" s="31" t="n">
        <x:v>2.7671548052109567</x:v>
      </x:c>
      <x:c r="P846" s="31" t="n">
        <x:v>3</x:v>
      </x:c>
      <x:c r="Q846" s="40" t="n">
        <x:v>0</x:v>
      </x:c>
      <x:c r="R846" s="31" t="n">
        <x:v>0.21494351948270737</x:v>
      </x:c>
      <x:c r="S846" s="40"/>
      <x:c r="T846" s="40"/>
      <x:c r="U846" s="40" t="n">
        <x:v>1</x:v>
      </x:c>
      <x:c r="V846" s="40" t="n">
        <x:v>0.9826022580048122</x:v>
      </x:c>
      <x:c r="W846" s="31" t="n">
        <x:v>0</x:v>
      </x:c>
      <x:c r="X846" s="31" t="str"/>
      <x:c r="Y846" s="31" t="n">
        <x:v>0</x:v>
      </x:c>
      <x:c r="Z846" s="31" t="n">
        <x:v>0</x:v>
      </x:c>
      <x:c r="AA846" s="31" t="n">
        <x:v>0</x:v>
      </x:c>
      <x:c r="AB846" s="31" t="str"/>
      <x:c r="AC846" s="31" t="str"/>
    </x:row>
    <x:row r="847">
      <x:c r="A847" s="31" t="str">
        <x:v>feb238227641dadf</x:v>
      </x:c>
      <x:c r="B847" s="31" t="str">
        <x:v>feb238227641dadfa7288335fb09952314790e4928c0a7b8853d1c44ea2714b3</x:v>
      </x:c>
      <x:c r="C847" s="31" t="n">
        <x:v>6</x:v>
      </x:c>
      <x:c r="D847" s="31" t="n">
        <x:v>34571</x:v>
      </x:c>
      <x:c r="E847" s="31" t="str">
        <x:v>Manhattan</x:v>
      </x:c>
      <x:c r="F847" s="31" t="str">
        <x:v>East Harlem (North)</x:v>
      </x:c>
      <x:c r="G847" s="31" t="n">
        <x:v>82814.12901314434</x:v>
      </x:c>
      <x:c r="H847" s="31" t="n">
        <x:v>15864</x:v>
      </x:c>
      <x:c r="I847" s="31" t="n">
        <x:v>11.379964358452138</x:v>
      </x:c>
      <x:c r="J847" s="40" t="n">
        <x:v>0.47276853252647505</x:v>
      </x:c>
      <x:c r="K847" s="40" t="n">
        <x:v>0.5160110943015633</x:v>
      </x:c>
      <x:c r="L847" s="40" t="n">
        <x:v>0.25491679273827533</x:v>
      </x:c>
      <x:c r="M847" s="31" t="n">
        <x:v>114.94772183781124</x:v>
      </x:c>
      <x:c r="N847" s="31" t="n">
        <x:v>267</x:v>
      </x:c>
      <x:c r="O847" s="31" t="n">
        <x:v>7.723236238465766</x:v>
      </x:c>
      <x:c r="P847" s="31" t="n">
        <x:v>4.686207766011094</x:v>
      </x:c>
      <x:c r="Q847" s="40" t="n">
        <x:v>1</x:v>
      </x:c>
      <x:c r="R847" s="31" t="n">
        <x:v>0.0860443263796902</x:v>
      </x:c>
      <x:c r="S847" s="40"/>
      <x:c r="T847" s="40"/>
      <x:c r="U847" s="40" t="n">
        <x:v>1</x:v>
      </x:c>
      <x:c r="V847" s="40" t="n">
        <x:v>0.9837997982854261</x:v>
      </x:c>
      <x:c r="W847" s="31" t="n">
        <x:v>2</x:v>
      </x:c>
      <x:c r="X847" s="31" t="str"/>
      <x:c r="Y847" s="31" t="n">
        <x:v>1</x:v>
      </x:c>
      <x:c r="Z847" s="31" t="n">
        <x:v>1</x:v>
      </x:c>
      <x:c r="AA847" s="31" t="n">
        <x:v>0</x:v>
      </x:c>
      <x:c r="AB847" s="31" t="str"/>
      <x:c r="AC847" s="31" t="str"/>
    </x:row>
    <x:row r="848">
      <x:c r="A848" s="31" t="str">
        <x:v>ff4325be47c47496</x:v>
      </x:c>
      <x:c r="B848" s="31" t="str">
        <x:v>ff4325be47c47496a7bb724aa6309df0346c4e76f760fe469a1d0d36254e12e4</x:v>
      </x:c>
      <x:c r="C848" s="31" t="n">
        <x:v>9</x:v>
      </x:c>
      <x:c r="D848" s="31" t="n">
        <x:v>33956</x:v>
      </x:c>
      <x:c r="E848" s="31" t="str">
        <x:v>Brooklyn</x:v>
      </x:c>
      <x:c r="F848" s="31" t="str">
        <x:v>Bay Ridge</x:v>
      </x:c>
      <x:c r="G848" s="31" t="n">
        <x:v>54734.567013326756</x:v>
      </x:c>
      <x:c r="H848" s="31" t="n">
        <x:v>13061</x:v>
      </x:c>
      <x:c r="I848" s="31" t="n">
        <x:v>4.590410476336346</x:v>
      </x:c>
      <x:c r="J848" s="40" t="n">
        <x:v>0.06477298828573616</x:v>
      </x:c>
      <x:c r="K848" s="40" t="n">
        <x:v>0.6127402189725136</x:v>
      </x:c>
      <x:c r="L848" s="40" t="n">
        <x:v>0.04616798101217365</x:v>
      </x:c>
      <x:c r="M848" s="31" t="n">
        <x:v>50.78012912047889</x:v>
      </x:c>
      <x:c r="N848" s="31" t="n">
        <x:v>94</x:v>
      </x:c>
      <x:c r="O848" s="31" t="n">
        <x:v>2.7682883731888324</x:v>
      </x:c>
      <x:c r="P848" s="31" t="n">
        <x:v>2.3061021361304648</x:v>
      </x:c>
      <x:c r="Q848" s="40" t="n">
        <x:v>0</x:v>
      </x:c>
      <x:c r="R848" s="31" t="n">
        <x:v>0.16733902299689224</x:v>
      </x:c>
      <x:c r="S848" s="40"/>
      <x:c r="T848" s="40"/>
      <x:c r="U848" s="40" t="n">
        <x:v>1</x:v>
      </x:c>
      <x:c r="V848" s="40" t="n">
        <x:v>0.9976265217058419</x:v>
      </x:c>
      <x:c r="W848" s="31" t="n">
        <x:v>0</x:v>
      </x:c>
      <x:c r="X848" s="31" t="str"/>
      <x:c r="Y848" s="31" t="n">
        <x:v>0</x:v>
      </x:c>
      <x:c r="Z848" s="31" t="n">
        <x:v>0</x:v>
      </x:c>
      <x:c r="AA848" s="31" t="n">
        <x:v>0</x:v>
      </x:c>
      <x:c r="AB848" s="31" t="str"/>
      <x:c r="AC848" s="31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3290c35286243f8"/>
  </x:tableParts>
</x:worksheet>
</file>

<file path=xl/worksheets/sheet10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9.4399995803833" hidden="0" customWidth="1"/>
    <x:col min="3" max="3" width="6.670000076293945" hidden="0" customWidth="1"/>
    <x:col min="4" max="4" width="10.220000267028809" hidden="0" customWidth="1"/>
    <x:col min="5" max="5" width="22" hidden="0" customWidth="1"/>
    <x:col min="6" max="6" width="11" hidden="0" customWidth="1"/>
    <x:col min="7" max="7" width="11.779999732971191" hidden="0" customWidth="1"/>
    <x:col min="8" max="8" width="12.220000267028809" hidden="0" customWidth="1"/>
    <x:col min="9" max="9" width="11.109999656677246" hidden="0" customWidth="1"/>
    <x:col min="10" max="10" width="14.220000267028809" hidden="0" customWidth="1"/>
    <x:col min="11" max="11" width="15" hidden="0" customWidth="1"/>
    <x:col min="12" max="12" width="14.5600004196167" hidden="0" customWidth="1"/>
    <x:col min="13" max="13" width="13.779999732971191" hidden="0" customWidth="1"/>
    <x:col min="14" max="14" width="11.5600004196167" hidden="0" customWidth="1"/>
    <x:col min="15" max="15" width="15.670000076293945" hidden="0" customWidth="1"/>
    <x:col min="16" max="16" width="12" hidden="0" customWidth="1"/>
    <x:col min="17" max="17" width="14.5600004196167" hidden="0" customWidth="1"/>
    <x:col min="18" max="18" width="13.890000343322754" hidden="0" customWidth="1"/>
    <x:col min="19" max="19" width="14" hidden="0" customWidth="1"/>
    <x:col min="20" max="20" width="12.220000267028809" hidden="0" customWidth="1"/>
    <x:col min="21" max="21" width="11.220000267028809" hidden="0" customWidth="1"/>
    <x:col min="22" max="22" width="14" hidden="0" customWidth="1"/>
    <x:col min="23" max="23" width="12.220000267028809" hidden="0" customWidth="1"/>
    <x:col min="24" max="24" width="10.220000267028809" hidden="0" customWidth="1"/>
    <x:col min="25" max="25" width="13.329999923706055" hidden="0" customWidth="1"/>
    <x:col min="26" max="26" width="13.109999656677246" hidden="0" customWidth="1"/>
    <x:col min="27" max="27" width="14.109999656677246" hidden="0" customWidth="1"/>
    <x:col min="28" max="28" width="17.670000076293945" hidden="0" customWidth="1"/>
    <x:col min="29" max="29" width="10.779999732971191" hidden="0" customWidth="1"/>
    <x:col min="30" max="30" width="8.329999923706055" hidden="0" customWidth="1"/>
  </x:cols>
  <x:sheetData>
    <x:row r="1" ht="30" customHeight="1">
      <x:c r="A1" s="45" t="str">
        <x:v>09 Tracts</x:v>
      </x:c>
    </x:row>
    <x:row r="2" ht="34" customHeight="1">
      <x:c r="A2" s="21" t="str">
        <x:v>Full tract evidence surface. Geometry adjacency is a polygon-touch proxy, not a street-network, ingress, or traversability test.</x:v>
      </x:c>
    </x:row>
    <x:row r="4" ht="34" customHeight="1">
      <x:c r="A4" s="24" t="str">
        <x:v>GEOID</x:v>
      </x:c>
      <x:c r="B4" s="24" t="str">
        <x:v>Borough</x:v>
      </x:c>
      <x:c r="C4" s="24" t="str">
        <x:v>Tract</x:v>
      </x:c>
      <x:c r="D4" s="24" t="str">
        <x:v>NTA code</x:v>
      </x:c>
      <x:c r="E4" s="24" t="str">
        <x:v>NTA</x:v>
      </x:c>
      <x:c r="F4" s="24" t="str">
        <x:v>Area sq mi</x:v>
      </x:c>
      <x:c r="G4" s="24" t="str">
        <x:v>Centroid lat</x:v>
      </x:c>
      <x:c r="H4" s="24" t="str">
        <x:v>Centroid lon</x:v>
      </x:c>
      <x:c r="I4" s="24" t="str">
        <x:v>Population</x:v>
      </x:c>
      <x:c r="J4" s="24" t="str">
        <x:v>Density / sq mi</x:v>
      </x:c>
      <x:c r="K4" s="24" t="str">
        <x:v>Civilian noninst.</x:v>
      </x:c>
      <x:c r="L4" s="24" t="str">
        <x:v>Disability share</x:v>
      </x:c>
      <x:c r="M4" s="24" t="str">
        <x:v>Age 65+ share</x:v>
      </x:c>
      <x:c r="N4" s="24" t="str">
        <x:v>PLUTO lots</x:v>
      </x:c>
      <x:c r="O4" s="24" t="str">
        <x:v>Residential units</x:v>
      </x:c>
      <x:c r="P4" s="24" t="str">
        <x:v>Mean floors</x:v>
      </x:c>
      <x:c r="Q4" s="24" t="str">
        <x:v>High-rise share</x:v>
      </x:c>
      <x:c r="R4" s="24" t="str">
        <x:v>Mid-rise share</x:v>
      </x:c>
      <x:c r="S4" s="24" t="str">
        <x:v>Campus share</x:v>
      </x:c>
      <x:c r="T4" s="24" t="str">
        <x:v>Mean roof ft</x:v>
      </x:c>
      <x:c r="U4" s="24" t="str">
        <x:v>Max roof ft</x:v>
      </x:c>
      <x:c r="V4" s="24" t="str">
        <x:v>Active devices</x:v>
      </x:c>
      <x:c r="W4" s="24" t="str">
        <x:v>Devices / 1k</x:v>
      </x:c>
      <x:c r="X4" s="24" t="str">
        <x:v>Mean HVI</x:v>
      </x:c>
      <x:c r="Y4" s="24" t="str">
        <x:v>HVI 4–5 share</x:v>
      </x:c>
      <x:c r="Z4" s="24" t="str">
        <x:v>HVI coverage</x:v>
      </x:c>
      <x:c r="AA4" s="24" t="str">
        <x:v>Roof coverage</x:v>
      </x:c>
      <x:c r="AB4" s="24" t="str">
        <x:v>Facility distance mi</x:v>
      </x:c>
      <x:c r="AC4" s="24" t="str">
        <x:v>Neighbors</x:v>
      </x:c>
      <x:c r="AD4" s="24" t="str">
        <x:v>Eligible</x:v>
      </x:c>
    </x:row>
    <x:row r="5">
      <x:c r="A5" s="31" t="str">
        <x:v>36005000100</x:v>
      </x:c>
      <x:c r="B5" s="31" t="str">
        <x:v>Bronx</x:v>
      </x:c>
      <x:c r="C5" s="31" t="str">
        <x:v>000100</x:v>
      </x:c>
      <x:c r="D5" s="31" t="str">
        <x:v>QN0151</x:v>
      </x:c>
      <x:c r="E5" s="31" t="str">
        <x:v>Rikers Island</x:v>
      </x:c>
      <x:c r="F5" s="31" t="n">
        <x:v>0.6515343372037133</x:v>
      </x:c>
      <x:c r="G5" s="31" t="n">
        <x:v>40.79113033368017</x:v>
      </x:c>
      <x:c r="H5" s="31" t="n">
        <x:v>-73.88265488939857</x:v>
      </x:c>
      <x:c r="I5" s="31" t="n">
        <x:v>3772</x:v>
      </x:c>
      <x:c r="J5" s="31" t="n">
        <x:v>5789.410909928174</x:v>
      </x:c>
      <x:c r="K5" s="31"/>
      <x:c r="L5" s="40"/>
      <x:c r="M5" s="40"/>
      <x:c r="N5" s="31" t="n">
        <x:v>0</x:v>
      </x:c>
      <x:c r="O5" s="31"/>
      <x:c r="P5" s="31"/>
      <x:c r="Q5" s="40"/>
      <x:c r="R5" s="40"/>
      <x:c r="S5" s="40"/>
      <x:c r="T5" s="31"/>
      <x:c r="U5" s="31"/>
      <x:c r="V5" s="31" t="n">
        <x:v>0</x:v>
      </x:c>
      <x:c r="W5" s="31" t="n">
        <x:v>0</x:v>
      </x:c>
      <x:c r="X5" s="31"/>
      <x:c r="Y5" s="40"/>
      <x:c r="Z5" s="40"/>
      <x:c r="AA5" s="40"/>
      <x:c r="AB5" s="31" t="n">
        <x:v>0.13741305309375298</x:v>
      </x:c>
      <x:c r="AC5" s="31" t="n">
        <x:v>0</x:v>
      </x:c>
      <x:c r="AD5" s="44" t="b">
        <x:v>0</x:v>
      </x:c>
    </x:row>
    <x:row r="6">
      <x:c r="A6" s="31" t="str">
        <x:v>36005000200</x:v>
      </x:c>
      <x:c r="B6" s="31" t="str">
        <x:v>Bronx</x:v>
      </x:c>
      <x:c r="C6" s="31" t="str">
        <x:v>000200</x:v>
      </x:c>
      <x:c r="D6" s="31" t="str">
        <x:v>BX0902</x:v>
      </x:c>
      <x:c r="E6" s="31" t="str">
        <x:v>Soundview-Clason Point</x:v>
      </x:c>
      <x:c r="F6" s="31" t="n">
        <x:v>0.17493875577041723</x:v>
      </x:c>
      <x:c r="G6" s="31" t="n">
        <x:v>40.81075184090748</x:v>
      </x:c>
      <x:c r="H6" s="31" t="n">
        <x:v>-73.85900689070994</x:v>
      </x:c>
      <x:c r="I6" s="31" t="n">
        <x:v>4779</x:v>
      </x:c>
      <x:c r="J6" s="31" t="n">
        <x:v>27318.131873944345</x:v>
      </x:c>
      <x:c r="K6" s="31"/>
      <x:c r="L6" s="40"/>
      <x:c r="M6" s="40"/>
      <x:c r="N6" s="31" t="n">
        <x:v>825</x:v>
      </x:c>
      <x:c r="O6" s="31" t="n">
        <x:v>1427</x:v>
      </x:c>
      <x:c r="P6" s="31" t="n">
        <x:v>2.2484195605953223</x:v>
      </x:c>
      <x:c r="Q6" s="40" t="n">
        <x:v>0</x:v>
      </x:c>
      <x:c r="R6" s="40" t="n">
        <x:v>0.36790469516468116</x:v>
      </x:c>
      <x:c r="S6" s="40" t="n">
        <x:v>0.013314646110721794</x:v>
      </x:c>
      <x:c r="T6" s="31" t="n">
        <x:v>26.08556909943622</x:v>
      </x:c>
      <x:c r="U6" s="31" t="n">
        <x:v>43.17</x:v>
      </x:c>
      <x:c r="V6" s="31" t="n">
        <x:v>0</x:v>
      </x:c>
      <x:c r="W6" s="31" t="n">
        <x:v>0</x:v>
      </x:c>
      <x:c r="X6" s="31" t="n">
        <x:v>4</x:v>
      </x:c>
      <x:c r="Y6" s="40" t="n">
        <x:v>1</x:v>
      </x:c>
      <x:c r="Z6" s="40" t="n">
        <x:v>1</x:v>
      </x:c>
      <x:c r="AA6" s="40" t="n">
        <x:v>0.9943938332165382</x:v>
      </x:c>
      <x:c r="AB6" s="31" t="n">
        <x:v>0.3295355999236013</x:v>
      </x:c>
      <x:c r="AC6" s="31" t="n">
        <x:v>5</x:v>
      </x:c>
      <x:c r="AD6" s="44" t="b">
        <x:v>1</x:v>
      </x:c>
    </x:row>
    <x:row r="7">
      <x:c r="A7" s="31" t="str">
        <x:v>36005000400</x:v>
      </x:c>
      <x:c r="B7" s="31" t="str">
        <x:v>Bronx</x:v>
      </x:c>
      <x:c r="C7" s="31" t="str">
        <x:v>000400</x:v>
      </x:c>
      <x:c r="D7" s="31" t="str">
        <x:v>BX0902</x:v>
      </x:c>
      <x:c r="E7" s="31" t="str">
        <x:v>Soundview-Clason Point</x:v>
      </x:c>
      <x:c r="F7" s="31" t="n">
        <x:v>0.3069743167398416</x:v>
      </x:c>
      <x:c r="G7" s="31" t="n">
        <x:v>40.81060632550422</x:v>
      </x:c>
      <x:c r="H7" s="31" t="n">
        <x:v>-73.8524117392791</x:v>
      </x:c>
      <x:c r="I7" s="31" t="n">
        <x:v>6272</x:v>
      </x:c>
      <x:c r="J7" s="31" t="n">
        <x:v>20431.676716835802</x:v>
      </x:c>
      <x:c r="K7" s="31"/>
      <x:c r="L7" s="40"/>
      <x:c r="M7" s="40"/>
      <x:c r="N7" s="31" t="n">
        <x:v>691</x:v>
      </x:c>
      <x:c r="O7" s="31" t="n">
        <x:v>2058</x:v>
      </x:c>
      <x:c r="P7" s="31" t="n">
        <x:v>2.6404042445679634</x:v>
      </x:c>
      <x:c r="Q7" s="40" t="n">
        <x:v>0</x:v>
      </x:c>
      <x:c r="R7" s="40" t="n">
        <x:v>0.5155490767735665</x:v>
      </x:c>
      <x:c r="S7" s="40" t="n">
        <x:v>0.3688046647230321</x:v>
      </x:c>
      <x:c r="T7" s="31" t="n">
        <x:v>31.330773132782653</x:v>
      </x:c>
      <x:c r="U7" s="31" t="n">
        <x:v>48.47</x:v>
      </x:c>
      <x:c r="V7" s="31" t="n">
        <x:v>4</x:v>
      </x:c>
      <x:c r="W7" s="31" t="n">
        <x:v>0.6377551020408163</x:v>
      </x:c>
      <x:c r="X7" s="31" t="n">
        <x:v>4</x:v>
      </x:c>
      <x:c r="Y7" s="40" t="n">
        <x:v>1</x:v>
      </x:c>
      <x:c r="Z7" s="40" t="n">
        <x:v>1</x:v>
      </x:c>
      <x:c r="AA7" s="40" t="n">
        <x:v>0.9970845481049563</x:v>
      </x:c>
      <x:c r="AB7" s="31" t="n">
        <x:v>0.3573965304764737</x:v>
      </x:c>
      <x:c r="AC7" s="31" t="n">
        <x:v>5</x:v>
      </x:c>
      <x:c r="AD7" s="44" t="b">
        <x:v>1</x:v>
      </x:c>
    </x:row>
    <x:row r="8">
      <x:c r="A8" s="31" t="str">
        <x:v>36005001600</x:v>
      </x:c>
      <x:c r="B8" s="31" t="str">
        <x:v>Bronx</x:v>
      </x:c>
      <x:c r="C8" s="31" t="str">
        <x:v>001600</x:v>
      </x:c>
      <x:c r="D8" s="31" t="str">
        <x:v>BX0902</x:v>
      </x:c>
      <x:c r="E8" s="31" t="str">
        <x:v>Soundview-Clason Point</x:v>
      </x:c>
      <x:c r="F8" s="31" t="n">
        <x:v>0.1872894452447056</x:v>
      </x:c>
      <x:c r="G8" s="31" t="n">
        <x:v>40.81884770742154</x:v>
      </x:c>
      <x:c r="H8" s="31" t="n">
        <x:v>-73.85807621374053</x:v>
      </x:c>
      <x:c r="I8" s="31" t="n">
        <x:v>5795</x:v>
      </x:c>
      <x:c r="J8" s="31" t="n">
        <x:v>30941.41259497279</x:v>
      </x:c>
      <x:c r="K8" s="31"/>
      <x:c r="L8" s="40"/>
      <x:c r="M8" s="40"/>
      <x:c r="N8" s="31" t="n">
        <x:v>330</x:v>
      </x:c>
      <x:c r="O8" s="31" t="n">
        <x:v>2378</x:v>
      </x:c>
      <x:c r="P8" s="31" t="n">
        <x:v>7.730256734006734</x:v>
      </x:c>
      <x:c r="Q8" s="40" t="n">
        <x:v>0.21572750210260724</x:v>
      </x:c>
      <x:c r="R8" s="40" t="n">
        <x:v>0.5916736753574432</x:v>
      </x:c>
      <x:c r="S8" s="40" t="n">
        <x:v>0.4024390243902439</x:v>
      </x:c>
      <x:c r="T8" s="31" t="n">
        <x:v>145.4708040128259</x:v>
      </x:c>
      <x:c r="U8" s="31" t="n">
        <x:v>233.65963375</x:v>
      </x:c>
      <x:c r="V8" s="31" t="n">
        <x:v>25</x:v>
      </x:c>
      <x:c r="W8" s="31" t="n">
        <x:v>4.3140638481449525</x:v>
      </x:c>
      <x:c r="X8" s="31" t="n">
        <x:v>4</x:v>
      </x:c>
      <x:c r="Y8" s="40" t="n">
        <x:v>1</x:v>
      </x:c>
      <x:c r="Z8" s="40" t="n">
        <x:v>1</x:v>
      </x:c>
      <x:c r="AA8" s="40" t="n">
        <x:v>1</x:v>
      </x:c>
      <x:c r="AB8" s="31" t="n">
        <x:v>0.06210344602074802</x:v>
      </x:c>
      <x:c r="AC8" s="31" t="n">
        <x:v>7</x:v>
      </x:c>
      <x:c r="AD8" s="44" t="b">
        <x:v>1</x:v>
      </x:c>
    </x:row>
    <x:row r="9">
      <x:c r="A9" s="31" t="str">
        <x:v>36005001901</x:v>
      </x:c>
      <x:c r="B9" s="31" t="str">
        <x:v>Bronx</x:v>
      </x:c>
      <x:c r="C9" s="31" t="str">
        <x:v>001901</x:v>
      </x:c>
      <x:c r="D9" s="31" t="str">
        <x:v>BX0101</x:v>
      </x:c>
      <x:c r="E9" s="31" t="str">
        <x:v>Mott Haven-Port Morris</x:v>
      </x:c>
      <x:c r="F9" s="31" t="n">
        <x:v>0.08010181576596935</x:v>
      </x:c>
      <x:c r="G9" s="31" t="n">
        <x:v>40.80677656951447</x:v>
      </x:c>
      <x:c r="H9" s="31" t="n">
        <x:v>-73.9280739780738</x:v>
      </x:c>
      <x:c r="I9" s="31" t="n">
        <x:v>2292</x:v>
      </x:c>
      <x:c r="J9" s="31" t="n">
        <x:v>28613.58357588866</x:v>
      </x:c>
      <x:c r="K9" s="31"/>
      <x:c r="L9" s="40"/>
      <x:c r="M9" s="40"/>
      <x:c r="N9" s="31" t="n">
        <x:v>47</x:v>
      </x:c>
      <x:c r="O9" s="31" t="n">
        <x:v>2312</x:v>
      </x:c>
      <x:c r="P9" s="31" t="n">
        <x:v>15.96410034602076</x:v>
      </x:c>
      <x:c r="Q9" s="40" t="n">
        <x:v>0.8027681660899654</x:v>
      </x:c>
      <x:c r="R9" s="40" t="n">
        <x:v>0.1967993079584775</x:v>
      </x:c>
      <x:c r="S9" s="40" t="n">
        <x:v>0.25</x:v>
      </x:c>
      <x:c r="T9" s="31" t="n">
        <x:v>163.11688103402247</x:v>
      </x:c>
      <x:c r="U9" s="31" t="n">
        <x:v>250</x:v>
      </x:c>
      <x:c r="V9" s="31" t="n">
        <x:v>35</x:v>
      </x:c>
      <x:c r="W9" s="31" t="n">
        <x:v>15.270506108202444</x:v>
      </x:c>
      <x:c r="X9" s="31" t="n">
        <x:v>5</x:v>
      </x:c>
      <x:c r="Y9" s="40" t="n">
        <x:v>1</x:v>
      </x:c>
      <x:c r="Z9" s="40" t="n">
        <x:v>1</x:v>
      </x:c>
      <x:c r="AA9" s="40" t="n">
        <x:v>1</x:v>
      </x:c>
      <x:c r="AB9" s="31" t="n">
        <x:v>0.05536679204634488</x:v>
      </x:c>
      <x:c r="AC9" s="31" t="n">
        <x:v>5</x:v>
      </x:c>
      <x:c r="AD9" s="44" t="b">
        <x:v>1</x:v>
      </x:c>
    </x:row>
    <x:row r="10">
      <x:c r="A10" s="31" t="str">
        <x:v>36005001902</x:v>
      </x:c>
      <x:c r="B10" s="31" t="str">
        <x:v>Bronx</x:v>
      </x:c>
      <x:c r="C10" s="31" t="str">
        <x:v>001902</x:v>
      </x:c>
      <x:c r="D10" s="31" t="str">
        <x:v>BX0101</x:v>
      </x:c>
      <x:c r="E10" s="31" t="str">
        <x:v>Mott Haven-Port Morris</x:v>
      </x:c>
      <x:c r="F10" s="31" t="n">
        <x:v>0.1814746275665031</x:v>
      </x:c>
      <x:c r="G10" s="31" t="n">
        <x:v>40.80368327543851</x:v>
      </x:c>
      <x:c r="H10" s="31" t="n">
        <x:v>-73.9159291943602</x:v>
      </x:c>
      <x:c r="I10" s="31" t="n">
        <x:v>1613</x:v>
      </x:c>
      <x:c r="J10" s="31" t="n">
        <x:v>8888.294863197341</x:v>
      </x:c>
      <x:c r="K10" s="31"/>
      <x:c r="L10" s="40"/>
      <x:c r="M10" s="40"/>
      <x:c r="N10" s="31" t="n">
        <x:v>117</x:v>
      </x:c>
      <x:c r="O10" s="31" t="n">
        <x:v>1229</x:v>
      </x:c>
      <x:c r="P10" s="31" t="n">
        <x:v>7.7664768104149715</x:v>
      </x:c>
      <x:c r="Q10" s="40" t="n">
        <x:v>0.3645240032546786</x:v>
      </x:c>
      <x:c r="R10" s="40" t="n">
        <x:v>0.5288852725793328</x:v>
      </x:c>
      <x:c r="S10" s="40" t="n">
        <x:v>0.0008136696501220504</x:v>
      </x:c>
      <x:c r="T10" s="31" t="n">
        <x:v>67.3213344182262</x:v>
      </x:c>
      <x:c r="U10" s="31" t="n">
        <x:v>95</x:v>
      </x:c>
      <x:c r="V10" s="31" t="n">
        <x:v>15</x:v>
      </x:c>
      <x:c r="W10" s="31" t="n">
        <x:v>9.299442033477991</x:v>
      </x:c>
      <x:c r="X10" s="31" t="n">
        <x:v>5</x:v>
      </x:c>
      <x:c r="Y10" s="40" t="n">
        <x:v>1</x:v>
      </x:c>
      <x:c r="Z10" s="40" t="n">
        <x:v>1</x:v>
      </x:c>
      <x:c r="AA10" s="40" t="n">
        <x:v>1</x:v>
      </x:c>
      <x:c r="AB10" s="31" t="n">
        <x:v>0.11951301598788203</x:v>
      </x:c>
      <x:c r="AC10" s="31" t="n">
        <x:v>7</x:v>
      </x:c>
      <x:c r="AD10" s="44" t="b">
        <x:v>1</x:v>
      </x:c>
    </x:row>
    <x:row r="11">
      <x:c r="A11" s="31" t="str">
        <x:v>36005001903</x:v>
      </x:c>
      <x:c r="B11" s="31" t="str">
        <x:v>Bronx</x:v>
      </x:c>
      <x:c r="C11" s="31" t="str">
        <x:v>001903</x:v>
      </x:c>
      <x:c r="D11" s="31" t="str">
        <x:v>BX0101</x:v>
      </x:c>
      <x:c r="E11" s="31" t="str">
        <x:v>Mott Haven-Port Morris</x:v>
      </x:c>
      <x:c r="F11" s="31" t="n">
        <x:v>0.3493258907835457</x:v>
      </x:c>
      <x:c r="G11" s="31" t="n">
        <x:v>40.80215833632506</x:v>
      </x:c>
      <x:c r="H11" s="31" t="n">
        <x:v>-73.91251755648781</x:v>
      </x:c>
      <x:c r="I11" s="31" t="n">
        <x:v>2</x:v>
      </x:c>
      <x:c r="J11" s="31" t="n">
        <x:v>5.725312817535384</x:v>
      </x:c>
      <x:c r="K11" s="31"/>
      <x:c r="L11" s="40"/>
      <x:c r="M11" s="40"/>
      <x:c r="N11" s="31" t="n">
        <x:v>0</x:v>
      </x:c>
      <x:c r="O11" s="31"/>
      <x:c r="P11" s="31"/>
      <x:c r="Q11" s="40"/>
      <x:c r="R11" s="40"/>
      <x:c r="S11" s="40"/>
      <x:c r="T11" s="31"/>
      <x:c r="U11" s="31"/>
      <x:c r="V11" s="31" t="n">
        <x:v>0</x:v>
      </x:c>
      <x:c r="W11" s="31" t="n">
        <x:v>0</x:v>
      </x:c>
      <x:c r="X11" s="31"/>
      <x:c r="Y11" s="40"/>
      <x:c r="Z11" s="40"/>
      <x:c r="AA11" s="40"/>
      <x:c r="AB11" s="31" t="n">
        <x:v>0.2938919740367444</x:v>
      </x:c>
      <x:c r="AC11" s="31" t="n">
        <x:v>8</x:v>
      </x:c>
      <x:c r="AD11" s="44" t="b">
        <x:v>0</x:v>
      </x:c>
    </x:row>
    <x:row r="12">
      <x:c r="A12" s="31" t="str">
        <x:v>36005001904</x:v>
      </x:c>
      <x:c r="B12" s="31" t="str">
        <x:v>Bronx</x:v>
      </x:c>
      <x:c r="C12" s="31" t="str">
        <x:v>001904</x:v>
      </x:c>
      <x:c r="D12" s="31" t="str">
        <x:v>BX0291</x:v>
      </x:c>
      <x:c r="E12" s="31" t="str">
        <x:v>North &amp; South Brother Islands</x:v>
      </x:c>
      <x:c r="F12" s="31" t="n">
        <x:v>0.03338244595518394</x:v>
      </x:c>
      <x:c r="G12" s="31" t="n">
        <x:v>40.79957638564119</x:v>
      </x:c>
      <x:c r="H12" s="31" t="n">
        <x:v>-73.89836979738523</x:v>
      </x:c>
      <x:c r="I12" s="31" t="n">
        <x:v>0</x:v>
      </x:c>
      <x:c r="J12" s="31" t="n">
        <x:v>0</x:v>
      </x:c>
      <x:c r="K12" s="31"/>
      <x:c r="L12" s="40"/>
      <x:c r="M12" s="40"/>
      <x:c r="N12" s="31" t="n">
        <x:v>0</x:v>
      </x:c>
      <x:c r="O12" s="31"/>
      <x:c r="P12" s="31"/>
      <x:c r="Q12" s="40"/>
      <x:c r="R12" s="40"/>
      <x:c r="S12" s="40"/>
      <x:c r="T12" s="31"/>
      <x:c r="U12" s="31"/>
      <x:c r="V12" s="31" t="n">
        <x:v>0</x:v>
      </x:c>
      <x:c r="W12" s="31"/>
      <x:c r="X12" s="31"/>
      <x:c r="Y12" s="40"/>
      <x:c r="Z12" s="40"/>
      <x:c r="AA12" s="40"/>
      <x:c r="AB12" s="31" t="n">
        <x:v>0.8968031566336158</x:v>
      </x:c>
      <x:c r="AC12" s="31" t="n">
        <x:v>1</x:v>
      </x:c>
      <x:c r="AD12" s="44" t="b">
        <x:v>0</x:v>
      </x:c>
    </x:row>
    <x:row r="13">
      <x:c r="A13" s="31" t="str">
        <x:v>36005002001</x:v>
      </x:c>
      <x:c r="B13" s="31" t="str">
        <x:v>Bronx</x:v>
      </x:c>
      <x:c r="C13" s="31" t="str">
        <x:v>002001</x:v>
      </x:c>
      <x:c r="D13" s="31" t="str">
        <x:v>BX0902</x:v>
      </x:c>
      <x:c r="E13" s="31" t="str">
        <x:v>Soundview-Clason Point</x:v>
      </x:c>
      <x:c r="F13" s="31" t="n">
        <x:v>0.0766075205919278</x:v>
      </x:c>
      <x:c r="G13" s="31" t="n">
        <x:v>40.8174391889477</x:v>
      </x:c>
      <x:c r="H13" s="31" t="n">
        <x:v>-73.86791546734952</x:v>
      </x:c>
      <x:c r="I13" s="31" t="n">
        <x:v>5007</x:v>
      </x:c>
      <x:c r="J13" s="31" t="n">
        <x:v>65359.11828645701</x:v>
      </x:c>
      <x:c r="K13" s="31"/>
      <x:c r="L13" s="40"/>
      <x:c r="M13" s="40"/>
      <x:c r="N13" s="31" t="n">
        <x:v>19</x:v>
      </x:c>
      <x:c r="O13" s="31" t="n">
        <x:v>1841</x:v>
      </x:c>
      <x:c r="P13" s="31" t="n">
        <x:v>6.512221618685497</x:v>
      </x:c>
      <x:c r="Q13" s="40" t="n">
        <x:v>0</x:v>
      </x:c>
      <x:c r="R13" s="40" t="n">
        <x:v>0.9120043454644216</x:v>
      </x:c>
      <x:c r="S13" s="40" t="n">
        <x:v>0.8674633351439435</x:v>
      </x:c>
      <x:c r="T13" s="31" t="n">
        <x:v>64.56519826181423</x:v>
      </x:c>
      <x:c r="U13" s="31" t="n">
        <x:v>85</x:v>
      </x:c>
      <x:c r="V13" s="31" t="n">
        <x:v>34</x:v>
      </x:c>
      <x:c r="W13" s="31" t="n">
        <x:v>6.790493309366886</x:v>
      </x:c>
      <x:c r="X13" s="31" t="n">
        <x:v>4</x:v>
      </x:c>
      <x:c r="Y13" s="40" t="n">
        <x:v>1</x:v>
      </x:c>
      <x:c r="Z13" s="40" t="n">
        <x:v>1</x:v>
      </x:c>
      <x:c r="AA13" s="40" t="n">
        <x:v>1</x:v>
      </x:c>
      <x:c r="AB13" s="31" t="n">
        <x:v>0.05222032590154282</x:v>
      </x:c>
      <x:c r="AC13" s="31" t="n">
        <x:v>4</x:v>
      </x:c>
      <x:c r="AD13" s="44" t="b">
        <x:v>1</x:v>
      </x:c>
    </x:row>
    <x:row r="14">
      <x:c r="A14" s="31" t="str">
        <x:v>36005002002</x:v>
      </x:c>
      <x:c r="B14" s="31" t="str">
        <x:v>Bronx</x:v>
      </x:c>
      <x:c r="C14" s="31" t="str">
        <x:v>002002</x:v>
      </x:c>
      <x:c r="D14" s="31" t="str">
        <x:v>BX0902</x:v>
      </x:c>
      <x:c r="E14" s="31" t="str">
        <x:v>Soundview-Clason Point</x:v>
      </x:c>
      <x:c r="F14" s="31" t="n">
        <x:v>0.07910312462587522</x:v>
      </x:c>
      <x:c r="G14" s="31" t="n">
        <x:v>40.81763702635643</x:v>
      </x:c>
      <x:c r="H14" s="31" t="n">
        <x:v>-73.86442463999589</x:v>
      </x:c>
      <x:c r="I14" s="31" t="n">
        <x:v>4584</x:v>
      </x:c>
      <x:c r="J14" s="31" t="n">
        <x:v>57949.67040405051</x:v>
      </x:c>
      <x:c r="K14" s="31"/>
      <x:c r="L14" s="40"/>
      <x:c r="M14" s="40"/>
      <x:c r="N14" s="31" t="n">
        <x:v>423</x:v>
      </x:c>
      <x:c r="O14" s="31" t="n">
        <x:v>1457</x:v>
      </x:c>
      <x:c r="P14" s="31" t="n">
        <x:v>3.699595058339053</x:v>
      </x:c>
      <x:c r="Q14" s="40" t="n">
        <x:v>0</x:v>
      </x:c>
      <x:c r="R14" s="40" t="n">
        <x:v>0.5319148936170213</x:v>
      </x:c>
      <x:c r="S14" s="40" t="n">
        <x:v>0.0006863417982155113</x:v>
      </x:c>
      <x:c r="T14" s="31" t="n">
        <x:v>41.99246731529856</x:v>
      </x:c>
      <x:c r="U14" s="31" t="n">
        <x:v>67</x:v>
      </x:c>
      <x:c r="V14" s="31" t="n">
        <x:v>19</x:v>
      </x:c>
      <x:c r="W14" s="31" t="n">
        <x:v>4.144851657940664</x:v>
      </x:c>
      <x:c r="X14" s="31" t="n">
        <x:v>4</x:v>
      </x:c>
      <x:c r="Y14" s="40" t="n">
        <x:v>1</x:v>
      </x:c>
      <x:c r="Z14" s="40" t="n">
        <x:v>1</x:v>
      </x:c>
      <x:c r="AA14" s="40" t="n">
        <x:v>1</x:v>
      </x:c>
      <x:c r="AB14" s="31" t="n">
        <x:v>0.10958296165647266</x:v>
      </x:c>
      <x:c r="AC14" s="31" t="n">
        <x:v>7</x:v>
      </x:c>
      <x:c r="AD14" s="44" t="b">
        <x:v>1</x:v>
      </x:c>
    </x:row>
    <x:row r="15">
      <x:c r="A15" s="31" t="str">
        <x:v>36005002300</x:v>
      </x:c>
      <x:c r="B15" s="31" t="str">
        <x:v>Bronx</x:v>
      </x:c>
      <x:c r="C15" s="31" t="str">
        <x:v>002300</x:v>
      </x:c>
      <x:c r="D15" s="31" t="str">
        <x:v>BX0101</x:v>
      </x:c>
      <x:c r="E15" s="31" t="str">
        <x:v>Mott Haven-Port Morris</x:v>
      </x:c>
      <x:c r="F15" s="31" t="n">
        <x:v>0.04041642203175218</x:v>
      </x:c>
      <x:c r="G15" s="31" t="n">
        <x:v>40.80908394457968</x:v>
      </x:c>
      <x:c r="H15" s="31" t="n">
        <x:v>-73.92584562421652</x:v>
      </x:c>
      <x:c r="I15" s="31" t="n">
        <x:v>4742</x:v>
      </x:c>
      <x:c r="J15" s="31" t="n">
        <x:v>117328.54522041963</x:v>
      </x:c>
      <x:c r="K15" s="31"/>
      <x:c r="L15" s="40"/>
      <x:c r="M15" s="40"/>
      <x:c r="N15" s="31" t="n">
        <x:v>3</x:v>
      </x:c>
      <x:c r="O15" s="31" t="n">
        <x:v>1732</x:v>
      </x:c>
      <x:c r="P15" s="31" t="n">
        <x:v>19.581408775981526</x:v>
      </x:c>
      <x:c r="Q15" s="40" t="n">
        <x:v>0.9994226327944573</x:v>
      </x:c>
      <x:c r="R15" s="40" t="n">
        <x:v>0.0005773672055427252</x:v>
      </x:c>
      <x:c r="S15" s="40" t="n">
        <x:v>0.9994226327944573</x:v>
      </x:c>
      <x:c r="T15" s="31" t="n">
        <x:v>178.61163024325637</x:v>
      </x:c>
      <x:c r="U15" s="31" t="n">
        <x:v>179.56</x:v>
      </x:c>
      <x:c r="V15" s="31" t="n">
        <x:v>22</x:v>
      </x:c>
      <x:c r="W15" s="31" t="n">
        <x:v>4.639392661324336</x:v>
      </x:c>
      <x:c r="X15" s="31" t="n">
        <x:v>5</x:v>
      </x:c>
      <x:c r="Y15" s="40" t="n">
        <x:v>1</x:v>
      </x:c>
      <x:c r="Z15" s="40" t="n">
        <x:v>1</x:v>
      </x:c>
      <x:c r="AA15" s="40" t="n">
        <x:v>1</x:v>
      </x:c>
      <x:c r="AB15" s="31" t="n">
        <x:v>0.02333462440621596</x:v>
      </x:c>
      <x:c r="AC15" s="31" t="n">
        <x:v>5</x:v>
      </x:c>
      <x:c r="AD15" s="44" t="b">
        <x:v>1</x:v>
      </x:c>
    </x:row>
    <x:row r="16">
      <x:c r="A16" s="31" t="str">
        <x:v>36005002400</x:v>
      </x:c>
      <x:c r="B16" s="31" t="str">
        <x:v>Bronx</x:v>
      </x:c>
      <x:c r="C16" s="31" t="str">
        <x:v>002400</x:v>
      </x:c>
      <x:c r="D16" s="31" t="str">
        <x:v>BX0991</x:v>
      </x:c>
      <x:c r="E16" s="31" t="str">
        <x:v>Soundview Park</x:v>
      </x:c>
      <x:c r="F16" s="31" t="n">
        <x:v>0.2795856422047176</x:v>
      </x:c>
      <x:c r="G16" s="31" t="n">
        <x:v>40.81643830734969</x:v>
      </x:c>
      <x:c r="H16" s="31" t="n">
        <x:v>-73.87125025220946</x:v>
      </x:c>
      <x:c r="I16" s="31" t="n">
        <x:v>6</x:v>
      </x:c>
      <x:c r="J16" s="31" t="n">
        <x:v>21.46032948146419</x:v>
      </x:c>
      <x:c r="K16" s="31"/>
      <x:c r="L16" s="40"/>
      <x:c r="M16" s="40"/>
      <x:c r="N16" s="31" t="n">
        <x:v>0</x:v>
      </x:c>
      <x:c r="O16" s="31"/>
      <x:c r="P16" s="31"/>
      <x:c r="Q16" s="40"/>
      <x:c r="R16" s="40"/>
      <x:c r="S16" s="40"/>
      <x:c r="T16" s="31"/>
      <x:c r="U16" s="31"/>
      <x:c r="V16" s="31" t="n">
        <x:v>0</x:v>
      </x:c>
      <x:c r="W16" s="31" t="n">
        <x:v>0</x:v>
      </x:c>
      <x:c r="X16" s="31"/>
      <x:c r="Y16" s="40"/>
      <x:c r="Z16" s="40"/>
      <x:c r="AA16" s="40"/>
      <x:c r="AB16" s="31" t="n">
        <x:v>0.16975831249161888</x:v>
      </x:c>
      <x:c r="AC16" s="31" t="n">
        <x:v>9</x:v>
      </x:c>
      <x:c r="AD16" s="44" t="b">
        <x:v>0</x:v>
      </x:c>
    </x:row>
    <x:row r="17">
      <x:c r="A17" s="31" t="str">
        <x:v>36005002500</x:v>
      </x:c>
      <x:c r="B17" s="31" t="str">
        <x:v>Bronx</x:v>
      </x:c>
      <x:c r="C17" s="31" t="str">
        <x:v>002500</x:v>
      </x:c>
      <x:c r="D17" s="31" t="str">
        <x:v>BX0101</x:v>
      </x:c>
      <x:c r="E17" s="31" t="str">
        <x:v>Mott Haven-Port Morris</x:v>
      </x:c>
      <x:c r="F17" s="31" t="n">
        <x:v>0.0492191537968463</x:v>
      </x:c>
      <x:c r="G17" s="31" t="n">
        <x:v>40.80700186133409</x:v>
      </x:c>
      <x:c r="H17" s="31" t="n">
        <x:v>-73.9208800684209</x:v>
      </x:c>
      <x:c r="I17" s="31" t="n">
        <x:v>5442</x:v>
      </x:c>
      <x:c r="J17" s="31" t="n">
        <x:v>110566.71194433852</x:v>
      </x:c>
      <x:c r="K17" s="31"/>
      <x:c r="L17" s="40"/>
      <x:c r="M17" s="40"/>
      <x:c r="N17" s="31" t="n">
        <x:v>126</x:v>
      </x:c>
      <x:c r="O17" s="31" t="n">
        <x:v>2717</x:v>
      </x:c>
      <x:c r="P17" s="31" t="n">
        <x:v>10.218255428781745</x:v>
      </x:c>
      <x:c r="Q17" s="40" t="n">
        <x:v>0.4619065145380935</x:v>
      </x:c>
      <x:c r="R17" s="40" t="n">
        <x:v>0.5248435774751564</x:v>
      </x:c>
      <x:c r="S17" s="40" t="n">
        <x:v>0.6006624953993375</x:v>
      </x:c>
      <x:c r="T17" s="31" t="n">
        <x:v>97.97976964370629</x:v>
      </x:c>
      <x:c r="U17" s="31" t="n">
        <x:v>144.72385189</x:v>
      </x:c>
      <x:c r="V17" s="31" t="n">
        <x:v>31</x:v>
      </x:c>
      <x:c r="W17" s="31" t="n">
        <x:v>5.6964351341418595</x:v>
      </x:c>
      <x:c r="X17" s="31" t="n">
        <x:v>5</x:v>
      </x:c>
      <x:c r="Y17" s="40" t="n">
        <x:v>1</x:v>
      </x:c>
      <x:c r="Z17" s="40" t="n">
        <x:v>1</x:v>
      </x:c>
      <x:c r="AA17" s="40" t="n">
        <x:v>1</x:v>
      </x:c>
      <x:c r="AB17" s="31" t="n">
        <x:v>0.047038208719148766</x:v>
      </x:c>
      <x:c r="AC17" s="31" t="n">
        <x:v>6</x:v>
      </x:c>
      <x:c r="AD17" s="44" t="b">
        <x:v>1</x:v>
      </x:c>
    </x:row>
    <x:row r="18">
      <x:c r="A18" s="31" t="str">
        <x:v>36005002701</x:v>
      </x:c>
      <x:c r="B18" s="31" t="str">
        <x:v>Bronx</x:v>
      </x:c>
      <x:c r="C18" s="31" t="str">
        <x:v>002701</x:v>
      </x:c>
      <x:c r="D18" s="31" t="str">
        <x:v>BX0101</x:v>
      </x:c>
      <x:c r="E18" s="31" t="str">
        <x:v>Mott Haven-Port Morris</x:v>
      </x:c>
      <x:c r="F18" s="31" t="n">
        <x:v>0.03141563218975982</x:v>
      </x:c>
      <x:c r="G18" s="31" t="n">
        <x:v>40.805075013434724</x:v>
      </x:c>
      <x:c r="H18" s="31" t="n">
        <x:v>-73.91636064464961</x:v>
      </x:c>
      <x:c r="I18" s="31" t="n">
        <x:v>3080</x:v>
      </x:c>
      <x:c r="J18" s="31" t="n">
        <x:v>98040.36351698666</x:v>
      </x:c>
      <x:c r="K18" s="31"/>
      <x:c r="L18" s="40"/>
      <x:c r="M18" s="40"/>
      <x:c r="N18" s="31" t="n">
        <x:v>23</x:v>
      </x:c>
      <x:c r="O18" s="31" t="n">
        <x:v>1277</x:v>
      </x:c>
      <x:c r="P18" s="31" t="n">
        <x:v>12.41816758026625</x:v>
      </x:c>
      <x:c r="Q18" s="40" t="n">
        <x:v>0.7627251370399374</x:v>
      </x:c>
      <x:c r="R18" s="40" t="n">
        <x:v>0.23492560689115113</x:v>
      </x:c>
      <x:c r="S18" s="40" t="n">
        <x:v>0.5411119812059515</x:v>
      </x:c>
      <x:c r="T18" s="31" t="n">
        <x:v>136.11059514487079</x:v>
      </x:c>
      <x:c r="U18" s="31" t="n">
        <x:v>178.67</x:v>
      </x:c>
      <x:c r="V18" s="31" t="n">
        <x:v>18</x:v>
      </x:c>
      <x:c r="W18" s="31" t="n">
        <x:v>5.8441558441558445</x:v>
      </x:c>
      <x:c r="X18" s="31" t="n">
        <x:v>5</x:v>
      </x:c>
      <x:c r="Y18" s="40" t="n">
        <x:v>1</x:v>
      </x:c>
      <x:c r="Z18" s="40" t="n">
        <x:v>1</x:v>
      </x:c>
      <x:c r="AA18" s="40" t="n">
        <x:v>1</x:v>
      </x:c>
      <x:c r="AB18" s="31" t="n">
        <x:v>0.13192156611001038</x:v>
      </x:c>
      <x:c r="AC18" s="31" t="n">
        <x:v>4</x:v>
      </x:c>
      <x:c r="AD18" s="44" t="b">
        <x:v>1</x:v>
      </x:c>
    </x:row>
    <x:row r="19">
      <x:c r="A19" s="31" t="str">
        <x:v>36005002702</x:v>
      </x:c>
      <x:c r="B19" s="31" t="str">
        <x:v>Bronx</x:v>
      </x:c>
      <x:c r="C19" s="31" t="str">
        <x:v>002702</x:v>
      </x:c>
      <x:c r="D19" s="31" t="str">
        <x:v>BX0101</x:v>
      </x:c>
      <x:c r="E19" s="31" t="str">
        <x:v>Mott Haven-Port Morris</x:v>
      </x:c>
      <x:c r="F19" s="31" t="n">
        <x:v>0.060182721715736916</x:v>
      </x:c>
      <x:c r="G19" s="31" t="n">
        <x:v>40.80644775320155</x:v>
      </x:c>
      <x:c r="H19" s="31" t="n">
        <x:v>-73.91377741691251</x:v>
      </x:c>
      <x:c r="I19" s="31" t="n">
        <x:v>4995</x:v>
      </x:c>
      <x:c r="J19" s="31" t="n">
        <x:v>82997.24335487936</x:v>
      </x:c>
      <x:c r="K19" s="31"/>
      <x:c r="L19" s="40"/>
      <x:c r="M19" s="40"/>
      <x:c r="N19" s="31" t="n">
        <x:v>113</x:v>
      </x:c>
      <x:c r="O19" s="31" t="n">
        <x:v>1779</x:v>
      </x:c>
      <x:c r="P19" s="31" t="n">
        <x:v>5.249578414839798</x:v>
      </x:c>
      <x:c r="Q19" s="40" t="n">
        <x:v>0</x:v>
      </x:c>
      <x:c r="R19" s="40" t="n">
        <x:v>0.9747048903878583</x:v>
      </x:c>
      <x:c r="S19" s="40" t="n">
        <x:v>0.14502529510961215</x:v>
      </x:c>
      <x:c r="T19" s="31" t="n">
        <x:v>56.44459451989882</x:v>
      </x:c>
      <x:c r="U19" s="31" t="n">
        <x:v>71.47807647</x:v>
      </x:c>
      <x:c r="V19" s="31" t="n">
        <x:v>31</x:v>
      </x:c>
      <x:c r="W19" s="31" t="n">
        <x:v>6.206206206206207</x:v>
      </x:c>
      <x:c r="X19" s="31" t="n">
        <x:v>5</x:v>
      </x:c>
      <x:c r="Y19" s="40" t="n">
        <x:v>1</x:v>
      </x:c>
      <x:c r="Z19" s="40" t="n">
        <x:v>1</x:v>
      </x:c>
      <x:c r="AA19" s="40" t="n">
        <x:v>1</x:v>
      </x:c>
      <x:c r="AB19" s="31" t="n">
        <x:v>0.10215563112957411</x:v>
      </x:c>
      <x:c r="AC19" s="31" t="n">
        <x:v>7</x:v>
      </x:c>
      <x:c r="AD19" s="44" t="b">
        <x:v>1</x:v>
      </x:c>
    </x:row>
    <x:row r="20">
      <x:c r="A20" s="31" t="str">
        <x:v>36005002800</x:v>
      </x:c>
      <x:c r="B20" s="31" t="str">
        <x:v>Bronx</x:v>
      </x:c>
      <x:c r="C20" s="31" t="str">
        <x:v>002800</x:v>
      </x:c>
      <x:c r="D20" s="31" t="str">
        <x:v>BX0901</x:v>
      </x:c>
      <x:c r="E20" s="31" t="str">
        <x:v>Soundview-Bruckner-Bronx River</x:v>
      </x:c>
      <x:c r="F20" s="31" t="n">
        <x:v>0.16882035240724</x:v>
      </x:c>
      <x:c r="G20" s="31" t="n">
        <x:v>40.821603223107</x:v>
      </x:c>
      <x:c r="H20" s="31" t="n">
        <x:v>-73.87820767346766</x:v>
      </x:c>
      <x:c r="I20" s="31" t="n">
        <x:v>5853</x:v>
      </x:c>
      <x:c r="J20" s="31" t="n">
        <x:v>34669.99041609031</x:v>
      </x:c>
      <x:c r="K20" s="31"/>
      <x:c r="L20" s="40"/>
      <x:c r="M20" s="40"/>
      <x:c r="N20" s="31" t="n">
        <x:v>69</x:v>
      </x:c>
      <x:c r="O20" s="31" t="n">
        <x:v>2860</x:v>
      </x:c>
      <x:c r="P20" s="31" t="n">
        <x:v>16.925524475524476</x:v>
      </x:c>
      <x:c r="Q20" s="40" t="n">
        <x:v>0.9370629370629371</x:v>
      </x:c>
      <x:c r="R20" s="40" t="n">
        <x:v>0.025874125874125874</x:v>
      </x:c>
      <x:c r="S20" s="40" t="n">
        <x:v>0.023776223776223775</x:v>
      </x:c>
      <x:c r="T20" s="31" t="n">
        <x:v>156.05578169014083</x:v>
      </x:c>
      <x:c r="U20" s="31" t="n">
        <x:v>173.24</x:v>
      </x:c>
      <x:c r="V20" s="31" t="n">
        <x:v>32</x:v>
      </x:c>
      <x:c r="W20" s="31" t="n">
        <x:v>5.467281735861952</x:v>
      </x:c>
      <x:c r="X20" s="31" t="n">
        <x:v>4</x:v>
      </x:c>
      <x:c r="Y20" s="40" t="n">
        <x:v>1</x:v>
      </x:c>
      <x:c r="Z20" s="40" t="n">
        <x:v>1</x:v>
      </x:c>
      <x:c r="AA20" s="40" t="n">
        <x:v>0.993006993006993</x:v>
      </x:c>
      <x:c r="AB20" s="31" t="n">
        <x:v>0.06891400210710513</x:v>
      </x:c>
      <x:c r="AC20" s="31" t="n">
        <x:v>7</x:v>
      </x:c>
      <x:c r="AD20" s="44" t="b">
        <x:v>1</x:v>
      </x:c>
    </x:row>
    <x:row r="21">
      <x:c r="A21" s="31" t="str">
        <x:v>36005003100</x:v>
      </x:c>
      <x:c r="B21" s="31" t="str">
        <x:v>Bronx</x:v>
      </x:c>
      <x:c r="C21" s="31" t="str">
        <x:v>003100</x:v>
      </x:c>
      <x:c r="D21" s="31" t="str">
        <x:v>BX0101</x:v>
      </x:c>
      <x:c r="E21" s="31" t="str">
        <x:v>Mott Haven-Port Morris</x:v>
      </x:c>
      <x:c r="F21" s="31" t="n">
        <x:v>0.060262293859403696</x:v>
      </x:c>
      <x:c r="G21" s="31" t="n">
        <x:v>40.80988299446325</x:v>
      </x:c>
      <x:c r="H21" s="31" t="n">
        <x:v>-73.90569883326881</x:v>
      </x:c>
      <x:c r="I21" s="31" t="n">
        <x:v>2964</x:v>
      </x:c>
      <x:c r="J21" s="31" t="n">
        <x:v>49184.98467574479</x:v>
      </x:c>
      <x:c r="K21" s="31"/>
      <x:c r="L21" s="40"/>
      <x:c r="M21" s="40"/>
      <x:c r="N21" s="31" t="n">
        <x:v>29</x:v>
      </x:c>
      <x:c r="O21" s="31" t="n">
        <x:v>1200</x:v>
      </x:c>
      <x:c r="P21" s="31" t="n">
        <x:v>8.960833333333333</x:v>
      </x:c>
      <x:c r="Q21" s="40" t="n">
        <x:v>0.455</x:v>
      </x:c>
      <x:c r="R21" s="40" t="n">
        <x:v>0.5325</x:v>
      </x:c>
      <x:c r="S21" s="40" t="n">
        <x:v>0.0025</x:v>
      </x:c>
      <x:c r="T21" s="31" t="n">
        <x:v>82.71443421055926</x:v>
      </x:c>
      <x:c r="U21" s="31" t="n">
        <x:v>133</x:v>
      </x:c>
      <x:c r="V21" s="31" t="n">
        <x:v>14</x:v>
      </x:c>
      <x:c r="W21" s="31" t="n">
        <x:v>4.723346828609987</x:v>
      </x:c>
      <x:c r="X21" s="31" t="n">
        <x:v>5</x:v>
      </x:c>
      <x:c r="Y21" s="40" t="n">
        <x:v>1</x:v>
      </x:c>
      <x:c r="Z21" s="40" t="n">
        <x:v>1</x:v>
      </x:c>
      <x:c r="AA21" s="40" t="n">
        <x:v>0.9983333333333333</x:v>
      </x:c>
      <x:c r="AB21" s="31" t="n">
        <x:v>0.1088316968920804</x:v>
      </x:c>
      <x:c r="AC21" s="31" t="n">
        <x:v>6</x:v>
      </x:c>
      <x:c r="AD21" s="44" t="b">
        <x:v>1</x:v>
      </x:c>
    </x:row>
    <x:row r="22">
      <x:c r="A22" s="31" t="str">
        <x:v>36005003300</x:v>
      </x:c>
      <x:c r="B22" s="31" t="str">
        <x:v>Bronx</x:v>
      </x:c>
      <x:c r="C22" s="31" t="str">
        <x:v>003300</x:v>
      </x:c>
      <x:c r="D22" s="31" t="str">
        <x:v>BX0101</x:v>
      </x:c>
      <x:c r="E22" s="31" t="str">
        <x:v>Mott Haven-Port Morris</x:v>
      </x:c>
      <x:c r="F22" s="31" t="n">
        <x:v>0.05882609736426768</x:v>
      </x:c>
      <x:c r="G22" s="31" t="n">
        <x:v>40.808239197577265</x:v>
      </x:c>
      <x:c r="H22" s="31" t="n">
        <x:v>-73.91193929676596</x:v>
      </x:c>
      <x:c r="I22" s="31" t="n">
        <x:v>3689</x:v>
      </x:c>
      <x:c r="J22" s="31" t="n">
        <x:v>62710.26237142128</x:v>
      </x:c>
      <x:c r="K22" s="31"/>
      <x:c r="L22" s="40"/>
      <x:c r="M22" s="40"/>
      <x:c r="N22" s="31" t="n">
        <x:v>147</x:v>
      </x:c>
      <x:c r="O22" s="31" t="n">
        <x:v>1750</x:v>
      </x:c>
      <x:c r="P22" s="31" t="n">
        <x:v>5.111428571428571</x:v>
      </x:c>
      <x:c r="Q22" s="40" t="n">
        <x:v>0.054285714285714284</x:v>
      </x:c>
      <x:c r="R22" s="40" t="n">
        <x:v>0.932</x:v>
      </x:c>
      <x:c r="S22" s="40" t="n">
        <x:v>0.04971428571428571</x:v>
      </x:c>
      <x:c r="T22" s="31" t="n">
        <x:v>54.506422811059906</x:v>
      </x:c>
      <x:c r="U22" s="31" t="n">
        <x:v>107</x:v>
      </x:c>
      <x:c r="V22" s="31" t="n">
        <x:v>26</x:v>
      </x:c>
      <x:c r="W22" s="31" t="n">
        <x:v>7.047980482515587</x:v>
      </x:c>
      <x:c r="X22" s="31" t="n">
        <x:v>5</x:v>
      </x:c>
      <x:c r="Y22" s="40" t="n">
        <x:v>1</x:v>
      </x:c>
      <x:c r="Z22" s="40" t="n">
        <x:v>1</x:v>
      </x:c>
      <x:c r="AA22" s="40" t="n">
        <x:v>0.992</x:v>
      </x:c>
      <x:c r="AB22" s="31" t="n">
        <x:v>0.057215745975001155</x:v>
      </x:c>
      <x:c r="AC22" s="31" t="n">
        <x:v>8</x:v>
      </x:c>
      <x:c r="AD22" s="44" t="b">
        <x:v>1</x:v>
      </x:c>
    </x:row>
    <x:row r="23">
      <x:c r="A23" s="31" t="str">
        <x:v>36005003500</x:v>
      </x:c>
      <x:c r="B23" s="31" t="str">
        <x:v>Bronx</x:v>
      </x:c>
      <x:c r="C23" s="31" t="str">
        <x:v>003500</x:v>
      </x:c>
      <x:c r="D23" s="31" t="str">
        <x:v>BX0101</x:v>
      </x:c>
      <x:c r="E23" s="31" t="str">
        <x:v>Mott Haven-Port Morris</x:v>
      </x:c>
      <x:c r="F23" s="31" t="n">
        <x:v>0.05471371077608471</x:v>
      </x:c>
      <x:c r="G23" s="31" t="n">
        <x:v>40.81096595428121</x:v>
      </x:c>
      <x:c r="H23" s="31" t="n">
        <x:v>-73.90867294795086</x:v>
      </x:c>
      <x:c r="I23" s="31" t="n">
        <x:v>3726</x:v>
      </x:c>
      <x:c r="J23" s="31" t="n">
        <x:v>68099.93230487722</x:v>
      </x:c>
      <x:c r="K23" s="31"/>
      <x:c r="L23" s="40"/>
      <x:c r="M23" s="40"/>
      <x:c r="N23" s="31" t="n">
        <x:v>94</x:v>
      </x:c>
      <x:c r="O23" s="31" t="n">
        <x:v>1564</x:v>
      </x:c>
      <x:c r="P23" s="31" t="n">
        <x:v>9.75</x:v>
      </x:c>
      <x:c r="Q23" s="40" t="n">
        <x:v>0.2960358056265985</x:v>
      </x:c>
      <x:c r="R23" s="40" t="n">
        <x:v>0.6739130434782609</x:v>
      </x:c>
      <x:c r="S23" s="40" t="n">
        <x:v>0.0038363171355498722</x:v>
      </x:c>
      <x:c r="T23" s="31" t="n">
        <x:v>98.42781415013378</x:v>
      </x:c>
      <x:c r="U23" s="31" t="n">
        <x:v>189.39384399</x:v>
      </x:c>
      <x:c r="V23" s="31" t="n">
        <x:v>17</x:v>
      </x:c>
      <x:c r="W23" s="31" t="n">
        <x:v>4.562533548040795</x:v>
      </x:c>
      <x:c r="X23" s="31" t="n">
        <x:v>5</x:v>
      </x:c>
      <x:c r="Y23" s="40" t="n">
        <x:v>1</x:v>
      </x:c>
      <x:c r="Z23" s="40" t="n">
        <x:v>1</x:v>
      </x:c>
      <x:c r="AA23" s="40" t="n">
        <x:v>0.9558823529411765</x:v>
      </x:c>
      <x:c r="AB23" s="31" t="n">
        <x:v>0.03670159045011328</x:v>
      </x:c>
      <x:c r="AC23" s="31" t="n">
        <x:v>5</x:v>
      </x:c>
      <x:c r="AD23" s="44" t="b">
        <x:v>1</x:v>
      </x:c>
    </x:row>
    <x:row r="24">
      <x:c r="A24" s="31" t="str">
        <x:v>36005003700</x:v>
      </x:c>
      <x:c r="B24" s="31" t="str">
        <x:v>Bronx</x:v>
      </x:c>
      <x:c r="C24" s="31" t="str">
        <x:v>003700</x:v>
      </x:c>
      <x:c r="D24" s="31" t="str">
        <x:v>BX0101</x:v>
      </x:c>
      <x:c r="E24" s="31" t="str">
        <x:v>Mott Haven-Port Morris</x:v>
      </x:c>
      <x:c r="F24" s="31" t="n">
        <x:v>0.06411155012590393</x:v>
      </x:c>
      <x:c r="G24" s="31" t="n">
        <x:v>40.811456778476</x:v>
      </x:c>
      <x:c r="H24" s="31" t="n">
        <x:v>-73.9121741012573</x:v>
      </x:c>
      <x:c r="I24" s="31" t="n">
        <x:v>340</x:v>
      </x:c>
      <x:c r="J24" s="31" t="n">
        <x:v>5303.256579076612</x:v>
      </x:c>
      <x:c r="K24" s="31"/>
      <x:c r="L24" s="40"/>
      <x:c r="M24" s="40"/>
      <x:c r="N24" s="31" t="n">
        <x:v>5</x:v>
      </x:c>
      <x:c r="O24" s="31" t="n">
        <x:v>96</x:v>
      </x:c>
      <x:c r="P24" s="31" t="n">
        <x:v>5.78125</x:v>
      </x:c>
      <x:c r="Q24" s="40" t="n">
        <x:v>0</x:v>
      </x:c>
      <x:c r="R24" s="40" t="n">
        <x:v>0.9583333333333334</x:v>
      </x:c>
      <x:c r="S24" s="40" t="n">
        <x:v>0.020833333333333332</x:v>
      </x:c>
      <x:c r="T24" s="31" t="n">
        <x:v>57.0075</x:v>
      </x:c>
      <x:c r="U24" s="31" t="n">
        <x:v>59.78</x:v>
      </x:c>
      <x:c r="V24" s="31" t="n">
        <x:v>1</x:v>
      </x:c>
      <x:c r="W24" s="31" t="n">
        <x:v>2.941176470588235</x:v>
      </x:c>
      <x:c r="X24" s="31" t="n">
        <x:v>5</x:v>
      </x:c>
      <x:c r="Y24" s="40" t="n">
        <x:v>1</x:v>
      </x:c>
      <x:c r="Z24" s="40" t="n">
        <x:v>1</x:v>
      </x:c>
      <x:c r="AA24" s="40" t="n">
        <x:v>1</x:v>
      </x:c>
      <x:c r="AB24" s="31" t="n">
        <x:v>0.13398051673312575</x:v>
      </x:c>
      <x:c r="AC24" s="31" t="n">
        <x:v>6</x:v>
      </x:c>
      <x:c r="AD24" s="44" t="b">
        <x:v>1</x:v>
      </x:c>
    </x:row>
    <x:row r="25">
      <x:c r="A25" s="31" t="str">
        <x:v>36005003800</x:v>
      </x:c>
      <x:c r="B25" s="31" t="str">
        <x:v>Bronx</x:v>
      </x:c>
      <x:c r="C25" s="31" t="str">
        <x:v>003800</x:v>
      </x:c>
      <x:c r="D25" s="31" t="str">
        <x:v>BX0902</x:v>
      </x:c>
      <x:c r="E25" s="31" t="str">
        <x:v>Soundview-Clason Point</x:v>
      </x:c>
      <x:c r="F25" s="31" t="n">
        <x:v>0.024469347959710744</x:v>
      </x:c>
      <x:c r="G25" s="31" t="n">
        <x:v>40.820294406546104</x:v>
      </x:c>
      <x:c r="H25" s="31" t="n">
        <x:v>-73.86334353342896</x:v>
      </x:c>
      <x:c r="I25" s="31" t="n">
        <x:v>1683</x:v>
      </x:c>
      <x:c r="J25" s="31" t="n">
        <x:v>68779.92837288072</x:v>
      </x:c>
      <x:c r="K25" s="31"/>
      <x:c r="L25" s="40"/>
      <x:c r="M25" s="40"/>
      <x:c r="N25" s="31" t="n">
        <x:v>133</x:v>
      </x:c>
      <x:c r="O25" s="31" t="n">
        <x:v>547</x:v>
      </x:c>
      <x:c r="P25" s="31" t="n">
        <x:v>3.870201096892139</x:v>
      </x:c>
      <x:c r="Q25" s="40" t="n">
        <x:v>0</x:v>
      </x:c>
      <x:c r="R25" s="40" t="n">
        <x:v>0.6508226691042047</x:v>
      </x:c>
      <x:c r="S25" s="40" t="n">
        <x:v>0</x:v>
      </x:c>
      <x:c r="T25" s="31" t="n">
        <x:v>40.779328694113346</x:v>
      </x:c>
      <x:c r="U25" s="31" t="n">
        <x:v>60</x:v>
      </x:c>
      <x:c r="V25" s="31" t="n">
        <x:v>3</x:v>
      </x:c>
      <x:c r="W25" s="31" t="n">
        <x:v>1.7825311942959001</x:v>
      </x:c>
      <x:c r="X25" s="31" t="n">
        <x:v>4</x:v>
      </x:c>
      <x:c r="Y25" s="40" t="n">
        <x:v>1</x:v>
      </x:c>
      <x:c r="Z25" s="40" t="n">
        <x:v>1</x:v>
      </x:c>
      <x:c r="AA25" s="40" t="n">
        <x:v>1</x:v>
      </x:c>
      <x:c r="AB25" s="31" t="n">
        <x:v>0.11148848947120577</x:v>
      </x:c>
      <x:c r="AC25" s="31" t="n">
        <x:v>4</x:v>
      </x:c>
      <x:c r="AD25" s="44" t="b">
        <x:v>1</x:v>
      </x:c>
    </x:row>
    <x:row r="26">
      <x:c r="A26" s="31" t="str">
        <x:v>36005003900</x:v>
      </x:c>
      <x:c r="B26" s="31" t="str">
        <x:v>Bronx</x:v>
      </x:c>
      <x:c r="C26" s="31" t="str">
        <x:v>003900</x:v>
      </x:c>
      <x:c r="D26" s="31" t="str">
        <x:v>BX0101</x:v>
      </x:c>
      <x:c r="E26" s="31" t="str">
        <x:v>Mott Haven-Port Morris</x:v>
      </x:c>
      <x:c r="F26" s="31" t="n">
        <x:v>0.08345044000911099</x:v>
      </x:c>
      <x:c r="G26" s="31" t="n">
        <x:v>40.80971889276157</x:v>
      </x:c>
      <x:c r="H26" s="31" t="n">
        <x:v>-73.92142272207484</x:v>
      </x:c>
      <x:c r="I26" s="31" t="n">
        <x:v>6345</x:v>
      </x:c>
      <x:c r="J26" s="31" t="n">
        <x:v>76033.1521236708</x:v>
      </x:c>
      <x:c r="K26" s="31"/>
      <x:c r="L26" s="40"/>
      <x:c r="M26" s="40"/>
      <x:c r="N26" s="31" t="n">
        <x:v>302</x:v>
      </x:c>
      <x:c r="O26" s="31" t="n">
        <x:v>2353</x:v>
      </x:c>
      <x:c r="P26" s="31" t="n">
        <x:v>5.829579260518487</x:v>
      </x:c>
      <x:c r="Q26" s="40" t="n">
        <x:v>0.10029749256268593</x:v>
      </x:c>
      <x:c r="R26" s="40" t="n">
        <x:v>0.8461538461538461</x:v>
      </x:c>
      <x:c r="S26" s="40" t="n">
        <x:v>0.08967275818104548</x:v>
      </x:c>
      <x:c r="T26" s="31" t="n">
        <x:v>61.824111124766894</x:v>
      </x:c>
      <x:c r="U26" s="31" t="n">
        <x:v>176.25</x:v>
      </x:c>
      <x:c r="V26" s="31" t="n">
        <x:v>16</x:v>
      </x:c>
      <x:c r="W26" s="31" t="n">
        <x:v>2.52167060677699</x:v>
      </x:c>
      <x:c r="X26" s="31" t="n">
        <x:v>5</x:v>
      </x:c>
      <x:c r="Y26" s="40" t="n">
        <x:v>1</x:v>
      </x:c>
      <x:c r="Z26" s="40" t="n">
        <x:v>1</x:v>
      </x:c>
      <x:c r="AA26" s="40" t="n">
        <x:v>0.9753506162345942</x:v>
      </x:c>
      <x:c r="AB26" s="31" t="n">
        <x:v>0.07815845958235385</x:v>
      </x:c>
      <x:c r="AC26" s="31" t="n">
        <x:v>7</x:v>
      </x:c>
      <x:c r="AD26" s="44" t="b">
        <x:v>1</x:v>
      </x:c>
    </x:row>
    <x:row r="27">
      <x:c r="A27" s="31" t="str">
        <x:v>36005004001</x:v>
      </x:c>
      <x:c r="B27" s="31" t="str">
        <x:v>Bronx</x:v>
      </x:c>
      <x:c r="C27" s="31" t="str">
        <x:v>004001</x:v>
      </x:c>
      <x:c r="D27" s="31" t="str">
        <x:v>BX0903</x:v>
      </x:c>
      <x:c r="E27" s="31" t="str">
        <x:v>Castle Hill-Unionport</x:v>
      </x:c>
      <x:c r="F27" s="31" t="n">
        <x:v>0.047537743120480376</x:v>
      </x:c>
      <x:c r="G27" s="31" t="n">
        <x:v>40.82827201948739</x:v>
      </x:c>
      <x:c r="H27" s="31" t="n">
        <x:v>-73.85833530460701</x:v>
      </x:c>
      <x:c r="I27" s="31" t="n">
        <x:v>1739</x:v>
      </x:c>
      <x:c r="J27" s="31" t="n">
        <x:v>36581.45898076508</x:v>
      </x:c>
      <x:c r="K27" s="31"/>
      <x:c r="L27" s="40"/>
      <x:c r="M27" s="40"/>
      <x:c r="N27" s="31" t="n">
        <x:v>195</x:v>
      </x:c>
      <x:c r="O27" s="31" t="n">
        <x:v>539</x:v>
      </x:c>
      <x:c r="P27" s="31" t="n">
        <x:v>5.306289424860854</x:v>
      </x:c>
      <x:c r="Q27" s="40" t="n">
        <x:v>0.24675324675324675</x:v>
      </x:c>
      <x:c r="R27" s="40" t="n">
        <x:v>0.11873840445269017</x:v>
      </x:c>
      <x:c r="S27" s="40" t="n">
        <x:v>0.0074211502782931356</x:v>
      </x:c>
      <x:c r="T27" s="31" t="n">
        <x:v>53.78195379917448</x:v>
      </x:c>
      <x:c r="U27" s="31" t="n">
        <x:v>131.79</x:v>
      </x:c>
      <x:c r="V27" s="31" t="n">
        <x:v>2</x:v>
      </x:c>
      <x:c r="W27" s="31" t="n">
        <x:v>1.1500862564692351</x:v>
      </x:c>
      <x:c r="X27" s="31" t="n">
        <x:v>4</x:v>
      </x:c>
      <x:c r="Y27" s="40" t="n">
        <x:v>1</x:v>
      </x:c>
      <x:c r="Z27" s="40" t="n">
        <x:v>1</x:v>
      </x:c>
      <x:c r="AA27" s="40" t="n">
        <x:v>0.9888682745825603</x:v>
      </x:c>
      <x:c r="AB27" s="31" t="n">
        <x:v>0.06437205799554598</x:v>
      </x:c>
      <x:c r="AC27" s="31" t="n">
        <x:v>5</x:v>
      </x:c>
      <x:c r="AD27" s="44" t="b">
        <x:v>1</x:v>
      </x:c>
    </x:row>
    <x:row r="28">
      <x:c r="A28" s="31" t="str">
        <x:v>36005004100</x:v>
      </x:c>
      <x:c r="B28" s="31" t="str">
        <x:v>Bronx</x:v>
      </x:c>
      <x:c r="C28" s="31" t="str">
        <x:v>004100</x:v>
      </x:c>
      <x:c r="D28" s="31" t="str">
        <x:v>BX0101</x:v>
      </x:c>
      <x:c r="E28" s="31" t="str">
        <x:v>Mott Haven-Port Morris</x:v>
      </x:c>
      <x:c r="F28" s="31" t="n">
        <x:v>0.07094293758070765</x:v>
      </x:c>
      <x:c r="G28" s="31" t="n">
        <x:v>40.81138036714073</x:v>
      </x:c>
      <x:c r="H28" s="31" t="n">
        <x:v>-73.91941487839975</x:v>
      </x:c>
      <x:c r="I28" s="31" t="n">
        <x:v>6146</x:v>
      </x:c>
      <x:c r="J28" s="31" t="n">
        <x:v>86633.00688681031</x:v>
      </x:c>
      <x:c r="K28" s="31"/>
      <x:c r="L28" s="40"/>
      <x:c r="M28" s="40"/>
      <x:c r="N28" s="31" t="n">
        <x:v>155</x:v>
      </x:c>
      <x:c r="O28" s="31" t="n">
        <x:v>2423</x:v>
      </x:c>
      <x:c r="P28" s="31" t="n">
        <x:v>14.044572843582335</x:v>
      </x:c>
      <x:c r="Q28" s="40" t="n">
        <x:v>0.6335121749896823</x:v>
      </x:c>
      <x:c r="R28" s="40" t="n">
        <x:v>0.3206768468840281</x:v>
      </x:c>
      <x:c r="S28" s="40" t="n">
        <x:v>0.5286834502682625</x:v>
      </x:c>
      <x:c r="T28" s="31" t="n">
        <x:v>129.6549761769558</x:v>
      </x:c>
      <x:c r="U28" s="31" t="n">
        <x:v>196</x:v>
      </x:c>
      <x:c r="V28" s="31" t="n">
        <x:v>35</x:v>
      </x:c>
      <x:c r="W28" s="31" t="n">
        <x:v>5.694760820045558</x:v>
      </x:c>
      <x:c r="X28" s="31" t="n">
        <x:v>5</x:v>
      </x:c>
      <x:c r="Y28" s="40" t="n">
        <x:v>1</x:v>
      </x:c>
      <x:c r="Z28" s="40" t="n">
        <x:v>1</x:v>
      </x:c>
      <x:c r="AA28" s="40" t="n">
        <x:v>0.9991745769706974</x:v>
      </x:c>
      <x:c r="AB28" s="31" t="n">
        <x:v>0.09492432086682322</x:v>
      </x:c>
      <x:c r="AC28" s="31" t="n">
        <x:v>6</x:v>
      </x:c>
      <x:c r="AD28" s="44" t="b">
        <x:v>1</x:v>
      </x:c>
    </x:row>
    <x:row r="29">
      <x:c r="A29" s="31" t="str">
        <x:v>36005004200</x:v>
      </x:c>
      <x:c r="B29" s="31" t="str">
        <x:v>Bronx</x:v>
      </x:c>
      <x:c r="C29" s="31" t="str">
        <x:v>004200</x:v>
      </x:c>
      <x:c r="D29" s="31" t="str">
        <x:v>BX0902</x:v>
      </x:c>
      <x:c r="E29" s="31" t="str">
        <x:v>Soundview-Clason Point</x:v>
      </x:c>
      <x:c r="F29" s="31" t="n">
        <x:v>0.18685188291975147</x:v>
      </x:c>
      <x:c r="G29" s="31" t="n">
        <x:v>40.8239252111684</x:v>
      </x:c>
      <x:c r="H29" s="31" t="n">
        <x:v>-73.86202205626499</x:v>
      </x:c>
      <x:c r="I29" s="31" t="n">
        <x:v>7201</x:v>
      </x:c>
      <x:c r="J29" s="31" t="n">
        <x:v>38538.546614982</x:v>
      </x:c>
      <x:c r="K29" s="31"/>
      <x:c r="L29" s="40"/>
      <x:c r="M29" s="40"/>
      <x:c r="N29" s="31" t="n">
        <x:v>59</x:v>
      </x:c>
      <x:c r="O29" s="31" t="n">
        <x:v>2781</x:v>
      </x:c>
      <x:c r="P29" s="31" t="n">
        <x:v>14.877382236605538</x:v>
      </x:c>
      <x:c r="Q29" s="40" t="n">
        <x:v>0.8964401294498382</x:v>
      </x:c>
      <x:c r="R29" s="40" t="n">
        <x:v>0.06616325062927005</x:v>
      </x:c>
      <x:c r="S29" s="40" t="n">
        <x:v>0.6094929881337648</x:v>
      </x:c>
      <x:c r="T29" s="31" t="n">
        <x:v>132.38189859762676</x:v>
      </x:c>
      <x:c r="U29" s="31" t="n">
        <x:v>188.62</x:v>
      </x:c>
      <x:c r="V29" s="31" t="n">
        <x:v>45</x:v>
      </x:c>
      <x:c r="W29" s="31" t="n">
        <x:v>6.249132064990974</x:v>
      </x:c>
      <x:c r="X29" s="31" t="n">
        <x:v>4</x:v>
      </x:c>
      <x:c r="Y29" s="40" t="n">
        <x:v>1</x:v>
      </x:c>
      <x:c r="Z29" s="40" t="n">
        <x:v>1</x:v>
      </x:c>
      <x:c r="AA29" s="40" t="n">
        <x:v>1</x:v>
      </x:c>
      <x:c r="AB29" s="31" t="n">
        <x:v>0.11087792144541819</x:v>
      </x:c>
      <x:c r="AC29" s="31" t="n">
        <x:v>7</x:v>
      </x:c>
      <x:c r="AD29" s="44" t="b">
        <x:v>1</x:v>
      </x:c>
    </x:row>
    <x:row r="30">
      <x:c r="A30" s="31" t="str">
        <x:v>36005004300</x:v>
      </x:c>
      <x:c r="B30" s="31" t="str">
        <x:v>Bronx</x:v>
      </x:c>
      <x:c r="C30" s="31" t="str">
        <x:v>004300</x:v>
      </x:c>
      <x:c r="D30" s="31" t="str">
        <x:v>BX0101</x:v>
      </x:c>
      <x:c r="E30" s="31" t="str">
        <x:v>Mott Haven-Port Morris</x:v>
      </x:c>
      <x:c r="F30" s="31" t="n">
        <x:v>0.087559390790361</x:v>
      </x:c>
      <x:c r="G30" s="31" t="n">
        <x:v>40.81361656628396</x:v>
      </x:c>
      <x:c r="H30" s="31" t="n">
        <x:v>-73.91704938233191</x:v>
      </x:c>
      <x:c r="I30" s="31" t="n">
        <x:v>5883</x:v>
      </x:c>
      <x:c r="J30" s="31" t="n">
        <x:v>67188.68126989792</x:v>
      </x:c>
      <x:c r="K30" s="31"/>
      <x:c r="L30" s="40"/>
      <x:c r="M30" s="40"/>
      <x:c r="N30" s="31" t="n">
        <x:v>264</x:v>
      </x:c>
      <x:c r="O30" s="31" t="n">
        <x:v>2365</x:v>
      </x:c>
      <x:c r="P30" s="31" t="n">
        <x:v>5.521564482029598</x:v>
      </x:c>
      <x:c r="Q30" s="40" t="n">
        <x:v>0.07822410147991543</x:v>
      </x:c>
      <x:c r="R30" s="40" t="n">
        <x:v>0.8363636363636363</x:v>
      </x:c>
      <x:c r="S30" s="40" t="n">
        <x:v>0.13023255813953488</x:v>
      </x:c>
      <x:c r="T30" s="31" t="n">
        <x:v>71.23668922787648</x:v>
      </x:c>
      <x:c r="U30" s="31" t="n">
        <x:v>166.66</x:v>
      </x:c>
      <x:c r="V30" s="31" t="n">
        <x:v>32</x:v>
      </x:c>
      <x:c r="W30" s="31" t="n">
        <x:v>5.43940166581676</x:v>
      </x:c>
      <x:c r="X30" s="31" t="n">
        <x:v>5</x:v>
      </x:c>
      <x:c r="Y30" s="40" t="n">
        <x:v>1</x:v>
      </x:c>
      <x:c r="Z30" s="40" t="n">
        <x:v>1</x:v>
      </x:c>
      <x:c r="AA30" s="40" t="n">
        <x:v>0.9995771670190274</x:v>
      </x:c>
      <x:c r="AB30" s="31" t="n">
        <x:v>0.05283833865615641</x:v>
      </x:c>
      <x:c r="AC30" s="31" t="n">
        <x:v>6</x:v>
      </x:c>
      <x:c r="AD30" s="44" t="b">
        <x:v>1</x:v>
      </x:c>
    </x:row>
    <x:row r="31">
      <x:c r="A31" s="31" t="str">
        <x:v>36005004400</x:v>
      </x:c>
      <x:c r="B31" s="31" t="str">
        <x:v>Bronx</x:v>
      </x:c>
      <x:c r="C31" s="31" t="str">
        <x:v>004400</x:v>
      </x:c>
      <x:c r="D31" s="31" t="str">
        <x:v>BX0901</x:v>
      </x:c>
      <x:c r="E31" s="31" t="str">
        <x:v>Soundview-Bruckner-Bronx River</x:v>
      </x:c>
      <x:c r="F31" s="31" t="n">
        <x:v>0.10296754332386364</x:v>
      </x:c>
      <x:c r="G31" s="31" t="n">
        <x:v>40.82651207291721</x:v>
      </x:c>
      <x:c r="H31" s="31" t="n">
        <x:v>-73.86643976488725</x:v>
      </x:c>
      <x:c r="I31" s="31" t="n">
        <x:v>4642</x:v>
      </x:c>
      <x:c r="J31" s="31" t="n">
        <x:v>45082.167158242526</x:v>
      </x:c>
      <x:c r="K31" s="31"/>
      <x:c r="L31" s="40"/>
      <x:c r="M31" s="40"/>
      <x:c r="N31" s="31" t="n">
        <x:v>84</x:v>
      </x:c>
      <x:c r="O31" s="31" t="n">
        <x:v>1941</x:v>
      </x:c>
      <x:c r="P31" s="31" t="n">
        <x:v>7.447449768160742</x:v>
      </x:c>
      <x:c r="Q31" s="40" t="n">
        <x:v>0.1056156620298815</x:v>
      </x:c>
      <x:c r="R31" s="40" t="n">
        <x:v>0.8480164863472437</x:v>
      </x:c>
      <x:c r="S31" s="40" t="n">
        <x:v>0.7758887171561051</x:v>
      </x:c>
      <x:c r="T31" s="31" t="n">
        <x:v>74.4761532827357</x:v>
      </x:c>
      <x:c r="U31" s="31" t="n">
        <x:v>182</x:v>
      </x:c>
      <x:c r="V31" s="31" t="n">
        <x:v>32</x:v>
      </x:c>
      <x:c r="W31" s="31" t="n">
        <x:v>6.893580353295993</x:v>
      </x:c>
      <x:c r="X31" s="31" t="n">
        <x:v>4</x:v>
      </x:c>
      <x:c r="Y31" s="40" t="n">
        <x:v>1</x:v>
      </x:c>
      <x:c r="Z31" s="40" t="n">
        <x:v>1</x:v>
      </x:c>
      <x:c r="AA31" s="40" t="n">
        <x:v>1</x:v>
      </x:c>
      <x:c r="AB31" s="31" t="n">
        <x:v>0.07558935768957041</x:v>
      </x:c>
      <x:c r="AC31" s="31" t="n">
        <x:v>8</x:v>
      </x:c>
      <x:c r="AD31" s="44" t="b">
        <x:v>1</x:v>
      </x:c>
    </x:row>
    <x:row r="32">
      <x:c r="A32" s="31" t="str">
        <x:v>36005004600</x:v>
      </x:c>
      <x:c r="B32" s="31" t="str">
        <x:v>Bronx</x:v>
      </x:c>
      <x:c r="C32" s="31" t="str">
        <x:v>004600</x:v>
      </x:c>
      <x:c r="D32" s="31" t="str">
        <x:v>BX0902</x:v>
      </x:c>
      <x:c r="E32" s="31" t="str">
        <x:v>Soundview-Clason Point</x:v>
      </x:c>
      <x:c r="F32" s="31" t="n">
        <x:v>0.05147658929995983</x:v>
      </x:c>
      <x:c r="G32" s="31" t="n">
        <x:v>40.822409430220645</x:v>
      </x:c>
      <x:c r="H32" s="31" t="n">
        <x:v>-73.86917644988517</x:v>
      </x:c>
      <x:c r="I32" s="31" t="n">
        <x:v>1976</x:v>
      </x:c>
      <x:c r="J32" s="31" t="n">
        <x:v>38386.38159349734</x:v>
      </x:c>
      <x:c r="K32" s="31"/>
      <x:c r="L32" s="40"/>
      <x:c r="M32" s="40"/>
      <x:c r="N32" s="31" t="n">
        <x:v>40</x:v>
      </x:c>
      <x:c r="O32" s="31" t="n">
        <x:v>694</x:v>
      </x:c>
      <x:c r="P32" s="31" t="n">
        <x:v>8.660302593659942</x:v>
      </x:c>
      <x:c r="Q32" s="40" t="n">
        <x:v>0.34438040345821325</x:v>
      </x:c>
      <x:c r="R32" s="40" t="n">
        <x:v>0.29250720461095103</x:v>
      </x:c>
      <x:c r="S32" s="40" t="n">
        <x:v>0.3515850144092219</x:v>
      </x:c>
      <x:c r="T32" s="31" t="n">
        <x:v>83.48045384164266</x:v>
      </x:c>
      <x:c r="U32" s="31" t="n">
        <x:v>178.11</x:v>
      </x:c>
      <x:c r="V32" s="31" t="n">
        <x:v>2</x:v>
      </x:c>
      <x:c r="W32" s="31" t="n">
        <x:v>1.0121457489878543</x:v>
      </x:c>
      <x:c r="X32" s="31" t="n">
        <x:v>4</x:v>
      </x:c>
      <x:c r="Y32" s="40" t="n">
        <x:v>1</x:v>
      </x:c>
      <x:c r="Z32" s="40" t="n">
        <x:v>1</x:v>
      </x:c>
      <x:c r="AA32" s="40" t="n">
        <x:v>1</x:v>
      </x:c>
      <x:c r="AB32" s="31" t="n">
        <x:v>0.18308460911799349</x:v>
      </x:c>
      <x:c r="AC32" s="31" t="n">
        <x:v>6</x:v>
      </x:c>
      <x:c r="AD32" s="44" t="b">
        <x:v>1</x:v>
      </x:c>
    </x:row>
    <x:row r="33">
      <x:c r="A33" s="31" t="str">
        <x:v>36005004800</x:v>
      </x:c>
      <x:c r="B33" s="31" t="str">
        <x:v>Bronx</x:v>
      </x:c>
      <x:c r="C33" s="31" t="str">
        <x:v>004800</x:v>
      </x:c>
      <x:c r="D33" s="31" t="str">
        <x:v>BX0901</x:v>
      </x:c>
      <x:c r="E33" s="31" t="str">
        <x:v>Soundview-Bruckner-Bronx River</x:v>
      </x:c>
      <x:c r="F33" s="31" t="n">
        <x:v>0.05740676982466713</x:v>
      </x:c>
      <x:c r="G33" s="31" t="n">
        <x:v>40.827014497368424</x:v>
      </x:c>
      <x:c r="H33" s="31" t="n">
        <x:v>-73.8743251849863</x:v>
      </x:c>
      <x:c r="I33" s="31" t="n">
        <x:v>4184</x:v>
      </x:c>
      <x:c r="J33" s="31" t="n">
        <x:v>72883.3901084986</x:v>
      </x:c>
      <x:c r="K33" s="31"/>
      <x:c r="L33" s="40"/>
      <x:c r="M33" s="40"/>
      <x:c r="N33" s="31" t="n">
        <x:v>99</x:v>
      </x:c>
      <x:c r="O33" s="31" t="n">
        <x:v>1349</x:v>
      </x:c>
      <x:c r="P33" s="31" t="n">
        <x:v>5.255744996293551</x:v>
      </x:c>
      <x:c r="Q33" s="40" t="n">
        <x:v>0.07783543365455893</x:v>
      </x:c>
      <x:c r="R33" s="40" t="n">
        <x:v>0.7909562638991846</x:v>
      </x:c>
      <x:c r="S33" s="40" t="n">
        <x:v>0.0014825796886582653</x:v>
      </x:c>
      <x:c r="T33" s="31" t="n">
        <x:v>58.74694588584137</x:v>
      </x:c>
      <x:c r="U33" s="31" t="n">
        <x:v>123.73</x:v>
      </x:c>
      <x:c r="V33" s="31" t="n">
        <x:v>10</x:v>
      </x:c>
      <x:c r="W33" s="31" t="n">
        <x:v>2.390057361376673</x:v>
      </x:c>
      <x:c r="X33" s="31" t="n">
        <x:v>4</x:v>
      </x:c>
      <x:c r="Y33" s="40" t="n">
        <x:v>1</x:v>
      </x:c>
      <x:c r="Z33" s="40" t="n">
        <x:v>1</x:v>
      </x:c>
      <x:c r="AA33" s="40" t="n">
        <x:v>1</x:v>
      </x:c>
      <x:c r="AB33" s="31" t="n">
        <x:v>0.14154983522054113</x:v>
      </x:c>
      <x:c r="AC33" s="31" t="n">
        <x:v>9</x:v>
      </x:c>
      <x:c r="AD33" s="44" t="b">
        <x:v>1</x:v>
      </x:c>
    </x:row>
    <x:row r="34">
      <x:c r="A34" s="31" t="str">
        <x:v>36005005001</x:v>
      </x:c>
      <x:c r="B34" s="31" t="str">
        <x:v>Bronx</x:v>
      </x:c>
      <x:c r="C34" s="31" t="str">
        <x:v>005001</x:v>
      </x:c>
      <x:c r="D34" s="31" t="str">
        <x:v>BX0901</x:v>
      </x:c>
      <x:c r="E34" s="31" t="str">
        <x:v>Soundview-Bruckner-Bronx River</x:v>
      </x:c>
      <x:c r="F34" s="31" t="n">
        <x:v>0.037792854375071745</x:v>
      </x:c>
      <x:c r="G34" s="31" t="n">
        <x:v>40.824997211318056</x:v>
      </x:c>
      <x:c r="H34" s="31" t="n">
        <x:v>-73.87785355676986</x:v>
      </x:c>
      <x:c r="I34" s="31" t="n">
        <x:v>4960</x:v>
      </x:c>
      <x:c r="J34" s="31" t="n">
        <x:v>131241.7408533087</x:v>
      </x:c>
      <x:c r="K34" s="31"/>
      <x:c r="L34" s="40"/>
      <x:c r="M34" s="40"/>
      <x:c r="N34" s="31" t="n">
        <x:v>214</x:v>
      </x:c>
      <x:c r="O34" s="31" t="n">
        <x:v>1855</x:v>
      </x:c>
      <x:c r="P34" s="31" t="n">
        <x:v>5.142857142857143</x:v>
      </x:c>
      <x:c r="Q34" s="40" t="n">
        <x:v>0.056064690026954175</x:v>
      </x:c>
      <x:c r="R34" s="40" t="n">
        <x:v>0.7417789757412399</x:v>
      </x:c>
      <x:c r="S34" s="40" t="n">
        <x:v>0</x:v>
      </x:c>
      <x:c r="T34" s="31" t="n">
        <x:v>53.10147961681395</x:v>
      </x:c>
      <x:c r="U34" s="31" t="n">
        <x:v>121.62</x:v>
      </x:c>
      <x:c r="V34" s="31" t="n">
        <x:v>17</x:v>
      </x:c>
      <x:c r="W34" s="31" t="n">
        <x:v>3.42741935483871</x:v>
      </x:c>
      <x:c r="X34" s="31" t="n">
        <x:v>4</x:v>
      </x:c>
      <x:c r="Y34" s="40" t="n">
        <x:v>1</x:v>
      </x:c>
      <x:c r="Z34" s="40" t="n">
        <x:v>1</x:v>
      </x:c>
      <x:c r="AA34" s="40" t="n">
        <x:v>0.9272237196765498</x:v>
      </x:c>
      <x:c r="AB34" s="31" t="n">
        <x:v>0.05750784186625425</x:v>
      </x:c>
      <x:c r="AC34" s="31" t="n">
        <x:v>4</x:v>
      </x:c>
      <x:c r="AD34" s="44" t="b">
        <x:v>1</x:v>
      </x:c>
    </x:row>
    <x:row r="35">
      <x:c r="A35" s="31" t="str">
        <x:v>36005005002</x:v>
      </x:c>
      <x:c r="B35" s="31" t="str">
        <x:v>Bronx</x:v>
      </x:c>
      <x:c r="C35" s="31" t="str">
        <x:v>005002</x:v>
      </x:c>
      <x:c r="D35" s="31" t="str">
        <x:v>BX0901</x:v>
      </x:c>
      <x:c r="E35" s="31" t="str">
        <x:v>Soundview-Bruckner-Bronx River</x:v>
      </x:c>
      <x:c r="F35" s="31" t="n">
        <x:v>0.04398499835643366</x:v>
      </x:c>
      <x:c r="G35" s="31" t="n">
        <x:v>40.827363093769996</x:v>
      </x:c>
      <x:c r="H35" s="31" t="n">
        <x:v>-73.87843467971547</x:v>
      </x:c>
      <x:c r="I35" s="31" t="n">
        <x:v>6518</x:v>
      </x:c>
      <x:c r="J35" s="31" t="n">
        <x:v>148186.8874287821</x:v>
      </x:c>
      <x:c r="K35" s="31"/>
      <x:c r="L35" s="40"/>
      <x:c r="M35" s="40"/>
      <x:c r="N35" s="31" t="n">
        <x:v>178</x:v>
      </x:c>
      <x:c r="O35" s="31" t="n">
        <x:v>2001</x:v>
      </x:c>
      <x:c r="P35" s="31" t="n">
        <x:v>4.606196901549225</x:v>
      </x:c>
      <x:c r="Q35" s="40" t="n">
        <x:v>0</x:v>
      </x:c>
      <x:c r="R35" s="40" t="n">
        <x:v>0.7216391804097951</x:v>
      </x:c>
      <x:c r="S35" s="40" t="n">
        <x:v>0</x:v>
      </x:c>
      <x:c r="T35" s="31" t="n">
        <x:v>55.184694951139434</x:v>
      </x:c>
      <x:c r="U35" s="31" t="n">
        <x:v>80.28</x:v>
      </x:c>
      <x:c r="V35" s="31" t="n">
        <x:v>21</x:v>
      </x:c>
      <x:c r="W35" s="31" t="n">
        <x:v>3.2218471923903036</x:v>
      </x:c>
      <x:c r="X35" s="31" t="n">
        <x:v>4</x:v>
      </x:c>
      <x:c r="Y35" s="40" t="n">
        <x:v>1</x:v>
      </x:c>
      <x:c r="Z35" s="40" t="n">
        <x:v>1</x:v>
      </x:c>
      <x:c r="AA35" s="40" t="n">
        <x:v>1</x:v>
      </x:c>
      <x:c r="AB35" s="31" t="n">
        <x:v>0.10990140059086213</x:v>
      </x:c>
      <x:c r="AC35" s="31" t="n">
        <x:v>4</x:v>
      </x:c>
      <x:c r="AD35" s="44" t="b">
        <x:v>1</x:v>
      </x:c>
    </x:row>
    <x:row r="36">
      <x:c r="A36" s="31" t="str">
        <x:v>36005005100</x:v>
      </x:c>
      <x:c r="B36" s="31" t="str">
        <x:v>Bronx</x:v>
      </x:c>
      <x:c r="C36" s="31" t="str">
        <x:v>005100</x:v>
      </x:c>
      <x:c r="D36" s="31" t="str">
        <x:v>BX0101</x:v>
      </x:c>
      <x:c r="E36" s="31" t="str">
        <x:v>Mott Haven-Port Morris</x:v>
      </x:c>
      <x:c r="F36" s="31" t="n">
        <x:v>0.19777506192033978</x:v>
      </x:c>
      <x:c r="G36" s="31" t="n">
        <x:v>40.81319371668956</x:v>
      </x:c>
      <x:c r="H36" s="31" t="n">
        <x:v>-73.92758973018947</x:v>
      </x:c>
      <x:c r="I36" s="31" t="n">
        <x:v>6459</x:v>
      </x:c>
      <x:c r="J36" s="31" t="n">
        <x:v>32658.313628042593</x:v>
      </x:c>
      <x:c r="K36" s="31"/>
      <x:c r="L36" s="40"/>
      <x:c r="M36" s="40"/>
      <x:c r="N36" s="31" t="n">
        <x:v>32</x:v>
      </x:c>
      <x:c r="O36" s="31" t="n">
        <x:v>4293</x:v>
      </x:c>
      <x:c r="P36" s="31" t="n">
        <x:v>15.728395061728396</x:v>
      </x:c>
      <x:c r="Q36" s="40" t="n">
        <x:v>0.8327509899836943</x:v>
      </x:c>
      <x:c r="R36" s="40" t="n">
        <x:v>0.16701607267645002</x:v>
      </x:c>
      <x:c r="S36" s="40" t="n">
        <x:v>0.4183554623806196</x:v>
      </x:c>
      <x:c r="T36" s="31" t="n">
        <x:v>165.63255559182056</x:v>
      </x:c>
      <x:c r="U36" s="31" t="n">
        <x:v>287</x:v>
      </x:c>
      <x:c r="V36" s="31" t="n">
        <x:v>86</x:v>
      </x:c>
      <x:c r="W36" s="31" t="n">
        <x:v>13.314754605976159</x:v>
      </x:c>
      <x:c r="X36" s="31" t="n">
        <x:v>5</x:v>
      </x:c>
      <x:c r="Y36" s="40" t="n">
        <x:v>1</x:v>
      </x:c>
      <x:c r="Z36" s="40" t="n">
        <x:v>1</x:v>
      </x:c>
      <x:c r="AA36" s="40" t="n">
        <x:v>0.9711157698579083</x:v>
      </x:c>
      <x:c r="AB36" s="31" t="n">
        <x:v>0.022506864454402576</x:v>
      </x:c>
      <x:c r="AC36" s="31" t="n">
        <x:v>8</x:v>
      </x:c>
      <x:c r="AD36" s="44" t="b">
        <x:v>1</x:v>
      </x:c>
    </x:row>
    <x:row r="37">
      <x:c r="A37" s="31" t="str">
        <x:v>36005005200</x:v>
      </x:c>
      <x:c r="B37" s="31" t="str">
        <x:v>Bronx</x:v>
      </x:c>
      <x:c r="C37" s="31" t="str">
        <x:v>005200</x:v>
      </x:c>
      <x:c r="D37" s="31" t="str">
        <x:v>BX0901</x:v>
      </x:c>
      <x:c r="E37" s="31" t="str">
        <x:v>Soundview-Bruckner-Bronx River</x:v>
      </x:c>
      <x:c r="F37" s="31" t="n">
        <x:v>0.07214732950671487</x:v>
      </x:c>
      <x:c r="G37" s="31" t="n">
        <x:v>40.825622008599844</x:v>
      </x:c>
      <x:c r="H37" s="31" t="n">
        <x:v>-73.88247717611635</x:v>
      </x:c>
      <x:c r="I37" s="31" t="n">
        <x:v>2130</x:v>
      </x:c>
      <x:c r="J37" s="31" t="n">
        <x:v>29522.922255934052</x:v>
      </x:c>
      <x:c r="K37" s="31"/>
      <x:c r="L37" s="40"/>
      <x:c r="M37" s="40"/>
      <x:c r="N37" s="31" t="n">
        <x:v>80</x:v>
      </x:c>
      <x:c r="O37" s="31" t="n">
        <x:v>974</x:v>
      </x:c>
      <x:c r="P37" s="31" t="n">
        <x:v>4.1242299794661195</x:v>
      </x:c>
      <x:c r="Q37" s="40" t="n">
        <x:v>0</x:v>
      </x:c>
      <x:c r="R37" s="40" t="n">
        <x:v>0.8193018480492813</x:v>
      </x:c>
      <x:c r="S37" s="40" t="n">
        <x:v>0.1591375770020534</x:v>
      </x:c>
      <x:c r="T37" s="31" t="n">
        <x:v>40.840842754367934</x:v>
      </x:c>
      <x:c r="U37" s="31" t="n">
        <x:v>61.56</x:v>
      </x:c>
      <x:c r="V37" s="31" t="n">
        <x:v>6</x:v>
      </x:c>
      <x:c r="W37" s="31" t="n">
        <x:v>2.8169014084507045</x:v>
      </x:c>
      <x:c r="X37" s="31" t="n">
        <x:v>4</x:v>
      </x:c>
      <x:c r="Y37" s="40" t="n">
        <x:v>1</x:v>
      </x:c>
      <x:c r="Z37" s="40" t="n">
        <x:v>1</x:v>
      </x:c>
      <x:c r="AA37" s="40" t="n">
        <x:v>0.9989733059548255</x:v>
      </x:c>
      <x:c r="AB37" s="31" t="n">
        <x:v>0.15425078658169836</x:v>
      </x:c>
      <x:c r="AC37" s="31" t="n">
        <x:v>6</x:v>
      </x:c>
      <x:c r="AD37" s="44" t="b">
        <x:v>1</x:v>
      </x:c>
    </x:row>
    <x:row r="38">
      <x:c r="A38" s="31" t="str">
        <x:v>36005005300</x:v>
      </x:c>
      <x:c r="B38" s="31" t="str">
        <x:v>Bronx</x:v>
      </x:c>
      <x:c r="C38" s="31" t="str">
        <x:v>005300</x:v>
      </x:c>
      <x:c r="D38" s="31" t="str">
        <x:v>BX0501</x:v>
      </x:c>
      <x:c r="E38" s="31" t="str">
        <x:v>University Heights (South)-Morris Heights</x:v>
      </x:c>
      <x:c r="F38" s="31" t="n">
        <x:v>0.03257538015499455</x:v>
      </x:c>
      <x:c r="G38" s="31" t="n">
        <x:v>40.85219886377625</x:v>
      </x:c>
      <x:c r="H38" s="31" t="n">
        <x:v>-73.92197807665156</x:v>
      </x:c>
      <x:c r="I38" s="31" t="n">
        <x:v>4371</x:v>
      </x:c>
      <x:c r="J38" s="31" t="n">
        <x:v>134181.08949773302</x:v>
      </x:c>
      <x:c r="K38" s="31"/>
      <x:c r="L38" s="40"/>
      <x:c r="M38" s="40"/>
      <x:c r="N38" s="31" t="n">
        <x:v>1</x:v>
      </x:c>
      <x:c r="O38" s="31" t="n">
        <x:v>1654</x:v>
      </x:c>
      <x:c r="P38" s="31" t="n">
        <x:v>44</x:v>
      </x:c>
      <x:c r="Q38" s="40" t="n">
        <x:v>1</x:v>
      </x:c>
      <x:c r="R38" s="40" t="n">
        <x:v>0</x:v>
      </x:c>
      <x:c r="S38" s="40" t="n">
        <x:v>1</x:v>
      </x:c>
      <x:c r="T38" s="31" t="n">
        <x:v>450</x:v>
      </x:c>
      <x:c r="U38" s="31" t="n">
        <x:v>450</x:v>
      </x:c>
      <x:c r="V38" s="31" t="n">
        <x:v>17</x:v>
      </x:c>
      <x:c r="W38" s="31" t="n">
        <x:v>3.889270189887897</x:v>
      </x:c>
      <x:c r="X38" s="31" t="n">
        <x:v>5</x:v>
      </x:c>
      <x:c r="Y38" s="40" t="n">
        <x:v>1</x:v>
      </x:c>
      <x:c r="Z38" s="40" t="n">
        <x:v>1</x:v>
      </x:c>
      <x:c r="AA38" s="40" t="n">
        <x:v>1</x:v>
      </x:c>
      <x:c r="AB38" s="31" t="n">
        <x:v>0.08880578963692157</x:v>
      </x:c>
      <x:c r="AC38" s="31" t="n">
        <x:v>3</x:v>
      </x:c>
      <x:c r="AD38" s="44" t="b">
        <x:v>1</x:v>
      </x:c>
    </x:row>
    <x:row r="39">
      <x:c r="A39" s="31" t="str">
        <x:v>36005005400</x:v>
      </x:c>
      <x:c r="B39" s="31" t="str">
        <x:v>Bronx</x:v>
      </x:c>
      <x:c r="C39" s="31" t="str">
        <x:v>005400</x:v>
      </x:c>
      <x:c r="D39" s="31" t="str">
        <x:v>BX0901</x:v>
      </x:c>
      <x:c r="E39" s="31" t="str">
        <x:v>Soundview-Bruckner-Bronx River</x:v>
      </x:c>
      <x:c r="F39" s="31" t="n">
        <x:v>0.07646897094130223</x:v>
      </x:c>
      <x:c r="G39" s="31" t="n">
        <x:v>40.829906358926024</x:v>
      </x:c>
      <x:c r="H39" s="31" t="n">
        <x:v>-73.87974140476572</x:v>
      </x:c>
      <x:c r="I39" s="31" t="n">
        <x:v>6804</x:v>
      </x:c>
      <x:c r="J39" s="31" t="n">
        <x:v>88977.26641597894</x:v>
      </x:c>
      <x:c r="K39" s="31"/>
      <x:c r="L39" s="40"/>
      <x:c r="M39" s="40"/>
      <x:c r="N39" s="31" t="n">
        <x:v>398</x:v>
      </x:c>
      <x:c r="O39" s="31" t="n">
        <x:v>1773</x:v>
      </x:c>
      <x:c r="P39" s="31" t="n">
        <x:v>3.4506486181613085</x:v>
      </x:c>
      <x:c r="Q39" s="40" t="n">
        <x:v>0</x:v>
      </x:c>
      <x:c r="R39" s="40" t="n">
        <x:v>0.5482233502538071</x:v>
      </x:c>
      <x:c r="S39" s="40" t="n">
        <x:v>0</x:v>
      </x:c>
      <x:c r="T39" s="31" t="n">
        <x:v>41.422780597856736</x:v>
      </x:c>
      <x:c r="U39" s="31" t="n">
        <x:v>66.74</x:v>
      </x:c>
      <x:c r="V39" s="31" t="n">
        <x:v>5</x:v>
      </x:c>
      <x:c r="W39" s="31" t="n">
        <x:v>0.7348618459729571</x:v>
      </x:c>
      <x:c r="X39" s="31" t="n">
        <x:v>4</x:v>
      </x:c>
      <x:c r="Y39" s="40" t="n">
        <x:v>1</x:v>
      </x:c>
      <x:c r="Z39" s="40" t="n">
        <x:v>1</x:v>
      </x:c>
      <x:c r="AA39" s="40" t="n">
        <x:v>1</x:v>
      </x:c>
      <x:c r="AB39" s="31" t="n">
        <x:v>0.15230941327880126</x:v>
      </x:c>
      <x:c r="AC39" s="31" t="n">
        <x:v>7</x:v>
      </x:c>
      <x:c r="AD39" s="44" t="b">
        <x:v>1</x:v>
      </x:c>
    </x:row>
    <x:row r="40">
      <x:c r="A40" s="31" t="str">
        <x:v>36005005600</x:v>
      </x:c>
      <x:c r="B40" s="31" t="str">
        <x:v>Bronx</x:v>
      </x:c>
      <x:c r="C40" s="31" t="str">
        <x:v>005600</x:v>
      </x:c>
      <x:c r="D40" s="31" t="str">
        <x:v>BX0901</x:v>
      </x:c>
      <x:c r="E40" s="31" t="str">
        <x:v>Soundview-Bruckner-Bronx River</x:v>
      </x:c>
      <x:c r="F40" s="31" t="n">
        <x:v>0.05428254210822716</x:v>
      </x:c>
      <x:c r="G40" s="31" t="n">
        <x:v>40.832620390322774</x:v>
      </x:c>
      <x:c r="H40" s="31" t="n">
        <x:v>-73.87914525800919</x:v>
      </x:c>
      <x:c r="I40" s="31" t="n">
        <x:v>2863</x:v>
      </x:c>
      <x:c r="J40" s="31" t="n">
        <x:v>52742.55568745884</x:v>
      </x:c>
      <x:c r="K40" s="31"/>
      <x:c r="L40" s="40"/>
      <x:c r="M40" s="40"/>
      <x:c r="N40" s="31" t="n">
        <x:v>180</x:v>
      </x:c>
      <x:c r="O40" s="31" t="n">
        <x:v>967</x:v>
      </x:c>
      <x:c r="P40" s="31" t="n">
        <x:v>5.014477766287487</x:v>
      </x:c>
      <x:c r="Q40" s="40" t="n">
        <x:v>0.16649431230610134</x:v>
      </x:c>
      <x:c r="R40" s="40" t="n">
        <x:v>0.3578076525336091</x:v>
      </x:c>
      <x:c r="S40" s="40" t="n">
        <x:v>0.007238883143743537</x:v>
      </x:c>
      <x:c r="T40" s="31" t="n">
        <x:v>51.8800401429576</x:v>
      </x:c>
      <x:c r="U40" s="31" t="n">
        <x:v>121.3</x:v>
      </x:c>
      <x:c r="V40" s="31" t="n">
        <x:v>5</x:v>
      </x:c>
      <x:c r="W40" s="31" t="n">
        <x:v>1.7464198393293748</x:v>
      </x:c>
      <x:c r="X40" s="31" t="n">
        <x:v>4</x:v>
      </x:c>
      <x:c r="Y40" s="40" t="n">
        <x:v>1</x:v>
      </x:c>
      <x:c r="Z40" s="40" t="n">
        <x:v>1</x:v>
      </x:c>
      <x:c r="AA40" s="40" t="n">
        <x:v>1</x:v>
      </x:c>
      <x:c r="AB40" s="31" t="n">
        <x:v>0.05305502372949571</x:v>
      </x:c>
      <x:c r="AC40" s="31" t="n">
        <x:v>4</x:v>
      </x:c>
      <x:c r="AD40" s="44" t="b">
        <x:v>1</x:v>
      </x:c>
    </x:row>
    <x:row r="41">
      <x:c r="A41" s="31" t="str">
        <x:v>36005005902</x:v>
      </x:c>
      <x:c r="B41" s="31" t="str">
        <x:v>Bronx</x:v>
      </x:c>
      <x:c r="C41" s="31" t="str">
        <x:v>005902</x:v>
      </x:c>
      <x:c r="D41" s="31" t="str">
        <x:v>BX0401</x:v>
      </x:c>
      <x:c r="E41" s="31" t="str">
        <x:v>Concourse-Concourse Village</x:v>
      </x:c>
      <x:c r="F41" s="31" t="n">
        <x:v>0.027433949828074785</x:v>
      </x:c>
      <x:c r="G41" s="31" t="n">
        <x:v>40.82407603416825</x:v>
      </x:c>
      <x:c r="H41" s="31" t="n">
        <x:v>-73.92345492646888</x:v>
      </x:c>
      <x:c r="I41" s="31" t="n">
        <x:v>2577</x:v>
      </x:c>
      <x:c r="J41" s="31" t="n">
        <x:v>93934.70558012041</x:v>
      </x:c>
      <x:c r="K41" s="31"/>
      <x:c r="L41" s="40"/>
      <x:c r="M41" s="40"/>
      <x:c r="N41" s="31" t="n">
        <x:v>12</x:v>
      </x:c>
      <x:c r="O41" s="31" t="n">
        <x:v>1394</x:v>
      </x:c>
      <x:c r="P41" s="31" t="n">
        <x:v>7.600430416068867</x:v>
      </x:c>
      <x:c r="Q41" s="40" t="n">
        <x:v>0.19010043041606886</x:v>
      </x:c>
      <x:c r="R41" s="40" t="n">
        <x:v>0.8098995695839312</x:v>
      </x:c>
      <x:c r="S41" s="40" t="n">
        <x:v>0.19010043041606886</x:v>
      </x:c>
      <x:c r="T41" s="31" t="n">
        <x:v>82.55226685796269</x:v>
      </x:c>
      <x:c r="U41" s="31" t="n">
        <x:v>134</x:v>
      </x:c>
      <x:c r="V41" s="31" t="n">
        <x:v>24</x:v>
      </x:c>
      <x:c r="W41" s="31" t="n">
        <x:v>9.313154831199068</x:v>
      </x:c>
      <x:c r="X41" s="31" t="n">
        <x:v>5</x:v>
      </x:c>
      <x:c r="Y41" s="40" t="n">
        <x:v>1</x:v>
      </x:c>
      <x:c r="Z41" s="40" t="n">
        <x:v>1</x:v>
      </x:c>
      <x:c r="AA41" s="40" t="n">
        <x:v>1</x:v>
      </x:c>
      <x:c r="AB41" s="31" t="n">
        <x:v>0.07790159403395244</x:v>
      </x:c>
      <x:c r="AC41" s="31" t="n">
        <x:v>5</x:v>
      </x:c>
      <x:c r="AD41" s="44" t="b">
        <x:v>1</x:v>
      </x:c>
    </x:row>
    <x:row r="42">
      <x:c r="A42" s="31" t="str">
        <x:v>36005006000</x:v>
      </x:c>
      <x:c r="B42" s="31" t="str">
        <x:v>Bronx</x:v>
      </x:c>
      <x:c r="C42" s="31" t="str">
        <x:v>006000</x:v>
      </x:c>
      <x:c r="D42" s="31" t="str">
        <x:v>BX0601</x:v>
      </x:c>
      <x:c r="E42" s="31" t="str">
        <x:v>West Farms</x:v>
      </x:c>
      <x:c r="F42" s="31" t="n">
        <x:v>0.13068819206267218</x:v>
      </x:c>
      <x:c r="G42" s="31" t="n">
        <x:v>40.83763847875949</x:v>
      </x:c>
      <x:c r="H42" s="31" t="n">
        <x:v>-73.87777378825741</x:v>
      </x:c>
      <x:c r="I42" s="31" t="n">
        <x:v>1262</x:v>
      </x:c>
      <x:c r="J42" s="31" t="n">
        <x:v>9656.572488161757</x:v>
      </x:c>
      <x:c r="K42" s="31"/>
      <x:c r="L42" s="40"/>
      <x:c r="M42" s="40"/>
      <x:c r="N42" s="31" t="n">
        <x:v>53</x:v>
      </x:c>
      <x:c r="O42" s="31" t="n">
        <x:v>442</x:v>
      </x:c>
      <x:c r="P42" s="31" t="n">
        <x:v>4.830882352941177</x:v>
      </x:c>
      <x:c r="Q42" s="40" t="n">
        <x:v>0.08144796380090498</x:v>
      </x:c>
      <x:c r="R42" s="40" t="n">
        <x:v>0.5542986425339367</x:v>
      </x:c>
      <x:c r="S42" s="40" t="n">
        <x:v>0</x:v>
      </x:c>
      <x:c r="T42" s="31" t="n">
        <x:v>56.602751786085975</x:v>
      </x:c>
      <x:c r="U42" s="31" t="n">
        <x:v>95</x:v>
      </x:c>
      <x:c r="V42" s="31" t="n">
        <x:v>5</x:v>
      </x:c>
      <x:c r="W42" s="31" t="n">
        <x:v>3.9619651347068148</x:v>
      </x:c>
      <x:c r="X42" s="31" t="n">
        <x:v>5</x:v>
      </x:c>
      <x:c r="Y42" s="40" t="n">
        <x:v>1</x:v>
      </x:c>
      <x:c r="Z42" s="40" t="n">
        <x:v>1</x:v>
      </x:c>
      <x:c r="AA42" s="40" t="n">
        <x:v>1</x:v>
      </x:c>
      <x:c r="AB42" s="31" t="n">
        <x:v>0.1570833794825921</x:v>
      </x:c>
      <x:c r="AC42" s="31" t="n">
        <x:v>9</x:v>
      </x:c>
      <x:c r="AD42" s="44" t="b">
        <x:v>1</x:v>
      </x:c>
    </x:row>
    <x:row r="43">
      <x:c r="A43" s="31" t="str">
        <x:v>36005006100</x:v>
      </x:c>
      <x:c r="B43" s="31" t="str">
        <x:v>Bronx</x:v>
      </x:c>
      <x:c r="C43" s="31" t="str">
        <x:v>006100</x:v>
      </x:c>
      <x:c r="D43" s="31" t="str">
        <x:v>BX0401</x:v>
      </x:c>
      <x:c r="E43" s="31" t="str">
        <x:v>Concourse-Concourse Village</x:v>
      </x:c>
      <x:c r="F43" s="31" t="n">
        <x:v>0.09374566441187443</x:v>
      </x:c>
      <x:c r="G43" s="31" t="n">
        <x:v>40.82225151966181</x:v>
      </x:c>
      <x:c r="H43" s="31" t="n">
        <x:v>-73.92266492274668</x:v>
      </x:c>
      <x:c r="I43" s="31" t="n">
        <x:v>3444</x:v>
      </x:c>
      <x:c r="J43" s="31" t="n">
        <x:v>36737.69898166897</x:v>
      </x:c>
      <x:c r="K43" s="31"/>
      <x:c r="L43" s="40"/>
      <x:c r="M43" s="40"/>
      <x:c r="N43" s="31" t="n">
        <x:v>3</x:v>
      </x:c>
      <x:c r="O43" s="31" t="n">
        <x:v>940</x:v>
      </x:c>
      <x:c r="P43" s="31" t="n">
        <x:v>24.91063829787234</x:v>
      </x:c>
      <x:c r="Q43" s="40" t="n">
        <x:v>0.9957446808510638</x:v>
      </x:c>
      <x:c r="R43" s="40" t="n">
        <x:v>0.00425531914893617</x:v>
      </x:c>
      <x:c r="S43" s="40" t="n">
        <x:v>0.9957446808510638</x:v>
      </x:c>
      <x:c r="T43" s="31" t="n">
        <x:v>218.72144680851065</x:v>
      </x:c>
      <x:c r="U43" s="31" t="n">
        <x:v>219.43</x:v>
      </x:c>
      <x:c r="V43" s="31" t="n">
        <x:v>9</x:v>
      </x:c>
      <x:c r="W43" s="31" t="n">
        <x:v>2.613240418118467</x:v>
      </x:c>
      <x:c r="X43" s="31" t="n">
        <x:v>5</x:v>
      </x:c>
      <x:c r="Y43" s="40" t="n">
        <x:v>1</x:v>
      </x:c>
      <x:c r="Z43" s="40" t="n">
        <x:v>1</x:v>
      </x:c>
      <x:c r="AA43" s="40" t="n">
        <x:v>1</x:v>
      </x:c>
      <x:c r="AB43" s="31" t="n">
        <x:v>0.041024619950941664</x:v>
      </x:c>
      <x:c r="AC43" s="31" t="n">
        <x:v>9</x:v>
      </x:c>
      <x:c r="AD43" s="44" t="b">
        <x:v>1</x:v>
      </x:c>
    </x:row>
    <x:row r="44">
      <x:c r="A44" s="31" t="str">
        <x:v>36005006200</x:v>
      </x:c>
      <x:c r="B44" s="31" t="str">
        <x:v>Bronx</x:v>
      </x:c>
      <x:c r="C44" s="31" t="str">
        <x:v>006200</x:v>
      </x:c>
      <x:c r="D44" s="31" t="str">
        <x:v>BX0901</x:v>
      </x:c>
      <x:c r="E44" s="31" t="str">
        <x:v>Soundview-Bruckner-Bronx River</x:v>
      </x:c>
      <x:c r="F44" s="31" t="n">
        <x:v>0.07442776360874369</x:v>
      </x:c>
      <x:c r="G44" s="31" t="n">
        <x:v>40.83328583032851</x:v>
      </x:c>
      <x:c r="H44" s="31" t="n">
        <x:v>-73.87551409585389</x:v>
      </x:c>
      <x:c r="I44" s="31" t="n">
        <x:v>6769</x:v>
      </x:c>
      <x:c r="J44" s="31" t="n">
        <x:v>90947.24430501074</x:v>
      </x:c>
      <x:c r="K44" s="31"/>
      <x:c r="L44" s="40"/>
      <x:c r="M44" s="40"/>
      <x:c r="N44" s="31" t="n">
        <x:v>149</x:v>
      </x:c>
      <x:c r="O44" s="31" t="n">
        <x:v>2345</x:v>
      </x:c>
      <x:c r="P44" s="31" t="n">
        <x:v>10.098933901918976</x:v>
      </x:c>
      <x:c r="Q44" s="40" t="n">
        <x:v>0.6537313432835821</x:v>
      </x:c>
      <x:c r="R44" s="40" t="n">
        <x:v>0.1812366737739872</x:v>
      </x:c>
      <x:c r="S44" s="40" t="n">
        <x:v>0.5330490405117271</x:v>
      </x:c>
      <x:c r="T44" s="31" t="n">
        <x:v>96.32823650697655</x:v>
      </x:c>
      <x:c r="U44" s="31" t="n">
        <x:v>135.66264985</x:v>
      </x:c>
      <x:c r="V44" s="31" t="n">
        <x:v>29</x:v>
      </x:c>
      <x:c r="W44" s="31" t="n">
        <x:v>4.2842369626237256</x:v>
      </x:c>
      <x:c r="X44" s="31" t="n">
        <x:v>4</x:v>
      </x:c>
      <x:c r="Y44" s="40" t="n">
        <x:v>1</x:v>
      </x:c>
      <x:c r="Z44" s="40" t="n">
        <x:v>1</x:v>
      </x:c>
      <x:c r="AA44" s="40" t="n">
        <x:v>1</x:v>
      </x:c>
      <x:c r="AB44" s="31" t="n">
        <x:v>0.10317757660429869</x:v>
      </x:c>
      <x:c r="AC44" s="31" t="n">
        <x:v>7</x:v>
      </x:c>
      <x:c r="AD44" s="44" t="b">
        <x:v>1</x:v>
      </x:c>
    </x:row>
    <x:row r="45">
      <x:c r="A45" s="31" t="str">
        <x:v>36005006301</x:v>
      </x:c>
      <x:c r="B45" s="31" t="str">
        <x:v>Bronx</x:v>
      </x:c>
      <x:c r="C45" s="31" t="str">
        <x:v>006301</x:v>
      </x:c>
      <x:c r="D45" s="31" t="str">
        <x:v>BX0401</x:v>
      </x:c>
      <x:c r="E45" s="31" t="str">
        <x:v>Concourse-Concourse Village</x:v>
      </x:c>
      <x:c r="F45" s="31" t="n">
        <x:v>0.30780089907562846</x:v>
      </x:c>
      <x:c r="G45" s="31" t="n">
        <x:v>40.82180512875206</x:v>
      </x:c>
      <x:c r="H45" s="31" t="n">
        <x:v>-73.92907511290615</x:v>
      </x:c>
      <x:c r="I45" s="31" t="n">
        <x:v>6567</x:v>
      </x:c>
      <x:c r="J45" s="31" t="n">
        <x:v>21335.220331459946</x:v>
      </x:c>
      <x:c r="K45" s="31"/>
      <x:c r="L45" s="40"/>
      <x:c r="M45" s="40"/>
      <x:c r="N45" s="31" t="n">
        <x:v>100</x:v>
      </x:c>
      <x:c r="O45" s="31" t="n">
        <x:v>5348</x:v>
      </x:c>
      <x:c r="P45" s="31" t="n">
        <x:v>15.855086013462977</x:v>
      </x:c>
      <x:c r="Q45" s="40" t="n">
        <x:v>0.6325729244577412</x:v>
      </x:c>
      <x:c r="R45" s="40" t="n">
        <x:v>0.3648092744951384</x:v>
      </x:c>
      <x:c r="S45" s="40" t="n">
        <x:v>0.0007479431563201197</x:v>
      </x:c>
      <x:c r="T45" s="31" t="n">
        <x:v>107.452749586321</x:v>
      </x:c>
      <x:c r="U45" s="31" t="n">
        <x:v>260</x:v>
      </x:c>
      <x:c r="V45" s="31" t="n">
        <x:v>71</x:v>
      </x:c>
      <x:c r="W45" s="31" t="n">
        <x:v>10.811633927211817</x:v>
      </x:c>
      <x:c r="X45" s="31" t="n">
        <x:v>5</x:v>
      </x:c>
      <x:c r="Y45" s="40" t="n">
        <x:v>1</x:v>
      </x:c>
      <x:c r="Z45" s="40" t="n">
        <x:v>1</x:v>
      </x:c>
      <x:c r="AA45" s="40" t="n">
        <x:v>0.6780104712041884</x:v>
      </x:c>
      <x:c r="AB45" s="31" t="n">
        <x:v>0.13497878755075382</x:v>
      </x:c>
      <x:c r="AC45" s="31" t="n">
        <x:v>7</x:v>
      </x:c>
      <x:c r="AD45" s="44" t="b">
        <x:v>1</x:v>
      </x:c>
    </x:row>
    <x:row r="46">
      <x:c r="A46" s="31" t="str">
        <x:v>36005006302</x:v>
      </x:c>
      <x:c r="B46" s="31" t="str">
        <x:v>Bronx</x:v>
      </x:c>
      <x:c r="C46" s="31" t="str">
        <x:v>006302</x:v>
      </x:c>
      <x:c r="D46" s="31" t="str">
        <x:v>BX0491</x:v>
      </x:c>
      <x:c r="E46" s="31" t="str">
        <x:v>Yankee Stadium-Macombs Dam Park</x:v>
      </x:c>
      <x:c r="F46" s="31" t="n">
        <x:v>0.10083253335700756</x:v>
      </x:c>
      <x:c r="G46" s="31" t="n">
        <x:v>40.8299826417243</x:v>
      </x:c>
      <x:c r="H46" s="31" t="n">
        <x:v>-73.92639031788879</x:v>
      </x:c>
      <x:c r="I46" s="31" t="n">
        <x:v>19</x:v>
      </x:c>
      <x:c r="J46" s="31" t="n">
        <x:v>188.43124701358659</x:v>
      </x:c>
      <x:c r="K46" s="31"/>
      <x:c r="L46" s="40"/>
      <x:c r="M46" s="40"/>
      <x:c r="N46" s="31" t="n">
        <x:v>0</x:v>
      </x:c>
      <x:c r="O46" s="31"/>
      <x:c r="P46" s="31"/>
      <x:c r="Q46" s="40"/>
      <x:c r="R46" s="40"/>
      <x:c r="S46" s="40"/>
      <x:c r="T46" s="31"/>
      <x:c r="U46" s="31"/>
      <x:c r="V46" s="31" t="n">
        <x:v>0</x:v>
      </x:c>
      <x:c r="W46" s="31" t="n">
        <x:v>0</x:v>
      </x:c>
      <x:c r="X46" s="31"/>
      <x:c r="Y46" s="40"/>
      <x:c r="Z46" s="40"/>
      <x:c r="AA46" s="40"/>
      <x:c r="AB46" s="31" t="n">
        <x:v>0.17971606048222613</x:v>
      </x:c>
      <x:c r="AC46" s="31" t="n">
        <x:v>7</x:v>
      </x:c>
      <x:c r="AD46" s="44" t="b">
        <x:v>0</x:v>
      </x:c>
    </x:row>
    <x:row r="47">
      <x:c r="A47" s="31" t="str">
        <x:v>36005006400</x:v>
      </x:c>
      <x:c r="B47" s="31" t="str">
        <x:v>Bronx</x:v>
      </x:c>
      <x:c r="C47" s="31" t="str">
        <x:v>006400</x:v>
      </x:c>
      <x:c r="D47" s="31" t="str">
        <x:v>BX0901</x:v>
      </x:c>
      <x:c r="E47" s="31" t="str">
        <x:v>Soundview-Bruckner-Bronx River</x:v>
      </x:c>
      <x:c r="F47" s="31" t="n">
        <x:v>0.06454965352602732</x:v>
      </x:c>
      <x:c r="G47" s="31" t="n">
        <x:v>40.83300034887354</x:v>
      </x:c>
      <x:c r="H47" s="31" t="n">
        <x:v>-73.8721981366332</x:v>
      </x:c>
      <x:c r="I47" s="31" t="n">
        <x:v>4186</x:v>
      </x:c>
      <x:c r="J47" s="31" t="n">
        <x:v>64849.3023794798</x:v>
      </x:c>
      <x:c r="K47" s="31"/>
      <x:c r="L47" s="40"/>
      <x:c r="M47" s="40"/>
      <x:c r="N47" s="31" t="n">
        <x:v>343</x:v>
      </x:c>
      <x:c r="O47" s="31" t="n">
        <x:v>1567</x:v>
      </x:c>
      <x:c r="P47" s="31" t="n">
        <x:v>5.233886407147415</x:v>
      </x:c>
      <x:c r="Q47" s="40" t="n">
        <x:v>0.27121888959795787</x:v>
      </x:c>
      <x:c r="R47" s="40" t="n">
        <x:v>0.2967453733248245</x:v>
      </x:c>
      <x:c r="S47" s="40" t="n">
        <x:v>0</x:v>
      </x:c>
      <x:c r="T47" s="31" t="n">
        <x:v>56.147063044504165</x:v>
      </x:c>
      <x:c r="U47" s="31" t="n">
        <x:v>124</x:v>
      </x:c>
      <x:c r="V47" s="31" t="n">
        <x:v>12</x:v>
      </x:c>
      <x:c r="W47" s="31" t="n">
        <x:v>2.866698518872432</x:v>
      </x:c>
      <x:c r="X47" s="31" t="n">
        <x:v>4</x:v>
      </x:c>
      <x:c r="Y47" s="40" t="n">
        <x:v>1</x:v>
      </x:c>
      <x:c r="Z47" s="40" t="n">
        <x:v>1</x:v>
      </x:c>
      <x:c r="AA47" s="40" t="n">
        <x:v>0.9974473516273133</x:v>
      </x:c>
      <x:c r="AB47" s="31" t="n">
        <x:v>0.25468228529821946</x:v>
      </x:c>
      <x:c r="AC47" s="31" t="n">
        <x:v>5</x:v>
      </x:c>
      <x:c r="AD47" s="44" t="b">
        <x:v>1</x:v>
      </x:c>
    </x:row>
    <x:row r="48">
      <x:c r="A48" s="31" t="str">
        <x:v>36005006500</x:v>
      </x:c>
      <x:c r="B48" s="31" t="str">
        <x:v>Bronx</x:v>
      </x:c>
      <x:c r="C48" s="31" t="str">
        <x:v>006500</x:v>
      </x:c>
      <x:c r="D48" s="31" t="str">
        <x:v>BX0102</x:v>
      </x:c>
      <x:c r="E48" s="31" t="str">
        <x:v>Melrose</x:v>
      </x:c>
      <x:c r="F48" s="31" t="n">
        <x:v>0.10101048618177515</x:v>
      </x:c>
      <x:c r="G48" s="31" t="n">
        <x:v>40.81740056065119</x:v>
      </x:c>
      <x:c r="H48" s="31" t="n">
        <x:v>-73.92165932049738</x:v>
      </x:c>
      <x:c r="I48" s="31" t="n">
        <x:v>6251</x:v>
      </x:c>
      <x:c r="J48" s="31" t="n">
        <x:v>61884.66402142552</x:v>
      </x:c>
      <x:c r="K48" s="31"/>
      <x:c r="L48" s="40"/>
      <x:c r="M48" s="40"/>
      <x:c r="N48" s="31" t="n">
        <x:v>115</x:v>
      </x:c>
      <x:c r="O48" s="31" t="n">
        <x:v>2490</x:v>
      </x:c>
      <x:c r="P48" s="31" t="n">
        <x:v>10.975924333619949</x:v>
      </x:c>
      <x:c r="Q48" s="40" t="n">
        <x:v>0.3325301204819277</x:v>
      </x:c>
      <x:c r="R48" s="40" t="n">
        <x:v>0.5895582329317269</x:v>
      </x:c>
      <x:c r="S48" s="40" t="n">
        <x:v>0.2216867469879518</x:v>
      </x:c>
      <x:c r="T48" s="31" t="n">
        <x:v>108.3853032094755</x:v>
      </x:c>
      <x:c r="U48" s="31" t="n">
        <x:v>241</x:v>
      </x:c>
      <x:c r="V48" s="31" t="n">
        <x:v>27</x:v>
      </x:c>
      <x:c r="W48" s="31" t="n">
        <x:v>4.319308910574308</x:v>
      </x:c>
      <x:c r="X48" s="31" t="n">
        <x:v>5</x:v>
      </x:c>
      <x:c r="Y48" s="40" t="n">
        <x:v>1</x:v>
      </x:c>
      <x:c r="Z48" s="40" t="n">
        <x:v>1</x:v>
      </x:c>
      <x:c r="AA48" s="40" t="n">
        <x:v>0.934136546184739</x:v>
      </x:c>
      <x:c r="AB48" s="31" t="n">
        <x:v>0.0937154881345536</x:v>
      </x:c>
      <x:c r="AC48" s="31" t="n">
        <x:v>5</x:v>
      </x:c>
      <x:c r="AD48" s="44" t="b">
        <x:v>1</x:v>
      </x:c>
    </x:row>
    <x:row r="49">
      <x:c r="A49" s="31" t="str">
        <x:v>36005006700</x:v>
      </x:c>
      <x:c r="B49" s="31" t="str">
        <x:v>Bronx</x:v>
      </x:c>
      <x:c r="C49" s="31" t="str">
        <x:v>006700</x:v>
      </x:c>
      <x:c r="D49" s="31" t="str">
        <x:v>BX0102</x:v>
      </x:c>
      <x:c r="E49" s="31" t="str">
        <x:v>Melrose</x:v>
      </x:c>
      <x:c r="F49" s="31" t="n">
        <x:v>0.08169372118629477</x:v>
      </x:c>
      <x:c r="G49" s="31" t="n">
        <x:v>40.81949609324745</x:v>
      </x:c>
      <x:c r="H49" s="31" t="n">
        <x:v>-73.9181725596041</x:v>
      </x:c>
      <x:c r="I49" s="31" t="n">
        <x:v>6893</x:v>
      </x:c>
      <x:c r="J49" s="31" t="n">
        <x:v>84376.12952262473</x:v>
      </x:c>
      <x:c r="K49" s="31"/>
      <x:c r="L49" s="40"/>
      <x:c r="M49" s="40"/>
      <x:c r="N49" s="31" t="n">
        <x:v>184</x:v>
      </x:c>
      <x:c r="O49" s="31" t="n">
        <x:v>2587</x:v>
      </x:c>
      <x:c r="P49" s="31" t="n">
        <x:v>9.115908206923375</x:v>
      </x:c>
      <x:c r="Q49" s="40" t="n">
        <x:v>0.4808658678005412</x:v>
      </x:c>
      <x:c r="R49" s="40" t="n">
        <x:v>0.4754541940471589</x:v>
      </x:c>
      <x:c r="S49" s="40" t="n">
        <x:v>0.3954387321221492</x:v>
      </x:c>
      <x:c r="T49" s="31" t="n">
        <x:v>87.3543930602278</x:v>
      </x:c>
      <x:c r="U49" s="31" t="n">
        <x:v>125.63</x:v>
      </x:c>
      <x:c r="V49" s="31" t="n">
        <x:v>31</x:v>
      </x:c>
      <x:c r="W49" s="31" t="n">
        <x:v>4.4973161178006675</x:v>
      </x:c>
      <x:c r="X49" s="31" t="n">
        <x:v>5</x:v>
      </x:c>
      <x:c r="Y49" s="40" t="n">
        <x:v>1</x:v>
      </x:c>
      <x:c r="Z49" s="40" t="n">
        <x:v>1</x:v>
      </x:c>
      <x:c r="AA49" s="40" t="n">
        <x:v>0.9841515268650947</x:v>
      </x:c>
      <x:c r="AB49" s="31" t="n">
        <x:v>0.059143731550917115</x:v>
      </x:c>
      <x:c r="AC49" s="31" t="n">
        <x:v>5</x:v>
      </x:c>
      <x:c r="AD49" s="44" t="b">
        <x:v>1</x:v>
      </x:c>
    </x:row>
    <x:row r="50">
      <x:c r="A50" s="31" t="str">
        <x:v>36005006800</x:v>
      </x:c>
      <x:c r="B50" s="31" t="str">
        <x:v>Bronx</x:v>
      </x:c>
      <x:c r="C50" s="31" t="str">
        <x:v>006800</x:v>
      </x:c>
      <x:c r="D50" s="31" t="str">
        <x:v>BX0901</x:v>
      </x:c>
      <x:c r="E50" s="31" t="str">
        <x:v>Soundview-Bruckner-Bronx River</x:v>
      </x:c>
      <x:c r="F50" s="31" t="n">
        <x:v>0.060048249399893824</x:v>
      </x:c>
      <x:c r="G50" s="31" t="n">
        <x:v>40.82896418001879</x:v>
      </x:c>
      <x:c r="H50" s="31" t="n">
        <x:v>-73.87050006300835</x:v>
      </x:c>
      <x:c r="I50" s="31" t="n">
        <x:v>3419</x:v>
      </x:c>
      <x:c r="J50" s="31" t="n">
        <x:v>56937.54662573136</x:v>
      </x:c>
      <x:c r="K50" s="31"/>
      <x:c r="L50" s="40"/>
      <x:c r="M50" s="40"/>
      <x:c r="N50" s="31" t="n">
        <x:v>256</x:v>
      </x:c>
      <x:c r="O50" s="31" t="n">
        <x:v>958</x:v>
      </x:c>
      <x:c r="P50" s="31" t="n">
        <x:v>5.3267223382045925</x:v>
      </x:c>
      <x:c r="Q50" s="40" t="n">
        <x:v>0.16597077244258873</x:v>
      </x:c>
      <x:c r="R50" s="40" t="n">
        <x:v>0.33507306889352817</x:v>
      </x:c>
      <x:c r="S50" s="40" t="n">
        <x:v>0</x:v>
      </x:c>
      <x:c r="T50" s="31" t="n">
        <x:v>54.127416417901884</x:v>
      </x:c>
      <x:c r="U50" s="31" t="n">
        <x:v>183.89</x:v>
      </x:c>
      <x:c r="V50" s="31" t="n">
        <x:v>2</x:v>
      </x:c>
      <x:c r="W50" s="31" t="n">
        <x:v>0.584966364434045</x:v>
      </x:c>
      <x:c r="X50" s="31" t="n">
        <x:v>4</x:v>
      </x:c>
      <x:c r="Y50" s="40" t="n">
        <x:v>1</x:v>
      </x:c>
      <x:c r="Z50" s="40" t="n">
        <x:v>1</x:v>
      </x:c>
      <x:c r="AA50" s="40" t="n">
        <x:v>1</x:v>
      </x:c>
      <x:c r="AB50" s="31" t="n">
        <x:v>0.24779346784110595</x:v>
      </x:c>
      <x:c r="AC50" s="31" t="n">
        <x:v>6</x:v>
      </x:c>
      <x:c r="AD50" s="44" t="b">
        <x:v>1</x:v>
      </x:c>
    </x:row>
    <x:row r="51">
      <x:c r="A51" s="31" t="str">
        <x:v>36005006900</x:v>
      </x:c>
      <x:c r="B51" s="31" t="str">
        <x:v>Bronx</x:v>
      </x:c>
      <x:c r="C51" s="31" t="str">
        <x:v>006900</x:v>
      </x:c>
      <x:c r="D51" s="31" t="str">
        <x:v>BX0102</x:v>
      </x:c>
      <x:c r="E51" s="31" t="str">
        <x:v>Melrose</x:v>
      </x:c>
      <x:c r="F51" s="31" t="n">
        <x:v>0.07278488720550677</x:v>
      </x:c>
      <x:c r="G51" s="31" t="n">
        <x:v>40.82186605368661</x:v>
      </x:c>
      <x:c r="H51" s="31" t="n">
        <x:v>-73.91577344616968</x:v>
      </x:c>
      <x:c r="I51" s="31" t="n">
        <x:v>6964</x:v>
      </x:c>
      <x:c r="J51" s="31" t="n">
        <x:v>95679.2030237991</x:v>
      </x:c>
      <x:c r="K51" s="31"/>
      <x:c r="L51" s="40"/>
      <x:c r="M51" s="40"/>
      <x:c r="N51" s="31" t="n">
        <x:v>201</x:v>
      </x:c>
      <x:c r="O51" s="31" t="n">
        <x:v>2881</x:v>
      </x:c>
      <x:c r="P51" s="31" t="n">
        <x:v>8.95484859408796</x:v>
      </x:c>
      <x:c r="Q51" s="40" t="n">
        <x:v>0.43734814300590075</x:v>
      </x:c>
      <x:c r="R51" s="40" t="n">
        <x:v>0.5164873307879209</x:v>
      </x:c>
      <x:c r="S51" s="40" t="n">
        <x:v>0.30128427629295385</x:v>
      </x:c>
      <x:c r="T51" s="31" t="n">
        <x:v>86.93717562419212</x:v>
      </x:c>
      <x:c r="U51" s="31" t="n">
        <x:v>139.92</x:v>
      </x:c>
      <x:c r="V51" s="31" t="n">
        <x:v>39</x:v>
      </x:c>
      <x:c r="W51" s="31" t="n">
        <x:v>5.600229753015508</x:v>
      </x:c>
      <x:c r="X51" s="31" t="n">
        <x:v>5</x:v>
      </x:c>
      <x:c r="Y51" s="40" t="n">
        <x:v>1</x:v>
      </x:c>
      <x:c r="Z51" s="40" t="n">
        <x:v>1</x:v>
      </x:c>
      <x:c r="AA51" s="40" t="n">
        <x:v>0.9430753210690732</x:v>
      </x:c>
      <x:c r="AB51" s="31" t="n">
        <x:v>0.05841998147335491</x:v>
      </x:c>
      <x:c r="AC51" s="31" t="n">
        <x:v>5</x:v>
      </x:c>
      <x:c r="AD51" s="44" t="b">
        <x:v>1</x:v>
      </x:c>
    </x:row>
    <x:row r="52">
      <x:c r="A52" s="31" t="str">
        <x:v>36005007000</x:v>
      </x:c>
      <x:c r="B52" s="31" t="str">
        <x:v>Bronx</x:v>
      </x:c>
      <x:c r="C52" s="31" t="str">
        <x:v>007000</x:v>
      </x:c>
      <x:c r="D52" s="31" t="str">
        <x:v>BX0901</x:v>
      </x:c>
      <x:c r="E52" s="31" t="str">
        <x:v>Soundview-Bruckner-Bronx River</x:v>
      </x:c>
      <x:c r="F52" s="31" t="n">
        <x:v>0.07919476550340049</x:v>
      </x:c>
      <x:c r="G52" s="31" t="n">
        <x:v>40.82981781918415</x:v>
      </x:c>
      <x:c r="H52" s="31" t="n">
        <x:v>-73.8656218498109</x:v>
      </x:c>
      <x:c r="I52" s="31" t="n">
        <x:v>5021</x:v>
      </x:c>
      <x:c r="J52" s="31" t="n">
        <x:v>63400.65493071517</x:v>
      </x:c>
      <x:c r="K52" s="31"/>
      <x:c r="L52" s="40"/>
      <x:c r="M52" s="40"/>
      <x:c r="N52" s="31" t="n">
        <x:v>455</x:v>
      </x:c>
      <x:c r="O52" s="31" t="n">
        <x:v>1446</x:v>
      </x:c>
      <x:c r="P52" s="31" t="n">
        <x:v>2.741009681881051</x:v>
      </x:c>
      <x:c r="Q52" s="40" t="n">
        <x:v>0.0027662517289073307</x:v>
      </x:c>
      <x:c r="R52" s="40" t="n">
        <x:v>0.44398340248962653</x:v>
      </x:c>
      <x:c r="S52" s="40" t="n">
        <x:v>0.0027662517289073307</x:v>
      </x:c>
      <x:c r="T52" s="31" t="n">
        <x:v>33.776625697415106</x:v>
      </x:c>
      <x:c r="U52" s="31" t="n">
        <x:v>90</x:v>
      </x:c>
      <x:c r="V52" s="31" t="n">
        <x:v>2</x:v>
      </x:c>
      <x:c r="W52" s="31" t="n">
        <x:v>0.39832702648874724</x:v>
      </x:c>
      <x:c r="X52" s="31" t="n">
        <x:v>4</x:v>
      </x:c>
      <x:c r="Y52" s="40" t="n">
        <x:v>1</x:v>
      </x:c>
      <x:c r="Z52" s="40" t="n">
        <x:v>1</x:v>
      </x:c>
      <x:c r="AA52" s="40" t="n">
        <x:v>0.9979253112033195</x:v>
      </x:c>
      <x:c r="AB52" s="31" t="n">
        <x:v>0.03342662391780476</x:v>
      </x:c>
      <x:c r="AC52" s="31" t="n">
        <x:v>4</x:v>
      </x:c>
      <x:c r="AD52" s="44" t="b">
        <x:v>1</x:v>
      </x:c>
    </x:row>
    <x:row r="53">
      <x:c r="A53" s="31" t="str">
        <x:v>36005007100</x:v>
      </x:c>
      <x:c r="B53" s="31" t="str">
        <x:v>Bronx</x:v>
      </x:c>
      <x:c r="C53" s="31" t="str">
        <x:v>007100</x:v>
      </x:c>
      <x:c r="D53" s="31" t="str">
        <x:v>BX0102</x:v>
      </x:c>
      <x:c r="E53" s="31" t="str">
        <x:v>Melrose</x:v>
      </x:c>
      <x:c r="F53" s="31" t="n">
        <x:v>0.10193742208412249</x:v>
      </x:c>
      <x:c r="G53" s="31" t="n">
        <x:v>40.81821684771322</x:v>
      </x:c>
      <x:c r="H53" s="31" t="n">
        <x:v>-73.91283623938683</x:v>
      </x:c>
      <x:c r="I53" s="31" t="n">
        <x:v>2789</x:v>
      </x:c>
      <x:c r="J53" s="31" t="n">
        <x:v>27359.92281321785</x:v>
      </x:c>
      <x:c r="K53" s="31"/>
      <x:c r="L53" s="40"/>
      <x:c r="M53" s="40"/>
      <x:c r="N53" s="31" t="n">
        <x:v>24</x:v>
      </x:c>
      <x:c r="O53" s="31" t="n">
        <x:v>2184</x:v>
      </x:c>
      <x:c r="P53" s="31" t="n">
        <x:v>13.222069597069597</x:v>
      </x:c>
      <x:c r="Q53" s="40" t="n">
        <x:v>0.7724358974358975</x:v>
      </x:c>
      <x:c r="R53" s="40" t="n">
        <x:v>0.2271062271062271</x:v>
      </x:c>
      <x:c r="S53" s="40" t="n">
        <x:v>0.12133699633699634</x:v>
      </x:c>
      <x:c r="T53" s="31" t="n">
        <x:v>131.35902215875458</x:v>
      </x:c>
      <x:c r="U53" s="31" t="n">
        <x:v>248</x:v>
      </x:c>
      <x:c r="V53" s="31" t="n">
        <x:v>28</x:v>
      </x:c>
      <x:c r="W53" s="31" t="n">
        <x:v>10.039440659734671</x:v>
      </x:c>
      <x:c r="X53" s="31" t="n">
        <x:v>5</x:v>
      </x:c>
      <x:c r="Y53" s="40" t="n">
        <x:v>1</x:v>
      </x:c>
      <x:c r="Z53" s="40" t="n">
        <x:v>1</x:v>
      </x:c>
      <x:c r="AA53" s="40" t="n">
        <x:v>1</x:v>
      </x:c>
      <x:c r="AB53" s="31" t="n">
        <x:v>0.06902924592252861</x:v>
      </x:c>
      <x:c r="AC53" s="31" t="n">
        <x:v>9</x:v>
      </x:c>
      <x:c r="AD53" s="44" t="b">
        <x:v>1</x:v>
      </x:c>
    </x:row>
    <x:row r="54">
      <x:c r="A54" s="31" t="str">
        <x:v>36005007200</x:v>
      </x:c>
      <x:c r="B54" s="31" t="str">
        <x:v>Bronx</x:v>
      </x:c>
      <x:c r="C54" s="31" t="str">
        <x:v>007200</x:v>
      </x:c>
      <x:c r="D54" s="31" t="str">
        <x:v>BX0903</x:v>
      </x:c>
      <x:c r="E54" s="31" t="str">
        <x:v>Castle Hill-Unionport</x:v>
      </x:c>
      <x:c r="F54" s="31" t="n">
        <x:v>0.08189882837429695</x:v>
      </x:c>
      <x:c r="G54" s="31" t="n">
        <x:v>40.83103773230398</x:v>
      </x:c>
      <x:c r="H54" s="31" t="n">
        <x:v>-73.86068255274512</x:v>
      </x:c>
      <x:c r="I54" s="31" t="n">
        <x:v>6291</x:v>
      </x:c>
      <x:c r="J54" s="31" t="n">
        <x:v>76814.28568487754</x:v>
      </x:c>
      <x:c r="K54" s="31"/>
      <x:c r="L54" s="40"/>
      <x:c r="M54" s="40"/>
      <x:c r="N54" s="31" t="n">
        <x:v>397</x:v>
      </x:c>
      <x:c r="O54" s="31" t="n">
        <x:v>1784</x:v>
      </x:c>
      <x:c r="P54" s="31" t="n">
        <x:v>4.5316704035874436</x:v>
      </x:c>
      <x:c r="Q54" s="40" t="n">
        <x:v>0.07791479820627803</x:v>
      </x:c>
      <x:c r="R54" s="40" t="n">
        <x:v>0.5089686098654709</x:v>
      </x:c>
      <x:c r="S54" s="40" t="n">
        <x:v>0.026345291479820628</x:v>
      </x:c>
      <x:c r="T54" s="31" t="n">
        <x:v>50.638360145859906</x:v>
      </x:c>
      <x:c r="U54" s="31" t="n">
        <x:v>126.94</x:v>
      </x:c>
      <x:c r="V54" s="31" t="n">
        <x:v>10</x:v>
      </x:c>
      <x:c r="W54" s="31" t="n">
        <x:v>1.5895724050230489</x:v>
      </x:c>
      <x:c r="X54" s="31" t="n">
        <x:v>4</x:v>
      </x:c>
      <x:c r="Y54" s="40" t="n">
        <x:v>1</x:v>
      </x:c>
      <x:c r="Z54" s="40" t="n">
        <x:v>1</x:v>
      </x:c>
      <x:c r="AA54" s="40" t="n">
        <x:v>0.984304932735426</x:v>
      </x:c>
      <x:c r="AB54" s="31" t="n">
        <x:v>0.2063437301715443</x:v>
      </x:c>
      <x:c r="AC54" s="31" t="n">
        <x:v>8</x:v>
      </x:c>
      <x:c r="AD54" s="44" t="b">
        <x:v>1</x:v>
      </x:c>
    </x:row>
    <x:row r="55">
      <x:c r="A55" s="31" t="str">
        <x:v>36005007300</x:v>
      </x:c>
      <x:c r="B55" s="31" t="str">
        <x:v>Bronx</x:v>
      </x:c>
      <x:c r="C55" s="31" t="str">
        <x:v>007300</x:v>
      </x:c>
      <x:c r="D55" s="31" t="str">
        <x:v>BX0102</x:v>
      </x:c>
      <x:c r="E55" s="31" t="str">
        <x:v>Melrose</x:v>
      </x:c>
      <x:c r="F55" s="31" t="n">
        <x:v>0.05407811797771751</x:v>
      </x:c>
      <x:c r="G55" s="31" t="n">
        <x:v>40.81467459758003</x:v>
      </x:c>
      <x:c r="H55" s="31" t="n">
        <x:v>-73.90938831176058</x:v>
      </x:c>
      <x:c r="I55" s="31" t="n">
        <x:v>4205</x:v>
      </x:c>
      <x:c r="J55" s="31" t="n">
        <x:v>77757.88354418398</x:v>
      </x:c>
      <x:c r="K55" s="31"/>
      <x:c r="L55" s="40"/>
      <x:c r="M55" s="40"/>
      <x:c r="N55" s="31" t="n">
        <x:v>77</x:v>
      </x:c>
      <x:c r="O55" s="31" t="n">
        <x:v>1785</x:v>
      </x:c>
      <x:c r="P55" s="31" t="n">
        <x:v>10.057703081232493</x:v>
      </x:c>
      <x:c r="Q55" s="40" t="n">
        <x:v>0.3081232492997199</x:v>
      </x:c>
      <x:c r="R55" s="40" t="n">
        <x:v>0.6767507002801121</x:v>
      </x:c>
      <x:c r="S55" s="40" t="n">
        <x:v>0.0067226890756302525</x:v>
      </x:c>
      <x:c r="T55" s="31" t="n">
        <x:v>102.94153834309498</x:v>
      </x:c>
      <x:c r="U55" s="31" t="n">
        <x:v>208.34305221</x:v>
      </x:c>
      <x:c r="V55" s="31" t="n">
        <x:v>22</x:v>
      </x:c>
      <x:c r="W55" s="31" t="n">
        <x:v>5.231866825208086</x:v>
      </x:c>
      <x:c r="X55" s="31" t="n">
        <x:v>5</x:v>
      </x:c>
      <x:c r="Y55" s="40" t="n">
        <x:v>1</x:v>
      </x:c>
      <x:c r="Z55" s="40" t="n">
        <x:v>1</x:v>
      </x:c>
      <x:c r="AA55" s="40" t="n">
        <x:v>0.9557422969187676</x:v>
      </x:c>
      <x:c r="AB55" s="31" t="n">
        <x:v>0.044729165034206375</x:v>
      </x:c>
      <x:c r="AC55" s="31" t="n">
        <x:v>6</x:v>
      </x:c>
      <x:c r="AD55" s="44" t="b">
        <x:v>1</x:v>
      </x:c>
    </x:row>
    <x:row r="56">
      <x:c r="A56" s="31" t="str">
        <x:v>36005007400</x:v>
      </x:c>
      <x:c r="B56" s="31" t="str">
        <x:v>Bronx</x:v>
      </x:c>
      <x:c r="C56" s="31" t="str">
        <x:v>007400</x:v>
      </x:c>
      <x:c r="D56" s="31" t="str">
        <x:v>BX0903</x:v>
      </x:c>
      <x:c r="E56" s="31" t="str">
        <x:v>Castle Hill-Unionport</x:v>
      </x:c>
      <x:c r="F56" s="31" t="n">
        <x:v>0.07219329788402491</x:v>
      </x:c>
      <x:c r="G56" s="31" t="n">
        <x:v>40.819475568493395</x:v>
      </x:c>
      <x:c r="H56" s="31" t="n">
        <x:v>-73.85286228511099</x:v>
      </x:c>
      <x:c r="I56" s="31" t="n">
        <x:v>3536</x:v>
      </x:c>
      <x:c r="J56" s="31" t="n">
        <x:v>48979.615887342</x:v>
      </x:c>
      <x:c r="K56" s="31"/>
      <x:c r="L56" s="40"/>
      <x:c r="M56" s="40"/>
      <x:c r="N56" s="31" t="n">
        <x:v>312</x:v>
      </x:c>
      <x:c r="O56" s="31" t="n">
        <x:v>1410</x:v>
      </x:c>
      <x:c r="P56" s="31" t="n">
        <x:v>7.9024255319148935</x:v>
      </x:c>
      <x:c r="Q56" s="40" t="n">
        <x:v>0.4425531914893617</x:v>
      </x:c>
      <x:c r="R56" s="40" t="n">
        <x:v>0.4347517730496454</x:v>
      </x:c>
      <x:c r="S56" s="40" t="n">
        <x:v>0.44397163120567373</x:v>
      </x:c>
      <x:c r="T56" s="31" t="n">
        <x:v>83.76508326913475</x:v>
      </x:c>
      <x:c r="U56" s="31" t="n">
        <x:v>141.82110229</x:v>
      </x:c>
      <x:c r="V56" s="31" t="n">
        <x:v>12</x:v>
      </x:c>
      <x:c r="W56" s="31" t="n">
        <x:v>3.3936651583710407</x:v>
      </x:c>
      <x:c r="X56" s="31" t="n">
        <x:v>4</x:v>
      </x:c>
      <x:c r="Y56" s="40" t="n">
        <x:v>1</x:v>
      </x:c>
      <x:c r="Z56" s="40" t="n">
        <x:v>1</x:v>
      </x:c>
      <x:c r="AA56" s="40" t="n">
        <x:v>1</x:v>
      </x:c>
      <x:c r="AB56" s="31" t="n">
        <x:v>0.20151336827640648</x:v>
      </x:c>
      <x:c r="AC56" s="31" t="n">
        <x:v>5</x:v>
      </x:c>
      <x:c r="AD56" s="44" t="b">
        <x:v>1</x:v>
      </x:c>
    </x:row>
    <x:row r="57">
      <x:c r="A57" s="31" t="str">
        <x:v>36005007500</x:v>
      </x:c>
      <x:c r="B57" s="31" t="str">
        <x:v>Bronx</x:v>
      </x:c>
      <x:c r="C57" s="31" t="str">
        <x:v>007500</x:v>
      </x:c>
      <x:c r="D57" s="31" t="str">
        <x:v>BX0102</x:v>
      </x:c>
      <x:c r="E57" s="31" t="str">
        <x:v>Melrose</x:v>
      </x:c>
      <x:c r="F57" s="31" t="n">
        <x:v>0.08819520009218607</x:v>
      </x:c>
      <x:c r="G57" s="31" t="n">
        <x:v>40.818776045748734</x:v>
      </x:c>
      <x:c r="H57" s="31" t="n">
        <x:v>-73.90862350300634</x:v>
      </x:c>
      <x:c r="I57" s="31" t="n">
        <x:v>6749</x:v>
      </x:c>
      <x:c r="J57" s="31" t="n">
        <x:v>76523.43883732455</x:v>
      </x:c>
      <x:c r="K57" s="31"/>
      <x:c r="L57" s="40"/>
      <x:c r="M57" s="40"/>
      <x:c r="N57" s="31" t="n">
        <x:v>309</x:v>
      </x:c>
      <x:c r="O57" s="31" t="n">
        <x:v>2915</x:v>
      </x:c>
      <x:c r="P57" s="31" t="n">
        <x:v>11.451801029159519</x:v>
      </x:c>
      <x:c r="Q57" s="40" t="n">
        <x:v>0.40548885077186964</x:v>
      </x:c>
      <x:c r="R57" s="40" t="n">
        <x:v>0.5053173241852487</x:v>
      </x:c>
      <x:c r="S57" s="40" t="n">
        <x:v>0.5821612349914237</x:v>
      </x:c>
      <x:c r="T57" s="31" t="n">
        <x:v>116.2601115625731</x:v>
      </x:c>
      <x:c r="U57" s="31" t="n">
        <x:v>191.11</x:v>
      </x:c>
      <x:c r="V57" s="31" t="n">
        <x:v>32</x:v>
      </x:c>
      <x:c r="W57" s="31" t="n">
        <x:v>4.741443176766928</x:v>
      </x:c>
      <x:c r="X57" s="31" t="n">
        <x:v>5</x:v>
      </x:c>
      <x:c r="Y57" s="40" t="n">
        <x:v>1</x:v>
      </x:c>
      <x:c r="Z57" s="40" t="n">
        <x:v>1</x:v>
      </x:c>
      <x:c r="AA57" s="40" t="n">
        <x:v>0.9972555746140652</x:v>
      </x:c>
      <x:c r="AB57" s="31" t="n">
        <x:v>0.04310463956639463</x:v>
      </x:c>
      <x:c r="AC57" s="31" t="n">
        <x:v>7</x:v>
      </x:c>
      <x:c r="AD57" s="44" t="b">
        <x:v>1</x:v>
      </x:c>
    </x:row>
    <x:row r="58">
      <x:c r="A58" s="31" t="str">
        <x:v>36005007600</x:v>
      </x:c>
      <x:c r="B58" s="31" t="str">
        <x:v>Bronx</x:v>
      </x:c>
      <x:c r="C58" s="31" t="str">
        <x:v>007600</x:v>
      </x:c>
      <x:c r="D58" s="31" t="str">
        <x:v>BX0901</x:v>
      </x:c>
      <x:c r="E58" s="31" t="str">
        <x:v>Soundview-Bruckner-Bronx River</x:v>
      </x:c>
      <x:c r="F58" s="31" t="n">
        <x:v>0.08404573711152721</x:v>
      </x:c>
      <x:c r="G58" s="31" t="n">
        <x:v>40.83337873249919</x:v>
      </x:c>
      <x:c r="H58" s="31" t="n">
        <x:v>-73.86765587331281</x:v>
      </x:c>
      <x:c r="I58" s="31" t="n">
        <x:v>5682</x:v>
      </x:c>
      <x:c r="J58" s="31" t="n">
        <x:v>67606.04636568403</x:v>
      </x:c>
      <x:c r="K58" s="31"/>
      <x:c r="L58" s="40"/>
      <x:c r="M58" s="40"/>
      <x:c r="N58" s="31" t="n">
        <x:v>399</x:v>
      </x:c>
      <x:c r="O58" s="31" t="n">
        <x:v>1673</x:v>
      </x:c>
      <x:c r="P58" s="31" t="n">
        <x:v>3.567244471010161</x:v>
      </x:c>
      <x:c r="Q58" s="40" t="n">
        <x:v>0</x:v>
      </x:c>
      <x:c r="R58" s="40" t="n">
        <x:v>0.5576808129109384</x:v>
      </x:c>
      <x:c r="S58" s="40" t="n">
        <x:v>0.022713687985654513</x:v>
      </x:c>
      <x:c r="T58" s="31" t="n">
        <x:v>42.098034461701744</x:v>
      </x:c>
      <x:c r="U58" s="31" t="n">
        <x:v>68.93</x:v>
      </x:c>
      <x:c r="V58" s="31" t="n">
        <x:v>6</x:v>
      </x:c>
      <x:c r="W58" s="31" t="n">
        <x:v>1.0559662090813093</x:v>
      </x:c>
      <x:c r="X58" s="31" t="n">
        <x:v>4</x:v>
      </x:c>
      <x:c r="Y58" s="40" t="n">
        <x:v>1</x:v>
      </x:c>
      <x:c r="Z58" s="40" t="n">
        <x:v>1</x:v>
      </x:c>
      <x:c r="AA58" s="40" t="n">
        <x:v>0.9940227136879857</x:v>
      </x:c>
      <x:c r="AB58" s="31" t="n">
        <x:v>0.062143725216285674</x:v>
      </x:c>
      <x:c r="AC58" s="31" t="n">
        <x:v>7</x:v>
      </x:c>
      <x:c r="AD58" s="44" t="b">
        <x:v>1</x:v>
      </x:c>
    </x:row>
    <x:row r="59">
      <x:c r="A59" s="31" t="str">
        <x:v>36005007700</x:v>
      </x:c>
      <x:c r="B59" s="31" t="str">
        <x:v>Bronx</x:v>
      </x:c>
      <x:c r="C59" s="31" t="str">
        <x:v>007700</x:v>
      </x:c>
      <x:c r="D59" s="31" t="str">
        <x:v>BX0102</x:v>
      </x:c>
      <x:c r="E59" s="31" t="str">
        <x:v>Melrose</x:v>
      </x:c>
      <x:c r="F59" s="31" t="n">
        <x:v>0.04355724582687672</x:v>
      </x:c>
      <x:c r="G59" s="31" t="n">
        <x:v>40.8197341994866</x:v>
      </x:c>
      <x:c r="H59" s="31" t="n">
        <x:v>-73.90442246373624</x:v>
      </x:c>
      <x:c r="I59" s="31" t="n">
        <x:v>1974</x:v>
      </x:c>
      <x:c r="J59" s="31" t="n">
        <x:v>45319.66983968385</x:v>
      </x:c>
      <x:c r="K59" s="31"/>
      <x:c r="L59" s="40"/>
      <x:c r="M59" s="40"/>
      <x:c r="N59" s="31" t="n">
        <x:v>156</x:v>
      </x:c>
      <x:c r="O59" s="31" t="n">
        <x:v>636</x:v>
      </x:c>
      <x:c r="P59" s="31" t="n">
        <x:v>4.169025157232705</x:v>
      </x:c>
      <x:c r="Q59" s="40" t="n">
        <x:v>0</x:v>
      </x:c>
      <x:c r="R59" s="40" t="n">
        <x:v>0.8616352201257862</x:v>
      </x:c>
      <x:c r="S59" s="40" t="n">
        <x:v>0.08490566037735849</x:v>
      </x:c>
      <x:c r="T59" s="31" t="n">
        <x:v>48.29531723537736</x:v>
      </x:c>
      <x:c r="U59" s="31" t="n">
        <x:v>69.42</x:v>
      </x:c>
      <x:c r="V59" s="31" t="n">
        <x:v>3</x:v>
      </x:c>
      <x:c r="W59" s="31" t="n">
        <x:v>1.5197568389057752</x:v>
      </x:c>
      <x:c r="X59" s="31" t="n">
        <x:v>5</x:v>
      </x:c>
      <x:c r="Y59" s="40" t="n">
        <x:v>1</x:v>
      </x:c>
      <x:c r="Z59" s="40" t="n">
        <x:v>1</x:v>
      </x:c>
      <x:c r="AA59" s="40" t="n">
        <x:v>1</x:v>
      </x:c>
      <x:c r="AB59" s="31" t="n">
        <x:v>0.06401427511009034</x:v>
      </x:c>
      <x:c r="AC59" s="31" t="n">
        <x:v>5</x:v>
      </x:c>
      <x:c r="AD59" s="44" t="b">
        <x:v>1</x:v>
      </x:c>
    </x:row>
    <x:row r="60">
      <x:c r="A60" s="31" t="str">
        <x:v>36005007800</x:v>
      </x:c>
      <x:c r="B60" s="31" t="str">
        <x:v>Bronx</x:v>
      </x:c>
      <x:c r="C60" s="31" t="str">
        <x:v>007800</x:v>
      </x:c>
      <x:c r="D60" s="31" t="str">
        <x:v>BX0903</x:v>
      </x:c>
      <x:c r="E60" s="31" t="str">
        <x:v>Castle Hill-Unionport</x:v>
      </x:c>
      <x:c r="F60" s="31" t="n">
        <x:v>0.12040198470428719</x:v>
      </x:c>
      <x:c r="G60" s="31" t="n">
        <x:v>40.82913089616318</x:v>
      </x:c>
      <x:c r="H60" s="31" t="n">
        <x:v>-73.85264824591516</x:v>
      </x:c>
      <x:c r="I60" s="31" t="n">
        <x:v>7037</x:v>
      </x:c>
      <x:c r="J60" s="31" t="n">
        <x:v>58445.880417031294</x:v>
      </x:c>
      <x:c r="K60" s="31"/>
      <x:c r="L60" s="40"/>
      <x:c r="M60" s="40"/>
      <x:c r="N60" s="31" t="n">
        <x:v>553</x:v>
      </x:c>
      <x:c r="O60" s="31" t="n">
        <x:v>2369</x:v>
      </x:c>
      <x:c r="P60" s="31" t="n">
        <x:v>4.487653018151119</x:v>
      </x:c>
      <x:c r="Q60" s="40" t="n">
        <x:v>0.16167159138877163</x:v>
      </x:c>
      <x:c r="R60" s="40" t="n">
        <x:v>0.42887294216969185</x:v>
      </x:c>
      <x:c r="S60" s="40" t="n">
        <x:v>0.007598142676234698</x:v>
      </x:c>
      <x:c r="T60" s="31" t="n">
        <x:v>43.09093105611963</x:v>
      </x:c>
      <x:c r="U60" s="31" t="n">
        <x:v>89.51</x:v>
      </x:c>
      <x:c r="V60" s="31" t="n">
        <x:v>13</x:v>
      </x:c>
      <x:c r="W60" s="31" t="n">
        <x:v>1.8473781440954953</x:v>
      </x:c>
      <x:c r="X60" s="31" t="n">
        <x:v>4</x:v>
      </x:c>
      <x:c r="Y60" s="40" t="n">
        <x:v>1</x:v>
      </x:c>
      <x:c r="Z60" s="40" t="n">
        <x:v>1</x:v>
      </x:c>
      <x:c r="AA60" s="40" t="n">
        <x:v>0.8539468130012664</x:v>
      </x:c>
      <x:c r="AB60" s="31" t="n">
        <x:v>0.14100961397586065</x:v>
      </x:c>
      <x:c r="AC60" s="31" t="n">
        <x:v>5</x:v>
      </x:c>
      <x:c r="AD60" s="44" t="b">
        <x:v>1</x:v>
      </x:c>
    </x:row>
    <x:row r="61">
      <x:c r="A61" s="31" t="str">
        <x:v>36005007900</x:v>
      </x:c>
      <x:c r="B61" s="31" t="str">
        <x:v>Bronx</x:v>
      </x:c>
      <x:c r="C61" s="31" t="str">
        <x:v>007900</x:v>
      </x:c>
      <x:c r="D61" s="31" t="str">
        <x:v>BX0102</x:v>
      </x:c>
      <x:c r="E61" s="31" t="str">
        <x:v>Melrose</x:v>
      </x:c>
      <x:c r="F61" s="31" t="n">
        <x:v>0.07628219860321969</x:v>
      </x:c>
      <x:c r="G61" s="31" t="n">
        <x:v>40.815790261310774</x:v>
      </x:c>
      <x:c r="H61" s="31" t="n">
        <x:v>-73.90486731211813</x:v>
      </x:c>
      <x:c r="I61" s="31" t="n">
        <x:v>6826</x:v>
      </x:c>
      <x:c r="J61" s="31" t="n">
        <x:v>89483.5246622256</x:v>
      </x:c>
      <x:c r="K61" s="31"/>
      <x:c r="L61" s="40"/>
      <x:c r="M61" s="40"/>
      <x:c r="N61" s="31" t="n">
        <x:v>150</x:v>
      </x:c>
      <x:c r="O61" s="31" t="n">
        <x:v>2783</x:v>
      </x:c>
      <x:c r="P61" s="31" t="n">
        <x:v>9.698269646719538</x:v>
      </x:c>
      <x:c r="Q61" s="40" t="n">
        <x:v>0.37369744879626304</x:v>
      </x:c>
      <x:c r="R61" s="40" t="n">
        <x:v>0.5968379446640316</x:v>
      </x:c>
      <x:c r="S61" s="40" t="n">
        <x:v>0.329500538986705</x:v>
      </x:c>
      <x:c r="T61" s="31" t="n">
        <x:v>105.95293653721956</x:v>
      </x:c>
      <x:c r="U61" s="31" t="n">
        <x:v>233.9724702</x:v>
      </x:c>
      <x:c r="V61" s="31" t="n">
        <x:v>32</x:v>
      </x:c>
      <x:c r="W61" s="31" t="n">
        <x:v>4.687957808379725</x:v>
      </x:c>
      <x:c r="X61" s="31" t="n">
        <x:v>5</x:v>
      </x:c>
      <x:c r="Y61" s="40" t="n">
        <x:v>1</x:v>
      </x:c>
      <x:c r="Z61" s="40" t="n">
        <x:v>1</x:v>
      </x:c>
      <x:c r="AA61" s="40" t="n">
        <x:v>0.9705353934602946</x:v>
      </x:c>
      <x:c r="AB61" s="31" t="n">
        <x:v>0.08532650138545002</x:v>
      </x:c>
      <x:c r="AC61" s="31" t="n">
        <x:v>9</x:v>
      </x:c>
      <x:c r="AD61" s="44" t="b">
        <x:v>1</x:v>
      </x:c>
    </x:row>
    <x:row r="62">
      <x:c r="A62" s="31" t="str">
        <x:v>36005008300</x:v>
      </x:c>
      <x:c r="B62" s="31" t="str">
        <x:v>Bronx</x:v>
      </x:c>
      <x:c r="C62" s="31" t="str">
        <x:v>008300</x:v>
      </x:c>
      <x:c r="D62" s="31" t="str">
        <x:v>BX0202</x:v>
      </x:c>
      <x:c r="E62" s="31" t="str">
        <x:v>Longwood</x:v>
      </x:c>
      <x:c r="F62" s="31" t="n">
        <x:v>0.08312703412749656</x:v>
      </x:c>
      <x:c r="G62" s="31" t="n">
        <x:v>40.81366211443228</x:v>
      </x:c>
      <x:c r="H62" s="31" t="n">
        <x:v>-73.90183573469291</x:v>
      </x:c>
      <x:c r="I62" s="31" t="n">
        <x:v>6122</x:v>
      </x:c>
      <x:c r="J62" s="31" t="n">
        <x:v>73646.31812329967</x:v>
      </x:c>
      <x:c r="K62" s="31"/>
      <x:c r="L62" s="40"/>
      <x:c r="M62" s="40"/>
      <x:c r="N62" s="31" t="n">
        <x:v>221</x:v>
      </x:c>
      <x:c r="O62" s="31" t="n">
        <x:v>2196</x:v>
      </x:c>
      <x:c r="P62" s="31" t="n">
        <x:v>4.9763205828779595</x:v>
      </x:c>
      <x:c r="Q62" s="40" t="n">
        <x:v>0.015938069216757743</x:v>
      </x:c>
      <x:c r="R62" s="40" t="n">
        <x:v>0.9672131147540983</x:v>
      </x:c>
      <x:c r="S62" s="40" t="n">
        <x:v>0.03460837887067395</x:v>
      </x:c>
      <x:c r="T62" s="31" t="n">
        <x:v>56.07540499941204</x:v>
      </x:c>
      <x:c r="U62" s="31" t="n">
        <x:v>68.66756234</x:v>
      </x:c>
      <x:c r="V62" s="31" t="n">
        <x:v>15</x:v>
      </x:c>
      <x:c r="W62" s="31" t="n">
        <x:v>2.4501796798431883</x:v>
      </x:c>
      <x:c r="X62" s="31" t="n">
        <x:v>5</x:v>
      </x:c>
      <x:c r="Y62" s="40" t="n">
        <x:v>1</x:v>
      </x:c>
      <x:c r="Z62" s="40" t="n">
        <x:v>1</x:v>
      </x:c>
      <x:c r="AA62" s="40" t="n">
        <x:v>0.9836065573770492</x:v>
      </x:c>
      <x:c r="AB62" s="31" t="n">
        <x:v>0.08544779999698769</x:v>
      </x:c>
      <x:c r="AC62" s="31" t="n">
        <x:v>5</x:v>
      </x:c>
      <x:c r="AD62" s="44" t="b">
        <x:v>1</x:v>
      </x:c>
    </x:row>
    <x:row r="63">
      <x:c r="A63" s="31" t="str">
        <x:v>36005008400</x:v>
      </x:c>
      <x:c r="B63" s="31" t="str">
        <x:v>Bronx</x:v>
      </x:c>
      <x:c r="C63" s="31" t="str">
        <x:v>008400</x:v>
      </x:c>
      <x:c r="D63" s="31" t="str">
        <x:v>BX0903</x:v>
      </x:c>
      <x:c r="E63" s="31" t="str">
        <x:v>Castle Hill-Unionport</x:v>
      </x:c>
      <x:c r="F63" s="31" t="n">
        <x:v>0.06008230162957702</x:v>
      </x:c>
      <x:c r="G63" s="31" t="n">
        <x:v>40.815606353699216</x:v>
      </x:c>
      <x:c r="H63" s="31" t="n">
        <x:v>-73.84776170832532</x:v>
      </x:c>
      <x:c r="I63" s="31" t="n">
        <x:v>2587</x:v>
      </x:c>
      <x:c r="J63" s="31" t="n">
        <x:v>43057.60481596604</x:v>
      </x:c>
      <x:c r="K63" s="31"/>
      <x:c r="L63" s="40"/>
      <x:c r="M63" s="40"/>
      <x:c r="N63" s="31" t="n">
        <x:v>392</x:v>
      </x:c>
      <x:c r="O63" s="31" t="n">
        <x:v>744</x:v>
      </x:c>
      <x:c r="P63" s="31" t="n">
        <x:v>2.730510752688172</x:v>
      </x:c>
      <x:c r="Q63" s="40" t="n">
        <x:v>0</x:v>
      </x:c>
      <x:c r="R63" s="40" t="n">
        <x:v>0.7446236559139785</x:v>
      </x:c>
      <x:c r="S63" s="40" t="n">
        <x:v>0.002688172043010753</x:v>
      </x:c>
      <x:c r="T63" s="31" t="n">
        <x:v>28.296410273413976</x:v>
      </x:c>
      <x:c r="U63" s="31" t="n">
        <x:v>39</x:v>
      </x:c>
      <x:c r="V63" s="31" t="n">
        <x:v>0</x:v>
      </x:c>
      <x:c r="W63" s="31" t="n">
        <x:v>0</x:v>
      </x:c>
      <x:c r="X63" s="31" t="n">
        <x:v>4</x:v>
      </x:c>
      <x:c r="Y63" s="40" t="n">
        <x:v>1</x:v>
      </x:c>
      <x:c r="Z63" s="40" t="n">
        <x:v>1</x:v>
      </x:c>
      <x:c r="AA63" s="40" t="n">
        <x:v>1</x:v>
      </x:c>
      <x:c r="AB63" s="31" t="n">
        <x:v>0.276274714210597</x:v>
      </x:c>
      <x:c r="AC63" s="31" t="n">
        <x:v>4</x:v>
      </x:c>
      <x:c r="AD63" s="44" t="b">
        <x:v>1</x:v>
      </x:c>
    </x:row>
    <x:row r="64">
      <x:c r="A64" s="31" t="str">
        <x:v>36005008500</x:v>
      </x:c>
      <x:c r="B64" s="31" t="str">
        <x:v>Bronx</x:v>
      </x:c>
      <x:c r="C64" s="31" t="str">
        <x:v>008500</x:v>
      </x:c>
      <x:c r="D64" s="31" t="str">
        <x:v>BX0202</x:v>
      </x:c>
      <x:c r="E64" s="31" t="str">
        <x:v>Longwood</x:v>
      </x:c>
      <x:c r="F64" s="31" t="n">
        <x:v>0.0705252677459969</x:v>
      </x:c>
      <x:c r="G64" s="31" t="n">
        <x:v>40.81626722114937</x:v>
      </x:c>
      <x:c r="H64" s="31" t="n">
        <x:v>-73.89907830940234</x:v>
      </x:c>
      <x:c r="I64" s="31" t="n">
        <x:v>5894</x:v>
      </x:c>
      <x:c r="J64" s="31" t="n">
        <x:v>83572.88371066908</x:v>
      </x:c>
      <x:c r="K64" s="31"/>
      <x:c r="L64" s="40"/>
      <x:c r="M64" s="40"/>
      <x:c r="N64" s="31" t="n">
        <x:v>216</x:v>
      </x:c>
      <x:c r="O64" s="31" t="n">
        <x:v>2182</x:v>
      </x:c>
      <x:c r="P64" s="31" t="n">
        <x:v>5.204399633363886</x:v>
      </x:c>
      <x:c r="Q64" s="40" t="n">
        <x:v>0</x:v>
      </x:c>
      <x:c r="R64" s="40" t="n">
        <x:v>0.8175985334555453</x:v>
      </x:c>
      <x:c r="S64" s="40" t="n">
        <x:v>0.01833180568285976</x:v>
      </x:c>
      <x:c r="T64" s="31" t="n">
        <x:v>55.50870225473877</x:v>
      </x:c>
      <x:c r="U64" s="31" t="n">
        <x:v>88.33803475</x:v>
      </x:c>
      <x:c r="V64" s="31" t="n">
        <x:v>30</x:v>
      </x:c>
      <x:c r="W64" s="31" t="n">
        <x:v>5.0899219545300305</x:v>
      </x:c>
      <x:c r="X64" s="31" t="n">
        <x:v>5</x:v>
      </x:c>
      <x:c r="Y64" s="40" t="n">
        <x:v>1</x:v>
      </x:c>
      <x:c r="Z64" s="40" t="n">
        <x:v>1</x:v>
      </x:c>
      <x:c r="AA64" s="40" t="n">
        <x:v>1</x:v>
      </x:c>
      <x:c r="AB64" s="31" t="n">
        <x:v>0.10841335784430854</x:v>
      </x:c>
      <x:c r="AC64" s="31" t="n">
        <x:v>6</x:v>
      </x:c>
      <x:c r="AD64" s="44" t="b">
        <x:v>1</x:v>
      </x:c>
    </x:row>
    <x:row r="65">
      <x:c r="A65" s="31" t="str">
        <x:v>36005008600</x:v>
      </x:c>
      <x:c r="B65" s="31" t="str">
        <x:v>Bronx</x:v>
      </x:c>
      <x:c r="C65" s="31" t="str">
        <x:v>008600</x:v>
      </x:c>
      <x:c r="D65" s="31" t="str">
        <x:v>BX0903</x:v>
      </x:c>
      <x:c r="E65" s="31" t="str">
        <x:v>Castle Hill-Unionport</x:v>
      </x:c>
      <x:c r="F65" s="31" t="n">
        <x:v>0.07245321921666954</x:v>
      </x:c>
      <x:c r="G65" s="31" t="n">
        <x:v>40.81987917343251</x:v>
      </x:c>
      <x:c r="H65" s="31" t="n">
        <x:v>-73.84980806718576</x:v>
      </x:c>
      <x:c r="I65" s="31" t="n">
        <x:v>4145</x:v>
      </x:c>
      <x:c r="J65" s="31" t="n">
        <x:v>57209.32823708607</x:v>
      </x:c>
      <x:c r="K65" s="31"/>
      <x:c r="L65" s="40"/>
      <x:c r="M65" s="40"/>
      <x:c r="N65" s="31" t="n">
        <x:v>112</x:v>
      </x:c>
      <x:c r="O65" s="31" t="n">
        <x:v>1493</x:v>
      </x:c>
      <x:c r="P65" s="31" t="n">
        <x:v>9.905559276624247</x:v>
      </x:c>
      <x:c r="Q65" s="40" t="n">
        <x:v>0.7809778968519759</x:v>
      </x:c>
      <x:c r="R65" s="40" t="n">
        <x:v>0.05626255860683188</x:v>
      </x:c>
      <x:c r="S65" s="40" t="n">
        <x:v>0.7829872739450771</x:v>
      </x:c>
      <x:c r="T65" s="31" t="n">
        <x:v>161.3512584264635</x:v>
      </x:c>
      <x:c r="U65" s="31" t="n">
        <x:v>202.35790537</x:v>
      </x:c>
      <x:c r="V65" s="31" t="n">
        <x:v>18</x:v>
      </x:c>
      <x:c r="W65" s="31" t="n">
        <x:v>4.342581423401689</x:v>
      </x:c>
      <x:c r="X65" s="31" t="n">
        <x:v>4</x:v>
      </x:c>
      <x:c r="Y65" s="40" t="n">
        <x:v>1</x:v>
      </x:c>
      <x:c r="Z65" s="40" t="n">
        <x:v>1</x:v>
      </x:c>
      <x:c r="AA65" s="40" t="n">
        <x:v>1</x:v>
      </x:c>
      <x:c r="AB65" s="31" t="n">
        <x:v>0.055652967095348074</x:v>
      </x:c>
      <x:c r="AC65" s="31" t="n">
        <x:v>4</x:v>
      </x:c>
      <x:c r="AD65" s="44" t="b">
        <x:v>1</x:v>
      </x:c>
    </x:row>
    <x:row r="66">
      <x:c r="A66" s="31" t="str">
        <x:v>36005008700</x:v>
      </x:c>
      <x:c r="B66" s="31" t="str">
        <x:v>Bronx</x:v>
      </x:c>
      <x:c r="C66" s="31" t="str">
        <x:v>008700</x:v>
      </x:c>
      <x:c r="D66" s="31" t="str">
        <x:v>BX0202</x:v>
      </x:c>
      <x:c r="E66" s="31" t="str">
        <x:v>Longwood</x:v>
      </x:c>
      <x:c r="F66" s="31" t="n">
        <x:v>0.08259990705205464</x:v>
      </x:c>
      <x:c r="G66" s="31" t="n">
        <x:v>40.819674330706874</x:v>
      </x:c>
      <x:c r="H66" s="31" t="n">
        <x:v>-73.89727310617326</x:v>
      </x:c>
      <x:c r="I66" s="31" t="n">
        <x:v>5976</x:v>
      </x:c>
      <x:c r="J66" s="31" t="n">
        <x:v>72348.74969331275</x:v>
      </x:c>
      <x:c r="K66" s="31"/>
      <x:c r="L66" s="40"/>
      <x:c r="M66" s="40"/>
      <x:c r="N66" s="31" t="n">
        <x:v>143</x:v>
      </x:c>
      <x:c r="O66" s="31" t="n">
        <x:v>2193</x:v>
      </x:c>
      <x:c r="P66" s="31" t="n">
        <x:v>5.645690834473324</x:v>
      </x:c>
      <x:c r="Q66" s="40" t="n">
        <x:v>0.0506155950752394</x:v>
      </x:c>
      <x:c r="R66" s="40" t="n">
        <x:v>0.9165526675786594</x:v>
      </x:c>
      <x:c r="S66" s="40" t="n">
        <x:v>0.008207934336525308</x:v>
      </x:c>
      <x:c r="T66" s="31" t="n">
        <x:v>62.78381971845374</x:v>
      </x:c>
      <x:c r="U66" s="31" t="n">
        <x:v>140</x:v>
      </x:c>
      <x:c r="V66" s="31" t="n">
        <x:v>28</x:v>
      </x:c>
      <x:c r="W66" s="31" t="n">
        <x:v>4.685408299866132</x:v>
      </x:c>
      <x:c r="X66" s="31" t="n">
        <x:v>5</x:v>
      </x:c>
      <x:c r="Y66" s="40" t="n">
        <x:v>1</x:v>
      </x:c>
      <x:c r="Z66" s="40" t="n">
        <x:v>1</x:v>
      </x:c>
      <x:c r="AA66" s="40" t="n">
        <x:v>0.9908800729594163</x:v>
      </x:c>
      <x:c r="AB66" s="31" t="n">
        <x:v>0.06857886169659902</x:v>
      </x:c>
      <x:c r="AC66" s="31" t="n">
        <x:v>6</x:v>
      </x:c>
      <x:c r="AD66" s="44" t="b">
        <x:v>1</x:v>
      </x:c>
    </x:row>
    <x:row r="67">
      <x:c r="A67" s="31" t="str">
        <x:v>36005008900</x:v>
      </x:c>
      <x:c r="B67" s="31" t="str">
        <x:v>Bronx</x:v>
      </x:c>
      <x:c r="C67" s="31" t="str">
        <x:v>008900</x:v>
      </x:c>
      <x:c r="D67" s="31" t="str">
        <x:v>BX0201</x:v>
      </x:c>
      <x:c r="E67" s="31" t="str">
        <x:v>Hunts Point</x:v>
      </x:c>
      <x:c r="F67" s="31" t="n">
        <x:v>0.042200047732294535</x:v>
      </x:c>
      <x:c r="G67" s="31" t="n">
        <x:v>40.81855955057367</x:v>
      </x:c>
      <x:c r="H67" s="31" t="n">
        <x:v>-73.89391710958023</x:v>
      </x:c>
      <x:c r="I67" s="31" t="n">
        <x:v>3118</x:v>
      </x:c>
      <x:c r="J67" s="31" t="n">
        <x:v>73886.17235174074</x:v>
      </x:c>
      <x:c r="K67" s="31"/>
      <x:c r="L67" s="40"/>
      <x:c r="M67" s="40"/>
      <x:c r="N67" s="31" t="n">
        <x:v>84</x:v>
      </x:c>
      <x:c r="O67" s="31" t="n">
        <x:v>1495</x:v>
      </x:c>
      <x:c r="P67" s="31" t="n">
        <x:v>6.395317725752508</x:v>
      </x:c>
      <x:c r="Q67" s="40" t="n">
        <x:v>0.22675585284280936</x:v>
      </x:c>
      <x:c r="R67" s="40" t="n">
        <x:v>0.7625418060200669</x:v>
      </x:c>
      <x:c r="S67" s="40" t="n">
        <x:v>0</x:v>
      </x:c>
      <x:c r="T67" s="31" t="n">
        <x:v>74.10952494683612</x:v>
      </x:c>
      <x:c r="U67" s="31" t="n">
        <x:v>120</x:v>
      </x:c>
      <x:c r="V67" s="31" t="n">
        <x:v>17</x:v>
      </x:c>
      <x:c r="W67" s="31" t="n">
        <x:v>5.452212957023733</x:v>
      </x:c>
      <x:c r="X67" s="31" t="n">
        <x:v>5</x:v>
      </x:c>
      <x:c r="Y67" s="40" t="n">
        <x:v>1</x:v>
      </x:c>
      <x:c r="Z67" s="40" t="n">
        <x:v>1</x:v>
      </x:c>
      <x:c r="AA67" s="40" t="n">
        <x:v>1</x:v>
      </x:c>
      <x:c r="AB67" s="31" t="n">
        <x:v>0.014852201478828719</x:v>
      </x:c>
      <x:c r="AC67" s="31" t="n">
        <x:v>7</x:v>
      </x:c>
      <x:c r="AD67" s="44" t="b">
        <x:v>1</x:v>
      </x:c>
    </x:row>
    <x:row r="68">
      <x:c r="A68" s="31" t="str">
        <x:v>36005009000</x:v>
      </x:c>
      <x:c r="B68" s="31" t="str">
        <x:v>Bronx</x:v>
      </x:c>
      <x:c r="C68" s="31" t="str">
        <x:v>009000</x:v>
      </x:c>
      <x:c r="D68" s="31" t="str">
        <x:v>BX0903</x:v>
      </x:c>
      <x:c r="E68" s="31" t="str">
        <x:v>Castle Hill-Unionport</x:v>
      </x:c>
      <x:c r="F68" s="31" t="n">
        <x:v>0.40604633722523525</x:v>
      </x:c>
      <x:c r="G68" s="31" t="n">
        <x:v>40.82171346720573</x:v>
      </x:c>
      <x:c r="H68" s="31" t="n">
        <x:v>-73.84174245171093</x:v>
      </x:c>
      <x:c r="I68" s="31" t="n">
        <x:v>3911</x:v>
      </x:c>
      <x:c r="J68" s="31" t="n">
        <x:v>9631.905626156542</x:v>
      </x:c>
      <x:c r="K68" s="31"/>
      <x:c r="L68" s="40"/>
      <x:c r="M68" s="40"/>
      <x:c r="N68" s="31" t="n">
        <x:v>257</x:v>
      </x:c>
      <x:c r="O68" s="31" t="n">
        <x:v>1258</x:v>
      </x:c>
      <x:c r="P68" s="31" t="n">
        <x:v>9.102918699186992</x:v>
      </x:c>
      <x:c r="Q68" s="40" t="n">
        <x:v>0.6891891891891891</x:v>
      </x:c>
      <x:c r="R68" s="40" t="n">
        <x:v>0.05246422893481717</x:v>
      </x:c>
      <x:c r="S68" s="40" t="n">
        <x:v>0.4682034976152623</x:v>
      </x:c>
      <x:c r="T68" s="31" t="n">
        <x:v>128.23668884659998</x:v>
      </x:c>
      <x:c r="U68" s="31" t="n">
        <x:v>193.82</x:v>
      </x:c>
      <x:c r="V68" s="31" t="n">
        <x:v>13</x:v>
      </x:c>
      <x:c r="W68" s="31" t="n">
        <x:v>3.3239580669905395</x:v>
      </x:c>
      <x:c r="X68" s="31" t="n">
        <x:v>3.840222575516693</x:v>
      </x:c>
      <x:c r="Y68" s="40" t="n">
        <x:v>0.9467408585055644</x:v>
      </x:c>
      <x:c r="Z68" s="40" t="n">
        <x:v>1</x:v>
      </x:c>
      <x:c r="AA68" s="40" t="n">
        <x:v>0.9936406995230525</x:v>
      </x:c>
      <x:c r="AB68" s="31" t="n">
        <x:v>0.40234300827411196</x:v>
      </x:c>
      <x:c r="AC68" s="31" t="n">
        <x:v>7</x:v>
      </x:c>
      <x:c r="AD68" s="44" t="b">
        <x:v>1</x:v>
      </x:c>
    </x:row>
    <x:row r="69">
      <x:c r="A69" s="31" t="str">
        <x:v>36005009200</x:v>
      </x:c>
      <x:c r="B69" s="31" t="str">
        <x:v>Bronx</x:v>
      </x:c>
      <x:c r="C69" s="31" t="str">
        <x:v>009200</x:v>
      </x:c>
      <x:c r="D69" s="31" t="str">
        <x:v>BX0903</x:v>
      </x:c>
      <x:c r="E69" s="31" t="str">
        <x:v>Castle Hill-Unionport</x:v>
      </x:c>
      <x:c r="F69" s="31" t="n">
        <x:v>0.11962659017770029</x:v>
      </x:c>
      <x:c r="G69" s="31" t="n">
        <x:v>40.832341902346194</x:v>
      </x:c>
      <x:c r="H69" s="31" t="n">
        <x:v>-73.85215179208333</x:v>
      </x:c>
      <x:c r="I69" s="31" t="n">
        <x:v>6271</x:v>
      </x:c>
      <x:c r="J69" s="31" t="n">
        <x:v>52421.455720544174</x:v>
      </x:c>
      <x:c r="K69" s="31"/>
      <x:c r="L69" s="40"/>
      <x:c r="M69" s="40"/>
      <x:c r="N69" s="31" t="n">
        <x:v>439</x:v>
      </x:c>
      <x:c r="O69" s="31" t="n">
        <x:v>2108</x:v>
      </x:c>
      <x:c r="P69" s="31" t="n">
        <x:v>4.457424098671726</x:v>
      </x:c>
      <x:c r="Q69" s="40" t="n">
        <x:v>0.09772296015180265</x:v>
      </x:c>
      <x:c r="R69" s="40" t="n">
        <x:v>0.5616698292220114</x:v>
      </x:c>
      <x:c r="S69" s="40" t="n">
        <x:v>0.06783681214421253</x:v>
      </x:c>
      <x:c r="T69" s="31" t="n">
        <x:v>48.65685224482922</x:v>
      </x:c>
      <x:c r="U69" s="31" t="n">
        <x:v>113</x:v>
      </x:c>
      <x:c r="V69" s="31" t="n">
        <x:v>12</x:v>
      </x:c>
      <x:c r="W69" s="31" t="n">
        <x:v>1.9135704034444267</x:v>
      </x:c>
      <x:c r="X69" s="31" t="n">
        <x:v>5</x:v>
      </x:c>
      <x:c r="Y69" s="40" t="n">
        <x:v>1</x:v>
      </x:c>
      <x:c r="Z69" s="40" t="n">
        <x:v>1</x:v>
      </x:c>
      <x:c r="AA69" s="40" t="n">
        <x:v>1</x:v>
      </x:c>
      <x:c r="AB69" s="31" t="n">
        <x:v>0.20393329219010825</x:v>
      </x:c>
      <x:c r="AC69" s="31" t="n">
        <x:v>5</x:v>
      </x:c>
      <x:c r="AD69" s="44" t="b">
        <x:v>1</x:v>
      </x:c>
    </x:row>
    <x:row r="70">
      <x:c r="A70" s="31" t="str">
        <x:v>36005009301</x:v>
      </x:c>
      <x:c r="B70" s="31" t="str">
        <x:v>Bronx</x:v>
      </x:c>
      <x:c r="C70" s="31" t="str">
        <x:v>009301</x:v>
      </x:c>
      <x:c r="D70" s="31" t="str">
        <x:v>BX0201</x:v>
      </x:c>
      <x:c r="E70" s="31" t="str">
        <x:v>Hunts Point</x:v>
      </x:c>
      <x:c r="F70" s="31" t="n">
        <x:v>0.22065205074537994</x:v>
      </x:c>
      <x:c r="G70" s="31" t="n">
        <x:v>40.81435464737056</x:v>
      </x:c>
      <x:c r="H70" s="31" t="n">
        <x:v>-73.8891147245958</x:v>
      </x:c>
      <x:c r="I70" s="31" t="n">
        <x:v>5551</x:v>
      </x:c>
      <x:c r="J70" s="31" t="n">
        <x:v>25157.255422047005</x:v>
      </x:c>
      <x:c r="K70" s="31"/>
      <x:c r="L70" s="40"/>
      <x:c r="M70" s="40"/>
      <x:c r="N70" s="31" t="n">
        <x:v>283</x:v>
      </x:c>
      <x:c r="O70" s="31" t="n">
        <x:v>2654</x:v>
      </x:c>
      <x:c r="P70" s="31" t="n">
        <x:v>6.447249434815373</x:v>
      </x:c>
      <x:c r="Q70" s="40" t="n">
        <x:v>0.20422004521477016</x:v>
      </x:c>
      <x:c r="R70" s="40" t="n">
        <x:v>0.6217030896759608</x:v>
      </x:c>
      <x:c r="S70" s="40" t="n">
        <x:v>0.0015071590052750565</x:v>
      </x:c>
      <x:c r="T70" s="31" t="n">
        <x:v>73.57133744234517</x:v>
      </x:c>
      <x:c r="U70" s="31" t="n">
        <x:v>192</x:v>
      </x:c>
      <x:c r="V70" s="31" t="n">
        <x:v>17</x:v>
      </x:c>
      <x:c r="W70" s="31" t="n">
        <x:v>3.0625112592325707</x:v>
      </x:c>
      <x:c r="X70" s="31" t="n">
        <x:v>5</x:v>
      </x:c>
      <x:c r="Y70" s="40" t="n">
        <x:v>1</x:v>
      </x:c>
      <x:c r="Z70" s="40" t="n">
        <x:v>1</x:v>
      </x:c>
      <x:c r="AA70" s="40" t="n">
        <x:v>0.9977392614920875</x:v>
      </x:c>
      <x:c r="AB70" s="31" t="n">
        <x:v>0.11889847523611899</x:v>
      </x:c>
      <x:c r="AC70" s="31" t="n">
        <x:v>6</x:v>
      </x:c>
      <x:c r="AD70" s="44" t="b">
        <x:v>1</x:v>
      </x:c>
    </x:row>
    <x:row r="71">
      <x:c r="A71" s="31" t="str">
        <x:v>36005009302</x:v>
      </x:c>
      <x:c r="B71" s="31" t="str">
        <x:v>Bronx</x:v>
      </x:c>
      <x:c r="C71" s="31" t="str">
        <x:v>009302</x:v>
      </x:c>
      <x:c r="D71" s="31" t="str">
        <x:v>BX0201</x:v>
      </x:c>
      <x:c r="E71" s="31" t="str">
        <x:v>Hunts Point</x:v>
      </x:c>
      <x:c r="F71" s="31" t="n">
        <x:v>0.6845153439293503</x:v>
      </x:c>
      <x:c r="G71" s="31" t="n">
        <x:v>40.8077463625564</x:v>
      </x:c>
      <x:c r="H71" s="31" t="n">
        <x:v>-73.88937120051793</x:v>
      </x:c>
      <x:c r="I71" s="31" t="n">
        <x:v>512</x:v>
      </x:c>
      <x:c r="J71" s="31" t="n">
        <x:v>747.974467688257</x:v>
      </x:c>
      <x:c r="K71" s="31"/>
      <x:c r="L71" s="40"/>
      <x:c r="M71" s="40"/>
      <x:c r="N71" s="31" t="n">
        <x:v>3</x:v>
      </x:c>
      <x:c r="O71" s="31" t="n">
        <x:v>8</x:v>
      </x:c>
      <x:c r="P71" s="31" t="n">
        <x:v>1.96875</x:v>
      </x:c>
      <x:c r="Q71" s="40" t="n">
        <x:v>0</x:v>
      </x:c>
      <x:c r="R71" s="40" t="n">
        <x:v>0</x:v>
      </x:c>
      <x:c r="S71" s="40" t="n">
        <x:v>0</x:v>
      </x:c>
      <x:c r="T71" s="31" t="n">
        <x:v>26.25875</x:v>
      </x:c>
      <x:c r="U71" s="31" t="n">
        <x:v>32.52</x:v>
      </x:c>
      <x:c r="V71" s="31" t="n">
        <x:v>0</x:v>
      </x:c>
      <x:c r="W71" s="31" t="n">
        <x:v>0</x:v>
      </x:c>
      <x:c r="X71" s="31" t="n">
        <x:v>5</x:v>
      </x:c>
      <x:c r="Y71" s="40" t="n">
        <x:v>1</x:v>
      </x:c>
      <x:c r="Z71" s="40" t="n">
        <x:v>1</x:v>
      </x:c>
      <x:c r="AA71" s="40" t="n">
        <x:v>1</x:v>
      </x:c>
      <x:c r="AB71" s="31" t="n">
        <x:v>0.45923132913469095</x:v>
      </x:c>
      <x:c r="AC71" s="31" t="n">
        <x:v>8</x:v>
      </x:c>
      <x:c r="AD71" s="44" t="b">
        <x:v>1</x:v>
      </x:c>
    </x:row>
    <x:row r="72">
      <x:c r="A72" s="31" t="str">
        <x:v>36005009600</x:v>
      </x:c>
      <x:c r="B72" s="31" t="str">
        <x:v>Bronx</x:v>
      </x:c>
      <x:c r="C72" s="31" t="str">
        <x:v>009600</x:v>
      </x:c>
      <x:c r="D72" s="31" t="str">
        <x:v>BX1001</x:v>
      </x:c>
      <x:c r="E72" s="31" t="str">
        <x:v>Westchester Square</x:v>
      </x:c>
      <x:c r="F72" s="31" t="n">
        <x:v>0.2608076090812242</x:v>
      </x:c>
      <x:c r="G72" s="31" t="n">
        <x:v>40.83452072538305</x:v>
      </x:c>
      <x:c r="H72" s="31" t="n">
        <x:v>-73.84384305752121</x:v>
      </x:c>
      <x:c r="I72" s="31" t="n">
        <x:v>2946</x:v>
      </x:c>
      <x:c r="J72" s="31" t="n">
        <x:v>11295.682707947824</x:v>
      </x:c>
      <x:c r="K72" s="31"/>
      <x:c r="L72" s="40"/>
      <x:c r="M72" s="40"/>
      <x:c r="N72" s="31" t="n">
        <x:v>308</x:v>
      </x:c>
      <x:c r="O72" s="31" t="n">
        <x:v>762</x:v>
      </x:c>
      <x:c r="P72" s="31" t="n">
        <x:v>2.533792650918635</x:v>
      </x:c>
      <x:c r="Q72" s="40" t="n">
        <x:v>0</x:v>
      </x:c>
      <x:c r="R72" s="40" t="n">
        <x:v>0.33989501312335957</x:v>
      </x:c>
      <x:c r="S72" s="40" t="n">
        <x:v>0.014435695538057743</x:v>
      </x:c>
      <x:c r="T72" s="31" t="n">
        <x:v>30.921513422993375</x:v>
      </x:c>
      <x:c r="U72" s="31" t="n">
        <x:v>54.65749481</x:v>
      </x:c>
      <x:c r="V72" s="31" t="n">
        <x:v>0</x:v>
      </x:c>
      <x:c r="W72" s="31" t="n">
        <x:v>0</x:v>
      </x:c>
      <x:c r="X72" s="31" t="n">
        <x:v>4.715223097112861</x:v>
      </x:c>
      <x:c r="Y72" s="40" t="n">
        <x:v>1</x:v>
      </x:c>
      <x:c r="Z72" s="40" t="n">
        <x:v>1</x:v>
      </x:c>
      <x:c r="AA72" s="40" t="n">
        <x:v>0.9908136482939632</x:v>
      </x:c>
      <x:c r="AB72" s="31" t="n">
        <x:v>0.14937550066297586</x:v>
      </x:c>
      <x:c r="AC72" s="31" t="n">
        <x:v>9</x:v>
      </x:c>
      <x:c r="AD72" s="44" t="b">
        <x:v>1</x:v>
      </x:c>
    </x:row>
    <x:row r="73">
      <x:c r="A73" s="31" t="str">
        <x:v>36005009800</x:v>
      </x:c>
      <x:c r="B73" s="31" t="str">
        <x:v>Bronx</x:v>
      </x:c>
      <x:c r="C73" s="31" t="str">
        <x:v>009800</x:v>
      </x:c>
      <x:c r="D73" s="31" t="str">
        <x:v>BX0903</x:v>
      </x:c>
      <x:c r="E73" s="31" t="str">
        <x:v>Castle Hill-Unionport</x:v>
      </x:c>
      <x:c r="F73" s="31" t="n">
        <x:v>0.19985590582242882</x:v>
      </x:c>
      <x:c r="G73" s="31" t="n">
        <x:v>40.82545000237269</x:v>
      </x:c>
      <x:c r="H73" s="31" t="n">
        <x:v>-73.84951221276172</x:v>
      </x:c>
      <x:c r="I73" s="31" t="n">
        <x:v>5903</x:v>
      </x:c>
      <x:c r="J73" s="31" t="n">
        <x:v>29536.2800298971</x:v>
      </x:c>
      <x:c r="K73" s="31"/>
      <x:c r="L73" s="40"/>
      <x:c r="M73" s="40"/>
      <x:c r="N73" s="31" t="n">
        <x:v>723</x:v>
      </x:c>
      <x:c r="O73" s="31" t="n">
        <x:v>2095</x:v>
      </x:c>
      <x:c r="P73" s="31" t="n">
        <x:v>5.445947494033413</x:v>
      </x:c>
      <x:c r="Q73" s="40" t="n">
        <x:v>0.32744630071599046</x:v>
      </x:c>
      <x:c r="R73" s="40" t="n">
        <x:v>0.1350835322195704</x:v>
      </x:c>
      <x:c r="S73" s="40" t="n">
        <x:v>0.005727923627684964</x:v>
      </x:c>
      <x:c r="T73" s="31" t="n">
        <x:v>62.75819875352604</x:v>
      </x:c>
      <x:c r="U73" s="31" t="n">
        <x:v>170.04</x:v>
      </x:c>
      <x:c r="V73" s="31" t="n">
        <x:v>8</x:v>
      </x:c>
      <x:c r="W73" s="31" t="n">
        <x:v>1.355243096730476</x:v>
      </x:c>
      <x:c r="X73" s="31" t="n">
        <x:v>4</x:v>
      </x:c>
      <x:c r="Y73" s="40" t="n">
        <x:v>1</x:v>
      </x:c>
      <x:c r="Z73" s="40" t="n">
        <x:v>1</x:v>
      </x:c>
      <x:c r="AA73" s="40" t="n">
        <x:v>0.9990453460620525</x:v>
      </x:c>
      <x:c r="AB73" s="31" t="n">
        <x:v>0.08776768674533966</x:v>
      </x:c>
      <x:c r="AC73" s="31" t="n">
        <x:v>8</x:v>
      </x:c>
      <x:c r="AD73" s="44" t="b">
        <x:v>1</x:v>
      </x:c>
    </x:row>
    <x:row r="74">
      <x:c r="A74" s="31" t="str">
        <x:v>36005011000</x:v>
      </x:c>
      <x:c r="B74" s="31" t="str">
        <x:v>Bronx</x:v>
      </x:c>
      <x:c r="C74" s="31" t="str">
        <x:v>011000</x:v>
      </x:c>
      <x:c r="D74" s="31" t="str">
        <x:v>BX1091</x:v>
      </x:c>
      <x:c r="E74" s="31" t="str">
        <x:v>Ferry Point Park-St. Raymond Cemetery</x:v>
      </x:c>
      <x:c r="F74" s="31" t="n">
        <x:v>0.7799474692485939</x:v>
      </x:c>
      <x:c r="G74" s="31" t="n">
        <x:v>40.8166225615944</x:v>
      </x:c>
      <x:c r="H74" s="31" t="n">
        <x:v>-73.83258347362234</x:v>
      </x:c>
      <x:c r="I74" s="31" t="n">
        <x:v>0</x:v>
      </x:c>
      <x:c r="J74" s="31" t="n">
        <x:v>0</x:v>
      </x:c>
      <x:c r="K74" s="31"/>
      <x:c r="L74" s="40"/>
      <x:c r="M74" s="40"/>
      <x:c r="N74" s="31" t="n">
        <x:v>0</x:v>
      </x:c>
      <x:c r="O74" s="31"/>
      <x:c r="P74" s="31"/>
      <x:c r="Q74" s="40"/>
      <x:c r="R74" s="40"/>
      <x:c r="S74" s="40"/>
      <x:c r="T74" s="31"/>
      <x:c r="U74" s="31"/>
      <x:c r="V74" s="31" t="n">
        <x:v>0</x:v>
      </x:c>
      <x:c r="W74" s="31"/>
      <x:c r="X74" s="31"/>
      <x:c r="Y74" s="40"/>
      <x:c r="Z74" s="40"/>
      <x:c r="AA74" s="40"/>
      <x:c r="AB74" s="31" t="n">
        <x:v>0.49091176088441074</x:v>
      </x:c>
      <x:c r="AC74" s="31" t="n">
        <x:v>6</x:v>
      </x:c>
      <x:c r="AD74" s="44" t="b">
        <x:v>0</x:v>
      </x:c>
    </x:row>
    <x:row r="75">
      <x:c r="A75" s="31" t="str">
        <x:v>36005011502</x:v>
      </x:c>
      <x:c r="B75" s="31" t="str">
        <x:v>Bronx</x:v>
      </x:c>
      <x:c r="C75" s="31" t="str">
        <x:v>011502</x:v>
      </x:c>
      <x:c r="D75" s="31" t="str">
        <x:v>BX0201</x:v>
      </x:c>
      <x:c r="E75" s="31" t="str">
        <x:v>Hunts Point</x:v>
      </x:c>
      <x:c r="F75" s="31" t="n">
        <x:v>0.13368857743701215</x:v>
      </x:c>
      <x:c r="G75" s="31" t="n">
        <x:v>40.81968692052258</x:v>
      </x:c>
      <x:c r="H75" s="31" t="n">
        <x:v>-73.8860286912264</x:v>
      </x:c>
      <x:c r="I75" s="31" t="n">
        <x:v>4396</x:v>
      </x:c>
      <x:c r="J75" s="31" t="n">
        <x:v>32882.390435122936</x:v>
      </x:c>
      <x:c r="K75" s="31"/>
      <x:c r="L75" s="40"/>
      <x:c r="M75" s="40"/>
      <x:c r="N75" s="31" t="n">
        <x:v>180</x:v>
      </x:c>
      <x:c r="O75" s="31" t="n">
        <x:v>1641</x:v>
      </x:c>
      <x:c r="P75" s="31" t="n">
        <x:v>4.7586837294332724</x:v>
      </x:c>
      <x:c r="Q75" s="40" t="n">
        <x:v>0</x:v>
      </x:c>
      <x:c r="R75" s="40" t="n">
        <x:v>0.850091407678245</x:v>
      </x:c>
      <x:c r="S75" s="40" t="n">
        <x:v>0</x:v>
      </x:c>
      <x:c r="T75" s="31" t="n">
        <x:v>55.781370446272675</x:v>
      </x:c>
      <x:c r="U75" s="31" t="n">
        <x:v>86.53</x:v>
      </x:c>
      <x:c r="V75" s="31" t="n">
        <x:v>12</x:v>
      </x:c>
      <x:c r="W75" s="31" t="n">
        <x:v>2.72975432211101</x:v>
      </x:c>
      <x:c r="X75" s="31" t="n">
        <x:v>5</x:v>
      </x:c>
      <x:c r="Y75" s="40" t="n">
        <x:v>1</x:v>
      </x:c>
      <x:c r="Z75" s="40" t="n">
        <x:v>1</x:v>
      </x:c>
      <x:c r="AA75" s="40" t="n">
        <x:v>0.9744058500914077</x:v>
      </x:c>
      <x:c r="AB75" s="31" t="n">
        <x:v>0.15514665841032474</x:v>
      </x:c>
      <x:c r="AC75" s="31" t="n">
        <x:v>9</x:v>
      </x:c>
      <x:c r="AD75" s="44" t="b">
        <x:v>1</x:v>
      </x:c>
    </x:row>
    <x:row r="76">
      <x:c r="A76" s="31" t="str">
        <x:v>36005011701</x:v>
      </x:c>
      <x:c r="B76" s="31" t="str">
        <x:v>Bronx</x:v>
      </x:c>
      <x:c r="C76" s="31" t="str">
        <x:v>011701</x:v>
      </x:c>
      <x:c r="D76" s="31" t="str">
        <x:v>BX0201</x:v>
      </x:c>
      <x:c r="E76" s="31" t="str">
        <x:v>Hunts Point</x:v>
      </x:c>
      <x:c r="F76" s="31" t="n">
        <x:v>0.08625397452041725</x:v>
      </x:c>
      <x:c r="G76" s="31" t="n">
        <x:v>40.814370973078375</x:v>
      </x:c>
      <x:c r="H76" s="31" t="n">
        <x:v>-73.88357782008067</x:v>
      </x:c>
      <x:c r="I76" s="31" t="n">
        <x:v>1554</x:v>
      </x:c>
      <x:c r="J76" s="31" t="n">
        <x:v>18016.561076059763</x:v>
      </x:c>
      <x:c r="K76" s="31"/>
      <x:c r="L76" s="40"/>
      <x:c r="M76" s="40"/>
      <x:c r="N76" s="31" t="n">
        <x:v>19</x:v>
      </x:c>
      <x:c r="O76" s="31" t="n">
        <x:v>612</x:v>
      </x:c>
      <x:c r="P76" s="31" t="n">
        <x:v>6.5588235294117645</x:v>
      </x:c>
      <x:c r="Q76" s="40" t="n">
        <x:v>0.18137254901960784</x:v>
      </x:c>
      <x:c r="R76" s="40" t="n">
        <x:v>0.7826797385620915</x:v>
      </x:c>
      <x:c r="S76" s="40" t="n">
        <x:v>0</x:v>
      </x:c>
      <x:c r="T76" s="31" t="n">
        <x:v>70.43573070607553</x:v>
      </x:c>
      <x:c r="U76" s="31" t="n">
        <x:v>101.23</x:v>
      </x:c>
      <x:c r="V76" s="31" t="n">
        <x:v>8</x:v>
      </x:c>
      <x:c r="W76" s="31" t="n">
        <x:v>5.148005148005148</x:v>
      </x:c>
      <x:c r="X76" s="31" t="n">
        <x:v>5</x:v>
      </x:c>
      <x:c r="Y76" s="40" t="n">
        <x:v>1</x:v>
      </x:c>
      <x:c r="Z76" s="40" t="n">
        <x:v>1</x:v>
      </x:c>
      <x:c r="AA76" s="40" t="n">
        <x:v>0.9950980392156863</x:v>
      </x:c>
      <x:c r="AB76" s="31" t="n">
        <x:v>0.13800308751244428</x:v>
      </x:c>
      <x:c r="AC76" s="31" t="n">
        <x:v>4</x:v>
      </x:c>
      <x:c r="AD76" s="44" t="b">
        <x:v>1</x:v>
      </x:c>
    </x:row>
    <x:row r="77">
      <x:c r="A77" s="31" t="str">
        <x:v>36005011702</x:v>
      </x:c>
      <x:c r="B77" s="31" t="str">
        <x:v>Bronx</x:v>
      </x:c>
      <x:c r="C77" s="31" t="str">
        <x:v>011702</x:v>
      </x:c>
      <x:c r="D77" s="31" t="str">
        <x:v>BX0201</x:v>
      </x:c>
      <x:c r="E77" s="31" t="str">
        <x:v>Hunts Point</x:v>
      </x:c>
      <x:c r="F77" s="31" t="n">
        <x:v>0.4481890303281394</x:v>
      </x:c>
      <x:c r="G77" s="31" t="n">
        <x:v>40.80987165639282</x:v>
      </x:c>
      <x:c r="H77" s="31" t="n">
        <x:v>-73.8753442700258</x:v>
      </x:c>
      <x:c r="I77" s="31" t="n">
        <x:v>0</x:v>
      </x:c>
      <x:c r="J77" s="31" t="n">
        <x:v>0</x:v>
      </x:c>
      <x:c r="K77" s="31"/>
      <x:c r="L77" s="40"/>
      <x:c r="M77" s="40"/>
      <x:c r="N77" s="31" t="n">
        <x:v>0</x:v>
      </x:c>
      <x:c r="O77" s="31"/>
      <x:c r="P77" s="31"/>
      <x:c r="Q77" s="40"/>
      <x:c r="R77" s="40"/>
      <x:c r="S77" s="40"/>
      <x:c r="T77" s="31"/>
      <x:c r="U77" s="31"/>
      <x:c r="V77" s="31" t="n">
        <x:v>0</x:v>
      </x:c>
      <x:c r="W77" s="31"/>
      <x:c r="X77" s="31"/>
      <x:c r="Y77" s="40"/>
      <x:c r="Z77" s="40"/>
      <x:c r="AA77" s="40"/>
      <x:c r="AB77" s="31" t="n">
        <x:v>0.6568143313057004</x:v>
      </x:c>
      <x:c r="AC77" s="31" t="n">
        <x:v>5</x:v>
      </x:c>
      <x:c r="AD77" s="44" t="b">
        <x:v>0</x:v>
      </x:c>
    </x:row>
    <x:row r="78">
      <x:c r="A78" s="31" t="str">
        <x:v>36005011800</x:v>
      </x:c>
      <x:c r="B78" s="31" t="str">
        <x:v>Bronx</x:v>
      </x:c>
      <x:c r="C78" s="31" t="str">
        <x:v>011800</x:v>
      </x:c>
      <x:c r="D78" s="31" t="str">
        <x:v>BX1002</x:v>
      </x:c>
      <x:c r="E78" s="31" t="str">
        <x:v>Throgs Neck-Schuylerville</x:v>
      </x:c>
      <x:c r="F78" s="31" t="n">
        <x:v>0.3891460322579488</x:v>
      </x:c>
      <x:c r="G78" s="31" t="n">
        <x:v>40.81262790766998</x:v>
      </x:c>
      <x:c r="H78" s="31" t="n">
        <x:v>-73.80427438026817</x:v>
      </x:c>
      <x:c r="I78" s="31" t="n">
        <x:v>5324</x:v>
      </x:c>
      <x:c r="J78" s="31" t="n">
        <x:v>13681.239325783337</x:v>
      </x:c>
      <x:c r="K78" s="31"/>
      <x:c r="L78" s="40"/>
      <x:c r="M78" s="40"/>
      <x:c r="N78" s="31" t="n">
        <x:v>768</x:v>
      </x:c>
      <x:c r="O78" s="31" t="n">
        <x:v>1685</x:v>
      </x:c>
      <x:c r="P78" s="31" t="n">
        <x:v>2.2085934718100892</x:v>
      </x:c>
      <x:c r="Q78" s="40" t="n">
        <x:v>0</x:v>
      </x:c>
      <x:c r="R78" s="40" t="n">
        <x:v>0.3002967359050445</x:v>
      </x:c>
      <x:c r="S78" s="40" t="n">
        <x:v>0.33887240356083087</x:v>
      </x:c>
      <x:c r="T78" s="31" t="n">
        <x:v>30.761167825356296</x:v>
      </x:c>
      <x:c r="U78" s="31" t="n">
        <x:v>61.84542051</x:v>
      </x:c>
      <x:c r="V78" s="31" t="n">
        <x:v>4</x:v>
      </x:c>
      <x:c r="W78" s="31" t="n">
        <x:v>0.7513148009015778</x:v>
      </x:c>
      <x:c r="X78" s="31" t="n">
        <x:v>1</x:v>
      </x:c>
      <x:c r="Y78" s="40" t="n">
        <x:v>0</x:v>
      </x:c>
      <x:c r="Z78" s="40" t="n">
        <x:v>1</x:v>
      </x:c>
      <x:c r="AA78" s="40" t="n">
        <x:v>0.9994065281899109</x:v>
      </x:c>
      <x:c r="AB78" s="31" t="n">
        <x:v>0.5968638917451327</x:v>
      </x:c>
      <x:c r="AC78" s="31" t="n">
        <x:v>3</x:v>
      </x:c>
      <x:c r="AD78" s="44" t="b">
        <x:v>1</x:v>
      </x:c>
    </x:row>
    <x:row r="79">
      <x:c r="A79" s="31" t="str">
        <x:v>36005011900</x:v>
      </x:c>
      <x:c r="B79" s="31" t="str">
        <x:v>Bronx</x:v>
      </x:c>
      <x:c r="C79" s="31" t="str">
        <x:v>011900</x:v>
      </x:c>
      <x:c r="D79" s="31" t="str">
        <x:v>BX0202</x:v>
      </x:c>
      <x:c r="E79" s="31" t="str">
        <x:v>Longwood</x:v>
      </x:c>
      <x:c r="F79" s="31" t="n">
        <x:v>0.06474064058195592</x:v>
      </x:c>
      <x:c r="G79" s="31" t="n">
        <x:v>40.823280266552814</x:v>
      </x:c>
      <x:c r="H79" s="31" t="n">
        <x:v>-73.88956265791003</x:v>
      </x:c>
      <x:c r="I79" s="31" t="n">
        <x:v>5703</x:v>
      </x:c>
      <x:c r="J79" s="31" t="n">
        <x:v>88089.95321540737</x:v>
      </x:c>
      <x:c r="K79" s="31"/>
      <x:c r="L79" s="40"/>
      <x:c r="M79" s="40"/>
      <x:c r="N79" s="31" t="n">
        <x:v>136</x:v>
      </x:c>
      <x:c r="O79" s="31" t="n">
        <x:v>2553</x:v>
      </x:c>
      <x:c r="P79" s="31" t="n">
        <x:v>6.796495420151334</x:v>
      </x:c>
      <x:c r="Q79" s="40" t="n">
        <x:v>0.20211515863689777</x:v>
      </x:c>
      <x:c r="R79" s="40" t="n">
        <x:v>0.6874265569917744</x:v>
      </x:c>
      <x:c r="S79" s="40" t="n">
        <x:v>0.05483744614179397</x:v>
      </x:c>
      <x:c r="T79" s="31" t="n">
        <x:v>62.15874692360556</x:v>
      </x:c>
      <x:c r="U79" s="31" t="n">
        <x:v>105</x:v>
      </x:c>
      <x:c r="V79" s="31" t="n">
        <x:v>27</x:v>
      </x:c>
      <x:c r="W79" s="31" t="n">
        <x:v>4.734350341925302</x:v>
      </x:c>
      <x:c r="X79" s="31" t="n">
        <x:v>5</x:v>
      </x:c>
      <x:c r="Y79" s="40" t="n">
        <x:v>1</x:v>
      </x:c>
      <x:c r="Z79" s="40" t="n">
        <x:v>1</x:v>
      </x:c>
      <x:c r="AA79" s="40" t="n">
        <x:v>0.9016842929886408</x:v>
      </x:c>
      <x:c r="AB79" s="31" t="n">
        <x:v>0.07216527889649539</x:v>
      </x:c>
      <x:c r="AC79" s="31" t="n">
        <x:v>7</x:v>
      </x:c>
      <x:c r="AD79" s="44" t="b">
        <x:v>1</x:v>
      </x:c>
    </x:row>
    <x:row r="80">
      <x:c r="A80" s="31" t="str">
        <x:v>36005012101</x:v>
      </x:c>
      <x:c r="B80" s="31" t="str">
        <x:v>Bronx</x:v>
      </x:c>
      <x:c r="C80" s="31" t="str">
        <x:v>012101</x:v>
      </x:c>
      <x:c r="D80" s="31" t="str">
        <x:v>BX0303</x:v>
      </x:c>
      <x:c r="E80" s="31" t="str">
        <x:v>Crotona Park East</x:v>
      </x:c>
      <x:c r="F80" s="31" t="n">
        <x:v>0.04490129273093147</x:v>
      </x:c>
      <x:c r="G80" s="31" t="n">
        <x:v>40.828276046621376</x:v>
      </x:c>
      <x:c r="H80" s="31" t="n">
        <x:v>-73.88887831353193</x:v>
      </x:c>
      <x:c r="I80" s="31" t="n">
        <x:v>3319</x:v>
      </x:c>
      <x:c r="J80" s="31" t="n">
        <x:v>73917.69363721719</x:v>
      </x:c>
      <x:c r="K80" s="31"/>
      <x:c r="L80" s="40"/>
      <x:c r="M80" s="40"/>
      <x:c r="N80" s="31" t="n">
        <x:v>208</x:v>
      </x:c>
      <x:c r="O80" s="31" t="n">
        <x:v>1245</x:v>
      </x:c>
      <x:c r="P80" s="31" t="n">
        <x:v>4.363052208835342</x:v>
      </x:c>
      <x:c r="Q80" s="40" t="n">
        <x:v>0</x:v>
      </x:c>
      <x:c r="R80" s="40" t="n">
        <x:v>0.9317269076305221</x:v>
      </x:c>
      <x:c r="S80" s="40" t="n">
        <x:v>0</x:v>
      </x:c>
      <x:c r="T80" s="31" t="n">
        <x:v>49.78995566656935</x:v>
      </x:c>
      <x:c r="U80" s="31" t="n">
        <x:v>80</x:v>
      </x:c>
      <x:c r="V80" s="31" t="n">
        <x:v>3</x:v>
      </x:c>
      <x:c r="W80" s="31" t="n">
        <x:v>0.903886712865321</x:v>
      </x:c>
      <x:c r="X80" s="31" t="n">
        <x:v>5</x:v>
      </x:c>
      <x:c r="Y80" s="40" t="n">
        <x:v>1</x:v>
      </x:c>
      <x:c r="Z80" s="40" t="n">
        <x:v>1</x:v>
      </x:c>
      <x:c r="AA80" s="40" t="n">
        <x:v>0.9903614457831326</x:v>
      </x:c>
      <x:c r="AB80" s="31" t="n">
        <x:v>0.1703885684055727</x:v>
      </x:c>
      <x:c r="AC80" s="31" t="n">
        <x:v>4</x:v>
      </x:c>
      <x:c r="AD80" s="44" t="b">
        <x:v>1</x:v>
      </x:c>
    </x:row>
    <x:row r="81">
      <x:c r="A81" s="31" t="str">
        <x:v>36005012102</x:v>
      </x:c>
      <x:c r="B81" s="31" t="str">
        <x:v>Bronx</x:v>
      </x:c>
      <x:c r="C81" s="31" t="str">
        <x:v>012102</x:v>
      </x:c>
      <x:c r="D81" s="31" t="str">
        <x:v>BX0202</x:v>
      </x:c>
      <x:c r="E81" s="31" t="str">
        <x:v>Longwood</x:v>
      </x:c>
      <x:c r="F81" s="31" t="n">
        <x:v>0.019939229519305268</x:v>
      </x:c>
      <x:c r="G81" s="31" t="n">
        <x:v>40.8260047916179</x:v>
      </x:c>
      <x:c r="H81" s="31" t="n">
        <x:v>-73.88789794255143</x:v>
      </x:c>
      <x:c r="I81" s="31" t="n">
        <x:v>1616</x:v>
      </x:c>
      <x:c r="J81" s="31" t="n">
        <x:v>81046.26101201052</x:v>
      </x:c>
      <x:c r="K81" s="31"/>
      <x:c r="L81" s="40"/>
      <x:c r="M81" s="40"/>
      <x:c r="N81" s="31" t="n">
        <x:v>32</x:v>
      </x:c>
      <x:c r="O81" s="31" t="n">
        <x:v>585</x:v>
      </x:c>
      <x:c r="P81" s="31" t="n">
        <x:v>5.517948717948718</x:v>
      </x:c>
      <x:c r="Q81" s="40" t="n">
        <x:v>0</x:v>
      </x:c>
      <x:c r="R81" s="40" t="n">
        <x:v>0.9299145299145299</x:v>
      </x:c>
      <x:c r="S81" s="40" t="n">
        <x:v>0</x:v>
      </x:c>
      <x:c r="T81" s="31" t="n">
        <x:v>60.14594146466666</x:v>
      </x:c>
      <x:c r="U81" s="31" t="n">
        <x:v>85</x:v>
      </x:c>
      <x:c r="V81" s="31" t="n">
        <x:v>6</x:v>
      </x:c>
      <x:c r="W81" s="31" t="n">
        <x:v>3.7128712871287126</x:v>
      </x:c>
      <x:c r="X81" s="31" t="n">
        <x:v>5</x:v>
      </x:c>
      <x:c r="Y81" s="40" t="n">
        <x:v>1</x:v>
      </x:c>
      <x:c r="Z81" s="40" t="n">
        <x:v>1</x:v>
      </x:c>
      <x:c r="AA81" s="40" t="n">
        <x:v>1</x:v>
      </x:c>
      <x:c r="AB81" s="31" t="n">
        <x:v>0.22601966721264033</x:v>
      </x:c>
      <x:c r="AC81" s="31" t="n">
        <x:v>4</x:v>
      </x:c>
      <x:c r="AD81" s="44" t="b">
        <x:v>1</x:v>
      </x:c>
    </x:row>
    <x:row r="82">
      <x:c r="A82" s="31" t="str">
        <x:v>36005012300</x:v>
      </x:c>
      <x:c r="B82" s="31" t="str">
        <x:v>Bronx</x:v>
      </x:c>
      <x:c r="C82" s="31" t="str">
        <x:v>012300</x:v>
      </x:c>
      <x:c r="D82" s="31" t="str">
        <x:v>BX0303</x:v>
      </x:c>
      <x:c r="E82" s="31" t="str">
        <x:v>Crotona Park East</x:v>
      </x:c>
      <x:c r="F82" s="31" t="n">
        <x:v>0.11486903195305326</x:v>
      </x:c>
      <x:c r="G82" s="31" t="n">
        <x:v>40.828609426222386</x:v>
      </x:c>
      <x:c r="H82" s="31" t="n">
        <x:v>-73.88740152281704</x:v>
      </x:c>
      <x:c r="I82" s="31" t="n">
        <x:v>4766</x:v>
      </x:c>
      <x:c r="J82" s="31" t="n">
        <x:v>41490.73008596307</x:v>
      </x:c>
      <x:c r="K82" s="31"/>
      <x:c r="L82" s="40"/>
      <x:c r="M82" s="40"/>
      <x:c r="N82" s="31" t="n">
        <x:v>170</x:v>
      </x:c>
      <x:c r="O82" s="31" t="n">
        <x:v>2245</x:v>
      </x:c>
      <x:c r="P82" s="31" t="n">
        <x:v>5.693232044198895</x:v>
      </x:c>
      <x:c r="Q82" s="40" t="n">
        <x:v>0.0200445434298441</x:v>
      </x:c>
      <x:c r="R82" s="40" t="n">
        <x:v>0.911804008908686</x:v>
      </x:c>
      <x:c r="S82" s="40" t="n">
        <x:v>0.031180400890868598</x:v>
      </x:c>
      <x:c r="T82" s="31" t="n">
        <x:v>58.325433977690466</x:v>
      </x:c>
      <x:c r="U82" s="31" t="n">
        <x:v>85</x:v>
      </x:c>
      <x:c r="V82" s="31" t="n">
        <x:v>41</x:v>
      </x:c>
      <x:c r="W82" s="31" t="n">
        <x:v>8.602601762484262</x:v>
      </x:c>
      <x:c r="X82" s="31" t="n">
        <x:v>5</x:v>
      </x:c>
      <x:c r="Y82" s="40" t="n">
        <x:v>1</x:v>
      </x:c>
      <x:c r="Z82" s="40" t="n">
        <x:v>1</x:v>
      </x:c>
      <x:c r="AA82" s="40" t="n">
        <x:v>0.9296213808463252</x:v>
      </x:c>
      <x:c r="AB82" s="31" t="n">
        <x:v>0.13488187325940287</x:v>
      </x:c>
      <x:c r="AC82" s="31" t="n">
        <x:v>11</x:v>
      </x:c>
      <x:c r="AD82" s="44" t="b">
        <x:v>1</x:v>
      </x:c>
    </x:row>
    <x:row r="83">
      <x:c r="A83" s="31" t="str">
        <x:v>36005012500</x:v>
      </x:c>
      <x:c r="B83" s="31" t="str">
        <x:v>Bronx</x:v>
      </x:c>
      <x:c r="C83" s="31" t="str">
        <x:v>012500</x:v>
      </x:c>
      <x:c r="D83" s="31" t="str">
        <x:v>BX0303</x:v>
      </x:c>
      <x:c r="E83" s="31" t="str">
        <x:v>Crotona Park East</x:v>
      </x:c>
      <x:c r="F83" s="31" t="n">
        <x:v>0.06559929747833448</x:v>
      </x:c>
      <x:c r="G83" s="31" t="n">
        <x:v>40.82863478774512</x:v>
      </x:c>
      <x:c r="H83" s="31" t="n">
        <x:v>-73.89352527928907</x:v>
      </x:c>
      <x:c r="I83" s="31" t="n">
        <x:v>4139</x:v>
      </x:c>
      <x:c r="J83" s="31" t="n">
        <x:v>63095.18789232445</x:v>
      </x:c>
      <x:c r="K83" s="31"/>
      <x:c r="L83" s="40"/>
      <x:c r="M83" s="40"/>
      <x:c r="N83" s="31" t="n">
        <x:v>317</x:v>
      </x:c>
      <x:c r="O83" s="31" t="n">
        <x:v>1578</x:v>
      </x:c>
      <x:c r="P83" s="31" t="n">
        <x:v>5.094740177439797</x:v>
      </x:c>
      <x:c r="Q83" s="40" t="n">
        <x:v>0</x:v>
      </x:c>
      <x:c r="R83" s="40" t="n">
        <x:v>0.9144486692015209</x:v>
      </x:c>
      <x:c r="S83" s="40" t="n">
        <x:v>0</x:v>
      </x:c>
      <x:c r="T83" s="31" t="n">
        <x:v>52.01427253513824</x:v>
      </x:c>
      <x:c r="U83" s="31" t="n">
        <x:v>89.45702623</x:v>
      </x:c>
      <x:c r="V83" s="31" t="n">
        <x:v>19</x:v>
      </x:c>
      <x:c r="W83" s="31" t="n">
        <x:v>4.590480792461948</x:v>
      </x:c>
      <x:c r="X83" s="31" t="n">
        <x:v>5</x:v>
      </x:c>
      <x:c r="Y83" s="40" t="n">
        <x:v>1</x:v>
      </x:c>
      <x:c r="Z83" s="40" t="n">
        <x:v>1</x:v>
      </x:c>
      <x:c r="AA83" s="40" t="n">
        <x:v>0.9397972116603295</x:v>
      </x:c>
      <x:c r="AB83" s="31" t="n">
        <x:v>0.12986048423991722</x:v>
      </x:c>
      <x:c r="AC83" s="31" t="n">
        <x:v>6</x:v>
      </x:c>
      <x:c r="AD83" s="44" t="b">
        <x:v>1</x:v>
      </x:c>
    </x:row>
    <x:row r="84">
      <x:c r="A84" s="31" t="str">
        <x:v>36005012701</x:v>
      </x:c>
      <x:c r="B84" s="31" t="str">
        <x:v>Bronx</x:v>
      </x:c>
      <x:c r="C84" s="31" t="str">
        <x:v>012701</x:v>
      </x:c>
      <x:c r="D84" s="31" t="str">
        <x:v>BX0202</x:v>
      </x:c>
      <x:c r="E84" s="31" t="str">
        <x:v>Longwood</x:v>
      </x:c>
      <x:c r="F84" s="31" t="n">
        <x:v>0.04206815641105659</x:v>
      </x:c>
      <x:c r="G84" s="31" t="n">
        <x:v>40.82563276202013</x:v>
      </x:c>
      <x:c r="H84" s="31" t="n">
        <x:v>-73.89232816324484</x:v>
      </x:c>
      <x:c r="I84" s="31" t="n">
        <x:v>2184</x:v>
      </x:c>
      <x:c r="J84" s="31" t="n">
        <x:v>51915.75258634317</x:v>
      </x:c>
      <x:c r="K84" s="31"/>
      <x:c r="L84" s="40"/>
      <x:c r="M84" s="40"/>
      <x:c r="N84" s="31" t="n">
        <x:v>138</x:v>
      </x:c>
      <x:c r="O84" s="31" t="n">
        <x:v>878</x:v>
      </x:c>
      <x:c r="P84" s="31" t="n">
        <x:v>4.945899772209567</x:v>
      </x:c>
      <x:c r="Q84" s="40" t="n">
        <x:v>0</x:v>
      </x:c>
      <x:c r="R84" s="40" t="n">
        <x:v>0.8895216400911162</x:v>
      </x:c>
      <x:c r="S84" s="40" t="n">
        <x:v>0</x:v>
      </x:c>
      <x:c r="T84" s="31" t="n">
        <x:v>54.81993369348079</x:v>
      </x:c>
      <x:c r="U84" s="31" t="n">
        <x:v>79</x:v>
      </x:c>
      <x:c r="V84" s="31" t="n">
        <x:v>15</x:v>
      </x:c>
      <x:c r="W84" s="31" t="n">
        <x:v>6.868131868131868</x:v>
      </x:c>
      <x:c r="X84" s="31" t="n">
        <x:v>5</x:v>
      </x:c>
      <x:c r="Y84" s="40" t="n">
        <x:v>1</x:v>
      </x:c>
      <x:c r="Z84" s="40" t="n">
        <x:v>1</x:v>
      </x:c>
      <x:c r="AA84" s="40" t="n">
        <x:v>0.9783599088838268</x:v>
      </x:c>
      <x:c r="AB84" s="31" t="n">
        <x:v>0.01664038370083613</x:v>
      </x:c>
      <x:c r="AC84" s="31" t="n">
        <x:v>7</x:v>
      </x:c>
      <x:c r="AD84" s="44" t="b">
        <x:v>1</x:v>
      </x:c>
    </x:row>
    <x:row r="85">
      <x:c r="A85" s="31" t="str">
        <x:v>36005012901</x:v>
      </x:c>
      <x:c r="B85" s="31" t="str">
        <x:v>Bronx</x:v>
      </x:c>
      <x:c r="C85" s="31" t="str">
        <x:v>012901</x:v>
      </x:c>
      <x:c r="D85" s="31" t="str">
        <x:v>BX0202</x:v>
      </x:c>
      <x:c r="E85" s="31" t="str">
        <x:v>Longwood</x:v>
      </x:c>
      <x:c r="F85" s="31" t="n">
        <x:v>0.06035641203081956</x:v>
      </x:c>
      <x:c r="G85" s="31" t="n">
        <x:v>40.822629037605616</x:v>
      </x:c>
      <x:c r="H85" s="31" t="n">
        <x:v>-73.89873461730492</x:v>
      </x:c>
      <x:c r="I85" s="31" t="n">
        <x:v>4923</x:v>
      </x:c>
      <x:c r="J85" s="31" t="n">
        <x:v>81565.48466608961</x:v>
      </x:c>
      <x:c r="K85" s="31"/>
      <x:c r="L85" s="40"/>
      <x:c r="M85" s="40"/>
      <x:c r="N85" s="31" t="n">
        <x:v>122</x:v>
      </x:c>
      <x:c r="O85" s="31" t="n">
        <x:v>1865</x:v>
      </x:c>
      <x:c r="P85" s="31" t="n">
        <x:v>6.359785522788203</x:v>
      </x:c>
      <x:c r="Q85" s="40" t="n">
        <x:v>0.10723860589812333</x:v>
      </x:c>
      <x:c r="R85" s="40" t="n">
        <x:v>0.8525469168900804</x:v>
      </x:c>
      <x:c r="S85" s="40" t="n">
        <x:v>0.011796246648793566</x:v>
      </x:c>
      <x:c r="T85" s="31" t="n">
        <x:v>63.613977215096774</x:v>
      </x:c>
      <x:c r="U85" s="31" t="n">
        <x:v>90</x:v>
      </x:c>
      <x:c r="V85" s="31" t="n">
        <x:v>28</x:v>
      </x:c>
      <x:c r="W85" s="31" t="n">
        <x:v>5.687588868576071</x:v>
      </x:c>
      <x:c r="X85" s="31" t="n">
        <x:v>5</x:v>
      </x:c>
      <x:c r="Y85" s="40" t="n">
        <x:v>1</x:v>
      </x:c>
      <x:c r="Z85" s="40" t="n">
        <x:v>1</x:v>
      </x:c>
      <x:c r="AA85" s="40" t="n">
        <x:v>0.9973190348525469</x:v>
      </x:c>
      <x:c r="AB85" s="31" t="n">
        <x:v>0.050278716212404505</x:v>
      </x:c>
      <x:c r="AC85" s="31" t="n">
        <x:v>8</x:v>
      </x:c>
      <x:c r="AD85" s="44" t="b">
        <x:v>1</x:v>
      </x:c>
    </x:row>
    <x:row r="86">
      <x:c r="A86" s="31" t="str">
        <x:v>36005013000</x:v>
      </x:c>
      <x:c r="B86" s="31" t="str">
        <x:v>Bronx</x:v>
      </x:c>
      <x:c r="C86" s="31" t="str">
        <x:v>013000</x:v>
      </x:c>
      <x:c r="D86" s="31" t="str">
        <x:v>BX1002</x:v>
      </x:c>
      <x:c r="E86" s="31" t="str">
        <x:v>Throgs Neck-Schuylerville</x:v>
      </x:c>
      <x:c r="F86" s="31" t="n">
        <x:v>0.04478238187987833</x:v>
      </x:c>
      <x:c r="G86" s="31" t="n">
        <x:v>40.81930384319759</x:v>
      </x:c>
      <x:c r="H86" s="31" t="n">
        <x:v>-73.81474705132362</x:v>
      </x:c>
      <x:c r="I86" s="31" t="n">
        <x:v>1198</x:v>
      </x:c>
      <x:c r="J86" s="31" t="n">
        <x:v>26751.591802630013</x:v>
      </x:c>
      <x:c r="K86" s="31"/>
      <x:c r="L86" s="40"/>
      <x:c r="M86" s="40"/>
      <x:c r="N86" s="31" t="n">
        <x:v>236</x:v>
      </x:c>
      <x:c r="O86" s="31" t="n">
        <x:v>446</x:v>
      </x:c>
      <x:c r="P86" s="31" t="n">
        <x:v>2.0750900900900904</x:v>
      </x:c>
      <x:c r="Q86" s="40" t="n">
        <x:v>0</x:v>
      </x:c>
      <x:c r="R86" s="40" t="n">
        <x:v>0.07847533632286996</x:v>
      </x:c>
      <x:c r="S86" s="40" t="n">
        <x:v>0.004484304932735426</x:v>
      </x:c>
      <x:c r="T86" s="31" t="n">
        <x:v>26.147914676434976</x:v>
      </x:c>
      <x:c r="U86" s="31" t="n">
        <x:v>37.97</x:v>
      </x:c>
      <x:c r="V86" s="31" t="n">
        <x:v>0</x:v>
      </x:c>
      <x:c r="W86" s="31" t="n">
        <x:v>0</x:v>
      </x:c>
      <x:c r="X86" s="31" t="n">
        <x:v>1</x:v>
      </x:c>
      <x:c r="Y86" s="40" t="n">
        <x:v>0</x:v>
      </x:c>
      <x:c r="Z86" s="40" t="n">
        <x:v>1</x:v>
      </x:c>
      <x:c r="AA86" s="40" t="n">
        <x:v>1</x:v>
      </x:c>
      <x:c r="AB86" s="31" t="n">
        <x:v>0.3207938726351441</x:v>
      </x:c>
      <x:c r="AC86" s="31" t="n">
        <x:v>4</x:v>
      </x:c>
      <x:c r="AD86" s="44" t="b">
        <x:v>1</x:v>
      </x:c>
    </x:row>
    <x:row r="87">
      <x:c r="A87" s="31" t="str">
        <x:v>36005013100</x:v>
      </x:c>
      <x:c r="B87" s="31" t="str">
        <x:v>Bronx</x:v>
      </x:c>
      <x:c r="C87" s="31" t="str">
        <x:v>013100</x:v>
      </x:c>
      <x:c r="D87" s="31" t="str">
        <x:v>BX0202</x:v>
      </x:c>
      <x:c r="E87" s="31" t="str">
        <x:v>Longwood</x:v>
      </x:c>
      <x:c r="F87" s="31" t="n">
        <x:v>0.08885479804974461</x:v>
      </x:c>
      <x:c r="G87" s="31" t="n">
        <x:v>40.825951221512454</x:v>
      </x:c>
      <x:c r="H87" s="31" t="n">
        <x:v>-73.8978949669679</x:v>
      </x:c>
      <x:c r="I87" s="31" t="n">
        <x:v>5390</x:v>
      </x:c>
      <x:c r="J87" s="31" t="n">
        <x:v>60660.76473419538</x:v>
      </x:c>
      <x:c r="K87" s="31"/>
      <x:c r="L87" s="40"/>
      <x:c r="M87" s="40"/>
      <x:c r="N87" s="31" t="n">
        <x:v>259</x:v>
      </x:c>
      <x:c r="O87" s="31" t="n">
        <x:v>2466</x:v>
      </x:c>
      <x:c r="P87" s="31" t="n">
        <x:v>5.349381443298969</x:v>
      </x:c>
      <x:c r="Q87" s="40" t="n">
        <x:v>0.0267639902676399</x:v>
      </x:c>
      <x:c r="R87" s="40" t="n">
        <x:v>0.8495539334955393</x:v>
      </x:c>
      <x:c r="S87" s="40" t="n">
        <x:v>0.049878345498783457</x:v>
      </x:c>
      <x:c r="T87" s="31" t="n">
        <x:v>53.57128765986377</x:v>
      </x:c>
      <x:c r="U87" s="31" t="n">
        <x:v>96</x:v>
      </x:c>
      <x:c r="V87" s="31" t="n">
        <x:v>21</x:v>
      </x:c>
      <x:c r="W87" s="31" t="n">
        <x:v>3.896103896103896</x:v>
      </x:c>
      <x:c r="X87" s="31" t="n">
        <x:v>5</x:v>
      </x:c>
      <x:c r="Y87" s="40" t="n">
        <x:v>1</x:v>
      </x:c>
      <x:c r="Z87" s="40" t="n">
        <x:v>1</x:v>
      </x:c>
      <x:c r="AA87" s="40" t="n">
        <x:v>0.9525547445255474</x:v>
      </x:c>
      <x:c r="AB87" s="31" t="n">
        <x:v>0.11028615533109348</x:v>
      </x:c>
      <x:c r="AC87" s="31" t="n">
        <x:v>6</x:v>
      </x:c>
      <x:c r="AD87" s="44" t="b">
        <x:v>1</x:v>
      </x:c>
    </x:row>
    <x:row r="88">
      <x:c r="A88" s="31" t="str">
        <x:v>36005013200</x:v>
      </x:c>
      <x:c r="B88" s="31" t="str">
        <x:v>Bronx</x:v>
      </x:c>
      <x:c r="C88" s="31" t="str">
        <x:v>013200</x:v>
      </x:c>
      <x:c r="D88" s="31" t="str">
        <x:v>BX1002</x:v>
      </x:c>
      <x:c r="E88" s="31" t="str">
        <x:v>Throgs Neck-Schuylerville</x:v>
      </x:c>
      <x:c r="F88" s="31" t="n">
        <x:v>0.23387691158890034</x:v>
      </x:c>
      <x:c r="G88" s="31" t="n">
        <x:v>40.815522685101904</x:v>
      </x:c>
      <x:c r="H88" s="31" t="n">
        <x:v>-73.82068822037087</x:v>
      </x:c>
      <x:c r="I88" s="31" t="n">
        <x:v>6652</x:v>
      </x:c>
      <x:c r="J88" s="31" t="n">
        <x:v>28442.311619424087</x:v>
      </x:c>
      <x:c r="K88" s="31"/>
      <x:c r="L88" s="40"/>
      <x:c r="M88" s="40"/>
      <x:c r="N88" s="31" t="n">
        <x:v>1240</x:v>
      </x:c>
      <x:c r="O88" s="31" t="n">
        <x:v>2209</x:v>
      </x:c>
      <x:c r="P88" s="31" t="n">
        <x:v>2.2770061582188537</x:v>
      </x:c>
      <x:c r="Q88" s="40" t="n">
        <x:v>0</x:v>
      </x:c>
      <x:c r="R88" s="40" t="n">
        <x:v>0.2765957446808511</x:v>
      </x:c>
      <x:c r="S88" s="40" t="n">
        <x:v>0.12494341330918968</x:v>
      </x:c>
      <x:c r="T88" s="31" t="n">
        <x:v>29.18898852056415</x:v>
      </x:c>
      <x:c r="U88" s="31" t="n">
        <x:v>47</x:v>
      </x:c>
      <x:c r="V88" s="31" t="n">
        <x:v>2</x:v>
      </x:c>
      <x:c r="W88" s="31" t="n">
        <x:v>0.30066145520144316</x:v>
      </x:c>
      <x:c r="X88" s="31" t="n">
        <x:v>1</x:v>
      </x:c>
      <x:c r="Y88" s="40" t="n">
        <x:v>0</x:v>
      </x:c>
      <x:c r="Z88" s="40" t="n">
        <x:v>1</x:v>
      </x:c>
      <x:c r="AA88" s="40" t="n">
        <x:v>0.9950203712086917</x:v>
      </x:c>
      <x:c r="AB88" s="31" t="n">
        <x:v>0.4801175955384867</x:v>
      </x:c>
      <x:c r="AC88" s="31" t="n">
        <x:v>4</x:v>
      </x:c>
      <x:c r="AD88" s="44" t="b">
        <x:v>1</x:v>
      </x:c>
    </x:row>
    <x:row r="89">
      <x:c r="A89" s="31" t="str">
        <x:v>36005013300</x:v>
      </x:c>
      <x:c r="B89" s="31" t="str">
        <x:v>Bronx</x:v>
      </x:c>
      <x:c r="C89" s="31" t="str">
        <x:v>013300</x:v>
      </x:c>
      <x:c r="D89" s="31" t="str">
        <x:v>BX0301</x:v>
      </x:c>
      <x:c r="E89" s="31" t="str">
        <x:v>Morrisania</x:v>
      </x:c>
      <x:c r="F89" s="31" t="n">
        <x:v>0.06222811727609906</x:v>
      </x:c>
      <x:c r="G89" s="31" t="n">
        <x:v>40.8228228138243</x:v>
      </x:c>
      <x:c r="H89" s="31" t="n">
        <x:v>-73.90348512849435</x:v>
      </x:c>
      <x:c r="I89" s="31" t="n">
        <x:v>6064</x:v>
      </x:c>
      <x:c r="J89" s="31" t="n">
        <x:v>97447.91045332006</x:v>
      </x:c>
      <x:c r="K89" s="31"/>
      <x:c r="L89" s="40"/>
      <x:c r="M89" s="40"/>
      <x:c r="N89" s="31" t="n">
        <x:v>62</x:v>
      </x:c>
      <x:c r="O89" s="31" t="n">
        <x:v>2499</x:v>
      </x:c>
      <x:c r="P89" s="31" t="n">
        <x:v>10.51060424169668</x:v>
      </x:c>
      <x:c r="Q89" s="40" t="n">
        <x:v>0.6974789915966386</x:v>
      </x:c>
      <x:c r="R89" s="40" t="n">
        <x:v>0.29451780712284914</x:v>
      </x:c>
      <x:c r="S89" s="40" t="n">
        <x:v>0.6270508203281312</x:v>
      </x:c>
      <x:c r="T89" s="31" t="n">
        <x:v>130.6822739035214</x:v>
      </x:c>
      <x:c r="U89" s="31" t="n">
        <x:v>183.63</x:v>
      </x:c>
      <x:c r="V89" s="31" t="n">
        <x:v>40</x:v>
      </x:c>
      <x:c r="W89" s="31" t="n">
        <x:v>6.596306068601583</x:v>
      </x:c>
      <x:c r="X89" s="31" t="n">
        <x:v>5</x:v>
      </x:c>
      <x:c r="Y89" s="40" t="n">
        <x:v>1</x:v>
      </x:c>
      <x:c r="Z89" s="40" t="n">
        <x:v>1</x:v>
      </x:c>
      <x:c r="AA89" s="40" t="n">
        <x:v>1</x:v>
      </x:c>
      <x:c r="AB89" s="31" t="n">
        <x:v>0.02887553706897886</x:v>
      </x:c>
      <x:c r="AC89" s="31" t="n">
        <x:v>6</x:v>
      </x:c>
      <x:c r="AD89" s="44" t="b">
        <x:v>1</x:v>
      </x:c>
    </x:row>
    <x:row r="90">
      <x:c r="A90" s="31" t="str">
        <x:v>36005013500</x:v>
      </x:c>
      <x:c r="B90" s="31" t="str">
        <x:v>Bronx</x:v>
      </x:c>
      <x:c r="C90" s="31" t="str">
        <x:v>013500</x:v>
      </x:c>
      <x:c r="D90" s="31" t="str">
        <x:v>BX0301</x:v>
      </x:c>
      <x:c r="E90" s="31" t="str">
        <x:v>Morrisania</x:v>
      </x:c>
      <x:c r="F90" s="31" t="n">
        <x:v>0.0648226938102617</x:v>
      </x:c>
      <x:c r="G90" s="31" t="n">
        <x:v>40.82712900563816</x:v>
      </x:c>
      <x:c r="H90" s="31" t="n">
        <x:v>-73.90209244988895</x:v>
      </x:c>
      <x:c r="I90" s="31" t="n">
        <x:v>4001</x:v>
      </x:c>
      <x:c r="J90" s="31" t="n">
        <x:v>61722.21123224325</x:v>
      </x:c>
      <x:c r="K90" s="31"/>
      <x:c r="L90" s="40"/>
      <x:c r="M90" s="40"/>
      <x:c r="N90" s="31" t="n">
        <x:v>199</x:v>
      </x:c>
      <x:c r="O90" s="31" t="n">
        <x:v>1482</x:v>
      </x:c>
      <x:c r="P90" s="31" t="n">
        <x:v>8.025303643724696</x:v>
      </x:c>
      <x:c r="Q90" s="40" t="n">
        <x:v>0.45276653171390013</x:v>
      </x:c>
      <x:c r="R90" s="40" t="n">
        <x:v>0.45614035087719296</x:v>
      </x:c>
      <x:c r="S90" s="40" t="n">
        <x:v>0.3684210526315789</x:v>
      </x:c>
      <x:c r="T90" s="31" t="n">
        <x:v>79.81597613369966</x:v>
      </x:c>
      <x:c r="U90" s="31" t="n">
        <x:v>130.09</x:v>
      </x:c>
      <x:c r="V90" s="31" t="n">
        <x:v>17</x:v>
      </x:c>
      <x:c r="W90" s="31" t="n">
        <x:v>4.24893776555861</x:v>
      </x:c>
      <x:c r="X90" s="31" t="n">
        <x:v>5</x:v>
      </x:c>
      <x:c r="Y90" s="40" t="n">
        <x:v>1</x:v>
      </x:c>
      <x:c r="Z90" s="40" t="n">
        <x:v>1</x:v>
      </x:c>
      <x:c r="AA90" s="40" t="n">
        <x:v>0.9885290148448043</x:v>
      </x:c>
      <x:c r="AB90" s="31" t="n">
        <x:v>0.07899196914743736</x:v>
      </x:c>
      <x:c r="AC90" s="31" t="n">
        <x:v>6</x:v>
      </x:c>
      <x:c r="AD90" s="44" t="b">
        <x:v>1</x:v>
      </x:c>
    </x:row>
    <x:row r="91">
      <x:c r="A91" s="31" t="str">
        <x:v>36005013800</x:v>
      </x:c>
      <x:c r="B91" s="31" t="str">
        <x:v>Bronx</x:v>
      </x:c>
      <x:c r="C91" s="31" t="str">
        <x:v>013800</x:v>
      </x:c>
      <x:c r="D91" s="31" t="str">
        <x:v>BX1002</x:v>
      </x:c>
      <x:c r="E91" s="31" t="str">
        <x:v>Throgs Neck-Schuylerville</x:v>
      </x:c>
      <x:c r="F91" s="31" t="n">
        <x:v>0.29845453841576275</x:v>
      </x:c>
      <x:c r="G91" s="31" t="n">
        <x:v>40.821568591838485</x:v>
      </x:c>
      <x:c r="H91" s="31" t="n">
        <x:v>-73.81013624587219</x:v>
      </x:c>
      <x:c r="I91" s="31" t="n">
        <x:v>3060</x:v>
      </x:c>
      <x:c r="J91" s="31" t="n">
        <x:v>10252.817786731928</x:v>
      </x:c>
      <x:c r="K91" s="31"/>
      <x:c r="L91" s="40"/>
      <x:c r="M91" s="40"/>
      <x:c r="N91" s="31" t="n">
        <x:v>295</x:v>
      </x:c>
      <x:c r="O91" s="31" t="n">
        <x:v>1235</x:v>
      </x:c>
      <x:c r="P91" s="31" t="n">
        <x:v>2.104963503649635</x:v>
      </x:c>
      <x:c r="Q91" s="40" t="n">
        <x:v>0</x:v>
      </x:c>
      <x:c r="R91" s="40" t="n">
        <x:v>0.2623481781376518</x:v>
      </x:c>
      <x:c r="S91" s="40" t="n">
        <x:v>0.5676113360323887</x:v>
      </x:c>
      <x:c r="T91" s="31" t="n">
        <x:v>31.095818358095624</x:v>
      </x:c>
      <x:c r="U91" s="31" t="n">
        <x:v>66.33</x:v>
      </x:c>
      <x:c r="V91" s="31" t="n">
        <x:v>2</x:v>
      </x:c>
      <x:c r="W91" s="31" t="n">
        <x:v>0.6535947712418301</x:v>
      </x:c>
      <x:c r="X91" s="31" t="n">
        <x:v>1</x:v>
      </x:c>
      <x:c r="Y91" s="40" t="n">
        <x:v>0</x:v>
      </x:c>
      <x:c r="Z91" s="40" t="n">
        <x:v>1</x:v>
      </x:c>
      <x:c r="AA91" s="40" t="n">
        <x:v>0.9991902834008097</x:v>
      </x:c>
      <x:c r="AB91" s="31" t="n">
        <x:v>0.4339766263085964</x:v>
      </x:c>
      <x:c r="AC91" s="31" t="n">
        <x:v>6</x:v>
      </x:c>
      <x:c r="AD91" s="44" t="b">
        <x:v>1</x:v>
      </x:c>
    </x:row>
    <x:row r="92">
      <x:c r="A92" s="31" t="str">
        <x:v>36005014100</x:v>
      </x:c>
      <x:c r="B92" s="31" t="str">
        <x:v>Bronx</x:v>
      </x:c>
      <x:c r="C92" s="31" t="str">
        <x:v>014100</x:v>
      </x:c>
      <x:c r="D92" s="31" t="str">
        <x:v>BX0301</x:v>
      </x:c>
      <x:c r="E92" s="31" t="str">
        <x:v>Morrisania</x:v>
      </x:c>
      <x:c r="F92" s="31" t="n">
        <x:v>0.06841255326130624</x:v>
      </x:c>
      <x:c r="G92" s="31" t="n">
        <x:v>40.823763736512134</x:v>
      </x:c>
      <x:c r="H92" s="31" t="n">
        <x:v>-73.91229793626066</x:v>
      </x:c>
      <x:c r="I92" s="31" t="n">
        <x:v>7344</x:v>
      </x:c>
      <x:c r="J92" s="31" t="n">
        <x:v>107348.71964139548</x:v>
      </x:c>
      <x:c r="K92" s="31"/>
      <x:c r="L92" s="40"/>
      <x:c r="M92" s="40"/>
      <x:c r="N92" s="31" t="n">
        <x:v>108</x:v>
      </x:c>
      <x:c r="O92" s="31" t="n">
        <x:v>3015</x:v>
      </x:c>
      <x:c r="P92" s="31" t="n">
        <x:v>8.87679180887372</x:v>
      </x:c>
      <x:c r="Q92" s="40" t="n">
        <x:v>0.5412935323383085</x:v>
      </x:c>
      <x:c r="R92" s="40" t="n">
        <x:v>0.42321724709784414</x:v>
      </x:c>
      <x:c r="S92" s="40" t="n">
        <x:v>0.08524046434494195</x:v>
      </x:c>
      <x:c r="T92" s="31" t="n">
        <x:v>89.4843671163184</x:v>
      </x:c>
      <x:c r="U92" s="31" t="n">
        <x:v>144.44295904</x:v>
      </x:c>
      <x:c r="V92" s="31" t="n">
        <x:v>42</x:v>
      </x:c>
      <x:c r="W92" s="31" t="n">
        <x:v>5.718954248366012</x:v>
      </x:c>
      <x:c r="X92" s="31" t="n">
        <x:v>5</x:v>
      </x:c>
      <x:c r="Y92" s="40" t="n">
        <x:v>1</x:v>
      </x:c>
      <x:c r="Z92" s="40" t="n">
        <x:v>1</x:v>
      </x:c>
      <x:c r="AA92" s="40" t="n">
        <x:v>1</x:v>
      </x:c>
      <x:c r="AB92" s="31" t="n">
        <x:v>0.2116555746177905</x:v>
      </x:c>
      <x:c r="AC92" s="31" t="n">
        <x:v>7</x:v>
      </x:c>
      <x:c r="AD92" s="44" t="b">
        <x:v>1</x:v>
      </x:c>
    </x:row>
    <x:row r="93">
      <x:c r="A93" s="31" t="str">
        <x:v>36005014300</x:v>
      </x:c>
      <x:c r="B93" s="31" t="str">
        <x:v>Bronx</x:v>
      </x:c>
      <x:c r="C93" s="31" t="str">
        <x:v>014300</x:v>
      </x:c>
      <x:c r="D93" s="31" t="str">
        <x:v>BX0401</x:v>
      </x:c>
      <x:c r="E93" s="31" t="str">
        <x:v>Concourse-Concourse Village</x:v>
      </x:c>
      <x:c r="F93" s="31" t="n">
        <x:v>0.050070827322227965</x:v>
      </x:c>
      <x:c r="G93" s="31" t="n">
        <x:v>40.827748112382466</x:v>
      </x:c>
      <x:c r="H93" s="31" t="n">
        <x:v>-73.91212837977932</x:v>
      </x:c>
      <x:c r="I93" s="31" t="n">
        <x:v>1898</x:v>
      </x:c>
      <x:c r="J93" s="31" t="n">
        <x:v>37906.30395989922</x:v>
      </x:c>
      <x:c r="K93" s="31"/>
      <x:c r="L93" s="40"/>
      <x:c r="M93" s="40"/>
      <x:c r="N93" s="31" t="n">
        <x:v>28</x:v>
      </x:c>
      <x:c r="O93" s="31" t="n">
        <x:v>1014</x:v>
      </x:c>
      <x:c r="P93" s="31" t="n">
        <x:v>9.089250493096648</x:v>
      </x:c>
      <x:c r="Q93" s="40" t="n">
        <x:v>0.7268244575936884</x:v>
      </x:c>
      <x:c r="R93" s="40" t="n">
        <x:v>0.2702169625246548</x:v>
      </x:c>
      <x:c r="S93" s="40" t="n">
        <x:v>0</x:v>
      </x:c>
      <x:c r="T93" s="31" t="n">
        <x:v>92.68261593582803</x:v>
      </x:c>
      <x:c r="U93" s="31" t="n">
        <x:v>131</x:v>
      </x:c>
      <x:c r="V93" s="31" t="n">
        <x:v>13</x:v>
      </x:c>
      <x:c r="W93" s="31" t="n">
        <x:v>6.8493150684931505</x:v>
      </x:c>
      <x:c r="X93" s="31" t="n">
        <x:v>5</x:v>
      </x:c>
      <x:c r="Y93" s="40" t="n">
        <x:v>1</x:v>
      </x:c>
      <x:c r="Z93" s="40" t="n">
        <x:v>1</x:v>
      </x:c>
      <x:c r="AA93" s="40" t="n">
        <x:v>0.9289940828402367</x:v>
      </x:c>
      <x:c r="AB93" s="31" t="n">
        <x:v>0.08832282543246238</x:v>
      </x:c>
      <x:c r="AC93" s="31" t="n">
        <x:v>6</x:v>
      </x:c>
      <x:c r="AD93" s="44" t="b">
        <x:v>1</x:v>
      </x:c>
    </x:row>
    <x:row r="94">
      <x:c r="A94" s="31" t="str">
        <x:v>36005014400</x:v>
      </x:c>
      <x:c r="B94" s="31" t="str">
        <x:v>Bronx</x:v>
      </x:c>
      <x:c r="C94" s="31" t="str">
        <x:v>014400</x:v>
      </x:c>
      <x:c r="D94" s="31" t="str">
        <x:v>BX1002</x:v>
      </x:c>
      <x:c r="E94" s="31" t="str">
        <x:v>Throgs Neck-Schuylerville</x:v>
      </x:c>
      <x:c r="F94" s="31" t="n">
        <x:v>0.15519007288617712</x:v>
      </x:c>
      <x:c r="G94" s="31" t="n">
        <x:v>40.82126066244885</x:v>
      </x:c>
      <x:c r="H94" s="31" t="n">
        <x:v>-73.82333637685028</x:v>
      </x:c>
      <x:c r="I94" s="31" t="n">
        <x:v>6046</x:v>
      </x:c>
      <x:c r="J94" s="31" t="n">
        <x:v>38958.677495012125</x:v>
      </x:c>
      <x:c r="K94" s="31"/>
      <x:c r="L94" s="40"/>
      <x:c r="M94" s="40"/>
      <x:c r="N94" s="31" t="n">
        <x:v>306</x:v>
      </x:c>
      <x:c r="O94" s="31" t="n">
        <x:v>2419</x:v>
      </x:c>
      <x:c r="P94" s="31" t="n">
        <x:v>4.699979330301778</x:v>
      </x:c>
      <x:c r="Q94" s="40" t="n">
        <x:v>0</x:v>
      </x:c>
      <x:c r="R94" s="40" t="n">
        <x:v>0.8152128978916908</x:v>
      </x:c>
      <x:c r="S94" s="40" t="n">
        <x:v>0.6887143447705664</x:v>
      </x:c>
      <x:c r="T94" s="31" t="n">
        <x:v>83.89030567241008</x:v>
      </x:c>
      <x:c r="U94" s="31" t="n">
        <x:v>125.19385847</x:v>
      </x:c>
      <x:c r="V94" s="31" t="n">
        <x:v>40</x:v>
      </x:c>
      <x:c r="W94" s="31" t="n">
        <x:v>6.615944426066821</x:v>
      </x:c>
      <x:c r="X94" s="31" t="n">
        <x:v>1</x:v>
      </x:c>
      <x:c r="Y94" s="40" t="n">
        <x:v>0</x:v>
      </x:c>
      <x:c r="Z94" s="40" t="n">
        <x:v>1</x:v>
      </x:c>
      <x:c r="AA94" s="40" t="n">
        <x:v>1</x:v>
      </x:c>
      <x:c r="AB94" s="31" t="n">
        <x:v>0.12025040823283496</x:v>
      </x:c>
      <x:c r="AC94" s="31" t="n">
        <x:v>6</x:v>
      </x:c>
      <x:c r="AD94" s="44" t="b">
        <x:v>1</x:v>
      </x:c>
    </x:row>
    <x:row r="95">
      <x:c r="A95" s="31" t="str">
        <x:v>36005014500</x:v>
      </x:c>
      <x:c r="B95" s="31" t="str">
        <x:v>Bronx</x:v>
      </x:c>
      <x:c r="C95" s="31" t="str">
        <x:v>014500</x:v>
      </x:c>
      <x:c r="D95" s="31" t="str">
        <x:v>BX0302</x:v>
      </x:c>
      <x:c r="E95" s="31" t="str">
        <x:v>Claremont Village-Claremont (East)</x:v>
      </x:c>
      <x:c r="F95" s="31" t="n">
        <x:v>0.07023837069128788</x:v>
      </x:c>
      <x:c r="G95" s="31" t="n">
        <x:v>40.831514576292946</x:v>
      </x:c>
      <x:c r="H95" s="31" t="n">
        <x:v>-73.90702687655217</x:v>
      </x:c>
      <x:c r="I95" s="31" t="n">
        <x:v>7055</x:v>
      </x:c>
      <x:c r="J95" s="31" t="n">
        <x:v>100443.67388600427</x:v>
      </x:c>
      <x:c r="K95" s="31"/>
      <x:c r="L95" s="40"/>
      <x:c r="M95" s="40"/>
      <x:c r="N95" s="31" t="n">
        <x:v>52</x:v>
      </x:c>
      <x:c r="O95" s="31" t="n">
        <x:v>2697</x:v>
      </x:c>
      <x:c r="P95" s="31" t="n">
        <x:v>12.17908787541713</x:v>
      </x:c>
      <x:c r="Q95" s="40" t="n">
        <x:v>0.5847237671486837</x:v>
      </x:c>
      <x:c r="R95" s="40" t="n">
        <x:v>0.41082684464219504</x:v>
      </x:c>
      <x:c r="S95" s="40" t="n">
        <x:v>0.22469410456062291</x:v>
      </x:c>
      <x:c r="T95" s="31" t="n">
        <x:v>123.1609415342232</x:v>
      </x:c>
      <x:c r="U95" s="31" t="n">
        <x:v>202.27006368</x:v>
      </x:c>
      <x:c r="V95" s="31" t="n">
        <x:v>43</x:v>
      </x:c>
      <x:c r="W95" s="31" t="n">
        <x:v>6.094968107725017</x:v>
      </x:c>
      <x:c r="X95" s="31" t="n">
        <x:v>5</x:v>
      </x:c>
      <x:c r="Y95" s="40" t="n">
        <x:v>1</x:v>
      </x:c>
      <x:c r="Z95" s="40" t="n">
        <x:v>1</x:v>
      </x:c>
      <x:c r="AA95" s="40" t="n">
        <x:v>1</x:v>
      </x:c>
      <x:c r="AB95" s="31" t="n">
        <x:v>0.037703201951574616</x:v>
      </x:c>
      <x:c r="AC95" s="31" t="n">
        <x:v>7</x:v>
      </x:c>
      <x:c r="AD95" s="44" t="b">
        <x:v>1</x:v>
      </x:c>
    </x:row>
    <x:row r="96">
      <x:c r="A96" s="31" t="str">
        <x:v>36005014701</x:v>
      </x:c>
      <x:c r="B96" s="31" t="str">
        <x:v>Bronx</x:v>
      </x:c>
      <x:c r="C96" s="31" t="str">
        <x:v>014701</x:v>
      </x:c>
      <x:c r="D96" s="31" t="str">
        <x:v>BX0302</x:v>
      </x:c>
      <x:c r="E96" s="31" t="str">
        <x:v>Claremont Village-Claremont (East)</x:v>
      </x:c>
      <x:c r="F96" s="31" t="n">
        <x:v>0.053463434772799016</x:v>
      </x:c>
      <x:c r="G96" s="31" t="n">
        <x:v>40.83423162874611</x:v>
      </x:c>
      <x:c r="H96" s="31" t="n">
        <x:v>-73.90533000297734</x:v>
      </x:c>
      <x:c r="I96" s="31" t="n">
        <x:v>6361</x:v>
      </x:c>
      <x:c r="J96" s="31" t="n">
        <x:v>118978.51357721469</x:v>
      </x:c>
      <x:c r="K96" s="31"/>
      <x:c r="L96" s="40"/>
      <x:c r="M96" s="40"/>
      <x:c r="N96" s="31" t="n">
        <x:v>8</x:v>
      </x:c>
      <x:c r="O96" s="31" t="n">
        <x:v>2151</x:v>
      </x:c>
      <x:c r="P96" s="31" t="n">
        <x:v>16.432821943282196</x:v>
      </x:c>
      <x:c r="Q96" s="40" t="n">
        <x:v>0.8526266852626685</x:v>
      </x:c>
      <x:c r="R96" s="40" t="n">
        <x:v>0.14737331473733148</x:v>
      </x:c>
      <x:c r="S96" s="40" t="n">
        <x:v>0.8526266852626685</x:v>
      </x:c>
      <x:c r="T96" s="31" t="n">
        <x:v>169.3708565802338</x:v>
      </x:c>
      <x:c r="U96" s="31" t="n">
        <x:v>185.06</x:v>
      </x:c>
      <x:c r="V96" s="31" t="n">
        <x:v>33</x:v>
      </x:c>
      <x:c r="W96" s="31" t="n">
        <x:v>5.1878635434680085</x:v>
      </x:c>
      <x:c r="X96" s="31" t="n">
        <x:v>5</x:v>
      </x:c>
      <x:c r="Y96" s="40" t="n">
        <x:v>1</x:v>
      </x:c>
      <x:c r="Z96" s="40" t="n">
        <x:v>1</x:v>
      </x:c>
      <x:c r="AA96" s="40" t="n">
        <x:v>0.9544397954439795</x:v>
      </x:c>
      <x:c r="AB96" s="31" t="n">
        <x:v>0.07060620008259355</x:v>
      </x:c>
      <x:c r="AC96" s="31" t="n">
        <x:v>5</x:v>
      </x:c>
      <x:c r="AD96" s="44" t="b">
        <x:v>1</x:v>
      </x:c>
    </x:row>
    <x:row r="97">
      <x:c r="A97" s="31" t="str">
        <x:v>36005014702</x:v>
      </x:c>
      <x:c r="B97" s="31" t="str">
        <x:v>Bronx</x:v>
      </x:c>
      <x:c r="C97" s="31" t="str">
        <x:v>014702</x:v>
      </x:c>
      <x:c r="D97" s="31" t="str">
        <x:v>BX0302</x:v>
      </x:c>
      <x:c r="E97" s="31" t="str">
        <x:v>Claremont Village-Claremont (East)</x:v>
      </x:c>
      <x:c r="F97" s="31" t="n">
        <x:v>0.04473612750767619</x:v>
      </x:c>
      <x:c r="G97" s="31" t="n">
        <x:v>40.83653962587881</x:v>
      </x:c>
      <x:c r="H97" s="31" t="n">
        <x:v>-73.90440166686358</x:v>
      </x:c>
      <x:c r="I97" s="31" t="n">
        <x:v>5081</x:v>
      </x:c>
      <x:c r="J97" s="31" t="n">
        <x:v>113577.10832543921</x:v>
      </x:c>
      <x:c r="K97" s="31"/>
      <x:c r="L97" s="40"/>
      <x:c r="M97" s="40"/>
      <x:c r="N97" s="31" t="n">
        <x:v>6</x:v>
      </x:c>
      <x:c r="O97" s="31" t="n">
        <x:v>1667</x:v>
      </x:c>
      <x:c r="P97" s="31" t="n">
        <x:v>17.42351529694061</x:v>
      </x:c>
      <x:c r="Q97" s="40" t="n">
        <x:v>0.9268146370725855</x:v>
      </x:c>
      <x:c r="R97" s="40" t="n">
        <x:v>0.07318536292741452</x:v>
      </x:c>
      <x:c r="S97" s="40" t="n">
        <x:v>0.9268146370725855</x:v>
      </x:c>
      <x:c r="T97" s="31" t="n">
        <x:v>171.8845650869826</x:v>
      </x:c>
      <x:c r="U97" s="31" t="n">
        <x:v>187.15</x:v>
      </x:c>
      <x:c r="V97" s="31" t="n">
        <x:v>25</x:v>
      </x:c>
      <x:c r="W97" s="31" t="n">
        <x:v>4.920291281243849</x:v>
      </x:c>
      <x:c r="X97" s="31" t="n">
        <x:v>5</x:v>
      </x:c>
      <x:c r="Y97" s="40" t="n">
        <x:v>1</x:v>
      </x:c>
      <x:c r="Z97" s="40" t="n">
        <x:v>1</x:v>
      </x:c>
      <x:c r="AA97" s="40" t="n">
        <x:v>1</x:v>
      </x:c>
      <x:c r="AB97" s="31" t="n">
        <x:v>0.052810114428174244</x:v>
      </x:c>
      <x:c r="AC97" s="31" t="n">
        <x:v>5</x:v>
      </x:c>
      <x:c r="AD97" s="44" t="b">
        <x:v>1</x:v>
      </x:c>
    </x:row>
    <x:row r="98">
      <x:c r="A98" s="31" t="str">
        <x:v>36005014900</x:v>
      </x:c>
      <x:c r="B98" s="31" t="str">
        <x:v>Bronx</x:v>
      </x:c>
      <x:c r="C98" s="31" t="str">
        <x:v>014900</x:v>
      </x:c>
      <x:c r="D98" s="31" t="str">
        <x:v>BX0301</x:v>
      </x:c>
      <x:c r="E98" s="31" t="str">
        <x:v>Morrisania</x:v>
      </x:c>
      <x:c r="F98" s="31" t="n">
        <x:v>0.06018224967932162</x:v>
      </x:c>
      <x:c r="G98" s="31" t="n">
        <x:v>40.83259185596624</x:v>
      </x:c>
      <x:c r="H98" s="31" t="n">
        <x:v>-73.90149619616331</x:v>
      </x:c>
      <x:c r="I98" s="31" t="n">
        <x:v>4723</x:v>
      </x:c>
      <x:c r="J98" s="31" t="n">
        <x:v>78478.28928240953</x:v>
      </x:c>
      <x:c r="K98" s="31"/>
      <x:c r="L98" s="40"/>
      <x:c r="M98" s="40"/>
      <x:c r="N98" s="31" t="n">
        <x:v>161</x:v>
      </x:c>
      <x:c r="O98" s="31" t="n">
        <x:v>1851</x:v>
      </x:c>
      <x:c r="P98" s="31" t="n">
        <x:v>5.099565925122084</x:v>
      </x:c>
      <x:c r="Q98" s="40" t="n">
        <x:v>0</x:v>
      </x:c>
      <x:c r="R98" s="40" t="n">
        <x:v>0.9605618584548893</x:v>
      </x:c>
      <x:c r="S98" s="40" t="n">
        <x:v>0.0021609940572663426</x:v>
      </x:c>
      <x:c r="T98" s="31" t="n">
        <x:v>57.60577532438178</x:v>
      </x:c>
      <x:c r="U98" s="31" t="n">
        <x:v>96</x:v>
      </x:c>
      <x:c r="V98" s="31" t="n">
        <x:v>14</x:v>
      </x:c>
      <x:c r="W98" s="31" t="n">
        <x:v>2.96421765826805</x:v>
      </x:c>
      <x:c r="X98" s="31" t="n">
        <x:v>5</x:v>
      </x:c>
      <x:c r="Y98" s="40" t="n">
        <x:v>1</x:v>
      </x:c>
      <x:c r="Z98" s="40" t="n">
        <x:v>1</x:v>
      </x:c>
      <x:c r="AA98" s="40" t="n">
        <x:v>0.9962182603997839</x:v>
      </x:c>
      <x:c r="AB98" s="31" t="n">
        <x:v>0.09235708767695226</x:v>
      </x:c>
      <x:c r="AC98" s="31" t="n">
        <x:v>8</x:v>
      </x:c>
      <x:c r="AD98" s="44" t="b">
        <x:v>1</x:v>
      </x:c>
    </x:row>
    <x:row r="99">
      <x:c r="A99" s="31" t="str">
        <x:v>36005015100</x:v>
      </x:c>
      <x:c r="B99" s="31" t="str">
        <x:v>Bronx</x:v>
      </x:c>
      <x:c r="C99" s="31" t="str">
        <x:v>015100</x:v>
      </x:c>
      <x:c r="D99" s="31" t="str">
        <x:v>BX0301</x:v>
      </x:c>
      <x:c r="E99" s="31" t="str">
        <x:v>Morrisania</x:v>
      </x:c>
      <x:c r="F99" s="31" t="n">
        <x:v>0.08084155362718089</x:v>
      </x:c>
      <x:c r="G99" s="31" t="n">
        <x:v>40.83108747056466</x:v>
      </x:c>
      <x:c r="H99" s="31" t="n">
        <x:v>-73.89847640196209</x:v>
      </x:c>
      <x:c r="I99" s="31" t="n">
        <x:v>5957</x:v>
      </x:c>
      <x:c r="J99" s="31" t="n">
        <x:v>73687.35177297622</x:v>
      </x:c>
      <x:c r="K99" s="31"/>
      <x:c r="L99" s="40"/>
      <x:c r="M99" s="40"/>
      <x:c r="N99" s="31" t="n">
        <x:v>344</x:v>
      </x:c>
      <x:c r="O99" s="31" t="n">
        <x:v>2293</x:v>
      </x:c>
      <x:c r="P99" s="31" t="n">
        <x:v>4.552843436546009</x:v>
      </x:c>
      <x:c r="Q99" s="40" t="n">
        <x:v>0</x:v>
      </x:c>
      <x:c r="R99" s="40" t="n">
        <x:v>0.837767117313563</x:v>
      </x:c>
      <x:c r="S99" s="40" t="n">
        <x:v>0.06498037505451373</x:v>
      </x:c>
      <x:c r="T99" s="31" t="n">
        <x:v>51.542080574161524</x:v>
      </x:c>
      <x:c r="U99" s="31" t="n">
        <x:v>82.95075451</x:v>
      </x:c>
      <x:c r="V99" s="31" t="n">
        <x:v>21</x:v>
      </x:c>
      <x:c r="W99" s="31" t="n">
        <x:v>3.5252643948296125</x:v>
      </x:c>
      <x:c r="X99" s="31" t="n">
        <x:v>5</x:v>
      </x:c>
      <x:c r="Y99" s="40" t="n">
        <x:v>1</x:v>
      </x:c>
      <x:c r="Z99" s="40" t="n">
        <x:v>1</x:v>
      </x:c>
      <x:c r="AA99" s="40" t="n">
        <x:v>0.9882250327082425</x:v>
      </x:c>
      <x:c r="AB99" s="31" t="n">
        <x:v>0.026822614610983994</x:v>
      </x:c>
      <x:c r="AC99" s="31" t="n">
        <x:v>7</x:v>
      </x:c>
      <x:c r="AD99" s="44" t="b">
        <x:v>1</x:v>
      </x:c>
    </x:row>
    <x:row r="100">
      <x:c r="A100" s="31" t="str">
        <x:v>36005015200</x:v>
      </x:c>
      <x:c r="B100" s="31" t="str">
        <x:v>Bronx</x:v>
      </x:c>
      <x:c r="C100" s="31" t="str">
        <x:v>015200</x:v>
      </x:c>
      <x:c r="D100" s="31" t="str">
        <x:v>BX1002</x:v>
      </x:c>
      <x:c r="E100" s="31" t="str">
        <x:v>Throgs Neck-Schuylerville</x:v>
      </x:c>
      <x:c r="F100" s="31" t="n">
        <x:v>0.10942903795447372</x:v>
      </x:c>
      <x:c r="G100" s="31" t="n">
        <x:v>40.82639034927042</x:v>
      </x:c>
      <x:c r="H100" s="31" t="n">
        <x:v>-73.82491889286824</x:v>
      </x:c>
      <x:c r="I100" s="31" t="n">
        <x:v>2593</x:v>
      </x:c>
      <x:c r="J100" s="31" t="n">
        <x:v>23695.72143253949</x:v>
      </x:c>
      <x:c r="K100" s="31"/>
      <x:c r="L100" s="40"/>
      <x:c r="M100" s="40"/>
      <x:c r="N100" s="31" t="n">
        <x:v>486</x:v>
      </x:c>
      <x:c r="O100" s="31" t="n">
        <x:v>883</x:v>
      </x:c>
      <x:c r="P100" s="31" t="n">
        <x:v>1.8877349943374857</x:v>
      </x:c>
      <x:c r="Q100" s="40" t="n">
        <x:v>0</x:v>
      </x:c>
      <x:c r="R100" s="40" t="n">
        <x:v>0.057757644394110984</x:v>
      </x:c>
      <x:c r="S100" s="40" t="n">
        <x:v>0.0033975084937712344</x:v>
      </x:c>
      <x:c r="T100" s="31" t="n">
        <x:v>24.47920300011325</x:v>
      </x:c>
      <x:c r="U100" s="31" t="n">
        <x:v>36.9</x:v>
      </x:c>
      <x:c r="V100" s="31" t="n">
        <x:v>0</x:v>
      </x:c>
      <x:c r="W100" s="31" t="n">
        <x:v>0</x:v>
      </x:c>
      <x:c r="X100" s="31" t="n">
        <x:v>1</x:v>
      </x:c>
      <x:c r="Y100" s="40" t="n">
        <x:v>0</x:v>
      </x:c>
      <x:c r="Z100" s="40" t="n">
        <x:v>1</x:v>
      </x:c>
      <x:c r="AA100" s="40" t="n">
        <x:v>1</x:v>
      </x:c>
      <x:c r="AB100" s="31" t="n">
        <x:v>0.22963436748494992</x:v>
      </x:c>
      <x:c r="AC100" s="31" t="n">
        <x:v>6</x:v>
      </x:c>
      <x:c r="AD100" s="44" t="b">
        <x:v>1</x:v>
      </x:c>
    </x:row>
    <x:row r="101">
      <x:c r="A101" s="31" t="str">
        <x:v>36005015300</x:v>
      </x:c>
      <x:c r="B101" s="31" t="str">
        <x:v>Bronx</x:v>
      </x:c>
      <x:c r="C101" s="31" t="str">
        <x:v>015300</x:v>
      </x:c>
      <x:c r="D101" s="31" t="str">
        <x:v>BX0303</x:v>
      </x:c>
      <x:c r="E101" s="31" t="str">
        <x:v>Crotona Park East</x:v>
      </x:c>
      <x:c r="F101" s="31" t="n">
        <x:v>0.09048905968204775</x:v>
      </x:c>
      <x:c r="G101" s="31" t="n">
        <x:v>40.83346801326137</x:v>
      </x:c>
      <x:c r="H101" s="31" t="n">
        <x:v>-73.89412268621318</x:v>
      </x:c>
      <x:c r="I101" s="31" t="n">
        <x:v>4258</x:v>
      </x:c>
      <x:c r="J101" s="31" t="n">
        <x:v>47055.4121676297</x:v>
      </x:c>
      <x:c r="K101" s="31"/>
      <x:c r="L101" s="40"/>
      <x:c r="M101" s="40"/>
      <x:c r="N101" s="31" t="n">
        <x:v>301</x:v>
      </x:c>
      <x:c r="O101" s="31" t="n">
        <x:v>1881</x:v>
      </x:c>
      <x:c r="P101" s="31" t="n">
        <x:v>5.124401913875598</x:v>
      </x:c>
      <x:c r="Q101" s="40" t="n">
        <x:v>0.05475810738968634</x:v>
      </x:c>
      <x:c r="R101" s="40" t="n">
        <x:v>0.7931951089845827</x:v>
      </x:c>
      <x:c r="S101" s="40" t="n">
        <x:v>0.002658160552897395</x:v>
      </x:c>
      <x:c r="T101" s="31" t="n">
        <x:v>56.09383661215393</x:v>
      </x:c>
      <x:c r="U101" s="31" t="n">
        <x:v>90.1002873</x:v>
      </x:c>
      <x:c r="V101" s="31" t="n">
        <x:v>19</x:v>
      </x:c>
      <x:c r="W101" s="31" t="n">
        <x:v>4.462188821042743</x:v>
      </x:c>
      <x:c r="X101" s="31" t="n">
        <x:v>5</x:v>
      </x:c>
      <x:c r="Y101" s="40" t="n">
        <x:v>1</x:v>
      </x:c>
      <x:c r="Z101" s="40" t="n">
        <x:v>1</x:v>
      </x:c>
      <x:c r="AA101" s="40" t="n">
        <x:v>0.9946836788942052</x:v>
      </x:c>
      <x:c r="AB101" s="31" t="n">
        <x:v>0.13620131291456994</x:v>
      </x:c>
      <x:c r="AC101" s="31" t="n">
        <x:v>5</x:v>
      </x:c>
      <x:c r="AD101" s="44" t="b">
        <x:v>1</x:v>
      </x:c>
    </x:row>
    <x:row r="102">
      <x:c r="A102" s="31" t="str">
        <x:v>36005015500</x:v>
      </x:c>
      <x:c r="B102" s="31" t="str">
        <x:v>Bronx</x:v>
      </x:c>
      <x:c r="C102" s="31" t="str">
        <x:v>015500</x:v>
      </x:c>
      <x:c r="D102" s="31" t="str">
        <x:v>BX0303</x:v>
      </x:c>
      <x:c r="E102" s="31" t="str">
        <x:v>Crotona Park East</x:v>
      </x:c>
      <x:c r="F102" s="31" t="n">
        <x:v>0.04415331697622533</x:v>
      </x:c>
      <x:c r="G102" s="31" t="n">
        <x:v>40.83552468171708</x:v>
      </x:c>
      <x:c r="H102" s="31" t="n">
        <x:v>-73.88998438351975</x:v>
      </x:c>
      <x:c r="I102" s="31" t="n">
        <x:v>2891</x:v>
      </x:c>
      <x:c r="J102" s="31" t="n">
        <x:v>65476.39448145379</x:v>
      </x:c>
      <x:c r="K102" s="31"/>
      <x:c r="L102" s="40"/>
      <x:c r="M102" s="40"/>
      <x:c r="N102" s="31" t="n">
        <x:v>71</x:v>
      </x:c>
      <x:c r="O102" s="31" t="n">
        <x:v>1206</x:v>
      </x:c>
      <x:c r="P102" s="31" t="n">
        <x:v>5.945273631840796</x:v>
      </x:c>
      <x:c r="Q102" s="40" t="n">
        <x:v>0.06053067993366501</x:v>
      </x:c>
      <x:c r="R102" s="40" t="n">
        <x:v>0.912106135986733</x:v>
      </x:c>
      <x:c r="S102" s="40" t="n">
        <x:v>0</x:v>
      </x:c>
      <x:c r="T102" s="31" t="n">
        <x:v>59.82892953056487</x:v>
      </x:c>
      <x:c r="U102" s="31" t="n">
        <x:v>92</x:v>
      </x:c>
      <x:c r="V102" s="31" t="n">
        <x:v>19</x:v>
      </x:c>
      <x:c r="W102" s="31" t="n">
        <x:v>6.572120373573158</x:v>
      </x:c>
      <x:c r="X102" s="31" t="n">
        <x:v>5</x:v>
      </x:c>
      <x:c r="Y102" s="40" t="n">
        <x:v>1</x:v>
      </x:c>
      <x:c r="Z102" s="40" t="n">
        <x:v>1</x:v>
      </x:c>
      <x:c r="AA102" s="40" t="n">
        <x:v>0.939469320066335</x:v>
      </x:c>
      <x:c r="AB102" s="31" t="n">
        <x:v>0.06450139832708746</x:v>
      </x:c>
      <x:c r="AC102" s="31" t="n">
        <x:v>5</x:v>
      </x:c>
      <x:c r="AD102" s="44" t="b">
        <x:v>1</x:v>
      </x:c>
    </x:row>
    <x:row r="103">
      <x:c r="A103" s="31" t="str">
        <x:v>36005015700</x:v>
      </x:c>
      <x:c r="B103" s="31" t="str">
        <x:v>Bronx</x:v>
      </x:c>
      <x:c r="C103" s="31" t="str">
        <x:v>015700</x:v>
      </x:c>
      <x:c r="D103" s="31" t="str">
        <x:v>BX0303</x:v>
      </x:c>
      <x:c r="E103" s="31" t="str">
        <x:v>Crotona Park East</x:v>
      </x:c>
      <x:c r="F103" s="31" t="n">
        <x:v>0.1206281016155877</x:v>
      </x:c>
      <x:c r="G103" s="31" t="n">
        <x:v>40.83301659509612</x:v>
      </x:c>
      <x:c r="H103" s="31" t="n">
        <x:v>-73.88551836356649</x:v>
      </x:c>
      <x:c r="I103" s="31" t="n">
        <x:v>5542</x:v>
      </x:c>
      <x:c r="J103" s="31" t="n">
        <x:v>45942.860127742046</x:v>
      </x:c>
      <x:c r="K103" s="31"/>
      <x:c r="L103" s="40"/>
      <x:c r="M103" s="40"/>
      <x:c r="N103" s="31" t="n">
        <x:v>260</x:v>
      </x:c>
      <x:c r="O103" s="31" t="n">
        <x:v>2600</x:v>
      </x:c>
      <x:c r="P103" s="31" t="n">
        <x:v>8.019642162582652</x:v>
      </x:c>
      <x:c r="Q103" s="40" t="n">
        <x:v>0.40192307692307694</x:v>
      </x:c>
      <x:c r="R103" s="40" t="n">
        <x:v>0.45153846153846156</x:v>
      </x:c>
      <x:c r="S103" s="40" t="n">
        <x:v>0.028846153846153848</x:v>
      </x:c>
      <x:c r="T103" s="31" t="n">
        <x:v>87.88544029326789</x:v>
      </x:c>
      <x:c r="U103" s="31" t="n">
        <x:v>164</x:v>
      </x:c>
      <x:c r="V103" s="31" t="n">
        <x:v>28</x:v>
      </x:c>
      <x:c r="W103" s="31" t="n">
        <x:v>5.052327679538073</x:v>
      </x:c>
      <x:c r="X103" s="31" t="n">
        <x:v>5</x:v>
      </x:c>
      <x:c r="Y103" s="40" t="n">
        <x:v>1</x:v>
      </x:c>
      <x:c r="Z103" s="40" t="n">
        <x:v>1</x:v>
      </x:c>
      <x:c r="AA103" s="40" t="n">
        <x:v>0.9992307692307693</x:v>
      </x:c>
      <x:c r="AB103" s="31" t="n">
        <x:v>0.07530851046998736</x:v>
      </x:c>
      <x:c r="AC103" s="31" t="n">
        <x:v>6</x:v>
      </x:c>
      <x:c r="AD103" s="44" t="b">
        <x:v>1</x:v>
      </x:c>
    </x:row>
    <x:row r="104">
      <x:c r="A104" s="31" t="str">
        <x:v>36005015800</x:v>
      </x:c>
      <x:c r="B104" s="31" t="str">
        <x:v>Bronx</x:v>
      </x:c>
      <x:c r="C104" s="31" t="str">
        <x:v>015800</x:v>
      </x:c>
      <x:c r="D104" s="31" t="str">
        <x:v>BX1002</x:v>
      </x:c>
      <x:c r="E104" s="31" t="str">
        <x:v>Throgs Neck-Schuylerville</x:v>
      </x:c>
      <x:c r="F104" s="31" t="n">
        <x:v>0.06283776386593204</x:v>
      </x:c>
      <x:c r="G104" s="31" t="n">
        <x:v>40.82485809371307</x:v>
      </x:c>
      <x:c r="H104" s="31" t="n">
        <x:v>-73.81861618531701</x:v>
      </x:c>
      <x:c r="I104" s="31" t="n">
        <x:v>1442</x:v>
      </x:c>
      <x:c r="J104" s="31" t="n">
        <x:v>22947.984003323058</x:v>
      </x:c>
      <x:c r="K104" s="31"/>
      <x:c r="L104" s="40"/>
      <x:c r="M104" s="40"/>
      <x:c r="N104" s="31" t="n">
        <x:v>233</x:v>
      </x:c>
      <x:c r="O104" s="31" t="n">
        <x:v>569</x:v>
      </x:c>
      <x:c r="P104" s="31" t="n">
        <x:v>3.6810369068541307</x:v>
      </x:c>
      <x:c r="Q104" s="40" t="n">
        <x:v>0</x:v>
      </x:c>
      <x:c r="R104" s="40" t="n">
        <x:v>0.4446397188049209</x:v>
      </x:c>
      <x:c r="S104" s="40" t="n">
        <x:v>0.0035149384885764497</x:v>
      </x:c>
      <x:c r="T104" s="31" t="n">
        <x:v>48.8323805427065</x:v>
      </x:c>
      <x:c r="U104" s="31" t="n">
        <x:v>106.68766992</x:v>
      </x:c>
      <x:c r="V104" s="31" t="n">
        <x:v>2</x:v>
      </x:c>
      <x:c r="W104" s="31" t="n">
        <x:v>1.3869625520110958</x:v>
      </x:c>
      <x:c r="X104" s="31" t="n">
        <x:v>1</x:v>
      </x:c>
      <x:c r="Y104" s="40" t="n">
        <x:v>0</x:v>
      </x:c>
      <x:c r="Z104" s="40" t="n">
        <x:v>1</x:v>
      </x:c>
      <x:c r="AA104" s="40" t="n">
        <x:v>1</x:v>
      </x:c>
      <x:c r="AB104" s="31" t="n">
        <x:v>0.11897344266735888</x:v>
      </x:c>
      <x:c r="AC104" s="31" t="n">
        <x:v>5</x:v>
      </x:c>
      <x:c r="AD104" s="44" t="b">
        <x:v>1</x:v>
      </x:c>
    </x:row>
    <x:row r="105">
      <x:c r="A105" s="31" t="str">
        <x:v>36005015900</x:v>
      </x:c>
      <x:c r="B105" s="31" t="str">
        <x:v>Bronx</x:v>
      </x:c>
      <x:c r="C105" s="31" t="str">
        <x:v>015900</x:v>
      </x:c>
      <x:c r="D105" s="31" t="str">
        <x:v>BX0202</x:v>
      </x:c>
      <x:c r="E105" s="31" t="str">
        <x:v>Longwood</x:v>
      </x:c>
      <x:c r="F105" s="31" t="n">
        <x:v>0.039860115887210175</x:v>
      </x:c>
      <x:c r="G105" s="31" t="n">
        <x:v>40.8223721508488</x:v>
      </x:c>
      <x:c r="H105" s="31" t="n">
        <x:v>-73.89355904179364</x:v>
      </x:c>
      <x:c r="I105" s="31" t="n">
        <x:v>2481</x:v>
      </x:c>
      <x:c r="J105" s="31" t="n">
        <x:v>62242.66901331496</x:v>
      </x:c>
      <x:c r="K105" s="31"/>
      <x:c r="L105" s="40"/>
      <x:c r="M105" s="40"/>
      <x:c r="N105" s="31" t="n">
        <x:v>38</x:v>
      </x:c>
      <x:c r="O105" s="31" t="n">
        <x:v>1186</x:v>
      </x:c>
      <x:c r="P105" s="31" t="n">
        <x:v>6.814502529510961</x:v>
      </x:c>
      <x:c r="Q105" s="40" t="n">
        <x:v>0</x:v>
      </x:c>
      <x:c r="R105" s="40" t="n">
        <x:v>1</x:v>
      </x:c>
      <x:c r="S105" s="40" t="n">
        <x:v>0.6222596964586846</x:v>
      </x:c>
      <x:c r="T105" s="31" t="n">
        <x:v>71.35020016645868</x:v>
      </x:c>
      <x:c r="U105" s="31" t="n">
        <x:v>80</x:v>
      </x:c>
      <x:c r="V105" s="31" t="n">
        <x:v>19</x:v>
      </x:c>
      <x:c r="W105" s="31" t="n">
        <x:v>7.658202337767029</x:v>
      </x:c>
      <x:c r="X105" s="31" t="n">
        <x:v>5</x:v>
      </x:c>
      <x:c r="Y105" s="40" t="n">
        <x:v>1</x:v>
      </x:c>
      <x:c r="Z105" s="40" t="n">
        <x:v>1</x:v>
      </x:c>
      <x:c r="AA105" s="40" t="n">
        <x:v>1</x:v>
      </x:c>
      <x:c r="AB105" s="31" t="n">
        <x:v>0.047125321842899796</x:v>
      </x:c>
      <x:c r="AC105" s="31" t="n">
        <x:v>5</x:v>
      </x:c>
      <x:c r="AD105" s="44" t="b">
        <x:v>1</x:v>
      </x:c>
    </x:row>
    <x:row r="106">
      <x:c r="A106" s="31" t="str">
        <x:v>36005016000</x:v>
      </x:c>
      <x:c r="B106" s="31" t="str">
        <x:v>Bronx</x:v>
      </x:c>
      <x:c r="C106" s="31" t="str">
        <x:v>016000</x:v>
      </x:c>
      <x:c r="D106" s="31" t="str">
        <x:v>BX1002</x:v>
      </x:c>
      <x:c r="E106" s="31" t="str">
        <x:v>Throgs Neck-Schuylerville</x:v>
      </x:c>
      <x:c r="F106" s="31" t="n">
        <x:v>0.1984447933500488</x:v>
      </x:c>
      <x:c r="G106" s="31" t="n">
        <x:v>40.83111755365985</x:v>
      </x:c>
      <x:c r="H106" s="31" t="n">
        <x:v>-73.81751937506849</x:v>
      </x:c>
      <x:c r="I106" s="31" t="n">
        <x:v>4003</x:v>
      </x:c>
      <x:c r="J106" s="31" t="n">
        <x:v>20171.857030982243</x:v>
      </x:c>
      <x:c r="K106" s="31"/>
      <x:c r="L106" s="40"/>
      <x:c r="M106" s="40"/>
      <x:c r="N106" s="31" t="n">
        <x:v>867</x:v>
      </x:c>
      <x:c r="O106" s="31" t="n">
        <x:v>1480</x:v>
      </x:c>
      <x:c r="P106" s="31" t="n">
        <x:v>2.3672582872928176</x:v>
      </x:c>
      <x:c r="Q106" s="40" t="n">
        <x:v>0</x:v>
      </x:c>
      <x:c r="R106" s="40" t="n">
        <x:v>0.3358108108108108</x:v>
      </x:c>
      <x:c r="S106" s="40" t="n">
        <x:v>0.02972972972972973</x:v>
      </x:c>
      <x:c r="T106" s="31" t="n">
        <x:v>30.745828504047456</x:v>
      </x:c>
      <x:c r="U106" s="31" t="n">
        <x:v>67.63</x:v>
      </x:c>
      <x:c r="V106" s="31" t="n">
        <x:v>4</x:v>
      </x:c>
      <x:c r="W106" s="31" t="n">
        <x:v>0.9992505620784412</x:v>
      </x:c>
      <x:c r="X106" s="31" t="n">
        <x:v>1</x:v>
      </x:c>
      <x:c r="Y106" s="40" t="n">
        <x:v>0</x:v>
      </x:c>
      <x:c r="Z106" s="40" t="n">
        <x:v>1</x:v>
      </x:c>
      <x:c r="AA106" s="40" t="n">
        <x:v>0.9966216216216216</x:v>
      </x:c>
      <x:c r="AB106" s="31" t="n">
        <x:v>0.2857928329335735</x:v>
      </x:c>
      <x:c r="AC106" s="31" t="n">
        <x:v>6</x:v>
      </x:c>
      <x:c r="AD106" s="44" t="b">
        <x:v>1</x:v>
      </x:c>
    </x:row>
    <x:row r="107">
      <x:c r="A107" s="31" t="str">
        <x:v>36005016100</x:v>
      </x:c>
      <x:c r="B107" s="31" t="str">
        <x:v>Bronx</x:v>
      </x:c>
      <x:c r="C107" s="31" t="str">
        <x:v>016100</x:v>
      </x:c>
      <x:c r="D107" s="31" t="str">
        <x:v>BX0303</x:v>
      </x:c>
      <x:c r="E107" s="31" t="str">
        <x:v>Crotona Park East</x:v>
      </x:c>
      <x:c r="F107" s="31" t="n">
        <x:v>0.09233973222853535</x:v>
      </x:c>
      <x:c r="G107" s="31" t="n">
        <x:v>40.83684533018046</x:v>
      </x:c>
      <x:c r="H107" s="31" t="n">
        <x:v>-73.88501621803515</x:v>
      </x:c>
      <x:c r="I107" s="31" t="n">
        <x:v>5243</x:v>
      </x:c>
      <x:c r="J107" s="31" t="n">
        <x:v>56779.45856528895</x:v>
      </x:c>
      <x:c r="K107" s="31"/>
      <x:c r="L107" s="40"/>
      <x:c r="M107" s="40"/>
      <x:c r="N107" s="31" t="n">
        <x:v>63</x:v>
      </x:c>
      <x:c r="O107" s="31" t="n">
        <x:v>2730</x:v>
      </x:c>
      <x:c r="P107" s="31" t="n">
        <x:v>6.27985347985348</x:v>
      </x:c>
      <x:c r="Q107" s="40" t="n">
        <x:v>0.07106227106227106</x:v>
      </x:c>
      <x:c r="R107" s="40" t="n">
        <x:v>0.9238095238095239</x:v>
      </x:c>
      <x:c r="S107" s="40" t="n">
        <x:v>0</x:v>
      </x:c>
      <x:c r="T107" s="31" t="n">
        <x:v>71.0662071310409</x:v>
      </x:c>
      <x:c r="U107" s="31" t="n">
        <x:v>200</x:v>
      </x:c>
      <x:c r="V107" s="31" t="n">
        <x:v>46</x:v>
      </x:c>
      <x:c r="W107" s="31" t="n">
        <x:v>8.773602899103565</x:v>
      </x:c>
      <x:c r="X107" s="31" t="n">
        <x:v>5</x:v>
      </x:c>
      <x:c r="Y107" s="40" t="n">
        <x:v>1</x:v>
      </x:c>
      <x:c r="Z107" s="40" t="n">
        <x:v>1</x:v>
      </x:c>
      <x:c r="AA107" s="40" t="n">
        <x:v>0.9853479853479854</x:v>
      </x:c>
      <x:c r="AB107" s="31" t="n">
        <x:v>0.07150287614555338</x:v>
      </x:c>
      <x:c r="AC107" s="31" t="n">
        <x:v>7</x:v>
      </x:c>
      <x:c r="AD107" s="44" t="b">
        <x:v>1</x:v>
      </x:c>
    </x:row>
    <x:row r="108">
      <x:c r="A108" s="31" t="str">
        <x:v>36005016200</x:v>
      </x:c>
      <x:c r="B108" s="31" t="str">
        <x:v>Bronx</x:v>
      </x:c>
      <x:c r="C108" s="31" t="str">
        <x:v>016200</x:v>
      </x:c>
      <x:c r="D108" s="31" t="str">
        <x:v>BX1002</x:v>
      </x:c>
      <x:c r="E108" s="31" t="str">
        <x:v>Throgs Neck-Schuylerville</x:v>
      </x:c>
      <x:c r="F108" s="31" t="n">
        <x:v>0.06973415924873738</x:v>
      </x:c>
      <x:c r="G108" s="31" t="n">
        <x:v>40.82885026721606</x:v>
      </x:c>
      <x:c r="H108" s="31" t="n">
        <x:v>-73.82175930168357</x:v>
      </x:c>
      <x:c r="I108" s="31" t="n">
        <x:v>1908</x:v>
      </x:c>
      <x:c r="J108" s="31" t="n">
        <x:v>27361.052611164112</x:v>
      </x:c>
      <x:c r="K108" s="31"/>
      <x:c r="L108" s="40"/>
      <x:c r="M108" s="40"/>
      <x:c r="N108" s="31" t="n">
        <x:v>358</x:v>
      </x:c>
      <x:c r="O108" s="31" t="n">
        <x:v>608</x:v>
      </x:c>
      <x:c r="P108" s="31" t="n">
        <x:v>2.089934210526316</x:v>
      </x:c>
      <x:c r="Q108" s="40" t="n">
        <x:v>0</x:v>
      </x:c>
      <x:c r="R108" s="40" t="n">
        <x:v>0.15789473684210525</x:v>
      </x:c>
      <x:c r="S108" s="40" t="n">
        <x:v>0.018092105263157895</x:v>
      </x:c>
      <x:c r="T108" s="31" t="n">
        <x:v>28.11463344876645</x:v>
      </x:c>
      <x:c r="U108" s="31" t="n">
        <x:v>57.90826527</x:v>
      </x:c>
      <x:c r="V108" s="31" t="n">
        <x:v>1</x:v>
      </x:c>
      <x:c r="W108" s="31" t="n">
        <x:v>0.5241090146750524</x:v>
      </x:c>
      <x:c r="X108" s="31" t="n">
        <x:v>1</x:v>
      </x:c>
      <x:c r="Y108" s="40" t="n">
        <x:v>0</x:v>
      </x:c>
      <x:c r="Z108" s="40" t="n">
        <x:v>1</x:v>
      </x:c>
      <x:c r="AA108" s="40" t="n">
        <x:v>1</x:v>
      </x:c>
      <x:c r="AB108" s="31" t="n">
        <x:v>0.22256491830111783</x:v>
      </x:c>
      <x:c r="AC108" s="31" t="n">
        <x:v>6</x:v>
      </x:c>
      <x:c r="AD108" s="44" t="b">
        <x:v>1</x:v>
      </x:c>
    </x:row>
    <x:row r="109">
      <x:c r="A109" s="31" t="str">
        <x:v>36005016300</x:v>
      </x:c>
      <x:c r="B109" s="31" t="str">
        <x:v>Bronx</x:v>
      </x:c>
      <x:c r="C109" s="31" t="str">
        <x:v>016300</x:v>
      </x:c>
      <x:c r="D109" s="31" t="str">
        <x:v>BX0391</x:v>
      </x:c>
      <x:c r="E109" s="31" t="str">
        <x:v>Crotona Park</x:v>
      </x:c>
      <x:c r="F109" s="31" t="n">
        <x:v>0.2274068424195793</x:v>
      </x:c>
      <x:c r="G109" s="31" t="n">
        <x:v>40.83854943450256</x:v>
      </x:c>
      <x:c r="H109" s="31" t="n">
        <x:v>-73.89498679254542</x:v>
      </x:c>
      <x:c r="I109" s="31" t="n">
        <x:v>34</x:v>
      </x:c>
      <x:c r="J109" s="31" t="n">
        <x:v>149.5117721096006</x:v>
      </x:c>
      <x:c r="K109" s="31"/>
      <x:c r="L109" s="40"/>
      <x:c r="M109" s="40"/>
      <x:c r="N109" s="31" t="n">
        <x:v>0</x:v>
      </x:c>
      <x:c r="O109" s="31"/>
      <x:c r="P109" s="31"/>
      <x:c r="Q109" s="40"/>
      <x:c r="R109" s="40"/>
      <x:c r="S109" s="40"/>
      <x:c r="T109" s="31"/>
      <x:c r="U109" s="31"/>
      <x:c r="V109" s="31" t="n">
        <x:v>0</x:v>
      </x:c>
      <x:c r="W109" s="31" t="n">
        <x:v>0</x:v>
      </x:c>
      <x:c r="X109" s="31"/>
      <x:c r="Y109" s="40"/>
      <x:c r="Z109" s="40"/>
      <x:c r="AA109" s="40"/>
      <x:c r="AB109" s="31" t="n">
        <x:v>0.1896804461037751</x:v>
      </x:c>
      <x:c r="AC109" s="31" t="n">
        <x:v>11</x:v>
      </x:c>
      <x:c r="AD109" s="44" t="b">
        <x:v>0</x:v>
      </x:c>
    </x:row>
    <x:row r="110">
      <x:c r="A110" s="31" t="str">
        <x:v>36005016400</x:v>
      </x:c>
      <x:c r="B110" s="31" t="str">
        <x:v>Bronx</x:v>
      </x:c>
      <x:c r="C110" s="31" t="str">
        <x:v>016400</x:v>
      </x:c>
      <x:c r="D110" s="31" t="str">
        <x:v>BX1002</x:v>
      </x:c>
      <x:c r="E110" s="31" t="str">
        <x:v>Throgs Neck-Schuylerville</x:v>
      </x:c>
      <x:c r="F110" s="31" t="n">
        <x:v>0.0634384948684286</x:v>
      </x:c>
      <x:c r="G110" s="31" t="n">
        <x:v>40.83219959442395</x:v>
      </x:c>
      <x:c r="H110" s="31" t="n">
        <x:v>-73.82484784532731</x:v>
      </x:c>
      <x:c r="I110" s="31" t="n">
        <x:v>1221</x:v>
      </x:c>
      <x:c r="J110" s="31" t="n">
        <x:v>19246.988796508384</x:v>
      </x:c>
      <x:c r="K110" s="31"/>
      <x:c r="L110" s="40"/>
      <x:c r="M110" s="40"/>
      <x:c r="N110" s="31" t="n">
        <x:v>262</x:v>
      </x:c>
      <x:c r="O110" s="31" t="n">
        <x:v>444</x:v>
      </x:c>
      <x:c r="P110" s="31" t="n">
        <x:v>2.1236877828054297</x:v>
      </x:c>
      <x:c r="Q110" s="40" t="n">
        <x:v>0</x:v>
      </x:c>
      <x:c r="R110" s="40" t="n">
        <x:v>0.10135135135135136</x:v>
      </x:c>
      <x:c r="S110" s="40" t="n">
        <x:v>0.03153153153153153</x:v>
      </x:c>
      <x:c r="T110" s="31" t="n">
        <x:v>29.98969452371882</x:v>
      </x:c>
      <x:c r="U110" s="31" t="n">
        <x:v>43.02642221</x:v>
      </x:c>
      <x:c r="V110" s="31" t="n">
        <x:v>1</x:v>
      </x:c>
      <x:c r="W110" s="31" t="n">
        <x:v>0.819000819000819</x:v>
      </x:c>
      <x:c r="X110" s="31" t="n">
        <x:v>1</x:v>
      </x:c>
      <x:c r="Y110" s="40" t="n">
        <x:v>0</x:v>
      </x:c>
      <x:c r="Z110" s="40" t="n">
        <x:v>1</x:v>
      </x:c>
      <x:c r="AA110" s="40" t="n">
        <x:v>0.9932432432432432</x:v>
      </x:c>
      <x:c r="AB110" s="31" t="n">
        <x:v>0.1485964810718865</x:v>
      </x:c>
      <x:c r="AC110" s="31" t="n">
        <x:v>7</x:v>
      </x:c>
      <x:c r="AD110" s="44" t="b">
        <x:v>1</x:v>
      </x:c>
    </x:row>
    <x:row r="111">
      <x:c r="A111" s="31" t="str">
        <x:v>36005016500</x:v>
      </x:c>
      <x:c r="B111" s="31" t="str">
        <x:v>Bronx</x:v>
      </x:c>
      <x:c r="C111" s="31" t="str">
        <x:v>016500</x:v>
      </x:c>
      <x:c r="D111" s="31" t="str">
        <x:v>BX0302</x:v>
      </x:c>
      <x:c r="E111" s="31" t="str">
        <x:v>Claremont Village-Claremont (East)</x:v>
      </x:c>
      <x:c r="F111" s="31" t="n">
        <x:v>0.07473320133006198</x:v>
      </x:c>
      <x:c r="G111" s="31" t="n">
        <x:v>40.843090065680336</x:v>
      </x:c>
      <x:c r="H111" s="31" t="n">
        <x:v>-73.90028929854746</x:v>
      </x:c>
      <x:c r="I111" s="31" t="n">
        <x:v>1097</x:v>
      </x:c>
      <x:c r="J111" s="31" t="n">
        <x:v>14678.884090018551</x:v>
      </x:c>
      <x:c r="K111" s="31"/>
      <x:c r="L111" s="40"/>
      <x:c r="M111" s="40"/>
      <x:c r="N111" s="31" t="n">
        <x:v>26</x:v>
      </x:c>
      <x:c r="O111" s="31" t="n">
        <x:v>425</x:v>
      </x:c>
      <x:c r="P111" s="31" t="n">
        <x:v>5.035882352941177</x:v>
      </x:c>
      <x:c r="Q111" s="40" t="n">
        <x:v>0</x:v>
      </x:c>
      <x:c r="R111" s="40" t="n">
        <x:v>0.9882352941176471</x:v>
      </x:c>
      <x:c r="S111" s="40" t="n">
        <x:v>0</x:v>
      </x:c>
      <x:c r="T111" s="31" t="n">
        <x:v>61.77072605177458</x:v>
      </x:c>
      <x:c r="U111" s="31" t="n">
        <x:v>70.15665466</x:v>
      </x:c>
      <x:c r="V111" s="31" t="n">
        <x:v>1</x:v>
      </x:c>
      <x:c r="W111" s="31" t="n">
        <x:v>0.9115770282588879</x:v>
      </x:c>
      <x:c r="X111" s="31" t="n">
        <x:v>5</x:v>
      </x:c>
      <x:c r="Y111" s="40" t="n">
        <x:v>1</x:v>
      </x:c>
      <x:c r="Z111" s="40" t="n">
        <x:v>1</x:v>
      </x:c>
      <x:c r="AA111" s="40" t="n">
        <x:v>0.9811764705882353</x:v>
      </x:c>
      <x:c r="AB111" s="31" t="n">
        <x:v>0.1387617211572873</x:v>
      </x:c>
      <x:c r="AC111" s="31" t="n">
        <x:v>8</x:v>
      </x:c>
      <x:c r="AD111" s="44" t="b">
        <x:v>1</x:v>
      </x:c>
    </x:row>
    <x:row r="112">
      <x:c r="A112" s="31" t="str">
        <x:v>36005016600</x:v>
      </x:c>
      <x:c r="B112" s="31" t="str">
        <x:v>Bronx</x:v>
      </x:c>
      <x:c r="C112" s="31" t="str">
        <x:v>016600</x:v>
      </x:c>
      <x:c r="D112" s="31" t="str">
        <x:v>BX1002</x:v>
      </x:c>
      <x:c r="E112" s="31" t="str">
        <x:v>Throgs Neck-Schuylerville</x:v>
      </x:c>
      <x:c r="F112" s="31" t="n">
        <x:v>0.11038996991541838</x:v>
      </x:c>
      <x:c r="G112" s="31" t="n">
        <x:v>40.82952487868515</x:v>
      </x:c>
      <x:c r="H112" s="31" t="n">
        <x:v>-73.83018293302771</x:v>
      </x:c>
      <x:c r="I112" s="31" t="n">
        <x:v>2625</x:v>
      </x:c>
      <x:c r="J112" s="31" t="n">
        <x:v>23779.33431824734</x:v>
      </x:c>
      <x:c r="K112" s="31"/>
      <x:c r="L112" s="40"/>
      <x:c r="M112" s="40"/>
      <x:c r="N112" s="31" t="n">
        <x:v>484</x:v>
      </x:c>
      <x:c r="O112" s="31" t="n">
        <x:v>730</x:v>
      </x:c>
      <x:c r="P112" s="31" t="n">
        <x:v>1.928260273972603</x:v>
      </x:c>
      <x:c r="Q112" s="40" t="n">
        <x:v>0</x:v>
      </x:c>
      <x:c r="R112" s="40" t="n">
        <x:v>0.1410958904109589</x:v>
      </x:c>
      <x:c r="S112" s="40" t="n">
        <x:v>0.009589041095890411</x:v>
      </x:c>
      <x:c r="T112" s="31" t="n">
        <x:v>27.122534316991757</x:v>
      </x:c>
      <x:c r="U112" s="31" t="n">
        <x:v>42.1</x:v>
      </x:c>
      <x:c r="V112" s="31" t="n">
        <x:v>1</x:v>
      </x:c>
      <x:c r="W112" s="31" t="n">
        <x:v>0.380952380952381</x:v>
      </x:c>
      <x:c r="X112" s="31" t="n">
        <x:v>1</x:v>
      </x:c>
      <x:c r="Y112" s="40" t="n">
        <x:v>0</x:v>
      </x:c>
      <x:c r="Z112" s="40" t="n">
        <x:v>1</x:v>
      </x:c>
      <x:c r="AA112" s="40" t="n">
        <x:v>0.9972602739726028</x:v>
      </x:c>
      <x:c r="AB112" s="31" t="n">
        <x:v>0.1701196019872593</x:v>
      </x:c>
      <x:c r="AC112" s="31" t="n">
        <x:v>6</x:v>
      </x:c>
      <x:c r="AD112" s="44" t="b">
        <x:v>1</x:v>
      </x:c>
    </x:row>
    <x:row r="113">
      <x:c r="A113" s="31" t="str">
        <x:v>36005016700</x:v>
      </x:c>
      <x:c r="B113" s="31" t="str">
        <x:v>Bronx</x:v>
      </x:c>
      <x:c r="C113" s="31" t="str">
        <x:v>016700</x:v>
      </x:c>
      <x:c r="D113" s="31" t="str">
        <x:v>BX0302</x:v>
      </x:c>
      <x:c r="E113" s="31" t="str">
        <x:v>Claremont Village-Claremont (East)</x:v>
      </x:c>
      <x:c r="F113" s="31" t="n">
        <x:v>0.07959100990838786</x:v>
      </x:c>
      <x:c r="G113" s="31" t="n">
        <x:v>40.840481605239674</x:v>
      </x:c>
      <x:c r="H113" s="31" t="n">
        <x:v>-73.90217512592487</x:v>
      </x:c>
      <x:c r="I113" s="31" t="n">
        <x:v>3373</x:v>
      </x:c>
      <x:c r="J113" s="31" t="n">
        <x:v>42379.1581974201</x:v>
      </x:c>
      <x:c r="K113" s="31"/>
      <x:c r="L113" s="40"/>
      <x:c r="M113" s="40"/>
      <x:c r="N113" s="31" t="n">
        <x:v>69</x:v>
      </x:c>
      <x:c r="O113" s="31" t="n">
        <x:v>1115</x:v>
      </x:c>
      <x:c r="P113" s="31" t="n">
        <x:v>6.782735426008968</x:v>
      </x:c>
      <x:c r="Q113" s="40" t="n">
        <x:v>0.34439461883408073</x:v>
      </x:c>
      <x:c r="R113" s="40" t="n">
        <x:v>0.6466367713004484</x:v>
      </x:c>
      <x:c r="S113" s="40" t="n">
        <x:v>0.0008968609865470852</x:v>
      </x:c>
      <x:c r="T113" s="31" t="n">
        <x:v>75.8728050558723</x:v>
      </x:c>
      <x:c r="U113" s="31" t="n">
        <x:v>107</x:v>
      </x:c>
      <x:c r="V113" s="31" t="n">
        <x:v>13</x:v>
      </x:c>
      <x:c r="W113" s="31" t="n">
        <x:v>3.8541357841683963</x:v>
      </x:c>
      <x:c r="X113" s="31" t="n">
        <x:v>5</x:v>
      </x:c>
      <x:c r="Y113" s="40" t="n">
        <x:v>1</x:v>
      </x:c>
      <x:c r="Z113" s="40" t="n">
        <x:v>1</x:v>
      </x:c>
      <x:c r="AA113" s="40" t="n">
        <x:v>0.9973094170403587</x:v>
      </x:c>
      <x:c r="AB113" s="31" t="n">
        <x:v>0.07165303108641367</x:v>
      </x:c>
      <x:c r="AC113" s="31" t="n">
        <x:v>6</x:v>
      </x:c>
      <x:c r="AD113" s="44" t="b">
        <x:v>1</x:v>
      </x:c>
    </x:row>
    <x:row r="114">
      <x:c r="A114" s="31" t="str">
        <x:v>36005016900</x:v>
      </x:c>
      <x:c r="B114" s="31" t="str">
        <x:v>Bronx</x:v>
      </x:c>
      <x:c r="C114" s="31" t="str">
        <x:v>016900</x:v>
      </x:c>
      <x:c r="D114" s="31" t="str">
        <x:v>BX0302</x:v>
      </x:c>
      <x:c r="E114" s="31" t="str">
        <x:v>Claremont Village-Claremont (East)</x:v>
      </x:c>
      <x:c r="F114" s="31" t="n">
        <x:v>0.03587583081776573</x:v>
      </x:c>
      <x:c r="G114" s="31" t="n">
        <x:v>40.8377904818668</x:v>
      </x:c>
      <x:c r="H114" s="31" t="n">
        <x:v>-73.90272588213583</x:v>
      </x:c>
      <x:c r="I114" s="31" t="n">
        <x:v>1586</x:v>
      </x:c>
      <x:c r="J114" s="31" t="n">
        <x:v>44208.03543355467</x:v>
      </x:c>
      <x:c r="K114" s="31"/>
      <x:c r="L114" s="40"/>
      <x:c r="M114" s="40"/>
      <x:c r="N114" s="31" t="n">
        <x:v>92</x:v>
      </x:c>
      <x:c r="O114" s="31" t="n">
        <x:v>657</x:v>
      </x:c>
      <x:c r="P114" s="31" t="n">
        <x:v>4.482496194824962</x:v>
      </x:c>
      <x:c r="Q114" s="40" t="n">
        <x:v>0</x:v>
      </x:c>
      <x:c r="R114" s="40" t="n">
        <x:v>0.9984779299847792</x:v>
      </x:c>
      <x:c r="S114" s="40" t="n">
        <x:v>0</x:v>
      </x:c>
      <x:c r="T114" s="31" t="n">
        <x:v>48.70952976933126</x:v>
      </x:c>
      <x:c r="U114" s="31" t="n">
        <x:v>79.78</x:v>
      </x:c>
      <x:c r="V114" s="31" t="n">
        <x:v>4</x:v>
      </x:c>
      <x:c r="W114" s="31" t="n">
        <x:v>2.5220680958385877</x:v>
      </x:c>
      <x:c r="X114" s="31" t="n">
        <x:v>5</x:v>
      </x:c>
      <x:c r="Y114" s="40" t="n">
        <x:v>1</x:v>
      </x:c>
      <x:c r="Z114" s="40" t="n">
        <x:v>1</x:v>
      </x:c>
      <x:c r="AA114" s="40" t="n">
        <x:v>0.9786910197869102</x:v>
      </x:c>
      <x:c r="AB114" s="31" t="n">
        <x:v>0.05964298074761546</x:v>
      </x:c>
      <x:c r="AC114" s="31" t="n">
        <x:v>5</x:v>
      </x:c>
      <x:c r="AD114" s="44" t="b">
        <x:v>1</x:v>
      </x:c>
    </x:row>
    <x:row r="115">
      <x:c r="A115" s="31" t="str">
        <x:v>36005017100</x:v>
      </x:c>
      <x:c r="B115" s="31" t="str">
        <x:v>Bronx</x:v>
      </x:c>
      <x:c r="C115" s="31" t="str">
        <x:v>017100</x:v>
      </x:c>
      <x:c r="D115" s="31" t="str">
        <x:v>BX0492</x:v>
      </x:c>
      <x:c r="E115" s="31" t="str">
        <x:v>Claremont Park</x:v>
      </x:c>
      <x:c r="F115" s="31" t="n">
        <x:v>0.06679863036436812</x:v>
      </x:c>
      <x:c r="G115" s="31" t="n">
        <x:v>40.84043096914588</x:v>
      </x:c>
      <x:c r="H115" s="31" t="n">
        <x:v>-73.90750414729183</x:v>
      </x:c>
      <x:c r="I115" s="31" t="n">
        <x:v>10</x:v>
      </x:c>
      <x:c r="J115" s="31" t="n">
        <x:v>149.70366825566268</x:v>
      </x:c>
      <x:c r="K115" s="31"/>
      <x:c r="L115" s="40"/>
      <x:c r="M115" s="40"/>
      <x:c r="N115" s="31" t="n">
        <x:v>0</x:v>
      </x:c>
      <x:c r="O115" s="31"/>
      <x:c r="P115" s="31"/>
      <x:c r="Q115" s="40"/>
      <x:c r="R115" s="40"/>
      <x:c r="S115" s="40"/>
      <x:c r="T115" s="31"/>
      <x:c r="U115" s="31"/>
      <x:c r="V115" s="31" t="n">
        <x:v>0</x:v>
      </x:c>
      <x:c r="W115" s="31" t="n">
        <x:v>0</x:v>
      </x:c>
      <x:c r="X115" s="31"/>
      <x:c r="Y115" s="40"/>
      <x:c r="Z115" s="40"/>
      <x:c r="AA115" s="40"/>
      <x:c r="AB115" s="31" t="n">
        <x:v>0.15666831303863943</x:v>
      </x:c>
      <x:c r="AC115" s="31" t="n">
        <x:v>4</x:v>
      </x:c>
      <x:c r="AD115" s="44" t="b">
        <x:v>0</x:v>
      </x:c>
    </x:row>
    <x:row r="116">
      <x:c r="A116" s="31" t="str">
        <x:v>36005017300</x:v>
      </x:c>
      <x:c r="B116" s="31" t="str">
        <x:v>Bronx</x:v>
      </x:c>
      <x:c r="C116" s="31" t="str">
        <x:v>017300</x:v>
      </x:c>
      <x:c r="D116" s="31" t="str">
        <x:v>BX0401</x:v>
      </x:c>
      <x:c r="E116" s="31" t="str">
        <x:v>Concourse-Concourse Village</x:v>
      </x:c>
      <x:c r="F116" s="31" t="n">
        <x:v>0.0636360924102531</x:v>
      </x:c>
      <x:c r="G116" s="31" t="n">
        <x:v>40.8263068128683</x:v>
      </x:c>
      <x:c r="H116" s="31" t="n">
        <x:v>-73.91651250862671</x:v>
      </x:c>
      <x:c r="I116" s="31" t="n">
        <x:v>6395</x:v>
      </x:c>
      <x:c r="J116" s="31" t="n">
        <x:v>100493.28545776063</x:v>
      </x:c>
      <x:c r="K116" s="31"/>
      <x:c r="L116" s="40"/>
      <x:c r="M116" s="40"/>
      <x:c r="N116" s="31" t="n">
        <x:v>130</x:v>
      </x:c>
      <x:c r="O116" s="31" t="n">
        <x:v>1903</x:v>
      </x:c>
      <x:c r="P116" s="31" t="n">
        <x:v>6.568313189700473</x:v>
      </x:c>
      <x:c r="Q116" s="40" t="n">
        <x:v>0.1928533893851813</x:v>
      </x:c>
      <x:c r="R116" s="40" t="n">
        <x:v>0.7745664739884393</x:v>
      </x:c>
      <x:c r="S116" s="40" t="n">
        <x:v>0</x:v>
      </x:c>
      <x:c r="T116" s="31" t="n">
        <x:v>69.937699112408</x:v>
      </x:c>
      <x:c r="U116" s="31" t="n">
        <x:v>145</x:v>
      </x:c>
      <x:c r="V116" s="31" t="n">
        <x:v>18</x:v>
      </x:c>
      <x:c r="W116" s="31" t="n">
        <x:v>2.8146989835809224</x:v>
      </x:c>
      <x:c r="X116" s="31" t="n">
        <x:v>5</x:v>
      </x:c>
      <x:c r="Y116" s="40" t="n">
        <x:v>1</x:v>
      </x:c>
      <x:c r="Z116" s="40" t="n">
        <x:v>1</x:v>
      </x:c>
      <x:c r="AA116" s="40" t="n">
        <x:v>0.999474513925381</x:v>
      </x:c>
      <x:c r="AB116" s="31" t="n">
        <x:v>0.059447574071890545</x:v>
      </x:c>
      <x:c r="AC116" s="31" t="n">
        <x:v>8</x:v>
      </x:c>
      <x:c r="AD116" s="44" t="b">
        <x:v>1</x:v>
      </x:c>
    </x:row>
    <x:row r="117">
      <x:c r="A117" s="31" t="str">
        <x:v>36005017500</x:v>
      </x:c>
      <x:c r="B117" s="31" t="str">
        <x:v>Bronx</x:v>
      </x:c>
      <x:c r="C117" s="31" t="str">
        <x:v>017500</x:v>
      </x:c>
      <x:c r="D117" s="31" t="str">
        <x:v>BX0401</x:v>
      </x:c>
      <x:c r="E117" s="31" t="str">
        <x:v>Concourse-Concourse Village</x:v>
      </x:c>
      <x:c r="F117" s="31" t="n">
        <x:v>0.05853248607129534</x:v>
      </x:c>
      <x:c r="G117" s="31" t="n">
        <x:v>40.83082267748233</x:v>
      </x:c>
      <x:c r="H117" s="31" t="n">
        <x:v>-73.91365110374414</x:v>
      </x:c>
      <x:c r="I117" s="31" t="n">
        <x:v>6988</x:v>
      </x:c>
      <x:c r="J117" s="31" t="n">
        <x:v>119386.69393759023</x:v>
      </x:c>
      <x:c r="K117" s="31"/>
      <x:c r="L117" s="40"/>
      <x:c r="M117" s="40"/>
      <x:c r="N117" s="31" t="n">
        <x:v>160</x:v>
      </x:c>
      <x:c r="O117" s="31" t="n">
        <x:v>2660</x:v>
      </x:c>
      <x:c r="P117" s="31" t="n">
        <x:v>5.940225563909775</x:v>
      </x:c>
      <x:c r="Q117" s="40" t="n">
        <x:v>0.08533834586466166</x:v>
      </x:c>
      <x:c r="R117" s="40" t="n">
        <x:v>0.9109022556390978</x:v>
      </x:c>
      <x:c r="S117" s="40" t="n">
        <x:v>0.015789473684210527</x:v>
      </x:c>
      <x:c r="T117" s="31" t="n">
        <x:v>66.39108913803008</x:v>
      </x:c>
      <x:c r="U117" s="31" t="n">
        <x:v>130</x:v>
      </x:c>
      <x:c r="V117" s="31" t="n">
        <x:v>28</x:v>
      </x:c>
      <x:c r="W117" s="31" t="n">
        <x:v>4.0068689181453925</x:v>
      </x:c>
      <x:c r="X117" s="31" t="n">
        <x:v>5</x:v>
      </x:c>
      <x:c r="Y117" s="40" t="n">
        <x:v>1</x:v>
      </x:c>
      <x:c r="Z117" s="40" t="n">
        <x:v>1</x:v>
      </x:c>
      <x:c r="AA117" s="40" t="n">
        <x:v>1</x:v>
      </x:c>
      <x:c r="AB117" s="31" t="n">
        <x:v>0.10348171061969154</x:v>
      </x:c>
      <x:c r="AC117" s="31" t="n">
        <x:v>6</x:v>
      </x:c>
      <x:c r="AD117" s="44" t="b">
        <x:v>1</x:v>
      </x:c>
    </x:row>
    <x:row r="118">
      <x:c r="A118" s="31" t="str">
        <x:v>36005017701</x:v>
      </x:c>
      <x:c r="B118" s="31" t="str">
        <x:v>Bronx</x:v>
      </x:c>
      <x:c r="C118" s="31" t="str">
        <x:v>017701</x:v>
      </x:c>
      <x:c r="D118" s="31" t="str">
        <x:v>BX0401</x:v>
      </x:c>
      <x:c r="E118" s="31" t="str">
        <x:v>Concourse-Concourse Village</x:v>
      </x:c>
      <x:c r="F118" s="31" t="n">
        <x:v>0.04115080840148645</x:v>
      </x:c>
      <x:c r="G118" s="31" t="n">
        <x:v>40.83319577993792</x:v>
      </x:c>
      <x:c r="H118" s="31" t="n">
        <x:v>-73.91117761440798</x:v>
      </x:c>
      <x:c r="I118" s="31" t="n">
        <x:v>4754</x:v>
      </x:c>
      <x:c r="J118" s="31" t="n">
        <x:v>115526.28452927976</x:v>
      </x:c>
      <x:c r="K118" s="31"/>
      <x:c r="L118" s="40"/>
      <x:c r="M118" s="40"/>
      <x:c r="N118" s="31" t="n">
        <x:v>177</x:v>
      </x:c>
      <x:c r="O118" s="31" t="n">
        <x:v>1416</x:v>
      </x:c>
      <x:c r="P118" s="31" t="n">
        <x:v>4.709745762711864</x:v>
      </x:c>
      <x:c r="Q118" s="40" t="n">
        <x:v>0.00211864406779661</x:v>
      </x:c>
      <x:c r="R118" s="40" t="n">
        <x:v>0.8629943502824858</x:v>
      </x:c>
      <x:c r="S118" s="40" t="n">
        <x:v>0.00423728813559322</x:v>
      </x:c>
      <x:c r="T118" s="31" t="n">
        <x:v>53.39466163925142</x:v>
      </x:c>
      <x:c r="U118" s="31" t="n">
        <x:v>74.32</x:v>
      </x:c>
      <x:c r="V118" s="31" t="n">
        <x:v>6</x:v>
      </x:c>
      <x:c r="W118" s="31" t="n">
        <x:v>1.2620950778291964</x:v>
      </x:c>
      <x:c r="X118" s="31" t="n">
        <x:v>5</x:v>
      </x:c>
      <x:c r="Y118" s="40" t="n">
        <x:v>1</x:v>
      </x:c>
      <x:c r="Z118" s="40" t="n">
        <x:v>1</x:v>
      </x:c>
      <x:c r="AA118" s="40" t="n">
        <x:v>1</x:v>
      </x:c>
      <x:c r="AB118" s="31" t="n">
        <x:v>0.05491341646357723</x:v>
      </x:c>
      <x:c r="AC118" s="31" t="n">
        <x:v>7</x:v>
      </x:c>
      <x:c r="AD118" s="44" t="b">
        <x:v>1</x:v>
      </x:c>
    </x:row>
    <x:row r="119">
      <x:c r="A119" s="31" t="str">
        <x:v>36005017702</x:v>
      </x:c>
      <x:c r="B119" s="31" t="str">
        <x:v>Bronx</x:v>
      </x:c>
      <x:c r="C119" s="31" t="str">
        <x:v>017702</x:v>
      </x:c>
      <x:c r="D119" s="31" t="str">
        <x:v>BX0403</x:v>
      </x:c>
      <x:c r="E119" s="31" t="str">
        <x:v>Mount Eden-Claremont (West)</x:v>
      </x:c>
      <x:c r="F119" s="31" t="n">
        <x:v>0.05438787534471132</x:v>
      </x:c>
      <x:c r="G119" s="31" t="n">
        <x:v>40.836178828641835</x:v>
      </x:c>
      <x:c r="H119" s="31" t="n">
        <x:v>-73.90954795352235</x:v>
      </x:c>
      <x:c r="I119" s="31" t="n">
        <x:v>4979</x:v>
      </x:c>
      <x:c r="J119" s="31" t="n">
        <x:v>91546.13906947109</x:v>
      </x:c>
      <x:c r="K119" s="31"/>
      <x:c r="L119" s="40"/>
      <x:c r="M119" s="40"/>
      <x:c r="N119" s="31" t="n">
        <x:v>288</x:v>
      </x:c>
      <x:c r="O119" s="31" t="n">
        <x:v>1920</x:v>
      </x:c>
      <x:c r="P119" s="31" t="n">
        <x:v>4.131901041666667</x:v>
      </x:c>
      <x:c r="Q119" s="40" t="n">
        <x:v>0</x:v>
      </x:c>
      <x:c r="R119" s="40" t="n">
        <x:v>0.7963541666666667</x:v>
      </x:c>
      <x:c r="S119" s="40" t="n">
        <x:v>0</x:v>
      </x:c>
      <x:c r="T119" s="31" t="n">
        <x:v>50.81350808245911</x:v>
      </x:c>
      <x:c r="U119" s="31" t="n">
        <x:v>82.34</x:v>
      </x:c>
      <x:c r="V119" s="31" t="n">
        <x:v>13</x:v>
      </x:c>
      <x:c r="W119" s="31" t="n">
        <x:v>2.6109660574412534</x:v>
      </x:c>
      <x:c r="X119" s="31" t="n">
        <x:v>5</x:v>
      </x:c>
      <x:c r="Y119" s="40" t="n">
        <x:v>1</x:v>
      </x:c>
      <x:c r="Z119" s="40" t="n">
        <x:v>1</x:v>
      </x:c>
      <x:c r="AA119" s="40" t="n">
        <x:v>0.9869791666666666</x:v>
      </x:c>
      <x:c r="AB119" s="31" t="n">
        <x:v>0.13221517236373023</x:v>
      </x:c>
      <x:c r="AC119" s="31" t="n">
        <x:v>9</x:v>
      </x:c>
      <x:c r="AD119" s="44" t="b">
        <x:v>1</x:v>
      </x:c>
    </x:row>
    <x:row r="120">
      <x:c r="A120" s="31" t="str">
        <x:v>36005017901</x:v>
      </x:c>
      <x:c r="B120" s="31" t="str">
        <x:v>Bronx</x:v>
      </x:c>
      <x:c r="C120" s="31" t="str">
        <x:v>017901</x:v>
      </x:c>
      <x:c r="D120" s="31" t="str">
        <x:v>BX0401</x:v>
      </x:c>
      <x:c r="E120" s="31" t="str">
        <x:v>Concourse-Concourse Village</x:v>
      </x:c>
      <x:c r="F120" s="31" t="n">
        <x:v>0.029626415957013316</x:v>
      </x:c>
      <x:c r="G120" s="31" t="n">
        <x:v>40.83483551791527</x:v>
      </x:c>
      <x:c r="H120" s="31" t="n">
        <x:v>-73.91518540426287</x:v>
      </x:c>
      <x:c r="I120" s="31" t="n">
        <x:v>5124</x:v>
      </x:c>
      <x:c r="J120" s="31" t="n">
        <x:v>172953.75881560254</x:v>
      </x:c>
      <x:c r="K120" s="31"/>
      <x:c r="L120" s="40"/>
      <x:c r="M120" s="40"/>
      <x:c r="N120" s="31" t="n">
        <x:v>62</x:v>
      </x:c>
      <x:c r="O120" s="31" t="n">
        <x:v>1795</x:v>
      </x:c>
      <x:c r="P120" s="31" t="n">
        <x:v>5.88133704735376</x:v>
      </x:c>
      <x:c r="Q120" s="40" t="n">
        <x:v>0.09025069637883008</x:v>
      </x:c>
      <x:c r="R120" s="40" t="n">
        <x:v>0.9097493036211699</x:v>
      </x:c>
      <x:c r="S120" s="40" t="n">
        <x:v>0</x:v>
      </x:c>
      <x:c r="T120" s="31" t="n">
        <x:v>69.269204486039</x:v>
      </x:c>
      <x:c r="U120" s="31" t="n">
        <x:v>112.83477162</x:v>
      </x:c>
      <x:c r="V120" s="31" t="n">
        <x:v>23</x:v>
      </x:c>
      <x:c r="W120" s="31" t="n">
        <x:v>4.488680718188915</x:v>
      </x:c>
      <x:c r="X120" s="31" t="n">
        <x:v>5</x:v>
      </x:c>
      <x:c r="Y120" s="40" t="n">
        <x:v>1</x:v>
      </x:c>
      <x:c r="Z120" s="40" t="n">
        <x:v>1</x:v>
      </x:c>
      <x:c r="AA120" s="40" t="n">
        <x:v>1</x:v>
      </x:c>
      <x:c r="AB120" s="31" t="n">
        <x:v>0.1848572390993247</x:v>
      </x:c>
      <x:c r="AC120" s="31" t="n">
        <x:v>8</x:v>
      </x:c>
      <x:c r="AD120" s="44" t="b">
        <x:v>1</x:v>
      </x:c>
    </x:row>
    <x:row r="121">
      <x:c r="A121" s="31" t="str">
        <x:v>36005017902</x:v>
      </x:c>
      <x:c r="B121" s="31" t="str">
        <x:v>Bronx</x:v>
      </x:c>
      <x:c r="C121" s="31" t="str">
        <x:v>017902</x:v>
      </x:c>
      <x:c r="D121" s="31" t="str">
        <x:v>BX0403</x:v>
      </x:c>
      <x:c r="E121" s="31" t="str">
        <x:v>Mount Eden-Claremont (West)</x:v>
      </x:c>
      <x:c r="F121" s="31" t="n">
        <x:v>0.029684210264613466</x:v>
      </x:c>
      <x:c r="G121" s="31" t="n">
        <x:v>40.83700469285049</x:v>
      </x:c>
      <x:c r="H121" s="31" t="n">
        <x:v>-73.91349936670709</x:v>
      </x:c>
      <x:c r="I121" s="31" t="n">
        <x:v>3447</x:v>
      </x:c>
      <x:c r="J121" s="31" t="n">
        <x:v>116122.34144929121</x:v>
      </x:c>
      <x:c r="K121" s="31"/>
      <x:c r="L121" s="40"/>
      <x:c r="M121" s="40"/>
      <x:c r="N121" s="31" t="n">
        <x:v>34</x:v>
      </x:c>
      <x:c r="O121" s="31" t="n">
        <x:v>1316</x:v>
      </x:c>
      <x:c r="P121" s="31" t="n">
        <x:v>5.5592705167173255</x:v>
      </x:c>
      <x:c r="Q121" s="40" t="n">
        <x:v>0.05623100303951368</x:v>
      </x:c>
      <x:c r="R121" s="40" t="n">
        <x:v>0.9042553191489362</x:v>
      </x:c>
      <x:c r="S121" s="40" t="n">
        <x:v>0</x:v>
      </x:c>
      <x:c r="T121" s="31" t="n">
        <x:v>64.80497716894978</x:v>
      </x:c>
      <x:c r="U121" s="31" t="n">
        <x:v>89</x:v>
      </x:c>
      <x:c r="V121" s="31" t="n">
        <x:v>13</x:v>
      </x:c>
      <x:c r="W121" s="31" t="n">
        <x:v>3.771395416304032</x:v>
      </x:c>
      <x:c r="X121" s="31" t="n">
        <x:v>5</x:v>
      </x:c>
      <x:c r="Y121" s="40" t="n">
        <x:v>1</x:v>
      </x:c>
      <x:c r="Z121" s="40" t="n">
        <x:v>1</x:v>
      </x:c>
      <x:c r="AA121" s="40" t="n">
        <x:v>0.9984802431610942</x:v>
      </x:c>
      <x:c r="AB121" s="31" t="n">
        <x:v>0.21223879890126524</x:v>
      </x:c>
      <x:c r="AC121" s="31" t="n">
        <x:v>6</x:v>
      </x:c>
      <x:c r="AD121" s="44" t="b">
        <x:v>1</x:v>
      </x:c>
    </x:row>
    <x:row r="122">
      <x:c r="A122" s="31" t="str">
        <x:v>36005018101</x:v>
      </x:c>
      <x:c r="B122" s="31" t="str">
        <x:v>Bronx</x:v>
      </x:c>
      <x:c r="C122" s="31" t="str">
        <x:v>018101</x:v>
      </x:c>
      <x:c r="D122" s="31" t="str">
        <x:v>BX0401</x:v>
      </x:c>
      <x:c r="E122" s="31" t="str">
        <x:v>Concourse-Concourse Village</x:v>
      </x:c>
      <x:c r="F122" s="31" t="n">
        <x:v>0.029812079456676136</x:v>
      </x:c>
      <x:c r="G122" s="31" t="n">
        <x:v>40.831607397217105</x:v>
      </x:c>
      <x:c r="H122" s="31" t="n">
        <x:v>-73.91611113327677</x:v>
      </x:c>
      <x:c r="I122" s="31" t="n">
        <x:v>3299</x:v>
      </x:c>
      <x:c r="J122" s="31" t="n">
        <x:v>110659.84192059503</x:v>
      </x:c>
      <x:c r="K122" s="31"/>
      <x:c r="L122" s="40"/>
      <x:c r="M122" s="40"/>
      <x:c r="N122" s="31" t="n">
        <x:v>139</x:v>
      </x:c>
      <x:c r="O122" s="31" t="n">
        <x:v>1086</x:v>
      </x:c>
      <x:c r="P122" s="31" t="n">
        <x:v>4.089318600368324</x:v>
      </x:c>
      <x:c r="Q122" s="40" t="n">
        <x:v>0</x:v>
      </x:c>
      <x:c r="R122" s="40" t="n">
        <x:v>0.7504604051565378</x:v>
      </x:c>
      <x:c r="S122" s="40" t="n">
        <x:v>0</x:v>
      </x:c>
      <x:c r="T122" s="31" t="n">
        <x:v>49.38211699248618</x:v>
      </x:c>
      <x:c r="U122" s="31" t="n">
        <x:v>80.01</x:v>
      </x:c>
      <x:c r="V122" s="31" t="n">
        <x:v>7</x:v>
      </x:c>
      <x:c r="W122" s="31" t="n">
        <x:v>2.121855107608366</x:v>
      </x:c>
      <x:c r="X122" s="31" t="n">
        <x:v>5</x:v>
      </x:c>
      <x:c r="Y122" s="40" t="n">
        <x:v>1</x:v>
      </x:c>
      <x:c r="Z122" s="40" t="n">
        <x:v>1</x:v>
      </x:c>
      <x:c r="AA122" s="40" t="n">
        <x:v>1</x:v>
      </x:c>
      <x:c r="AB122" s="31" t="n">
        <x:v>0.08244689466459569</x:v>
      </x:c>
      <x:c r="AC122" s="31" t="n">
        <x:v>5</x:v>
      </x:c>
      <x:c r="AD122" s="44" t="b">
        <x:v>1</x:v>
      </x:c>
    </x:row>
    <x:row r="123">
      <x:c r="A123" s="31" t="str">
        <x:v>36005018102</x:v>
      </x:c>
      <x:c r="B123" s="31" t="str">
        <x:v>Bronx</x:v>
      </x:c>
      <x:c r="C123" s="31" t="str">
        <x:v>018102</x:v>
      </x:c>
      <x:c r="D123" s="31" t="str">
        <x:v>BX0401</x:v>
      </x:c>
      <x:c r="E123" s="31" t="str">
        <x:v>Concourse-Concourse Village</x:v>
      </x:c>
      <x:c r="F123" s="31" t="n">
        <x:v>0.037317943964144284</x:v>
      </x:c>
      <x:c r="G123" s="31" t="n">
        <x:v>40.83226697937495</x:v>
      </x:c>
      <x:c r="H123" s="31" t="n">
        <x:v>-73.91814100160374</x:v>
      </x:c>
      <x:c r="I123" s="31" t="n">
        <x:v>5510</x:v>
      </x:c>
      <x:c r="J123" s="31" t="n">
        <x:v>147650.14935694478</x:v>
      </x:c>
      <x:c r="K123" s="31"/>
      <x:c r="L123" s="40"/>
      <x:c r="M123" s="40"/>
      <x:c r="N123" s="31" t="n">
        <x:v>37</x:v>
      </x:c>
      <x:c r="O123" s="31" t="n">
        <x:v>2075</x:v>
      </x:c>
      <x:c r="P123" s="31" t="n">
        <x:v>6.086265060240964</x:v>
      </x:c>
      <x:c r="Q123" s="40" t="n">
        <x:v>0.11566265060240964</x:v>
      </x:c>
      <x:c r="R123" s="40" t="n">
        <x:v>0.8843373493975903</x:v>
      </x:c>
      <x:c r="S123" s="40" t="n">
        <x:v>0</x:v>
      </x:c>
      <x:c r="T123" s="31" t="n">
        <x:v>69.92467951807228</x:v>
      </x:c>
      <x:c r="U123" s="31" t="n">
        <x:v>96.87</x:v>
      </x:c>
      <x:c r="V123" s="31" t="n">
        <x:v>25</x:v>
      </x:c>
      <x:c r="W123" s="31" t="n">
        <x:v>4.537205081669692</x:v>
      </x:c>
      <x:c r="X123" s="31" t="n">
        <x:v>5</x:v>
      </x:c>
      <x:c r="Y123" s="40" t="n">
        <x:v>1</x:v>
      </x:c>
      <x:c r="Z123" s="40" t="n">
        <x:v>1</x:v>
      </x:c>
      <x:c r="AA123" s="40" t="n">
        <x:v>1</x:v>
      </x:c>
      <x:c r="AB123" s="31" t="n">
        <x:v>0.0332791718496061</x:v>
      </x:c>
      <x:c r="AC123" s="31" t="n">
        <x:v>6</x:v>
      </x:c>
      <x:c r="AD123" s="44" t="b">
        <x:v>1</x:v>
      </x:c>
    </x:row>
    <x:row r="124">
      <x:c r="A124" s="31" t="str">
        <x:v>36005018301</x:v>
      </x:c>
      <x:c r="B124" s="31" t="str">
        <x:v>Bronx</x:v>
      </x:c>
      <x:c r="C124" s="31" t="str">
        <x:v>018301</x:v>
      </x:c>
      <x:c r="D124" s="31" t="str">
        <x:v>BX0401</x:v>
      </x:c>
      <x:c r="E124" s="31" t="str">
        <x:v>Concourse-Concourse Village</x:v>
      </x:c>
      <x:c r="F124" s="31" t="n">
        <x:v>0.025819956900539485</x:v>
      </x:c>
      <x:c r="G124" s="31" t="n">
        <x:v>40.82865477867396</x:v>
      </x:c>
      <x:c r="H124" s="31" t="n">
        <x:v>-73.92079068825697</x:v>
      </x:c>
      <x:c r="I124" s="31" t="n">
        <x:v>4423</x:v>
      </x:c>
      <x:c r="J124" s="31" t="n">
        <x:v>171301.60275006446</x:v>
      </x:c>
      <x:c r="K124" s="31"/>
      <x:c r="L124" s="40"/>
      <x:c r="M124" s="40"/>
      <x:c r="N124" s="31" t="n">
        <x:v>22</x:v>
      </x:c>
      <x:c r="O124" s="31" t="n">
        <x:v>2074</x:v>
      </x:c>
      <x:c r="P124" s="31" t="n">
        <x:v>10.970588235294118</x:v>
      </x:c>
      <x:c r="Q124" s="40" t="n">
        <x:v>0.4643201542912247</x:v>
      </x:c>
      <x:c r="R124" s="40" t="n">
        <x:v>0.5356798457087754</x:v>
      </x:c>
      <x:c r="S124" s="40" t="n">
        <x:v>0</x:v>
      </x:c>
      <x:c r="T124" s="31" t="n">
        <x:v>112.40452041318248</x:v>
      </x:c>
      <x:c r="U124" s="31" t="n">
        <x:v>205.69</x:v>
      </x:c>
      <x:c r="V124" s="31" t="n">
        <x:v>40</x:v>
      </x:c>
      <x:c r="W124" s="31" t="n">
        <x:v>9.04363554148768</x:v>
      </x:c>
      <x:c r="X124" s="31" t="n">
        <x:v>5</x:v>
      </x:c>
      <x:c r="Y124" s="40" t="n">
        <x:v>1</x:v>
      </x:c>
      <x:c r="Z124" s="40" t="n">
        <x:v>1</x:v>
      </x:c>
      <x:c r="AA124" s="40" t="n">
        <x:v>0.9802314368370298</x:v>
      </x:c>
      <x:c r="AB124" s="31" t="n">
        <x:v>0.1228916782077964</x:v>
      </x:c>
      <x:c r="AC124" s="31" t="n">
        <x:v>6</x:v>
      </x:c>
      <x:c r="AD124" s="44" t="b">
        <x:v>1</x:v>
      </x:c>
    </x:row>
    <x:row r="125">
      <x:c r="A125" s="31" t="str">
        <x:v>36005018302</x:v>
      </x:c>
      <x:c r="B125" s="31" t="str">
        <x:v>Bronx</x:v>
      </x:c>
      <x:c r="C125" s="31" t="str">
        <x:v>018302</x:v>
      </x:c>
      <x:c r="D125" s="31" t="str">
        <x:v>BX0401</x:v>
      </x:c>
      <x:c r="E125" s="31" t="str">
        <x:v>Concourse-Concourse Village</x:v>
      </x:c>
      <x:c r="F125" s="31" t="n">
        <x:v>0.04335240059616047</x:v>
      </x:c>
      <x:c r="G125" s="31" t="n">
        <x:v>40.827912127418244</x:v>
      </x:c>
      <x:c r="H125" s="31" t="n">
        <x:v>-73.91875211833366</x:v>
      </x:c>
      <x:c r="I125" s="31" t="n">
        <x:v>3686</x:v>
      </x:c>
      <x:c r="J125" s="31" t="n">
        <x:v>85024.12667607737</x:v>
      </x:c>
      <x:c r="K125" s="31"/>
      <x:c r="L125" s="40"/>
      <x:c r="M125" s="40"/>
      <x:c r="N125" s="31" t="n">
        <x:v>73</x:v>
      </x:c>
      <x:c r="O125" s="31" t="n">
        <x:v>1331</x:v>
      </x:c>
      <x:c r="P125" s="31" t="n">
        <x:v>5.340345604808415</x:v>
      </x:c>
      <x:c r="Q125" s="40" t="n">
        <x:v>0</x:v>
      </x:c>
      <x:c r="R125" s="40" t="n">
        <x:v>0.976709241172051</x:v>
      </x:c>
      <x:c r="S125" s="40" t="n">
        <x:v>0</x:v>
      </x:c>
      <x:c r="T125" s="31" t="n">
        <x:v>64.04163499212622</x:v>
      </x:c>
      <x:c r="U125" s="31" t="n">
        <x:v>80.72</x:v>
      </x:c>
      <x:c r="V125" s="31" t="n">
        <x:v>14</x:v>
      </x:c>
      <x:c r="W125" s="31" t="n">
        <x:v>3.7981551817688555</x:v>
      </x:c>
      <x:c r="X125" s="31" t="n">
        <x:v>5</x:v>
      </x:c>
      <x:c r="Y125" s="40" t="n">
        <x:v>1</x:v>
      </x:c>
      <x:c r="Z125" s="40" t="n">
        <x:v>1</x:v>
      </x:c>
      <x:c r="AA125" s="40" t="n">
        <x:v>1</x:v>
      </x:c>
      <x:c r="AB125" s="31" t="n">
        <x:v>0.03268475821368952</x:v>
      </x:c>
      <x:c r="AC125" s="31" t="n">
        <x:v>7</x:v>
      </x:c>
      <x:c r="AD125" s="44" t="b">
        <x:v>1</x:v>
      </x:c>
    </x:row>
    <x:row r="126">
      <x:c r="A126" s="31" t="str">
        <x:v>36005018400</x:v>
      </x:c>
      <x:c r="B126" s="31" t="str">
        <x:v>Bronx</x:v>
      </x:c>
      <x:c r="C126" s="31" t="str">
        <x:v>018400</x:v>
      </x:c>
      <x:c r="D126" s="31" t="str">
        <x:v>BX1002</x:v>
      </x:c>
      <x:c r="E126" s="31" t="str">
        <x:v>Throgs Neck-Schuylerville</x:v>
      </x:c>
      <x:c r="F126" s="31" t="n">
        <x:v>0.1726895935835629</x:v>
      </x:c>
      <x:c r="G126" s="31" t="n">
        <x:v>40.83741842319162</x:v>
      </x:c>
      <x:c r="H126" s="31" t="n">
        <x:v>-73.8292806671788</x:v>
      </x:c>
      <x:c r="I126" s="31" t="n">
        <x:v>4329</x:v>
      </x:c>
      <x:c r="J126" s="31" t="n">
        <x:v>25068.099994718195</x:v>
      </x:c>
      <x:c r="K126" s="31"/>
      <x:c r="L126" s="40"/>
      <x:c r="M126" s="40"/>
      <x:c r="N126" s="31" t="n">
        <x:v>834</x:v>
      </x:c>
      <x:c r="O126" s="31" t="n">
        <x:v>1515</x:v>
      </x:c>
      <x:c r="P126" s="31" t="n">
        <x:v>2.1923168316831685</x:v>
      </x:c>
      <x:c r="Q126" s="40" t="n">
        <x:v>0</x:v>
      </x:c>
      <x:c r="R126" s="40" t="n">
        <x:v>0.2145214521452145</x:v>
      </x:c>
      <x:c r="S126" s="40" t="n">
        <x:v>0.009240924092409241</x:v>
      </x:c>
      <x:c r="T126" s="31" t="n">
        <x:v>28.731006841045662</x:v>
      </x:c>
      <x:c r="U126" s="31" t="n">
        <x:v>45.07</x:v>
      </x:c>
      <x:c r="V126" s="31" t="n">
        <x:v>0</x:v>
      </x:c>
      <x:c r="W126" s="31" t="n">
        <x:v>0</x:v>
      </x:c>
      <x:c r="X126" s="31" t="n">
        <x:v>4</x:v>
      </x:c>
      <x:c r="Y126" s="40" t="n">
        <x:v>1</x:v>
      </x:c>
      <x:c r="Z126" s="40" t="n">
        <x:v>1</x:v>
      </x:c>
      <x:c r="AA126" s="40" t="n">
        <x:v>0.9973597359735974</x:v>
      </x:c>
      <x:c r="AB126" s="31" t="n">
        <x:v>0.2052512178964519</x:v>
      </x:c>
      <x:c r="AC126" s="31" t="n">
        <x:v>5</x:v>
      </x:c>
      <x:c r="AD126" s="44" t="b">
        <x:v>1</x:v>
      </x:c>
    </x:row>
    <x:row r="127">
      <x:c r="A127" s="31" t="str">
        <x:v>36005018501</x:v>
      </x:c>
      <x:c r="B127" s="31" t="str">
        <x:v>Bronx</x:v>
      </x:c>
      <x:c r="C127" s="31" t="str">
        <x:v>018501</x:v>
      </x:c>
      <x:c r="D127" s="31" t="str">
        <x:v>BX0301</x:v>
      </x:c>
      <x:c r="E127" s="31" t="str">
        <x:v>Morrisania</x:v>
      </x:c>
      <x:c r="F127" s="31" t="n">
        <x:v>0.07114224038036616</x:v>
      </x:c>
      <x:c r="G127" s="31" t="n">
        <x:v>40.82717733645156</x:v>
      </x:c>
      <x:c r="H127" s="31" t="n">
        <x:v>-73.90932601522586</x:v>
      </x:c>
      <x:c r="I127" s="31" t="n">
        <x:v>3076</x:v>
      </x:c>
      <x:c r="J127" s="31" t="n">
        <x:v>43237.32263074631</x:v>
      </x:c>
      <x:c r="K127" s="31"/>
      <x:c r="L127" s="40"/>
      <x:c r="M127" s="40"/>
      <x:c r="N127" s="31" t="n">
        <x:v>57</x:v>
      </x:c>
      <x:c r="O127" s="31" t="n">
        <x:v>2267</x:v>
      </x:c>
      <x:c r="P127" s="31" t="n">
        <x:v>8.59483899426555</x:v>
      </x:c>
      <x:c r="Q127" s="40" t="n">
        <x:v>0.5183061314512571</x:v>
      </x:c>
      <x:c r="R127" s="40" t="n">
        <x:v>0.47243052492280546</x:v>
      </x:c>
      <x:c r="S127" s="40" t="n">
        <x:v>0</x:v>
      </x:c>
      <x:c r="T127" s="31" t="n">
        <x:v>88.28002081698651</x:v>
      </x:c>
      <x:c r="U127" s="31" t="n">
        <x:v>126</x:v>
      </x:c>
      <x:c r="V127" s="31" t="n">
        <x:v>40</x:v>
      </x:c>
      <x:c r="W127" s="31" t="n">
        <x:v>13.003901170351105</x:v>
      </x:c>
      <x:c r="X127" s="31" t="n">
        <x:v>5</x:v>
      </x:c>
      <x:c r="Y127" s="40" t="n">
        <x:v>1</x:v>
      </x:c>
      <x:c r="Z127" s="40" t="n">
        <x:v>1</x:v>
      </x:c>
      <x:c r="AA127" s="40" t="n">
        <x:v>0.9148654609616232</x:v>
      </x:c>
      <x:c r="AB127" s="31" t="n">
        <x:v>0.2200533248961209</x:v>
      </x:c>
      <x:c r="AC127" s="31" t="n">
        <x:v>4</x:v>
      </x:c>
      <x:c r="AD127" s="44" t="b">
        <x:v>1</x:v>
      </x:c>
    </x:row>
    <x:row r="128">
      <x:c r="A128" s="31" t="str">
        <x:v>36005018502</x:v>
      </x:c>
      <x:c r="B128" s="31" t="str">
        <x:v>Bronx</x:v>
      </x:c>
      <x:c r="C128" s="31" t="str">
        <x:v>018502</x:v>
      </x:c>
      <x:c r="D128" s="31" t="str">
        <x:v>BX0301</x:v>
      </x:c>
      <x:c r="E128" s="31" t="str">
        <x:v>Morrisania</x:v>
      </x:c>
      <x:c r="F128" s="31" t="n">
        <x:v>0.08778222061918906</x:v>
      </x:c>
      <x:c r="G128" s="31" t="n">
        <x:v>40.82630810922804</x:v>
      </x:c>
      <x:c r="H128" s="31" t="n">
        <x:v>-73.90598098810763</x:v>
      </x:c>
      <x:c r="I128" s="31" t="n">
        <x:v>6442</x:v>
      </x:c>
      <x:c r="J128" s="31" t="n">
        <x:v>73386.1590030429</x:v>
      </x:c>
      <x:c r="K128" s="31"/>
      <x:c r="L128" s="40"/>
      <x:c r="M128" s="40"/>
      <x:c r="N128" s="31" t="n">
        <x:v>167</x:v>
      </x:c>
      <x:c r="O128" s="31" t="n">
        <x:v>2395</x:v>
      </x:c>
      <x:c r="P128" s="31" t="n">
        <x:v>6.028705636743215</x:v>
      </x:c>
      <x:c r="Q128" s="40" t="n">
        <x:v>0.13569937369519833</x:v>
      </x:c>
      <x:c r="R128" s="40" t="n">
        <x:v>0.8434237995824635</x:v>
      </x:c>
      <x:c r="S128" s="40" t="n">
        <x:v>0.11356993736951983</x:v>
      </x:c>
      <x:c r="T128" s="31" t="n">
        <x:v>64.09859145602677</x:v>
      </x:c>
      <x:c r="U128" s="31" t="n">
        <x:v>134</x:v>
      </x:c>
      <x:c r="V128" s="31" t="n">
        <x:v>28</x:v>
      </x:c>
      <x:c r="W128" s="31" t="n">
        <x:v>4.346476249611921</x:v>
      </x:c>
      <x:c r="X128" s="31" t="n">
        <x:v>5</x:v>
      </x:c>
      <x:c r="Y128" s="40" t="n">
        <x:v>1</x:v>
      </x:c>
      <x:c r="Z128" s="40" t="n">
        <x:v>1</x:v>
      </x:c>
      <x:c r="AA128" s="40" t="n">
        <x:v>0.998329853862213</x:v>
      </x:c>
      <x:c r="AB128" s="31" t="n">
        <x:v>0.09442139106489786</x:v>
      </x:c>
      <x:c r="AC128" s="31" t="n">
        <x:v>9</x:v>
      </x:c>
      <x:c r="AD128" s="44" t="b">
        <x:v>1</x:v>
      </x:c>
    </x:row>
    <x:row r="129">
      <x:c r="A129" s="31" t="str">
        <x:v>36005018900</x:v>
      </x:c>
      <x:c r="B129" s="31" t="str">
        <x:v>Bronx</x:v>
      </x:c>
      <x:c r="C129" s="31" t="str">
        <x:v>018900</x:v>
      </x:c>
      <x:c r="D129" s="31" t="str">
        <x:v>BX0402</x:v>
      </x:c>
      <x:c r="E129" s="31" t="str">
        <x:v>Highbridge</x:v>
      </x:c>
      <x:c r="F129" s="31" t="n">
        <x:v>0.1407564687048037</x:v>
      </x:c>
      <x:c r="G129" s="31" t="n">
        <x:v>40.83174377835321</x:v>
      </x:c>
      <x:c r="H129" s="31" t="n">
        <x:v>-73.93024838643055</x:v>
      </x:c>
      <x:c r="I129" s="31" t="n">
        <x:v>8360</x:v>
      </x:c>
      <x:c r="J129" s="31" t="n">
        <x:v>59393.36271310344</x:v>
      </x:c>
      <x:c r="K129" s="31"/>
      <x:c r="L129" s="40"/>
      <x:c r="M129" s="40"/>
      <x:c r="N129" s="31" t="n">
        <x:v>211</x:v>
      </x:c>
      <x:c r="O129" s="31" t="n">
        <x:v>3430</x:v>
      </x:c>
      <x:c r="P129" s="31" t="n">
        <x:v>6.010058309037901</x:v>
      </x:c>
      <x:c r="Q129" s="40" t="n">
        <x:v>0.0641399416909621</x:v>
      </x:c>
      <x:c r="R129" s="40" t="n">
        <x:v>0.9116618075801749</x:v>
      </x:c>
      <x:c r="S129" s="40" t="n">
        <x:v>0.048688046647230324</x:v>
      </x:c>
      <x:c r="T129" s="31" t="n">
        <x:v>64.0581323080983</x:v>
      </x:c>
      <x:c r="U129" s="31" t="n">
        <x:v>91</x:v>
      </x:c>
      <x:c r="V129" s="31" t="n">
        <x:v>52</x:v>
      </x:c>
      <x:c r="W129" s="31" t="n">
        <x:v>6.220095693779904</x:v>
      </x:c>
      <x:c r="X129" s="31" t="n">
        <x:v>5</x:v>
      </x:c>
      <x:c r="Y129" s="40" t="n">
        <x:v>1</x:v>
      </x:c>
      <x:c r="Z129" s="40" t="n">
        <x:v>1</x:v>
      </x:c>
      <x:c r="AA129" s="40" t="n">
        <x:v>0.9551020408163265</x:v>
      </x:c>
      <x:c r="AB129" s="31" t="n">
        <x:v>0.17656543984599612</x:v>
      </x:c>
      <x:c r="AC129" s="31" t="n">
        <x:v>3</x:v>
      </x:c>
      <x:c r="AD129" s="44" t="b">
        <x:v>1</x:v>
      </x:c>
    </x:row>
    <x:row r="130">
      <x:c r="A130" s="31" t="str">
        <x:v>36005019300</x:v>
      </x:c>
      <x:c r="B130" s="31" t="str">
        <x:v>Bronx</x:v>
      </x:c>
      <x:c r="C130" s="31" t="str">
        <x:v>019300</x:v>
      </x:c>
      <x:c r="D130" s="31" t="str">
        <x:v>BX0402</x:v>
      </x:c>
      <x:c r="E130" s="31" t="str">
        <x:v>Highbridge</x:v>
      </x:c>
      <x:c r="F130" s="31" t="n">
        <x:v>0.09281460075936926</x:v>
      </x:c>
      <x:c r="G130" s="31" t="n">
        <x:v>40.83637058700963</x:v>
      </x:c>
      <x:c r="H130" s="31" t="n">
        <x:v>-73.92933083877</x:v>
      </x:c>
      <x:c r="I130" s="31" t="n">
        <x:v>6020</x:v>
      </x:c>
      <x:c r="J130" s="31" t="n">
        <x:v>64860.48478091746</x:v>
      </x:c>
      <x:c r="K130" s="31"/>
      <x:c r="L130" s="40"/>
      <x:c r="M130" s="40"/>
      <x:c r="N130" s="31" t="n">
        <x:v>77</x:v>
      </x:c>
      <x:c r="O130" s="31" t="n">
        <x:v>2656</x:v>
      </x:c>
      <x:c r="P130" s="31" t="n">
        <x:v>8.36671686746988</x:v>
      </x:c>
      <x:c r="Q130" s="40" t="n">
        <x:v>0.3614457831325301</x:v>
      </x:c>
      <x:c r="R130" s="40" t="n">
        <x:v>0.6272590361445783</x:v>
      </x:c>
      <x:c r="S130" s="40" t="n">
        <x:v>0.2635542168674699</x:v>
      </x:c>
      <x:c r="T130" s="31" t="n">
        <x:v>85.05243822366256</x:v>
      </x:c>
      <x:c r="U130" s="31" t="n">
        <x:v>128.64754059</x:v>
      </x:c>
      <x:c r="V130" s="31" t="n">
        <x:v>42</x:v>
      </x:c>
      <x:c r="W130" s="31" t="n">
        <x:v>6.976744186046512</x:v>
      </x:c>
      <x:c r="X130" s="31" t="n">
        <x:v>5</x:v>
      </x:c>
      <x:c r="Y130" s="40" t="n">
        <x:v>1</x:v>
      </x:c>
      <x:c r="Z130" s="40" t="n">
        <x:v>1</x:v>
      </x:c>
      <x:c r="AA130" s="40" t="n">
        <x:v>0.9796686746987951</x:v>
      </x:c>
      <x:c r="AB130" s="31" t="n">
        <x:v>0.04625194716141695</x:v>
      </x:c>
      <x:c r="AC130" s="31" t="n">
        <x:v>4</x:v>
      </x:c>
      <x:c r="AD130" s="44" t="b">
        <x:v>1</x:v>
      </x:c>
    </x:row>
    <x:row r="131">
      <x:c r="A131" s="31" t="str">
        <x:v>36005019400</x:v>
      </x:c>
      <x:c r="B131" s="31" t="str">
        <x:v>Bronx</x:v>
      </x:c>
      <x:c r="C131" s="31" t="str">
        <x:v>019400</x:v>
      </x:c>
      <x:c r="D131" s="31" t="str">
        <x:v>BX1002</x:v>
      </x:c>
      <x:c r="E131" s="31" t="str">
        <x:v>Throgs Neck-Schuylerville</x:v>
      </x:c>
      <x:c r="F131" s="31" t="n">
        <x:v>0.31115040091145835</x:v>
      </x:c>
      <x:c r="G131" s="31" t="n">
        <x:v>40.83352081091707</x:v>
      </x:c>
      <x:c r="H131" s="31" t="n">
        <x:v>-73.83589490808944</x:v>
      </x:c>
      <x:c r="I131" s="31" t="n">
        <x:v>2022</x:v>
      </x:c>
      <x:c r="J131" s="31" t="n">
        <x:v>6498.465031948922</x:v>
      </x:c>
      <x:c r="K131" s="31"/>
      <x:c r="L131" s="40"/>
      <x:c r="M131" s="40"/>
      <x:c r="N131" s="31" t="n">
        <x:v>314</x:v>
      </x:c>
      <x:c r="O131" s="31" t="n">
        <x:v>702</x:v>
      </x:c>
      <x:c r="P131" s="31" t="n">
        <x:v>2.4537037037037037</x:v>
      </x:c>
      <x:c r="Q131" s="40" t="n">
        <x:v>0</x:v>
      </x:c>
      <x:c r="R131" s="40" t="n">
        <x:v>0.3831908831908832</x:v>
      </x:c>
      <x:c r="S131" s="40" t="n">
        <x:v>0.007122507122507123</x:v>
      </x:c>
      <x:c r="T131" s="31" t="n">
        <x:v>29.927829975156694</x:v>
      </x:c>
      <x:c r="U131" s="31" t="n">
        <x:v>53.84</x:v>
      </x:c>
      <x:c r="V131" s="31" t="n">
        <x:v>0</x:v>
      </x:c>
      <x:c r="W131" s="31" t="n">
        <x:v>0</x:v>
      </x:c>
      <x:c r="X131" s="31" t="n">
        <x:v>3.3675213675213675</x:v>
      </x:c>
      <x:c r="Y131" s="40" t="n">
        <x:v>0.7891737891737892</x:v>
      </x:c>
      <x:c r="Z131" s="40" t="n">
        <x:v>1</x:v>
      </x:c>
      <x:c r="AA131" s="40" t="n">
        <x:v>1</x:v>
      </x:c>
      <x:c r="AB131" s="31" t="n">
        <x:v>0.448445137913056</x:v>
      </x:c>
      <x:c r="AC131" s="31" t="n">
        <x:v>8</x:v>
      </x:c>
      <x:c r="AD131" s="44" t="b">
        <x:v>1</x:v>
      </x:c>
    </x:row>
    <x:row r="132">
      <x:c r="A132" s="31" t="str">
        <x:v>36005019500</x:v>
      </x:c>
      <x:c r="B132" s="31" t="str">
        <x:v>Bronx</x:v>
      </x:c>
      <x:c r="C132" s="31" t="str">
        <x:v>019500</x:v>
      </x:c>
      <x:c r="D132" s="31" t="str">
        <x:v>BX0401</x:v>
      </x:c>
      <x:c r="E132" s="31" t="str">
        <x:v>Concourse-Concourse Village</x:v>
      </x:c>
      <x:c r="F132" s="31" t="n">
        <x:v>0.08522728901658631</x:v>
      </x:c>
      <x:c r="G132" s="31" t="n">
        <x:v>40.83046039753026</x:v>
      </x:c>
      <x:c r="H132" s="31" t="n">
        <x:v>-73.92252562456723</x:v>
      </x:c>
      <x:c r="I132" s="31" t="n">
        <x:v>7509</x:v>
      </x:c>
      <x:c r="J132" s="31" t="n">
        <x:v>88105.58316056085</x:v>
      </x:c>
      <x:c r="K132" s="31"/>
      <x:c r="L132" s="40"/>
      <x:c r="M132" s="40"/>
      <x:c r="N132" s="31" t="n">
        <x:v>66</x:v>
      </x:c>
      <x:c r="O132" s="31" t="n">
        <x:v>2826</x:v>
      </x:c>
      <x:c r="P132" s="31" t="n">
        <x:v>6.060155697098372</x:v>
      </x:c>
      <x:c r="Q132" s="40" t="n">
        <x:v>0.05732484076433121</x:v>
      </x:c>
      <x:c r="R132" s="40" t="n">
        <x:v>0.9391365888181175</x:v>
      </x:c>
      <x:c r="S132" s="40" t="n">
        <x:v>0</x:v>
      </x:c>
      <x:c r="T132" s="31" t="n">
        <x:v>67.54719131747727</x:v>
      </x:c>
      <x:c r="U132" s="31" t="n">
        <x:v>119.33211359</x:v>
      </x:c>
      <x:c r="V132" s="31" t="n">
        <x:v>47</x:v>
      </x:c>
      <x:c r="W132" s="31" t="n">
        <x:v>6.259155679850846</x:v>
      </x:c>
      <x:c r="X132" s="31" t="n">
        <x:v>5</x:v>
      </x:c>
      <x:c r="Y132" s="40" t="n">
        <x:v>1</x:v>
      </x:c>
      <x:c r="Z132" s="40" t="n">
        <x:v>1</x:v>
      </x:c>
      <x:c r="AA132" s="40" t="n">
        <x:v>0.9734607218683652</x:v>
      </x:c>
      <x:c r="AB132" s="31" t="n">
        <x:v>0.25503162012106967</x:v>
      </x:c>
      <x:c r="AC132" s="31" t="n">
        <x:v>6</x:v>
      </x:c>
      <x:c r="AD132" s="44" t="b">
        <x:v>1</x:v>
      </x:c>
    </x:row>
    <x:row r="133">
      <x:c r="A133" s="31" t="str">
        <x:v>36005019700</x:v>
      </x:c>
      <x:c r="B133" s="31" t="str">
        <x:v>Bronx</x:v>
      </x:c>
      <x:c r="C133" s="31" t="str">
        <x:v>019700</x:v>
      </x:c>
      <x:c r="D133" s="31" t="str">
        <x:v>BX0401</x:v>
      </x:c>
      <x:c r="E133" s="31" t="str">
        <x:v>Concourse-Concourse Village</x:v>
      </x:c>
      <x:c r="F133" s="31" t="n">
        <x:v>0.05713685815147211</x:v>
      </x:c>
      <x:c r="G133" s="31" t="n">
        <x:v>40.83520510115595</x:v>
      </x:c>
      <x:c r="H133" s="31" t="n">
        <x:v>-73.91997635069336</x:v>
      </x:c>
      <x:c r="I133" s="31" t="n">
        <x:v>7213</x:v>
      </x:c>
      <x:c r="J133" s="31" t="n">
        <x:v>126240.75305082486</x:v>
      </x:c>
      <x:c r="K133" s="31"/>
      <x:c r="L133" s="40"/>
      <x:c r="M133" s="40"/>
      <x:c r="N133" s="31" t="n">
        <x:v>41</x:v>
      </x:c>
      <x:c r="O133" s="31" t="n">
        <x:v>2527</x:v>
      </x:c>
      <x:c r="P133" s="31" t="n">
        <x:v>7.206569054214484</x:v>
      </x:c>
      <x:c r="Q133" s="40" t="n">
        <x:v>0.15037593984962405</x:v>
      </x:c>
      <x:c r="R133" s="40" t="n">
        <x:v>0.848832607835378</x:v>
      </x:c>
      <x:c r="S133" s="40" t="n">
        <x:v>0.05263157894736842</x:v>
      </x:c>
      <x:c r="T133" s="31" t="n">
        <x:v>71.54560647102542</x:v>
      </x:c>
      <x:c r="U133" s="31" t="n">
        <x:v>181</x:v>
      </x:c>
      <x:c r="V133" s="31" t="n">
        <x:v>43</x:v>
      </x:c>
      <x:c r="W133" s="31" t="n">
        <x:v>5.96145847774851</x:v>
      </x:c>
      <x:c r="X133" s="31" t="n">
        <x:v>5</x:v>
      </x:c>
      <x:c r="Y133" s="40" t="n">
        <x:v>1</x:v>
      </x:c>
      <x:c r="Z133" s="40" t="n">
        <x:v>1</x:v>
      </x:c>
      <x:c r="AA133" s="40" t="n">
        <x:v>0.9030470914127424</x:v>
      </x:c>
      <x:c r="AB133" s="31" t="n">
        <x:v>0.03241959237300654</x:v>
      </x:c>
      <x:c r="AC133" s="31" t="n">
        <x:v>8</x:v>
      </x:c>
      <x:c r="AD133" s="44" t="b">
        <x:v>1</x:v>
      </x:c>
    </x:row>
    <x:row r="134">
      <x:c r="A134" s="31" t="str">
        <x:v>36005019900</x:v>
      </x:c>
      <x:c r="B134" s="31" t="str">
        <x:v>Bronx</x:v>
      </x:c>
      <x:c r="C134" s="31" t="str">
        <x:v>019900</x:v>
      </x:c>
      <x:c r="D134" s="31" t="str">
        <x:v>BX0402</x:v>
      </x:c>
      <x:c r="E134" s="31" t="str">
        <x:v>Highbridge</x:v>
      </x:c>
      <x:c r="F134" s="31" t="n">
        <x:v>0.06835979212867309</x:v>
      </x:c>
      <x:c r="G134" s="31" t="n">
        <x:v>40.83674529753027</x:v>
      </x:c>
      <x:c r="H134" s="31" t="n">
        <x:v>-73.92545189688475</x:v>
      </x:c>
      <x:c r="I134" s="31" t="n">
        <x:v>7909</x:v>
      </x:c>
      <x:c r="J134" s="31" t="n">
        <x:v>115696.66544791349</x:v>
      </x:c>
      <x:c r="K134" s="31"/>
      <x:c r="L134" s="40"/>
      <x:c r="M134" s="40"/>
      <x:c r="N134" s="31" t="n">
        <x:v>129</x:v>
      </x:c>
      <x:c r="O134" s="31" t="n">
        <x:v>3067</x:v>
      </x:c>
      <x:c r="P134" s="31" t="n">
        <x:v>8.631561786762308</x:v>
      </x:c>
      <x:c r="Q134" s="40" t="n">
        <x:v>0.1662862732311705</x:v>
      </x:c>
      <x:c r="R134" s="40" t="n">
        <x:v>0.8099119660906423</x:v>
      </x:c>
      <x:c r="S134" s="40" t="n">
        <x:v>0.14802738832735574</x:v>
      </x:c>
      <x:c r="T134" s="31" t="n">
        <x:v>92.12728358085532</x:v>
      </x:c>
      <x:c r="U134" s="31" t="n">
        <x:v>233.42</x:v>
      </x:c>
      <x:c r="V134" s="31" t="n">
        <x:v>51</x:v>
      </x:c>
      <x:c r="W134" s="31" t="n">
        <x:v>6.448349981034265</x:v>
      </x:c>
      <x:c r="X134" s="31" t="n">
        <x:v>5</x:v>
      </x:c>
      <x:c r="Y134" s="40" t="n">
        <x:v>1</x:v>
      </x:c>
      <x:c r="Z134" s="40" t="n">
        <x:v>1</x:v>
      </x:c>
      <x:c r="AA134" s="40" t="n">
        <x:v>0.9758721878056733</x:v>
      </x:c>
      <x:c r="AB134" s="31" t="n">
        <x:v>0.13074729089798284</x:v>
      </x:c>
      <x:c r="AC134" s="31" t="n">
        <x:v>6</x:v>
      </x:c>
      <x:c r="AD134" s="44" t="b">
        <x:v>1</x:v>
      </x:c>
    </x:row>
    <x:row r="135">
      <x:c r="A135" s="31" t="str">
        <x:v>36005020000</x:v>
      </x:c>
      <x:c r="B135" s="31" t="str">
        <x:v>Bronx</x:v>
      </x:c>
      <x:c r="C135" s="31" t="str">
        <x:v>020000</x:v>
      </x:c>
      <x:c r="D135" s="31" t="str">
        <x:v>BX1001</x:v>
      </x:c>
      <x:c r="E135" s="31" t="str">
        <x:v>Westchester Square</x:v>
      </x:c>
      <x:c r="F135" s="31" t="n">
        <x:v>0.13235512811890207</x:v>
      </x:c>
      <x:c r="G135" s="31" t="n">
        <x:v>40.84284405705004</x:v>
      </x:c>
      <x:c r="H135" s="31" t="n">
        <x:v>-73.84551222819958</x:v>
      </x:c>
      <x:c r="I135" s="31" t="n">
        <x:v>5235</x:v>
      </x:c>
      <x:c r="J135" s="31" t="n">
        <x:v>39552.67978205653</x:v>
      </x:c>
      <x:c r="K135" s="31"/>
      <x:c r="L135" s="40"/>
      <x:c r="M135" s="40"/>
      <x:c r="N135" s="31" t="n">
        <x:v>269</x:v>
      </x:c>
      <x:c r="O135" s="31" t="n">
        <x:v>1669</x:v>
      </x:c>
      <x:c r="P135" s="31" t="n">
        <x:v>4.431096464949071</x:v>
      </x:c>
      <x:c r="Q135" s="40" t="n">
        <x:v>0</x:v>
      </x:c>
      <x:c r="R135" s="40" t="n">
        <x:v>0.7633313361294188</x:v>
      </x:c>
      <x:c r="S135" s="40" t="n">
        <x:v>0.14619532654284004</x:v>
      </x:c>
      <x:c r="T135" s="31" t="n">
        <x:v>49.380496504166665</x:v>
      </x:c>
      <x:c r="U135" s="31" t="n">
        <x:v>83</x:v>
      </x:c>
      <x:c r="V135" s="31" t="n">
        <x:v>8</x:v>
      </x:c>
      <x:c r="W135" s="31" t="n">
        <x:v>1.5281757402101241</x:v>
      </x:c>
      <x:c r="X135" s="31" t="n">
        <x:v>4</x:v>
      </x:c>
      <x:c r="Y135" s="40" t="n">
        <x:v>1</x:v>
      </x:c>
      <x:c r="Z135" s="40" t="n">
        <x:v>1</x:v>
      </x:c>
      <x:c r="AA135" s="40" t="n">
        <x:v>0.9994008388256441</x:v>
      </x:c>
      <x:c r="AB135" s="31" t="n">
        <x:v>0.13235966366220867</x:v>
      </x:c>
      <x:c r="AC135" s="31" t="n">
        <x:v>7</x:v>
      </x:c>
      <x:c r="AD135" s="44" t="b">
        <x:v>1</x:v>
      </x:c>
    </x:row>
    <x:row r="136">
      <x:c r="A136" s="31" t="str">
        <x:v>36005020100</x:v>
      </x:c>
      <x:c r="B136" s="31" t="str">
        <x:v>Bronx</x:v>
      </x:c>
      <x:c r="C136" s="31" t="str">
        <x:v>020100</x:v>
      </x:c>
      <x:c r="D136" s="31" t="str">
        <x:v>BX0402</x:v>
      </x:c>
      <x:c r="E136" s="31" t="str">
        <x:v>Highbridge</x:v>
      </x:c>
      <x:c r="F136" s="31" t="n">
        <x:v>0.10715714205370466</x:v>
      </x:c>
      <x:c r="G136" s="31" t="n">
        <x:v>40.84211122842112</x:v>
      </x:c>
      <x:c r="H136" s="31" t="n">
        <x:v>-73.92695594773659</x:v>
      </x:c>
      <x:c r="I136" s="31" t="n">
        <x:v>4345</x:v>
      </x:c>
      <x:c r="J136" s="31" t="n">
        <x:v>40547.92724709275</x:v>
      </x:c>
      <x:c r="K136" s="31"/>
      <x:c r="L136" s="40"/>
      <x:c r="M136" s="40"/>
      <x:c r="N136" s="31" t="n">
        <x:v>48</x:v>
      </x:c>
      <x:c r="O136" s="31" t="n">
        <x:v>2012</x:v>
      </x:c>
      <x:c r="P136" s="31" t="n">
        <x:v>6.786949685534591</x:v>
      </x:c>
      <x:c r="Q136" s="40" t="n">
        <x:v>0.06958250497017893</x:v>
      </x:c>
      <x:c r="R136" s="40" t="n">
        <x:v>0.7117296222664016</x:v>
      </x:c>
      <x:c r="S136" s="40" t="n">
        <x:v>0.030318091451292245</x:v>
      </x:c>
      <x:c r="T136" s="31" t="n">
        <x:v>74.88815992485729</x:v>
      </x:c>
      <x:c r="U136" s="31" t="n">
        <x:v>150.94939625</x:v>
      </x:c>
      <x:c r="V136" s="31" t="n">
        <x:v>23</x:v>
      </x:c>
      <x:c r="W136" s="31" t="n">
        <x:v>5.293440736478711</x:v>
      </x:c>
      <x:c r="X136" s="31" t="n">
        <x:v>5</x:v>
      </x:c>
      <x:c r="Y136" s="40" t="n">
        <x:v>1</x:v>
      </x:c>
      <x:c r="Z136" s="40" t="n">
        <x:v>1</x:v>
      </x:c>
      <x:c r="AA136" s="40" t="n">
        <x:v>0.9577534791252486</x:v>
      </x:c>
      <x:c r="AB136" s="31" t="n">
        <x:v>0.17012221667432006</x:v>
      </x:c>
      <x:c r="AC136" s="31" t="n">
        <x:v>4</x:v>
      </x:c>
      <x:c r="AD136" s="44" t="b">
        <x:v>1</x:v>
      </x:c>
    </x:row>
    <x:row r="137">
      <x:c r="A137" s="31" t="str">
        <x:v>36005020200</x:v>
      </x:c>
      <x:c r="B137" s="31" t="str">
        <x:v>Bronx</x:v>
      </x:c>
      <x:c r="C137" s="31" t="str">
        <x:v>020200</x:v>
      </x:c>
      <x:c r="D137" s="31" t="str">
        <x:v>BX1001</x:v>
      </x:c>
      <x:c r="E137" s="31" t="str">
        <x:v>Westchester Square</x:v>
      </x:c>
      <x:c r="F137" s="31" t="n">
        <x:v>0.04818536804264233</x:v>
      </x:c>
      <x:c r="G137" s="31" t="n">
        <x:v>40.83849110909493</x:v>
      </x:c>
      <x:c r="H137" s="31" t="n">
        <x:v>-73.8475792505595</x:v>
      </x:c>
      <x:c r="I137" s="31" t="n">
        <x:v>2789</x:v>
      </x:c>
      <x:c r="J137" s="31" t="n">
        <x:v>57880.64122560679</x:v>
      </x:c>
      <x:c r="K137" s="31"/>
      <x:c r="L137" s="40"/>
      <x:c r="M137" s="40"/>
      <x:c r="N137" s="31" t="n">
        <x:v>211</x:v>
      </x:c>
      <x:c r="O137" s="31" t="n">
        <x:v>875</x:v>
      </x:c>
      <x:c r="P137" s="31" t="n">
        <x:v>3.9354285714285715</x:v>
      </x:c>
      <x:c r="Q137" s="40" t="n">
        <x:v>0</x:v>
      </x:c>
      <x:c r="R137" s="40" t="n">
        <x:v>0.6617142857142857</x:v>
      </x:c>
      <x:c r="S137" s="40" t="n">
        <x:v>0.016</x:v>
      </x:c>
      <x:c r="T137" s="31" t="n">
        <x:v>45.84314881322286</x:v>
      </x:c>
      <x:c r="U137" s="31" t="n">
        <x:v>84</x:v>
      </x:c>
      <x:c r="V137" s="31" t="n">
        <x:v>5</x:v>
      </x:c>
      <x:c r="W137" s="31" t="n">
        <x:v>1.7927572606669058</x:v>
      </x:c>
      <x:c r="X137" s="31" t="n">
        <x:v>4.426285714285714</x:v>
      </x:c>
      <x:c r="Y137" s="40" t="n">
        <x:v>1</x:v>
      </x:c>
      <x:c r="Z137" s="40" t="n">
        <x:v>1</x:v>
      </x:c>
      <x:c r="AA137" s="40" t="n">
        <x:v>1</x:v>
      </x:c>
      <x:c r="AB137" s="31" t="n">
        <x:v>0.18824413716357896</x:v>
      </x:c>
      <x:c r="AC137" s="31" t="n">
        <x:v>4</x:v>
      </x:c>
      <x:c r="AD137" s="44" t="b">
        <x:v>1</x:v>
      </x:c>
    </x:row>
    <x:row r="138">
      <x:c r="A138" s="31" t="str">
        <x:v>36005020400</x:v>
      </x:c>
      <x:c r="B138" s="31" t="str">
        <x:v>Bronx</x:v>
      </x:c>
      <x:c r="C138" s="31" t="str">
        <x:v>020400</x:v>
      </x:c>
      <x:c r="D138" s="31" t="str">
        <x:v>BX1001</x:v>
      </x:c>
      <x:c r="E138" s="31" t="str">
        <x:v>Westchester Square</x:v>
      </x:c>
      <x:c r="F138" s="31" t="n">
        <x:v>0.051938273540088384</x:v>
      </x:c>
      <x:c r="G138" s="31" t="n">
        <x:v>40.84086411166335</x:v>
      </x:c>
      <x:c r="H138" s="31" t="n">
        <x:v>-73.85086031122148</x:v>
      </x:c>
      <x:c r="I138" s="31" t="n">
        <x:v>3129</x:v>
      </x:c>
      <x:c r="J138" s="31" t="n">
        <x:v>60244.590101457485</x:v>
      </x:c>
      <x:c r="K138" s="31"/>
      <x:c r="L138" s="40"/>
      <x:c r="M138" s="40"/>
      <x:c r="N138" s="31" t="n">
        <x:v>282</x:v>
      </x:c>
      <x:c r="O138" s="31" t="n">
        <x:v>1110</x:v>
      </x:c>
      <x:c r="P138" s="31" t="n">
        <x:v>3.483108108108108</x:v>
      </x:c>
      <x:c r="Q138" s="40" t="n">
        <x:v>0</x:v>
      </x:c>
      <x:c r="R138" s="40" t="n">
        <x:v>0.5648648648648649</x:v>
      </x:c>
      <x:c r="S138" s="40" t="n">
        <x:v>0.04684684684684685</x:v>
      </x:c>
      <x:c r="T138" s="31" t="n">
        <x:v>37.46616694675676</x:v>
      </x:c>
      <x:c r="U138" s="31" t="n">
        <x:v>66.75</x:v>
      </x:c>
      <x:c r="V138" s="31" t="n">
        <x:v>4</x:v>
      </x:c>
      <x:c r="W138" s="31" t="n">
        <x:v>1.278363694471077</x:v>
      </x:c>
      <x:c r="X138" s="31" t="n">
        <x:v>4.243243243243243</x:v>
      </x:c>
      <x:c r="Y138" s="40" t="n">
        <x:v>1</x:v>
      </x:c>
      <x:c r="Z138" s="40" t="n">
        <x:v>1</x:v>
      </x:c>
      <x:c r="AA138" s="40" t="n">
        <x:v>1</x:v>
      </x:c>
      <x:c r="AB138" s="31" t="n">
        <x:v>0.20839358281528397</x:v>
      </x:c>
      <x:c r="AC138" s="31" t="n">
        <x:v>7</x:v>
      </x:c>
      <x:c r="AD138" s="44" t="b">
        <x:v>1</x:v>
      </x:c>
    </x:row>
    <x:row r="139">
      <x:c r="A139" s="31" t="str">
        <x:v>36005020501</x:v>
      </x:c>
      <x:c r="B139" s="31" t="str">
        <x:v>Bronx</x:v>
      </x:c>
      <x:c r="C139" s="31" t="str">
        <x:v>020501</x:v>
      </x:c>
      <x:c r="D139" s="31" t="str">
        <x:v>BX0501</x:v>
      </x:c>
      <x:c r="E139" s="31" t="str">
        <x:v>University Heights (South)-Morris Heights</x:v>
      </x:c>
      <x:c r="F139" s="31" t="n">
        <x:v>0.10628683729267104</x:v>
      </x:c>
      <x:c r="G139" s="31" t="n">
        <x:v>40.84745306242241</x:v>
      </x:c>
      <x:c r="H139" s="31" t="n">
        <x:v>-73.92366404670281</x:v>
      </x:c>
      <x:c r="I139" s="31" t="n">
        <x:v>7859</x:v>
      </x:c>
      <x:c r="J139" s="31" t="n">
        <x:v>73941.4230414956</x:v>
      </x:c>
      <x:c r="K139" s="31"/>
      <x:c r="L139" s="40"/>
      <x:c r="M139" s="40"/>
      <x:c r="N139" s="31" t="n">
        <x:v>120</x:v>
      </x:c>
      <x:c r="O139" s="31" t="n">
        <x:v>8140</x:v>
      </x:c>
      <x:c r="P139" s="31" t="n">
        <x:v>13.731941031941032</x:v>
      </x:c>
      <x:c r="Q139" s="40" t="n">
        <x:v>0.84004914004914</x:v>
      </x:c>
      <x:c r="R139" s="40" t="n">
        <x:v>0.1477886977886978</x:v>
      </x:c>
      <x:c r="S139" s="40" t="n">
        <x:v>0.6759213759213759</x:v>
      </x:c>
      <x:c r="T139" s="31" t="n">
        <x:v>155.73790519879594</x:v>
      </x:c>
      <x:c r="U139" s="31" t="n">
        <x:v>210.92882555</x:v>
      </x:c>
      <x:c r="V139" s="31" t="n">
        <x:v>49</x:v>
      </x:c>
      <x:c r="W139" s="31" t="n">
        <x:v>6.234889935106248</x:v>
      </x:c>
      <x:c r="X139" s="31" t="n">
        <x:v>5</x:v>
      </x:c>
      <x:c r="Y139" s="40" t="n">
        <x:v>1</x:v>
      </x:c>
      <x:c r="Z139" s="40" t="n">
        <x:v>1</x:v>
      </x:c>
      <x:c r="AA139" s="40" t="n">
        <x:v>0.9927518427518428</x:v>
      </x:c>
      <x:c r="AB139" s="31" t="n">
        <x:v>0.11386394240107131</x:v>
      </x:c>
      <x:c r="AC139" s="31" t="n">
        <x:v>8</x:v>
      </x:c>
      <x:c r="AD139" s="44" t="b">
        <x:v>1</x:v>
      </x:c>
    </x:row>
    <x:row r="140">
      <x:c r="A140" s="31" t="str">
        <x:v>36005020502</x:v>
      </x:c>
      <x:c r="B140" s="31" t="str">
        <x:v>Bronx</x:v>
      </x:c>
      <x:c r="C140" s="31" t="str">
        <x:v>020502</x:v>
      </x:c>
      <x:c r="D140" s="31" t="str">
        <x:v>BX0501</x:v>
      </x:c>
      <x:c r="E140" s="31" t="str">
        <x:v>University Heights (South)-Morris Heights</x:v>
      </x:c>
      <x:c r="F140" s="31" t="n">
        <x:v>0.03900088056272957</x:v>
      </x:c>
      <x:c r="G140" s="31" t="n">
        <x:v>40.85138958462489</x:v>
      </x:c>
      <x:c r="H140" s="31" t="n">
        <x:v>-73.91945105317728</x:v>
      </x:c>
      <x:c r="I140" s="31" t="n">
        <x:v>2462</x:v>
      </x:c>
      <x:c r="J140" s="31" t="n">
        <x:v>63126.779818216775</x:v>
      </x:c>
      <x:c r="K140" s="31"/>
      <x:c r="L140" s="40"/>
      <x:c r="M140" s="40"/>
      <x:c r="N140" s="31" t="n">
        <x:v>153</x:v>
      </x:c>
      <x:c r="O140" s="31" t="n">
        <x:v>945</x:v>
      </x:c>
      <x:c r="P140" s="31" t="n">
        <x:v>8.932804232804234</x:v>
      </x:c>
      <x:c r="Q140" s="40" t="n">
        <x:v>0.3968253968253968</x:v>
      </x:c>
      <x:c r="R140" s="40" t="n">
        <x:v>0.3523809523809524</x:v>
      </x:c>
      <x:c r="S140" s="40" t="n">
        <x:v>0</x:v>
      </x:c>
      <x:c r="T140" s="31" t="n">
        <x:v>87.87350079869842</x:v>
      </x:c>
      <x:c r="U140" s="31" t="n">
        <x:v>169.46542286</x:v>
      </x:c>
      <x:c r="V140" s="31" t="n">
        <x:v>12</x:v>
      </x:c>
      <x:c r="W140" s="31" t="n">
        <x:v>4.87408610885459</x:v>
      </x:c>
      <x:c r="X140" s="31" t="n">
        <x:v>5</x:v>
      </x:c>
      <x:c r="Y140" s="40" t="n">
        <x:v>1</x:v>
      </x:c>
      <x:c r="Z140" s="40" t="n">
        <x:v>1</x:v>
      </x:c>
      <x:c r="AA140" s="40" t="n">
        <x:v>1</x:v>
      </x:c>
      <x:c r="AB140" s="31" t="n">
        <x:v>0.0400343000606363</x:v>
      </x:c>
      <x:c r="AC140" s="31" t="n">
        <x:v>5</x:v>
      </x:c>
      <x:c r="AD140" s="44" t="b">
        <x:v>1</x:v>
      </x:c>
    </x:row>
    <x:row r="141">
      <x:c r="A141" s="31" t="str">
        <x:v>36005020601</x:v>
      </x:c>
      <x:c r="B141" s="31" t="str">
        <x:v>Bronx</x:v>
      </x:c>
      <x:c r="C141" s="31" t="str">
        <x:v>020601</x:v>
      </x:c>
      <x:c r="D141" s="31" t="str">
        <x:v>BX1001</x:v>
      </x:c>
      <x:c r="E141" s="31" t="str">
        <x:v>Westchester Square</x:v>
      </x:c>
      <x:c r="F141" s="31" t="n">
        <x:v>0.05846493575492138</x:v>
      </x:c>
      <x:c r="G141" s="31" t="n">
        <x:v>40.83664073879281</x:v>
      </x:c>
      <x:c r="H141" s="31" t="n">
        <x:v>-73.85053778209983</x:v>
      </x:c>
      <x:c r="I141" s="31" t="n">
        <x:v>3277</x:v>
      </x:c>
      <x:c r="J141" s="31" t="n">
        <x:v>56050.69017328311</x:v>
      </x:c>
      <x:c r="K141" s="31"/>
      <x:c r="L141" s="40"/>
      <x:c r="M141" s="40"/>
      <x:c r="N141" s="31" t="n">
        <x:v>307</x:v>
      </x:c>
      <x:c r="O141" s="31" t="n">
        <x:v>1084</x:v>
      </x:c>
      <x:c r="P141" s="31" t="n">
        <x:v>4.151522140221402</x:v>
      </x:c>
      <x:c r="Q141" s="40" t="n">
        <x:v>0.10239852398523985</x:v>
      </x:c>
      <x:c r="R141" s="40" t="n">
        <x:v>0.43357933579335795</x:v>
      </x:c>
      <x:c r="S141" s="40" t="n">
        <x:v>0.01107011070110701</x:v>
      </x:c>
      <x:c r="T141" s="31" t="n">
        <x:v>47.631613472096475</x:v>
      </x:c>
      <x:c r="U141" s="31" t="n">
        <x:v>132</x:v>
      </x:c>
      <x:c r="V141" s="31" t="n">
        <x:v>5</x:v>
      </x:c>
      <x:c r="W141" s="31" t="n">
        <x:v>1.5257857796765335</x:v>
      </x:c>
      <x:c r="X141" s="31" t="n">
        <x:v>5</x:v>
      </x:c>
      <x:c r="Y141" s="40" t="n">
        <x:v>1</x:v>
      </x:c>
      <x:c r="Z141" s="40" t="n">
        <x:v>1</x:v>
      </x:c>
      <x:c r="AA141" s="40" t="n">
        <x:v>0.9944649446494465</x:v>
      </x:c>
      <x:c r="AB141" s="31" t="n">
        <x:v>0.10563153751135033</x:v>
      </x:c>
      <x:c r="AC141" s="31" t="n">
        <x:v>5</x:v>
      </x:c>
      <x:c r="AD141" s="44" t="b">
        <x:v>1</x:v>
      </x:c>
    </x:row>
    <x:row r="142">
      <x:c r="A142" s="31" t="str">
        <x:v>36005020900</x:v>
      </x:c>
      <x:c r="B142" s="31" t="str">
        <x:v>Bronx</x:v>
      </x:c>
      <x:c r="C142" s="31" t="str">
        <x:v>020900</x:v>
      </x:c>
      <x:c r="D142" s="31" t="str">
        <x:v>BX0403</x:v>
      </x:c>
      <x:c r="E142" s="31" t="str">
        <x:v>Mount Eden-Claremont (West)</x:v>
      </x:c>
      <x:c r="F142" s="31" t="n">
        <x:v>0.0512789591500947</x:v>
      </x:c>
      <x:c r="G142" s="31" t="n">
        <x:v>40.84306899535318</x:v>
      </x:c>
      <x:c r="H142" s="31" t="n">
        <x:v>-73.91501441025815</x:v>
      </x:c>
      <x:c r="I142" s="31" t="n">
        <x:v>4823</x:v>
      </x:c>
      <x:c r="J142" s="31" t="n">
        <x:v>94054.17114421078</x:v>
      </x:c>
      <x:c r="K142" s="31"/>
      <x:c r="L142" s="40"/>
      <x:c r="M142" s="40"/>
      <x:c r="N142" s="31" t="n">
        <x:v>31</x:v>
      </x:c>
      <x:c r="O142" s="31" t="n">
        <x:v>1771</x:v>
      </x:c>
      <x:c r="P142" s="31" t="n">
        <x:v>6.620553359683795</x:v>
      </x:c>
      <x:c r="Q142" s="40" t="n">
        <x:v>0.10502540937323546</x:v>
      </x:c>
      <x:c r="R142" s="40" t="n">
        <x:v>0.8904573687182383</x:v>
      </x:c>
      <x:c r="S142" s="40" t="n">
        <x:v>0</x:v>
      </x:c>
      <x:c r="T142" s="31" t="n">
        <x:v>82.33282193247882</x:v>
      </x:c>
      <x:c r="U142" s="31" t="n">
        <x:v>250</x:v>
      </x:c>
      <x:c r="V142" s="31" t="n">
        <x:v>23</x:v>
      </x:c>
      <x:c r="W142" s="31" t="n">
        <x:v>4.768816089570807</x:v>
      </x:c>
      <x:c r="X142" s="31" t="n">
        <x:v>5</x:v>
      </x:c>
      <x:c r="Y142" s="40" t="n">
        <x:v>1</x:v>
      </x:c>
      <x:c r="Z142" s="40" t="n">
        <x:v>1</x:v>
      </x:c>
      <x:c r="AA142" s="40" t="n">
        <x:v>1</x:v>
      </x:c>
      <x:c r="AB142" s="31" t="n">
        <x:v>0.06147860289691865</x:v>
      </x:c>
      <x:c r="AC142" s="31" t="n">
        <x:v>8</x:v>
      </x:c>
      <x:c r="AD142" s="44" t="b">
        <x:v>1</x:v>
      </x:c>
    </x:row>
    <x:row r="143">
      <x:c r="A143" s="31" t="str">
        <x:v>36005021001</x:v>
      </x:c>
      <x:c r="B143" s="31" t="str">
        <x:v>Bronx</x:v>
      </x:c>
      <x:c r="C143" s="31" t="str">
        <x:v>021001</x:v>
      </x:c>
      <x:c r="D143" s="31" t="str">
        <x:v>BX0904</x:v>
      </x:c>
      <x:c r="E143" s="31" t="str">
        <x:v>Parkchester</x:v>
      </x:c>
      <x:c r="F143" s="31" t="n">
        <x:v>0.07450498826403237</x:v>
      </x:c>
      <x:c r="G143" s="31" t="n">
        <x:v>40.84080147370917</x:v>
      </x:c>
      <x:c r="H143" s="31" t="n">
        <x:v>-73.85828913350518</x:v>
      </x:c>
      <x:c r="I143" s="31" t="n">
        <x:v>8946</x:v>
      </x:c>
      <x:c r="J143" s="31" t="n">
        <x:v>120072.49727088035</x:v>
      </x:c>
      <x:c r="K143" s="31"/>
      <x:c r="L143" s="40"/>
      <x:c r="M143" s="40"/>
      <x:c r="N143" s="31" t="n">
        <x:v>2</x:v>
      </x:c>
      <x:c r="O143" s="31" t="n">
        <x:v>3985</x:v>
      </x:c>
      <x:c r="P143" s="31" t="n">
        <x:v>13</x:v>
      </x:c>
      <x:c r="Q143" s="40" t="n">
        <x:v>0.9678795483061481</x:v>
      </x:c>
      <x:c r="R143" s="40" t="n">
        <x:v>0</x:v>
      </x:c>
      <x:c r="S143" s="40" t="n">
        <x:v>0.9678795483061481</x:v>
      </x:c>
      <x:c r="T143" s="31" t="n">
        <x:v>130.3939774153074</x:v>
      </x:c>
      <x:c r="U143" s="31" t="n">
        <x:v>132</x:v>
      </x:c>
      <x:c r="V143" s="31" t="n">
        <x:v>67</x:v>
      </x:c>
      <x:c r="W143" s="31" t="n">
        <x:v>7.489380728817348</x:v>
      </x:c>
      <x:c r="X143" s="31" t="n">
        <x:v>5</x:v>
      </x:c>
      <x:c r="Y143" s="40" t="n">
        <x:v>1</x:v>
      </x:c>
      <x:c r="Z143" s="40" t="n">
        <x:v>1</x:v>
      </x:c>
      <x:c r="AA143" s="40" t="n">
        <x:v>1</x:v>
      </x:c>
      <x:c r="AB143" s="31" t="n">
        <x:v>0.2934029259752807</x:v>
      </x:c>
      <x:c r="AC143" s="31" t="n">
        <x:v>7</x:v>
      </x:c>
      <x:c r="AD143" s="44" t="b">
        <x:v>1</x:v>
      </x:c>
    </x:row>
    <x:row r="144">
      <x:c r="A144" s="31" t="str">
        <x:v>36005021002</x:v>
      </x:c>
      <x:c r="B144" s="31" t="str">
        <x:v>Bronx</x:v>
      </x:c>
      <x:c r="C144" s="31" t="str">
        <x:v>021002</x:v>
      </x:c>
      <x:c r="D144" s="31" t="str">
        <x:v>BX0904</x:v>
      </x:c>
      <x:c r="E144" s="31" t="str">
        <x:v>Parkchester</x:v>
      </x:c>
      <x:c r="F144" s="31" t="n">
        <x:v>0.06698177340162993</x:v>
      </x:c>
      <x:c r="G144" s="31" t="n">
        <x:v>40.838472737846004</x:v>
      </x:c>
      <x:c r="H144" s="31" t="n">
        <x:v>-73.85651776772328</x:v>
      </x:c>
      <x:c r="I144" s="31" t="n">
        <x:v>7855</x:v>
      </x:c>
      <x:c r="J144" s="31" t="n">
        <x:v>117270.70815071696</x:v>
      </x:c>
      <x:c r="K144" s="31"/>
      <x:c r="L144" s="40"/>
      <x:c r="M144" s="40"/>
      <x:c r="N144" s="31" t="n">
        <x:v>5</x:v>
      </x:c>
      <x:c r="O144" s="31" t="n">
        <x:v>3602</x:v>
      </x:c>
      <x:c r="P144" s="31" t="n">
        <x:v>7.919642857142857</x:v>
      </x:c>
      <x:c r="Q144" s="40" t="n">
        <x:v>0</x:v>
      </x:c>
      <x:c r="R144" s="40" t="n">
        <x:v>0.06135480288728484</x:v>
      </x:c>
      <x:c r="S144" s="40" t="n">
        <x:v>0.937812326485286</x:v>
      </x:c>
      <x:c r="T144" s="31" t="n">
        <x:v>143.03462049984452</x:v>
      </x:c>
      <x:c r="U144" s="31" t="n">
        <x:v>147</x:v>
      </x:c>
      <x:c r="V144" s="31" t="n">
        <x:v>58</x:v>
      </x:c>
      <x:c r="W144" s="31" t="n">
        <x:v>7.3838319541693185</x:v>
      </x:c>
      <x:c r="X144" s="31" t="n">
        <x:v>5</x:v>
      </x:c>
      <x:c r="Y144" s="40" t="n">
        <x:v>1</x:v>
      </x:c>
      <x:c r="Z144" s="40" t="n">
        <x:v>1</x:v>
      </x:c>
      <x:c r="AA144" s="40" t="n">
        <x:v>1</x:v>
      </x:c>
      <x:c r="AB144" s="31" t="n">
        <x:v>0.13884584540086933</x:v>
      </x:c>
      <x:c r="AC144" s="31" t="n">
        <x:v>4</x:v>
      </x:c>
      <x:c r="AD144" s="44" t="b">
        <x:v>1</x:v>
      </x:c>
    </x:row>
    <x:row r="145">
      <x:c r="A145" s="31" t="str">
        <x:v>36005021100</x:v>
      </x:c>
      <x:c r="B145" s="31" t="str">
        <x:v>Bronx</x:v>
      </x:c>
      <x:c r="C145" s="31" t="str">
        <x:v>021100</x:v>
      </x:c>
      <x:c r="D145" s="31" t="str">
        <x:v>BX0402</x:v>
      </x:c>
      <x:c r="E145" s="31" t="str">
        <x:v>Highbridge</x:v>
      </x:c>
      <x:c r="F145" s="31" t="n">
        <x:v>0.058977908583347685</x:v>
      </x:c>
      <x:c r="G145" s="31" t="n">
        <x:v>40.84041538190231</x:v>
      </x:c>
      <x:c r="H145" s="31" t="n">
        <x:v>-73.92350514573194</x:v>
      </x:c>
      <x:c r="I145" s="31" t="n">
        <x:v>5822</x:v>
      </x:c>
      <x:c r="J145" s="31" t="n">
        <x:v>98714.92801024538</x:v>
      </x:c>
      <x:c r="K145" s="31"/>
      <x:c r="L145" s="40"/>
      <x:c r="M145" s="40"/>
      <x:c r="N145" s="31" t="n">
        <x:v>153</x:v>
      </x:c>
      <x:c r="O145" s="31" t="n">
        <x:v>2442</x:v>
      </x:c>
      <x:c r="P145" s="31" t="n">
        <x:v>6.162981162981163</x:v>
      </x:c>
      <x:c r="Q145" s="40" t="n">
        <x:v>0.10810810810810811</x:v>
      </x:c>
      <x:c r="R145" s="40" t="n">
        <x:v>0.8263718263718264</x:v>
      </x:c>
      <x:c r="S145" s="40" t="n">
        <x:v>0.0012285012285012285</x:v>
      </x:c>
      <x:c r="T145" s="31" t="n">
        <x:v>65.49474717580566</x:v>
      </x:c>
      <x:c r="U145" s="31" t="n">
        <x:v>110</x:v>
      </x:c>
      <x:c r="V145" s="31" t="n">
        <x:v>36</x:v>
      </x:c>
      <x:c r="W145" s="31" t="n">
        <x:v>6.183442116111302</x:v>
      </x:c>
      <x:c r="X145" s="31" t="n">
        <x:v>5</x:v>
      </x:c>
      <x:c r="Y145" s="40" t="n">
        <x:v>1</x:v>
      </x:c>
      <x:c r="Z145" s="40" t="n">
        <x:v>1</x:v>
      </x:c>
      <x:c r="AA145" s="40" t="n">
        <x:v>0.9987714987714987</x:v>
      </x:c>
      <x:c r="AB145" s="31" t="n">
        <x:v>0.13349691480051387</x:v>
      </x:c>
      <x:c r="AC145" s="31" t="n">
        <x:v>5</x:v>
      </x:c>
      <x:c r="AD145" s="44" t="b">
        <x:v>1</x:v>
      </x:c>
    </x:row>
    <x:row r="146">
      <x:c r="A146" s="31" t="str">
        <x:v>36005021200</x:v>
      </x:c>
      <x:c r="B146" s="31" t="str">
        <x:v>Bronx</x:v>
      </x:c>
      <x:c r="C146" s="31" t="str">
        <x:v>021200</x:v>
      </x:c>
      <x:c r="D146" s="31" t="str">
        <x:v>BX0904</x:v>
      </x:c>
      <x:c r="E146" s="31" t="str">
        <x:v>Parkchester</x:v>
      </x:c>
      <x:c r="F146" s="31" t="n">
        <x:v>0.039007633686294764</x:v>
      </x:c>
      <x:c r="G146" s="31" t="n">
        <x:v>40.83610832923708</x:v>
      </x:c>
      <x:c r="H146" s="31" t="n">
        <x:v>-73.85895776273111</x:v>
      </x:c>
      <x:c r="I146" s="31" t="n">
        <x:v>6596</x:v>
      </x:c>
      <x:c r="J146" s="31" t="n">
        <x:v>169095.1072050671</x:v>
      </x:c>
      <x:c r="K146" s="31"/>
      <x:c r="L146" s="40"/>
      <x:c r="M146" s="40"/>
      <x:c r="N146" s="31" t="n">
        <x:v>1</x:v>
      </x:c>
      <x:c r="O146" s="31" t="n">
        <x:v>2659</x:v>
      </x:c>
      <x:c r="P146" s="31"/>
      <x:c r="Q146" s="40" t="n">
        <x:v>0</x:v>
      </x:c>
      <x:c r="R146" s="40" t="n">
        <x:v>0</x:v>
      </x:c>
      <x:c r="S146" s="40" t="n">
        <x:v>1</x:v>
      </x:c>
      <x:c r="T146" s="31" t="n">
        <x:v>154</x:v>
      </x:c>
      <x:c r="U146" s="31" t="n">
        <x:v>154</x:v>
      </x:c>
      <x:c r="V146" s="31" t="n">
        <x:v>53</x:v>
      </x:c>
      <x:c r="W146" s="31" t="n">
        <x:v>8.035172832019406</x:v>
      </x:c>
      <x:c r="X146" s="31" t="n">
        <x:v>5</x:v>
      </x:c>
      <x:c r="Y146" s="40" t="n">
        <x:v>1</x:v>
      </x:c>
      <x:c r="Z146" s="40" t="n">
        <x:v>1</x:v>
      </x:c>
      <x:c r="AA146" s="40" t="n">
        <x:v>1</x:v>
      </x:c>
      <x:c r="AB146" s="31" t="n">
        <x:v>0.14556272573297344</x:v>
      </x:c>
      <x:c r="AC146" s="31" t="n">
        <x:v>3</x:v>
      </x:c>
      <x:c r="AD146" s="44" t="b">
        <x:v>1</x:v>
      </x:c>
    </x:row>
    <x:row r="147">
      <x:c r="A147" s="31" t="str">
        <x:v>36005021301</x:v>
      </x:c>
      <x:c r="B147" s="31" t="str">
        <x:v>Bronx</x:v>
      </x:c>
      <x:c r="C147" s="31" t="str">
        <x:v>021301</x:v>
      </x:c>
      <x:c r="D147" s="31" t="str">
        <x:v>BX0501</x:v>
      </x:c>
      <x:c r="E147" s="31" t="str">
        <x:v>University Heights (South)-Morris Heights</x:v>
      </x:c>
      <x:c r="F147" s="31" t="n">
        <x:v>0.02370689111111111</x:v>
      </x:c>
      <x:c r="G147" s="31" t="n">
        <x:v>40.84554701588761</x:v>
      </x:c>
      <x:c r="H147" s="31" t="n">
        <x:v>-73.91981204153667</x:v>
      </x:c>
      <x:c r="I147" s="31" t="n">
        <x:v>1264</x:v>
      </x:c>
      <x:c r="J147" s="31" t="n">
        <x:v>53317.83041799098</x:v>
      </x:c>
      <x:c r="K147" s="31"/>
      <x:c r="L147" s="40"/>
      <x:c r="M147" s="40"/>
      <x:c r="N147" s="31" t="n">
        <x:v>35</x:v>
      </x:c>
      <x:c r="O147" s="31" t="n">
        <x:v>656</x:v>
      </x:c>
      <x:c r="P147" s="31" t="n">
        <x:v>5.798780487804878</x:v>
      </x:c>
      <x:c r="Q147" s="40" t="n">
        <x:v>0</x:v>
      </x:c>
      <x:c r="R147" s="40" t="n">
        <x:v>0.9039634146341463</x:v>
      </x:c>
      <x:c r="S147" s="40" t="n">
        <x:v>0</x:v>
      </x:c>
      <x:c r="T147" s="31" t="n">
        <x:v>61.04228379959799</x:v>
      </x:c>
      <x:c r="U147" s="31" t="n">
        <x:v>87</x:v>
      </x:c>
      <x:c r="V147" s="31" t="n">
        <x:v>9</x:v>
      </x:c>
      <x:c r="W147" s="31" t="n">
        <x:v>7.120253164556962</x:v>
      </x:c>
      <x:c r="X147" s="31" t="n">
        <x:v>5</x:v>
      </x:c>
      <x:c r="Y147" s="40" t="n">
        <x:v>1</x:v>
      </x:c>
      <x:c r="Z147" s="40" t="n">
        <x:v>1</x:v>
      </x:c>
      <x:c r="AA147" s="40" t="n">
        <x:v>0.9100609756097561</x:v>
      </x:c>
      <x:c r="AB147" s="31" t="n">
        <x:v>0.129863167091889</x:v>
      </x:c>
      <x:c r="AC147" s="31" t="n">
        <x:v>5</x:v>
      </x:c>
      <x:c r="AD147" s="44" t="b">
        <x:v>1</x:v>
      </x:c>
    </x:row>
    <x:row r="148">
      <x:c r="A148" s="31" t="str">
        <x:v>36005021302</x:v>
      </x:c>
      <x:c r="B148" s="31" t="str">
        <x:v>Bronx</x:v>
      </x:c>
      <x:c r="C148" s="31" t="str">
        <x:v>021302</x:v>
      </x:c>
      <x:c r="D148" s="31" t="str">
        <x:v>BX0403</x:v>
      </x:c>
      <x:c r="E148" s="31" t="str">
        <x:v>Mount Eden-Claremont (West)</x:v>
      </x:c>
      <x:c r="F148" s="31" t="n">
        <x:v>0.06502121660174186</x:v>
      </x:c>
      <x:c r="G148" s="31" t="n">
        <x:v>40.84305933032414</x:v>
      </x:c>
      <x:c r="H148" s="31" t="n">
        <x:v>-73.92038121276275</x:v>
      </x:c>
      <x:c r="I148" s="31" t="n">
        <x:v>5830</x:v>
      </x:c>
      <x:c r="J148" s="31" t="n">
        <x:v>89663.04084571404</x:v>
      </x:c>
      <x:c r="K148" s="31"/>
      <x:c r="L148" s="40"/>
      <x:c r="M148" s="40"/>
      <x:c r="N148" s="31" t="n">
        <x:v>108</x:v>
      </x:c>
      <x:c r="O148" s="31" t="n">
        <x:v>2393</x:v>
      </x:c>
      <x:c r="P148" s="31" t="n">
        <x:v>6.087129126619306</x:v>
      </x:c>
      <x:c r="Q148" s="40" t="n">
        <x:v>0.045967404931048894</x:v>
      </x:c>
      <x:c r="R148" s="40" t="n">
        <x:v>0.8900961136648559</x:v>
      </x:c>
      <x:c r="S148" s="40" t="n">
        <x:v>0</x:v>
      </x:c>
      <x:c r="T148" s="31" t="n">
        <x:v>67.82462240205271</x:v>
      </x:c>
      <x:c r="U148" s="31" t="n">
        <x:v>103</x:v>
      </x:c>
      <x:c r="V148" s="31" t="n">
        <x:v>41</x:v>
      </x:c>
      <x:c r="W148" s="31" t="n">
        <x:v>7.0325900514579756</x:v>
      </x:c>
      <x:c r="X148" s="31" t="n">
        <x:v>5</x:v>
      </x:c>
      <x:c r="Y148" s="40" t="n">
        <x:v>1</x:v>
      </x:c>
      <x:c r="Z148" s="40" t="n">
        <x:v>1</x:v>
      </x:c>
      <x:c r="AA148" s="40" t="n">
        <x:v>0.9669870455495194</x:v>
      </x:c>
      <x:c r="AB148" s="31" t="n">
        <x:v>0.034575169181795366</x:v>
      </x:c>
      <x:c r="AC148" s="31" t="n">
        <x:v>6</x:v>
      </x:c>
      <x:c r="AD148" s="44" t="b">
        <x:v>1</x:v>
      </x:c>
    </x:row>
    <x:row r="149">
      <x:c r="A149" s="31" t="str">
        <x:v>36005021501</x:v>
      </x:c>
      <x:c r="B149" s="31" t="str">
        <x:v>Bronx</x:v>
      </x:c>
      <x:c r="C149" s="31" t="str">
        <x:v>021501</x:v>
      </x:c>
      <x:c r="D149" s="31" t="str">
        <x:v>BX0501</x:v>
      </x:c>
      <x:c r="E149" s="31" t="str">
        <x:v>University Heights (South)-Morris Heights</x:v>
      </x:c>
      <x:c r="F149" s="31" t="n">
        <x:v>0.0353930156510058</x:v>
      </x:c>
      <x:c r="G149" s="31" t="n">
        <x:v>40.849454822440585</x:v>
      </x:c>
      <x:c r="H149" s="31" t="n">
        <x:v>-73.91825120721664</x:v>
      </x:c>
      <x:c r="I149" s="31" t="n">
        <x:v>4078</x:v>
      </x:c>
      <x:c r="J149" s="31" t="n">
        <x:v>115220.47288118303</x:v>
      </x:c>
      <x:c r="K149" s="31"/>
      <x:c r="L149" s="40"/>
      <x:c r="M149" s="40"/>
      <x:c r="N149" s="31" t="n">
        <x:v>52</x:v>
      </x:c>
      <x:c r="O149" s="31" t="n">
        <x:v>1540</x:v>
      </x:c>
      <x:c r="P149" s="31" t="n">
        <x:v>5.7318181818181815</x:v>
      </x:c>
      <x:c r="Q149" s="40" t="n">
        <x:v>0.07662337662337662</x:v>
      </x:c>
      <x:c r="R149" s="40" t="n">
        <x:v>0.8753246753246753</x:v>
      </x:c>
      <x:c r="S149" s="40" t="n">
        <x:v>0</x:v>
      </x:c>
      <x:c r="T149" s="31" t="n">
        <x:v>63.878241649317864</x:v>
      </x:c>
      <x:c r="U149" s="31" t="n">
        <x:v>71.8</x:v>
      </x:c>
      <x:c r="V149" s="31" t="n">
        <x:v>27</x:v>
      </x:c>
      <x:c r="W149" s="31" t="n">
        <x:v>6.620892594409025</x:v>
      </x:c>
      <x:c r="X149" s="31" t="n">
        <x:v>5</x:v>
      </x:c>
      <x:c r="Y149" s="40" t="n">
        <x:v>1</x:v>
      </x:c>
      <x:c r="Z149" s="40" t="n">
        <x:v>1</x:v>
      </x:c>
      <x:c r="AA149" s="40" t="n">
        <x:v>0.9233766233766234</x:v>
      </x:c>
      <x:c r="AB149" s="31" t="n">
        <x:v>0.03517179445223179</x:v>
      </x:c>
      <x:c r="AC149" s="31" t="n">
        <x:v>5</x:v>
      </x:c>
      <x:c r="AD149" s="44" t="b">
        <x:v>1</x:v>
      </x:c>
    </x:row>
    <x:row r="150">
      <x:c r="A150" s="31" t="str">
        <x:v>36005021502</x:v>
      </x:c>
      <x:c r="B150" s="31" t="str">
        <x:v>Bronx</x:v>
      </x:c>
      <x:c r="C150" s="31" t="str">
        <x:v>021502</x:v>
      </x:c>
      <x:c r="D150" s="31" t="str">
        <x:v>BX0501</x:v>
      </x:c>
      <x:c r="E150" s="31" t="str">
        <x:v>University Heights (South)-Morris Heights</x:v>
      </x:c>
      <x:c r="F150" s="31" t="n">
        <x:v>0.06028061162154213</x:v>
      </x:c>
      <x:c r="G150" s="31" t="n">
        <x:v>40.84804014853344</x:v>
      </x:c>
      <x:c r="H150" s="31" t="n">
        <x:v>-73.91671510091435</x:v>
      </x:c>
      <x:c r="I150" s="31" t="n">
        <x:v>6360</x:v>
      </x:c>
      <x:c r="J150" s="31" t="n">
        <x:v>105506.56054934858</x:v>
      </x:c>
      <x:c r="K150" s="31"/>
      <x:c r="L150" s="40"/>
      <x:c r="M150" s="40"/>
      <x:c r="N150" s="31" t="n">
        <x:v>121</x:v>
      </x:c>
      <x:c r="O150" s="31" t="n">
        <x:v>2483</x:v>
      </x:c>
      <x:c r="P150" s="31" t="n">
        <x:v>5.297523157470802</x:v>
      </x:c>
      <x:c r="Q150" s="40" t="n">
        <x:v>0</x:v>
      </x:c>
      <x:c r="R150" s="40" t="n">
        <x:v>0.9609343536045106</x:v>
      </x:c>
      <x:c r="S150" s="40" t="n">
        <x:v>0</x:v>
      </x:c>
      <x:c r="T150" s="31" t="n">
        <x:v>61.22069224608406</x:v>
      </x:c>
      <x:c r="U150" s="31" t="n">
        <x:v>88.68611879</x:v>
      </x:c>
      <x:c r="V150" s="31" t="n">
        <x:v>33</x:v>
      </x:c>
      <x:c r="W150" s="31" t="n">
        <x:v>5.188679245283018</x:v>
      </x:c>
      <x:c r="X150" s="31" t="n">
        <x:v>5</x:v>
      </x:c>
      <x:c r="Y150" s="40" t="n">
        <x:v>1</x:v>
      </x:c>
      <x:c r="Z150" s="40" t="n">
        <x:v>1</x:v>
      </x:c>
      <x:c r="AA150" s="40" t="n">
        <x:v>0.9677809101892871</x:v>
      </x:c>
      <x:c r="AB150" s="31" t="n">
        <x:v>0.11066322789582284</x:v>
      </x:c>
      <x:c r="AC150" s="31" t="n">
        <x:v>6</x:v>
      </x:c>
      <x:c r="AD150" s="44" t="b">
        <x:v>1</x:v>
      </x:c>
    </x:row>
    <x:row r="151">
      <x:c r="A151" s="31" t="str">
        <x:v>36005021601</x:v>
      </x:c>
      <x:c r="B151" s="31" t="str">
        <x:v>Bronx</x:v>
      </x:c>
      <x:c r="C151" s="31" t="str">
        <x:v>021601</x:v>
      </x:c>
      <x:c r="D151" s="31" t="str">
        <x:v>BX0901</x:v>
      </x:c>
      <x:c r="E151" s="31" t="str">
        <x:v>Soundview-Bruckner-Bronx River</x:v>
      </x:c>
      <x:c r="F151" s="31" t="n">
        <x:v>0.06318021482366276</x:v>
      </x:c>
      <x:c r="G151" s="31" t="n">
        <x:v>40.83754039439662</x:v>
      </x:c>
      <x:c r="H151" s="31" t="n">
        <x:v>-73.86482122460714</x:v>
      </x:c>
      <x:c r="I151" s="31" t="n">
        <x:v>4701</x:v>
      </x:c>
      <x:c r="J151" s="31" t="n">
        <x:v>74406.20474495988</x:v>
      </x:c>
      <x:c r="K151" s="31"/>
      <x:c r="L151" s="40"/>
      <x:c r="M151" s="40"/>
      <x:c r="N151" s="31" t="n">
        <x:v>202</x:v>
      </x:c>
      <x:c r="O151" s="31" t="n">
        <x:v>1573</x:v>
      </x:c>
      <x:c r="P151" s="31" t="n">
        <x:v>4.385282776349614</x:v>
      </x:c>
      <x:c r="Q151" s="40" t="n">
        <x:v>0</x:v>
      </x:c>
      <x:c r="R151" s="40" t="n">
        <x:v>0.7107438016528925</x:v>
      </x:c>
      <x:c r="S151" s="40" t="n">
        <x:v>0.0012714558169103624</x:v>
      </x:c>
      <x:c r="T151" s="31" t="n">
        <x:v>47.93215795671328</x:v>
      </x:c>
      <x:c r="U151" s="31" t="n">
        <x:v>68.23</x:v>
      </x:c>
      <x:c r="V151" s="31" t="n">
        <x:v>10</x:v>
      </x:c>
      <x:c r="W151" s="31" t="n">
        <x:v>2.127206977238885</x:v>
      </x:c>
      <x:c r="X151" s="31" t="n">
        <x:v>5</x:v>
      </x:c>
      <x:c r="Y151" s="40" t="n">
        <x:v>1</x:v>
      </x:c>
      <x:c r="Z151" s="40" t="n">
        <x:v>1</x:v>
      </x:c>
      <x:c r="AA151" s="40" t="n">
        <x:v>1</x:v>
      </x:c>
      <x:c r="AB151" s="31" t="n">
        <x:v>0.07892184173365012</x:v>
      </x:c>
      <x:c r="AC151" s="31" t="n">
        <x:v>4</x:v>
      </x:c>
      <x:c r="AD151" s="44" t="b">
        <x:v>1</x:v>
      </x:c>
    </x:row>
    <x:row r="152">
      <x:c r="A152" s="31" t="str">
        <x:v>36005021602</x:v>
      </x:c>
      <x:c r="B152" s="31" t="str">
        <x:v>Bronx</x:v>
      </x:c>
      <x:c r="C152" s="31" t="str">
        <x:v>021602</x:v>
      </x:c>
      <x:c r="D152" s="31" t="str">
        <x:v>BX0904</x:v>
      </x:c>
      <x:c r="E152" s="31" t="str">
        <x:v>Parkchester</x:v>
      </x:c>
      <x:c r="F152" s="31" t="n">
        <x:v>0.0641439396231491</x:v>
      </x:c>
      <x:c r="G152" s="31" t="n">
        <x:v>40.8371673318145</x:v>
      </x:c>
      <x:c r="H152" s="31" t="n">
        <x:v>-73.86227189722862</x:v>
      </x:c>
      <x:c r="I152" s="31" t="n">
        <x:v>6237</x:v>
      </x:c>
      <x:c r="J152" s="31" t="n">
        <x:v>97234.43924153842</x:v>
      </x:c>
      <x:c r="K152" s="31"/>
      <x:c r="L152" s="40"/>
      <x:c r="M152" s="40"/>
      <x:c r="N152" s="31" t="n">
        <x:v>60</x:v>
      </x:c>
      <x:c r="O152" s="31" t="n">
        <x:v>2590</x:v>
      </x:c>
      <x:c r="P152" s="31" t="n">
        <x:v>5.522388059701493</x:v>
      </x:c>
      <x:c r="Q152" s="40" t="n">
        <x:v>0.04942084942084942</x:v>
      </x:c>
      <x:c r="R152" s="40" t="n">
        <x:v>0.09420849420849421</x:v>
      </x:c>
      <x:c r="S152" s="40" t="n">
        <x:v>0.8189189189189189</x:v>
      </x:c>
      <x:c r="T152" s="31" t="n">
        <x:v>136.55670374511956</x:v>
      </x:c>
      <x:c r="U152" s="31" t="n">
        <x:v>152</x:v>
      </x:c>
      <x:c r="V152" s="31" t="n">
        <x:v>48</x:v>
      </x:c>
      <x:c r="W152" s="31" t="n">
        <x:v>7.696007696007697</x:v>
      </x:c>
      <x:c r="X152" s="31" t="n">
        <x:v>5</x:v>
      </x:c>
      <x:c r="Y152" s="40" t="n">
        <x:v>1</x:v>
      </x:c>
      <x:c r="Z152" s="40" t="n">
        <x:v>1</x:v>
      </x:c>
      <x:c r="AA152" s="40" t="n">
        <x:v>0.9849420849420849</x:v>
      </x:c>
      <x:c r="AB152" s="31" t="n">
        <x:v>0.2103787494926044</x:v>
      </x:c>
      <x:c r="AC152" s="31" t="n">
        <x:v>9</x:v>
      </x:c>
      <x:c r="AD152" s="44" t="b">
        <x:v>1</x:v>
      </x:c>
    </x:row>
    <x:row r="153">
      <x:c r="A153" s="31" t="str">
        <x:v>36005021700</x:v>
      </x:c>
      <x:c r="B153" s="31" t="str">
        <x:v>Bronx</x:v>
      </x:c>
      <x:c r="C153" s="31" t="str">
        <x:v>021700</x:v>
      </x:c>
      <x:c r="D153" s="31" t="str">
        <x:v>BX0501</x:v>
      </x:c>
      <x:c r="E153" s="31" t="str">
        <x:v>University Heights (South)-Morris Heights</x:v>
      </x:c>
      <x:c r="F153" s="31" t="n">
        <x:v>0.06206073833075069</x:v>
      </x:c>
      <x:c r="G153" s="31" t="n">
        <x:v>40.84821911758836</x:v>
      </x:c>
      <x:c r="H153" s="31" t="n">
        <x:v>-73.91327115823341</x:v>
      </x:c>
      <x:c r="I153" s="31" t="n">
        <x:v>5006</x:v>
      </x:c>
      <x:c r="J153" s="31" t="n">
        <x:v>80662.91402014403</x:v>
      </x:c>
      <x:c r="K153" s="31"/>
      <x:c r="L153" s="40"/>
      <x:c r="M153" s="40"/>
      <x:c r="N153" s="31" t="n">
        <x:v>88</x:v>
      </x:c>
      <x:c r="O153" s="31" t="n">
        <x:v>2740</x:v>
      </x:c>
      <x:c r="P153" s="31" t="n">
        <x:v>7.538321167883212</x:v>
      </x:c>
      <x:c r="Q153" s="40" t="n">
        <x:v>0.24124087591240875</x:v>
      </x:c>
      <x:c r="R153" s="40" t="n">
        <x:v>0.7197080291970803</x:v>
      </x:c>
      <x:c r="S153" s="40" t="n">
        <x:v>0</x:v>
      </x:c>
      <x:c r="T153" s="31" t="n">
        <x:v>84.53791136509376</x:v>
      </x:c>
      <x:c r="U153" s="31" t="n">
        <x:v>179</x:v>
      </x:c>
      <x:c r="V153" s="31" t="n">
        <x:v>40</x:v>
      </x:c>
      <x:c r="W153" s="31" t="n">
        <x:v>7.990411506192568</x:v>
      </x:c>
      <x:c r="X153" s="31" t="n">
        <x:v>5</x:v>
      </x:c>
      <x:c r="Y153" s="40" t="n">
        <x:v>1</x:v>
      </x:c>
      <x:c r="Z153" s="40" t="n">
        <x:v>1</x:v>
      </x:c>
      <x:c r="AA153" s="40" t="n">
        <x:v>0.9536496350364964</x:v>
      </x:c>
      <x:c r="AB153" s="31" t="n">
        <x:v>0.024282074613306396</x:v>
      </x:c>
      <x:c r="AC153" s="31" t="n">
        <x:v>8</x:v>
      </x:c>
      <x:c r="AD153" s="44" t="b">
        <x:v>1</x:v>
      </x:c>
    </x:row>
    <x:row r="154">
      <x:c r="A154" s="31" t="str">
        <x:v>36005021800</x:v>
      </x:c>
      <x:c r="B154" s="31" t="str">
        <x:v>Bronx</x:v>
      </x:c>
      <x:c r="C154" s="31" t="str">
        <x:v>021800</x:v>
      </x:c>
      <x:c r="D154" s="31" t="str">
        <x:v>BX0901</x:v>
      </x:c>
      <x:c r="E154" s="31" t="str">
        <x:v>Soundview-Bruckner-Bronx River</x:v>
      </x:c>
      <x:c r="F154" s="31" t="n">
        <x:v>0.1159856898351412</x:v>
      </x:c>
      <x:c r="G154" s="31" t="n">
        <x:v>40.83747189568857</x:v>
      </x:c>
      <x:c r="H154" s="31" t="n">
        <x:v>-73.86939270779892</x:v>
      </x:c>
      <x:c r="I154" s="31" t="n">
        <x:v>6610</x:v>
      </x:c>
      <x:c r="J154" s="31" t="n">
        <x:v>56989.789079974165</x:v>
      </x:c>
      <x:c r="K154" s="31"/>
      <x:c r="L154" s="40"/>
      <x:c r="M154" s="40"/>
      <x:c r="N154" s="31" t="n">
        <x:v>349</x:v>
      </x:c>
      <x:c r="O154" s="31" t="n">
        <x:v>2347</x:v>
      </x:c>
      <x:c r="P154" s="31" t="n">
        <x:v>5.511184490839369</x:v>
      </x:c>
      <x:c r="Q154" s="40" t="n">
        <x:v>0.1014060502769493</x:v>
      </x:c>
      <x:c r="R154" s="40" t="n">
        <x:v>0.6655304644226673</x:v>
      </x:c>
      <x:c r="S154" s="40" t="n">
        <x:v>0.0038346825734980826</x:v>
      </x:c>
      <x:c r="T154" s="31" t="n">
        <x:v>58.69017369685897</x:v>
      </x:c>
      <x:c r="U154" s="31" t="n">
        <x:v>148.55</x:v>
      </x:c>
      <x:c r="V154" s="31" t="n">
        <x:v>8</x:v>
      </x:c>
      <x:c r="W154" s="31" t="n">
        <x:v>1.210287443267776</x:v>
      </x:c>
      <x:c r="X154" s="31" t="n">
        <x:v>5</x:v>
      </x:c>
      <x:c r="Y154" s="40" t="n">
        <x:v>1</x:v>
      </x:c>
      <x:c r="Z154" s="40" t="n">
        <x:v>1</x:v>
      </x:c>
      <x:c r="AA154" s="40" t="n">
        <x:v>0.9970174691095015</x:v>
      </x:c>
      <x:c r="AB154" s="31" t="n">
        <x:v>0.05150286551762373</x:v>
      </x:c>
      <x:c r="AC154" s="31" t="n">
        <x:v>6</x:v>
      </x:c>
      <x:c r="AD154" s="44" t="b">
        <x:v>1</x:v>
      </x:c>
    </x:row>
    <x:row r="155">
      <x:c r="A155" s="31" t="str">
        <x:v>36005021900</x:v>
      </x:c>
      <x:c r="B155" s="31" t="str">
        <x:v>Bronx</x:v>
      </x:c>
      <x:c r="C155" s="31" t="str">
        <x:v>021900</x:v>
      </x:c>
      <x:c r="D155" s="31" t="str">
        <x:v>BX0403</x:v>
      </x:c>
      <x:c r="E155" s="31" t="str">
        <x:v>Mount Eden-Claremont (West)</x:v>
      </x:c>
      <x:c r="F155" s="31" t="n">
        <x:v>0.05565426295806072</x:v>
      </x:c>
      <x:c r="G155" s="31" t="n">
        <x:v>40.83967180973088</x:v>
      </x:c>
      <x:c r="H155" s="31" t="n">
        <x:v>-73.91961160051251</x:v>
      </x:c>
      <x:c r="I155" s="31" t="n">
        <x:v>1176</x:v>
      </x:c>
      <x:c r="J155" s="31" t="n">
        <x:v>21130.45681489298</x:v>
      </x:c>
      <x:c r="K155" s="31"/>
      <x:c r="L155" s="40"/>
      <x:c r="M155" s="40"/>
      <x:c r="N155" s="31" t="n">
        <x:v>16</x:v>
      </x:c>
      <x:c r="O155" s="31" t="n">
        <x:v>1036</x:v>
      </x:c>
      <x:c r="P155" s="31" t="n">
        <x:v>11.586872586872587</x:v>
      </x:c>
      <x:c r="Q155" s="40" t="n">
        <x:v>0.6727799227799228</x:v>
      </x:c>
      <x:c r="R155" s="40" t="n">
        <x:v>0.3156370656370656</x:v>
      </x:c>
      <x:c r="S155" s="40" t="n">
        <x:v>0</x:v>
      </x:c>
      <x:c r="T155" s="31" t="n">
        <x:v>90.52697522049228</x:v>
      </x:c>
      <x:c r="U155" s="31" t="n">
        <x:v>160</x:v>
      </x:c>
      <x:c r="V155" s="31" t="n">
        <x:v>10</x:v>
      </x:c>
      <x:c r="W155" s="31" t="n">
        <x:v>8.503401360544219</x:v>
      </x:c>
      <x:c r="X155" s="31" t="n">
        <x:v>5</x:v>
      </x:c>
      <x:c r="Y155" s="40" t="n">
        <x:v>1</x:v>
      </x:c>
      <x:c r="Z155" s="40" t="n">
        <x:v>1</x:v>
      </x:c>
      <x:c r="AA155" s="40" t="n">
        <x:v>1</x:v>
      </x:c>
      <x:c r="AB155" s="31" t="n">
        <x:v>0.11614464651833355</x:v>
      </x:c>
      <x:c r="AC155" s="31" t="n">
        <x:v>8</x:v>
      </x:c>
      <x:c r="AD155" s="44" t="b">
        <x:v>1</x:v>
      </x:c>
    </x:row>
    <x:row r="156">
      <x:c r="A156" s="31" t="str">
        <x:v>36005022000</x:v>
      </x:c>
      <x:c r="B156" s="31" t="str">
        <x:v>Bronx</x:v>
      </x:c>
      <x:c r="C156" s="31" t="str">
        <x:v>022000</x:v>
      </x:c>
      <x:c r="D156" s="31" t="str">
        <x:v>BX0601</x:v>
      </x:c>
      <x:c r="E156" s="31" t="str">
        <x:v>West Farms</x:v>
      </x:c>
      <x:c r="F156" s="31" t="n">
        <x:v>0.08823730198756026</x:v>
      </x:c>
      <x:c r="G156" s="31" t="n">
        <x:v>40.843343079977835</x:v>
      </x:c>
      <x:c r="H156" s="31" t="n">
        <x:v>-73.87242604035919</x:v>
      </x:c>
      <x:c r="I156" s="31" t="n">
        <x:v>2511</x:v>
      </x:c>
      <x:c r="J156" s="31" t="n">
        <x:v>28457.352428500162</x:v>
      </x:c>
      <x:c r="K156" s="31"/>
      <x:c r="L156" s="40"/>
      <x:c r="M156" s="40"/>
      <x:c r="N156" s="31" t="n">
        <x:v>69</x:v>
      </x:c>
      <x:c r="O156" s="31" t="n">
        <x:v>764</x:v>
      </x:c>
      <x:c r="P156" s="31" t="n">
        <x:v>6.157395287958115</x:v>
      </x:c>
      <x:c r="Q156" s="40" t="n">
        <x:v>0.2356020942408377</x:v>
      </x:c>
      <x:c r="R156" s="40" t="n">
        <x:v>0.637434554973822</x:v>
      </x:c>
      <x:c r="S156" s="40" t="n">
        <x:v>0</x:v>
      </x:c>
      <x:c r="T156" s="31" t="n">
        <x:v>67.15472536878272</x:v>
      </x:c>
      <x:c r="U156" s="31" t="n">
        <x:v>95</x:v>
      </x:c>
      <x:c r="V156" s="31" t="n">
        <x:v>9</x:v>
      </x:c>
      <x:c r="W156" s="31" t="n">
        <x:v>3.5842293906810037</x:v>
      </x:c>
      <x:c r="X156" s="31" t="n">
        <x:v>5</x:v>
      </x:c>
      <x:c r="Y156" s="40" t="n">
        <x:v>1</x:v>
      </x:c>
      <x:c r="Z156" s="40" t="n">
        <x:v>1</x:v>
      </x:c>
      <x:c r="AA156" s="40" t="n">
        <x:v>1</x:v>
      </x:c>
      <x:c r="AB156" s="31" t="n">
        <x:v>0.20180878499000213</x:v>
      </x:c>
      <x:c r="AC156" s="31" t="n">
        <x:v>5</x:v>
      </x:c>
      <x:c r="AD156" s="44" t="b">
        <x:v>1</x:v>
      </x:c>
    </x:row>
    <x:row r="157">
      <x:c r="A157" s="31" t="str">
        <x:v>36005022101</x:v>
      </x:c>
      <x:c r="B157" s="31" t="str">
        <x:v>Bronx</x:v>
      </x:c>
      <x:c r="C157" s="31" t="str">
        <x:v>022101</x:v>
      </x:c>
      <x:c r="D157" s="31" t="str">
        <x:v>BX0403</x:v>
      </x:c>
      <x:c r="E157" s="31" t="str">
        <x:v>Mount Eden-Claremont (West)</x:v>
      </x:c>
      <x:c r="F157" s="31" t="n">
        <x:v>0.026265679241312272</x:v>
      </x:c>
      <x:c r="G157" s="31" t="n">
        <x:v>40.838279031287534</x:v>
      </x:c>
      <x:c r="H157" s="31" t="n">
        <x:v>-73.91811998311557</x:v>
      </x:c>
      <x:c r="I157" s="31" t="n">
        <x:v>4001</x:v>
      </x:c>
      <x:c r="J157" s="31" t="n">
        <x:v>152328.0613930205</x:v>
      </x:c>
      <x:c r="K157" s="31"/>
      <x:c r="L157" s="40"/>
      <x:c r="M157" s="40"/>
      <x:c r="N157" s="31" t="n">
        <x:v>24</x:v>
      </x:c>
      <x:c r="O157" s="31" t="n">
        <x:v>1288</x:v>
      </x:c>
      <x:c r="P157" s="31" t="n">
        <x:v>6.910714285714286</x:v>
      </x:c>
      <x:c r="Q157" s="40" t="n">
        <x:v>0.16149068322981366</x:v>
      </x:c>
      <x:c r="R157" s="40" t="n">
        <x:v>0.8346273291925466</x:v>
      </x:c>
      <x:c r="S157" s="40" t="n">
        <x:v>0</x:v>
      </x:c>
      <x:c r="T157" s="31" t="n">
        <x:v>69.97617271945651</x:v>
      </x:c>
      <x:c r="U157" s="31" t="n">
        <x:v>119</x:v>
      </x:c>
      <x:c r="V157" s="31" t="n">
        <x:v>17</x:v>
      </x:c>
      <x:c r="W157" s="31" t="n">
        <x:v>4.24893776555861</x:v>
      </x:c>
      <x:c r="X157" s="31" t="n">
        <x:v>5</x:v>
      </x:c>
      <x:c r="Y157" s="40" t="n">
        <x:v>1</x:v>
      </x:c>
      <x:c r="Z157" s="40" t="n">
        <x:v>1</x:v>
      </x:c>
      <x:c r="AA157" s="40" t="n">
        <x:v>1</x:v>
      </x:c>
      <x:c r="AB157" s="31" t="n">
        <x:v>0.1734794084118907</x:v>
      </x:c>
      <x:c r="AC157" s="31" t="n">
        <x:v>4</x:v>
      </x:c>
      <x:c r="AD157" s="44" t="b">
        <x:v>1</x:v>
      </x:c>
    </x:row>
    <x:row r="158">
      <x:c r="A158" s="31" t="str">
        <x:v>36005022102</x:v>
      </x:c>
      <x:c r="B158" s="31" t="str">
        <x:v>Bronx</x:v>
      </x:c>
      <x:c r="C158" s="31" t="str">
        <x:v>022102</x:v>
      </x:c>
      <x:c r="D158" s="31" t="str">
        <x:v>BX0403</x:v>
      </x:c>
      <x:c r="E158" s="31" t="str">
        <x:v>Mount Eden-Claremont (West)</x:v>
      </x:c>
      <x:c r="F158" s="31" t="n">
        <x:v>0.030224838179127925</x:v>
      </x:c>
      <x:c r="G158" s="31" t="n">
        <x:v>40.837655833552745</x:v>
      </x:c>
      <x:c r="H158" s="31" t="n">
        <x:v>-73.91609722095016</x:v>
      </x:c>
      <x:c r="I158" s="31" t="n">
        <x:v>5457</x:v>
      </x:c>
      <x:c r="J158" s="31" t="n">
        <x:v>180546.87233258333</x:v>
      </x:c>
      <x:c r="K158" s="31"/>
      <x:c r="L158" s="40"/>
      <x:c r="M158" s="40"/>
      <x:c r="N158" s="31" t="n">
        <x:v>42</x:v>
      </x:c>
      <x:c r="O158" s="31" t="n">
        <x:v>1916</x:v>
      </x:c>
      <x:c r="P158" s="31" t="n">
        <x:v>5.990866388308977</x:v>
      </x:c>
      <x:c r="Q158" s="40" t="n">
        <x:v>0.09707724425887265</x:v>
      </x:c>
      <x:c r="R158" s="40" t="n">
        <x:v>0.8820459290187892</x:v>
      </x:c>
      <x:c r="S158" s="40" t="n">
        <x:v>0</x:v>
      </x:c>
      <x:c r="T158" s="31" t="n">
        <x:v>71.12415210365866</x:v>
      </x:c>
      <x:c r="U158" s="31" t="n">
        <x:v>133</x:v>
      </x:c>
      <x:c r="V158" s="31" t="n">
        <x:v>15</x:v>
      </x:c>
      <x:c r="W158" s="31" t="n">
        <x:v>2.7487630566245187</x:v>
      </x:c>
      <x:c r="X158" s="31" t="n">
        <x:v>5</x:v>
      </x:c>
      <x:c r="Y158" s="40" t="n">
        <x:v>1</x:v>
      </x:c>
      <x:c r="Z158" s="40" t="n">
        <x:v>1</x:v>
      </x:c>
      <x:c r="AA158" s="40" t="n">
        <x:v>1</x:v>
      </x:c>
      <x:c r="AB158" s="31" t="n">
        <x:v>0.18715108691874446</x:v>
      </x:c>
      <x:c r="AC158" s="31" t="n">
        <x:v>6</x:v>
      </x:c>
      <x:c r="AD158" s="44" t="b">
        <x:v>1</x:v>
      </x:c>
    </x:row>
    <x:row r="159">
      <x:c r="A159" s="31" t="str">
        <x:v>36005022200</x:v>
      </x:c>
      <x:c r="B159" s="31" t="str">
        <x:v>Bronx</x:v>
      </x:c>
      <x:c r="C159" s="31" t="str">
        <x:v>022200</x:v>
      </x:c>
      <x:c r="D159" s="31" t="str">
        <x:v>BX0904</x:v>
      </x:c>
      <x:c r="E159" s="31" t="str">
        <x:v>Parkchester</x:v>
      </x:c>
      <x:c r="F159" s="31" t="n">
        <x:v>0.08480435567500287</x:v>
      </x:c>
      <x:c r="G159" s="31" t="n">
        <x:v>40.835680126858286</x:v>
      </x:c>
      <x:c r="H159" s="31" t="n">
        <x:v>-73.8552018619068</x:v>
      </x:c>
      <x:c r="I159" s="31" t="n">
        <x:v>3968</x:v>
      </x:c>
      <x:c r="J159" s="31" t="n">
        <x:v>46790.04950178068</x:v>
      </x:c>
      <x:c r="K159" s="31"/>
      <x:c r="L159" s="40"/>
      <x:c r="M159" s="40"/>
      <x:c r="N159" s="31" t="n">
        <x:v>209</x:v>
      </x:c>
      <x:c r="O159" s="31" t="n">
        <x:v>1346</x:v>
      </x:c>
      <x:c r="P159" s="31" t="n">
        <x:v>4.560364041604755</x:v>
      </x:c>
      <x:c r="Q159" s="40" t="n">
        <x:v>0</x:v>
      </x:c>
      <x:c r="R159" s="40" t="n">
        <x:v>0.7667161961367014</x:v>
      </x:c>
      <x:c r="S159" s="40" t="n">
        <x:v>0.003714710252600297</x:v>
      </x:c>
      <x:c r="T159" s="31" t="n">
        <x:v>52.27638295948562</x:v>
      </x:c>
      <x:c r="U159" s="31" t="n">
        <x:v>80.92809968</x:v>
      </x:c>
      <x:c r="V159" s="31" t="n">
        <x:v>16</x:v>
      </x:c>
      <x:c r="W159" s="31" t="n">
        <x:v>4.032258064516129</x:v>
      </x:c>
      <x:c r="X159" s="31" t="n">
        <x:v>5</x:v>
      </x:c>
      <x:c r="Y159" s="40" t="n">
        <x:v>1</x:v>
      </x:c>
      <x:c r="Z159" s="40" t="n">
        <x:v>1</x:v>
      </x:c>
      <x:c r="AA159" s="40" t="n">
        <x:v>0.9821693907875185</x:v>
      </x:c>
      <x:c r="AB159" s="31" t="n">
        <x:v>0.08982812035935824</x:v>
      </x:c>
      <x:c r="AC159" s="31" t="n">
        <x:v>8</x:v>
      </x:c>
      <x:c r="AD159" s="44" t="b">
        <x:v>1</x:v>
      </x:c>
    </x:row>
    <x:row r="160">
      <x:c r="A160" s="31" t="str">
        <x:v>36005022300</x:v>
      </x:c>
      <x:c r="B160" s="31" t="str">
        <x:v>Bronx</x:v>
      </x:c>
      <x:c r="C160" s="31" t="str">
        <x:v>022300</x:v>
      </x:c>
      <x:c r="D160" s="31" t="str">
        <x:v>BX0403</x:v>
      </x:c>
      <x:c r="E160" s="31" t="str">
        <x:v>Mount Eden-Claremont (West)</x:v>
      </x:c>
      <x:c r="F160" s="31" t="n">
        <x:v>0.03592667299845041</x:v>
      </x:c>
      <x:c r="G160" s="31" t="n">
        <x:v>40.840521023799845</x:v>
      </x:c>
      <x:c r="H160" s="31" t="n">
        <x:v>-73.91508372070336</x:v>
      </x:c>
      <x:c r="I160" s="31" t="n">
        <x:v>5063</x:v>
      </x:c>
      <x:c r="J160" s="31" t="n">
        <x:v>140925.93545242492</x:v>
      </x:c>
      <x:c r="K160" s="31"/>
      <x:c r="L160" s="40"/>
      <x:c r="M160" s="40"/>
      <x:c r="N160" s="31" t="n">
        <x:v>27</x:v>
      </x:c>
      <x:c r="O160" s="31" t="n">
        <x:v>1829</x:v>
      </x:c>
      <x:c r="P160" s="31" t="n">
        <x:v>5.585565882996173</x:v>
      </x:c>
      <x:c r="Q160" s="40" t="n">
        <x:v>0</x:v>
      </x:c>
      <x:c r="R160" s="40" t="n">
        <x:v>1</x:v>
      </x:c>
      <x:c r="S160" s="40" t="n">
        <x:v>0.15910333515582287</x:v>
      </x:c>
      <x:c r="T160" s="31" t="n">
        <x:v>71.15059982181519</x:v>
      </x:c>
      <x:c r="U160" s="31" t="n">
        <x:v>89</x:v>
      </x:c>
      <x:c r="V160" s="31" t="n">
        <x:v>32</x:v>
      </x:c>
      <x:c r="W160" s="31" t="n">
        <x:v>6.320363420896702</x:v>
      </x:c>
      <x:c r="X160" s="31" t="n">
        <x:v>5</x:v>
      </x:c>
      <x:c r="Y160" s="40" t="n">
        <x:v>1</x:v>
      </x:c>
      <x:c r="Z160" s="40" t="n">
        <x:v>1</x:v>
      </x:c>
      <x:c r="AA160" s="40" t="n">
        <x:v>1</x:v>
      </x:c>
      <x:c r="AB160" s="31" t="n">
        <x:v>0.03746922385778371</x:v>
      </x:c>
      <x:c r="AC160" s="31" t="n">
        <x:v>6</x:v>
      </x:c>
      <x:c r="AD160" s="44" t="b">
        <x:v>1</x:v>
      </x:c>
    </x:row>
    <x:row r="161">
      <x:c r="A161" s="31" t="str">
        <x:v>36005022401</x:v>
      </x:c>
      <x:c r="B161" s="31" t="str">
        <x:v>Bronx</x:v>
      </x:c>
      <x:c r="C161" s="31" t="str">
        <x:v>022401</x:v>
      </x:c>
      <x:c r="D161" s="31" t="str">
        <x:v>BX1101</x:v>
      </x:c>
      <x:c r="E161" s="31" t="str">
        <x:v>Pelham Parkway-Van Nest</x:v>
      </x:c>
      <x:c r="F161" s="31" t="n">
        <x:v>0.03314308293815284</x:v>
      </x:c>
      <x:c r="G161" s="31" t="n">
        <x:v>40.85503134133153</x:v>
      </x:c>
      <x:c r="H161" s="31" t="n">
        <x:v>-73.86850202525376</x:v>
      </x:c>
      <x:c r="I161" s="31" t="n">
        <x:v>2787</x:v>
      </x:c>
      <x:c r="J161" s="31" t="n">
        <x:v>84089.94435432348</x:v>
      </x:c>
      <x:c r="K161" s="31"/>
      <x:c r="L161" s="40"/>
      <x:c r="M161" s="40"/>
      <x:c r="N161" s="31" t="n">
        <x:v>19</x:v>
      </x:c>
      <x:c r="O161" s="31" t="n">
        <x:v>1150</x:v>
      </x:c>
      <x:c r="P161" s="31" t="n">
        <x:v>5.975652173913043</x:v>
      </x:c>
      <x:c r="Q161" s="40" t="n">
        <x:v>0</x:v>
      </x:c>
      <x:c r="R161" s="40" t="n">
        <x:v>0.9939130434782608</x:v>
      </x:c>
      <x:c r="S161" s="40" t="n">
        <x:v>0</x:v>
      </x:c>
      <x:c r="T161" s="31" t="n">
        <x:v>68.32952173913043</x:v>
      </x:c>
      <x:c r="U161" s="31" t="n">
        <x:v>71.21</x:v>
      </x:c>
      <x:c r="V161" s="31" t="n">
        <x:v>24</x:v>
      </x:c>
      <x:c r="W161" s="31" t="n">
        <x:v>8.611410118406889</x:v>
      </x:c>
      <x:c r="X161" s="31" t="n">
        <x:v>5</x:v>
      </x:c>
      <x:c r="Y161" s="40" t="n">
        <x:v>1</x:v>
      </x:c>
      <x:c r="Z161" s="40" t="n">
        <x:v>1</x:v>
      </x:c>
      <x:c r="AA161" s="40" t="n">
        <x:v>1</x:v>
      </x:c>
      <x:c r="AB161" s="31" t="n">
        <x:v>0.15624608265081077</x:v>
      </x:c>
      <x:c r="AC161" s="31" t="n">
        <x:v>6</x:v>
      </x:c>
      <x:c r="AD161" s="44" t="b">
        <x:v>1</x:v>
      </x:c>
    </x:row>
    <x:row r="162">
      <x:c r="A162" s="31" t="str">
        <x:v>36005022403</x:v>
      </x:c>
      <x:c r="B162" s="31" t="str">
        <x:v>Bronx</x:v>
      </x:c>
      <x:c r="C162" s="31" t="str">
        <x:v>022403</x:v>
      </x:c>
      <x:c r="D162" s="31" t="str">
        <x:v>BX1101</x:v>
      </x:c>
      <x:c r="E162" s="31" t="str">
        <x:v>Pelham Parkway-Van Nest</x:v>
      </x:c>
      <x:c r="F162" s="31" t="n">
        <x:v>0.04799848082637454</x:v>
      </x:c>
      <x:c r="G162" s="31" t="n">
        <x:v>40.8564775806357</x:v>
      </x:c>
      <x:c r="H162" s="31" t="n">
        <x:v>-73.86542152630335</x:v>
      </x:c>
      <x:c r="I162" s="31" t="n">
        <x:v>3275</x:v>
      </x:c>
      <x:c r="J162" s="31" t="n">
        <x:v>68231.3261506483</x:v>
      </x:c>
      <x:c r="K162" s="31"/>
      <x:c r="L162" s="40"/>
      <x:c r="M162" s="40"/>
      <x:c r="N162" s="31" t="n">
        <x:v>17</x:v>
      </x:c>
      <x:c r="O162" s="31" t="n">
        <x:v>1333</x:v>
      </x:c>
      <x:c r="P162" s="31" t="n">
        <x:v>5.9797449362340584</x:v>
      </x:c>
      <x:c r="Q162" s="40" t="n">
        <x:v>0</x:v>
      </x:c>
      <x:c r="R162" s="40" t="n">
        <x:v>1</x:v>
      </x:c>
      <x:c r="S162" s="40" t="n">
        <x:v>0</x:v>
      </x:c>
      <x:c r="T162" s="31" t="n">
        <x:v>68.96808702175544</x:v>
      </x:c>
      <x:c r="U162" s="31" t="n">
        <x:v>74.19</x:v>
      </x:c>
      <x:c r="V162" s="31" t="n">
        <x:v>23</x:v>
      </x:c>
      <x:c r="W162" s="31" t="n">
        <x:v>7.022900763358779</x:v>
      </x:c>
      <x:c r="X162" s="31" t="n">
        <x:v>5</x:v>
      </x:c>
      <x:c r="Y162" s="40" t="n">
        <x:v>1</x:v>
      </x:c>
      <x:c r="Z162" s="40" t="n">
        <x:v>1</x:v>
      </x:c>
      <x:c r="AA162" s="40" t="n">
        <x:v>1</x:v>
      </x:c>
      <x:c r="AB162" s="31" t="n">
        <x:v>0.128664864037971</x:v>
      </x:c>
      <x:c r="AC162" s="31" t="n">
        <x:v>9</x:v>
      </x:c>
      <x:c r="AD162" s="44" t="b">
        <x:v>1</x:v>
      </x:c>
    </x:row>
    <x:row r="163">
      <x:c r="A163" s="31" t="str">
        <x:v>36005022404</x:v>
      </x:c>
      <x:c r="B163" s="31" t="str">
        <x:v>Bronx</x:v>
      </x:c>
      <x:c r="C163" s="31" t="str">
        <x:v>022404</x:v>
      </x:c>
      <x:c r="D163" s="31" t="str">
        <x:v>BX1101</x:v>
      </x:c>
      <x:c r="E163" s="31" t="str">
        <x:v>Pelham Parkway-Van Nest</x:v>
      </x:c>
      <x:c r="F163" s="31" t="n">
        <x:v>0.03586999292911358</x:v>
      </x:c>
      <x:c r="G163" s="31" t="n">
        <x:v>40.85274291576754</x:v>
      </x:c>
      <x:c r="H163" s="31" t="n">
        <x:v>-73.86630031016965</x:v>
      </x:c>
      <x:c r="I163" s="31" t="n">
        <x:v>4489</x:v>
      </x:c>
      <x:c r="J163" s="31" t="n">
        <x:v>125146.3865318061</x:v>
      </x:c>
      <x:c r="K163" s="31"/>
      <x:c r="L163" s="40"/>
      <x:c r="M163" s="40"/>
      <x:c r="N163" s="31" t="n">
        <x:v>20</x:v>
      </x:c>
      <x:c r="O163" s="31" t="n">
        <x:v>1962</x:v>
      </x:c>
      <x:c r="P163" s="31" t="n">
        <x:v>6.122324159021407</x:v>
      </x:c>
      <x:c r="Q163" s="40" t="n">
        <x:v>0</x:v>
      </x:c>
      <x:c r="R163" s="40" t="n">
        <x:v>1</x:v>
      </x:c>
      <x:c r="S163" s="40" t="n">
        <x:v>0</x:v>
      </x:c>
      <x:c r="T163" s="31" t="n">
        <x:v>68.14723760098244</x:v>
      </x:c>
      <x:c r="U163" s="31" t="n">
        <x:v>84</x:v>
      </x:c>
      <x:c r="V163" s="31" t="n">
        <x:v>40</x:v>
      </x:c>
      <x:c r="W163" s="31" t="n">
        <x:v>8.91067052795723</x:v>
      </x:c>
      <x:c r="X163" s="31" t="n">
        <x:v>5</x:v>
      </x:c>
      <x:c r="Y163" s="40" t="n">
        <x:v>1</x:v>
      </x:c>
      <x:c r="Z163" s="40" t="n">
        <x:v>1</x:v>
      </x:c>
      <x:c r="AA163" s="40" t="n">
        <x:v>0.928644240570846</x:v>
      </x:c>
      <x:c r="AB163" s="31" t="n">
        <x:v>0.04439341402912574</x:v>
      </x:c>
      <x:c r="AC163" s="31" t="n">
        <x:v>4</x:v>
      </x:c>
      <x:c r="AD163" s="44" t="b">
        <x:v>1</x:v>
      </x:c>
    </x:row>
    <x:row r="164">
      <x:c r="A164" s="31" t="str">
        <x:v>36005022500</x:v>
      </x:c>
      <x:c r="B164" s="31" t="str">
        <x:v>Bronx</x:v>
      </x:c>
      <x:c r="C164" s="31" t="str">
        <x:v>022500</x:v>
      </x:c>
      <x:c r="D164" s="31" t="str">
        <x:v>BX0403</x:v>
      </x:c>
      <x:c r="E164" s="31" t="str">
        <x:v>Mount Eden-Claremont (West)</x:v>
      </x:c>
      <x:c r="F164" s="31" t="n">
        <x:v>0.07005650555196855</x:v>
      </x:c>
      <x:c r="G164" s="31" t="n">
        <x:v>40.84012495360789</x:v>
      </x:c>
      <x:c r="H164" s="31" t="n">
        <x:v>-73.9109608039335</x:v>
      </x:c>
      <x:c r="I164" s="31" t="n">
        <x:v>8141</x:v>
      </x:c>
      <x:c r="J164" s="31" t="n">
        <x:v>116206.19578235933</x:v>
      </x:c>
      <x:c r="K164" s="31"/>
      <x:c r="L164" s="40"/>
      <x:c r="M164" s="40"/>
      <x:c r="N164" s="31" t="n">
        <x:v>104</x:v>
      </x:c>
      <x:c r="O164" s="31" t="n">
        <x:v>2833</x:v>
      </x:c>
      <x:c r="P164" s="31" t="n">
        <x:v>5.578538651606071</x:v>
      </x:c>
      <x:c r="Q164" s="40" t="n">
        <x:v>0</x:v>
      </x:c>
      <x:c r="R164" s="40" t="n">
        <x:v>0.9286974938228026</x:v>
      </x:c>
      <x:c r="S164" s="40" t="n">
        <x:v>0.07553829862336746</x:v>
      </x:c>
      <x:c r="T164" s="31" t="n">
        <x:v>62.83123838796897</x:v>
      </x:c>
      <x:c r="U164" s="31" t="n">
        <x:v>81.21</x:v>
      </x:c>
      <x:c r="V164" s="31" t="n">
        <x:v>35</x:v>
      </x:c>
      <x:c r="W164" s="31" t="n">
        <x:v>4.299226139294927</x:v>
      </x:c>
      <x:c r="X164" s="31" t="n">
        <x:v>5</x:v>
      </x:c>
      <x:c r="Y164" s="40" t="n">
        <x:v>1</x:v>
      </x:c>
      <x:c r="Z164" s="40" t="n">
        <x:v>1</x:v>
      </x:c>
      <x:c r="AA164" s="40" t="n">
        <x:v>0.9784680550653018</x:v>
      </x:c>
      <x:c r="AB164" s="31" t="n">
        <x:v>0.04109829720879989</x:v>
      </x:c>
      <x:c r="AC164" s="31" t="n">
        <x:v>9</x:v>
      </x:c>
      <x:c r="AD164" s="44" t="b">
        <x:v>1</x:v>
      </x:c>
    </x:row>
    <x:row r="165">
      <x:c r="A165" s="31" t="str">
        <x:v>36005022701</x:v>
      </x:c>
      <x:c r="B165" s="31" t="str">
        <x:v>Bronx</x:v>
      </x:c>
      <x:c r="C165" s="31" t="str">
        <x:v>022701</x:v>
      </x:c>
      <x:c r="D165" s="31" t="str">
        <x:v>BX0502</x:v>
      </x:c>
      <x:c r="E165" s="31" t="str">
        <x:v>Mount Hope</x:v>
      </x:c>
      <x:c r="F165" s="31" t="n">
        <x:v>0.045107568969166095</x:v>
      </x:c>
      <x:c r="G165" s="31" t="n">
        <x:v>40.84680603569052</x:v>
      </x:c>
      <x:c r="H165" s="31" t="n">
        <x:v>-73.91106393022213</x:v>
      </x:c>
      <x:c r="I165" s="31" t="n">
        <x:v>5669</x:v>
      </x:c>
      <x:c r="J165" s="31" t="n">
        <x:v>125677.35591947159</x:v>
      </x:c>
      <x:c r="K165" s="31"/>
      <x:c r="L165" s="40"/>
      <x:c r="M165" s="40"/>
      <x:c r="N165" s="31" t="n">
        <x:v>75</x:v>
      </x:c>
      <x:c r="O165" s="31" t="n">
        <x:v>2275</x:v>
      </x:c>
      <x:c r="P165" s="31" t="n">
        <x:v>8.603296703296703</x:v>
      </x:c>
      <x:c r="Q165" s="40" t="n">
        <x:v>0.4589010989010989</x:v>
      </x:c>
      <x:c r="R165" s="40" t="n">
        <x:v>0.48615384615384616</x:v>
      </x:c>
      <x:c r="S165" s="40" t="n">
        <x:v>0.018461538461538463</x:v>
      </x:c>
      <x:c r="T165" s="31" t="n">
        <x:v>95.63519855151442</x:v>
      </x:c>
      <x:c r="U165" s="31" t="n">
        <x:v>181.04698043</x:v>
      </x:c>
      <x:c r="V165" s="31" t="n">
        <x:v>30</x:v>
      </x:c>
      <x:c r="W165" s="31" t="n">
        <x:v>5.291938613512084</x:v>
      </x:c>
      <x:c r="X165" s="31" t="n">
        <x:v>5</x:v>
      </x:c>
      <x:c r="Y165" s="40" t="n">
        <x:v>1</x:v>
      </x:c>
      <x:c r="Z165" s="40" t="n">
        <x:v>1</x:v>
      </x:c>
      <x:c r="AA165" s="40" t="n">
        <x:v>0.9142857142857143</x:v>
      </x:c>
      <x:c r="AB165" s="31" t="n">
        <x:v>0.12848236969961085</x:v>
      </x:c>
      <x:c r="AC165" s="31" t="n">
        <x:v>6</x:v>
      </x:c>
      <x:c r="AD165" s="44" t="b">
        <x:v>1</x:v>
      </x:c>
    </x:row>
    <x:row r="166">
      <x:c r="A166" s="31" t="str">
        <x:v>36005022702</x:v>
      </x:c>
      <x:c r="B166" s="31" t="str">
        <x:v>Bronx</x:v>
      </x:c>
      <x:c r="C166" s="31" t="str">
        <x:v>022702</x:v>
      </x:c>
      <x:c r="D166" s="31" t="str">
        <x:v>BX0403</x:v>
      </x:c>
      <x:c r="E166" s="31" t="str">
        <x:v>Mount Eden-Claremont (West)</x:v>
      </x:c>
      <x:c r="F166" s="31" t="n">
        <x:v>0.018791761605436465</x:v>
      </x:c>
      <x:c r="G166" s="31" t="n">
        <x:v>40.84450047463424</x:v>
      </x:c>
      <x:c r="H166" s="31" t="n">
        <x:v>-73.91329245625582</x:v>
      </x:c>
      <x:c r="I166" s="31" t="n">
        <x:v>1634</x:v>
      </x:c>
      <x:c r="J166" s="31" t="n">
        <x:v>86952.9975054219</x:v>
      </x:c>
      <x:c r="K166" s="31"/>
      <x:c r="L166" s="40"/>
      <x:c r="M166" s="40"/>
      <x:c r="N166" s="31" t="n">
        <x:v>11</x:v>
      </x:c>
      <x:c r="O166" s="31" t="n">
        <x:v>556</x:v>
      </x:c>
      <x:c r="P166" s="31" t="n">
        <x:v>5.526978417266187</x:v>
      </x:c>
      <x:c r="Q166" s="40" t="n">
        <x:v>0</x:v>
      </x:c>
      <x:c r="R166" s="40" t="n">
        <x:v>1</x:v>
      </x:c>
      <x:c r="S166" s="40" t="n">
        <x:v>0</x:v>
      </x:c>
      <x:c r="T166" s="31" t="n">
        <x:v>71.0558273381295</x:v>
      </x:c>
      <x:c r="U166" s="31" t="n">
        <x:v>86.54</x:v>
      </x:c>
      <x:c r="V166" s="31" t="n">
        <x:v>7</x:v>
      </x:c>
      <x:c r="W166" s="31" t="n">
        <x:v>4.283965728274174</x:v>
      </x:c>
      <x:c r="X166" s="31" t="n">
        <x:v>5</x:v>
      </x:c>
      <x:c r="Y166" s="40" t="n">
        <x:v>1</x:v>
      </x:c>
      <x:c r="Z166" s="40" t="n">
        <x:v>1</x:v>
      </x:c>
      <x:c r="AA166" s="40" t="n">
        <x:v>1</x:v>
      </x:c>
      <x:c r="AB166" s="31" t="n">
        <x:v>0.039133480555652495</x:v>
      </x:c>
      <x:c r="AC166" s="31" t="n">
        <x:v>6</x:v>
      </x:c>
      <x:c r="AD166" s="44" t="b">
        <x:v>1</x:v>
      </x:c>
    </x:row>
    <x:row r="167">
      <x:c r="A167" s="31" t="str">
        <x:v>36005022703</x:v>
      </x:c>
      <x:c r="B167" s="31" t="str">
        <x:v>Bronx</x:v>
      </x:c>
      <x:c r="C167" s="31" t="str">
        <x:v>022703</x:v>
      </x:c>
      <x:c r="D167" s="31" t="str">
        <x:v>BX0403</x:v>
      </x:c>
      <x:c r="E167" s="31" t="str">
        <x:v>Mount Eden-Claremont (West)</x:v>
      </x:c>
      <x:c r="F167" s="31" t="n">
        <x:v>0.015086988188095443</x:v>
      </x:c>
      <x:c r="G167" s="31" t="n">
        <x:v>40.84404510060109</x:v>
      </x:c>
      <x:c r="H167" s="31" t="n">
        <x:v>-73.91052050467532</x:v>
      </x:c>
      <x:c r="I167" s="31" t="n">
        <x:v>1699</x:v>
      </x:c>
      <x:c r="J167" s="31" t="n">
        <x:v>112613.59648578601</x:v>
      </x:c>
      <x:c r="K167" s="31"/>
      <x:c r="L167" s="40"/>
      <x:c r="M167" s="40"/>
      <x:c r="N167" s="31" t="n">
        <x:v>14</x:v>
      </x:c>
      <x:c r="O167" s="31" t="n">
        <x:v>713</x:v>
      </x:c>
      <x:c r="P167" s="31" t="n">
        <x:v>10.305750350631136</x:v>
      </x:c>
      <x:c r="Q167" s="40" t="n">
        <x:v>0.43899018232819076</x:v>
      </x:c>
      <x:c r="R167" s="40" t="n">
        <x:v>0.5469845722300141</x:v>
      </x:c>
      <x:c r="S167" s="40" t="n">
        <x:v>0</x:v>
      </x:c>
      <x:c r="T167" s="31" t="n">
        <x:v>110.64464235624123</x:v>
      </x:c>
      <x:c r="U167" s="31" t="n">
        <x:v>178.46</x:v>
      </x:c>
      <x:c r="V167" s="31" t="n">
        <x:v>10</x:v>
      </x:c>
      <x:c r="W167" s="31" t="n">
        <x:v>5.885815185403178</x:v>
      </x:c>
      <x:c r="X167" s="31" t="n">
        <x:v>5</x:v>
      </x:c>
      <x:c r="Y167" s="40" t="n">
        <x:v>1</x:v>
      </x:c>
      <x:c r="Z167" s="40" t="n">
        <x:v>1</x:v>
      </x:c>
      <x:c r="AA167" s="40" t="n">
        <x:v>1</x:v>
      </x:c>
      <x:c r="AB167" s="31" t="n">
        <x:v>0.022567790265725526</x:v>
      </x:c>
      <x:c r="AC167" s="31" t="n">
        <x:v>7</x:v>
      </x:c>
      <x:c r="AD167" s="44" t="b">
        <x:v>1</x:v>
      </x:c>
    </x:row>
    <x:row r="168">
      <x:c r="A168" s="31" t="str">
        <x:v>36005022800</x:v>
      </x:c>
      <x:c r="B168" s="31" t="str">
        <x:v>Bronx</x:v>
      </x:c>
      <x:c r="C168" s="31" t="str">
        <x:v>022800</x:v>
      </x:c>
      <x:c r="D168" s="31" t="str">
        <x:v>BX1101</x:v>
      </x:c>
      <x:c r="E168" s="31" t="str">
        <x:v>Pelham Parkway-Van Nest</x:v>
      </x:c>
      <x:c r="F168" s="31" t="n">
        <x:v>0.06642510752518078</x:v>
      </x:c>
      <x:c r="G168" s="31" t="n">
        <x:v>40.85349216469402</x:v>
      </x:c>
      <x:c r="H168" s="31" t="n">
        <x:v>-73.86353400799072</x:v>
      </x:c>
      <x:c r="I168" s="31" t="n">
        <x:v>6336</x:v>
      </x:c>
      <x:c r="J168" s="31" t="n">
        <x:v>95385.61902362168</x:v>
      </x:c>
      <x:c r="K168" s="31"/>
      <x:c r="L168" s="40"/>
      <x:c r="M168" s="40"/>
      <x:c r="N168" s="31" t="n">
        <x:v>172</x:v>
      </x:c>
      <x:c r="O168" s="31" t="n">
        <x:v>2567</x:v>
      </x:c>
      <x:c r="P168" s="31" t="n">
        <x:v>7.122029606544604</x:v>
      </x:c>
      <x:c r="Q168" s="40" t="n">
        <x:v>0.08959875340864823</x:v>
      </x:c>
      <x:c r="R168" s="40" t="n">
        <x:v>0.8184651343981301</x:v>
      </x:c>
      <x:c r="S168" s="40" t="n">
        <x:v>0</x:v>
      </x:c>
      <x:c r="T168" s="31" t="n">
        <x:v>75.43756307180675</x:v>
      </x:c>
      <x:c r="U168" s="31" t="n">
        <x:v>209.78</x:v>
      </x:c>
      <x:c r="V168" s="31" t="n">
        <x:v>46</x:v>
      </x:c>
      <x:c r="W168" s="31" t="n">
        <x:v>7.26010101010101</x:v>
      </x:c>
      <x:c r="X168" s="31" t="n">
        <x:v>5</x:v>
      </x:c>
      <x:c r="Y168" s="40" t="n">
        <x:v>1</x:v>
      </x:c>
      <x:c r="Z168" s="40" t="n">
        <x:v>1</x:v>
      </x:c>
      <x:c r="AA168" s="40" t="n">
        <x:v>0.991819244253993</x:v>
      </x:c>
      <x:c r="AB168" s="31" t="n">
        <x:v>0.052275509033032304</x:v>
      </x:c>
      <x:c r="AC168" s="31" t="n">
        <x:v>5</x:v>
      </x:c>
      <x:c r="AD168" s="44" t="b">
        <x:v>1</x:v>
      </x:c>
    </x:row>
    <x:row r="169">
      <x:c r="A169" s="31" t="str">
        <x:v>36005022901</x:v>
      </x:c>
      <x:c r="B169" s="31" t="str">
        <x:v>Bronx</x:v>
      </x:c>
      <x:c r="C169" s="31" t="str">
        <x:v>022901</x:v>
      </x:c>
      <x:c r="D169" s="31" t="str">
        <x:v>BX0502</x:v>
      </x:c>
      <x:c r="E169" s="31" t="str">
        <x:v>Mount Hope</x:v>
      </x:c>
      <x:c r="F169" s="31" t="n">
        <x:v>0.04655981200212351</x:v>
      </x:c>
      <x:c r="G169" s="31" t="n">
        <x:v>40.8461108543084</x:v>
      </x:c>
      <x:c r="H169" s="31" t="n">
        <x:v>-73.90720280748972</x:v>
      </x:c>
      <x:c r="I169" s="31" t="n">
        <x:v>5766</x:v>
      </x:c>
      <x:c r="J169" s="31" t="n">
        <x:v>123840.70622400759</x:v>
      </x:c>
      <x:c r="K169" s="31"/>
      <x:c r="L169" s="40"/>
      <x:c r="M169" s="40"/>
      <x:c r="N169" s="31" t="n">
        <x:v>139</x:v>
      </x:c>
      <x:c r="O169" s="31" t="n">
        <x:v>2355</x:v>
      </x:c>
      <x:c r="P169" s="31" t="n">
        <x:v>6.477494692144374</x:v>
      </x:c>
      <x:c r="Q169" s="40" t="n">
        <x:v>0.19660297239915075</x:v>
      </x:c>
      <x:c r="R169" s="40" t="n">
        <x:v>0.778343949044586</x:v>
      </x:c>
      <x:c r="S169" s="40" t="n">
        <x:v>0</x:v>
      </x:c>
      <x:c r="T169" s="31" t="n">
        <x:v>72.05995900473499</x:v>
      </x:c>
      <x:c r="U169" s="31" t="n">
        <x:v>158.68</x:v>
      </x:c>
      <x:c r="V169" s="31" t="n">
        <x:v>23</x:v>
      </x:c>
      <x:c r="W169" s="31" t="n">
        <x:v>3.988900450919181</x:v>
      </x:c>
      <x:c r="X169" s="31" t="n">
        <x:v>5</x:v>
      </x:c>
      <x:c r="Y169" s="40" t="n">
        <x:v>1</x:v>
      </x:c>
      <x:c r="Z169" s="40" t="n">
        <x:v>1</x:v>
      </x:c>
      <x:c r="AA169" s="40" t="n">
        <x:v>0.9694267515923567</x:v>
      </x:c>
      <x:c r="AB169" s="31" t="n">
        <x:v>0.12430253398885382</x:v>
      </x:c>
      <x:c r="AC169" s="31" t="n">
        <x:v>8</x:v>
      </x:c>
      <x:c r="AD169" s="44" t="b">
        <x:v>1</x:v>
      </x:c>
    </x:row>
    <x:row r="170">
      <x:c r="A170" s="31" t="str">
        <x:v>36005022902</x:v>
      </x:c>
      <x:c r="B170" s="31" t="str">
        <x:v>Bronx</x:v>
      </x:c>
      <x:c r="C170" s="31" t="str">
        <x:v>022902</x:v>
      </x:c>
      <x:c r="D170" s="31" t="str">
        <x:v>BX0403</x:v>
      </x:c>
      <x:c r="E170" s="31" t="str">
        <x:v>Mount Eden-Claremont (West)</x:v>
      </x:c>
      <x:c r="F170" s="31" t="n">
        <x:v>0.03571978168904959</x:v>
      </x:c>
      <x:c r="G170" s="31" t="n">
        <x:v>40.84380313189239</x:v>
      </x:c>
      <x:c r="H170" s="31" t="n">
        <x:v>-73.90713986650191</x:v>
      </x:c>
      <x:c r="I170" s="31" t="n">
        <x:v>3401</x:v>
      </x:c>
      <x:c r="J170" s="31" t="n">
        <x:v>95213.34787560097</x:v>
      </x:c>
      <x:c r="K170" s="31"/>
      <x:c r="L170" s="40"/>
      <x:c r="M170" s="40"/>
      <x:c r="N170" s="31" t="n">
        <x:v>105</x:v>
      </x:c>
      <x:c r="O170" s="31" t="n">
        <x:v>1382</x:v>
      </x:c>
      <x:c r="P170" s="31" t="n">
        <x:v>5.716553287981859</x:v>
      </x:c>
      <x:c r="Q170" s="40" t="n">
        <x:v>0.03328509406657019</x:v>
      </x:c>
      <x:c r="R170" s="40" t="n">
        <x:v>0.8567293777134588</x:v>
      </x:c>
      <x:c r="S170" s="40" t="n">
        <x:v>0</x:v>
      </x:c>
      <x:c r="T170" s="31" t="n">
        <x:v>63.016057611025836</x:v>
      </x:c>
      <x:c r="U170" s="31" t="n">
        <x:v>114</x:v>
      </x:c>
      <x:c r="V170" s="31" t="n">
        <x:v>19</x:v>
      </x:c>
      <x:c r="W170" s="31" t="n">
        <x:v>5.58659217877095</x:v>
      </x:c>
      <x:c r="X170" s="31" t="n">
        <x:v>5</x:v>
      </x:c>
      <x:c r="Y170" s="40" t="n">
        <x:v>1</x:v>
      </x:c>
      <x:c r="Z170" s="40" t="n">
        <x:v>1</x:v>
      </x:c>
      <x:c r="AA170" s="40" t="n">
        <x:v>0.9804630969609262</x:v>
      </x:c>
      <x:c r="AB170" s="31" t="n">
        <x:v>0.062309933683489645</x:v>
      </x:c>
      <x:c r="AC170" s="31" t="n">
        <x:v>6</x:v>
      </x:c>
      <x:c r="AD170" s="44" t="b">
        <x:v>1</x:v>
      </x:c>
    </x:row>
    <x:row r="171">
      <x:c r="A171" s="31" t="str">
        <x:v>36005023000</x:v>
      </x:c>
      <x:c r="B171" s="31" t="str">
        <x:v>Bronx</x:v>
      </x:c>
      <x:c r="C171" s="31" t="str">
        <x:v>023000</x:v>
      </x:c>
      <x:c r="D171" s="31" t="str">
        <x:v>BX1101</x:v>
      </x:c>
      <x:c r="E171" s="31" t="str">
        <x:v>Pelham Parkway-Van Nest</x:v>
      </x:c>
      <x:c r="F171" s="31" t="n">
        <x:v>0.06155310347616792</x:v>
      </x:c>
      <x:c r="G171" s="31" t="n">
        <x:v>40.84928574873997</x:v>
      </x:c>
      <x:c r="H171" s="31" t="n">
        <x:v>-73.86601547748194</x:v>
      </x:c>
      <x:c r="I171" s="31" t="n">
        <x:v>3001</x:v>
      </x:c>
      <x:c r="J171" s="31" t="n">
        <x:v>48754.64973365518</x:v>
      </x:c>
      <x:c r="K171" s="31"/>
      <x:c r="L171" s="40"/>
      <x:c r="M171" s="40"/>
      <x:c r="N171" s="31" t="n">
        <x:v>232</x:v>
      </x:c>
      <x:c r="O171" s="31" t="n">
        <x:v>1005</x:v>
      </x:c>
      <x:c r="P171" s="31" t="n">
        <x:v>3.9228855721393034</x:v>
      </x:c>
      <x:c r="Q171" s="40" t="n">
        <x:v>0</x:v>
      </x:c>
      <x:c r="R171" s="40" t="n">
        <x:v>0.6298507462686567</x:v>
      </x:c>
      <x:c r="S171" s="40" t="n">
        <x:v>0.009950248756218905</x:v>
      </x:c>
      <x:c r="T171" s="31" t="n">
        <x:v>45.425395544371256</x:v>
      </x:c>
      <x:c r="U171" s="31" t="n">
        <x:v>67.74</x:v>
      </x:c>
      <x:c r="V171" s="31" t="n">
        <x:v>4</x:v>
      </x:c>
      <x:c r="W171" s="31" t="n">
        <x:v>1.332889036987671</x:v>
      </x:c>
      <x:c r="X171" s="31" t="n">
        <x:v>5</x:v>
      </x:c>
      <x:c r="Y171" s="40" t="n">
        <x:v>1</x:v>
      </x:c>
      <x:c r="Z171" s="40" t="n">
        <x:v>1</x:v>
      </x:c>
      <x:c r="AA171" s="40" t="n">
        <x:v>0.9970149253731343</x:v>
      </x:c>
      <x:c r="AB171" s="31" t="n">
        <x:v>0.18000101510419442</x:v>
      </x:c>
      <x:c r="AC171" s="31" t="n">
        <x:v>8</x:v>
      </x:c>
      <x:c r="AD171" s="44" t="b">
        <x:v>1</x:v>
      </x:c>
    </x:row>
    <x:row r="172">
      <x:c r="A172" s="31" t="str">
        <x:v>36005023100</x:v>
      </x:c>
      <x:c r="B172" s="31" t="str">
        <x:v>Bronx</x:v>
      </x:c>
      <x:c r="C172" s="31" t="str">
        <x:v>023100</x:v>
      </x:c>
      <x:c r="D172" s="31" t="str">
        <x:v>BX0502</x:v>
      </x:c>
      <x:c r="E172" s="31" t="str">
        <x:v>Mount Hope</x:v>
      </x:c>
      <x:c r="F172" s="31" t="n">
        <x:v>0.04572144717738464</x:v>
      </x:c>
      <x:c r="G172" s="31" t="n">
        <x:v>40.84620297851301</x:v>
      </x:c>
      <x:c r="H172" s="31" t="n">
        <x:v>-73.90246564160744</x:v>
      </x:c>
      <x:c r="I172" s="31" t="n">
        <x:v>1464</x:v>
      </x:c>
      <x:c r="J172" s="31" t="n">
        <x:v>32019.983845221406</x:v>
      </x:c>
      <x:c r="K172" s="31"/>
      <x:c r="L172" s="40"/>
      <x:c r="M172" s="40"/>
      <x:c r="N172" s="31" t="n">
        <x:v>45</x:v>
      </x:c>
      <x:c r="O172" s="31" t="n">
        <x:v>886</x:v>
      </x:c>
      <x:c r="P172" s="31" t="n">
        <x:v>6.483069977426637</x:v>
      </x:c>
      <x:c r="Q172" s="40" t="n">
        <x:v>0.29909706546275394</x:v>
      </x:c>
      <x:c r="R172" s="40" t="n">
        <x:v>0.6388261851015802</x:v>
      </x:c>
      <x:c r="S172" s="40" t="n">
        <x:v>0</x:v>
      </x:c>
      <x:c r="T172" s="31" t="n">
        <x:v>57.27710284070854</x:v>
      </x:c>
      <x:c r="U172" s="31" t="n">
        <x:v>75</x:v>
      </x:c>
      <x:c r="V172" s="31" t="n">
        <x:v>11</x:v>
      </x:c>
      <x:c r="W172" s="31" t="n">
        <x:v>7.513661202185792</x:v>
      </x:c>
      <x:c r="X172" s="31" t="n">
        <x:v>5</x:v>
      </x:c>
      <x:c r="Y172" s="40" t="n">
        <x:v>1</x:v>
      </x:c>
      <x:c r="Z172" s="40" t="n">
        <x:v>1</x:v>
      </x:c>
      <x:c r="AA172" s="40" t="n">
        <x:v>0.7009029345372461</x:v>
      </x:c>
      <x:c r="AB172" s="31" t="n">
        <x:v>0.10054312902949246</x:v>
      </x:c>
      <x:c r="AC172" s="31" t="n">
        <x:v>5</x:v>
      </x:c>
      <x:c r="AD172" s="44" t="b">
        <x:v>1</x:v>
      </x:c>
    </x:row>
    <x:row r="173">
      <x:c r="A173" s="31" t="str">
        <x:v>36005023200</x:v>
      </x:c>
      <x:c r="B173" s="31" t="str">
        <x:v>Bronx</x:v>
      </x:c>
      <x:c r="C173" s="31" t="str">
        <x:v>023200</x:v>
      </x:c>
      <x:c r="D173" s="31" t="str">
        <x:v>BX1101</x:v>
      </x:c>
      <x:c r="E173" s="31" t="str">
        <x:v>Pelham Parkway-Van Nest</x:v>
      </x:c>
      <x:c r="F173" s="31" t="n">
        <x:v>0.0550993724342143</x:v>
      </x:c>
      <x:c r="G173" s="31" t="n">
        <x:v>40.84697459685402</x:v>
      </x:c>
      <x:c r="H173" s="31" t="n">
        <x:v>-73.86331604895084</x:v>
      </x:c>
      <x:c r="I173" s="31" t="n">
        <x:v>3000</x:v>
      </x:c>
      <x:c r="J173" s="31" t="n">
        <x:v>54447.08110935092</x:v>
      </x:c>
      <x:c r="K173" s="31"/>
      <x:c r="L173" s="40"/>
      <x:c r="M173" s="40"/>
      <x:c r="N173" s="31" t="n">
        <x:v>326</x:v>
      </x:c>
      <x:c r="O173" s="31" t="n">
        <x:v>910</x:v>
      </x:c>
      <x:c r="P173" s="31" t="n">
        <x:v>2.787087912087912</x:v>
      </x:c>
      <x:c r="Q173" s="40" t="n">
        <x:v>0</x:v>
      </x:c>
      <x:c r="R173" s="40" t="n">
        <x:v>0.42967032967032964</x:v>
      </x:c>
      <x:c r="S173" s="40" t="n">
        <x:v>0.002197802197802198</x:v>
      </x:c>
      <x:c r="T173" s="31" t="n">
        <x:v>35.9922859821978</x:v>
      </x:c>
      <x:c r="U173" s="31" t="n">
        <x:v>60.14084523</x:v>
      </x:c>
      <x:c r="V173" s="31" t="n">
        <x:v>0</x:v>
      </x:c>
      <x:c r="W173" s="31" t="n">
        <x:v>0</x:v>
      </x:c>
      <x:c r="X173" s="31" t="n">
        <x:v>5</x:v>
      </x:c>
      <x:c r="Y173" s="40" t="n">
        <x:v>1</x:v>
      </x:c>
      <x:c r="Z173" s="40" t="n">
        <x:v>1</x:v>
      </x:c>
      <x:c r="AA173" s="40" t="n">
        <x:v>1</x:v>
      </x:c>
      <x:c r="AB173" s="31" t="n">
        <x:v>0.25493769903525904</x:v>
      </x:c>
      <x:c r="AC173" s="31" t="n">
        <x:v>5</x:v>
      </x:c>
      <x:c r="AD173" s="44" t="b">
        <x:v>1</x:v>
      </x:c>
    </x:row>
    <x:row r="174">
      <x:c r="A174" s="31" t="str">
        <x:v>36005023301</x:v>
      </x:c>
      <x:c r="B174" s="31" t="str">
        <x:v>Bronx</x:v>
      </x:c>
      <x:c r="C174" s="31" t="str">
        <x:v>023301</x:v>
      </x:c>
      <x:c r="D174" s="31" t="str">
        <x:v>BX0502</x:v>
      </x:c>
      <x:c r="E174" s="31" t="str">
        <x:v>Mount Hope</x:v>
      </x:c>
      <x:c r="F174" s="31" t="n">
        <x:v>0.045476023333118114</x:v>
      </x:c>
      <x:c r="G174" s="31" t="n">
        <x:v>40.84955665650846</x:v>
      </x:c>
      <x:c r="H174" s="31" t="n">
        <x:v>-73.90875751030461</x:v>
      </x:c>
      <x:c r="I174" s="31" t="n">
        <x:v>4577</x:v>
      </x:c>
      <x:c r="J174" s="31" t="n">
        <x:v>100646.4432141053</x:v>
      </x:c>
      <x:c r="K174" s="31"/>
      <x:c r="L174" s="40"/>
      <x:c r="M174" s="40"/>
      <x:c r="N174" s="31" t="n">
        <x:v>59</x:v>
      </x:c>
      <x:c r="O174" s="31" t="n">
        <x:v>2173</x:v>
      </x:c>
      <x:c r="P174" s="31" t="n">
        <x:v>6.986654394845835</x:v>
      </x:c>
      <x:c r="Q174" s="40" t="n">
        <x:v>0.21491026231017027</x:v>
      </x:c>
      <x:c r="R174" s="40" t="n">
        <x:v>0.7740450989415555</x:v>
      </x:c>
      <x:c r="S174" s="40" t="n">
        <x:v>0</x:v>
      </x:c>
      <x:c r="T174" s="31" t="n">
        <x:v>72.94934130548671</x:v>
      </x:c>
      <x:c r="U174" s="31" t="n">
        <x:v>135</x:v>
      </x:c>
      <x:c r="V174" s="31" t="n">
        <x:v>35</x:v>
      </x:c>
      <x:c r="W174" s="31" t="n">
        <x:v>7.646930303692375</x:v>
      </x:c>
      <x:c r="X174" s="31" t="n">
        <x:v>5</x:v>
      </x:c>
      <x:c r="Y174" s="40" t="n">
        <x:v>1</x:v>
      </x:c>
      <x:c r="Z174" s="40" t="n">
        <x:v>1</x:v>
      </x:c>
      <x:c r="AA174" s="40" t="n">
        <x:v>0.9360331339162449</x:v>
      </x:c>
      <x:c r="AB174" s="31" t="n">
        <x:v>0.06590558245789499</x:v>
      </x:c>
      <x:c r="AC174" s="31" t="n">
        <x:v>8</x:v>
      </x:c>
      <x:c r="AD174" s="44" t="b">
        <x:v>1</x:v>
      </x:c>
    </x:row>
    <x:row r="175">
      <x:c r="A175" s="31" t="str">
        <x:v>36005023302</x:v>
      </x:c>
      <x:c r="B175" s="31" t="str">
        <x:v>Bronx</x:v>
      </x:c>
      <x:c r="C175" s="31" t="str">
        <x:v>023302</x:v>
      </x:c>
      <x:c r="D175" s="31" t="str">
        <x:v>BX0502</x:v>
      </x:c>
      <x:c r="E175" s="31" t="str">
        <x:v>Mount Hope</x:v>
      </x:c>
      <x:c r="F175" s="31" t="n">
        <x:v>0.024433920504440713</x:v>
      </x:c>
      <x:c r="G175" s="31" t="n">
        <x:v>40.84818975000566</x:v>
      </x:c>
      <x:c r="H175" s="31" t="n">
        <x:v>-73.90473715557289</x:v>
      </x:c>
      <x:c r="I175" s="31" t="n">
        <x:v>3574</x:v>
      </x:c>
      <x:c r="J175" s="31" t="n">
        <x:v>146272.06466315742</x:v>
      </x:c>
      <x:c r="K175" s="31"/>
      <x:c r="L175" s="40"/>
      <x:c r="M175" s="40"/>
      <x:c r="N175" s="31" t="n">
        <x:v>61</x:v>
      </x:c>
      <x:c r="O175" s="31" t="n">
        <x:v>1233</x:v>
      </x:c>
      <x:c r="P175" s="31" t="n">
        <x:v>5.632335766423358</x:v>
      </x:c>
      <x:c r="Q175" s="40" t="n">
        <x:v>0.0575831305758313</x:v>
      </x:c>
      <x:c r="R175" s="40" t="n">
        <x:v>0.9302514193025142</x:v>
      </x:c>
      <x:c r="S175" s="40" t="n">
        <x:v>0.09164639091646391</x:v>
      </x:c>
      <x:c r="T175" s="31" t="n">
        <x:v>61.440927062789946</x:v>
      </x:c>
      <x:c r="U175" s="31" t="n">
        <x:v>128.50280558</x:v>
      </x:c>
      <x:c r="V175" s="31" t="n">
        <x:v>16</x:v>
      </x:c>
      <x:c r="W175" s="31" t="n">
        <x:v>4.476776720761053</x:v>
      </x:c>
      <x:c r="X175" s="31" t="n">
        <x:v>5</x:v>
      </x:c>
      <x:c r="Y175" s="40" t="n">
        <x:v>1</x:v>
      </x:c>
      <x:c r="Z175" s="40" t="n">
        <x:v>1</x:v>
      </x:c>
      <x:c r="AA175" s="40" t="n">
        <x:v>1</x:v>
      </x:c>
      <x:c r="AB175" s="31" t="n">
        <x:v>0.05647760576139096</x:v>
      </x:c>
      <x:c r="AC175" s="31" t="n">
        <x:v>7</x:v>
      </x:c>
      <x:c r="AD175" s="44" t="b">
        <x:v>1</x:v>
      </x:c>
    </x:row>
    <x:row r="176">
      <x:c r="A176" s="31" t="str">
        <x:v>36005023501</x:v>
      </x:c>
      <x:c r="B176" s="31" t="str">
        <x:v>Bronx</x:v>
      </x:c>
      <x:c r="C176" s="31" t="str">
        <x:v>023501</x:v>
      </x:c>
      <x:c r="D176" s="31" t="str">
        <x:v>BX0502</x:v>
      </x:c>
      <x:c r="E176" s="31" t="str">
        <x:v>Mount Hope</x:v>
      </x:c>
      <x:c r="F176" s="31" t="n">
        <x:v>0.026421089222982665</x:v>
      </x:c>
      <x:c r="G176" s="31" t="n">
        <x:v>40.85214889367868</x:v>
      </x:c>
      <x:c r="H176" s="31" t="n">
        <x:v>-73.90457020672432</x:v>
      </x:c>
      <x:c r="I176" s="31" t="n">
        <x:v>3570</x:v>
      </x:c>
      <x:c r="J176" s="31" t="n">
        <x:v>135119.3347810429</x:v>
      </x:c>
      <x:c r="K176" s="31"/>
      <x:c r="L176" s="40"/>
      <x:c r="M176" s="40"/>
      <x:c r="N176" s="31" t="n">
        <x:v>26</x:v>
      </x:c>
      <x:c r="O176" s="31" t="n">
        <x:v>1158</x:v>
      </x:c>
      <x:c r="P176" s="31" t="n">
        <x:v>6.3380829015544045</x:v>
      </x:c>
      <x:c r="Q176" s="40" t="n">
        <x:v>0.12780656303972365</x:v>
      </x:c>
      <x:c r="R176" s="40" t="n">
        <x:v>0.8670120898100173</x:v>
      </x:c>
      <x:c r="S176" s="40" t="n">
        <x:v>0</x:v>
      </x:c>
      <x:c r="T176" s="31" t="n">
        <x:v>68.0399921773375</x:v>
      </x:c>
      <x:c r="U176" s="31" t="n">
        <x:v>102</x:v>
      </x:c>
      <x:c r="V176" s="31" t="n">
        <x:v>18</x:v>
      </x:c>
      <x:c r="W176" s="31" t="n">
        <x:v>5.04201680672269</x:v>
      </x:c>
      <x:c r="X176" s="31" t="n">
        <x:v>5</x:v>
      </x:c>
      <x:c r="Y176" s="40" t="n">
        <x:v>1</x:v>
      </x:c>
      <x:c r="Z176" s="40" t="n">
        <x:v>1</x:v>
      </x:c>
      <x:c r="AA176" s="40" t="n">
        <x:v>0.9697754749568221</x:v>
      </x:c>
      <x:c r="AB176" s="31" t="n">
        <x:v>0.1772467265733871</x:v>
      </x:c>
      <x:c r="AC176" s="31" t="n">
        <x:v>4</x:v>
      </x:c>
      <x:c r="AD176" s="44" t="b">
        <x:v>1</x:v>
      </x:c>
    </x:row>
    <x:row r="177">
      <x:c r="A177" s="31" t="str">
        <x:v>36005023502</x:v>
      </x:c>
      <x:c r="B177" s="31" t="str">
        <x:v>Bronx</x:v>
      </x:c>
      <x:c r="C177" s="31" t="str">
        <x:v>023502</x:v>
      </x:c>
      <x:c r="D177" s="31" t="str">
        <x:v>BX0502</x:v>
      </x:c>
      <x:c r="E177" s="31" t="str">
        <x:v>Mount Hope</x:v>
      </x:c>
      <x:c r="F177" s="31" t="n">
        <x:v>0.03712025371721476</x:v>
      </x:c>
      <x:c r="G177" s="31" t="n">
        <x:v>40.85128580167521</x:v>
      </x:c>
      <x:c r="H177" s="31" t="n">
        <x:v>-73.90347255950826</x:v>
      </x:c>
      <x:c r="I177" s="31" t="n">
        <x:v>4417</x:v>
      </x:c>
      <x:c r="J177" s="31" t="n">
        <x:v>118991.64358220935</x:v>
      </x:c>
      <x:c r="K177" s="31"/>
      <x:c r="L177" s="40"/>
      <x:c r="M177" s="40"/>
      <x:c r="N177" s="31" t="n">
        <x:v>71</x:v>
      </x:c>
      <x:c r="O177" s="31" t="n">
        <x:v>2301</x:v>
      </x:c>
      <x:c r="P177" s="31" t="n">
        <x:v>7.9376358105171665</x:v>
      </x:c>
      <x:c r="Q177" s="40" t="n">
        <x:v>0.27509778357235987</x:v>
      </x:c>
      <x:c r="R177" s="40" t="n">
        <x:v>0.7136027813993916</x:v>
      </x:c>
      <x:c r="S177" s="40" t="n">
        <x:v>0.001738374619730552</x:v>
      </x:c>
      <x:c r="T177" s="31" t="n">
        <x:v>78.81350991886593</x:v>
      </x:c>
      <x:c r="U177" s="31" t="n">
        <x:v>146.03230403</x:v>
      </x:c>
      <x:c r="V177" s="31" t="n">
        <x:v>30</x:v>
      </x:c>
      <x:c r="W177" s="31" t="n">
        <x:v>6.791940230925968</x:v>
      </x:c>
      <x:c r="X177" s="31" t="n">
        <x:v>5</x:v>
      </x:c>
      <x:c r="Y177" s="40" t="n">
        <x:v>1</x:v>
      </x:c>
      <x:c r="Z177" s="40" t="n">
        <x:v>1</x:v>
      </x:c>
      <x:c r="AA177" s="40" t="n">
        <x:v>0.9465449804432855</x:v>
      </x:c>
      <x:c r="AB177" s="31" t="n">
        <x:v>0.20444594023181448</x:v>
      </x:c>
      <x:c r="AC177" s="31" t="n">
        <x:v>5</x:v>
      </x:c>
      <x:c r="AD177" s="44" t="b">
        <x:v>1</x:v>
      </x:c>
    </x:row>
    <x:row r="178">
      <x:c r="A178" s="31" t="str">
        <x:v>36005023600</x:v>
      </x:c>
      <x:c r="B178" s="31" t="str">
        <x:v>Bronx</x:v>
      </x:c>
      <x:c r="C178" s="31" t="str">
        <x:v>023600</x:v>
      </x:c>
      <x:c r="D178" s="31" t="str">
        <x:v>BX1101</x:v>
      </x:c>
      <x:c r="E178" s="31" t="str">
        <x:v>Pelham Parkway-Van Nest</x:v>
      </x:c>
      <x:c r="F178" s="31" t="n">
        <x:v>0.035493603594826104</x:v>
      </x:c>
      <x:c r="G178" s="31" t="n">
        <x:v>40.84509103539635</x:v>
      </x:c>
      <x:c r="H178" s="31" t="n">
        <x:v>-73.86725648111222</x:v>
      </x:c>
      <x:c r="I178" s="31" t="n">
        <x:v>2204</x:v>
      </x:c>
      <x:c r="J178" s="31" t="n">
        <x:v>62095.69547120532</x:v>
      </x:c>
      <x:c r="K178" s="31"/>
      <x:c r="L178" s="40"/>
      <x:c r="M178" s="40"/>
      <x:c r="N178" s="31" t="n">
        <x:v>183</x:v>
      </x:c>
      <x:c r="O178" s="31" t="n">
        <x:v>659</x:v>
      </x:c>
      <x:c r="P178" s="31" t="n">
        <x:v>3.1660091047040972</x:v>
      </x:c>
      <x:c r="Q178" s="40" t="n">
        <x:v>0</x:v>
      </x:c>
      <x:c r="R178" s="40" t="n">
        <x:v>0.5796661608497724</x:v>
      </x:c>
      <x:c r="S178" s="40" t="n">
        <x:v>0.025796661608497723</x:v>
      </x:c>
      <x:c r="T178" s="31" t="n">
        <x:v>38.692843971139816</x:v>
      </x:c>
      <x:c r="U178" s="31" t="n">
        <x:v>60.52</x:v>
      </x:c>
      <x:c r="V178" s="31" t="n">
        <x:v>1</x:v>
      </x:c>
      <x:c r="W178" s="31" t="n">
        <x:v>0.4537205081669691</x:v>
      </x:c>
      <x:c r="X178" s="31" t="n">
        <x:v>5</x:v>
      </x:c>
      <x:c r="Y178" s="40" t="n">
        <x:v>1</x:v>
      </x:c>
      <x:c r="Z178" s="40" t="n">
        <x:v>1</x:v>
      </x:c>
      <x:c r="AA178" s="40" t="n">
        <x:v>0.9984825493171472</x:v>
      </x:c>
      <x:c r="AB178" s="31" t="n">
        <x:v>0.15459799946699504</x:v>
      </x:c>
      <x:c r="AC178" s="31" t="n">
        <x:v>5</x:v>
      </x:c>
      <x:c r="AD178" s="44" t="b">
        <x:v>1</x:v>
      </x:c>
    </x:row>
    <x:row r="179">
      <x:c r="A179" s="31" t="str">
        <x:v>36005023702</x:v>
      </x:c>
      <x:c r="B179" s="31" t="str">
        <x:v>Bronx</x:v>
      </x:c>
      <x:c r="C179" s="31" t="str">
        <x:v>023702</x:v>
      </x:c>
      <x:c r="D179" s="31" t="str">
        <x:v>BX0503</x:v>
      </x:c>
      <x:c r="E179" s="31" t="str">
        <x:v>Fordham Heights</x:v>
      </x:c>
      <x:c r="F179" s="31" t="n">
        <x:v>0.01849663402383207</x:v>
      </x:c>
      <x:c r="G179" s="31" t="n">
        <x:v>40.86063175324854</x:v>
      </x:c>
      <x:c r="H179" s="31" t="n">
        <x:v>-73.89732959270019</x:v>
      </x:c>
      <x:c r="I179" s="31" t="n">
        <x:v>1179</x:v>
      </x:c>
      <x:c r="J179" s="31" t="n">
        <x:v>63741.327123676245</x:v>
      </x:c>
      <x:c r="K179" s="31"/>
      <x:c r="L179" s="40"/>
      <x:c r="M179" s="40"/>
      <x:c r="N179" s="31" t="n">
        <x:v>16</x:v>
      </x:c>
      <x:c r="O179" s="31" t="n">
        <x:v>414</x:v>
      </x:c>
      <x:c r="P179" s="31" t="n">
        <x:v>5.2270531400966185</x:v>
      </x:c>
      <x:c r="Q179" s="40" t="n">
        <x:v>0</x:v>
      </x:c>
      <x:c r="R179" s="40" t="n">
        <x:v>0.9951690821256038</x:v>
      </x:c>
      <x:c r="S179" s="40" t="n">
        <x:v>0.2922705314009662</x:v>
      </x:c>
      <x:c r="T179" s="31" t="n">
        <x:v>60.31739066270532</x:v>
      </x:c>
      <x:c r="U179" s="31" t="n">
        <x:v>65.12</x:v>
      </x:c>
      <x:c r="V179" s="31" t="n">
        <x:v>3</x:v>
      </x:c>
      <x:c r="W179" s="31" t="n">
        <x:v>2.544529262086514</x:v>
      </x:c>
      <x:c r="X179" s="31" t="n">
        <x:v>5</x:v>
      </x:c>
      <x:c r="Y179" s="40" t="n">
        <x:v>1</x:v>
      </x:c>
      <x:c r="Z179" s="40" t="n">
        <x:v>1</x:v>
      </x:c>
      <x:c r="AA179" s="40" t="n">
        <x:v>1</x:v>
      </x:c>
      <x:c r="AB179" s="31" t="n">
        <x:v>0.179558360112995</x:v>
      </x:c>
      <x:c r="AC179" s="31" t="n">
        <x:v>5</x:v>
      </x:c>
      <x:c r="AD179" s="44" t="b">
        <x:v>1</x:v>
      </x:c>
    </x:row>
    <x:row r="180">
      <x:c r="A180" s="31" t="str">
        <x:v>36005023703</x:v>
      </x:c>
      <x:c r="B180" s="31" t="str">
        <x:v>Bronx</x:v>
      </x:c>
      <x:c r="C180" s="31" t="str">
        <x:v>023703</x:v>
      </x:c>
      <x:c r="D180" s="31" t="str">
        <x:v>BX0503</x:v>
      </x:c>
      <x:c r="E180" s="31" t="str">
        <x:v>Fordham Heights</x:v>
      </x:c>
      <x:c r="F180" s="31" t="n">
        <x:v>0.038447401601957074</x:v>
      </x:c>
      <x:c r="G180" s="31" t="n">
        <x:v>40.860025849181135</x:v>
      </x:c>
      <x:c r="H180" s="31" t="n">
        <x:v>-73.89959226503761</x:v>
      </x:c>
      <x:c r="I180" s="31" t="n">
        <x:v>5086</x:v>
      </x:c>
      <x:c r="J180" s="31" t="n">
        <x:v>132284.62231739244</x:v>
      </x:c>
      <x:c r="K180" s="31"/>
      <x:c r="L180" s="40"/>
      <x:c r="M180" s="40"/>
      <x:c r="N180" s="31" t="n">
        <x:v>55</x:v>
      </x:c>
      <x:c r="O180" s="31" t="n">
        <x:v>1701</x:v>
      </x:c>
      <x:c r="P180" s="31" t="n">
        <x:v>5.754850088183422</x:v>
      </x:c>
      <x:c r="Q180" s="40" t="n">
        <x:v>0.03880070546737213</x:v>
      </x:c>
      <x:c r="R180" s="40" t="n">
        <x:v>0.9600235155790712</x:v>
      </x:c>
      <x:c r="S180" s="40" t="n">
        <x:v>0</x:v>
      </x:c>
      <x:c r="T180" s="31" t="n">
        <x:v>64.83889668262199</x:v>
      </x:c>
      <x:c r="U180" s="31" t="n">
        <x:v>99</x:v>
      </x:c>
      <x:c r="V180" s="31" t="n">
        <x:v>16</x:v>
      </x:c>
      <x:c r="W180" s="31" t="n">
        <x:v>3.1458906802988595</x:v>
      </x:c>
      <x:c r="X180" s="31" t="n">
        <x:v>4.006466784244562</x:v>
      </x:c>
      <x:c r="Y180" s="40" t="n">
        <x:v>1</x:v>
      </x:c>
      <x:c r="Z180" s="40" t="n">
        <x:v>1</x:v>
      </x:c>
      <x:c r="AA180" s="40" t="n">
        <x:v>1</x:v>
      </x:c>
      <x:c r="AB180" s="31" t="n">
        <x:v>0.06043599746307951</x:v>
      </x:c>
      <x:c r="AC180" s="31" t="n">
        <x:v>6</x:v>
      </x:c>
      <x:c r="AD180" s="44" t="b">
        <x:v>1</x:v>
      </x:c>
    </x:row>
    <x:row r="181">
      <x:c r="A181" s="31" t="str">
        <x:v>36005023704</x:v>
      </x:c>
      <x:c r="B181" s="31" t="str">
        <x:v>Bronx</x:v>
      </x:c>
      <x:c r="C181" s="31" t="str">
        <x:v>023704</x:v>
      </x:c>
      <x:c r="D181" s="31" t="str">
        <x:v>BX0503</x:v>
      </x:c>
      <x:c r="E181" s="31" t="str">
        <x:v>Fordham Heights</x:v>
      </x:c>
      <x:c r="F181" s="31" t="n">
        <x:v>0.02611836515140754</x:v>
      </x:c>
      <x:c r="G181" s="31" t="n">
        <x:v>40.85626274333494</x:v>
      </x:c>
      <x:c r="H181" s="31" t="n">
        <x:v>-73.90190741488448</x:v>
      </x:c>
      <x:c r="I181" s="31" t="n">
        <x:v>3970</x:v>
      </x:c>
      <x:c r="J181" s="31" t="n">
        <x:v>152000.32532610692</x:v>
      </x:c>
      <x:c r="K181" s="31"/>
      <x:c r="L181" s="40"/>
      <x:c r="M181" s="40"/>
      <x:c r="N181" s="31" t="n">
        <x:v>45</x:v>
      </x:c>
      <x:c r="O181" s="31" t="n">
        <x:v>1420</x:v>
      </x:c>
      <x:c r="P181" s="31" t="n">
        <x:v>6.195070422535212</x:v>
      </x:c>
      <x:c r="Q181" s="40" t="n">
        <x:v>0.09577464788732394</x:v>
      </x:c>
      <x:c r="R181" s="40" t="n">
        <x:v>0.8859154929577465</x:v>
      </x:c>
      <x:c r="S181" s="40" t="n">
        <x:v>0.0014084507042253522</x:v>
      </x:c>
      <x:c r="T181" s="31" t="n">
        <x:v>66.98855835548457</x:v>
      </x:c>
      <x:c r="U181" s="31" t="n">
        <x:v>113</x:v>
      </x:c>
      <x:c r="V181" s="31" t="n">
        <x:v>26</x:v>
      </x:c>
      <x:c r="W181" s="31" t="n">
        <x:v>6.54911838790932</x:v>
      </x:c>
      <x:c r="X181" s="31" t="n">
        <x:v>5</x:v>
      </x:c>
      <x:c r="Y181" s="40" t="n">
        <x:v>1</x:v>
      </x:c>
      <x:c r="Z181" s="40" t="n">
        <x:v>1</x:v>
      </x:c>
      <x:c r="AA181" s="40" t="n">
        <x:v>0.9809859154929578</x:v>
      </x:c>
      <x:c r="AB181" s="31" t="n">
        <x:v>0.09343312730042759</x:v>
      </x:c>
      <x:c r="AC181" s="31" t="n">
        <x:v>7</x:v>
      </x:c>
      <x:c r="AD181" s="44" t="b">
        <x:v>1</x:v>
      </x:c>
    </x:row>
    <x:row r="182">
      <x:c r="A182" s="31" t="str">
        <x:v>36005023800</x:v>
      </x:c>
      <x:c r="B182" s="31" t="str">
        <x:v>Bronx</x:v>
      </x:c>
      <x:c r="C182" s="31" t="str">
        <x:v>023800</x:v>
      </x:c>
      <x:c r="D182" s="31" t="str">
        <x:v>BX1101</x:v>
      </x:c>
      <x:c r="E182" s="31" t="str">
        <x:v>Pelham Parkway-Van Nest</x:v>
      </x:c>
      <x:c r="F182" s="31" t="n">
        <x:v>0.13126720672814796</x:v>
      </x:c>
      <x:c r="G182" s="31" t="n">
        <x:v>40.84370675432688</x:v>
      </x:c>
      <x:c r="H182" s="31" t="n">
        <x:v>-73.8610959535622</x:v>
      </x:c>
      <x:c r="I182" s="31" t="n">
        <x:v>2750</x:v>
      </x:c>
      <x:c r="J182" s="31" t="n">
        <x:v>20949.634478740765</x:v>
      </x:c>
      <x:c r="K182" s="31"/>
      <x:c r="L182" s="40"/>
      <x:c r="M182" s="40"/>
      <x:c r="N182" s="31" t="n">
        <x:v>331</x:v>
      </x:c>
      <x:c r="O182" s="31" t="n">
        <x:v>844</x:v>
      </x:c>
      <x:c r="P182" s="31" t="n">
        <x:v>2.6010071090047395</x:v>
      </x:c>
      <x:c r="Q182" s="40" t="n">
        <x:v>0</x:v>
      </x:c>
      <x:c r="R182" s="40" t="n">
        <x:v>0.45023696682464454</x:v>
      </x:c>
      <x:c r="S182" s="40" t="n">
        <x:v>0.0071090047393364926</x:v>
      </x:c>
      <x:c r="T182" s="31" t="n">
        <x:v>32.615790212461356</x:v>
      </x:c>
      <x:c r="U182" s="31" t="n">
        <x:v>54.39</x:v>
      </x:c>
      <x:c r="V182" s="31" t="n">
        <x:v>0</x:v>
      </x:c>
      <x:c r="W182" s="31" t="n">
        <x:v>0</x:v>
      </x:c>
      <x:c r="X182" s="31" t="n">
        <x:v>5</x:v>
      </x:c>
      <x:c r="Y182" s="40" t="n">
        <x:v>1</x:v>
      </x:c>
      <x:c r="Z182" s="40" t="n">
        <x:v>1</x:v>
      </x:c>
      <x:c r="AA182" s="40" t="n">
        <x:v>0.9964454976303317</x:v>
      </x:c>
      <x:c r="AB182" s="31" t="n">
        <x:v>0.1871068465019223</x:v>
      </x:c>
      <x:c r="AC182" s="31" t="n">
        <x:v>8</x:v>
      </x:c>
      <x:c r="AD182" s="44" t="b">
        <x:v>1</x:v>
      </x:c>
    </x:row>
    <x:row r="183">
      <x:c r="A183" s="31" t="str">
        <x:v>36005023900</x:v>
      </x:c>
      <x:c r="B183" s="31" t="str">
        <x:v>Bronx</x:v>
      </x:c>
      <x:c r="C183" s="31" t="str">
        <x:v>023900</x:v>
      </x:c>
      <x:c r="D183" s="31" t="str">
        <x:v>BX0503</x:v>
      </x:c>
      <x:c r="E183" s="31" t="str">
        <x:v>Fordham Heights</x:v>
      </x:c>
      <x:c r="F183" s="31" t="n">
        <x:v>0.06862571129046144</x:v>
      </x:c>
      <x:c r="G183" s="31" t="n">
        <x:v>40.858899768529305</x:v>
      </x:c>
      <x:c r="H183" s="31" t="n">
        <x:v>-73.90287839882892</x:v>
      </x:c>
      <x:c r="I183" s="31" t="n">
        <x:v>8213</x:v>
      </x:c>
      <x:c r="J183" s="31" t="n">
        <x:v>119678.1766711037</x:v>
      </x:c>
      <x:c r="K183" s="31"/>
      <x:c r="L183" s="40"/>
      <x:c r="M183" s="40"/>
      <x:c r="N183" s="31" t="n">
        <x:v>156</x:v>
      </x:c>
      <x:c r="O183" s="31" t="n">
        <x:v>3046</x:v>
      </x:c>
      <x:c r="P183" s="31" t="n">
        <x:v>5.97242284963887</x:v>
      </x:c>
      <x:c r="Q183" s="40" t="n">
        <x:v>0.11457649376231123</x:v>
      </x:c>
      <x:c r="R183" s="40" t="n">
        <x:v>0.8568614576493763</x:v>
      </x:c>
      <x:c r="S183" s="40" t="n">
        <x:v>0</x:v>
      </x:c>
      <x:c r="T183" s="31" t="n">
        <x:v>64.80343274952068</x:v>
      </x:c>
      <x:c r="U183" s="31" t="n">
        <x:v>110</x:v>
      </x:c>
      <x:c r="V183" s="31" t="n">
        <x:v>39</x:v>
      </x:c>
      <x:c r="W183" s="31" t="n">
        <x:v>4.748569341288202</x:v>
      </x:c>
      <x:c r="X183" s="31" t="n">
        <x:v>4.49671700590939</x:v>
      </x:c>
      <x:c r="Y183" s="40" t="n">
        <x:v>1</x:v>
      </x:c>
      <x:c r="Z183" s="40" t="n">
        <x:v>1</x:v>
      </x:c>
      <x:c r="AA183" s="40" t="n">
        <x:v>1</x:v>
      </x:c>
      <x:c r="AB183" s="31" t="n">
        <x:v>0.08018123736002458</x:v>
      </x:c>
      <x:c r="AC183" s="31" t="n">
        <x:v>7</x:v>
      </x:c>
      <x:c r="AD183" s="44" t="b">
        <x:v>1</x:v>
      </x:c>
    </x:row>
    <x:row r="184">
      <x:c r="A184" s="31" t="str">
        <x:v>36005024000</x:v>
      </x:c>
      <x:c r="B184" s="31" t="str">
        <x:v>Bronx</x:v>
      </x:c>
      <x:c r="C184" s="31" t="str">
        <x:v>024000</x:v>
      </x:c>
      <x:c r="D184" s="31" t="str">
        <x:v>BX1101</x:v>
      </x:c>
      <x:c r="E184" s="31" t="str">
        <x:v>Pelham Parkway-Van Nest</x:v>
      </x:c>
      <x:c r="F184" s="31" t="n">
        <x:v>0.09230660296286732</x:v>
      </x:c>
      <x:c r="G184" s="31" t="n">
        <x:v>40.8416259973167</x:v>
      </x:c>
      <x:c r="H184" s="31" t="n">
        <x:v>-73.86888549772452</x:v>
      </x:c>
      <x:c r="I184" s="31" t="n">
        <x:v>4583</x:v>
      </x:c>
      <x:c r="J184" s="31" t="n">
        <x:v>49649.752595094724</x:v>
      </x:c>
      <x:c r="K184" s="31"/>
      <x:c r="L184" s="40"/>
      <x:c r="M184" s="40"/>
      <x:c r="N184" s="31" t="n">
        <x:v>456</x:v>
      </x:c>
      <x:c r="O184" s="31" t="n">
        <x:v>1309</x:v>
      </x:c>
      <x:c r="P184" s="31" t="n">
        <x:v>2.6360322333077515</x:v>
      </x:c>
      <x:c r="Q184" s="40" t="n">
        <x:v>0</x:v>
      </x:c>
      <x:c r="R184" s="40" t="n">
        <x:v>0.40183346065699005</x:v>
      </x:c>
      <x:c r="S184" s="40" t="n">
        <x:v>0.009931245225362872</x:v>
      </x:c>
      <x:c r="T184" s="31" t="n">
        <x:v>33.97044811047141</x:v>
      </x:c>
      <x:c r="U184" s="31" t="n">
        <x:v>63.32</x:v>
      </x:c>
      <x:c r="V184" s="31" t="n">
        <x:v>4</x:v>
      </x:c>
      <x:c r="W184" s="31" t="n">
        <x:v>0.8727907484180668</x:v>
      </x:c>
      <x:c r="X184" s="31" t="n">
        <x:v>5</x:v>
      </x:c>
      <x:c r="Y184" s="40" t="n">
        <x:v>1</x:v>
      </x:c>
      <x:c r="Z184" s="40" t="n">
        <x:v>1</x:v>
      </x:c>
      <x:c r="AA184" s="40" t="n">
        <x:v>0.988540870893812</x:v>
      </x:c>
      <x:c r="AB184" s="31" t="n">
        <x:v>0.2374992891933464</x:v>
      </x:c>
      <x:c r="AC184" s="31" t="n">
        <x:v>8</x:v>
      </x:c>
      <x:c r="AD184" s="44" t="b">
        <x:v>1</x:v>
      </x:c>
    </x:row>
    <x:row r="185">
      <x:c r="A185" s="31" t="str">
        <x:v>36005024100</x:v>
      </x:c>
      <x:c r="B185" s="31" t="str">
        <x:v>Bronx</x:v>
      </x:c>
      <x:c r="C185" s="31" t="str">
        <x:v>024100</x:v>
      </x:c>
      <x:c r="D185" s="31" t="str">
        <x:v>BX0502</x:v>
      </x:c>
      <x:c r="E185" s="31" t="str">
        <x:v>Mount Hope</x:v>
      </x:c>
      <x:c r="F185" s="31" t="n">
        <x:v>0.051922414009053605</x:v>
      </x:c>
      <x:c r="G185" s="31" t="n">
        <x:v>40.85314618141329</x:v>
      </x:c>
      <x:c r="H185" s="31" t="n">
        <x:v>-73.9061882474224</x:v>
      </x:c>
      <x:c r="I185" s="31" t="n">
        <x:v>6331</x:v>
      </x:c>
      <x:c r="J185" s="31" t="n">
        <x:v>121931.92710369892</x:v>
      </x:c>
      <x:c r="K185" s="31"/>
      <x:c r="L185" s="40"/>
      <x:c r="M185" s="40"/>
      <x:c r="N185" s="31" t="n">
        <x:v>108</x:v>
      </x:c>
      <x:c r="O185" s="31" t="n">
        <x:v>2455</x:v>
      </x:c>
      <x:c r="P185" s="31" t="n">
        <x:v>6.134623217922607</x:v>
      </x:c>
      <x:c r="Q185" s="40" t="n">
        <x:v>0.13808553971486762</x:v>
      </x:c>
      <x:c r="R185" s="40" t="n">
        <x:v>0.8403258655804481</x:v>
      </x:c>
      <x:c r="S185" s="40" t="n">
        <x:v>0</x:v>
      </x:c>
      <x:c r="T185" s="31" t="n">
        <x:v>69.22129032568115</x:v>
      </x:c>
      <x:c r="U185" s="31" t="n">
        <x:v>125</x:v>
      </x:c>
      <x:c r="V185" s="31" t="n">
        <x:v>29</x:v>
      </x:c>
      <x:c r="W185" s="31" t="n">
        <x:v>4.580634970778707</x:v>
      </x:c>
      <x:c r="X185" s="31" t="n">
        <x:v>5</x:v>
      </x:c>
      <x:c r="Y185" s="40" t="n">
        <x:v>1</x:v>
      </x:c>
      <x:c r="Z185" s="40" t="n">
        <x:v>1</x:v>
      </x:c>
      <x:c r="AA185" s="40" t="n">
        <x:v>0.9657841140529532</x:v>
      </x:c>
      <x:c r="AB185" s="31" t="n">
        <x:v>0.12335110544698526</x:v>
      </x:c>
      <x:c r="AC185" s="31" t="n">
        <x:v>7</x:v>
      </x:c>
      <x:c r="AD185" s="44" t="b">
        <x:v>1</x:v>
      </x:c>
    </x:row>
    <x:row r="186">
      <x:c r="A186" s="31" t="str">
        <x:v>36005024300</x:v>
      </x:c>
      <x:c r="B186" s="31" t="str">
        <x:v>Bronx</x:v>
      </x:c>
      <x:c r="C186" s="31" t="str">
        <x:v>024300</x:v>
      </x:c>
      <x:c r="D186" s="31" t="str">
        <x:v>BX0501</x:v>
      </x:c>
      <x:c r="E186" s="31" t="str">
        <x:v>University Heights (South)-Morris Heights</x:v>
      </x:c>
      <x:c r="F186" s="31" t="n">
        <x:v>0.05767920040210342</x:v>
      </x:c>
      <x:c r="G186" s="31" t="n">
        <x:v>40.852424381475366</x:v>
      </x:c>
      <x:c r="H186" s="31" t="n">
        <x:v>-73.91153813543667</x:v>
      </x:c>
      <x:c r="I186" s="31" t="n">
        <x:v>5577</x:v>
      </x:c>
      <x:c r="J186" s="31" t="n">
        <x:v>96689.9672866585</x:v>
      </x:c>
      <x:c r="K186" s="31"/>
      <x:c r="L186" s="40"/>
      <x:c r="M186" s="40"/>
      <x:c r="N186" s="31" t="n">
        <x:v>153</x:v>
      </x:c>
      <x:c r="O186" s="31" t="n">
        <x:v>2191</x:v>
      </x:c>
      <x:c r="P186" s="31" t="n">
        <x:v>5.786855317206755</x:v>
      </x:c>
      <x:c r="Q186" s="40" t="n">
        <x:v>0.0885440438156093</x:v>
      </x:c>
      <x:c r="R186" s="40" t="n">
        <x:v>0.8356914650844364</x:v>
      </x:c>
      <x:c r="S186" s="40" t="n">
        <x:v>0.0013692377909630307</x:v>
      </x:c>
      <x:c r="T186" s="31" t="n">
        <x:v>62.43979815010091</x:v>
      </x:c>
      <x:c r="U186" s="31" t="n">
        <x:v>96</x:v>
      </x:c>
      <x:c r="V186" s="31" t="n">
        <x:v>46</x:v>
      </x:c>
      <x:c r="W186" s="31" t="n">
        <x:v>8.24816209431594</x:v>
      </x:c>
      <x:c r="X186" s="31" t="n">
        <x:v>5</x:v>
      </x:c>
      <x:c r="Y186" s="40" t="n">
        <x:v>1</x:v>
      </x:c>
      <x:c r="Z186" s="40" t="n">
        <x:v>1</x:v>
      </x:c>
      <x:c r="AA186" s="40" t="n">
        <x:v>0.9497946143313556</x:v>
      </x:c>
      <x:c r="AB186" s="31" t="n">
        <x:v>0.08159058364882922</x:v>
      </x:c>
      <x:c r="AC186" s="31" t="n">
        <x:v>7</x:v>
      </x:c>
      <x:c r="AD186" s="44" t="b">
        <x:v>1</x:v>
      </x:c>
    </x:row>
    <x:row r="187">
      <x:c r="A187" s="31" t="str">
        <x:v>36005024400</x:v>
      </x:c>
      <x:c r="B187" s="31" t="str">
        <x:v>Bronx</x:v>
      </x:c>
      <x:c r="C187" s="31" t="str">
        <x:v>024400</x:v>
      </x:c>
      <x:c r="D187" s="31" t="str">
        <x:v>BX1102</x:v>
      </x:c>
      <x:c r="E187" s="31" t="str">
        <x:v>Morris Park</x:v>
      </x:c>
      <x:c r="F187" s="31" t="n">
        <x:v>0.0678932116638688</x:v>
      </x:c>
      <x:c r="G187" s="31" t="n">
        <x:v>40.846220100268525</x:v>
      </x:c>
      <x:c r="H187" s="31" t="n">
        <x:v>-73.85750846483413</x:v>
      </x:c>
      <x:c r="I187" s="31" t="n">
        <x:v>2407</x:v>
      </x:c>
      <x:c r="J187" s="31" t="n">
        <x:v>35452.734389953</x:v>
      </x:c>
      <x:c r="K187" s="31"/>
      <x:c r="L187" s="40"/>
      <x:c r="M187" s="40"/>
      <x:c r="N187" s="31" t="n">
        <x:v>361</x:v>
      </x:c>
      <x:c r="O187" s="31" t="n">
        <x:v>861</x:v>
      </x:c>
      <x:c r="P187" s="31" t="n">
        <x:v>2.3452497096399534</x:v>
      </x:c>
      <x:c r="Q187" s="40" t="n">
        <x:v>0</x:v>
      </x:c>
      <x:c r="R187" s="40" t="n">
        <x:v>0.29849012775842043</x:v>
      </x:c>
      <x:c r="S187" s="40" t="n">
        <x:v>0.005807200929152149</x:v>
      </x:c>
      <x:c r="T187" s="31" t="n">
        <x:v>30.58326993242741</x:v>
      </x:c>
      <x:c r="U187" s="31" t="n">
        <x:v>46.35</x:v>
      </x:c>
      <x:c r="V187" s="31" t="n">
        <x:v>0</x:v>
      </x:c>
      <x:c r="W187" s="31" t="n">
        <x:v>0</x:v>
      </x:c>
      <x:c r="X187" s="31" t="n">
        <x:v>5</x:v>
      </x:c>
      <x:c r="Y187" s="40" t="n">
        <x:v>1</x:v>
      </x:c>
      <x:c r="Z187" s="40" t="n">
        <x:v>1</x:v>
      </x:c>
      <x:c r="AA187" s="40" t="n">
        <x:v>1</x:v>
      </x:c>
      <x:c r="AB187" s="31" t="n">
        <x:v>0.0847927657622193</x:v>
      </x:c>
      <x:c r="AC187" s="31" t="n">
        <x:v>6</x:v>
      </x:c>
      <x:c r="AD187" s="44" t="b">
        <x:v>1</x:v>
      </x:c>
    </x:row>
    <x:row r="188">
      <x:c r="A188" s="31" t="str">
        <x:v>36005024501</x:v>
      </x:c>
      <x:c r="B188" s="31" t="str">
        <x:v>Bronx</x:v>
      </x:c>
      <x:c r="C188" s="31" t="str">
        <x:v>024501</x:v>
      </x:c>
      <x:c r="D188" s="31" t="str">
        <x:v>BX0501</x:v>
      </x:c>
      <x:c r="E188" s="31" t="str">
        <x:v>University Heights (South)-Morris Heights</x:v>
      </x:c>
      <x:c r="F188" s="31" t="n">
        <x:v>0.04410807928575528</x:v>
      </x:c>
      <x:c r="G188" s="31" t="n">
        <x:v>40.852879529992</x:v>
      </x:c>
      <x:c r="H188" s="31" t="n">
        <x:v>-73.91548166449489</x:v>
      </x:c>
      <x:c r="I188" s="31" t="n">
        <x:v>5059</x:v>
      </x:c>
      <x:c r="J188" s="31" t="n">
        <x:v>114695.54063384043</x:v>
      </x:c>
      <x:c r="K188" s="31"/>
      <x:c r="L188" s="40"/>
      <x:c r="M188" s="40"/>
      <x:c r="N188" s="31" t="n">
        <x:v>149</x:v>
      </x:c>
      <x:c r="O188" s="31" t="n">
        <x:v>1584</x:v>
      </x:c>
      <x:c r="P188" s="31" t="n">
        <x:v>4.759785353535354</x:v>
      </x:c>
      <x:c r="Q188" s="40" t="n">
        <x:v>0</x:v>
      </x:c>
      <x:c r="R188" s="40" t="n">
        <x:v>0.8314393939393939</x:v>
      </x:c>
      <x:c r="S188" s="40" t="n">
        <x:v>0</x:v>
      </x:c>
      <x:c r="T188" s="31" t="n">
        <x:v>57.18869477135873</x:v>
      </x:c>
      <x:c r="U188" s="31" t="n">
        <x:v>83.30732275</x:v>
      </x:c>
      <x:c r="V188" s="31" t="n">
        <x:v>12</x:v>
      </x:c>
      <x:c r="W188" s="31" t="n">
        <x:v>2.372010278711208</x:v>
      </x:c>
      <x:c r="X188" s="31" t="n">
        <x:v>5</x:v>
      </x:c>
      <x:c r="Y188" s="40" t="n">
        <x:v>1</x:v>
      </x:c>
      <x:c r="Z188" s="40" t="n">
        <x:v>1</x:v>
      </x:c>
      <x:c r="AA188" s="40" t="n">
        <x:v>0.9943181818181818</x:v>
      </x:c>
      <x:c r="AB188" s="31" t="n">
        <x:v>0.1399231333230697</x:v>
      </x:c>
      <x:c r="AC188" s="31" t="n">
        <x:v>7</x:v>
      </x:c>
      <x:c r="AD188" s="44" t="b">
        <x:v>1</x:v>
      </x:c>
    </x:row>
    <x:row r="189">
      <x:c r="A189" s="31" t="str">
        <x:v>36005024502</x:v>
      </x:c>
      <x:c r="B189" s="31" t="str">
        <x:v>Bronx</x:v>
      </x:c>
      <x:c r="C189" s="31" t="str">
        <x:v>024502</x:v>
      </x:c>
      <x:c r="D189" s="31" t="str">
        <x:v>BX0501</x:v>
      </x:c>
      <x:c r="E189" s="31" t="str">
        <x:v>University Heights (South)-Morris Heights</x:v>
      </x:c>
      <x:c r="F189" s="31" t="n">
        <x:v>0.0384873768978851</x:v>
      </x:c>
      <x:c r="G189" s="31" t="n">
        <x:v>40.855106984100594</x:v>
      </x:c>
      <x:c r="H189" s="31" t="n">
        <x:v>-73.91355708349631</x:v>
      </x:c>
      <x:c r="I189" s="31" t="n">
        <x:v>3797</x:v>
      </x:c>
      <x:c r="J189" s="31" t="n">
        <x:v>98655.7231498062</x:v>
      </x:c>
      <x:c r="K189" s="31"/>
      <x:c r="L189" s="40"/>
      <x:c r="M189" s="40"/>
      <x:c r="N189" s="31" t="n">
        <x:v>119</x:v>
      </x:c>
      <x:c r="O189" s="31" t="n">
        <x:v>1165</x:v>
      </x:c>
      <x:c r="P189" s="31" t="n">
        <x:v>5.082489270386266</x:v>
      </x:c>
      <x:c r="Q189" s="40" t="n">
        <x:v>0</x:v>
      </x:c>
      <x:c r="R189" s="40" t="n">
        <x:v>0.8763948497854077</x:v>
      </x:c>
      <x:c r="S189" s="40" t="n">
        <x:v>0</x:v>
      </x:c>
      <x:c r="T189" s="31" t="n">
        <x:v>62.5746950883319</x:v>
      </x:c>
      <x:c r="U189" s="31" t="n">
        <x:v>82.57262953</x:v>
      </x:c>
      <x:c r="V189" s="31" t="n">
        <x:v>15</x:v>
      </x:c>
      <x:c r="W189" s="31" t="n">
        <x:v>3.9504872267579665</x:v>
      </x:c>
      <x:c r="X189" s="31" t="n">
        <x:v>5</x:v>
      </x:c>
      <x:c r="Y189" s="40" t="n">
        <x:v>1</x:v>
      </x:c>
      <x:c r="Z189" s="40" t="n">
        <x:v>1</x:v>
      </x:c>
      <x:c r="AA189" s="40" t="n">
        <x:v>0.9982832618025751</x:v>
      </x:c>
      <x:c r="AB189" s="31" t="n">
        <x:v>0.0642238273044471</x:v>
      </x:c>
      <x:c r="AC189" s="31" t="n">
        <x:v>4</x:v>
      </x:c>
      <x:c r="AD189" s="44" t="b">
        <x:v>1</x:v>
      </x:c>
    </x:row>
    <x:row r="190">
      <x:c r="A190" s="31" t="str">
        <x:v>36005024600</x:v>
      </x:c>
      <x:c r="B190" s="31" t="str">
        <x:v>Bronx</x:v>
      </x:c>
      <x:c r="C190" s="31" t="str">
        <x:v>024600</x:v>
      </x:c>
      <x:c r="D190" s="31" t="str">
        <x:v>BX1102</x:v>
      </x:c>
      <x:c r="E190" s="31" t="str">
        <x:v>Morris Park</x:v>
      </x:c>
      <x:c r="F190" s="31" t="n">
        <x:v>0.05884935055132289</x:v>
      </x:c>
      <x:c r="G190" s="31" t="n">
        <x:v>40.85160563404634</x:v>
      </x:c>
      <x:c r="H190" s="31" t="n">
        <x:v>-73.86115633792235</x:v>
      </x:c>
      <x:c r="I190" s="31" t="n">
        <x:v>2297</x:v>
      </x:c>
      <x:c r="J190" s="31" t="n">
        <x:v>39031.86659633179</x:v>
      </x:c>
      <x:c r="K190" s="31"/>
      <x:c r="L190" s="40"/>
      <x:c r="M190" s="40"/>
      <x:c r="N190" s="31" t="n">
        <x:v>331</x:v>
      </x:c>
      <x:c r="O190" s="31" t="n">
        <x:v>802</x:v>
      </x:c>
      <x:c r="P190" s="31" t="n">
        <x:v>2.7760847880299253</x:v>
      </x:c>
      <x:c r="Q190" s="40" t="n">
        <x:v>0</x:v>
      </x:c>
      <x:c r="R190" s="40" t="n">
        <x:v>0.29925187032418954</x:v>
      </x:c>
      <x:c r="S190" s="40" t="n">
        <x:v>0.003740648379052369</x:v>
      </x:c>
      <x:c r="T190" s="31" t="n">
        <x:v>35.570942637371715</x:v>
      </x:c>
      <x:c r="U190" s="31" t="n">
        <x:v>61.91</x:v>
      </x:c>
      <x:c r="V190" s="31" t="n">
        <x:v>3</x:v>
      </x:c>
      <x:c r="W190" s="31" t="n">
        <x:v>1.30605137135394</x:v>
      </x:c>
      <x:c r="X190" s="31" t="n">
        <x:v>5</x:v>
      </x:c>
      <x:c r="Y190" s="40" t="n">
        <x:v>1</x:v>
      </x:c>
      <x:c r="Z190" s="40" t="n">
        <x:v>1</x:v>
      </x:c>
      <x:c r="AA190" s="40" t="n">
        <x:v>0.9962593516209476</x:v>
      </x:c>
      <x:c r="AB190" s="31" t="n">
        <x:v>0.17117801549122388</x:v>
      </x:c>
      <x:c r="AC190" s="31" t="n">
        <x:v>8</x:v>
      </x:c>
      <x:c r="AD190" s="44" t="b">
        <x:v>1</x:v>
      </x:c>
    </x:row>
    <x:row r="191">
      <x:c r="A191" s="31" t="str">
        <x:v>36005024700</x:v>
      </x:c>
      <x:c r="B191" s="31" t="str">
        <x:v>Bronx</x:v>
      </x:c>
      <x:c r="C191" s="31" t="str">
        <x:v>024700</x:v>
      </x:c>
      <x:c r="D191" s="31" t="str">
        <x:v>BX0501</x:v>
      </x:c>
      <x:c r="E191" s="31" t="str">
        <x:v>University Heights (South)-Morris Heights</x:v>
      </x:c>
      <x:c r="F191" s="31" t="n">
        <x:v>0.05644014121183425</x:v>
      </x:c>
      <x:c r="G191" s="31" t="n">
        <x:v>40.85546971701285</x:v>
      </x:c>
      <x:c r="H191" s="31" t="n">
        <x:v>-73.91843463519783</x:v>
      </x:c>
      <x:c r="I191" s="31" t="n">
        <x:v>1921</x:v>
      </x:c>
      <x:c r="J191" s="31" t="n">
        <x:v>34036.05942072322</x:v>
      </x:c>
      <x:c r="K191" s="31"/>
      <x:c r="L191" s="40"/>
      <x:c r="M191" s="40"/>
      <x:c r="N191" s="31" t="n">
        <x:v>23</x:v>
      </x:c>
      <x:c r="O191" s="31" t="n">
        <x:v>749</x:v>
      </x:c>
      <x:c r="P191" s="31" t="n">
        <x:v>8.32977303070761</x:v>
      </x:c>
      <x:c r="Q191" s="40" t="n">
        <x:v>0.33377837116154874</x:v>
      </x:c>
      <x:c r="R191" s="40" t="n">
        <x:v>0.6355140186915887</x:v>
      </x:c>
      <x:c r="S191" s="40" t="n">
        <x:v>0.14152202937249667</x:v>
      </x:c>
      <x:c r="T191" s="31" t="n">
        <x:v>92.10581082615488</x:v>
      </x:c>
      <x:c r="U191" s="31" t="n">
        <x:v>155.33</x:v>
      </x:c>
      <x:c r="V191" s="31" t="n">
        <x:v>11</x:v>
      </x:c>
      <x:c r="W191" s="31" t="n">
        <x:v>5.726184279021343</x:v>
      </x:c>
      <x:c r="X191" s="31" t="n">
        <x:v>5</x:v>
      </x:c>
      <x:c r="Y191" s="40" t="n">
        <x:v>1</x:v>
      </x:c>
      <x:c r="Z191" s="40" t="n">
        <x:v>1</x:v>
      </x:c>
      <x:c r="AA191" s="40" t="n">
        <x:v>1</x:v>
      </x:c>
      <x:c r="AB191" s="31" t="n">
        <x:v>0.11765340372445363</x:v>
      </x:c>
      <x:c r="AC191" s="31" t="n">
        <x:v>5</x:v>
      </x:c>
      <x:c r="AD191" s="44" t="b">
        <x:v>1</x:v>
      </x:c>
    </x:row>
    <x:row r="192">
      <x:c r="A192" s="31" t="str">
        <x:v>36005024800</x:v>
      </x:c>
      <x:c r="B192" s="31" t="str">
        <x:v>Bronx</x:v>
      </x:c>
      <x:c r="C192" s="31" t="str">
        <x:v>024800</x:v>
      </x:c>
      <x:c r="D192" s="31" t="str">
        <x:v>BX1102</x:v>
      </x:c>
      <x:c r="E192" s="31" t="str">
        <x:v>Morris Park</x:v>
      </x:c>
      <x:c r="F192" s="31" t="n">
        <x:v>0.10735403663122704</x:v>
      </x:c>
      <x:c r="G192" s="31" t="n">
        <x:v>40.85533781803652</x:v>
      </x:c>
      <x:c r="H192" s="31" t="n">
        <x:v>-73.85841121556882</x:v>
      </x:c>
      <x:c r="I192" s="31" t="n">
        <x:v>3620</x:v>
      </x:c>
      <x:c r="J192" s="31" t="n">
        <x:v>33720.20385628441</x:v>
      </x:c>
      <x:c r="K192" s="31"/>
      <x:c r="L192" s="40"/>
      <x:c r="M192" s="40"/>
      <x:c r="N192" s="31" t="n">
        <x:v>363</x:v>
      </x:c>
      <x:c r="O192" s="31" t="n">
        <x:v>1231</x:v>
      </x:c>
      <x:c r="P192" s="31" t="n">
        <x:v>3.645077173030057</x:v>
      </x:c>
      <x:c r="Q192" s="40" t="n">
        <x:v>0</x:v>
      </x:c>
      <x:c r="R192" s="40" t="n">
        <x:v>0.49228269699431354</x:v>
      </x:c>
      <x:c r="S192" s="40" t="n">
        <x:v>0.008935824532900082</x:v>
      </x:c>
      <x:c r="T192" s="31" t="n">
        <x:v>45.777032929155155</x:v>
      </x:c>
      <x:c r="U192" s="31" t="n">
        <x:v>76.18</x:v>
      </x:c>
      <x:c r="V192" s="31" t="n">
        <x:v>8</x:v>
      </x:c>
      <x:c r="W192" s="31" t="n">
        <x:v>2.2099447513812156</x:v>
      </x:c>
      <x:c r="X192" s="31" t="n">
        <x:v>4.308692120227457</x:v>
      </x:c>
      <x:c r="Y192" s="40" t="n">
        <x:v>1</x:v>
      </x:c>
      <x:c r="Z192" s="40" t="n">
        <x:v>1</x:v>
      </x:c>
      <x:c r="AA192" s="40" t="n">
        <x:v>1</x:v>
      </x:c>
      <x:c r="AB192" s="31" t="n">
        <x:v>0.27711687095182186</x:v>
      </x:c>
      <x:c r="AC192" s="31" t="n">
        <x:v>9</x:v>
      </x:c>
      <x:c r="AD192" s="44" t="b">
        <x:v>1</x:v>
      </x:c>
    </x:row>
    <x:row r="193">
      <x:c r="A193" s="31" t="str">
        <x:v>36005024900</x:v>
      </x:c>
      <x:c r="B193" s="31" t="str">
        <x:v>Bronx</x:v>
      </x:c>
      <x:c r="C193" s="31" t="str">
        <x:v>024900</x:v>
      </x:c>
      <x:c r="D193" s="31" t="str">
        <x:v>BX0501</x:v>
      </x:c>
      <x:c r="E193" s="31" t="str">
        <x:v>University Heights (South)-Morris Heights</x:v>
      </x:c>
      <x:c r="F193" s="31" t="n">
        <x:v>0.06755311579610021</x:v>
      </x:c>
      <x:c r="G193" s="31" t="n">
        <x:v>40.857444004332095</x:v>
      </x:c>
      <x:c r="H193" s="31" t="n">
        <x:v>-73.91310354520392</x:v>
      </x:c>
      <x:c r="I193" s="31" t="n">
        <x:v>4</x:v>
      </x:c>
      <x:c r="J193" s="31" t="n">
        <x:v>59.212664772909214</x:v>
      </x:c>
      <x:c r="K193" s="31"/>
      <x:c r="L193" s="40"/>
      <x:c r="M193" s="40"/>
      <x:c r="N193" s="31" t="n">
        <x:v>0</x:v>
      </x:c>
      <x:c r="O193" s="31"/>
      <x:c r="P193" s="31"/>
      <x:c r="Q193" s="40"/>
      <x:c r="R193" s="40"/>
      <x:c r="S193" s="40"/>
      <x:c r="T193" s="31"/>
      <x:c r="U193" s="31"/>
      <x:c r="V193" s="31" t="n">
        <x:v>0</x:v>
      </x:c>
      <x:c r="W193" s="31" t="n">
        <x:v>0</x:v>
      </x:c>
      <x:c r="X193" s="31"/>
      <x:c r="Y193" s="40"/>
      <x:c r="Z193" s="40"/>
      <x:c r="AA193" s="40"/>
      <x:c r="AB193" s="31" t="n">
        <x:v>0.15208118539693555</x:v>
      </x:c>
      <x:c r="AC193" s="31" t="n">
        <x:v>6</x:v>
      </x:c>
      <x:c r="AD193" s="44" t="b">
        <x:v>0</x:v>
      </x:c>
    </x:row>
    <x:row r="194">
      <x:c r="A194" s="31" t="str">
        <x:v>36005025000</x:v>
      </x:c>
      <x:c r="B194" s="31" t="str">
        <x:v>Bronx</x:v>
      </x:c>
      <x:c r="C194" s="31" t="str">
        <x:v>025000</x:v>
      </x:c>
      <x:c r="D194" s="31" t="str">
        <x:v>BX1102</x:v>
      </x:c>
      <x:c r="E194" s="31" t="str">
        <x:v>Morris Park</x:v>
      </x:c>
      <x:c r="F194" s="31" t="n">
        <x:v>0.07015548220773071</x:v>
      </x:c>
      <x:c r="G194" s="31" t="n">
        <x:v>40.851706496995135</x:v>
      </x:c>
      <x:c r="H194" s="31" t="n">
        <x:v>-73.85570028424115</x:v>
      </x:c>
      <x:c r="I194" s="31" t="n">
        <x:v>2672</x:v>
      </x:c>
      <x:c r="J194" s="31" t="n">
        <x:v>38086.831077408824</x:v>
      </x:c>
      <x:c r="K194" s="31"/>
      <x:c r="L194" s="40"/>
      <x:c r="M194" s="40"/>
      <x:c r="N194" s="31" t="n">
        <x:v>432</x:v>
      </x:c>
      <x:c r="O194" s="31" t="n">
        <x:v>1051</x:v>
      </x:c>
      <x:c r="P194" s="31" t="n">
        <x:v>2.5826260704091344</x:v>
      </x:c>
      <x:c r="Q194" s="40" t="n">
        <x:v>0</x:v>
      </x:c>
      <x:c r="R194" s="40" t="n">
        <x:v>0.21883920076117983</x:v>
      </x:c>
      <x:c r="S194" s="40" t="n">
        <x:v>0.005708848715509039</x:v>
      </x:c>
      <x:c r="T194" s="31" t="n">
        <x:v>34.686099282255</x:v>
      </x:c>
      <x:c r="U194" s="31" t="n">
        <x:v>78.14</x:v>
      </x:c>
      <x:c r="V194" s="31" t="n">
        <x:v>2</x:v>
      </x:c>
      <x:c r="W194" s="31" t="n">
        <x:v>0.7485029940119761</x:v>
      </x:c>
      <x:c r="X194" s="31" t="n">
        <x:v>4.246431969552807</x:v>
      </x:c>
      <x:c r="Y194" s="40" t="n">
        <x:v>1</x:v>
      </x:c>
      <x:c r="Z194" s="40" t="n">
        <x:v>1</x:v>
      </x:c>
      <x:c r="AA194" s="40" t="n">
        <x:v>1</x:v>
      </x:c>
      <x:c r="AB194" s="31" t="n">
        <x:v>0.2253836694158175</x:v>
      </x:c>
      <x:c r="AC194" s="31" t="n">
        <x:v>7</x:v>
      </x:c>
      <x:c r="AD194" s="44" t="b">
        <x:v>1</x:v>
      </x:c>
    </x:row>
    <x:row r="195">
      <x:c r="A195" s="31" t="str">
        <x:v>36005025100</x:v>
      </x:c>
      <x:c r="B195" s="31" t="str">
        <x:v>Bronx</x:v>
      </x:c>
      <x:c r="C195" s="31" t="str">
        <x:v>025100</x:v>
      </x:c>
      <x:c r="D195" s="31" t="str">
        <x:v>BX0501</x:v>
      </x:c>
      <x:c r="E195" s="31" t="str">
        <x:v>University Heights (South)-Morris Heights</x:v>
      </x:c>
      <x:c r="F195" s="31" t="n">
        <x:v>0.08082559082228535</x:v>
      </x:c>
      <x:c r="G195" s="31" t="n">
        <x:v>40.85653130760426</x:v>
      </x:c>
      <x:c r="H195" s="31" t="n">
        <x:v>-73.90773241010561</x:v>
      </x:c>
      <x:c r="I195" s="31" t="n">
        <x:v>6924</x:v>
      </x:c>
      <x:c r="J195" s="31" t="n">
        <x:v>85665.93735422351</x:v>
      </x:c>
      <x:c r="K195" s="31"/>
      <x:c r="L195" s="40"/>
      <x:c r="M195" s="40"/>
      <x:c r="N195" s="31" t="n">
        <x:v>307</x:v>
      </x:c>
      <x:c r="O195" s="31" t="n">
        <x:v>2441</x:v>
      </x:c>
      <x:c r="P195" s="31" t="n">
        <x:v>4.818824252355592</x:v>
      </x:c>
      <x:c r="Q195" s="40" t="n">
        <x:v>0</x:v>
      </x:c>
      <x:c r="R195" s="40" t="n">
        <x:v>0.9180663662433429</x:v>
      </x:c>
      <x:c r="S195" s="40" t="n">
        <x:v>0</x:v>
      </x:c>
      <x:c r="T195" s="31" t="n">
        <x:v>54.3337535072375</x:v>
      </x:c>
      <x:c r="U195" s="31" t="n">
        <x:v>71.64034682</x:v>
      </x:c>
      <x:c r="V195" s="31" t="n">
        <x:v>23</x:v>
      </x:c>
      <x:c r="W195" s="31" t="n">
        <x:v>3.3217793183131135</x:v>
      </x:c>
      <x:c r="X195" s="31" t="n">
        <x:v>5</x:v>
      </x:c>
      <x:c r="Y195" s="40" t="n">
        <x:v>1</x:v>
      </x:c>
      <x:c r="Z195" s="40" t="n">
        <x:v>1</x:v>
      </x:c>
      <x:c r="AA195" s="40" t="n">
        <x:v>0.9832036050798852</x:v>
      </x:c>
      <x:c r="AB195" s="31" t="n">
        <x:v>0.08054930968456757</x:v>
      </x:c>
      <x:c r="AC195" s="31" t="n">
        <x:v>7</x:v>
      </x:c>
      <x:c r="AD195" s="44" t="b">
        <x:v>1</x:v>
      </x:c>
    </x:row>
    <x:row r="196">
      <x:c r="A196" s="31" t="str">
        <x:v>36005025200</x:v>
      </x:c>
      <x:c r="B196" s="31" t="str">
        <x:v>Bronx</x:v>
      </x:c>
      <x:c r="C196" s="31" t="str">
        <x:v>025200</x:v>
      </x:c>
      <x:c r="D196" s="31" t="str">
        <x:v>BX1102</x:v>
      </x:c>
      <x:c r="E196" s="31" t="str">
        <x:v>Morris Park</x:v>
      </x:c>
      <x:c r="F196" s="31" t="n">
        <x:v>0.07347117887970615</x:v>
      </x:c>
      <x:c r="G196" s="31" t="n">
        <x:v>40.847138735088386</x:v>
      </x:c>
      <x:c r="H196" s="31" t="n">
        <x:v>-73.85496777446996</x:v>
      </x:c>
      <x:c r="I196" s="31" t="n">
        <x:v>2682</x:v>
      </x:c>
      <x:c r="J196" s="31" t="n">
        <x:v>36504.11005914605</x:v>
      </x:c>
      <x:c r="K196" s="31"/>
      <x:c r="L196" s="40"/>
      <x:c r="M196" s="40"/>
      <x:c r="N196" s="31" t="n">
        <x:v>472</x:v>
      </x:c>
      <x:c r="O196" s="31" t="n">
        <x:v>985</x:v>
      </x:c>
      <x:c r="P196" s="31" t="n">
        <x:v>2.08156345177665</x:v>
      </x:c>
      <x:c r="Q196" s="40" t="n">
        <x:v>0</x:v>
      </x:c>
      <x:c r="R196" s="40" t="n">
        <x:v>0.10253807106598985</x:v>
      </x:c>
      <x:c r="S196" s="40" t="n">
        <x:v>0.03248730964467005</x:v>
      </x:c>
      <x:c r="T196" s="31" t="n">
        <x:v>28.56879957909645</x:v>
      </x:c>
      <x:c r="U196" s="31" t="n">
        <x:v>39.72</x:v>
      </x:c>
      <x:c r="V196" s="31" t="n">
        <x:v>0</x:v>
      </x:c>
      <x:c r="W196" s="31" t="n">
        <x:v>0</x:v>
      </x:c>
      <x:c r="X196" s="31" t="n">
        <x:v>4.807106598984771</x:v>
      </x:c>
      <x:c r="Y196" s="40" t="n">
        <x:v>1</x:v>
      </x:c>
      <x:c r="Z196" s="40" t="n">
        <x:v>1</x:v>
      </x:c>
      <x:c r="AA196" s="40" t="n">
        <x:v>1</x:v>
      </x:c>
      <x:c r="AB196" s="31" t="n">
        <x:v>0.12336429937861719</x:v>
      </x:c>
      <x:c r="AC196" s="31" t="n">
        <x:v>5</x:v>
      </x:c>
      <x:c r="AD196" s="44" t="b">
        <x:v>1</x:v>
      </x:c>
    </x:row>
    <x:row r="197">
      <x:c r="A197" s="31" t="str">
        <x:v>36005025300</x:v>
      </x:c>
      <x:c r="B197" s="31" t="str">
        <x:v>Bronx</x:v>
      </x:c>
      <x:c r="C197" s="31" t="str">
        <x:v>025300</x:v>
      </x:c>
      <x:c r="D197" s="31" t="str">
        <x:v>BX0701</x:v>
      </x:c>
      <x:c r="E197" s="31" t="str">
        <x:v>University Heights (North)-Fordham</x:v>
      </x:c>
      <x:c r="F197" s="31" t="n">
        <x:v>0.048153390697457533</x:v>
      </x:c>
      <x:c r="G197" s="31" t="n">
        <x:v>40.86100764950538</x:v>
      </x:c>
      <x:c r="H197" s="31" t="n">
        <x:v>-73.90455107381845</x:v>
      </x:c>
      <x:c r="I197" s="31" t="n">
        <x:v>6234</x:v>
      </x:c>
      <x:c r="J197" s="31" t="n">
        <x:v>129461.28838917155</x:v>
      </x:c>
      <x:c r="K197" s="31"/>
      <x:c r="L197" s="40"/>
      <x:c r="M197" s="40"/>
      <x:c r="N197" s="31" t="n">
        <x:v>132</x:v>
      </x:c>
      <x:c r="O197" s="31" t="n">
        <x:v>2040</x:v>
      </x:c>
      <x:c r="P197" s="31" t="n">
        <x:v>5.069730392156862</x:v>
      </x:c>
      <x:c r="Q197" s="40" t="n">
        <x:v>0</x:v>
      </x:c>
      <x:c r="R197" s="40" t="n">
        <x:v>0.9828431372549019</x:v>
      </x:c>
      <x:c r="S197" s="40" t="n">
        <x:v>0</x:v>
      </x:c>
      <x:c r="T197" s="31" t="n">
        <x:v>59.0128941275405</x:v>
      </x:c>
      <x:c r="U197" s="31" t="n">
        <x:v>75.42</x:v>
      </x:c>
      <x:c r="V197" s="31" t="n">
        <x:v>12</x:v>
      </x:c>
      <x:c r="W197" s="31" t="n">
        <x:v>1.9249278152069298</x:v>
      </x:c>
      <x:c r="X197" s="31" t="n">
        <x:v>4.009803921568627</x:v>
      </x:c>
      <x:c r="Y197" s="40" t="n">
        <x:v>1</x:v>
      </x:c>
      <x:c r="Z197" s="40" t="n">
        <x:v>1</x:v>
      </x:c>
      <x:c r="AA197" s="40" t="n">
        <x:v>0.9985294117647059</x:v>
      </x:c>
      <x:c r="AB197" s="31" t="n">
        <x:v>0.12381837533903162</x:v>
      </x:c>
      <x:c r="AC197" s="31" t="n">
        <x:v>6</x:v>
      </x:c>
      <x:c r="AD197" s="44" t="b">
        <x:v>1</x:v>
      </x:c>
    </x:row>
    <x:row r="198">
      <x:c r="A198" s="31" t="str">
        <x:v>36005025400</x:v>
      </x:c>
      <x:c r="B198" s="31" t="str">
        <x:v>Bronx</x:v>
      </x:c>
      <x:c r="C198" s="31" t="str">
        <x:v>025400</x:v>
      </x:c>
      <x:c r="D198" s="31" t="str">
        <x:v>BX1102</x:v>
      </x:c>
      <x:c r="E198" s="31" t="str">
        <x:v>Morris Park</x:v>
      </x:c>
      <x:c r="F198" s="31" t="n">
        <x:v>0.06560314461446855</x:v>
      </x:c>
      <x:c r="G198" s="31" t="n">
        <x:v>40.84849843975209</x:v>
      </x:c>
      <x:c r="H198" s="31" t="n">
        <x:v>-73.85247725923429</x:v>
      </x:c>
      <x:c r="I198" s="31" t="n">
        <x:v>2163</x:v>
      </x:c>
      <x:c r="J198" s="31" t="n">
        <x:v>32970.98047222203</x:v>
      </x:c>
      <x:c r="K198" s="31"/>
      <x:c r="L198" s="40"/>
      <x:c r="M198" s="40"/>
      <x:c r="N198" s="31" t="n">
        <x:v>374</x:v>
      </x:c>
      <x:c r="O198" s="31" t="n">
        <x:v>858</x:v>
      </x:c>
      <x:c r="P198" s="31" t="n">
        <x:v>2.37178738317757</x:v>
      </x:c>
      <x:c r="Q198" s="40" t="n">
        <x:v>0</x:v>
      </x:c>
      <x:c r="R198" s="40" t="n">
        <x:v>0.1794871794871795</x:v>
      </x:c>
      <x:c r="S198" s="40" t="n">
        <x:v>0.018648018648018648</x:v>
      </x:c>
      <x:c r="T198" s="31" t="n">
        <x:v>31.066179998606557</x:v>
      </x:c>
      <x:c r="U198" s="31" t="n">
        <x:v>64.31</x:v>
      </x:c>
      <x:c r="V198" s="31" t="n">
        <x:v>2</x:v>
      </x:c>
      <x:c r="W198" s="31" t="n">
        <x:v>0.9246417013407304</x:v>
      </x:c>
      <x:c r="X198" s="31" t="n">
        <x:v>4</x:v>
      </x:c>
      <x:c r="Y198" s="40" t="n">
        <x:v>1</x:v>
      </x:c>
      <x:c r="Z198" s="40" t="n">
        <x:v>1</x:v>
      </x:c>
      <x:c r="AA198" s="40" t="n">
        <x:v>0.9953379953379954</x:v>
      </x:c>
      <x:c r="AB198" s="31" t="n">
        <x:v>0.14420357927997615</x:v>
      </x:c>
      <x:c r="AC198" s="31" t="n">
        <x:v>5</x:v>
      </x:c>
      <x:c r="AD198" s="44" t="b">
        <x:v>1</x:v>
      </x:c>
    </x:row>
    <x:row r="199">
      <x:c r="A199" s="31" t="str">
        <x:v>36005025500</x:v>
      </x:c>
      <x:c r="B199" s="31" t="str">
        <x:v>Bronx</x:v>
      </x:c>
      <x:c r="C199" s="31" t="str">
        <x:v>025500</x:v>
      </x:c>
      <x:c r="D199" s="31" t="str">
        <x:v>BX0701</x:v>
      </x:c>
      <x:c r="E199" s="31" t="str">
        <x:v>University Heights (North)-Fordham</x:v>
      </x:c>
      <x:c r="F199" s="31" t="n">
        <x:v>0.0647412398430326</x:v>
      </x:c>
      <x:c r="G199" s="31" t="n">
        <x:v>40.86054332666179</x:v>
      </x:c>
      <x:c r="H199" s="31" t="n">
        <x:v>-73.90893838004324</x:v>
      </x:c>
      <x:c r="I199" s="31" t="n">
        <x:v>8092</x:v>
      </x:c>
      <x:c r="J199" s="31" t="n">
        <x:v>124989.88310417498</x:v>
      </x:c>
      <x:c r="K199" s="31"/>
      <x:c r="L199" s="40"/>
      <x:c r="M199" s="40"/>
      <x:c r="N199" s="31" t="n">
        <x:v>129</x:v>
      </x:c>
      <x:c r="O199" s="31" t="n">
        <x:v>2251</x:v>
      </x:c>
      <x:c r="P199" s="31" t="n">
        <x:v>5.5014438027543315</x:v>
      </x:c>
      <x:c r="Q199" s="40" t="n">
        <x:v>0.016881386050644157</x:v>
      </x:c>
      <x:c r="R199" s="40" t="n">
        <x:v>0.9533540648600622</x:v>
      </x:c>
      <x:c r="S199" s="40" t="n">
        <x:v>0.000444247001332741</x:v>
      </x:c>
      <x:c r="T199" s="31" t="n">
        <x:v>63.99719515161692</x:v>
      </x:c>
      <x:c r="U199" s="31" t="n">
        <x:v>100.42</x:v>
      </x:c>
      <x:c r="V199" s="31" t="n">
        <x:v>28</x:v>
      </x:c>
      <x:c r="W199" s="31" t="n">
        <x:v>3.4602076124567476</x:v>
      </x:c>
      <x:c r="X199" s="31" t="n">
        <x:v>4.186583740559751</x:v>
      </x:c>
      <x:c r="Y199" s="40" t="n">
        <x:v>1</x:v>
      </x:c>
      <x:c r="Z199" s="40" t="n">
        <x:v>1</x:v>
      </x:c>
      <x:c r="AA199" s="40" t="n">
        <x:v>0.9973345179920036</x:v>
      </x:c>
      <x:c r="AB199" s="31" t="n">
        <x:v>0.10415217594100745</x:v>
      </x:c>
      <x:c r="AC199" s="31" t="n">
        <x:v>6</x:v>
      </x:c>
      <x:c r="AD199" s="44" t="b">
        <x:v>1</x:v>
      </x:c>
    </x:row>
    <x:row r="200">
      <x:c r="A200" s="31" t="str">
        <x:v>36005025600</x:v>
      </x:c>
      <x:c r="B200" s="31" t="str">
        <x:v>Bronx</x:v>
      </x:c>
      <x:c r="C200" s="31" t="str">
        <x:v>025600</x:v>
      </x:c>
      <x:c r="D200" s="31" t="str">
        <x:v>BX1102</x:v>
      </x:c>
      <x:c r="E200" s="31" t="str">
        <x:v>Morris Park</x:v>
      </x:c>
      <x:c r="F200" s="31" t="n">
        <x:v>0.07309826677140725</x:v>
      </x:c>
      <x:c r="G200" s="31" t="n">
        <x:v>40.844390980442576</x:v>
      </x:c>
      <x:c r="H200" s="31" t="n">
        <x:v>-73.85021873422</x:v>
      </x:c>
      <x:c r="I200" s="31" t="n">
        <x:v>1908</x:v>
      </x:c>
      <x:c r="J200" s="31" t="n">
        <x:v>26101.850074868307</x:v>
      </x:c>
      <x:c r="K200" s="31"/>
      <x:c r="L200" s="40"/>
      <x:c r="M200" s="40"/>
      <x:c r="N200" s="31" t="n">
        <x:v>250</x:v>
      </x:c>
      <x:c r="O200" s="31" t="n">
        <x:v>654</x:v>
      </x:c>
      <x:c r="P200" s="31" t="n">
        <x:v>3.6081804281345566</x:v>
      </x:c>
      <x:c r="Q200" s="40" t="n">
        <x:v>0</x:v>
      </x:c>
      <x:c r="R200" s="40" t="n">
        <x:v>0.463302752293578</x:v>
      </x:c>
      <x:c r="S200" s="40" t="n">
        <x:v>0.00764525993883792</x:v>
      </x:c>
      <x:c r="T200" s="31" t="n">
        <x:v>42.848237690733946</x:v>
      </x:c>
      <x:c r="U200" s="31" t="n">
        <x:v>67.19</x:v>
      </x:c>
      <x:c r="V200" s="31" t="n">
        <x:v>3</x:v>
      </x:c>
      <x:c r="W200" s="31" t="n">
        <x:v>1.5723270440251573</x:v>
      </x:c>
      <x:c r="X200" s="31" t="n">
        <x:v>4.021406727828746</x:v>
      </x:c>
      <x:c r="Y200" s="40" t="n">
        <x:v>1</x:v>
      </x:c>
      <x:c r="Z200" s="40" t="n">
        <x:v>1</x:v>
      </x:c>
      <x:c r="AA200" s="40" t="n">
        <x:v>1</x:v>
      </x:c>
      <x:c r="AB200" s="31" t="n">
        <x:v>0.2941577224480935</x:v>
      </x:c>
      <x:c r="AC200" s="31" t="n">
        <x:v>8</x:v>
      </x:c>
      <x:c r="AD200" s="44" t="b">
        <x:v>1</x:v>
      </x:c>
    </x:row>
    <x:row r="201">
      <x:c r="A201" s="31" t="str">
        <x:v>36005025700</x:v>
      </x:c>
      <x:c r="B201" s="31" t="str">
        <x:v>Bronx</x:v>
      </x:c>
      <x:c r="C201" s="31" t="str">
        <x:v>025700</x:v>
      </x:c>
      <x:c r="D201" s="31" t="str">
        <x:v>BX0701</x:v>
      </x:c>
      <x:c r="E201" s="31" t="str">
        <x:v>University Heights (North)-Fordham</x:v>
      </x:c>
      <x:c r="F201" s="31" t="n">
        <x:v>0.060066850173969816</x:v>
      </x:c>
      <x:c r="G201" s="31" t="n">
        <x:v>40.86011274469492</x:v>
      </x:c>
      <x:c r="H201" s="31" t="n">
        <x:v>-73.91430910673168</x:v>
      </x:c>
      <x:c r="I201" s="31" t="n">
        <x:v>1809</x:v>
      </x:c>
      <x:c r="J201" s="31" t="n">
        <x:v>30116.445173346823</x:v>
      </x:c>
      <x:c r="K201" s="31"/>
      <x:c r="L201" s="40"/>
      <x:c r="M201" s="40"/>
      <x:c r="N201" s="31" t="n">
        <x:v>61</x:v>
      </x:c>
      <x:c r="O201" s="31" t="n">
        <x:v>676</x:v>
      </x:c>
      <x:c r="P201" s="31" t="n">
        <x:v>5.418026706231454</x:v>
      </x:c>
      <x:c r="Q201" s="40" t="n">
        <x:v>0</x:v>
      </x:c>
      <x:c r="R201" s="40" t="n">
        <x:v>0.9408284023668639</x:v>
      </x:c>
      <x:c r="S201" s="40" t="n">
        <x:v>0</x:v>
      </x:c>
      <x:c r="T201" s="31" t="n">
        <x:v>68.44702899800296</x:v>
      </x:c>
      <x:c r="U201" s="31" t="n">
        <x:v>86.5</x:v>
      </x:c>
      <x:c r="V201" s="31" t="n">
        <x:v>9</x:v>
      </x:c>
      <x:c r="W201" s="31" t="n">
        <x:v>4.975124378109452</x:v>
      </x:c>
      <x:c r="X201" s="31" t="n">
        <x:v>4</x:v>
      </x:c>
      <x:c r="Y201" s="40" t="n">
        <x:v>1</x:v>
      </x:c>
      <x:c r="Z201" s="40" t="n">
        <x:v>1</x:v>
      </x:c>
      <x:c r="AA201" s="40" t="n">
        <x:v>1</x:v>
      </x:c>
      <x:c r="AB201" s="31" t="n">
        <x:v>0.24214568809518378</x:v>
      </x:c>
      <x:c r="AC201" s="31" t="n">
        <x:v>5</x:v>
      </x:c>
      <x:c r="AD201" s="44" t="b">
        <x:v>1</x:v>
      </x:c>
    </x:row>
    <x:row r="202">
      <x:c r="A202" s="31" t="str">
        <x:v>36005026100</x:v>
      </x:c>
      <x:c r="B202" s="31" t="str">
        <x:v>Bronx</x:v>
      </x:c>
      <x:c r="C202" s="31" t="str">
        <x:v>026100</x:v>
      </x:c>
      <x:c r="D202" s="31" t="str">
        <x:v>BX0701</x:v>
      </x:c>
      <x:c r="E202" s="31" t="str">
        <x:v>University Heights (North)-Fordham</x:v>
      </x:c>
      <x:c r="F202" s="31" t="n">
        <x:v>0.0675436755577795</x:v>
      </x:c>
      <x:c r="G202" s="31" t="n">
        <x:v>40.86666635937256</x:v>
      </x:c>
      <x:c r="H202" s="31" t="n">
        <x:v>-73.90588797617352</x:v>
      </x:c>
      <x:c r="I202" s="31" t="n">
        <x:v>2060</x:v>
      </x:c>
      <x:c r="J202" s="31" t="n">
        <x:v>30498.784423388322</x:v>
      </x:c>
      <x:c r="K202" s="31"/>
      <x:c r="L202" s="40"/>
      <x:c r="M202" s="40"/>
      <x:c r="N202" s="31" t="n">
        <x:v>1</x:v>
      </x:c>
      <x:c r="O202" s="31" t="n">
        <x:v>1116</x:v>
      </x:c>
      <x:c r="P202" s="31" t="n">
        <x:v>16</x:v>
      </x:c>
      <x:c r="Q202" s="40" t="n">
        <x:v>1</x:v>
      </x:c>
      <x:c r="R202" s="40" t="n">
        <x:v>0</x:v>
      </x:c>
      <x:c r="S202" s="40" t="n">
        <x:v>1</x:v>
      </x:c>
      <x:c r="T202" s="31" t="n">
        <x:v>157.98</x:v>
      </x:c>
      <x:c r="U202" s="31" t="n">
        <x:v>157.98</x:v>
      </x:c>
      <x:c r="V202" s="31" t="n">
        <x:v>18</x:v>
      </x:c>
      <x:c r="W202" s="31" t="n">
        <x:v>8.737864077669903</x:v>
      </x:c>
      <x:c r="X202" s="31" t="n">
        <x:v>4</x:v>
      </x:c>
      <x:c r="Y202" s="40" t="n">
        <x:v>1</x:v>
      </x:c>
      <x:c r="Z202" s="40" t="n">
        <x:v>1</x:v>
      </x:c>
      <x:c r="AA202" s="40" t="n">
        <x:v>1</x:v>
      </x:c>
      <x:c r="AB202" s="31" t="n">
        <x:v>0.25181103934962407</x:v>
      </x:c>
      <x:c r="AC202" s="31" t="n">
        <x:v>4</x:v>
      </x:c>
      <x:c r="AD202" s="44" t="b">
        <x:v>1</x:v>
      </x:c>
    </x:row>
    <x:row r="203">
      <x:c r="A203" s="31" t="str">
        <x:v>36005026300</x:v>
      </x:c>
      <x:c r="B203" s="31" t="str">
        <x:v>Bronx</x:v>
      </x:c>
      <x:c r="C203" s="31" t="str">
        <x:v>026300</x:v>
      </x:c>
      <x:c r="D203" s="31" t="str">
        <x:v>BX0701</x:v>
      </x:c>
      <x:c r="E203" s="31" t="str">
        <x:v>University Heights (North)-Fordham</x:v>
      </x:c>
      <x:c r="F203" s="31" t="n">
        <x:v>0.06161091977624254</x:v>
      </x:c>
      <x:c r="G203" s="31" t="n">
        <x:v>40.864774438840016</x:v>
      </x:c>
      <x:c r="H203" s="31" t="n">
        <x:v>-73.90446398662651</x:v>
      </x:c>
      <x:c r="I203" s="31" t="n">
        <x:v>6788</x:v>
      </x:c>
      <x:c r="J203" s="31" t="n">
        <x:v>110175.27452361594</x:v>
      </x:c>
      <x:c r="K203" s="31"/>
      <x:c r="L203" s="40"/>
      <x:c r="M203" s="40"/>
      <x:c r="N203" s="31" t="n">
        <x:v>114</x:v>
      </x:c>
      <x:c r="O203" s="31" t="n">
        <x:v>2027</x:v>
      </x:c>
      <x:c r="P203" s="31" t="n">
        <x:v>4.975579674395658</x:v>
      </x:c>
      <x:c r="Q203" s="40" t="n">
        <x:v>0</x:v>
      </x:c>
      <x:c r="R203" s="40" t="n">
        <x:v>0.9452392698569314</x:v>
      </x:c>
      <x:c r="S203" s="40" t="n">
        <x:v>0.000986679822397632</x:v>
      </x:c>
      <x:c r="T203" s="31" t="n">
        <x:v>58.63126547181549</x:v>
      </x:c>
      <x:c r="U203" s="31" t="n">
        <x:v>74.47831203</x:v>
      </x:c>
      <x:c r="V203" s="31" t="n">
        <x:v>8</x:v>
      </x:c>
      <x:c r="W203" s="31" t="n">
        <x:v>1.1785503830288744</x:v>
      </x:c>
      <x:c r="X203" s="31" t="n">
        <x:v>4</x:v>
      </x:c>
      <x:c r="Y203" s="40" t="n">
        <x:v>1</x:v>
      </x:c>
      <x:c r="Z203" s="40" t="n">
        <x:v>1</x:v>
      </x:c>
      <x:c r="AA203" s="40" t="n">
        <x:v>1</x:v>
      </x:c>
      <x:c r="AB203" s="31" t="n">
        <x:v>0.2267847302435989</x:v>
      </x:c>
      <x:c r="AC203" s="31" t="n">
        <x:v>7</x:v>
      </x:c>
      <x:c r="AD203" s="44" t="b">
        <x:v>1</x:v>
      </x:c>
    </x:row>
    <x:row r="204">
      <x:c r="A204" s="31" t="str">
        <x:v>36005026400</x:v>
      </x:c>
      <x:c r="B204" s="31" t="str">
        <x:v>Bronx</x:v>
      </x:c>
      <x:c r="C204" s="31" t="str">
        <x:v>026400</x:v>
      </x:c>
      <x:c r="D204" s="31" t="str">
        <x:v>BX1002</x:v>
      </x:c>
      <x:c r="E204" s="31" t="str">
        <x:v>Throgs Neck-Schuylerville</x:v>
      </x:c>
      <x:c r="F204" s="31" t="n">
        <x:v>0.16495940338685147</x:v>
      </x:c>
      <x:c r="G204" s="31" t="n">
        <x:v>40.84178083394854</x:v>
      </x:c>
      <x:c r="H204" s="31" t="n">
        <x:v>-73.8320989739378</x:v>
      </x:c>
      <x:c r="I204" s="31" t="n">
        <x:v>5693</x:v>
      </x:c>
      <x:c r="J204" s="31" t="n">
        <x:v>34511.521520535374</x:v>
      </x:c>
      <x:c r="K204" s="31"/>
      <x:c r="L204" s="40"/>
      <x:c r="M204" s="40"/>
      <x:c r="N204" s="31" t="n">
        <x:v>923</x:v>
      </x:c>
      <x:c r="O204" s="31" t="n">
        <x:v>2161</x:v>
      </x:c>
      <x:c r="P204" s="31" t="n">
        <x:v>2.7414768518518517</x:v>
      </x:c>
      <x:c r="Q204" s="40" t="n">
        <x:v>0</x:v>
      </x:c>
      <x:c r="R204" s="40" t="n">
        <x:v>0.2910689495603887</x:v>
      </x:c>
      <x:c r="S204" s="40" t="n">
        <x:v>0.01156871818602499</x:v>
      </x:c>
      <x:c r="T204" s="31" t="n">
        <x:v>35.027486932223766</x:v>
      </x:c>
      <x:c r="U204" s="31" t="n">
        <x:v>100.73938395</x:v>
      </x:c>
      <x:c r="V204" s="31" t="n">
        <x:v>4</x:v>
      </x:c>
      <x:c r="W204" s="31" t="n">
        <x:v>0.7026172492534692</x:v>
      </x:c>
      <x:c r="X204" s="31" t="n">
        <x:v>4</x:v>
      </x:c>
      <x:c r="Y204" s="40" t="n">
        <x:v>1</x:v>
      </x:c>
      <x:c r="Z204" s="40" t="n">
        <x:v>1</x:v>
      </x:c>
      <x:c r="AA204" s="40" t="n">
        <x:v>0.996760758907913</x:v>
      </x:c>
      <x:c r="AB204" s="31" t="n">
        <x:v>0.2809526609675059</x:v>
      </x:c>
      <x:c r="AC204" s="31" t="n">
        <x:v>7</x:v>
      </x:c>
      <x:c r="AD204" s="44" t="b">
        <x:v>1</x:v>
      </x:c>
    </x:row>
    <x:row r="205">
      <x:c r="A205" s="31" t="str">
        <x:v>36005026500</x:v>
      </x:c>
      <x:c r="B205" s="31" t="str">
        <x:v>Bronx</x:v>
      </x:c>
      <x:c r="C205" s="31" t="str">
        <x:v>026500</x:v>
      </x:c>
      <x:c r="D205" s="31" t="str">
        <x:v>BX0701</x:v>
      </x:c>
      <x:c r="E205" s="31" t="str">
        <x:v>University Heights (North)-Fordham</x:v>
      </x:c>
      <x:c r="F205" s="31" t="n">
        <x:v>0.07797249076776286</x:v>
      </x:c>
      <x:c r="G205" s="31" t="n">
        <x:v>40.866218231988256</x:v>
      </x:c>
      <x:c r="H205" s="31" t="n">
        <x:v>-73.90024069014171</x:v>
      </x:c>
      <x:c r="I205" s="31" t="n">
        <x:v>7166</x:v>
      </x:c>
      <x:c r="J205" s="31" t="n">
        <x:v>91904.20787433315</x:v>
      </x:c>
      <x:c r="K205" s="31"/>
      <x:c r="L205" s="40"/>
      <x:c r="M205" s="40"/>
      <x:c r="N205" s="31" t="n">
        <x:v>164</x:v>
      </x:c>
      <x:c r="O205" s="31" t="n">
        <x:v>2366</x:v>
      </x:c>
      <x:c r="P205" s="31" t="n">
        <x:v>5.106297548605241</x:v>
      </x:c>
      <x:c r="Q205" s="40" t="n">
        <x:v>0</x:v>
      </x:c>
      <x:c r="R205" s="40" t="n">
        <x:v>0.9192730346576501</x:v>
      </x:c>
      <x:c r="S205" s="40" t="n">
        <x:v>0.00042265426880811494</x:v>
      </x:c>
      <x:c r="T205" s="31" t="n">
        <x:v>59.001734202904856</x:v>
      </x:c>
      <x:c r="U205" s="31" t="n">
        <x:v>85</x:v>
      </x:c>
      <x:c r="V205" s="31" t="n">
        <x:v>26</x:v>
      </x:c>
      <x:c r="W205" s="31" t="n">
        <x:v>3.628244487859336</x:v>
      </x:c>
      <x:c r="X205" s="31" t="n">
        <x:v>4</x:v>
      </x:c>
      <x:c r="Y205" s="40" t="n">
        <x:v>1</x:v>
      </x:c>
      <x:c r="Z205" s="40" t="n">
        <x:v>1</x:v>
      </x:c>
      <x:c r="AA205" s="40" t="n">
        <x:v>0.9995773457311918</x:v>
      </x:c>
      <x:c r="AB205" s="31" t="n">
        <x:v>0.20163371156738655</x:v>
      </x:c>
      <x:c r="AC205" s="31" t="n">
        <x:v>8</x:v>
      </x:c>
      <x:c r="AD205" s="44" t="b">
        <x:v>1</x:v>
      </x:c>
    </x:row>
    <x:row r="206">
      <x:c r="A206" s="31" t="str">
        <x:v>36005026601</x:v>
      </x:c>
      <x:c r="B206" s="31" t="str">
        <x:v>Bronx</x:v>
      </x:c>
      <x:c r="C206" s="31" t="str">
        <x:v>026601</x:v>
      </x:c>
      <x:c r="D206" s="31" t="str">
        <x:v>BX1003</x:v>
      </x:c>
      <x:c r="E206" s="31" t="str">
        <x:v>Pelham Bay-Country Club-City Island</x:v>
      </x:c>
      <x:c r="F206" s="31" t="n">
        <x:v>0.06574825867553374</x:v>
      </x:c>
      <x:c r="G206" s="31" t="n">
        <x:v>40.84742901536609</x:v>
      </x:c>
      <x:c r="H206" s="31" t="n">
        <x:v>-73.83413223169187</x:v>
      </x:c>
      <x:c r="I206" s="31" t="n">
        <x:v>3328</x:v>
      </x:c>
      <x:c r="J206" s="31" t="n">
        <x:v>50617.310131719365</x:v>
      </x:c>
      <x:c r="K206" s="31"/>
      <x:c r="L206" s="40"/>
      <x:c r="M206" s="40"/>
      <x:c r="N206" s="31" t="n">
        <x:v>274</x:v>
      </x:c>
      <x:c r="O206" s="31" t="n">
        <x:v>1461</x:v>
      </x:c>
      <x:c r="P206" s="31" t="n">
        <x:v>7.274811772758385</x:v>
      </x:c>
      <x:c r="Q206" s="40" t="n">
        <x:v>0.3073237508555784</x:v>
      </x:c>
      <x:c r="R206" s="40" t="n">
        <x:v>0.4127310061601643</x:v>
      </x:c>
      <x:c r="S206" s="40" t="n">
        <x:v>0.004106776180698152</x:v>
      </x:c>
      <x:c r="T206" s="31" t="n">
        <x:v>72.076471594846</x:v>
      </x:c>
      <x:c r="U206" s="31" t="n">
        <x:v>157.3</x:v>
      </x:c>
      <x:c r="V206" s="31" t="n">
        <x:v>13</x:v>
      </x:c>
      <x:c r="W206" s="31" t="n">
        <x:v>3.90625</x:v>
      </x:c>
      <x:c r="X206" s="31" t="n">
        <x:v>4</x:v>
      </x:c>
      <x:c r="Y206" s="40" t="n">
        <x:v>1</x:v>
      </x:c>
      <x:c r="Z206" s="40" t="n">
        <x:v>1</x:v>
      </x:c>
      <x:c r="AA206" s="40" t="n">
        <x:v>1</x:v>
      </x:c>
      <x:c r="AB206" s="31" t="n">
        <x:v>0.22710353830525426</x:v>
      </x:c>
      <x:c r="AC206" s="31" t="n">
        <x:v>4</x:v>
      </x:c>
      <x:c r="AD206" s="44" t="b">
        <x:v>1</x:v>
      </x:c>
    </x:row>
    <x:row r="207">
      <x:c r="A207" s="31" t="str">
        <x:v>36005026602</x:v>
      </x:c>
      <x:c r="B207" s="31" t="str">
        <x:v>Bronx</x:v>
      </x:c>
      <x:c r="C207" s="31" t="str">
        <x:v>026602</x:v>
      </x:c>
      <x:c r="D207" s="31" t="str">
        <x:v>BX1003</x:v>
      </x:c>
      <x:c r="E207" s="31" t="str">
        <x:v>Pelham Bay-Country Club-City Island</x:v>
      </x:c>
      <x:c r="F207" s="31" t="n">
        <x:v>0.1172835209753788</x:v>
      </x:c>
      <x:c r="G207" s="31" t="n">
        <x:v>40.84598234993838</x:v>
      </x:c>
      <x:c r="H207" s="31" t="n">
        <x:v>-73.83061298661353</x:v>
      </x:c>
      <x:c r="I207" s="31" t="n">
        <x:v>6409</x:v>
      </x:c>
      <x:c r="J207" s="31" t="n">
        <x:v>54645.358075031145</x:v>
      </x:c>
      <x:c r="K207" s="31"/>
      <x:c r="L207" s="40"/>
      <x:c r="M207" s="40"/>
      <x:c r="N207" s="31" t="n">
        <x:v>540</x:v>
      </x:c>
      <x:c r="O207" s="31" t="n">
        <x:v>2894</x:v>
      </x:c>
      <x:c r="P207" s="31" t="n">
        <x:v>5.692812715964064</x:v>
      </x:c>
      <x:c r="Q207" s="40" t="n">
        <x:v>0.16516931582584657</x:v>
      </x:c>
      <x:c r="R207" s="40" t="n">
        <x:v>0.5352453351762266</x:v>
      </x:c>
      <x:c r="S207" s="40" t="n">
        <x:v>0.00414651002073255</x:v>
      </x:c>
      <x:c r="T207" s="31" t="n">
        <x:v>59.175958510314445</x:v>
      </x:c>
      <x:c r="U207" s="31" t="n">
        <x:v>132.74083627</x:v>
      </x:c>
      <x:c r="V207" s="31" t="n">
        <x:v>25</x:v>
      </x:c>
      <x:c r="W207" s="31" t="n">
        <x:v>3.900764549851771</x:v>
      </x:c>
      <x:c r="X207" s="31" t="n">
        <x:v>4</x:v>
      </x:c>
      <x:c r="Y207" s="40" t="n">
        <x:v>1</x:v>
      </x:c>
      <x:c r="Z207" s="40" t="n">
        <x:v>1</x:v>
      </x:c>
      <x:c r="AA207" s="40" t="n">
        <x:v>1</x:v>
      </x:c>
      <x:c r="AB207" s="31" t="n">
        <x:v>0.06164053272514952</x:v>
      </x:c>
      <x:c r="AC207" s="31" t="n">
        <x:v>5</x:v>
      </x:c>
      <x:c r="AD207" s="44" t="b">
        <x:v>1</x:v>
      </x:c>
    </x:row>
    <x:row r="208">
      <x:c r="A208" s="31" t="str">
        <x:v>36005026701</x:v>
      </x:c>
      <x:c r="B208" s="31" t="str">
        <x:v>Bronx</x:v>
      </x:c>
      <x:c r="C208" s="31" t="str">
        <x:v>026701</x:v>
      </x:c>
      <x:c r="D208" s="31" t="str">
        <x:v>BX0801</x:v>
      </x:c>
      <x:c r="E208" s="31" t="str">
        <x:v>Kingsbridge Heights-Van Cortlandt Village</x:v>
      </x:c>
      <x:c r="F208" s="31" t="n">
        <x:v>0.026645774860357838</x:v>
      </x:c>
      <x:c r="G208" s="31" t="n">
        <x:v>40.869351227240315</x:v>
      </x:c>
      <x:c r="H208" s="31" t="n">
        <x:v>-73.901226553094</x:v>
      </x:c>
      <x:c r="I208" s="31" t="n">
        <x:v>3983</x:v>
      </x:c>
      <x:c r="J208" s="31" t="n">
        <x:v>149479.60871371374</x:v>
      </x:c>
      <x:c r="K208" s="31"/>
      <x:c r="L208" s="40"/>
      <x:c r="M208" s="40"/>
      <x:c r="N208" s="31" t="n">
        <x:v>45</x:v>
      </x:c>
      <x:c r="O208" s="31" t="n">
        <x:v>1407</x:v>
      </x:c>
      <x:c r="P208" s="31" t="n">
        <x:v>5.466773276474769</x:v>
      </x:c>
      <x:c r="Q208" s="40" t="n">
        <x:v>0</x:v>
      </x:c>
      <x:c r="R208" s="40" t="n">
        <x:v>0.9708599857853589</x:v>
      </x:c>
      <x:c r="S208" s="40" t="n">
        <x:v>0</x:v>
      </x:c>
      <x:c r="T208" s="31" t="n">
        <x:v>63.527863862594174</x:v>
      </x:c>
      <x:c r="U208" s="31" t="n">
        <x:v>73.51610075</x:v>
      </x:c>
      <x:c r="V208" s="31" t="n">
        <x:v>13</x:v>
      </x:c>
      <x:c r="W208" s="31" t="n">
        <x:v>3.2638714536781324</x:v>
      </x:c>
      <x:c r="X208" s="31" t="n">
        <x:v>4</x:v>
      </x:c>
      <x:c r="Y208" s="40" t="n">
        <x:v>1</x:v>
      </x:c>
      <x:c r="Z208" s="40" t="n">
        <x:v>1</x:v>
      </x:c>
      <x:c r="AA208" s="40" t="n">
        <x:v>1</x:v>
      </x:c>
      <x:c r="AB208" s="31" t="n">
        <x:v>0.021141418649307474</x:v>
      </x:c>
      <x:c r="AC208" s="31" t="n">
        <x:v>7</x:v>
      </x:c>
      <x:c r="AD208" s="44" t="b">
        <x:v>1</x:v>
      </x:c>
    </x:row>
    <x:row r="209">
      <x:c r="A209" s="31" t="str">
        <x:v>36005026702</x:v>
      </x:c>
      <x:c r="B209" s="31" t="str">
        <x:v>Bronx</x:v>
      </x:c>
      <x:c r="C209" s="31" t="str">
        <x:v>026702</x:v>
      </x:c>
      <x:c r="D209" s="31" t="str">
        <x:v>BX0801</x:v>
      </x:c>
      <x:c r="E209" s="31" t="str">
        <x:v>Kingsbridge Heights-Van Cortlandt Village</x:v>
      </x:c>
      <x:c r="F209" s="31" t="n">
        <x:v>0.0652578648971964</x:v>
      </x:c>
      <x:c r="G209" s="31" t="n">
        <x:v>40.87228777267208</x:v>
      </x:c>
      <x:c r="H209" s="31" t="n">
        <x:v>-73.90011688346763</x:v>
      </x:c>
      <x:c r="I209" s="31" t="n">
        <x:v>7022</x:v>
      </x:c>
      <x:c r="J209" s="31" t="n">
        <x:v>107603.88822193413</x:v>
      </x:c>
      <x:c r="K209" s="31"/>
      <x:c r="L209" s="40"/>
      <x:c r="M209" s="40"/>
      <x:c r="N209" s="31" t="n">
        <x:v>146</x:v>
      </x:c>
      <x:c r="O209" s="31" t="n">
        <x:v>2646</x:v>
      </x:c>
      <x:c r="P209" s="31" t="n">
        <x:v>5.343537414965986</x:v>
      </x:c>
      <x:c r="Q209" s="40" t="n">
        <x:v>0</x:v>
      </x:c>
      <x:c r="R209" s="40" t="n">
        <x:v>0.9225245653817082</x:v>
      </x:c>
      <x:c r="S209" s="40" t="n">
        <x:v>0.018518518518518517</x:v>
      </x:c>
      <x:c r="T209" s="31" t="n">
        <x:v>59.754064459206056</x:v>
      </x:c>
      <x:c r="U209" s="31" t="n">
        <x:v>84.01</x:v>
      </x:c>
      <x:c r="V209" s="31" t="n">
        <x:v>42</x:v>
      </x:c>
      <x:c r="W209" s="31" t="n">
        <x:v>5.981201936770152</x:v>
      </x:c>
      <x:c r="X209" s="31" t="n">
        <x:v>4</x:v>
      </x:c>
      <x:c r="Y209" s="40" t="n">
        <x:v>1</x:v>
      </x:c>
      <x:c r="Z209" s="40" t="n">
        <x:v>1</x:v>
      </x:c>
      <x:c r="AA209" s="40" t="n">
        <x:v>0.9996220710506425</x:v>
      </x:c>
      <x:c r="AB209" s="31" t="n">
        <x:v>0.04358747023610919</x:v>
      </x:c>
      <x:c r="AC209" s="31" t="n">
        <x:v>4</x:v>
      </x:c>
      <x:c r="AD209" s="44" t="b">
        <x:v>1</x:v>
      </x:c>
    </x:row>
    <x:row r="210">
      <x:c r="A210" s="31" t="str">
        <x:v>36005026900</x:v>
      </x:c>
      <x:c r="B210" s="31" t="str">
        <x:v>Bronx</x:v>
      </x:c>
      <x:c r="C210" s="31" t="str">
        <x:v>026900</x:v>
      </x:c>
      <x:c r="D210" s="31" t="str">
        <x:v>BX0701</x:v>
      </x:c>
      <x:c r="E210" s="31" t="str">
        <x:v>University Heights (North)-Fordham</x:v>
      </x:c>
      <x:c r="F210" s="31" t="n">
        <x:v>0.15214020382016186</x:v>
      </x:c>
      <x:c r="G210" s="31" t="n">
        <x:v>40.86771126206851</x:v>
      </x:c>
      <x:c r="H210" s="31" t="n">
        <x:v>-73.9085559845978</x:v>
      </x:c>
      <x:c r="I210" s="31" t="n">
        <x:v>4126</x:v>
      </x:c>
      <x:c r="J210" s="31" t="n">
        <x:v>27119.72178555223</x:v>
      </x:c>
      <x:c r="K210" s="31"/>
      <x:c r="L210" s="40"/>
      <x:c r="M210" s="40"/>
      <x:c r="N210" s="31" t="n">
        <x:v>94</x:v>
      </x:c>
      <x:c r="O210" s="31" t="n">
        <x:v>1862</x:v>
      </x:c>
      <x:c r="P210" s="31" t="n">
        <x:v>7.649704618689581</x:v>
      </x:c>
      <x:c r="Q210" s="40" t="n">
        <x:v>0.19817400644468314</x:v>
      </x:c>
      <x:c r="R210" s="40" t="n">
        <x:v>0.7454350161117078</x:v>
      </x:c>
      <x:c r="S210" s="40" t="n">
        <x:v>0</x:v>
      </x:c>
      <x:c r="T210" s="31" t="n">
        <x:v>86.87694937688214</x:v>
      </x:c>
      <x:c r="U210" s="31" t="n">
        <x:v>206.41</x:v>
      </x:c>
      <x:c r="V210" s="31" t="n">
        <x:v>30</x:v>
      </x:c>
      <x:c r="W210" s="31" t="n">
        <x:v>7.270964614638876</x:v>
      </x:c>
      <x:c r="X210" s="31" t="n">
        <x:v>2.2003222341568205</x:v>
      </x:c>
      <x:c r="Y210" s="40" t="n">
        <x:v>0.40010741138560685</x:v>
      </x:c>
      <x:c r="Z210" s="40" t="n">
        <x:v>1</x:v>
      </x:c>
      <x:c r="AA210" s="40" t="n">
        <x:v>0.9887218045112782</x:v>
      </x:c>
      <x:c r="AB210" s="31" t="n">
        <x:v>0.20489810340604128</x:v>
      </x:c>
      <x:c r="AC210" s="31" t="n">
        <x:v>8</x:v>
      </x:c>
      <x:c r="AD210" s="44" t="b">
        <x:v>1</x:v>
      </x:c>
    </x:row>
    <x:row r="211">
      <x:c r="A211" s="31" t="str">
        <x:v>36005027300</x:v>
      </x:c>
      <x:c r="B211" s="31" t="str">
        <x:v>Bronx</x:v>
      </x:c>
      <x:c r="C211" s="31" t="str">
        <x:v>027300</x:v>
      </x:c>
      <x:c r="D211" s="31" t="str">
        <x:v>BX0801</x:v>
      </x:c>
      <x:c r="E211" s="31" t="str">
        <x:v>Kingsbridge Heights-Van Cortlandt Village</x:v>
      </x:c>
      <x:c r="F211" s="31" t="n">
        <x:v>0.0783305025697314</x:v>
      </x:c>
      <x:c r="G211" s="31" t="n">
        <x:v>40.87389900541516</x:v>
      </x:c>
      <x:c r="H211" s="31" t="n">
        <x:v>-73.90322296649866</x:v>
      </x:c>
      <x:c r="I211" s="31" t="n">
        <x:v>7939</x:v>
      </x:c>
      <x:c r="J211" s="31" t="n">
        <x:v>101352.59879039512</x:v>
      </x:c>
      <x:c r="K211" s="31"/>
      <x:c r="L211" s="40"/>
      <x:c r="M211" s="40"/>
      <x:c r="N211" s="31" t="n">
        <x:v>222</x:v>
      </x:c>
      <x:c r="O211" s="31" t="n">
        <x:v>2874</x:v>
      </x:c>
      <x:c r="P211" s="31" t="n">
        <x:v>5.382654836464857</x:v>
      </x:c>
      <x:c r="Q211" s="40" t="n">
        <x:v>0.03688239387613083</x:v>
      </x:c>
      <x:c r="R211" s="40" t="n">
        <x:v>0.871955462769659</x:v>
      </x:c>
      <x:c r="S211" s="40" t="n">
        <x:v>0.08281141266527488</x:v>
      </x:c>
      <x:c r="T211" s="31" t="n">
        <x:v>62.75037579052374</x:v>
      </x:c>
      <x:c r="U211" s="31" t="n">
        <x:v>192</x:v>
      </x:c>
      <x:c r="V211" s="31" t="n">
        <x:v>34</x:v>
      </x:c>
      <x:c r="W211" s="31" t="n">
        <x:v>4.282655246252677</x:v>
      </x:c>
      <x:c r="X211" s="31" t="n">
        <x:v>1.7139874739039667</x:v>
      </x:c>
      <x:c r="Y211" s="40" t="n">
        <x:v>0.23799582463465555</x:v>
      </x:c>
      <x:c r="Z211" s="40" t="n">
        <x:v>1</x:v>
      </x:c>
      <x:c r="AA211" s="40" t="n">
        <x:v>0.9965205288796103</x:v>
      </x:c>
      <x:c r="AB211" s="31" t="n">
        <x:v>0.07779116402546876</x:v>
      </x:c>
      <x:c r="AC211" s="31" t="n">
        <x:v>7</x:v>
      </x:c>
      <x:c r="AD211" s="44" t="b">
        <x:v>1</x:v>
      </x:c>
    </x:row>
    <x:row r="212">
      <x:c r="A212" s="31" t="str">
        <x:v>36005027401</x:v>
      </x:c>
      <x:c r="B212" s="31" t="str">
        <x:v>Bronx</x:v>
      </x:c>
      <x:c r="C212" s="31" t="str">
        <x:v>027401</x:v>
      </x:c>
      <x:c r="D212" s="31" t="str">
        <x:v>BX1003</x:v>
      </x:c>
      <x:c r="E212" s="31" t="str">
        <x:v>Pelham Bay-Country Club-City Island</x:v>
      </x:c>
      <x:c r="F212" s="31" t="n">
        <x:v>0.2709773809712896</x:v>
      </x:c>
      <x:c r="G212" s="31" t="n">
        <x:v>40.84043737468208</x:v>
      </x:c>
      <x:c r="H212" s="31" t="n">
        <x:v>-73.82263141039415</x:v>
      </x:c>
      <x:c r="I212" s="31" t="n">
        <x:v>5136</x:v>
      </x:c>
      <x:c r="J212" s="31" t="n">
        <x:v>18953.61148443665</x:v>
      </x:c>
      <x:c r="K212" s="31"/>
      <x:c r="L212" s="40"/>
      <x:c r="M212" s="40"/>
      <x:c r="N212" s="31" t="n">
        <x:v>1186</x:v>
      </x:c>
      <x:c r="O212" s="31" t="n">
        <x:v>1852</x:v>
      </x:c>
      <x:c r="P212" s="31" t="n">
        <x:v>2.0254697624190063</x:v>
      </x:c>
      <x:c r="Q212" s="40" t="n">
        <x:v>0</x:v>
      </x:c>
      <x:c r="R212" s="40" t="n">
        <x:v>0.08153347732181425</x:v>
      </x:c>
      <x:c r="S212" s="40" t="n">
        <x:v>0.0091792656587473</x:v>
      </x:c>
      <x:c r="T212" s="31" t="n">
        <x:v>29.26792665014092</x:v>
      </x:c>
      <x:c r="U212" s="31" t="n">
        <x:v>45.41</x:v>
      </x:c>
      <x:c r="V212" s="31" t="n">
        <x:v>1</x:v>
      </x:c>
      <x:c r="W212" s="31" t="n">
        <x:v>0.19470404984423675</x:v>
      </x:c>
      <x:c r="X212" s="31" t="n">
        <x:v>1</x:v>
      </x:c>
      <x:c r="Y212" s="40" t="n">
        <x:v>0</x:v>
      </x:c>
      <x:c r="Z212" s="40" t="n">
        <x:v>1</x:v>
      </x:c>
      <x:c r="AA212" s="40" t="n">
        <x:v>0.9962203023758099</x:v>
      </x:c>
      <x:c r="AB212" s="31" t="n">
        <x:v>0.3712324676167179</x:v>
      </x:c>
      <x:c r="AC212" s="31" t="n">
        <x:v>6</x:v>
      </x:c>
      <x:c r="AD212" s="44" t="b">
        <x:v>1</x:v>
      </x:c>
    </x:row>
    <x:row r="213">
      <x:c r="A213" s="31" t="str">
        <x:v>36005027402</x:v>
      </x:c>
      <x:c r="B213" s="31" t="str">
        <x:v>Bronx</x:v>
      </x:c>
      <x:c r="C213" s="31" t="str">
        <x:v>027402</x:v>
      </x:c>
      <x:c r="D213" s="31" t="str">
        <x:v>BX1003</x:v>
      </x:c>
      <x:c r="E213" s="31" t="str">
        <x:v>Pelham Bay-Country Club-City Island</x:v>
      </x:c>
      <x:c r="F213" s="31" t="n">
        <x:v>0.20481283926014407</x:v>
      </x:c>
      <x:c r="G213" s="31" t="n">
        <x:v>40.842770414655966</x:v>
      </x:c>
      <x:c r="H213" s="31" t="n">
        <x:v>-73.81747207629174</x:v>
      </x:c>
      <x:c r="I213" s="31" t="n">
        <x:v>3553</x:v>
      </x:c>
      <x:c r="J213" s="31" t="n">
        <x:v>17347.545265397835</x:v>
      </x:c>
      <x:c r="K213" s="31"/>
      <x:c r="L213" s="40"/>
      <x:c r="M213" s="40"/>
      <x:c r="N213" s="31" t="n">
        <x:v>676</x:v>
      </x:c>
      <x:c r="O213" s="31" t="n">
        <x:v>1336</x:v>
      </x:c>
      <x:c r="P213" s="31" t="n">
        <x:v>2.5474384615384618</x:v>
      </x:c>
      <x:c r="Q213" s="40" t="n">
        <x:v>0</x:v>
      </x:c>
      <x:c r="R213" s="40" t="n">
        <x:v>0.30538922155688625</x:v>
      </x:c>
      <x:c r="S213" s="40" t="n">
        <x:v>0.05389221556886228</x:v>
      </x:c>
      <x:c r="T213" s="31" t="n">
        <x:v>34.141820612273065</x:v>
      </x:c>
      <x:c r="U213" s="31" t="n">
        <x:v>67.51</x:v>
      </x:c>
      <x:c r="V213" s="31" t="n">
        <x:v>6</x:v>
      </x:c>
      <x:c r="W213" s="31" t="n">
        <x:v>1.6887137630171687</x:v>
      </x:c>
      <x:c r="X213" s="31" t="n">
        <x:v>1</x:v>
      </x:c>
      <x:c r="Y213" s="40" t="n">
        <x:v>0</x:v>
      </x:c>
      <x:c r="Z213" s="40" t="n">
        <x:v>1</x:v>
      </x:c>
      <x:c r="AA213" s="40" t="n">
        <x:v>0.9977544910179641</x:v>
      </x:c>
      <x:c r="AB213" s="31" t="n">
        <x:v>0.5429252934023981</x:v>
      </x:c>
      <x:c r="AC213" s="31" t="n">
        <x:v>3</x:v>
      </x:c>
      <x:c r="AD213" s="44" t="b">
        <x:v>1</x:v>
      </x:c>
    </x:row>
    <x:row r="214">
      <x:c r="A214" s="31" t="str">
        <x:v>36005027600</x:v>
      </x:c>
      <x:c r="B214" s="31" t="str">
        <x:v>Bronx</x:v>
      </x:c>
      <x:c r="C214" s="31" t="str">
        <x:v>027600</x:v>
      </x:c>
      <x:c r="D214" s="31" t="str">
        <x:v>BX2891</x:v>
      </x:c>
      <x:c r="E214" s="31" t="str">
        <x:v>Pelham Bay Park</x:v>
      </x:c>
      <x:c r="F214" s="31" t="n">
        <x:v>0.7156947322479051</x:v>
      </x:c>
      <x:c r="G214" s="31" t="n">
        <x:v>40.8548173872657</x:v>
      </x:c>
      <x:c r="H214" s="31" t="n">
        <x:v>-73.82163440666572</x:v>
      </x:c>
      <x:c r="I214" s="31" t="n">
        <x:v>23</x:v>
      </x:c>
      <x:c r="J214" s="31" t="n">
        <x:v>32.13660652183363</x:v>
      </x:c>
      <x:c r="K214" s="31"/>
      <x:c r="L214" s="40"/>
      <x:c r="M214" s="40"/>
      <x:c r="N214" s="31" t="n">
        <x:v>1</x:v>
      </x:c>
      <x:c r="O214" s="31" t="n">
        <x:v>1</x:v>
      </x:c>
      <x:c r="P214" s="31" t="n">
        <x:v>2</x:v>
      </x:c>
      <x:c r="Q214" s="40" t="n">
        <x:v>0</x:v>
      </x:c>
      <x:c r="R214" s="40" t="n">
        <x:v>0</x:v>
      </x:c>
      <x:c r="S214" s="40" t="n">
        <x:v>0</x:v>
      </x:c>
      <x:c r="T214" s="31" t="n">
        <x:v>24.55</x:v>
      </x:c>
      <x:c r="U214" s="31" t="n">
        <x:v>24.55</x:v>
      </x:c>
      <x:c r="V214" s="31" t="n">
        <x:v>0</x:v>
      </x:c>
      <x:c r="W214" s="31" t="n">
        <x:v>0</x:v>
      </x:c>
      <x:c r="X214" s="31" t="n">
        <x:v>1</x:v>
      </x:c>
      <x:c r="Y214" s="40" t="n">
        <x:v>0</x:v>
      </x:c>
      <x:c r="Z214" s="40" t="n">
        <x:v>1</x:v>
      </x:c>
      <x:c r="AA214" s="40" t="n">
        <x:v>1</x:v>
      </x:c>
      <x:c r="AB214" s="31" t="n">
        <x:v>0.6557590064448061</x:v>
      </x:c>
      <x:c r="AC214" s="31" t="n">
        <x:v>11</x:v>
      </x:c>
      <x:c r="AD214" s="44" t="b">
        <x:v>1</x:v>
      </x:c>
    </x:row>
    <x:row r="215">
      <x:c r="A215" s="31" t="str">
        <x:v>36005027700</x:v>
      </x:c>
      <x:c r="B215" s="31" t="str">
        <x:v>Bronx</x:v>
      </x:c>
      <x:c r="C215" s="31" t="str">
        <x:v>027700</x:v>
      </x:c>
      <x:c r="D215" s="31" t="str">
        <x:v>BX0801</x:v>
      </x:c>
      <x:c r="E215" s="31" t="str">
        <x:v>Kingsbridge Heights-Van Cortlandt Village</x:v>
      </x:c>
      <x:c r="F215" s="31" t="n">
        <x:v>0.0674392799629821</x:v>
      </x:c>
      <x:c r="G215" s="31" t="n">
        <x:v>40.87838745270984</x:v>
      </x:c>
      <x:c r="H215" s="31" t="n">
        <x:v>-73.90145519455105</x:v>
      </x:c>
      <x:c r="I215" s="31" t="n">
        <x:v>4968</x:v>
      </x:c>
      <x:c r="J215" s="31" t="n">
        <x:v>73666.26694008255</x:v>
      </x:c>
      <x:c r="K215" s="31"/>
      <x:c r="L215" s="40"/>
      <x:c r="M215" s="40"/>
      <x:c r="N215" s="31" t="n">
        <x:v>167</x:v>
      </x:c>
      <x:c r="O215" s="31" t="n">
        <x:v>1898</x:v>
      </x:c>
      <x:c r="P215" s="31" t="n">
        <x:v>8.01672813487882</x:v>
      </x:c>
      <x:c r="Q215" s="40" t="n">
        <x:v>0.18124341412012646</x:v>
      </x:c>
      <x:c r="R215" s="40" t="n">
        <x:v>0.7255005268703899</x:v>
      </x:c>
      <x:c r="S215" s="40" t="n">
        <x:v>0.0005268703898840885</x:v>
      </x:c>
      <x:c r="T215" s="31" t="n">
        <x:v>78.9841702302848</x:v>
      </x:c>
      <x:c r="U215" s="31" t="n">
        <x:v>179.93</x:v>
      </x:c>
      <x:c r="V215" s="31" t="n">
        <x:v>19</x:v>
      </x:c>
      <x:c r="W215" s="31" t="n">
        <x:v>3.824476650563607</x:v>
      </x:c>
      <x:c r="X215" s="31" t="n">
        <x:v>1</x:v>
      </x:c>
      <x:c r="Y215" s="40" t="n">
        <x:v>0</x:v>
      </x:c>
      <x:c r="Z215" s="40" t="n">
        <x:v>1</x:v>
      </x:c>
      <x:c r="AA215" s="40" t="n">
        <x:v>0.9989462592202318</x:v>
      </x:c>
      <x:c r="AB215" s="31" t="n">
        <x:v>0.11773674438872851</x:v>
      </x:c>
      <x:c r="AC215" s="31" t="n">
        <x:v>4</x:v>
      </x:c>
      <x:c r="AD215" s="44" t="b">
        <x:v>1</x:v>
      </x:c>
    </x:row>
    <x:row r="216">
      <x:c r="A216" s="31" t="str">
        <x:v>36005027900</x:v>
      </x:c>
      <x:c r="B216" s="31" t="str">
        <x:v>Bronx</x:v>
      </x:c>
      <x:c r="C216" s="31" t="str">
        <x:v>027900</x:v>
      </x:c>
      <x:c r="D216" s="31" t="str">
        <x:v>BX0801</x:v>
      </x:c>
      <x:c r="E216" s="31" t="str">
        <x:v>Kingsbridge Heights-Van Cortlandt Village</x:v>
      </x:c>
      <x:c r="F216" s="31" t="n">
        <x:v>0.1059708453056847</x:v>
      </x:c>
      <x:c r="G216" s="31" t="n">
        <x:v>40.88255489935516</x:v>
      </x:c>
      <x:c r="H216" s="31" t="n">
        <x:v>-73.89727863199926</x:v>
      </x:c>
      <x:c r="I216" s="31" t="n">
        <x:v>8145</x:v>
      </x:c>
      <x:c r="J216" s="31" t="n">
        <x:v>76860.76275512233</x:v>
      </x:c>
      <x:c r="K216" s="31"/>
      <x:c r="L216" s="40"/>
      <x:c r="M216" s="40"/>
      <x:c r="N216" s="31" t="n">
        <x:v>282</x:v>
      </x:c>
      <x:c r="O216" s="31" t="n">
        <x:v>3334</x:v>
      </x:c>
      <x:c r="P216" s="31" t="n">
        <x:v>7.696685662867426</x:v>
      </x:c>
      <x:c r="Q216" s="40" t="n">
        <x:v>0.1898620275944811</x:v>
      </x:c>
      <x:c r="R216" s="40" t="n">
        <x:v>0.7090581883623275</x:v>
      </x:c>
      <x:c r="S216" s="40" t="n">
        <x:v>0.0008998200359928015</x:v>
      </x:c>
      <x:c r="T216" s="31" t="n">
        <x:v>76.57318766544748</x:v>
      </x:c>
      <x:c r="U216" s="31" t="n">
        <x:v>188.87</x:v>
      </x:c>
      <x:c r="V216" s="31" t="n">
        <x:v>40</x:v>
      </x:c>
      <x:c r="W216" s="31" t="n">
        <x:v>4.910988336402701</x:v>
      </x:c>
      <x:c r="X216" s="31" t="n">
        <x:v>1</x:v>
      </x:c>
      <x:c r="Y216" s="40" t="n">
        <x:v>0</x:v>
      </x:c>
      <x:c r="Z216" s="40" t="n">
        <x:v>1</x:v>
      </x:c>
      <x:c r="AA216" s="40" t="n">
        <x:v>0.9652069586082783</x:v>
      </x:c>
      <x:c r="AB216" s="31" t="n">
        <x:v>0.1640642065001527</x:v>
      </x:c>
      <x:c r="AC216" s="31" t="n">
        <x:v>5</x:v>
      </x:c>
      <x:c r="AD216" s="44" t="b">
        <x:v>1</x:v>
      </x:c>
    </x:row>
    <x:row r="217">
      <x:c r="A217" s="31" t="str">
        <x:v>36005028100</x:v>
      </x:c>
      <x:c r="B217" s="31" t="str">
        <x:v>Bronx</x:v>
      </x:c>
      <x:c r="C217" s="31" t="str">
        <x:v>028100</x:v>
      </x:c>
      <x:c r="D217" s="31" t="str">
        <x:v>BX0801</x:v>
      </x:c>
      <x:c r="E217" s="31" t="str">
        <x:v>Kingsbridge Heights-Van Cortlandt Village</x:v>
      </x:c>
      <x:c r="F217" s="31" t="n">
        <x:v>0.04985732439415461</x:v>
      </x:c>
      <x:c r="G217" s="31" t="n">
        <x:v>40.8838091501369</x:v>
      </x:c>
      <x:c r="H217" s="31" t="n">
        <x:v>-73.89070037551828</x:v>
      </x:c>
      <x:c r="I217" s="31" t="n">
        <x:v>3720</x:v>
      </x:c>
      <x:c r="J217" s="31" t="n">
        <x:v>74612.9088394511</x:v>
      </x:c>
      <x:c r="K217" s="31"/>
      <x:c r="L217" s="40"/>
      <x:c r="M217" s="40"/>
      <x:c r="N217" s="31" t="n">
        <x:v>50</x:v>
      </x:c>
      <x:c r="O217" s="31" t="n">
        <x:v>2057</x:v>
      </x:c>
      <x:c r="P217" s="31" t="n">
        <x:v>10.02090422946038</x:v>
      </x:c>
      <x:c r="Q217" s="40" t="n">
        <x:v>0.43364122508507535</x:v>
      </x:c>
      <x:c r="R217" s="40" t="n">
        <x:v>0.50753524550316</x:v>
      </x:c>
      <x:c r="S217" s="40" t="n">
        <x:v>0.3043266893534273</x:v>
      </x:c>
      <x:c r="T217" s="31" t="n">
        <x:v>108.4874712220564</x:v>
      </x:c>
      <x:c r="U217" s="31" t="n">
        <x:v>175</x:v>
      </x:c>
      <x:c r="V217" s="31" t="n">
        <x:v>45</x:v>
      </x:c>
      <x:c r="W217" s="31" t="n">
        <x:v>12.096774193548386</x:v>
      </x:c>
      <x:c r="X217" s="31" t="n">
        <x:v>1</x:v>
      </x:c>
      <x:c r="Y217" s="40" t="n">
        <x:v>0</x:v>
      </x:c>
      <x:c r="Z217" s="40" t="n">
        <x:v>1</x:v>
      </x:c>
      <x:c r="AA217" s="40" t="n">
        <x:v>1</x:v>
      </x:c>
      <x:c r="AB217" s="31" t="n">
        <x:v>0.06588590131130115</x:v>
      </x:c>
      <x:c r="AC217" s="31" t="n">
        <x:v>4</x:v>
      </x:c>
      <x:c r="AD217" s="44" t="b">
        <x:v>1</x:v>
      </x:c>
    </x:row>
    <x:row r="218">
      <x:c r="A218" s="31" t="str">
        <x:v>36005028300</x:v>
      </x:c>
      <x:c r="B218" s="31" t="str">
        <x:v>Bronx</x:v>
      </x:c>
      <x:c r="C218" s="31" t="str">
        <x:v>028300</x:v>
      </x:c>
      <x:c r="D218" s="31" t="str">
        <x:v>BX0802</x:v>
      </x:c>
      <x:c r="E218" s="31" t="str">
        <x:v>Kingsbridge-Marble Hill</x:v>
      </x:c>
      <x:c r="F218" s="31" t="n">
        <x:v>0.08843553986993515</x:v>
      </x:c>
      <x:c r="G218" s="31" t="n">
        <x:v>40.88068820718875</x:v>
      </x:c>
      <x:c r="H218" s="31" t="n">
        <x:v>-73.90249804898082</x:v>
      </x:c>
      <x:c r="I218" s="31" t="n">
        <x:v>2084</x:v>
      </x:c>
      <x:c r="J218" s="31" t="n">
        <x:v>23565.18661010045</x:v>
      </x:c>
      <x:c r="K218" s="31"/>
      <x:c r="L218" s="40"/>
      <x:c r="M218" s="40"/>
      <x:c r="N218" s="31" t="n">
        <x:v>22</x:v>
      </x:c>
      <x:c r="O218" s="31" t="n">
        <x:v>1288</x:v>
      </x:c>
      <x:c r="P218" s="31" t="n">
        <x:v>9.380434782608695</x:v>
      </x:c>
      <x:c r="Q218" s="40" t="n">
        <x:v>0.3610248447204969</x:v>
      </x:c>
      <x:c r="R218" s="40" t="n">
        <x:v>0.6358695652173914</x:v>
      </x:c>
      <x:c r="S218" s="40" t="n">
        <x:v>0.3610248447204969</x:v>
      </x:c>
      <x:c r="T218" s="31" t="n">
        <x:v>122.19514861995752</x:v>
      </x:c>
      <x:c r="U218" s="31" t="n">
        <x:v>178.64</x:v>
      </x:c>
      <x:c r="V218" s="31" t="n">
        <x:v>11</x:v>
      </x:c>
      <x:c r="W218" s="31" t="n">
        <x:v>5.27831094049904</x:v>
      </x:c>
      <x:c r="X218" s="31" t="n">
        <x:v>1</x:v>
      </x:c>
      <x:c r="Y218" s="40" t="n">
        <x:v>0</x:v>
      </x:c>
      <x:c r="Z218" s="40" t="n">
        <x:v>1</x:v>
      </x:c>
      <x:c r="AA218" s="40" t="n">
        <x:v>0.7313664596273292</x:v>
      </x:c>
      <x:c r="AB218" s="31" t="n">
        <x:v>0.13598244569535647</x:v>
      </x:c>
      <x:c r="AC218" s="31" t="n">
        <x:v>9</x:v>
      </x:c>
      <x:c r="AD218" s="44" t="b">
        <x:v>1</x:v>
      </x:c>
    </x:row>
    <x:row r="219">
      <x:c r="A219" s="31" t="str">
        <x:v>36005028400</x:v>
      </x:c>
      <x:c r="B219" s="31" t="str">
        <x:v>Bronx</x:v>
      </x:c>
      <x:c r="C219" s="31" t="str">
        <x:v>028400</x:v>
      </x:c>
      <x:c r="D219" s="31" t="str">
        <x:v>BX1161</x:v>
      </x:c>
      <x:c r="E219" s="31" t="str">
        <x:v>Hutchinson Metro Center</x:v>
      </x:c>
      <x:c r="F219" s="31" t="n">
        <x:v>0.4369470008142505</x:v>
      </x:c>
      <x:c r="G219" s="31" t="n">
        <x:v>40.84947596005627</x:v>
      </x:c>
      <x:c r="H219" s="31" t="n">
        <x:v>-73.83871592831701</x:v>
      </x:c>
      <x:c r="I219" s="31" t="n">
        <x:v>297</x:v>
      </x:c>
      <x:c r="J219" s="31" t="n">
        <x:v>679.7163029990838</x:v>
      </x:c>
      <x:c r="K219" s="31"/>
      <x:c r="L219" s="40"/>
      <x:c r="M219" s="40"/>
      <x:c r="N219" s="31" t="n">
        <x:v>9</x:v>
      </x:c>
      <x:c r="O219" s="31" t="n">
        <x:v>217</x:v>
      </x:c>
      <x:c r="P219" s="31" t="n">
        <x:v>6.308755760368664</x:v>
      </x:c>
      <x:c r="Q219" s="40" t="n">
        <x:v>0</x:v>
      </x:c>
      <x:c r="R219" s="40" t="n">
        <x:v>0.9262672811059908</x:v>
      </x:c>
      <x:c r="S219" s="40" t="n">
        <x:v>0</x:v>
      </x:c>
      <x:c r="T219" s="31" t="n">
        <x:v>43.68764705882353</x:v>
      </x:c>
      <x:c r="U219" s="31" t="n">
        <x:v>55</x:v>
      </x:c>
      <x:c r="V219" s="31" t="n">
        <x:v>4</x:v>
      </x:c>
      <x:c r="W219" s="31" t="n">
        <x:v>13.468013468013467</x:v>
      </x:c>
      <x:c r="X219" s="31" t="n">
        <x:v>4</x:v>
      </x:c>
      <x:c r="Y219" s="40" t="n">
        <x:v>1</x:v>
      </x:c>
      <x:c r="Z219" s="40" t="n">
        <x:v>1</x:v>
      </x:c>
      <x:c r="AA219" s="40" t="n">
        <x:v>0.15668202764976957</x:v>
      </x:c>
      <x:c r="AB219" s="31" t="n">
        <x:v>0.06575692518258296</x:v>
      </x:c>
      <x:c r="AC219" s="31" t="n">
        <x:v>10</x:v>
      </x:c>
      <x:c r="AD219" s="44" t="b">
        <x:v>1</x:v>
      </x:c>
    </x:row>
    <x:row r="220">
      <x:c r="A220" s="31" t="str">
        <x:v>36005028500</x:v>
      </x:c>
      <x:c r="B220" s="31" t="str">
        <x:v>Bronx</x:v>
      </x:c>
      <x:c r="C220" s="31" t="str">
        <x:v>028500</x:v>
      </x:c>
      <x:c r="D220" s="31" t="str">
        <x:v>BX0802</x:v>
      </x:c>
      <x:c r="E220" s="31" t="str">
        <x:v>Kingsbridge-Marble Hill</x:v>
      </x:c>
      <x:c r="F220" s="31" t="n">
        <x:v>0.10132471687291954</x:v>
      </x:c>
      <x:c r="G220" s="31" t="n">
        <x:v>40.886388743987695</x:v>
      </x:c>
      <x:c r="H220" s="31" t="n">
        <x:v>-73.90263459373352</x:v>
      </x:c>
      <x:c r="I220" s="31" t="n">
        <x:v>3440</x:v>
      </x:c>
      <x:c r="J220" s="31" t="n">
        <x:v>33950.255240430764</x:v>
      </x:c>
      <x:c r="K220" s="31"/>
      <x:c r="L220" s="40"/>
      <x:c r="M220" s="40"/>
      <x:c r="N220" s="31" t="n">
        <x:v>162</x:v>
      </x:c>
      <x:c r="O220" s="31" t="n">
        <x:v>1853</x:v>
      </x:c>
      <x:c r="P220" s="31" t="n">
        <x:v>10.136508364813816</x:v>
      </x:c>
      <x:c r="Q220" s="40" t="n">
        <x:v>0.33459255261737725</x:v>
      </x:c>
      <x:c r="R220" s="40" t="n">
        <x:v>0.5563950350782515</x:v>
      </x:c>
      <x:c r="S220" s="40" t="n">
        <x:v>0</x:v>
      </x:c>
      <x:c r="T220" s="31" t="n">
        <x:v>81.73132421654417</x:v>
      </x:c>
      <x:c r="U220" s="31" t="n">
        <x:v>219.63</x:v>
      </x:c>
      <x:c r="V220" s="31" t="n">
        <x:v>26</x:v>
      </x:c>
      <x:c r="W220" s="31" t="n">
        <x:v>7.558139534883721</x:v>
      </x:c>
      <x:c r="X220" s="31" t="n">
        <x:v>1</x:v>
      </x:c>
      <x:c r="Y220" s="40" t="n">
        <x:v>0</x:v>
      </x:c>
      <x:c r="Z220" s="40" t="n">
        <x:v>1</x:v>
      </x:c>
      <x:c r="AA220" s="40" t="n">
        <x:v>0.7636265515380464</x:v>
      </x:c>
      <x:c r="AB220" s="31" t="n">
        <x:v>0.21915824136882153</x:v>
      </x:c>
      <x:c r="AC220" s="31" t="n">
        <x:v>7</x:v>
      </x:c>
      <x:c r="AD220" s="44" t="b">
        <x:v>1</x:v>
      </x:c>
    </x:row>
    <x:row r="221">
      <x:c r="A221" s="31" t="str">
        <x:v>36005028600</x:v>
      </x:c>
      <x:c r="B221" s="31" t="str">
        <x:v>Bronx</x:v>
      </x:c>
      <x:c r="C221" s="31" t="str">
        <x:v>028600</x:v>
      </x:c>
      <x:c r="D221" s="31" t="str">
        <x:v>BX1102</x:v>
      </x:c>
      <x:c r="E221" s="31" t="str">
        <x:v>Morris Park</x:v>
      </x:c>
      <x:c r="F221" s="31" t="n">
        <x:v>0.07719387575757576</x:v>
      </x:c>
      <x:c r="G221" s="31" t="n">
        <x:v>40.84918595572563</x:v>
      </x:c>
      <x:c r="H221" s="31" t="n">
        <x:v>-73.84777583969853</x:v>
      </x:c>
      <x:c r="I221" s="31" t="n">
        <x:v>1395</x:v>
      </x:c>
      <x:c r="J221" s="31" t="n">
        <x:v>18071.381781385626</x:v>
      </x:c>
      <x:c r="K221" s="31"/>
      <x:c r="L221" s="40"/>
      <x:c r="M221" s="40"/>
      <x:c r="N221" s="31" t="n">
        <x:v>262</x:v>
      </x:c>
      <x:c r="O221" s="31" t="n">
        <x:v>518</x:v>
      </x:c>
      <x:c r="P221" s="31" t="n">
        <x:v>2.1674710424710426</x:v>
      </x:c>
      <x:c r="Q221" s="40" t="n">
        <x:v>0</x:v>
      </x:c>
      <x:c r="R221" s="40" t="n">
        <x:v>0.13127413127413126</x:v>
      </x:c>
      <x:c r="S221" s="40" t="n">
        <x:v>0.019305019305019305</x:v>
      </x:c>
      <x:c r="T221" s="31" t="n">
        <x:v>29.191142776104652</x:v>
      </x:c>
      <x:c r="U221" s="31" t="n">
        <x:v>42.15</x:v>
      </x:c>
      <x:c r="V221" s="31" t="n">
        <x:v>1</x:v>
      </x:c>
      <x:c r="W221" s="31" t="n">
        <x:v>0.7168458781362007</x:v>
      </x:c>
      <x:c r="X221" s="31" t="n">
        <x:v>4</x:v>
      </x:c>
      <x:c r="Y221" s="40" t="n">
        <x:v>1</x:v>
      </x:c>
      <x:c r="Z221" s="40" t="n">
        <x:v>1</x:v>
      </x:c>
      <x:c r="AA221" s="40" t="n">
        <x:v>0.9961389961389961</x:v>
      </x:c>
      <x:c r="AB221" s="31" t="n">
        <x:v>0.16709959756150922</x:v>
      </x:c>
      <x:c r="AC221" s="31" t="n">
        <x:v>6</x:v>
      </x:c>
      <x:c r="AD221" s="44" t="b">
        <x:v>1</x:v>
      </x:c>
    </x:row>
    <x:row r="222">
      <x:c r="A222" s="31" t="str">
        <x:v>36005028700</x:v>
      </x:c>
      <x:c r="B222" s="31" t="str">
        <x:v>Bronx</x:v>
      </x:c>
      <x:c r="C222" s="31" t="str">
        <x:v>028700</x:v>
      </x:c>
      <x:c r="D222" s="31" t="str">
        <x:v>BX0802</x:v>
      </x:c>
      <x:c r="E222" s="31" t="str">
        <x:v>Kingsbridge-Marble Hill</x:v>
      </x:c>
      <x:c r="F222" s="31" t="n">
        <x:v>0.05992449848879419</x:v>
      </x:c>
      <x:c r="G222" s="31" t="n">
        <x:v>40.88271419654855</x:v>
      </x:c>
      <x:c r="H222" s="31" t="n">
        <x:v>-73.90465793336308</x:v>
      </x:c>
      <x:c r="I222" s="31" t="n">
        <x:v>3953</x:v>
      </x:c>
      <x:c r="J222" s="31" t="n">
        <x:v>65966.34264263732</x:v>
      </x:c>
      <x:c r="K222" s="31"/>
      <x:c r="L222" s="40"/>
      <x:c r="M222" s="40"/>
      <x:c r="N222" s="31" t="n">
        <x:v>249</x:v>
      </x:c>
      <x:c r="O222" s="31" t="n">
        <x:v>1367</x:v>
      </x:c>
      <x:c r="P222" s="31" t="n">
        <x:v>5.588090709583029</x:v>
      </x:c>
      <x:c r="Q222" s="40" t="n">
        <x:v>0.14191660570592537</x:v>
      </x:c>
      <x:c r="R222" s="40" t="n">
        <x:v>0.5940014630577908</x:v>
      </x:c>
      <x:c r="S222" s="40" t="n">
        <x:v>0</x:v>
      </x:c>
      <x:c r="T222" s="31" t="n">
        <x:v>61.84273274732797</x:v>
      </x:c>
      <x:c r="U222" s="31" t="n">
        <x:v>123.59</x:v>
      </x:c>
      <x:c r="V222" s="31" t="n">
        <x:v>13</x:v>
      </x:c>
      <x:c r="W222" s="31" t="n">
        <x:v>3.2886415380723504</x:v>
      </x:c>
      <x:c r="X222" s="31" t="n">
        <x:v>1</x:v>
      </x:c>
      <x:c r="Y222" s="40" t="n">
        <x:v>0</x:v>
      </x:c>
      <x:c r="Z222" s="40" t="n">
        <x:v>1</x:v>
      </x:c>
      <x:c r="AA222" s="40" t="n">
        <x:v>0.9992684711046086</x:v>
      </x:c>
      <x:c r="AB222" s="31" t="n">
        <x:v>0.09784388983966913</x:v>
      </x:c>
      <x:c r="AC222" s="31" t="n">
        <x:v>3</x:v>
      </x:c>
      <x:c r="AD222" s="44" t="b">
        <x:v>1</x:v>
      </x:c>
    </x:row>
    <x:row r="223">
      <x:c r="A223" s="31" t="str">
        <x:v>36005028800</x:v>
      </x:c>
      <x:c r="B223" s="31" t="str">
        <x:v>Bronx</x:v>
      </x:c>
      <x:c r="C223" s="31" t="str">
        <x:v>028800</x:v>
      </x:c>
      <x:c r="D223" s="31" t="str">
        <x:v>BX1102</x:v>
      </x:c>
      <x:c r="E223" s="31" t="str">
        <x:v>Morris Park</x:v>
      </x:c>
      <x:c r="F223" s="31" t="n">
        <x:v>0.12973109735171315</x:v>
      </x:c>
      <x:c r="G223" s="31" t="n">
        <x:v>40.85428966059863</x:v>
      </x:c>
      <x:c r="H223" s="31" t="n">
        <x:v>-73.85146953775477</x:v>
      </x:c>
      <x:c r="I223" s="31" t="n">
        <x:v>3055</x:v>
      </x:c>
      <x:c r="J223" s="31" t="n">
        <x:v>23548.710080803594</x:v>
      </x:c>
      <x:c r="K223" s="31"/>
      <x:c r="L223" s="40"/>
      <x:c r="M223" s="40"/>
      <x:c r="N223" s="31" t="n">
        <x:v>633</x:v>
      </x:c>
      <x:c r="O223" s="31" t="n">
        <x:v>1201</x:v>
      </x:c>
      <x:c r="P223" s="31" t="n">
        <x:v>2.9822814321398834</x:v>
      </x:c>
      <x:c r="Q223" s="40" t="n">
        <x:v>0</x:v>
      </x:c>
      <x:c r="R223" s="40" t="n">
        <x:v>0.2514571190674438</x:v>
      </x:c>
      <x:c r="S223" s="40" t="n">
        <x:v>0.004995836802664446</x:v>
      </x:c>
      <x:c r="T223" s="31" t="n">
        <x:v>38.638116296369695</x:v>
      </x:c>
      <x:c r="U223" s="31" t="n">
        <x:v>68</x:v>
      </x:c>
      <x:c r="V223" s="31" t="n">
        <x:v>7</x:v>
      </x:c>
      <x:c r="W223" s="31" t="n">
        <x:v>2.2913256955810146</x:v>
      </x:c>
      <x:c r="X223" s="31" t="n">
        <x:v>4</x:v>
      </x:c>
      <x:c r="Y223" s="40" t="n">
        <x:v>1</x:v>
      </x:c>
      <x:c r="Z223" s="40" t="n">
        <x:v>1</x:v>
      </x:c>
      <x:c r="AA223" s="40" t="n">
        <x:v>1</x:v>
      </x:c>
      <x:c r="AB223" s="31" t="n">
        <x:v>0.07456673654385626</x:v>
      </x:c>
      <x:c r="AC223" s="31" t="n">
        <x:v>5</x:v>
      </x:c>
      <x:c r="AD223" s="44" t="b">
        <x:v>1</x:v>
      </x:c>
    </x:row>
    <x:row r="224">
      <x:c r="A224" s="31" t="str">
        <x:v>36005028900</x:v>
      </x:c>
      <x:c r="B224" s="31" t="str">
        <x:v>Bronx</x:v>
      </x:c>
      <x:c r="C224" s="31" t="str">
        <x:v>028900</x:v>
      </x:c>
      <x:c r="D224" s="31" t="str">
        <x:v>BX0802</x:v>
      </x:c>
      <x:c r="E224" s="31" t="str">
        <x:v>Kingsbridge-Marble Hill</x:v>
      </x:c>
      <x:c r="F224" s="31" t="n">
        <x:v>0.07423020207651802</x:v>
      </x:c>
      <x:c r="G224" s="31" t="n">
        <x:v>40.879662549392975</x:v>
      </x:c>
      <x:c r="H224" s="31" t="n">
        <x:v>-73.90730543007786</x:v>
      </x:c>
      <x:c r="I224" s="31" t="n">
        <x:v>4736</x:v>
      </x:c>
      <x:c r="J224" s="31" t="n">
        <x:v>63801.5237398658</x:v>
      </x:c>
      <x:c r="K224" s="31"/>
      <x:c r="L224" s="40"/>
      <x:c r="M224" s="40"/>
      <x:c r="N224" s="31" t="n">
        <x:v>59</x:v>
      </x:c>
      <x:c r="O224" s="31" t="n">
        <x:v>2048</x:v>
      </x:c>
      <x:c r="P224" s="31" t="n">
        <x:v>7.667236328125</x:v>
      </x:c>
      <x:c r="Q224" s="40" t="n">
        <x:v>0.26513671875</x:v>
      </x:c>
      <x:c r="R224" s="40" t="n">
        <x:v>0.71923828125</x:v>
      </x:c>
      <x:c r="S224" s="40" t="n">
        <x:v>0.0009765625</x:v>
      </x:c>
      <x:c r="T224" s="31" t="n">
        <x:v>86.62881039695912</x:v>
      </x:c>
      <x:c r="U224" s="31" t="n">
        <x:v>185.17</x:v>
      </x:c>
      <x:c r="V224" s="31" t="n">
        <x:v>19</x:v>
      </x:c>
      <x:c r="W224" s="31" t="n">
        <x:v>4.011824324324324</x:v>
      </x:c>
      <x:c r="X224" s="31" t="n">
        <x:v>1</x:v>
      </x:c>
      <x:c r="Y224" s="40" t="n">
        <x:v>0</x:v>
      </x:c>
      <x:c r="Z224" s="40" t="n">
        <x:v>1</x:v>
      </x:c>
      <x:c r="AA224" s="40" t="n">
        <x:v>0.9794921875</x:v>
      </x:c>
      <x:c r="AB224" s="31" t="n">
        <x:v>0.07657567266244067</x:v>
      </x:c>
      <x:c r="AC224" s="31" t="n">
        <x:v>6</x:v>
      </x:c>
      <x:c r="AD224" s="44" t="b">
        <x:v>1</x:v>
      </x:c>
    </x:row>
    <x:row r="225">
      <x:c r="A225" s="31" t="str">
        <x:v>36005029301</x:v>
      </x:c>
      <x:c r="B225" s="31" t="str">
        <x:v>Bronx</x:v>
      </x:c>
      <x:c r="C225" s="31" t="str">
        <x:v>029301</x:v>
      </x:c>
      <x:c r="D225" s="31" t="str">
        <x:v>BX0803</x:v>
      </x:c>
      <x:c r="E225" s="31" t="str">
        <x:v>Riverdale-Spuyten Duyvil</x:v>
      </x:c>
      <x:c r="F225" s="31" t="n">
        <x:v>0.0960655371735824</x:v>
      </x:c>
      <x:c r="G225" s="31" t="n">
        <x:v>40.88217785421769</x:v>
      </x:c>
      <x:c r="H225" s="31" t="n">
        <x:v>-73.92116597760979</x:v>
      </x:c>
      <x:c r="I225" s="31" t="n">
        <x:v>1954</x:v>
      </x:c>
      <x:c r="J225" s="31" t="n">
        <x:v>20340.280786326995</x:v>
      </x:c>
      <x:c r="K225" s="31"/>
      <x:c r="L225" s="40"/>
      <x:c r="M225" s="40"/>
      <x:c r="N225" s="31" t="n">
        <x:v>29</x:v>
      </x:c>
      <x:c r="O225" s="31" t="n">
        <x:v>1095</x:v>
      </x:c>
      <x:c r="P225" s="31" t="n">
        <x:v>10.245433789954339</x:v>
      </x:c>
      <x:c r="Q225" s="40" t="n">
        <x:v>0.5863013698630137</x:v>
      </x:c>
      <x:c r="R225" s="40" t="n">
        <x:v>0.39817351598173517</x:v>
      </x:c>
      <x:c r="S225" s="40" t="n">
        <x:v>0.015525114155251141</x:v>
      </x:c>
      <x:c r="T225" s="31" t="n">
        <x:v>114.98249315068493</x:v>
      </x:c>
      <x:c r="U225" s="31" t="n">
        <x:v>185.41</x:v>
      </x:c>
      <x:c r="V225" s="31" t="n">
        <x:v>19</x:v>
      </x:c>
      <x:c r="W225" s="31" t="n">
        <x:v>9.723643807574206</x:v>
      </x:c>
      <x:c r="X225" s="31" t="n">
        <x:v>1</x:v>
      </x:c>
      <x:c r="Y225" s="40" t="n">
        <x:v>0</x:v>
      </x:c>
      <x:c r="Z225" s="40" t="n">
        <x:v>1</x:v>
      </x:c>
      <x:c r="AA225" s="40" t="n">
        <x:v>1</x:v>
      </x:c>
      <x:c r="AB225" s="31" t="n">
        <x:v>0.44225105695202077</x:v>
      </x:c>
      <x:c r="AC225" s="31" t="n">
        <x:v>4</x:v>
      </x:c>
      <x:c r="AD225" s="44" t="b">
        <x:v>1</x:v>
      </x:c>
    </x:row>
    <x:row r="226">
      <x:c r="A226" s="31" t="str">
        <x:v>36005029302</x:v>
      </x:c>
      <x:c r="B226" s="31" t="str">
        <x:v>Bronx</x:v>
      </x:c>
      <x:c r="C226" s="31" t="str">
        <x:v>029302</x:v>
      </x:c>
      <x:c r="D226" s="31" t="str">
        <x:v>BX0803</x:v>
      </x:c>
      <x:c r="E226" s="31" t="str">
        <x:v>Riverdale-Spuyten Duyvil</x:v>
      </x:c>
      <x:c r="F226" s="31" t="n">
        <x:v>0.16808306356139519</x:v>
      </x:c>
      <x:c r="G226" s="31" t="n">
        <x:v>40.879216317087106</x:v>
      </x:c>
      <x:c r="H226" s="31" t="n">
        <x:v>-73.9158965481152</x:v>
      </x:c>
      <x:c r="I226" s="31" t="n">
        <x:v>5248</x:v>
      </x:c>
      <x:c r="J226" s="31" t="n">
        <x:v>31222.657945445404</x:v>
      </x:c>
      <x:c r="K226" s="31"/>
      <x:c r="L226" s="40"/>
      <x:c r="M226" s="40"/>
      <x:c r="N226" s="31" t="n">
        <x:v>136</x:v>
      </x:c>
      <x:c r="O226" s="31" t="n">
        <x:v>2897</x:v>
      </x:c>
      <x:c r="P226" s="31" t="n">
        <x:v>16.26761685552408</x:v>
      </x:c>
      <x:c r="Q226" s="40" t="n">
        <x:v>0.6703486365205384</x:v>
      </x:c>
      <x:c r="R226" s="40" t="n">
        <x:v>0.2640662754573697</x:v>
      </x:c>
      <x:c r="S226" s="40" t="n">
        <x:v>0.02865032792544011</x:v>
      </x:c>
      <x:c r="T226" s="31" t="n">
        <x:v>167.19216657985157</x:v>
      </x:c>
      <x:c r="U226" s="31" t="n">
        <x:v>297.49993913</x:v>
      </x:c>
      <x:c r="V226" s="31" t="n">
        <x:v>51</x:v>
      </x:c>
      <x:c r="W226" s="31" t="n">
        <x:v>9.71798780487805</x:v>
      </x:c>
      <x:c r="X226" s="31" t="n">
        <x:v>1</x:v>
      </x:c>
      <x:c r="Y226" s="40" t="n">
        <x:v>0</x:v>
      </x:c>
      <x:c r="Z226" s="40" t="n">
        <x:v>1</x:v>
      </x:c>
      <x:c r="AA226" s="40" t="n">
        <x:v>1</x:v>
      </x:c>
      <x:c r="AB226" s="31" t="n">
        <x:v>0.19892897198670997</x:v>
      </x:c>
      <x:c r="AC226" s="31" t="n">
        <x:v>7</x:v>
      </x:c>
      <x:c r="AD226" s="44" t="b">
        <x:v>1</x:v>
      </x:c>
    </x:row>
    <x:row r="227">
      <x:c r="A227" s="31" t="str">
        <x:v>36005029500</x:v>
      </x:c>
      <x:c r="B227" s="31" t="str">
        <x:v>Bronx</x:v>
      </x:c>
      <x:c r="C227" s="31" t="str">
        <x:v>029500</x:v>
      </x:c>
      <x:c r="D227" s="31" t="str">
        <x:v>BX0803</x:v>
      </x:c>
      <x:c r="E227" s="31" t="str">
        <x:v>Riverdale-Spuyten Duyvil</x:v>
      </x:c>
      <x:c r="F227" s="31" t="n">
        <x:v>0.09057791156558481</x:v>
      </x:c>
      <x:c r="G227" s="31" t="n">
        <x:v>40.88495660408446</x:v>
      </x:c>
      <x:c r="H227" s="31" t="n">
        <x:v>-73.90855870305477</x:v>
      </x:c>
      <x:c r="I227" s="31" t="n">
        <x:v>4615</x:v>
      </x:c>
      <x:c r="J227" s="31" t="n">
        <x:v>50950.61169144327</x:v>
      </x:c>
      <x:c r="K227" s="31"/>
      <x:c r="L227" s="40"/>
      <x:c r="M227" s="40"/>
      <x:c r="N227" s="31" t="n">
        <x:v>169</x:v>
      </x:c>
      <x:c r="O227" s="31" t="n">
        <x:v>2338</x:v>
      </x:c>
      <x:c r="P227" s="31" t="n">
        <x:v>6.341737955875732</x:v>
      </x:c>
      <x:c r="Q227" s="40" t="n">
        <x:v>0.09409751924721985</x:v>
      </x:c>
      <x:c r="R227" s="40" t="n">
        <x:v>0.7891360136869119</x:v>
      </x:c>
      <x:c r="S227" s="40" t="n">
        <x:v>0.0051325919589392645</x:v>
      </x:c>
      <x:c r="T227" s="31" t="n">
        <x:v>73.09299814689138</x:v>
      </x:c>
      <x:c r="U227" s="31" t="n">
        <x:v>194</x:v>
      </x:c>
      <x:c r="V227" s="31" t="n">
        <x:v>49</x:v>
      </x:c>
      <x:c r="W227" s="31" t="n">
        <x:v>10.617551462621885</x:v>
      </x:c>
      <x:c r="X227" s="31" t="n">
        <x:v>1</x:v>
      </x:c>
      <x:c r="Y227" s="40" t="n">
        <x:v>0</x:v>
      </x:c>
      <x:c r="Z227" s="40" t="n">
        <x:v>1</x:v>
      </x:c>
      <x:c r="AA227" s="40" t="n">
        <x:v>0.9961505560307955</x:v>
      </x:c>
      <x:c r="AB227" s="31" t="n">
        <x:v>0.27792648023830774</x:v>
      </x:c>
      <x:c r="AC227" s="31" t="n">
        <x:v>5</x:v>
      </x:c>
      <x:c r="AD227" s="44" t="b">
        <x:v>1</x:v>
      </x:c>
    </x:row>
    <x:row r="228">
      <x:c r="A228" s="31" t="str">
        <x:v>36005029600</x:v>
      </x:c>
      <x:c r="B228" s="31" t="str">
        <x:v>Bronx</x:v>
      </x:c>
      <x:c r="C228" s="31" t="str">
        <x:v>029600</x:v>
      </x:c>
      <x:c r="D228" s="31" t="str">
        <x:v>BX1102</x:v>
      </x:c>
      <x:c r="E228" s="31" t="str">
        <x:v>Morris Park</x:v>
      </x:c>
      <x:c r="F228" s="31" t="n">
        <x:v>0.2750257616172377</x:v>
      </x:c>
      <x:c r="G228" s="31" t="n">
        <x:v>40.85539544854395</x:v>
      </x:c>
      <x:c r="H228" s="31" t="n">
        <x:v>-73.84510190952672</x:v>
      </x:c>
      <x:c r="I228" s="31" t="n">
        <x:v>2878</x:v>
      </x:c>
      <x:c r="J228" s="31" t="n">
        <x:v>10464.4742480721</x:v>
      </x:c>
      <x:c r="K228" s="31"/>
      <x:c r="L228" s="40"/>
      <x:c r="M228" s="40"/>
      <x:c r="N228" s="31" t="n">
        <x:v>116</x:v>
      </x:c>
      <x:c r="O228" s="31" t="n">
        <x:v>1050</x:v>
      </x:c>
      <x:c r="P228" s="31" t="n">
        <x:v>5.463333333333333</x:v>
      </x:c>
      <x:c r="Q228" s="40" t="n">
        <x:v>0</x:v>
      </x:c>
      <x:c r="R228" s="40" t="n">
        <x:v>0.8419047619047619</x:v>
      </x:c>
      <x:c r="S228" s="40" t="n">
        <x:v>0</x:v>
      </x:c>
      <x:c r="T228" s="31" t="n">
        <x:v>57.112114285714284</x:v>
      </x:c>
      <x:c r="U228" s="31" t="n">
        <x:v>67.91</x:v>
      </x:c>
      <x:c r="V228" s="31" t="n">
        <x:v>14</x:v>
      </x:c>
      <x:c r="W228" s="31" t="n">
        <x:v>4.864489228630994</x:v>
      </x:c>
      <x:c r="X228" s="31" t="n">
        <x:v>4</x:v>
      </x:c>
      <x:c r="Y228" s="40" t="n">
        <x:v>1</x:v>
      </x:c>
      <x:c r="Z228" s="40" t="n">
        <x:v>1</x:v>
      </x:c>
      <x:c r="AA228" s="40" t="n">
        <x:v>1</x:v>
      </x:c>
      <x:c r="AB228" s="31" t="n">
        <x:v>0.1486949448417662</x:v>
      </x:c>
      <x:c r="AC228" s="31" t="n">
        <x:v>12</x:v>
      </x:c>
      <x:c r="AD228" s="44" t="b">
        <x:v>1</x:v>
      </x:c>
    </x:row>
    <x:row r="229">
      <x:c r="A229" s="31" t="str">
        <x:v>36005029700</x:v>
      </x:c>
      <x:c r="B229" s="31" t="str">
        <x:v>Bronx</x:v>
      </x:c>
      <x:c r="C229" s="31" t="str">
        <x:v>029700</x:v>
      </x:c>
      <x:c r="D229" s="31" t="str">
        <x:v>BX0803</x:v>
      </x:c>
      <x:c r="E229" s="31" t="str">
        <x:v>Riverdale-Spuyten Duyvil</x:v>
      </x:c>
      <x:c r="F229" s="31" t="n">
        <x:v>0.0900264168036903</x:v>
      </x:c>
      <x:c r="G229" s="31" t="n">
        <x:v>40.88492428860286</x:v>
      </x:c>
      <x:c r="H229" s="31" t="n">
        <x:v>-73.91183451839888</x:v>
      </x:c>
      <x:c r="I229" s="31" t="n">
        <x:v>4005</x:v>
      </x:c>
      <x:c r="J229" s="31" t="n">
        <x:v>44486.94219090401</x:v>
      </x:c>
      <x:c r="K229" s="31"/>
      <x:c r="L229" s="40"/>
      <x:c r="M229" s="40"/>
      <x:c r="N229" s="31" t="n">
        <x:v>121</x:v>
      </x:c>
      <x:c r="O229" s="31" t="n">
        <x:v>2166</x:v>
      </x:c>
      <x:c r="P229" s="31" t="n">
        <x:v>8.065909510618653</x:v>
      </x:c>
      <x:c r="Q229" s="40" t="n">
        <x:v>0.38596491228070173</x:v>
      </x:c>
      <x:c r="R229" s="40" t="n">
        <x:v>0.5692520775623269</x:v>
      </x:c>
      <x:c r="S229" s="40" t="n">
        <x:v>0.05493998153277932</x:v>
      </x:c>
      <x:c r="T229" s="31" t="n">
        <x:v>98.10063952324087</x:v>
      </x:c>
      <x:c r="U229" s="31" t="n">
        <x:v>177.78194675</x:v>
      </x:c>
      <x:c r="V229" s="31" t="n">
        <x:v>50</x:v>
      </x:c>
      <x:c r="W229" s="31" t="n">
        <x:v>12.484394506866415</x:v>
      </x:c>
      <x:c r="X229" s="31" t="n">
        <x:v>1</x:v>
      </x:c>
      <x:c r="Y229" s="40" t="n">
        <x:v>0</x:v>
      </x:c>
      <x:c r="Z229" s="40" t="n">
        <x:v>1</x:v>
      </x:c>
      <x:c r="AA229" s="40" t="n">
        <x:v>0.9986149584487535</x:v>
      </x:c>
      <x:c r="AB229" s="31" t="n">
        <x:v>0.17590345765218768</x:v>
      </x:c>
      <x:c r="AC229" s="31" t="n">
        <x:v>5</x:v>
      </x:c>
      <x:c r="AD229" s="44" t="b">
        <x:v>1</x:v>
      </x:c>
    </x:row>
    <x:row r="230">
      <x:c r="A230" s="31" t="str">
        <x:v>36005030000</x:v>
      </x:c>
      <x:c r="B230" s="31" t="str">
        <x:v>Bronx</x:v>
      </x:c>
      <x:c r="C230" s="31" t="str">
        <x:v>030000</x:v>
      </x:c>
      <x:c r="D230" s="31" t="str">
        <x:v>BX1003</x:v>
      </x:c>
      <x:c r="E230" s="31" t="str">
        <x:v>Pelham Bay-Country Club-City Island</x:v>
      </x:c>
      <x:c r="F230" s="31" t="n">
        <x:v>0.16106464860824152</x:v>
      </x:c>
      <x:c r="G230" s="31" t="n">
        <x:v>40.852210229759294</x:v>
      </x:c>
      <x:c r="H230" s="31" t="n">
        <x:v>-73.83124404282756</x:v>
      </x:c>
      <x:c r="I230" s="31" t="n">
        <x:v>6591</x:v>
      </x:c>
      <x:c r="J230" s="31" t="n">
        <x:v>40921.456427296645</x:v>
      </x:c>
      <x:c r="K230" s="31"/>
      <x:c r="L230" s="40"/>
      <x:c r="M230" s="40"/>
      <x:c r="N230" s="31" t="n">
        <x:v>724</x:v>
      </x:c>
      <x:c r="O230" s="31" t="n">
        <x:v>2825</x:v>
      </x:c>
      <x:c r="P230" s="31" t="n">
        <x:v>4.032617949627528</x:v>
      </x:c>
      <x:c r="Q230" s="40" t="n">
        <x:v>0.0768141592920354</x:v>
      </x:c>
      <x:c r="R230" s="40" t="n">
        <x:v>0.49097345132743364</x:v>
      </x:c>
      <x:c r="S230" s="40" t="n">
        <x:v>0.007079646017699115</x:v>
      </x:c>
      <x:c r="T230" s="31" t="n">
        <x:v>44.204661415054225</x:v>
      </x:c>
      <x:c r="U230" s="31" t="n">
        <x:v>122.8294729</x:v>
      </x:c>
      <x:c r="V230" s="31" t="n">
        <x:v>20</x:v>
      </x:c>
      <x:c r="W230" s="31" t="n">
        <x:v>3.0344409042633895</x:v>
      </x:c>
      <x:c r="X230" s="31" t="n">
        <x:v>4</x:v>
      </x:c>
      <x:c r="Y230" s="40" t="n">
        <x:v>1</x:v>
      </x:c>
      <x:c r="Z230" s="40" t="n">
        <x:v>1</x:v>
      </x:c>
      <x:c r="AA230" s="40" t="n">
        <x:v>0.9791150442477876</x:v>
      </x:c>
      <x:c r="AB230" s="31" t="n">
        <x:v>0.4712405408907523</x:v>
      </x:c>
      <x:c r="AC230" s="31" t="n">
        <x:v>4</x:v>
      </x:c>
      <x:c r="AD230" s="44" t="b">
        <x:v>1</x:v>
      </x:c>
    </x:row>
    <x:row r="231">
      <x:c r="A231" s="31" t="str">
        <x:v>36005030100</x:v>
      </x:c>
      <x:c r="B231" s="31" t="str">
        <x:v>Bronx</x:v>
      </x:c>
      <x:c r="C231" s="31" t="str">
        <x:v>030100</x:v>
      </x:c>
      <x:c r="D231" s="31" t="str">
        <x:v>BX0803</x:v>
      </x:c>
      <x:c r="E231" s="31" t="str">
        <x:v>Riverdale-Spuyten Duyvil</x:v>
      </x:c>
      <x:c r="F231" s="31" t="n">
        <x:v>0.056649358099101814</x:v>
      </x:c>
      <x:c r="G231" s="31" t="n">
        <x:v>40.88324207972416</x:v>
      </x:c>
      <x:c r="H231" s="31" t="n">
        <x:v>-73.91794095090395</x:v>
      </x:c>
      <x:c r="I231" s="31" t="n">
        <x:v>1627</x:v>
      </x:c>
      <x:c r="J231" s="31" t="n">
        <x:v>28720.537259287965</x:v>
      </x:c>
      <x:c r="K231" s="31"/>
      <x:c r="L231" s="40"/>
      <x:c r="M231" s="40"/>
      <x:c r="N231" s="31" t="n">
        <x:v>61</x:v>
      </x:c>
      <x:c r="O231" s="31" t="n">
        <x:v>653</x:v>
      </x:c>
      <x:c r="P231" s="31" t="n">
        <x:v>8.204441041347627</x:v>
      </x:c>
      <x:c r="Q231" s="40" t="n">
        <x:v>0.39509954058192953</x:v>
      </x:c>
      <x:c r="R231" s="40" t="n">
        <x:v>0.554364471669219</x:v>
      </x:c>
      <x:c r="S231" s="40" t="n">
        <x:v>0.006125574272588055</x:v>
      </x:c>
      <x:c r="T231" s="31" t="n">
        <x:v>77.73589466518405</x:v>
      </x:c>
      <x:c r="U231" s="31" t="n">
        <x:v>125.4</x:v>
      </x:c>
      <x:c r="V231" s="31" t="n">
        <x:v>15</x:v>
      </x:c>
      <x:c r="W231" s="31" t="n">
        <x:v>9.21942224953903</x:v>
      </x:c>
      <x:c r="X231" s="31" t="n">
        <x:v>1</x:v>
      </x:c>
      <x:c r="Y231" s="40" t="n">
        <x:v>0</x:v>
      </x:c>
      <x:c r="Z231" s="40" t="n">
        <x:v>1</x:v>
      </x:c>
      <x:c r="AA231" s="40" t="n">
        <x:v>0.998468606431853</x:v>
      </x:c>
      <x:c r="AB231" s="31" t="n">
        <x:v>0.2704756656773594</x:v>
      </x:c>
      <x:c r="AC231" s="31" t="n">
        <x:v>5</x:v>
      </x:c>
      <x:c r="AD231" s="44" t="b">
        <x:v>1</x:v>
      </x:c>
    </x:row>
    <x:row r="232">
      <x:c r="A232" s="31" t="str">
        <x:v>36005030201</x:v>
      </x:c>
      <x:c r="B232" s="31" t="str">
        <x:v>Bronx</x:v>
      </x:c>
      <x:c r="C232" s="31" t="str">
        <x:v>030201</x:v>
      </x:c>
      <x:c r="D232" s="31" t="str">
        <x:v>BX1004</x:v>
      </x:c>
      <x:c r="E232" s="31" t="str">
        <x:v>Co-op City</x:v>
      </x:c>
      <x:c r="F232" s="31" t="n">
        <x:v>0.08572055175261134</x:v>
      </x:c>
      <x:c r="G232" s="31" t="n">
        <x:v>40.861923231432975</x:v>
      </x:c>
      <x:c r="H232" s="31" t="n">
        <x:v>-73.82450092383428</x:v>
      </x:c>
      <x:c r="I232" s="31" t="n">
        <x:v>4048</x:v>
      </x:c>
      <x:c r="J232" s="31" t="n">
        <x:v>47223.21447116308</x:v>
      </x:c>
      <x:c r="K232" s="31"/>
      <x:c r="L232" s="40"/>
      <x:c r="M232" s="40"/>
      <x:c r="N232" s="31" t="n">
        <x:v>66</x:v>
      </x:c>
      <x:c r="O232" s="31" t="n">
        <x:v>4573</x:v>
      </x:c>
      <x:c r="P232" s="31" t="n">
        <x:v>32.22113492237043</x:v>
      </x:c>
      <x:c r="Q232" s="40" t="n">
        <x:v>0.9748523944893943</x:v>
      </x:c>
      <x:c r="R232" s="40" t="n">
        <x:v>0.004592171441067133</x:v>
      </x:c>
      <x:c r="S232" s="40" t="n">
        <x:v>0.9748523944893943</x:v>
      </x:c>
      <x:c r="T232" s="31" t="n">
        <x:v>282.75033996543345</x:v>
      </x:c>
      <x:c r="U232" s="31" t="n">
        <x:v>289.03</x:v>
      </x:c>
      <x:c r="V232" s="31" t="n">
        <x:v>49</x:v>
      </x:c>
      <x:c r="W232" s="31" t="n">
        <x:v>12.104743083003951</x:v>
      </x:c>
      <x:c r="X232" s="31" t="n">
        <x:v>4</x:v>
      </x:c>
      <x:c r="Y232" s="40" t="n">
        <x:v>1</x:v>
      </x:c>
      <x:c r="Z232" s="40" t="n">
        <x:v>1</x:v>
      </x:c>
      <x:c r="AA232" s="40" t="n">
        <x:v>0.998906625847365</x:v>
      </x:c>
      <x:c r="AB232" s="31" t="n">
        <x:v>0.15680765988431994</x:v>
      </x:c>
      <x:c r="AC232" s="31" t="n">
        <x:v>3</x:v>
      </x:c>
      <x:c r="AD232" s="44" t="b">
        <x:v>1</x:v>
      </x:c>
    </x:row>
    <x:row r="233">
      <x:c r="A233" s="31" t="str">
        <x:v>36005030202</x:v>
      </x:c>
      <x:c r="B233" s="31" t="str">
        <x:v>Bronx</x:v>
      </x:c>
      <x:c r="C233" s="31" t="str">
        <x:v>030202</x:v>
      </x:c>
      <x:c r="D233" s="31" t="str">
        <x:v>BX1004</x:v>
      </x:c>
      <x:c r="E233" s="31" t="str">
        <x:v>Co-op City</x:v>
      </x:c>
      <x:c r="F233" s="31" t="n">
        <x:v>0.12002756621147555</x:v>
      </x:c>
      <x:c r="G233" s="31" t="n">
        <x:v>40.86531437103212</x:v>
      </x:c>
      <x:c r="H233" s="31" t="n">
        <x:v>-73.82024627403236</x:v>
      </x:c>
      <x:c r="I233" s="31" t="n">
        <x:v>6063</x:v>
      </x:c>
      <x:c r="J233" s="31" t="n">
        <x:v>50513.39614199668</x:v>
      </x:c>
      <x:c r="K233" s="31"/>
      <x:c r="L233" s="40"/>
      <x:c r="M233" s="40"/>
      <x:c r="N233" s="31" t="n">
        <x:v>0</x:v>
      </x:c>
      <x:c r="O233" s="31"/>
      <x:c r="P233" s="31"/>
      <x:c r="Q233" s="40"/>
      <x:c r="R233" s="40"/>
      <x:c r="S233" s="40"/>
      <x:c r="T233" s="31"/>
      <x:c r="U233" s="31"/>
      <x:c r="V233" s="31" t="n">
        <x:v>0</x:v>
      </x:c>
      <x:c r="W233" s="31" t="n">
        <x:v>0</x:v>
      </x:c>
      <x:c r="X233" s="31"/>
      <x:c r="Y233" s="40"/>
      <x:c r="Z233" s="40"/>
      <x:c r="AA233" s="40"/>
      <x:c r="AB233" s="31" t="n">
        <x:v>0.20978048640115482</x:v>
      </x:c>
      <x:c r="AC233" s="31" t="n">
        <x:v>5</x:v>
      </x:c>
      <x:c r="AD233" s="44" t="b">
        <x:v>0</x:v>
      </x:c>
    </x:row>
    <x:row r="234">
      <x:c r="A234" s="31" t="str">
        <x:v>36005030701</x:v>
      </x:c>
      <x:c r="B234" s="31" t="str">
        <x:v>Bronx</x:v>
      </x:c>
      <x:c r="C234" s="31" t="str">
        <x:v>030701</x:v>
      </x:c>
      <x:c r="D234" s="31" t="str">
        <x:v>BX0803</x:v>
      </x:c>
      <x:c r="E234" s="31" t="str">
        <x:v>Riverdale-Spuyten Duyvil</x:v>
      </x:c>
      <x:c r="F234" s="31" t="n">
        <x:v>0.1529366125642074</x:v>
      </x:c>
      <x:c r="G234" s="31" t="n">
        <x:v>40.89316886210166</x:v>
      </x:c>
      <x:c r="H234" s="31" t="n">
        <x:v>-73.91055477662042</x:v>
      </x:c>
      <x:c r="I234" s="31" t="n">
        <x:v>5799</x:v>
      </x:c>
      <x:c r="J234" s="31" t="n">
        <x:v>37917.669959934574</x:v>
      </x:c>
      <x:c r="K234" s="31"/>
      <x:c r="L234" s="40"/>
      <x:c r="M234" s="40"/>
      <x:c r="N234" s="31" t="n">
        <x:v>126</x:v>
      </x:c>
      <x:c r="O234" s="31" t="n">
        <x:v>3038</x:v>
      </x:c>
      <x:c r="P234" s="31" t="n">
        <x:v>11.532772637144745</x:v>
      </x:c>
      <x:c r="Q234" s="40" t="n">
        <x:v>0.6682027649769585</x:v>
      </x:c>
      <x:c r="R234" s="40" t="n">
        <x:v>0.2774851876234365</x:v>
      </x:c>
      <x:c r="S234" s="40" t="n">
        <x:v>0.17906517445687953</x:v>
      </x:c>
      <x:c r="T234" s="31" t="n">
        <x:v>120.71185803007904</x:v>
      </x:c>
      <x:c r="U234" s="31" t="n">
        <x:v>225.3418055</x:v>
      </x:c>
      <x:c r="V234" s="31" t="n">
        <x:v>53</x:v>
      </x:c>
      <x:c r="W234" s="31" t="n">
        <x:v>9.139506811519228</x:v>
      </x:c>
      <x:c r="X234" s="31" t="n">
        <x:v>1</x:v>
      </x:c>
      <x:c r="Y234" s="40" t="n">
        <x:v>0</x:v>
      </x:c>
      <x:c r="Z234" s="40" t="n">
        <x:v>1</x:v>
      </x:c>
      <x:c r="AA234" s="40" t="n">
        <x:v>0.9993416721527321</x:v>
      </x:c>
      <x:c r="AB234" s="31" t="n">
        <x:v>0.3771096376190166</x:v>
      </x:c>
      <x:c r="AC234" s="31" t="n">
        <x:v>7</x:v>
      </x:c>
      <x:c r="AD234" s="44" t="b">
        <x:v>1</x:v>
      </x:c>
    </x:row>
    <x:row r="235">
      <x:c r="A235" s="31" t="str">
        <x:v>36005030900</x:v>
      </x:c>
      <x:c r="B235" s="31" t="str">
        <x:v>Bronx</x:v>
      </x:c>
      <x:c r="C235" s="31" t="str">
        <x:v>030900</x:v>
      </x:c>
      <x:c r="D235" s="31" t="str">
        <x:v>BX0803</x:v>
      </x:c>
      <x:c r="E235" s="31" t="str">
        <x:v>Riverdale-Spuyten Duyvil</x:v>
      </x:c>
      <x:c r="F235" s="31" t="n">
        <x:v>0.4915962419686926</x:v>
      </x:c>
      <x:c r="G235" s="31" t="n">
        <x:v>40.89728690887374</x:v>
      </x:c>
      <x:c r="H235" s="31" t="n">
        <x:v>-73.91398013592867</x:v>
      </x:c>
      <x:c r="I235" s="31" t="n">
        <x:v>3947</x:v>
      </x:c>
      <x:c r="J235" s="31" t="n">
        <x:v>8028.9466497820895</x:v>
      </x:c>
      <x:c r="K235" s="31"/>
      <x:c r="L235" s="40"/>
      <x:c r="M235" s="40"/>
      <x:c r="N235" s="31" t="n">
        <x:v>134</x:v>
      </x:c>
      <x:c r="O235" s="31" t="n">
        <x:v>1484</x:v>
      </x:c>
      <x:c r="P235" s="31" t="n">
        <x:v>9.34917115902965</x:v>
      </x:c>
      <x:c r="Q235" s="40" t="n">
        <x:v>0.3753369272237197</x:v>
      </x:c>
      <x:c r="R235" s="40" t="n">
        <x:v>0.543800539083558</x:v>
      </x:c>
      <x:c r="S235" s="40" t="n">
        <x:v>0.1192722371967655</x:v>
      </x:c>
      <x:c r="T235" s="31" t="n">
        <x:v>97.90201393301213</x:v>
      </x:c>
      <x:c r="U235" s="31" t="n">
        <x:v>170.55</x:v>
      </x:c>
      <x:c r="V235" s="31" t="n">
        <x:v>28</x:v>
      </x:c>
      <x:c r="W235" s="31" t="n">
        <x:v>7.09399543957436</x:v>
      </x:c>
      <x:c r="X235" s="31" t="n">
        <x:v>1</x:v>
      </x:c>
      <x:c r="Y235" s="40" t="n">
        <x:v>0</x:v>
      </x:c>
      <x:c r="Z235" s="40" t="n">
        <x:v>1</x:v>
      </x:c>
      <x:c r="AA235" s="40" t="n">
        <x:v>1</x:v>
      </x:c>
      <x:c r="AB235" s="31" t="n">
        <x:v>0.6471374618005511</x:v>
      </x:c>
      <x:c r="AC235" s="31" t="n">
        <x:v>5</x:v>
      </x:c>
      <x:c r="AD235" s="44" t="b">
        <x:v>1</x:v>
      </x:c>
    </x:row>
    <x:row r="236">
      <x:c r="A236" s="31" t="str">
        <x:v>36005031000</x:v>
      </x:c>
      <x:c r="B236" s="31" t="str">
        <x:v>Bronx</x:v>
      </x:c>
      <x:c r="C236" s="31" t="str">
        <x:v>031000</x:v>
      </x:c>
      <x:c r="D236" s="31" t="str">
        <x:v>BX1103</x:v>
      </x:c>
      <x:c r="E236" s="31" t="str">
        <x:v>Pelham Gardens</x:v>
      </x:c>
      <x:c r="F236" s="31" t="n">
        <x:v>0.24690454334215736</x:v>
      </x:c>
      <x:c r="G236" s="31" t="n">
        <x:v>40.86124731918727</x:v>
      </x:c>
      <x:c r="H236" s="31" t="n">
        <x:v>-73.83601826587432</x:v>
      </x:c>
      <x:c r="I236" s="31" t="n">
        <x:v>4372</x:v>
      </x:c>
      <x:c r="J236" s="31" t="n">
        <x:v>17707.24807579314</x:v>
      </x:c>
      <x:c r="K236" s="31"/>
      <x:c r="L236" s="40"/>
      <x:c r="M236" s="40"/>
      <x:c r="N236" s="31" t="n">
        <x:v>855</x:v>
      </x:c>
      <x:c r="O236" s="31" t="n">
        <x:v>1216</x:v>
      </x:c>
      <x:c r="P236" s="31" t="n">
        <x:v>1.8944197530864195</x:v>
      </x:c>
      <x:c r="Q236" s="40" t="n">
        <x:v>0</x:v>
      </x:c>
      <x:c r="R236" s="40" t="n">
        <x:v>0.023026315789473683</x:v>
      </x:c>
      <x:c r="S236" s="40" t="n">
        <x:v>0.007401315789473684</x:v>
      </x:c>
      <x:c r="T236" s="31" t="n">
        <x:v>27.45846872538589</x:v>
      </x:c>
      <x:c r="U236" s="31" t="n">
        <x:v>40.48</x:v>
      </x:c>
      <x:c r="V236" s="31" t="n">
        <x:v>1</x:v>
      </x:c>
      <x:c r="W236" s="31" t="n">
        <x:v>0.22872827081427266</x:v>
      </x:c>
      <x:c r="X236" s="31" t="n">
        <x:v>5</x:v>
      </x:c>
      <x:c r="Y236" s="40" t="n">
        <x:v>1</x:v>
      </x:c>
      <x:c r="Z236" s="40" t="n">
        <x:v>1</x:v>
      </x:c>
      <x:c r="AA236" s="40" t="n">
        <x:v>0.990953947368421</x:v>
      </x:c>
      <x:c r="AB236" s="31" t="n">
        <x:v>0.21350225739606013</x:v>
      </x:c>
      <x:c r="AC236" s="31" t="n">
        <x:v>7</x:v>
      </x:c>
      <x:c r="AD236" s="44" t="b">
        <x:v>1</x:v>
      </x:c>
    </x:row>
    <x:row r="237">
      <x:c r="A237" s="31" t="str">
        <x:v>36005031200</x:v>
      </x:c>
      <x:c r="B237" s="31" t="str">
        <x:v>Bronx</x:v>
      </x:c>
      <x:c r="C237" s="31" t="str">
        <x:v>031200</x:v>
      </x:c>
      <x:c r="D237" s="31" t="str">
        <x:v>BX1103</x:v>
      </x:c>
      <x:c r="E237" s="31" t="str">
        <x:v>Pelham Gardens</x:v>
      </x:c>
      <x:c r="F237" s="31" t="n">
        <x:v>0.07804729970945248</x:v>
      </x:c>
      <x:c r="G237" s="31" t="n">
        <x:v>40.862059745705665</x:v>
      </x:c>
      <x:c r="H237" s="31" t="n">
        <x:v>-73.8424491582518</x:v>
      </x:c>
      <x:c r="I237" s="31" t="n">
        <x:v>1555</x:v>
      </x:c>
      <x:c r="J237" s="31" t="n">
        <x:v>19923.815504044534</x:v>
      </x:c>
      <x:c r="K237" s="31"/>
      <x:c r="L237" s="40"/>
      <x:c r="M237" s="40"/>
      <x:c r="N237" s="31" t="n">
        <x:v>396</x:v>
      </x:c>
      <x:c r="O237" s="31" t="n">
        <x:v>593</x:v>
      </x:c>
      <x:c r="P237" s="31" t="n">
        <x:v>1.9729342327150086</x:v>
      </x:c>
      <x:c r="Q237" s="40" t="n">
        <x:v>0</x:v>
      </x:c>
      <x:c r="R237" s="40" t="n">
        <x:v>0.05733558178752108</x:v>
      </x:c>
      <x:c r="S237" s="40" t="n">
        <x:v>0.00505902192242833</x:v>
      </x:c>
      <x:c r="T237" s="31" t="n">
        <x:v>27.322913091881357</x:v>
      </x:c>
      <x:c r="U237" s="31" t="n">
        <x:v>38.05</x:v>
      </x:c>
      <x:c r="V237" s="31" t="n">
        <x:v>2</x:v>
      </x:c>
      <x:c r="W237" s="31" t="n">
        <x:v>1.2861736334405145</x:v>
      </x:c>
      <x:c r="X237" s="31" t="n">
        <x:v>5</x:v>
      </x:c>
      <x:c r="Y237" s="40" t="n">
        <x:v>1</x:v>
      </x:c>
      <x:c r="Z237" s="40" t="n">
        <x:v>1</x:v>
      </x:c>
      <x:c r="AA237" s="40" t="n">
        <x:v>0.9949409780775716</x:v>
      </x:c>
      <x:c r="AB237" s="31" t="n">
        <x:v>0.24072478749739182</x:v>
      </x:c>
      <x:c r="AC237" s="31" t="n">
        <x:v>4</x:v>
      </x:c>
      <x:c r="AD237" s="44" t="b">
        <x:v>1</x:v>
      </x:c>
    </x:row>
    <x:row r="238">
      <x:c r="A238" s="31" t="str">
        <x:v>36005031400</x:v>
      </x:c>
      <x:c r="B238" s="31" t="str">
        <x:v>Bronx</x:v>
      </x:c>
      <x:c r="C238" s="31" t="str">
        <x:v>031400</x:v>
      </x:c>
      <x:c r="D238" s="31" t="str">
        <x:v>BX1103</x:v>
      </x:c>
      <x:c r="E238" s="31" t="str">
        <x:v>Pelham Gardens</x:v>
      </x:c>
      <x:c r="F238" s="31" t="n">
        <x:v>0.08150649987911789</x:v>
      </x:c>
      <x:c r="G238" s="31" t="n">
        <x:v>40.86153808171865</x:v>
      </x:c>
      <x:c r="H238" s="31" t="n">
        <x:v>-73.84553348538466</x:v>
      </x:c>
      <x:c r="I238" s="31" t="n">
        <x:v>2071</x:v>
      </x:c>
      <x:c r="J238" s="31" t="n">
        <x:v>25409.016496494092</x:v>
      </x:c>
      <x:c r="K238" s="31"/>
      <x:c r="L238" s="40"/>
      <x:c r="M238" s="40"/>
      <x:c r="N238" s="31" t="n">
        <x:v>431</x:v>
      </x:c>
      <x:c r="O238" s="31" t="n">
        <x:v>625</x:v>
      </x:c>
      <x:c r="P238" s="31" t="n">
        <x:v>1.9675441412520063</x:v>
      </x:c>
      <x:c r="Q238" s="40" t="n">
        <x:v>0</x:v>
      </x:c>
      <x:c r="R238" s="40" t="n">
        <x:v>0.0512</x:v>
      </x:c>
      <x:c r="S238" s="40" t="n">
        <x:v>0.0128</x:v>
      </x:c>
      <x:c r="T238" s="31" t="n">
        <x:v>28.820256644297253</x:v>
      </x:c>
      <x:c r="U238" s="31" t="n">
        <x:v>45.56</x:v>
      </x:c>
      <x:c r="V238" s="31" t="n">
        <x:v>1</x:v>
      </x:c>
      <x:c r="W238" s="31" t="n">
        <x:v>0.48285852245292127</x:v>
      </x:c>
      <x:c r="X238" s="31" t="n">
        <x:v>5</x:v>
      </x:c>
      <x:c r="Y238" s="40" t="n">
        <x:v>1</x:v>
      </x:c>
      <x:c r="Z238" s="40" t="n">
        <x:v>1</x:v>
      </x:c>
      <x:c r="AA238" s="40" t="n">
        <x:v>0.9904</x:v>
      </x:c>
      <x:c r="AB238" s="31" t="n">
        <x:v>0.1302294217142486</x:v>
      </x:c>
      <x:c r="AC238" s="31" t="n">
        <x:v>5</x:v>
      </x:c>
      <x:c r="AD238" s="44" t="b">
        <x:v>1</x:v>
      </x:c>
    </x:row>
    <x:row r="239">
      <x:c r="A239" s="31" t="str">
        <x:v>36005031600</x:v>
      </x:c>
      <x:c r="B239" s="31" t="str">
        <x:v>Bronx</x:v>
      </x:c>
      <x:c r="C239" s="31" t="str">
        <x:v>031600</x:v>
      </x:c>
      <x:c r="D239" s="31" t="str">
        <x:v>BX1103</x:v>
      </x:c>
      <x:c r="E239" s="31" t="str">
        <x:v>Pelham Gardens</x:v>
      </x:c>
      <x:c r="F239" s="31" t="n">
        <x:v>0.06840210657318928</x:v>
      </x:c>
      <x:c r="G239" s="31" t="n">
        <x:v>40.86197103601646</x:v>
      </x:c>
      <x:c r="H239" s="31" t="n">
        <x:v>-73.84872455539781</x:v>
      </x:c>
      <x:c r="I239" s="31" t="n">
        <x:v>2071</x:v>
      </x:c>
      <x:c r="J239" s="31" t="n">
        <x:v>30276.845315926923</x:v>
      </x:c>
      <x:c r="K239" s="31"/>
      <x:c r="L239" s="40"/>
      <x:c r="M239" s="40"/>
      <x:c r="N239" s="31" t="n">
        <x:v>407</x:v>
      </x:c>
      <x:c r="O239" s="31" t="n">
        <x:v>687</x:v>
      </x:c>
      <x:c r="P239" s="31" t="n">
        <x:v>1.8138304093567252</x:v>
      </x:c>
      <x:c r="Q239" s="40" t="n">
        <x:v>0</x:v>
      </x:c>
      <x:c r="R239" s="40" t="n">
        <x:v>0.06404657933042213</x:v>
      </x:c>
      <x:c r="S239" s="40" t="n">
        <x:v>0.002911208151382824</x:v>
      </x:c>
      <x:c r="T239" s="31" t="n">
        <x:v>27.477712057021897</x:v>
      </x:c>
      <x:c r="U239" s="31" t="n">
        <x:v>40.08</x:v>
      </x:c>
      <x:c r="V239" s="31" t="n">
        <x:v>0</x:v>
      </x:c>
      <x:c r="W239" s="31" t="n">
        <x:v>0</x:v>
      </x:c>
      <x:c r="X239" s="31" t="n">
        <x:v>5</x:v>
      </x:c>
      <x:c r="Y239" s="40" t="n">
        <x:v>1</x:v>
      </x:c>
      <x:c r="Z239" s="40" t="n">
        <x:v>1</x:v>
      </x:c>
      <x:c r="AA239" s="40" t="n">
        <x:v>0.9970887918486172</x:v>
      </x:c>
      <x:c r="AB239" s="31" t="n">
        <x:v>0.1294097935801748</x:v>
      </x:c>
      <x:c r="AC239" s="31" t="n">
        <x:v>5</x:v>
      </x:c>
      <x:c r="AD239" s="44" t="b">
        <x:v>1</x:v>
      </x:c>
    </x:row>
    <x:row r="240">
      <x:c r="A240" s="31" t="str">
        <x:v>36005031800</x:v>
      </x:c>
      <x:c r="B240" s="31" t="str">
        <x:v>Bronx</x:v>
      </x:c>
      <x:c r="C240" s="31" t="str">
        <x:v>031800</x:v>
      </x:c>
      <x:c r="D240" s="31" t="str">
        <x:v>BX1103</x:v>
      </x:c>
      <x:c r="E240" s="31" t="str">
        <x:v>Pelham Gardens</x:v>
      </x:c>
      <x:c r="F240" s="31" t="n">
        <x:v>0.06885005689637856</x:v>
      </x:c>
      <x:c r="G240" s="31" t="n">
        <x:v>40.861954694247366</x:v>
      </x:c>
      <x:c r="H240" s="31" t="n">
        <x:v>-73.85156789499047</x:v>
      </x:c>
      <x:c r="I240" s="31" t="n">
        <x:v>1961</x:v>
      </x:c>
      <x:c r="J240" s="31" t="n">
        <x:v>28482.18416073882</x:v>
      </x:c>
      <x:c r="K240" s="31"/>
      <x:c r="L240" s="40"/>
      <x:c r="M240" s="40"/>
      <x:c r="N240" s="31" t="n">
        <x:v>362</x:v>
      </x:c>
      <x:c r="O240" s="31" t="n">
        <x:v>590</x:v>
      </x:c>
      <x:c r="P240" s="31" t="n">
        <x:v>2.0273389830508477</x:v>
      </x:c>
      <x:c r="Q240" s="40" t="n">
        <x:v>0</x:v>
      </x:c>
      <x:c r="R240" s="40" t="n">
        <x:v>0.14745762711864407</x:v>
      </x:c>
      <x:c r="S240" s="40" t="n">
        <x:v>0</x:v>
      </x:c>
      <x:c r="T240" s="31" t="n">
        <x:v>28.78623249459322</x:v>
      </x:c>
      <x:c r="U240" s="31" t="n">
        <x:v>41.73811675</x:v>
      </x:c>
      <x:c r="V240" s="31" t="n">
        <x:v>0</x:v>
      </x:c>
      <x:c r="W240" s="31" t="n">
        <x:v>0</x:v>
      </x:c>
      <x:c r="X240" s="31" t="n">
        <x:v>5</x:v>
      </x:c>
      <x:c r="Y240" s="40" t="n">
        <x:v>1</x:v>
      </x:c>
      <x:c r="Z240" s="40" t="n">
        <x:v>1</x:v>
      </x:c>
      <x:c r="AA240" s="40" t="n">
        <x:v>1</x:v>
      </x:c>
      <x:c r="AB240" s="31" t="n">
        <x:v>0.26264826175814693</x:v>
      </x:c>
      <x:c r="AC240" s="31" t="n">
        <x:v>5</x:v>
      </x:c>
      <x:c r="AD240" s="44" t="b">
        <x:v>1</x:v>
      </x:c>
    </x:row>
    <x:row r="241">
      <x:c r="A241" s="31" t="str">
        <x:v>36005031900</x:v>
      </x:c>
      <x:c r="B241" s="31" t="str">
        <x:v>Bronx</x:v>
      </x:c>
      <x:c r="C241" s="31" t="str">
        <x:v>031900</x:v>
      </x:c>
      <x:c r="D241" s="31" t="str">
        <x:v>BX0803</x:v>
      </x:c>
      <x:c r="E241" s="31" t="str">
        <x:v>Riverdale-Spuyten Duyvil</x:v>
      </x:c>
      <x:c r="F241" s="31" t="n">
        <x:v>0.08541876125889578</x:v>
      </x:c>
      <x:c r="G241" s="31" t="n">
        <x:v>40.912949636794934</x:v>
      </x:c>
      <x:c r="H241" s="31" t="n">
        <x:v>-73.90683898337865</x:v>
      </x:c>
      <x:c r="I241" s="31" t="n">
        <x:v>454</x:v>
      </x:c>
      <x:c r="J241" s="31" t="n">
        <x:v>5314.991616700822</x:v>
      </x:c>
      <x:c r="K241" s="31"/>
      <x:c r="L241" s="40"/>
      <x:c r="M241" s="40"/>
      <x:c r="N241" s="31" t="n">
        <x:v>1</x:v>
      </x:c>
      <x:c r="O241" s="31" t="n">
        <x:v>67</x:v>
      </x:c>
      <x:c r="P241" s="31" t="n">
        <x:v>12</x:v>
      </x:c>
      <x:c r="Q241" s="40" t="n">
        <x:v>1</x:v>
      </x:c>
      <x:c r="R241" s="40" t="n">
        <x:v>0</x:v>
      </x:c>
      <x:c r="S241" s="40" t="n">
        <x:v>1</x:v>
      </x:c>
      <x:c r="T241" s="31" t="n">
        <x:v>86</x:v>
      </x:c>
      <x:c r="U241" s="31" t="n">
        <x:v>86</x:v>
      </x:c>
      <x:c r="V241" s="31" t="n">
        <x:v>15</x:v>
      </x:c>
      <x:c r="W241" s="31" t="n">
        <x:v>33.03964757709251</x:v>
      </x:c>
      <x:c r="X241" s="31" t="n">
        <x:v>1</x:v>
      </x:c>
      <x:c r="Y241" s="40" t="n">
        <x:v>0</x:v>
      </x:c>
      <x:c r="Z241" s="40" t="n">
        <x:v>1</x:v>
      </x:c>
      <x:c r="AA241" s="40" t="n">
        <x:v>1</x:v>
      </x:c>
      <x:c r="AB241" s="31" t="n">
        <x:v>0.6576544611878539</x:v>
      </x:c>
      <x:c r="AC241" s="31" t="n">
        <x:v>3</x:v>
      </x:c>
      <x:c r="AD241" s="44" t="b">
        <x:v>1</x:v>
      </x:c>
    </x:row>
    <x:row r="242">
      <x:c r="A242" s="31" t="str">
        <x:v>36005032300</x:v>
      </x:c>
      <x:c r="B242" s="31" t="str">
        <x:v>Bronx</x:v>
      </x:c>
      <x:c r="C242" s="31" t="str">
        <x:v>032300</x:v>
      </x:c>
      <x:c r="D242" s="31" t="str">
        <x:v>BX0803</x:v>
      </x:c>
      <x:c r="E242" s="31" t="str">
        <x:v>Riverdale-Spuyten Duyvil</x:v>
      </x:c>
      <x:c r="F242" s="31" t="n">
        <x:v>0.21592427755394855</x:v>
      </x:c>
      <x:c r="G242" s="31" t="n">
        <x:v>40.905335246570985</x:v>
      </x:c>
      <x:c r="H242" s="31" t="n">
        <x:v>-73.90756745529093</x:v>
      </x:c>
      <x:c r="I242" s="31" t="n">
        <x:v>5001</x:v>
      </x:c>
      <x:c r="J242" s="31" t="n">
        <x:v>23160.897221251573</x:v>
      </x:c>
      <x:c r="K242" s="31"/>
      <x:c r="L242" s="40"/>
      <x:c r="M242" s="40"/>
      <x:c r="N242" s="31" t="n">
        <x:v>173</x:v>
      </x:c>
      <x:c r="O242" s="31" t="n">
        <x:v>2873</x:v>
      </x:c>
      <x:c r="P242" s="31" t="n">
        <x:v>12.363853115210581</x:v>
      </x:c>
      <x:c r="Q242" s="40" t="n">
        <x:v>0.49216846501914374</x:v>
      </x:c>
      <x:c r="R242" s="40" t="n">
        <x:v>0.4542290288896624</x:v>
      </x:c>
      <x:c r="S242" s="40" t="n">
        <x:v>0.2554820744865994</x:v>
      </x:c>
      <x:c r="T242" s="31" t="n">
        <x:v>121.5061839974826</x:v>
      </x:c>
      <x:c r="U242" s="31" t="n">
        <x:v>195.99</x:v>
      </x:c>
      <x:c r="V242" s="31" t="n">
        <x:v>50</x:v>
      </x:c>
      <x:c r="W242" s="31" t="n">
        <x:v>9.998000399920015</x:v>
      </x:c>
      <x:c r="X242" s="31" t="n">
        <x:v>1</x:v>
      </x:c>
      <x:c r="Y242" s="40" t="n">
        <x:v>0</x:v>
      </x:c>
      <x:c r="Z242" s="40" t="n">
        <x:v>1</x:v>
      </x:c>
      <x:c r="AA242" s="40" t="n">
        <x:v>0.9996519317786287</x:v>
      </x:c>
      <x:c r="AB242" s="31" t="n">
        <x:v>0.19125263516710084</x:v>
      </x:c>
      <x:c r="AC242" s="31" t="n">
        <x:v>5</x:v>
      </x:c>
      <x:c r="AD242" s="44" t="b">
        <x:v>1</x:v>
      </x:c>
    </x:row>
    <x:row r="243">
      <x:c r="A243" s="31" t="str">
        <x:v>36005032400</x:v>
      </x:c>
      <x:c r="B243" s="31" t="str">
        <x:v>Bronx</x:v>
      </x:c>
      <x:c r="C243" s="31" t="str">
        <x:v>032400</x:v>
      </x:c>
      <x:c r="D243" s="31" t="str">
        <x:v>BX1104</x:v>
      </x:c>
      <x:c r="E243" s="31" t="str">
        <x:v>Allerton</x:v>
      </x:c>
      <x:c r="F243" s="31" t="n">
        <x:v>0.10315848077292815</x:v>
      </x:c>
      <x:c r="G243" s="31" t="n">
        <x:v>40.861348885684315</x:v>
      </x:c>
      <x:c r="H243" s="31" t="n">
        <x:v>-73.85971795180595</x:v>
      </x:c>
      <x:c r="I243" s="31" t="n">
        <x:v>3113</x:v>
      </x:c>
      <x:c r="J243" s="31" t="n">
        <x:v>30176.86938267652</x:v>
      </x:c>
      <x:c r="K243" s="31"/>
      <x:c r="L243" s="40"/>
      <x:c r="M243" s="40"/>
      <x:c r="N243" s="31" t="n">
        <x:v>152</x:v>
      </x:c>
      <x:c r="O243" s="31" t="n">
        <x:v>1268</x:v>
      </x:c>
      <x:c r="P243" s="31" t="n">
        <x:v>4.855481072555205</x:v>
      </x:c>
      <x:c r="Q243" s="40" t="n">
        <x:v>0</x:v>
      </x:c>
      <x:c r="R243" s="40" t="n">
        <x:v>0.7831230283911672</x:v>
      </x:c>
      <x:c r="S243" s="40" t="n">
        <x:v>0.6466876971608833</x:v>
      </x:c>
      <x:c r="T243" s="31" t="n">
        <x:v>50.66157340680599</x:v>
      </x:c>
      <x:c r="U243" s="31" t="n">
        <x:v>62</x:v>
      </x:c>
      <x:c r="V243" s="31" t="n">
        <x:v>25</x:v>
      </x:c>
      <x:c r="W243" s="31" t="n">
        <x:v>8.030838419531</x:v>
      </x:c>
      <x:c r="X243" s="31" t="n">
        <x:v>5</x:v>
      </x:c>
      <x:c r="Y243" s="40" t="n">
        <x:v>1</x:v>
      </x:c>
      <x:c r="Z243" s="40" t="n">
        <x:v>1</x:v>
      </x:c>
      <x:c r="AA243" s="40" t="n">
        <x:v>1</x:v>
      </x:c>
      <x:c r="AB243" s="31" t="n">
        <x:v>0.07296611338312672</x:v>
      </x:c>
      <x:c r="AC243" s="31" t="n">
        <x:v>7</x:v>
      </x:c>
      <x:c r="AD243" s="44" t="b">
        <x:v>1</x:v>
      </x:c>
    </x:row>
    <x:row r="244">
      <x:c r="A244" s="31" t="str">
        <x:v>36005032600</x:v>
      </x:c>
      <x:c r="B244" s="31" t="str">
        <x:v>Bronx</x:v>
      </x:c>
      <x:c r="C244" s="31" t="str">
        <x:v>032600</x:v>
      </x:c>
      <x:c r="D244" s="31" t="str">
        <x:v>BX1103</x:v>
      </x:c>
      <x:c r="E244" s="31" t="str">
        <x:v>Pelham Gardens</x:v>
      </x:c>
      <x:c r="F244" s="31" t="n">
        <x:v>0.12836166777038854</x:v>
      </x:c>
      <x:c r="G244" s="31" t="n">
        <x:v>40.862177972858824</x:v>
      </x:c>
      <x:c r="H244" s="31" t="n">
        <x:v>-73.85548320493452</x:v>
      </x:c>
      <x:c r="I244" s="31" t="n">
        <x:v>3494</x:v>
      </x:c>
      <x:c r="J244" s="31" t="n">
        <x:v>27219.964189387254</x:v>
      </x:c>
      <x:c r="K244" s="31"/>
      <x:c r="L244" s="40"/>
      <x:c r="M244" s="40"/>
      <x:c r="N244" s="31" t="n">
        <x:v>606</x:v>
      </x:c>
      <x:c r="O244" s="31" t="n">
        <x:v>1075</x:v>
      </x:c>
      <x:c r="P244" s="31" t="n">
        <x:v>2.2443336439888166</x:v>
      </x:c>
      <x:c r="Q244" s="40" t="n">
        <x:v>0</x:v>
      </x:c>
      <x:c r="R244" s="40" t="n">
        <x:v>0.1572093023255814</x:v>
      </x:c>
      <x:c r="S244" s="40" t="n">
        <x:v>0.004651162790697674</x:v>
      </x:c>
      <x:c r="T244" s="31" t="n">
        <x:v>29.70873717951583</x:v>
      </x:c>
      <x:c r="U244" s="31" t="n">
        <x:v>67.07</x:v>
      </x:c>
      <x:c r="V244" s="31" t="n">
        <x:v>2</x:v>
      </x:c>
      <x:c r="W244" s="31" t="n">
        <x:v>0.5724098454493417</x:v>
      </x:c>
      <x:c r="X244" s="31" t="n">
        <x:v>5</x:v>
      </x:c>
      <x:c r="Y244" s="40" t="n">
        <x:v>1</x:v>
      </x:c>
      <x:c r="Z244" s="40" t="n">
        <x:v>1</x:v>
      </x:c>
      <x:c r="AA244" s="40" t="n">
        <x:v>0.9990697674418605</x:v>
      </x:c>
      <x:c r="AB244" s="31" t="n">
        <x:v>0.15618843908521754</x:v>
      </x:c>
      <x:c r="AC244" s="31" t="n">
        <x:v>7</x:v>
      </x:c>
      <x:c r="AD244" s="44" t="b">
        <x:v>1</x:v>
      </x:c>
    </x:row>
    <x:row r="245">
      <x:c r="A245" s="31" t="str">
        <x:v>36005032800</x:v>
      </x:c>
      <x:c r="B245" s="31" t="str">
        <x:v>Bronx</x:v>
      </x:c>
      <x:c r="C245" s="31" t="str">
        <x:v>032800</x:v>
      </x:c>
      <x:c r="D245" s="31" t="str">
        <x:v>BX1104</x:v>
      </x:c>
      <x:c r="E245" s="31" t="str">
        <x:v>Allerton</x:v>
      </x:c>
      <x:c r="F245" s="31" t="n">
        <x:v>0.0790091155145202</x:v>
      </x:c>
      <x:c r="G245" s="31" t="n">
        <x:v>40.861736363224104</x:v>
      </x:c>
      <x:c r="H245" s="31" t="n">
        <x:v>-73.86313020711735</x:v>
      </x:c>
      <x:c r="I245" s="31" t="n">
        <x:v>4133</x:v>
      </x:c>
      <x:c r="J245" s="31" t="n">
        <x:v>52310.419792516754</x:v>
      </x:c>
      <x:c r="K245" s="31"/>
      <x:c r="L245" s="40"/>
      <x:c r="M245" s="40"/>
      <x:c r="N245" s="31" t="n">
        <x:v>246</x:v>
      </x:c>
      <x:c r="O245" s="31" t="n">
        <x:v>1519</x:v>
      </x:c>
      <x:c r="P245" s="31" t="n">
        <x:v>4.4910072416063205</x:v>
      </x:c>
      <x:c r="Q245" s="40" t="n">
        <x:v>0</x:v>
      </x:c>
      <x:c r="R245" s="40" t="n">
        <x:v>0.7235023041474654</x:v>
      </x:c>
      <x:c r="S245" s="40" t="n">
        <x:v>0.29624753127057274</x:v>
      </x:c>
      <x:c r="T245" s="31" t="n">
        <x:v>50.55870886698434</x:v>
      </x:c>
      <x:c r="U245" s="31" t="n">
        <x:v>70.05</x:v>
      </x:c>
      <x:c r="V245" s="31" t="n">
        <x:v>23</x:v>
      </x:c>
      <x:c r="W245" s="31" t="n">
        <x:v>5.564964916525526</x:v>
      </x:c>
      <x:c r="X245" s="31" t="n">
        <x:v>4.0585911784068465</x:v>
      </x:c>
      <x:c r="Y245" s="40" t="n">
        <x:v>1</x:v>
      </x:c>
      <x:c r="Z245" s="40" t="n">
        <x:v>1</x:v>
      </x:c>
      <x:c r="AA245" s="40" t="n">
        <x:v>0.9670836076366031</x:v>
      </x:c>
      <x:c r="AB245" s="31" t="n">
        <x:v>0.0999679944286608</x:v>
      </x:c>
      <x:c r="AC245" s="31" t="n">
        <x:v>7</x:v>
      </x:c>
      <x:c r="AD245" s="44" t="b">
        <x:v>1</x:v>
      </x:c>
    </x:row>
    <x:row r="246">
      <x:c r="A246" s="31" t="str">
        <x:v>36005033000</x:v>
      </x:c>
      <x:c r="B246" s="31" t="str">
        <x:v>Bronx</x:v>
      </x:c>
      <x:c r="C246" s="31" t="str">
        <x:v>033000</x:v>
      </x:c>
      <x:c r="D246" s="31" t="str">
        <x:v>BX1104</x:v>
      </x:c>
      <x:c r="E246" s="31" t="str">
        <x:v>Allerton</x:v>
      </x:c>
      <x:c r="F246" s="31" t="n">
        <x:v>0.07957418468922176</x:v>
      </x:c>
      <x:c r="G246" s="31" t="n">
        <x:v>40.861658057351434</x:v>
      </x:c>
      <x:c r="H246" s="31" t="n">
        <x:v>-73.8660249953774</x:v>
      </x:c>
      <x:c r="I246" s="31" t="n">
        <x:v>5837</x:v>
      </x:c>
      <x:c r="J246" s="31" t="n">
        <x:v>73352.93503535721</x:v>
      </x:c>
      <x:c r="K246" s="31"/>
      <x:c r="L246" s="40"/>
      <x:c r="M246" s="40"/>
      <x:c r="N246" s="31" t="n">
        <x:v>184</x:v>
      </x:c>
      <x:c r="O246" s="31" t="n">
        <x:v>2219</x:v>
      </x:c>
      <x:c r="P246" s="31" t="n">
        <x:v>8.916403785488958</x:v>
      </x:c>
      <x:c r="Q246" s="40" t="n">
        <x:v>0.2537178909418657</x:v>
      </x:c>
      <x:c r="R246" s="40" t="n">
        <x:v>0.6282109058134294</x:v>
      </x:c>
      <x:c r="S246" s="40" t="n">
        <x:v>0.07570977917981073</x:v>
      </x:c>
      <x:c r="T246" s="31" t="n">
        <x:v>87.56382297307346</x:v>
      </x:c>
      <x:c r="U246" s="31" t="n">
        <x:v>182.19</x:v>
      </x:c>
      <x:c r="V246" s="31" t="n">
        <x:v>30</x:v>
      </x:c>
      <x:c r="W246" s="31" t="n">
        <x:v>5.139626520472846</x:v>
      </x:c>
      <x:c r="X246" s="31" t="n">
        <x:v>4</x:v>
      </x:c>
      <x:c r="Y246" s="40" t="n">
        <x:v>1</x:v>
      </x:c>
      <x:c r="Z246" s="40" t="n">
        <x:v>1</x:v>
      </x:c>
      <x:c r="AA246" s="40" t="n">
        <x:v>1</x:v>
      </x:c>
      <x:c r="AB246" s="31" t="n">
        <x:v>0.0780262039689141</x:v>
      </x:c>
      <x:c r="AC246" s="31" t="n">
        <x:v>8</x:v>
      </x:c>
      <x:c r="AD246" s="44" t="b">
        <x:v>1</x:v>
      </x:c>
    </x:row>
    <x:row r="247">
      <x:c r="A247" s="31" t="str">
        <x:v>36005033201</x:v>
      </x:c>
      <x:c r="B247" s="31" t="str">
        <x:v>Bronx</x:v>
      </x:c>
      <x:c r="C247" s="31" t="str">
        <x:v>033201</x:v>
      </x:c>
      <x:c r="D247" s="31" t="str">
        <x:v>BX1104</x:v>
      </x:c>
      <x:c r="E247" s="31" t="str">
        <x:v>Allerton</x:v>
      </x:c>
      <x:c r="F247" s="31" t="n">
        <x:v>0.04391222362689394</x:v>
      </x:c>
      <x:c r="G247" s="31" t="n">
        <x:v>40.85947859500991</x:v>
      </x:c>
      <x:c r="H247" s="31" t="n">
        <x:v>-73.86923460619941</x:v>
      </x:c>
      <x:c r="I247" s="31" t="n">
        <x:v>4103</x:v>
      </x:c>
      <x:c r="J247" s="31" t="n">
        <x:v>93436.39791192736</x:v>
      </x:c>
      <x:c r="K247" s="31"/>
      <x:c r="L247" s="40"/>
      <x:c r="M247" s="40"/>
      <x:c r="N247" s="31" t="n">
        <x:v>36</x:v>
      </x:c>
      <x:c r="O247" s="31" t="n">
        <x:v>2015</x:v>
      </x:c>
      <x:c r="P247" s="31" t="n">
        <x:v>7.864267990074442</x:v>
      </x:c>
      <x:c r="Q247" s="40" t="n">
        <x:v>0.1270471464019851</x:v>
      </x:c>
      <x:c r="R247" s="40" t="n">
        <x:v>0.8684863523573201</x:v>
      </x:c>
      <x:c r="S247" s="40" t="n">
        <x:v>0.0004962779156327543</x:v>
      </x:c>
      <x:c r="T247" s="31" t="n">
        <x:v>85.78961874550001</x:v>
      </x:c>
      <x:c r="U247" s="31" t="n">
        <x:v>211.1</x:v>
      </x:c>
      <x:c r="V247" s="31" t="n">
        <x:v>38</x:v>
      </x:c>
      <x:c r="W247" s="31" t="n">
        <x:v>9.261515963928833</x:v>
      </x:c>
      <x:c r="X247" s="31" t="n">
        <x:v>4</x:v>
      </x:c>
      <x:c r="Y247" s="40" t="n">
        <x:v>1</x:v>
      </x:c>
      <x:c r="Z247" s="40" t="n">
        <x:v>1</x:v>
      </x:c>
      <x:c r="AA247" s="40" t="n">
        <x:v>0.9528535980148883</x:v>
      </x:c>
      <x:c r="AB247" s="31" t="n">
        <x:v>0.08752280746474449</x:v>
      </x:c>
      <x:c r="AC247" s="31" t="n">
        <x:v>5</x:v>
      </x:c>
      <x:c r="AD247" s="44" t="b">
        <x:v>1</x:v>
      </x:c>
    </x:row>
    <x:row r="248">
      <x:c r="A248" s="31" t="str">
        <x:v>36005033202</x:v>
      </x:c>
      <x:c r="B248" s="31" t="str">
        <x:v>Bronx</x:v>
      </x:c>
      <x:c r="C248" s="31" t="str">
        <x:v>033202</x:v>
      </x:c>
      <x:c r="D248" s="31" t="str">
        <x:v>BX1104</x:v>
      </x:c>
      <x:c r="E248" s="31" t="str">
        <x:v>Allerton</x:v>
      </x:c>
      <x:c r="F248" s="31" t="n">
        <x:v>0.04417515376779155</x:v>
      </x:c>
      <x:c r="G248" s="31" t="n">
        <x:v>40.86337824739213</x:v>
      </x:c>
      <x:c r="H248" s="31" t="n">
        <x:v>-73.868931586258</x:v>
      </x:c>
      <x:c r="I248" s="31" t="n">
        <x:v>4204</x:v>
      </x:c>
      <x:c r="J248" s="31" t="n">
        <x:v>95166.61836874396</x:v>
      </x:c>
      <x:c r="K248" s="31"/>
      <x:c r="L248" s="40"/>
      <x:c r="M248" s="40"/>
      <x:c r="N248" s="31" t="n">
        <x:v>82</x:v>
      </x:c>
      <x:c r="O248" s="31" t="n">
        <x:v>1908</x:v>
      </x:c>
      <x:c r="P248" s="31" t="n">
        <x:v>8.733424657534247</x:v>
      </x:c>
      <x:c r="Q248" s="40" t="n">
        <x:v>0.24528301886792453</x:v>
      </x:c>
      <x:c r="R248" s="40" t="n">
        <x:v>0.649895178197065</x:v>
      </x:c>
      <x:c r="S248" s="40" t="n">
        <x:v>0</x:v>
      </x:c>
      <x:c r="T248" s="31" t="n">
        <x:v>87.76123896434254</x:v>
      </x:c>
      <x:c r="U248" s="31" t="n">
        <x:v>181.03</x:v>
      </x:c>
      <x:c r="V248" s="31" t="n">
        <x:v>27</x:v>
      </x:c>
      <x:c r="W248" s="31" t="n">
        <x:v>6.422454804947669</x:v>
      </x:c>
      <x:c r="X248" s="31" t="n">
        <x:v>4</x:v>
      </x:c>
      <x:c r="Y248" s="40" t="n">
        <x:v>1</x:v>
      </x:c>
      <x:c r="Z248" s="40" t="n">
        <x:v>1</x:v>
      </x:c>
      <x:c r="AA248" s="40" t="n">
        <x:v>0.9486373165618449</x:v>
      </x:c>
      <x:c r="AB248" s="31" t="n">
        <x:v>0.18248110610233195</x:v>
      </x:c>
      <x:c r="AC248" s="31" t="n">
        <x:v>5</x:v>
      </x:c>
      <x:c r="AD248" s="44" t="b">
        <x:v>1</x:v>
      </x:c>
    </x:row>
    <x:row r="249">
      <x:c r="A249" s="31" t="str">
        <x:v>36005033400</x:v>
      </x:c>
      <x:c r="B249" s="31" t="str">
        <x:v>Bronx</x:v>
      </x:c>
      <x:c r="C249" s="31" t="str">
        <x:v>033400</x:v>
      </x:c>
      <x:c r="D249" s="31" t="str">
        <x:v>BX2791</x:v>
      </x:c>
      <x:c r="E249" s="31" t="str">
        <x:v>Bronx Park</x:v>
      </x:c>
      <x:c r="F249" s="31" t="n">
        <x:v>1.200253322561553</x:v>
      </x:c>
      <x:c r="G249" s="31" t="n">
        <x:v>40.85783193684965</x:v>
      </x:c>
      <x:c r="H249" s="31" t="n">
        <x:v>-73.8754984046099</x:v>
      </x:c>
      <x:c r="I249" s="31" t="n">
        <x:v>69</x:v>
      </x:c>
      <x:c r="J249" s="31" t="n">
        <x:v>57.48786418915449</x:v>
      </x:c>
      <x:c r="K249" s="31"/>
      <x:c r="L249" s="40"/>
      <x:c r="M249" s="40"/>
      <x:c r="N249" s="31" t="n">
        <x:v>0</x:v>
      </x:c>
      <x:c r="O249" s="31"/>
      <x:c r="P249" s="31"/>
      <x:c r="Q249" s="40"/>
      <x:c r="R249" s="40"/>
      <x:c r="S249" s="40"/>
      <x:c r="T249" s="31"/>
      <x:c r="U249" s="31"/>
      <x:c r="V249" s="31" t="n">
        <x:v>0</x:v>
      </x:c>
      <x:c r="W249" s="31" t="n">
        <x:v>0</x:v>
      </x:c>
      <x:c r="X249" s="31"/>
      <x:c r="Y249" s="40"/>
      <x:c r="Z249" s="40"/>
      <x:c r="AA249" s="40"/>
      <x:c r="AB249" s="31" t="n">
        <x:v>0.3522592604311797</x:v>
      </x:c>
      <x:c r="AC249" s="31" t="n">
        <x:v>17</x:v>
      </x:c>
      <x:c r="AD249" s="44" t="b">
        <x:v>0</x:v>
      </x:c>
    </x:row>
    <x:row r="250">
      <x:c r="A250" s="31" t="str">
        <x:v>36005033500</x:v>
      </x:c>
      <x:c r="B250" s="31" t="str">
        <x:v>Bronx</x:v>
      </x:c>
      <x:c r="C250" s="31" t="str">
        <x:v>033500</x:v>
      </x:c>
      <x:c r="D250" s="31" t="str">
        <x:v>BX0803</x:v>
      </x:c>
      <x:c r="E250" s="31" t="str">
        <x:v>Riverdale-Spuyten Duyvil</x:v>
      </x:c>
      <x:c r="F250" s="31" t="n">
        <x:v>0.2684147414066087</x:v>
      </x:c>
      <x:c r="G250" s="31" t="n">
        <x:v>40.89429140351865</x:v>
      </x:c>
      <x:c r="H250" s="31" t="n">
        <x:v>-73.9051947265423</x:v>
      </x:c>
      <x:c r="I250" s="31" t="n">
        <x:v>2440</x:v>
      </x:c>
      <x:c r="J250" s="31" t="n">
        <x:v>9090.409815844505</x:v>
      </x:c>
      <x:c r="K250" s="31"/>
      <x:c r="L250" s="40"/>
      <x:c r="M250" s="40"/>
      <x:c r="N250" s="31" t="n">
        <x:v>250</x:v>
      </x:c>
      <x:c r="O250" s="31" t="n">
        <x:v>942</x:v>
      </x:c>
      <x:c r="P250" s="31" t="n">
        <x:v>4.949405520169852</x:v>
      </x:c>
      <x:c r="Q250" s="40" t="n">
        <x:v>0</x:v>
      </x:c>
      <x:c r="R250" s="40" t="n">
        <x:v>0.7505307855626328</x:v>
      </x:c>
      <x:c r="S250" s="40" t="n">
        <x:v>0.13694267515923567</x:v>
      </x:c>
      <x:c r="T250" s="31" t="n">
        <x:v>62.10209706917198</x:v>
      </x:c>
      <x:c r="U250" s="31" t="n">
        <x:v>89.07</x:v>
      </x:c>
      <x:c r="V250" s="31" t="n">
        <x:v>30</x:v>
      </x:c>
      <x:c r="W250" s="31" t="n">
        <x:v>12.295081967213115</x:v>
      </x:c>
      <x:c r="X250" s="31" t="n">
        <x:v>1</x:v>
      </x:c>
      <x:c r="Y250" s="40" t="n">
        <x:v>0</x:v>
      </x:c>
      <x:c r="Z250" s="40" t="n">
        <x:v>1</x:v>
      </x:c>
      <x:c r="AA250" s="40" t="n">
        <x:v>1</x:v>
      </x:c>
      <x:c r="AB250" s="31" t="n">
        <x:v>0.34241582717308794</x:v>
      </x:c>
      <x:c r="AC250" s="31" t="n">
        <x:v>8</x:v>
      </x:c>
      <x:c r="AD250" s="44" t="b">
        <x:v>1</x:v>
      </x:c>
    </x:row>
    <x:row r="251">
      <x:c r="A251" s="31" t="str">
        <x:v>36005033601</x:v>
      </x:c>
      <x:c r="B251" s="31" t="str">
        <x:v>Bronx</x:v>
      </x:c>
      <x:c r="C251" s="31" t="str">
        <x:v>033601</x:v>
      </x:c>
      <x:c r="D251" s="31" t="str">
        <x:v>BX1104</x:v>
      </x:c>
      <x:c r="E251" s="31" t="str">
        <x:v>Allerton</x:v>
      </x:c>
      <x:c r="F251" s="31" t="n">
        <x:v>0.04942761473757461</x:v>
      </x:c>
      <x:c r="G251" s="31" t="n">
        <x:v>40.86756731980661</x:v>
      </x:c>
      <x:c r="H251" s="31" t="n">
        <x:v>-73.86888673374226</x:v>
      </x:c>
      <x:c r="I251" s="31" t="n">
        <x:v>4306</x:v>
      </x:c>
      <x:c r="J251" s="31" t="n">
        <x:v>87117.2930933809</x:v>
      </x:c>
      <x:c r="K251" s="31"/>
      <x:c r="L251" s="40"/>
      <x:c r="M251" s="40"/>
      <x:c r="N251" s="31" t="n">
        <x:v>18</x:v>
      </x:c>
      <x:c r="O251" s="31" t="n">
        <x:v>11746</x:v>
      </x:c>
      <x:c r="P251" s="31" t="n">
        <x:v>12.470458028264941</x:v>
      </x:c>
      <x:c r="Q251" s="40" t="n">
        <x:v>0.8231738464158012</x:v>
      </x:c>
      <x:c r="R251" s="40" t="n">
        <x:v>0.17631534139281457</x:v>
      </x:c>
      <x:c r="S251" s="40" t="n">
        <x:v>0.9420228162778819</x:v>
      </x:c>
      <x:c r="T251" s="31" t="n">
        <x:v>120.21744489355353</x:v>
      </x:c>
      <x:c r="U251" s="31" t="n">
        <x:v>142.58103488</x:v>
      </x:c>
      <x:c r="V251" s="31" t="n">
        <x:v>25</x:v>
      </x:c>
      <x:c r="W251" s="31" t="n">
        <x:v>5.80585229911751</x:v>
      </x:c>
      <x:c r="X251" s="31" t="n">
        <x:v>4</x:v>
      </x:c>
      <x:c r="Y251" s="40" t="n">
        <x:v>1</x:v>
      </x:c>
      <x:c r="Z251" s="40" t="n">
        <x:v>1</x:v>
      </x:c>
      <x:c r="AA251" s="40" t="n">
        <x:v>1</x:v>
      </x:c>
      <x:c r="AB251" s="31" t="n">
        <x:v>0.1345312566588075</x:v>
      </x:c>
      <x:c r="AC251" s="31" t="n">
        <x:v>6</x:v>
      </x:c>
      <x:c r="AD251" s="44" t="b">
        <x:v>1</x:v>
      </x:c>
    </x:row>
    <x:row r="252">
      <x:c r="A252" s="31" t="str">
        <x:v>36005033602</x:v>
      </x:c>
      <x:c r="B252" s="31" t="str">
        <x:v>Bronx</x:v>
      </x:c>
      <x:c r="C252" s="31" t="str">
        <x:v>033602</x:v>
      </x:c>
      <x:c r="D252" s="31" t="str">
        <x:v>BX1201</x:v>
      </x:c>
      <x:c r="E252" s="31" t="str">
        <x:v>Williamsbridge-Olinville</x:v>
      </x:c>
      <x:c r="F252" s="31" t="n">
        <x:v>0.021783012841877582</x:v>
      </x:c>
      <x:c r="G252" s="31" t="n">
        <x:v>40.87058199365644</x:v>
      </x:c>
      <x:c r="H252" s="31" t="n">
        <x:v>-73.86888325328698</x:v>
      </x:c>
      <x:c r="I252" s="31" t="n">
        <x:v>1555</x:v>
      </x:c>
      <x:c r="J252" s="31" t="n">
        <x:v>71385.90108208223</x:v>
      </x:c>
      <x:c r="K252" s="31"/>
      <x:c r="L252" s="40"/>
      <x:c r="M252" s="40"/>
      <x:c r="N252" s="31" t="n">
        <x:v>80</x:v>
      </x:c>
      <x:c r="O252" s="31" t="n">
        <x:v>690</x:v>
      </x:c>
      <x:c r="P252" s="31" t="n">
        <x:v>11.245652173913044</x:v>
      </x:c>
      <x:c r="Q252" s="40" t="n">
        <x:v>0.43043478260869567</x:v>
      </x:c>
      <x:c r="R252" s="40" t="n">
        <x:v>0.42318840579710143</x:v>
      </x:c>
      <x:c r="S252" s="40" t="n">
        <x:v>0</x:v>
      </x:c>
      <x:c r="T252" s="31" t="n">
        <x:v>131.92249502849336</x:v>
      </x:c>
      <x:c r="U252" s="31" t="n">
        <x:v>236.87014363</x:v>
      </x:c>
      <x:c r="V252" s="31" t="n">
        <x:v>7</x:v>
      </x:c>
      <x:c r="W252" s="31" t="n">
        <x:v>4.5016077170418</x:v>
      </x:c>
      <x:c r="X252" s="31" t="n">
        <x:v>4</x:v>
      </x:c>
      <x:c r="Y252" s="40" t="n">
        <x:v>1</x:v>
      </x:c>
      <x:c r="Z252" s="40" t="n">
        <x:v>1</x:v>
      </x:c>
      <x:c r="AA252" s="40" t="n">
        <x:v>0.981159420289855</x:v>
      </x:c>
      <x:c r="AB252" s="31" t="n">
        <x:v>0.11644914404085113</x:v>
      </x:c>
      <x:c r="AC252" s="31" t="n">
        <x:v>6</x:v>
      </x:c>
      <x:c r="AD252" s="44" t="b">
        <x:v>1</x:v>
      </x:c>
    </x:row>
    <x:row r="253">
      <x:c r="A253" s="31" t="str">
        <x:v>36005033700</x:v>
      </x:c>
      <x:c r="B253" s="31" t="str">
        <x:v>Bronx</x:v>
      </x:c>
      <x:c r="C253" s="31" t="str">
        <x:v>033700</x:v>
      </x:c>
      <x:c r="D253" s="31" t="str">
        <x:v>BX0803</x:v>
      </x:c>
      <x:c r="E253" s="31" t="str">
        <x:v>Riverdale-Spuyten Duyvil</x:v>
      </x:c>
      <x:c r="F253" s="31" t="n">
        <x:v>0.16607162330872646</x:v>
      </x:c>
      <x:c r="G253" s="31" t="n">
        <x:v>40.90638031795632</x:v>
      </x:c>
      <x:c r="H253" s="31" t="n">
        <x:v>-73.9024904859583</x:v>
      </x:c>
      <x:c r="I253" s="31" t="n">
        <x:v>3838</x:v>
      </x:c>
      <x:c r="J253" s="31" t="n">
        <x:v>23110.510534753874</x:v>
      </x:c>
      <x:c r="K253" s="31"/>
      <x:c r="L253" s="40"/>
      <x:c r="M253" s="40"/>
      <x:c r="N253" s="31" t="n">
        <x:v>525</x:v>
      </x:c>
      <x:c r="O253" s="31" t="n">
        <x:v>1250</x:v>
      </x:c>
      <x:c r="P253" s="31" t="n">
        <x:v>6.074944</x:v>
      </x:c>
      <x:c r="Q253" s="40" t="n">
        <x:v>0.192</x:v>
      </x:c>
      <x:c r="R253" s="40" t="n">
        <x:v>0.2136</x:v>
      </x:c>
      <x:c r="S253" s="40" t="n">
        <x:v>0.2072</x:v>
      </x:c>
      <x:c r="T253" s="31" t="n">
        <x:v>74.95507017574859</x:v>
      </x:c>
      <x:c r="U253" s="31" t="n">
        <x:v>241</x:v>
      </x:c>
      <x:c r="V253" s="31" t="n">
        <x:v>8</x:v>
      </x:c>
      <x:c r="W253" s="31" t="n">
        <x:v>2.0844189682126104</x:v>
      </x:c>
      <x:c r="X253" s="31" t="n">
        <x:v>1</x:v>
      </x:c>
      <x:c r="Y253" s="40" t="n">
        <x:v>0</x:v>
      </x:c>
      <x:c r="Z253" s="40" t="n">
        <x:v>1</x:v>
      </x:c>
      <x:c r="AA253" s="40" t="n">
        <x:v>0.9992</x:v>
      </x:c>
      <x:c r="AB253" s="31" t="n">
        <x:v>0.1842059827679154</x:v>
      </x:c>
      <x:c r="AC253" s="31" t="n">
        <x:v>7</x:v>
      </x:c>
      <x:c r="AD253" s="44" t="b">
        <x:v>1</x:v>
      </x:c>
    </x:row>
    <x:row r="254">
      <x:c r="A254" s="31" t="str">
        <x:v>36005033801</x:v>
      </x:c>
      <x:c r="B254" s="31" t="str">
        <x:v>Bronx</x:v>
      </x:c>
      <x:c r="C254" s="31" t="str">
        <x:v>033801</x:v>
      </x:c>
      <x:c r="D254" s="31" t="str">
        <x:v>BX1104</x:v>
      </x:c>
      <x:c r="E254" s="31" t="str">
        <x:v>Allerton</x:v>
      </x:c>
      <x:c r="F254" s="31" t="n">
        <x:v>0.04417038073167757</x:v>
      </x:c>
      <x:c r="G254" s="31" t="n">
        <x:v>40.8675706477529</x:v>
      </x:c>
      <x:c r="H254" s="31" t="n">
        <x:v>-73.86584668006552</x:v>
      </x:c>
      <x:c r="I254" s="31" t="n">
        <x:v>2337</x:v>
      </x:c>
      <x:c r="J254" s="31" t="n">
        <x:v>52908.75834185371</x:v>
      </x:c>
      <x:c r="K254" s="31"/>
      <x:c r="L254" s="40"/>
      <x:c r="M254" s="40"/>
      <x:c r="N254" s="31" t="n">
        <x:v>241</x:v>
      </x:c>
      <x:c r="O254" s="31" t="n">
        <x:v>838</x:v>
      </x:c>
      <x:c r="P254" s="31" t="n">
        <x:v>3.467183770883055</x:v>
      </x:c>
      <x:c r="Q254" s="40" t="n">
        <x:v>0</x:v>
      </x:c>
      <x:c r="R254" s="40" t="n">
        <x:v>0.4737470167064439</x:v>
      </x:c>
      <x:c r="S254" s="40" t="n">
        <x:v>0.00477326968973747</x:v>
      </x:c>
      <x:c r="T254" s="31" t="n">
        <x:v>39.42030601889021</x:v>
      </x:c>
      <x:c r="U254" s="31" t="n">
        <x:v>64.24</x:v>
      </x:c>
      <x:c r="V254" s="31" t="n">
        <x:v>2</x:v>
      </x:c>
      <x:c r="W254" s="31" t="n">
        <x:v>0.8557980316645272</x:v>
      </x:c>
      <x:c r="X254" s="31" t="n">
        <x:v>4</x:v>
      </x:c>
      <x:c r="Y254" s="40" t="n">
        <x:v>1</x:v>
      </x:c>
      <x:c r="Z254" s="40" t="n">
        <x:v>1</x:v>
      </x:c>
      <x:c r="AA254" s="40" t="n">
        <x:v>1</x:v>
      </x:c>
      <x:c r="AB254" s="31" t="n">
        <x:v>0.14701368313058713</x:v>
      </x:c>
      <x:c r="AC254" s="31" t="n">
        <x:v>7</x:v>
      </x:c>
      <x:c r="AD254" s="44" t="b">
        <x:v>1</x:v>
      </x:c>
    </x:row>
    <x:row r="255">
      <x:c r="A255" s="31" t="str">
        <x:v>36005033802</x:v>
      </x:c>
      <x:c r="B255" s="31" t="str">
        <x:v>Bronx</x:v>
      </x:c>
      <x:c r="C255" s="31" t="str">
        <x:v>033802</x:v>
      </x:c>
      <x:c r="D255" s="31" t="str">
        <x:v>BX1201</x:v>
      </x:c>
      <x:c r="E255" s="31" t="str">
        <x:v>Williamsbridge-Olinville</x:v>
      </x:c>
      <x:c r="F255" s="31" t="n">
        <x:v>0.0181422018806316</x:v>
      </x:c>
      <x:c r="G255" s="31" t="n">
        <x:v>40.87054895584835</x:v>
      </x:c>
      <x:c r="H255" s="31" t="n">
        <x:v>-73.86574362407259</x:v>
      </x:c>
      <x:c r="I255" s="31" t="n">
        <x:v>1737</x:v>
      </x:c>
      <x:c r="J255" s="31" t="n">
        <x:v>95743.61543481669</x:v>
      </x:c>
      <x:c r="K255" s="31"/>
      <x:c r="L255" s="40"/>
      <x:c r="M255" s="40"/>
      <x:c r="N255" s="31" t="n">
        <x:v>66</x:v>
      </x:c>
      <x:c r="O255" s="31" t="n">
        <x:v>644</x:v>
      </x:c>
      <x:c r="P255" s="31" t="n">
        <x:v>4.431677018633541</x:v>
      </x:c>
      <x:c r="Q255" s="40" t="n">
        <x:v>0</x:v>
      </x:c>
      <x:c r="R255" s="40" t="n">
        <x:v>0.9145962732919255</x:v>
      </x:c>
      <x:c r="S255" s="40" t="n">
        <x:v>0</x:v>
      </x:c>
      <x:c r="T255" s="31" t="n">
        <x:v>50.661801242236024</x:v>
      </x:c>
      <x:c r="U255" s="31" t="n">
        <x:v>67.06</x:v>
      </x:c>
      <x:c r="V255" s="31" t="n">
        <x:v>2</x:v>
      </x:c>
      <x:c r="W255" s="31" t="n">
        <x:v>1.1514104778353484</x:v>
      </x:c>
      <x:c r="X255" s="31" t="n">
        <x:v>4</x:v>
      </x:c>
      <x:c r="Y255" s="40" t="n">
        <x:v>1</x:v>
      </x:c>
      <x:c r="Z255" s="40" t="n">
        <x:v>1</x:v>
      </x:c>
      <x:c r="AA255" s="40" t="n">
        <x:v>1</x:v>
      </x:c>
      <x:c r="AB255" s="31" t="n">
        <x:v>0.2514361885724096</x:v>
      </x:c>
      <x:c r="AC255" s="31" t="n">
        <x:v>6</x:v>
      </x:c>
      <x:c r="AD255" s="44" t="b">
        <x:v>1</x:v>
      </x:c>
    </x:row>
    <x:row r="256">
      <x:c r="A256" s="31" t="str">
        <x:v>36005034000</x:v>
      </x:c>
      <x:c r="B256" s="31" t="str">
        <x:v>Bronx</x:v>
      </x:c>
      <x:c r="C256" s="31" t="str">
        <x:v>034000</x:v>
      </x:c>
      <x:c r="D256" s="31" t="str">
        <x:v>BX1104</x:v>
      </x:c>
      <x:c r="E256" s="31" t="str">
        <x:v>Allerton</x:v>
      </x:c>
      <x:c r="F256" s="31" t="n">
        <x:v>0.06112521084961834</x:v>
      </x:c>
      <x:c r="G256" s="31" t="n">
        <x:v>40.86844056482093</x:v>
      </x:c>
      <x:c r="H256" s="31" t="n">
        <x:v>-73.86292338911993</x:v>
      </x:c>
      <x:c r="I256" s="31" t="n">
        <x:v>4858</x:v>
      </x:c>
      <x:c r="J256" s="31" t="n">
        <x:v>79476.20846579596</x:v>
      </x:c>
      <x:c r="K256" s="31"/>
      <x:c r="L256" s="40"/>
      <x:c r="M256" s="40"/>
      <x:c r="N256" s="31" t="n">
        <x:v>276</x:v>
      </x:c>
      <x:c r="O256" s="31" t="n">
        <x:v>1854</x:v>
      </x:c>
      <x:c r="P256" s="31" t="n">
        <x:v>4.407909292035399</x:v>
      </x:c>
      <x:c r="Q256" s="40" t="n">
        <x:v>0</x:v>
      </x:c>
      <x:c r="R256" s="40" t="n">
        <x:v>0.7049622437971953</x:v>
      </x:c>
      <x:c r="S256" s="40" t="n">
        <x:v>0</x:v>
      </x:c>
      <x:c r="T256" s="31" t="n">
        <x:v>50.17151016015393</x:v>
      </x:c>
      <x:c r="U256" s="31" t="n">
        <x:v>69.92</x:v>
      </x:c>
      <x:c r="V256" s="31" t="n">
        <x:v>15</x:v>
      </x:c>
      <x:c r="W256" s="31" t="n">
        <x:v>3.087690407575134</x:v>
      </x:c>
      <x:c r="X256" s="31" t="n">
        <x:v>4.06688241639698</x:v>
      </x:c>
      <x:c r="Y256" s="40" t="n">
        <x:v>1</x:v>
      </x:c>
      <x:c r="Z256" s="40" t="n">
        <x:v>1</x:v>
      </x:c>
      <x:c r="AA256" s="40" t="n">
        <x:v>0.9811218985976268</x:v>
      </x:c>
      <x:c r="AB256" s="31" t="n">
        <x:v>0.11363049308406037</x:v>
      </x:c>
      <x:c r="AC256" s="31" t="n">
        <x:v>8</x:v>
      </x:c>
      <x:c r="AD256" s="44" t="b">
        <x:v>1</x:v>
      </x:c>
    </x:row>
    <x:row r="257">
      <x:c r="A257" s="31" t="str">
        <x:v>36005034200</x:v>
      </x:c>
      <x:c r="B257" s="31" t="str">
        <x:v>Bronx</x:v>
      </x:c>
      <x:c r="C257" s="31" t="str">
        <x:v>034200</x:v>
      </x:c>
      <x:c r="D257" s="31" t="str">
        <x:v>BX1104</x:v>
      </x:c>
      <x:c r="E257" s="31" t="str">
        <x:v>Allerton</x:v>
      </x:c>
      <x:c r="F257" s="31" t="n">
        <x:v>0.060541594537706606</x:v>
      </x:c>
      <x:c r="G257" s="31" t="n">
        <x:v>40.86841652461298</x:v>
      </x:c>
      <x:c r="H257" s="31" t="n">
        <x:v>-73.86002624041643</x:v>
      </x:c>
      <x:c r="I257" s="31" t="n">
        <x:v>1732</x:v>
      </x:c>
      <x:c r="J257" s="31" t="n">
        <x:v>28608.430505101303</x:v>
      </x:c>
      <x:c r="K257" s="31"/>
      <x:c r="L257" s="40"/>
      <x:c r="M257" s="40"/>
      <x:c r="N257" s="31" t="n">
        <x:v>228</x:v>
      </x:c>
      <x:c r="O257" s="31" t="n">
        <x:v>608</x:v>
      </x:c>
      <x:c r="P257" s="31" t="n">
        <x:v>3.0515460526315787</x:v>
      </x:c>
      <x:c r="Q257" s="40" t="n">
        <x:v>0</x:v>
      </x:c>
      <x:c r="R257" s="40" t="n">
        <x:v>0.46381578947368424</x:v>
      </x:c>
      <x:c r="S257" s="40" t="n">
        <x:v>0.008223684210526315</x:v>
      </x:c>
      <x:c r="T257" s="31" t="n">
        <x:v>31.854140748515206</x:v>
      </x:c>
      <x:c r="U257" s="31" t="n">
        <x:v>63.1</x:v>
      </x:c>
      <x:c r="V257" s="31" t="n">
        <x:v>2</x:v>
      </x:c>
      <x:c r="W257" s="31" t="n">
        <x:v>1.1547344110854503</x:v>
      </x:c>
      <x:c r="X257" s="31" t="n">
        <x:v>5</x:v>
      </x:c>
      <x:c r="Y257" s="40" t="n">
        <x:v>1</x:v>
      </x:c>
      <x:c r="Z257" s="40" t="n">
        <x:v>1</x:v>
      </x:c>
      <x:c r="AA257" s="40" t="n">
        <x:v>0.9194078947368421</x:v>
      </x:c>
      <x:c r="AB257" s="31" t="n">
        <x:v>0.0761859138213717</x:v>
      </x:c>
      <x:c r="AC257" s="31" t="n">
        <x:v>7</x:v>
      </x:c>
      <x:c r="AD257" s="44" t="b">
        <x:v>1</x:v>
      </x:c>
    </x:row>
    <x:row r="258">
      <x:c r="A258" s="31" t="str">
        <x:v>36005034300</x:v>
      </x:c>
      <x:c r="B258" s="31" t="str">
        <x:v>Bronx</x:v>
      </x:c>
      <x:c r="C258" s="31" t="str">
        <x:v>034300</x:v>
      </x:c>
      <x:c r="D258" s="31" t="str">
        <x:v>BX0803</x:v>
      </x:c>
      <x:c r="E258" s="31" t="str">
        <x:v>Riverdale-Spuyten Duyvil</x:v>
      </x:c>
      <x:c r="F258" s="31" t="n">
        <x:v>0.04727684719998278</x:v>
      </x:c>
      <x:c r="G258" s="31" t="n">
        <x:v>40.90968718336381</x:v>
      </x:c>
      <x:c r="H258" s="31" t="n">
        <x:v>-73.89817557848654</x:v>
      </x:c>
      <x:c r="I258" s="31" t="n">
        <x:v>1706</x:v>
      </x:c>
      <x:c r="J258" s="31" t="n">
        <x:v>36085.316619857454</x:v>
      </x:c>
      <x:c r="K258" s="31"/>
      <x:c r="L258" s="40"/>
      <x:c r="M258" s="40"/>
      <x:c r="N258" s="31" t="n">
        <x:v>195</x:v>
      </x:c>
      <x:c r="O258" s="31" t="n">
        <x:v>633</x:v>
      </x:c>
      <x:c r="P258" s="31" t="n">
        <x:v>4.271737756714059</x:v>
      </x:c>
      <x:c r="Q258" s="40" t="n">
        <x:v>0</x:v>
      </x:c>
      <x:c r="R258" s="40" t="n">
        <x:v>0.6240126382306477</x:v>
      </x:c>
      <x:c r="S258" s="40" t="n">
        <x:v>0</x:v>
      </x:c>
      <x:c r="T258" s="31" t="n">
        <x:v>48.91880110936608</x:v>
      </x:c>
      <x:c r="U258" s="31" t="n">
        <x:v>68.62</x:v>
      </x:c>
      <x:c r="V258" s="31" t="n">
        <x:v>8</x:v>
      </x:c>
      <x:c r="W258" s="31" t="n">
        <x:v>4.689331770222743</x:v>
      </x:c>
      <x:c r="X258" s="31" t="n">
        <x:v>1</x:v>
      </x:c>
      <x:c r="Y258" s="40" t="n">
        <x:v>0</x:v>
      </x:c>
      <x:c r="Z258" s="40" t="n">
        <x:v>1</x:v>
      </x:c>
      <x:c r="AA258" s="40" t="n">
        <x:v>0.9968404423380727</x:v>
      </x:c>
      <x:c r="AB258" s="31" t="n">
        <x:v>0.4763012589565984</x:v>
      </x:c>
      <x:c r="AC258" s="31" t="n">
        <x:v>3</x:v>
      </x:c>
      <x:c r="AD258" s="44" t="b">
        <x:v>1</x:v>
      </x:c>
    </x:row>
    <x:row r="259">
      <x:c r="A259" s="31" t="str">
        <x:v>36005034400</x:v>
      </x:c>
      <x:c r="B259" s="31" t="str">
        <x:v>Bronx</x:v>
      </x:c>
      <x:c r="C259" s="31" t="str">
        <x:v>034400</x:v>
      </x:c>
      <x:c r="D259" s="31" t="str">
        <x:v>BX1103</x:v>
      </x:c>
      <x:c r="E259" s="31" t="str">
        <x:v>Pelham Gardens</x:v>
      </x:c>
      <x:c r="F259" s="31" t="n">
        <x:v>0.06063235749648474</x:v>
      </x:c>
      <x:c r="G259" s="31" t="n">
        <x:v>40.86836418145069</x:v>
      </x:c>
      <x:c r="H259" s="31" t="n">
        <x:v>-73.85713227980446</x:v>
      </x:c>
      <x:c r="I259" s="31" t="n">
        <x:v>1930</x:v>
      </x:c>
      <x:c r="J259" s="31" t="n">
        <x:v>31831.188488949898</x:v>
      </x:c>
      <x:c r="K259" s="31"/>
      <x:c r="L259" s="40"/>
      <x:c r="M259" s="40"/>
      <x:c r="N259" s="31" t="n">
        <x:v>309</x:v>
      </x:c>
      <x:c r="O259" s="31" t="n">
        <x:v>583</x:v>
      </x:c>
      <x:c r="P259" s="31" t="n">
        <x:v>2.1030703259005143</x:v>
      </x:c>
      <x:c r="Q259" s="40" t="n">
        <x:v>0</x:v>
      </x:c>
      <x:c r="R259" s="40" t="n">
        <x:v>0.21612349914236706</x:v>
      </x:c>
      <x:c r="S259" s="40" t="n">
        <x:v>0.022298456260720412</x:v>
      </x:c>
      <x:c r="T259" s="31" t="n">
        <x:v>27.419539426123496</x:v>
      </x:c>
      <x:c r="U259" s="31" t="n">
        <x:v>45.73</x:v>
      </x:c>
      <x:c r="V259" s="31" t="n">
        <x:v>0</x:v>
      </x:c>
      <x:c r="W259" s="31" t="n">
        <x:v>0</x:v>
      </x:c>
      <x:c r="X259" s="31" t="n">
        <x:v>5</x:v>
      </x:c>
      <x:c r="Y259" s="40" t="n">
        <x:v>1</x:v>
      </x:c>
      <x:c r="Z259" s="40" t="n">
        <x:v>1</x:v>
      </x:c>
      <x:c r="AA259" s="40" t="n">
        <x:v>1</x:v>
      </x:c>
      <x:c r="AB259" s="31" t="n">
        <x:v>0.20336250694207972</x:v>
      </x:c>
      <x:c r="AC259" s="31" t="n">
        <x:v>4</x:v>
      </x:c>
      <x:c r="AD259" s="44" t="b">
        <x:v>1</x:v>
      </x:c>
    </x:row>
    <x:row r="260">
      <x:c r="A260" s="31" t="str">
        <x:v>36005034500</x:v>
      </x:c>
      <x:c r="B260" s="31" t="str">
        <x:v>Bronx</x:v>
      </x:c>
      <x:c r="C260" s="31" t="str">
        <x:v>034500</x:v>
      </x:c>
      <x:c r="D260" s="31" t="str">
        <x:v>BX0803</x:v>
      </x:c>
      <x:c r="E260" s="31" t="str">
        <x:v>Riverdale-Spuyten Duyvil</x:v>
      </x:c>
      <x:c r="F260" s="31" t="n">
        <x:v>0.10639597178137913</x:v>
      </x:c>
      <x:c r="G260" s="31" t="n">
        <x:v>40.904059936167855</x:v>
      </x:c>
      <x:c r="H260" s="31" t="n">
        <x:v>-73.89869013357355</x:v>
      </x:c>
      <x:c r="I260" s="31" t="n">
        <x:v>3754</x:v>
      </x:c>
      <x:c r="J260" s="31" t="n">
        <x:v>35283.29068429079</x:v>
      </x:c>
      <x:c r="K260" s="31"/>
      <x:c r="L260" s="40"/>
      <x:c r="M260" s="40"/>
      <x:c r="N260" s="31" t="n">
        <x:v>358</x:v>
      </x:c>
      <x:c r="O260" s="31" t="n">
        <x:v>1776</x:v>
      </x:c>
      <x:c r="P260" s="31" t="n">
        <x:v>5.838220720720721</x:v>
      </x:c>
      <x:c r="Q260" s="40" t="n">
        <x:v>0.22240990990990991</x:v>
      </x:c>
      <x:c r="R260" s="40" t="n">
        <x:v>0.4971846846846847</x:v>
      </x:c>
      <x:c r="S260" s="40" t="n">
        <x:v>0.07207207207207207</x:v>
      </x:c>
      <x:c r="T260" s="31" t="n">
        <x:v>62.012235860053316</x:v>
      </x:c>
      <x:c r="U260" s="31" t="n">
        <x:v>138.45359451</x:v>
      </x:c>
      <x:c r="V260" s="31" t="n">
        <x:v>26</x:v>
      </x:c>
      <x:c r="W260" s="31" t="n">
        <x:v>6.925945657964838</x:v>
      </x:c>
      <x:c r="X260" s="31" t="n">
        <x:v>1</x:v>
      </x:c>
      <x:c r="Y260" s="40" t="n">
        <x:v>0</x:v>
      </x:c>
      <x:c r="Z260" s="40" t="n">
        <x:v>1</x:v>
      </x:c>
      <x:c r="AA260" s="40" t="n">
        <x:v>0.9504504504504504</x:v>
      </x:c>
      <x:c r="AB260" s="31" t="n">
        <x:v>0.21351959275150148</x:v>
      </x:c>
      <x:c r="AC260" s="31" t="n">
        <x:v>5</x:v>
      </x:c>
      <x:c r="AD260" s="44" t="b">
        <x:v>1</x:v>
      </x:c>
    </x:row>
    <x:row r="261">
      <x:c r="A261" s="31" t="str">
        <x:v>36005034800</x:v>
      </x:c>
      <x:c r="B261" s="31" t="str">
        <x:v>Bronx</x:v>
      </x:c>
      <x:c r="C261" s="31" t="str">
        <x:v>034800</x:v>
      </x:c>
      <x:c r="D261" s="31" t="str">
        <x:v>BX1103</x:v>
      </x:c>
      <x:c r="E261" s="31" t="str">
        <x:v>Pelham Gardens</x:v>
      </x:c>
      <x:c r="F261" s="31" t="n">
        <x:v>0.1690578022257375</x:v>
      </x:c>
      <x:c r="G261" s="31" t="n">
        <x:v>40.86944817454629</x:v>
      </x:c>
      <x:c r="H261" s="31" t="n">
        <x:v>-73.85306744717899</x:v>
      </x:c>
      <x:c r="I261" s="31" t="n">
        <x:v>6640</x:v>
      </x:c>
      <x:c r="J261" s="31" t="n">
        <x:v>39276.50728082824</x:v>
      </x:c>
      <x:c r="K261" s="31"/>
      <x:c r="L261" s="40"/>
      <x:c r="M261" s="40"/>
      <x:c r="N261" s="31" t="n">
        <x:v>719</x:v>
      </x:c>
      <x:c r="O261" s="31" t="n">
        <x:v>2080</x:v>
      </x:c>
      <x:c r="P261" s="31" t="n">
        <x:v>4.558950409244102</x:v>
      </x:c>
      <x:c r="Q261" s="40" t="n">
        <x:v>0</x:v>
      </x:c>
      <x:c r="R261" s="40" t="n">
        <x:v>0.5341346153846154</x:v>
      </x:c>
      <x:c r="S261" s="40" t="n">
        <x:v>0.42740384615384613</x:v>
      </x:c>
      <x:c r="T261" s="31" t="n">
        <x:v>50.84131360805759</x:v>
      </x:c>
      <x:c r="U261" s="31" t="n">
        <x:v>83</x:v>
      </x:c>
      <x:c r="V261" s="31" t="n">
        <x:v>17</x:v>
      </x:c>
      <x:c r="W261" s="31" t="n">
        <x:v>2.560240963855422</x:v>
      </x:c>
      <x:c r="X261" s="31" t="n">
        <x:v>5</x:v>
      </x:c>
      <x:c r="Y261" s="40" t="n">
        <x:v>1</x:v>
      </x:c>
      <x:c r="Z261" s="40" t="n">
        <x:v>1</x:v>
      </x:c>
      <x:c r="AA261" s="40" t="n">
        <x:v>0.9850961538461539</x:v>
      </x:c>
      <x:c r="AB261" s="31" t="n">
        <x:v>0.06580183335328095</x:v>
      </x:c>
      <x:c r="AC261" s="31" t="n">
        <x:v>7</x:v>
      </x:c>
      <x:c r="AD261" s="44" t="b">
        <x:v>1</x:v>
      </x:c>
    </x:row>
    <x:row r="262">
      <x:c r="A262" s="31" t="str">
        <x:v>36005035000</x:v>
      </x:c>
      <x:c r="B262" s="31" t="str">
        <x:v>Bronx</x:v>
      </x:c>
      <x:c r="C262" s="31" t="str">
        <x:v>035000</x:v>
      </x:c>
      <x:c r="D262" s="31" t="str">
        <x:v>BX1103</x:v>
      </x:c>
      <x:c r="E262" s="31" t="str">
        <x:v>Pelham Gardens</x:v>
      </x:c>
      <x:c r="F262" s="31" t="n">
        <x:v>0.07412175168338211</x:v>
      </x:c>
      <x:c r="G262" s="31" t="n">
        <x:v>40.86850834914862</x:v>
      </x:c>
      <x:c r="H262" s="31" t="n">
        <x:v>-73.84824752090006</x:v>
      </x:c>
      <x:c r="I262" s="31" t="n">
        <x:v>2284</x:v>
      </x:c>
      <x:c r="J262" s="31" t="n">
        <x:v>30814.166531793748</x:v>
      </x:c>
      <x:c r="K262" s="31"/>
      <x:c r="L262" s="40"/>
      <x:c r="M262" s="40"/>
      <x:c r="N262" s="31" t="n">
        <x:v>370</x:v>
      </x:c>
      <x:c r="O262" s="31" t="n">
        <x:v>694</x:v>
      </x:c>
      <x:c r="P262" s="31" t="n">
        <x:v>2.0686541244573085</x:v>
      </x:c>
      <x:c r="Q262" s="40" t="n">
        <x:v>0</x:v>
      </x:c>
      <x:c r="R262" s="40" t="n">
        <x:v>0.2219020172910663</x:v>
      </x:c>
      <x:c r="S262" s="40" t="n">
        <x:v>0.008645533141210375</x:v>
      </x:c>
      <x:c r="T262" s="31" t="n">
        <x:v>26.831929348283584</x:v>
      </x:c>
      <x:c r="U262" s="31" t="n">
        <x:v>42</x:v>
      </x:c>
      <x:c r="V262" s="31" t="n">
        <x:v>1</x:v>
      </x:c>
      <x:c r="W262" s="31" t="n">
        <x:v>0.43782837127845886</x:v>
      </x:c>
      <x:c r="X262" s="31" t="n">
        <x:v>5</x:v>
      </x:c>
      <x:c r="Y262" s="40" t="n">
        <x:v>1</x:v>
      </x:c>
      <x:c r="Z262" s="40" t="n">
        <x:v>1</x:v>
      </x:c>
      <x:c r="AA262" s="40" t="n">
        <x:v>0.9654178674351584</x:v>
      </x:c>
      <x:c r="AB262" s="31" t="n">
        <x:v>0.16053711897745798</x:v>
      </x:c>
      <x:c r="AC262" s="31" t="n">
        <x:v>7</x:v>
      </x:c>
      <x:c r="AD262" s="44" t="b">
        <x:v>1</x:v>
      </x:c>
    </x:row>
    <x:row r="263">
      <x:c r="A263" s="31" t="str">
        <x:v>36005035100</x:v>
      </x:c>
      <x:c r="B263" s="31" t="str">
        <x:v>Bronx</x:v>
      </x:c>
      <x:c r="C263" s="31" t="str">
        <x:v>035100</x:v>
      </x:c>
      <x:c r="D263" s="31" t="str">
        <x:v>BX0803</x:v>
      </x:c>
      <x:c r="E263" s="31" t="str">
        <x:v>Riverdale-Spuyten Duyvil</x:v>
      </x:c>
      <x:c r="F263" s="31" t="n">
        <x:v>0.22377922577658688</x:v>
      </x:c>
      <x:c r="G263" s="31" t="n">
        <x:v>40.89508009319789</x:v>
      </x:c>
      <x:c r="H263" s="31" t="n">
        <x:v>-73.89999697228318</x:v>
      </x:c>
      <x:c r="I263" s="31" t="n">
        <x:v>3539</x:v>
      </x:c>
      <x:c r="J263" s="31" t="n">
        <x:v>15814.694092887828</x:v>
      </x:c>
      <x:c r="K263" s="31"/>
      <x:c r="L263" s="40"/>
      <x:c r="M263" s="40"/>
      <x:c r="N263" s="31" t="n">
        <x:v>202</x:v>
      </x:c>
      <x:c r="O263" s="31" t="n">
        <x:v>1367</x:v>
      </x:c>
      <x:c r="P263" s="31" t="n">
        <x:v>5.035544989027066</x:v>
      </x:c>
      <x:c r="Q263" s="40" t="n">
        <x:v>0</x:v>
      </x:c>
      <x:c r="R263" s="40" t="n">
        <x:v>0.8485735186539868</x:v>
      </x:c>
      <x:c r="S263" s="40" t="n">
        <x:v>0.030724213606437453</x:v>
      </x:c>
      <x:c r="T263" s="31" t="n">
        <x:v>60.13256038010794</x:v>
      </x:c>
      <x:c r="U263" s="31" t="n">
        <x:v>100</x:v>
      </x:c>
      <x:c r="V263" s="31" t="n">
        <x:v>26</x:v>
      </x:c>
      <x:c r="W263" s="31" t="n">
        <x:v>7.3467081096354905</x:v>
      </x:c>
      <x:c r="X263" s="31" t="n">
        <x:v>1</x:v>
      </x:c>
      <x:c r="Y263" s="40" t="n">
        <x:v>0</x:v>
      </x:c>
      <x:c r="Z263" s="40" t="n">
        <x:v>1</x:v>
      </x:c>
      <x:c r="AA263" s="40" t="n">
        <x:v>0.9487929773226043</x:v>
      </x:c>
      <x:c r="AB263" s="31" t="n">
        <x:v>0.4061347719532298</x:v>
      </x:c>
      <x:c r="AC263" s="31" t="n">
        <x:v>5</x:v>
      </x:c>
      <x:c r="AD263" s="44" t="b">
        <x:v>1</x:v>
      </x:c>
    </x:row>
    <x:row r="264">
      <x:c r="A264" s="31" t="str">
        <x:v>36005035600</x:v>
      </x:c>
      <x:c r="B264" s="31" t="str">
        <x:v>Bronx</x:v>
      </x:c>
      <x:c r="C264" s="31" t="str">
        <x:v>035600</x:v>
      </x:c>
      <x:c r="D264" s="31" t="str">
        <x:v>BX1202</x:v>
      </x:c>
      <x:c r="E264" s="31" t="str">
        <x:v>Eastchester-Edenwald-Baychester</x:v>
      </x:c>
      <x:c r="F264" s="31" t="n">
        <x:v>0.15576907175411786</x:v>
      </x:c>
      <x:c r="G264" s="31" t="n">
        <x:v>40.86696429475947</x:v>
      </x:c>
      <x:c r="H264" s="31" t="n">
        <x:v>-73.83600701562999</x:v>
      </x:c>
      <x:c r="I264" s="31" t="n">
        <x:v>2261</x:v>
      </x:c>
      <x:c r="J264" s="31" t="n">
        <x:v>14515.076545933316</x:v>
      </x:c>
      <x:c r="K264" s="31"/>
      <x:c r="L264" s="40"/>
      <x:c r="M264" s="40"/>
      <x:c r="N264" s="31" t="n">
        <x:v>391</x:v>
      </x:c>
      <x:c r="O264" s="31" t="n">
        <x:v>668</x:v>
      </x:c>
      <x:c r="P264" s="31" t="n">
        <x:v>2.1511561561561563</x:v>
      </x:c>
      <x:c r="Q264" s="40" t="n">
        <x:v>0</x:v>
      </x:c>
      <x:c r="R264" s="40" t="n">
        <x:v>0.19910179640718562</x:v>
      </x:c>
      <x:c r="S264" s="40" t="n">
        <x:v>0.0014970059880239522</x:v>
      </x:c>
      <x:c r="T264" s="31" t="n">
        <x:v>27.601438105464073</x:v>
      </x:c>
      <x:c r="U264" s="31" t="n">
        <x:v>39</x:v>
      </x:c>
      <x:c r="V264" s="31" t="n">
        <x:v>3</x:v>
      </x:c>
      <x:c r="W264" s="31" t="n">
        <x:v>1.3268465280849182</x:v>
      </x:c>
      <x:c r="X264" s="31" t="n">
        <x:v>5</x:v>
      </x:c>
      <x:c r="Y264" s="40" t="n">
        <x:v>1</x:v>
      </x:c>
      <x:c r="Z264" s="40" t="n">
        <x:v>1</x:v>
      </x:c>
      <x:c r="AA264" s="40" t="n">
        <x:v>1</x:v>
      </x:c>
      <x:c r="AB264" s="31" t="n">
        <x:v>0.1850504842248926</x:v>
      </x:c>
      <x:c r="AC264" s="31" t="n">
        <x:v>5</x:v>
      </x:c>
      <x:c r="AD264" s="44" t="b">
        <x:v>1</x:v>
      </x:c>
    </x:row>
    <x:row r="265">
      <x:c r="A265" s="31" t="str">
        <x:v>36005035800</x:v>
      </x:c>
      <x:c r="B265" s="31" t="str">
        <x:v>Bronx</x:v>
      </x:c>
      <x:c r="C265" s="31" t="str">
        <x:v>035800</x:v>
      </x:c>
      <x:c r="D265" s="31" t="str">
        <x:v>BX1202</x:v>
      </x:c>
      <x:c r="E265" s="31" t="str">
        <x:v>Eastchester-Edenwald-Baychester</x:v>
      </x:c>
      <x:c r="F265" s="31" t="n">
        <x:v>0.25176596275969926</x:v>
      </x:c>
      <x:c r="G265" s="31" t="n">
        <x:v>40.87398443646094</x:v>
      </x:c>
      <x:c r="H265" s="31" t="n">
        <x:v>-73.84259415209831</x:v>
      </x:c>
      <x:c r="I265" s="31" t="n">
        <x:v>7542</x:v>
      </x:c>
      <x:c r="J265" s="31" t="n">
        <x:v>29956.392505680138</x:v>
      </x:c>
      <x:c r="K265" s="31"/>
      <x:c r="L265" s="40"/>
      <x:c r="M265" s="40"/>
      <x:c r="N265" s="31" t="n">
        <x:v>1291</x:v>
      </x:c>
      <x:c r="O265" s="31" t="n">
        <x:v>2294</x:v>
      </x:c>
      <x:c r="P265" s="31" t="n">
        <x:v>2.2986319930069934</x:v>
      </x:c>
      <x:c r="Q265" s="40" t="n">
        <x:v>0</x:v>
      </x:c>
      <x:c r="R265" s="40" t="n">
        <x:v>0.3308631211857018</x:v>
      </x:c>
      <x:c r="S265" s="40" t="n">
        <x:v>0.003051438535309503</x:v>
      </x:c>
      <x:c r="T265" s="31" t="n">
        <x:v>28.01212012128251</x:v>
      </x:c>
      <x:c r="U265" s="31" t="n">
        <x:v>50</x:v>
      </x:c>
      <x:c r="V265" s="31" t="n">
        <x:v>3</x:v>
      </x:c>
      <x:c r="W265" s="31" t="n">
        <x:v>0.3977724741447892</x:v>
      </x:c>
      <x:c r="X265" s="31" t="n">
        <x:v>5</x:v>
      </x:c>
      <x:c r="Y265" s="40" t="n">
        <x:v>1</x:v>
      </x:c>
      <x:c r="Z265" s="40" t="n">
        <x:v>1</x:v>
      </x:c>
      <x:c r="AA265" s="40" t="n">
        <x:v>0.972101133391456</x:v>
      </x:c>
      <x:c r="AB265" s="31" t="n">
        <x:v>0.29480790581794075</x:v>
      </x:c>
      <x:c r="AC265" s="31" t="n">
        <x:v>7</x:v>
      </x:c>
      <x:c r="AD265" s="44" t="b">
        <x:v>1</x:v>
      </x:c>
    </x:row>
    <x:row r="266">
      <x:c r="A266" s="31" t="str">
        <x:v>36005035900</x:v>
      </x:c>
      <x:c r="B266" s="31" t="str">
        <x:v>Bronx</x:v>
      </x:c>
      <x:c r="C266" s="31" t="str">
        <x:v>035900</x:v>
      </x:c>
      <x:c r="D266" s="31" t="str">
        <x:v>BX0601</x:v>
      </x:c>
      <x:c r="E266" s="31" t="str">
        <x:v>West Farms</x:v>
      </x:c>
      <x:c r="F266" s="31" t="n">
        <x:v>0.052071928786085284</x:v>
      </x:c>
      <x:c r="G266" s="31" t="n">
        <x:v>40.84020852521791</x:v>
      </x:c>
      <x:c r="H266" s="31" t="n">
        <x:v>-73.88338078395012</x:v>
      </x:c>
      <x:c r="I266" s="31" t="n">
        <x:v>3731</x:v>
      </x:c>
      <x:c r="J266" s="31" t="n">
        <x:v>71650.88920226443</x:v>
      </x:c>
      <x:c r="K266" s="31"/>
      <x:c r="L266" s="40"/>
      <x:c r="M266" s="40"/>
      <x:c r="N266" s="31" t="n">
        <x:v>43</x:v>
      </x:c>
      <x:c r="O266" s="31" t="n">
        <x:v>2047</x:v>
      </x:c>
      <x:c r="P266" s="31" t="n">
        <x:v>10.8961895456766</x:v>
      </x:c>
      <x:c r="Q266" s="40" t="n">
        <x:v>0.6780654616511969</x:v>
      </x:c>
      <x:c r="R266" s="40" t="n">
        <x:v>0.29115779189057156</x:v>
      </x:c>
      <x:c r="S266" s="40" t="n">
        <x:v>0.015632633121641426</x:v>
      </x:c>
      <x:c r="T266" s="31" t="n">
        <x:v>109.10543087468491</x:v>
      </x:c>
      <x:c r="U266" s="31" t="n">
        <x:v>163</x:v>
      </x:c>
      <x:c r="V266" s="31" t="n">
        <x:v>31</x:v>
      </x:c>
      <x:c r="W266" s="31" t="n">
        <x:v>8.308764406325382</x:v>
      </x:c>
      <x:c r="X266" s="31" t="n">
        <x:v>5</x:v>
      </x:c>
      <x:c r="Y266" s="40" t="n">
        <x:v>1</x:v>
      </x:c>
      <x:c r="Z266" s="40" t="n">
        <x:v>1</x:v>
      </x:c>
      <x:c r="AA266" s="40" t="n">
        <x:v>1</x:v>
      </x:c>
      <x:c r="AB266" s="31" t="n">
        <x:v>0.06183387600964369</x:v>
      </x:c>
      <x:c r="AC266" s="31" t="n">
        <x:v>7</x:v>
      </x:c>
      <x:c r="AD266" s="44" t="b">
        <x:v>1</x:v>
      </x:c>
    </x:row>
    <x:row r="267">
      <x:c r="A267" s="31" t="str">
        <x:v>36005036000</x:v>
      </x:c>
      <x:c r="B267" s="31" t="str">
        <x:v>Bronx</x:v>
      </x:c>
      <x:c r="C267" s="31" t="str">
        <x:v>036000</x:v>
      </x:c>
      <x:c r="D267" s="31" t="str">
        <x:v>BX1103</x:v>
      </x:c>
      <x:c r="E267" s="31" t="str">
        <x:v>Pelham Gardens</x:v>
      </x:c>
      <x:c r="F267" s="31" t="n">
        <x:v>0.10249421175426136</x:v>
      </x:c>
      <x:c r="G267" s="31" t="n">
        <x:v>40.866840684607205</x:v>
      </x:c>
      <x:c r="H267" s="31" t="n">
        <x:v>-73.84310580359859</x:v>
      </x:c>
      <x:c r="I267" s="31" t="n">
        <x:v>3024</x:v>
      </x:c>
      <x:c r="J267" s="31" t="n">
        <x:v>29504.105141569347</x:v>
      </x:c>
      <x:c r="K267" s="31"/>
      <x:c r="L267" s="40"/>
      <x:c r="M267" s="40"/>
      <x:c r="N267" s="31" t="n">
        <x:v>508</x:v>
      </x:c>
      <x:c r="O267" s="31" t="n">
        <x:v>923</x:v>
      </x:c>
      <x:c r="P267" s="31" t="n">
        <x:v>1.9316793066088842</x:v>
      </x:c>
      <x:c r="Q267" s="40" t="n">
        <x:v>0</x:v>
      </x:c>
      <x:c r="R267" s="40" t="n">
        <x:v>0.1267605633802817</x:v>
      </x:c>
      <x:c r="S267" s="40" t="n">
        <x:v>0.010834236186348862</x:v>
      </x:c>
      <x:c r="T267" s="31" t="n">
        <x:v>26.913695101516794</x:v>
      </x:c>
      <x:c r="U267" s="31" t="n">
        <x:v>41.72</x:v>
      </x:c>
      <x:c r="V267" s="31" t="n">
        <x:v>0</x:v>
      </x:c>
      <x:c r="W267" s="31" t="n">
        <x:v>0</x:v>
      </x:c>
      <x:c r="X267" s="31" t="n">
        <x:v>5</x:v>
      </x:c>
      <x:c r="Y267" s="40" t="n">
        <x:v>1</x:v>
      </x:c>
      <x:c r="Z267" s="40" t="n">
        <x:v>1</x:v>
      </x:c>
      <x:c r="AA267" s="40" t="n">
        <x:v>1</x:v>
      </x:c>
      <x:c r="AB267" s="31" t="n">
        <x:v>0.25011620751937597</x:v>
      </x:c>
      <x:c r="AC267" s="31" t="n">
        <x:v>7</x:v>
      </x:c>
      <x:c r="AD267" s="44" t="b">
        <x:v>1</x:v>
      </x:c>
    </x:row>
    <x:row r="268">
      <x:c r="A268" s="31" t="str">
        <x:v>36005036100</x:v>
      </x:c>
      <x:c r="B268" s="31" t="str">
        <x:v>Bronx</x:v>
      </x:c>
      <x:c r="C268" s="31" t="str">
        <x:v>036100</x:v>
      </x:c>
      <x:c r="D268" s="31" t="str">
        <x:v>BX0601</x:v>
      </x:c>
      <x:c r="E268" s="31" t="str">
        <x:v>West Farms</x:v>
      </x:c>
      <x:c r="F268" s="31" t="n">
        <x:v>0.06340136560455406</x:v>
      </x:c>
      <x:c r="G268" s="31" t="n">
        <x:v>40.84227204122478</x:v>
      </x:c>
      <x:c r="H268" s="31" t="n">
        <x:v>-73.87956460400076</x:v>
      </x:c>
      <x:c r="I268" s="31" t="n">
        <x:v>5569</x:v>
      </x:c>
      <x:c r="J268" s="31" t="n">
        <x:v>87837.22474898843</x:v>
      </x:c>
      <x:c r="K268" s="31"/>
      <x:c r="L268" s="40"/>
      <x:c r="M268" s="40"/>
      <x:c r="N268" s="31" t="n">
        <x:v>77</x:v>
      </x:c>
      <x:c r="O268" s="31" t="n">
        <x:v>2344</x:v>
      </x:c>
      <x:c r="P268" s="31" t="n">
        <x:v>11.042235494880545</x:v>
      </x:c>
      <x:c r="Q268" s="40" t="n">
        <x:v>0.3506825938566553</x:v>
      </x:c>
      <x:c r="R268" s="40" t="n">
        <x:v>0.6322525597269625</x:v>
      </x:c>
      <x:c r="S268" s="40" t="n">
        <x:v>0.10878839590443685</x:v>
      </x:c>
      <x:c r="T268" s="31" t="n">
        <x:v>102.66392646161262</x:v>
      </x:c>
      <x:c r="U268" s="31" t="n">
        <x:v>198.51299194</x:v>
      </x:c>
      <x:c r="V268" s="31" t="n">
        <x:v>42</x:v>
      </x:c>
      <x:c r="W268" s="31" t="n">
        <x:v>7.541748967498653</x:v>
      </x:c>
      <x:c r="X268" s="31" t="n">
        <x:v>5</x:v>
      </x:c>
      <x:c r="Y268" s="40" t="n">
        <x:v>1</x:v>
      </x:c>
      <x:c r="Z268" s="40" t="n">
        <x:v>1</x:v>
      </x:c>
      <x:c r="AA268" s="40" t="n">
        <x:v>1</x:v>
      </x:c>
      <x:c r="AB268" s="31" t="n">
        <x:v>0.09232645519729567</x:v>
      </x:c>
      <x:c r="AC268" s="31" t="n">
        <x:v>5</x:v>
      </x:c>
      <x:c r="AD268" s="44" t="b">
        <x:v>1</x:v>
      </x:c>
    </x:row>
    <x:row r="269">
      <x:c r="A269" s="31" t="str">
        <x:v>36005036300</x:v>
      </x:c>
      <x:c r="B269" s="31" t="str">
        <x:v>Bronx</x:v>
      </x:c>
      <x:c r="C269" s="31" t="str">
        <x:v>036300</x:v>
      </x:c>
      <x:c r="D269" s="31" t="str">
        <x:v>BX0601</x:v>
      </x:c>
      <x:c r="E269" s="31" t="str">
        <x:v>West Farms</x:v>
      </x:c>
      <x:c r="F269" s="31" t="n">
        <x:v>0.08532575547628271</x:v>
      </x:c>
      <x:c r="G269" s="31" t="n">
        <x:v>40.84453966104494</x:v>
      </x:c>
      <x:c r="H269" s="31" t="n">
        <x:v>-73.88275471607876</x:v>
      </x:c>
      <x:c r="I269" s="31" t="n">
        <x:v>7074</x:v>
      </x:c>
      <x:c r="J269" s="31" t="n">
        <x:v>82905.79978475902</x:v>
      </x:c>
      <x:c r="K269" s="31"/>
      <x:c r="L269" s="40"/>
      <x:c r="M269" s="40"/>
      <x:c r="N269" s="31" t="n">
        <x:v>200</x:v>
      </x:c>
      <x:c r="O269" s="31" t="n">
        <x:v>3180</x:v>
      </x:c>
      <x:c r="P269" s="31" t="n">
        <x:v>5.4865</x:v>
      </x:c>
      <x:c r="Q269" s="40" t="n">
        <x:v>0.04874213836477988</x:v>
      </x:c>
      <x:c r="R269" s="40" t="n">
        <x:v>0.8562893081761006</x:v>
      </x:c>
      <x:c r="S269" s="40" t="n">
        <x:v>0.01729559748427673</x:v>
      </x:c>
      <x:c r="T269" s="31" t="n">
        <x:v>60.194748173919834</x:v>
      </x:c>
      <x:c r="U269" s="31" t="n">
        <x:v>99</x:v>
      </x:c>
      <x:c r="V269" s="31" t="n">
        <x:v>60</x:v>
      </x:c>
      <x:c r="W269" s="31" t="n">
        <x:v>8.481764206955047</x:v>
      </x:c>
      <x:c r="X269" s="31" t="n">
        <x:v>5</x:v>
      </x:c>
      <x:c r="Y269" s="40" t="n">
        <x:v>1</x:v>
      </x:c>
      <x:c r="Z269" s="40" t="n">
        <x:v>1</x:v>
      </x:c>
      <x:c r="AA269" s="40" t="n">
        <x:v>0.9257861635220126</x:v>
      </x:c>
      <x:c r="AB269" s="31" t="n">
        <x:v>0.018184267426013683</x:v>
      </x:c>
      <x:c r="AC269" s="31" t="n">
        <x:v>6</x:v>
      </x:c>
      <x:c r="AD269" s="44" t="b">
        <x:v>1</x:v>
      </x:c>
    </x:row>
    <x:row r="270">
      <x:c r="A270" s="31" t="str">
        <x:v>36005036400</x:v>
      </x:c>
      <x:c r="B270" s="31" t="str">
        <x:v>Bronx</x:v>
      </x:c>
      <x:c r="C270" s="31" t="str">
        <x:v>036400</x:v>
      </x:c>
      <x:c r="D270" s="31" t="str">
        <x:v>BX1202</x:v>
      </x:c>
      <x:c r="E270" s="31" t="str">
        <x:v>Eastchester-Edenwald-Baychester</x:v>
      </x:c>
      <x:c r="F270" s="31" t="n">
        <x:v>0.07863163144190484</x:v>
      </x:c>
      <x:c r="G270" s="31" t="n">
        <x:v>40.873616690360215</x:v>
      </x:c>
      <x:c r="H270" s="31" t="n">
        <x:v>-73.84921533986694</x:v>
      </x:c>
      <x:c r="I270" s="31" t="n">
        <x:v>2603</x:v>
      </x:c>
      <x:c r="J270" s="31" t="n">
        <x:v>33103.72622655256</x:v>
      </x:c>
      <x:c r="K270" s="31"/>
      <x:c r="L270" s="40"/>
      <x:c r="M270" s="40"/>
      <x:c r="N270" s="31" t="n">
        <x:v>469</x:v>
      </x:c>
      <x:c r="O270" s="31" t="n">
        <x:v>820</x:v>
      </x:c>
      <x:c r="P270" s="31" t="n">
        <x:v>2.0780731707317073</x:v>
      </x:c>
      <x:c r="Q270" s="40" t="n">
        <x:v>0</x:v>
      </x:c>
      <x:c r="R270" s="40" t="n">
        <x:v>0.08658536585365853</x:v>
      </x:c>
      <x:c r="S270" s="40" t="n">
        <x:v>0.004878048780487805</x:v>
      </x:c>
      <x:c r="T270" s="31" t="n">
        <x:v>27.547269965999998</x:v>
      </x:c>
      <x:c r="U270" s="31" t="n">
        <x:v>51.26</x:v>
      </x:c>
      <x:c r="V270" s="31" t="n">
        <x:v>0</x:v>
      </x:c>
      <x:c r="W270" s="31" t="n">
        <x:v>0</x:v>
      </x:c>
      <x:c r="X270" s="31" t="n">
        <x:v>5</x:v>
      </x:c>
      <x:c r="Y270" s="40" t="n">
        <x:v>1</x:v>
      </x:c>
      <x:c r="Z270" s="40" t="n">
        <x:v>1</x:v>
      </x:c>
      <x:c r="AA270" s="40" t="n">
        <x:v>1</x:v>
      </x:c>
      <x:c r="AB270" s="31" t="n">
        <x:v>0.20594189570156202</x:v>
      </x:c>
      <x:c r="AC270" s="31" t="n">
        <x:v>6</x:v>
      </x:c>
      <x:c r="AD270" s="44" t="b">
        <x:v>1</x:v>
      </x:c>
    </x:row>
    <x:row r="271">
      <x:c r="A271" s="31" t="str">
        <x:v>36005036501</x:v>
      </x:c>
      <x:c r="B271" s="31" t="str">
        <x:v>Bronx</x:v>
      </x:c>
      <x:c r="C271" s="31" t="str">
        <x:v>036501</x:v>
      </x:c>
      <x:c r="D271" s="31" t="str">
        <x:v>BX0602</x:v>
      </x:c>
      <x:c r="E271" s="31" t="str">
        <x:v>Tremont</x:v>
      </x:c>
      <x:c r="F271" s="31" t="n">
        <x:v>0.03711987345148933</x:v>
      </x:c>
      <x:c r="G271" s="31" t="n">
        <x:v>40.845400469273585</x:v>
      </x:c>
      <x:c r="H271" s="31" t="n">
        <x:v>-73.88578710448357</x:v>
      </x:c>
      <x:c r="I271" s="31" t="n">
        <x:v>3897</x:v>
      </x:c>
      <x:c r="J271" s="31" t="n">
        <x:v>104984.19411620176</x:v>
      </x:c>
      <x:c r="K271" s="31"/>
      <x:c r="L271" s="40"/>
      <x:c r="M271" s="40"/>
      <x:c r="N271" s="31" t="n">
        <x:v>105</x:v>
      </x:c>
      <x:c r="O271" s="31" t="n">
        <x:v>1542</x:v>
      </x:c>
      <x:c r="P271" s="31" t="n">
        <x:v>8.124189364461738</x:v>
      </x:c>
      <x:c r="Q271" s="40" t="n">
        <x:v>0.10894941634241245</x:v>
      </x:c>
      <x:c r="R271" s="40" t="n">
        <x:v>0.8540856031128404</x:v>
      </x:c>
      <x:c r="S271" s="40" t="n">
        <x:v>0</x:v>
      </x:c>
      <x:c r="T271" s="31" t="n">
        <x:v>83.41544692243839</x:v>
      </x:c>
      <x:c r="U271" s="31" t="n">
        <x:v>276.87</x:v>
      </x:c>
      <x:c r="V271" s="31" t="n">
        <x:v>10</x:v>
      </x:c>
      <x:c r="W271" s="31" t="n">
        <x:v>2.5660764690787783</x:v>
      </x:c>
      <x:c r="X271" s="31" t="n">
        <x:v>5</x:v>
      </x:c>
      <x:c r="Y271" s="40" t="n">
        <x:v>1</x:v>
      </x:c>
      <x:c r="Z271" s="40" t="n">
        <x:v>1</x:v>
      </x:c>
      <x:c r="AA271" s="40" t="n">
        <x:v>1</x:v>
      </x:c>
      <x:c r="AB271" s="31" t="n">
        <x:v>0.06129993583365946</x:v>
      </x:c>
      <x:c r="AC271" s="31" t="n">
        <x:v>7</x:v>
      </x:c>
      <x:c r="AD271" s="44" t="b">
        <x:v>1</x:v>
      </x:c>
    </x:row>
    <x:row r="272">
      <x:c r="A272" s="31" t="str">
        <x:v>36005036502</x:v>
      </x:c>
      <x:c r="B272" s="31" t="str">
        <x:v>Bronx</x:v>
      </x:c>
      <x:c r="C272" s="31" t="str">
        <x:v>036502</x:v>
      </x:c>
      <x:c r="D272" s="31" t="str">
        <x:v>BX0602</x:v>
      </x:c>
      <x:c r="E272" s="31" t="str">
        <x:v>Tremont</x:v>
      </x:c>
      <x:c r="F272" s="31" t="n">
        <x:v>0.03767600043869088</x:v>
      </x:c>
      <x:c r="G272" s="31" t="n">
        <x:v>40.842387718969036</x:v>
      </x:c>
      <x:c r="H272" s="31" t="n">
        <x:v>-73.88782387568033</x:v>
      </x:c>
      <x:c r="I272" s="31" t="n">
        <x:v>2449</x:v>
      </x:c>
      <x:c r="J272" s="31" t="n">
        <x:v>65001.591768881895</x:v>
      </x:c>
      <x:c r="K272" s="31"/>
      <x:c r="L272" s="40"/>
      <x:c r="M272" s="40"/>
      <x:c r="N272" s="31" t="n">
        <x:v>129</x:v>
      </x:c>
      <x:c r="O272" s="31" t="n">
        <x:v>1033</x:v>
      </x:c>
      <x:c r="P272" s="31" t="n">
        <x:v>4.704634146341464</x:v>
      </x:c>
      <x:c r="Q272" s="40" t="n">
        <x:v>0</x:v>
      </x:c>
      <x:c r="R272" s="40" t="n">
        <x:v>0.9244917715392061</x:v>
      </x:c>
      <x:c r="S272" s="40" t="n">
        <x:v>0</x:v>
      </x:c>
      <x:c r="T272" s="31" t="n">
        <x:v>51.71678257256329</x:v>
      </x:c>
      <x:c r="U272" s="31" t="n">
        <x:v>75</x:v>
      </x:c>
      <x:c r="V272" s="31" t="n">
        <x:v>10</x:v>
      </x:c>
      <x:c r="W272" s="31" t="n">
        <x:v>4.083299305839118</x:v>
      </x:c>
      <x:c r="X272" s="31" t="n">
        <x:v>5</x:v>
      </x:c>
      <x:c r="Y272" s="40" t="n">
        <x:v>1</x:v>
      </x:c>
      <x:c r="Z272" s="40" t="n">
        <x:v>1</x:v>
      </x:c>
      <x:c r="AA272" s="40" t="n">
        <x:v>0.9177153920619555</x:v>
      </x:c>
      <x:c r="AB272" s="31" t="n">
        <x:v>0.1553345881309068</x:v>
      </x:c>
      <x:c r="AC272" s="31" t="n">
        <x:v>8</x:v>
      </x:c>
      <x:c r="AD272" s="44" t="b">
        <x:v>1</x:v>
      </x:c>
    </x:row>
    <x:row r="273">
      <x:c r="A273" s="31" t="str">
        <x:v>36005036700</x:v>
      </x:c>
      <x:c r="B273" s="31" t="str">
        <x:v>Bronx</x:v>
      </x:c>
      <x:c r="C273" s="31" t="str">
        <x:v>036700</x:v>
      </x:c>
      <x:c r="D273" s="31" t="str">
        <x:v>BX0602</x:v>
      </x:c>
      <x:c r="E273" s="31" t="str">
        <x:v>Tremont</x:v>
      </x:c>
      <x:c r="F273" s="31" t="n">
        <x:v>0.03606513064451331</x:v>
      </x:c>
      <x:c r="G273" s="31" t="n">
        <x:v>40.840751340391975</x:v>
      </x:c>
      <x:c r="H273" s="31" t="n">
        <x:v>-73.88930649847062</x:v>
      </x:c>
      <x:c r="I273" s="31" t="n">
        <x:v>2672</x:v>
      </x:c>
      <x:c r="J273" s="31" t="n">
        <x:v>74088.18302468839</x:v>
      </x:c>
      <x:c r="K273" s="31"/>
      <x:c r="L273" s="40"/>
      <x:c r="M273" s="40"/>
      <x:c r="N273" s="31" t="n">
        <x:v>133</x:v>
      </x:c>
      <x:c r="O273" s="31" t="n">
        <x:v>1095</x:v>
      </x:c>
      <x:c r="P273" s="31" t="n">
        <x:v>4.914148351648351</x:v>
      </x:c>
      <x:c r="Q273" s="40" t="n">
        <x:v>0</x:v>
      </x:c>
      <x:c r="R273" s="40" t="n">
        <x:v>0.9223744292237442</x:v>
      </x:c>
      <x:c r="S273" s="40" t="n">
        <x:v>0</x:v>
      </x:c>
      <x:c r="T273" s="31" t="n">
        <x:v>53.52652984089952</x:v>
      </x:c>
      <x:c r="U273" s="31" t="n">
        <x:v>88.68416242</x:v>
      </x:c>
      <x:c r="V273" s="31" t="n">
        <x:v>11</x:v>
      </x:c>
      <x:c r="W273" s="31" t="n">
        <x:v>4.116766467065869</x:v>
      </x:c>
      <x:c r="X273" s="31" t="n">
        <x:v>5</x:v>
      </x:c>
      <x:c r="Y273" s="40" t="n">
        <x:v>1</x:v>
      </x:c>
      <x:c r="Z273" s="40" t="n">
        <x:v>1</x:v>
      </x:c>
      <x:c r="AA273" s="40" t="n">
        <x:v>0.954337899543379</x:v>
      </x:c>
      <x:c r="AB273" s="31" t="n">
        <x:v>0.15543822726209558</x:v>
      </x:c>
      <x:c r="AC273" s="31" t="n">
        <x:v>6</x:v>
      </x:c>
      <x:c r="AD273" s="44" t="b">
        <x:v>1</x:v>
      </x:c>
    </x:row>
    <x:row r="274">
      <x:c r="A274" s="31" t="str">
        <x:v>36005036800</x:v>
      </x:c>
      <x:c r="B274" s="31" t="str">
        <x:v>Bronx</x:v>
      </x:c>
      <x:c r="C274" s="31" t="str">
        <x:v>036800</x:v>
      </x:c>
      <x:c r="D274" s="31" t="str">
        <x:v>BX1201</x:v>
      </x:c>
      <x:c r="E274" s="31" t="str">
        <x:v>Williamsbridge-Olinville</x:v>
      </x:c>
      <x:c r="F274" s="31" t="n">
        <x:v>0.06529210411286157</x:v>
      </x:c>
      <x:c r="G274" s="31" t="n">
        <x:v>40.875307494740255</x:v>
      </x:c>
      <x:c r="H274" s="31" t="n">
        <x:v>-73.85595352040454</x:v>
      </x:c>
      <x:c r="I274" s="31" t="n">
        <x:v>2165</x:v>
      </x:c>
      <x:c r="J274" s="31" t="n">
        <x:v>33158.68020209089</x:v>
      </x:c>
      <x:c r="K274" s="31"/>
      <x:c r="L274" s="40"/>
      <x:c r="M274" s="40"/>
      <x:c r="N274" s="31" t="n">
        <x:v>298</x:v>
      </x:c>
      <x:c r="O274" s="31" t="n">
        <x:v>784</x:v>
      </x:c>
      <x:c r="P274" s="31" t="n">
        <x:v>3.261203585147247</x:v>
      </x:c>
      <x:c r="Q274" s="40" t="n">
        <x:v>0</x:v>
      </x:c>
      <x:c r="R274" s="40" t="n">
        <x:v>0.41964285714285715</x:v>
      </x:c>
      <x:c r="S274" s="40" t="n">
        <x:v>0.011479591836734694</x:v>
      </x:c>
      <x:c r="T274" s="31" t="n">
        <x:v>31.776439829196892</x:v>
      </x:c>
      <x:c r="U274" s="31" t="n">
        <x:v>69</x:v>
      </x:c>
      <x:c r="V274" s="31" t="n">
        <x:v>4</x:v>
      </x:c>
      <x:c r="W274" s="31" t="n">
        <x:v>1.8475750577367205</x:v>
      </x:c>
      <x:c r="X274" s="31" t="n">
        <x:v>5</x:v>
      </x:c>
      <x:c r="Y274" s="40" t="n">
        <x:v>1</x:v>
      </x:c>
      <x:c r="Z274" s="40" t="n">
        <x:v>1</x:v>
      </x:c>
      <x:c r="AA274" s="40" t="n">
        <x:v>0.9846938775510204</x:v>
      </x:c>
      <x:c r="AB274" s="31" t="n">
        <x:v>0.11379793242303969</x:v>
      </x:c>
      <x:c r="AC274" s="31" t="n">
        <x:v>6</x:v>
      </x:c>
      <x:c r="AD274" s="44" t="b">
        <x:v>1</x:v>
      </x:c>
    </x:row>
    <x:row r="275">
      <x:c r="A275" s="31" t="str">
        <x:v>36005036901</x:v>
      </x:c>
      <x:c r="B275" s="31" t="str">
        <x:v>Bronx</x:v>
      </x:c>
      <x:c r="C275" s="31" t="str">
        <x:v>036901</x:v>
      </x:c>
      <x:c r="D275" s="31" t="str">
        <x:v>BX0602</x:v>
      </x:c>
      <x:c r="E275" s="31" t="str">
        <x:v>Tremont</x:v>
      </x:c>
      <x:c r="F275" s="31" t="n">
        <x:v>0.03829645515811524</x:v>
      </x:c>
      <x:c r="G275" s="31" t="n">
        <x:v>40.84436555127119</x:v>
      </x:c>
      <x:c r="H275" s="31" t="n">
        <x:v>-73.89189772158636</x:v>
      </x:c>
      <x:c r="I275" s="31" t="n">
        <x:v>1910</x:v>
      </x:c>
      <x:c r="J275" s="31" t="n">
        <x:v>49874.06777243872</x:v>
      </x:c>
      <x:c r="K275" s="31"/>
      <x:c r="L275" s="40"/>
      <x:c r="M275" s="40"/>
      <x:c r="N275" s="31" t="n">
        <x:v>65</x:v>
      </x:c>
      <x:c r="O275" s="31" t="n">
        <x:v>1211</x:v>
      </x:c>
      <x:c r="P275" s="31" t="n">
        <x:v>6.7943848059455</x:v>
      </x:c>
      <x:c r="Q275" s="40" t="n">
        <x:v>0.23699421965317918</x:v>
      </x:c>
      <x:c r="R275" s="40" t="n">
        <x:v>0.7258464079273328</x:v>
      </x:c>
      <x:c r="S275" s="40" t="n">
        <x:v>0</x:v>
      </x:c>
      <x:c r="T275" s="31" t="n">
        <x:v>69.93150598690339</x:v>
      </x:c>
      <x:c r="U275" s="31" t="n">
        <x:v>104</x:v>
      </x:c>
      <x:c r="V275" s="31" t="n">
        <x:v>18</x:v>
      </x:c>
      <x:c r="W275" s="31" t="n">
        <x:v>9.424083769633508</x:v>
      </x:c>
      <x:c r="X275" s="31" t="n">
        <x:v>5</x:v>
      </x:c>
      <x:c r="Y275" s="40" t="n">
        <x:v>1</x:v>
      </x:c>
      <x:c r="Z275" s="40" t="n">
        <x:v>1</x:v>
      </x:c>
      <x:c r="AA275" s="40" t="n">
        <x:v>1</x:v>
      </x:c>
      <x:c r="AB275" s="31" t="n">
        <x:v>0.09583376361772147</x:v>
      </x:c>
      <x:c r="AC275" s="31" t="n">
        <x:v>8</x:v>
      </x:c>
      <x:c r="AD275" s="44" t="b">
        <x:v>1</x:v>
      </x:c>
    </x:row>
    <x:row r="276">
      <x:c r="A276" s="31" t="str">
        <x:v>36005036902</x:v>
      </x:c>
      <x:c r="B276" s="31" t="str">
        <x:v>Bronx</x:v>
      </x:c>
      <x:c r="C276" s="31" t="str">
        <x:v>036902</x:v>
      </x:c>
      <x:c r="D276" s="31" t="str">
        <x:v>BX0602</x:v>
      </x:c>
      <x:c r="E276" s="31" t="str">
        <x:v>Tremont</x:v>
      </x:c>
      <x:c r="F276" s="31" t="n">
        <x:v>0.024136007493471646</x:v>
      </x:c>
      <x:c r="G276" s="31" t="n">
        <x:v>40.84255439050736</x:v>
      </x:c>
      <x:c r="H276" s="31" t="n">
        <x:v>-73.89288678609938</x:v>
      </x:c>
      <x:c r="I276" s="31" t="n">
        <x:v>2324</x:v>
      </x:c>
      <x:c r="J276" s="31" t="n">
        <x:v>96287.67312193618</x:v>
      </x:c>
      <x:c r="K276" s="31"/>
      <x:c r="L276" s="40"/>
      <x:c r="M276" s="40"/>
      <x:c r="N276" s="31" t="n">
        <x:v>47</x:v>
      </x:c>
      <x:c r="O276" s="31" t="n">
        <x:v>1099</x:v>
      </x:c>
      <x:c r="P276" s="31" t="n">
        <x:v>9.31346678798908</x:v>
      </x:c>
      <x:c r="Q276" s="40" t="n">
        <x:v>0.2556869881710646</x:v>
      </x:c>
      <x:c r="R276" s="40" t="n">
        <x:v>0.72975432211101</x:v>
      </x:c>
      <x:c r="S276" s="40" t="n">
        <x:v>0</x:v>
      </x:c>
      <x:c r="T276" s="31" t="n">
        <x:v>96.03237798515882</x:v>
      </x:c>
      <x:c r="U276" s="31" t="n">
        <x:v>191.75</x:v>
      </x:c>
      <x:c r="V276" s="31" t="n">
        <x:v>11</x:v>
      </x:c>
      <x:c r="W276" s="31" t="n">
        <x:v>4.733218588640275</x:v>
      </x:c>
      <x:c r="X276" s="31" t="n">
        <x:v>5</x:v>
      </x:c>
      <x:c r="Y276" s="40" t="n">
        <x:v>1</x:v>
      </x:c>
      <x:c r="Z276" s="40" t="n">
        <x:v>1</x:v>
      </x:c>
      <x:c r="AA276" s="40" t="n">
        <x:v>0.9454049135577798</x:v>
      </x:c>
      <x:c r="AB276" s="31" t="n">
        <x:v>0.09920023104618378</x:v>
      </x:c>
      <x:c r="AC276" s="31" t="n">
        <x:v>5</x:v>
      </x:c>
      <x:c r="AD276" s="44" t="b">
        <x:v>1</x:v>
      </x:c>
    </x:row>
    <x:row r="277">
      <x:c r="A277" s="31" t="str">
        <x:v>36005037000</x:v>
      </x:c>
      <x:c r="B277" s="31" t="str">
        <x:v>Bronx</x:v>
      </x:c>
      <x:c r="C277" s="31" t="str">
        <x:v>037000</x:v>
      </x:c>
      <x:c r="D277" s="31" t="str">
        <x:v>BX1201</x:v>
      </x:c>
      <x:c r="E277" s="31" t="str">
        <x:v>Williamsbridge-Olinville</x:v>
      </x:c>
      <x:c r="F277" s="31" t="n">
        <x:v>0.061304963081095044</x:v>
      </x:c>
      <x:c r="G277" s="31" t="n">
        <x:v>40.87308967872181</x:v>
      </x:c>
      <x:c r="H277" s="31" t="n">
        <x:v>-73.8590206419694</x:v>
      </x:c>
      <x:c r="I277" s="31" t="n">
        <x:v>2536</x:v>
      </x:c>
      <x:c r="J277" s="31" t="n">
        <x:v>41366.960724621014</x:v>
      </x:c>
      <x:c r="K277" s="31"/>
      <x:c r="L277" s="40"/>
      <x:c r="M277" s="40"/>
      <x:c r="N277" s="31" t="n">
        <x:v>400</x:v>
      </x:c>
      <x:c r="O277" s="31" t="n">
        <x:v>801</x:v>
      </x:c>
      <x:c r="P277" s="31" t="n">
        <x:v>2.1854636591478696</x:v>
      </x:c>
      <x:c r="Q277" s="40" t="n">
        <x:v>0</x:v>
      </x:c>
      <x:c r="R277" s="40" t="n">
        <x:v>0.2634207240948814</x:v>
      </x:c>
      <x:c r="S277" s="40" t="n">
        <x:v>0.0012484394506866417</x:v>
      </x:c>
      <x:c r="T277" s="31" t="n">
        <x:v>27.8065186339599</x:v>
      </x:c>
      <x:c r="U277" s="31" t="n">
        <x:v>46.71</x:v>
      </x:c>
      <x:c r="V277" s="31" t="n">
        <x:v>1</x:v>
      </x:c>
      <x:c r="W277" s="31" t="n">
        <x:v>0.3943217665615142</x:v>
      </x:c>
      <x:c r="X277" s="31" t="n">
        <x:v>5</x:v>
      </x:c>
      <x:c r="Y277" s="40" t="n">
        <x:v>1</x:v>
      </x:c>
      <x:c r="Z277" s="40" t="n">
        <x:v>1</x:v>
      </x:c>
      <x:c r="AA277" s="40" t="n">
        <x:v>0.9962546816479401</x:v>
      </x:c>
      <x:c r="AB277" s="31" t="n">
        <x:v>0.1091487589692461</x:v>
      </x:c>
      <x:c r="AC277" s="31" t="n">
        <x:v>7</x:v>
      </x:c>
      <x:c r="AD277" s="44" t="b">
        <x:v>1</x:v>
      </x:c>
    </x:row>
    <x:row r="278">
      <x:c r="A278" s="31" t="str">
        <x:v>36005037100</x:v>
      </x:c>
      <x:c r="B278" s="31" t="str">
        <x:v>Bronx</x:v>
      </x:c>
      <x:c r="C278" s="31" t="str">
        <x:v>037100</x:v>
      </x:c>
      <x:c r="D278" s="31" t="str">
        <x:v>BX0602</x:v>
      </x:c>
      <x:c r="E278" s="31" t="str">
        <x:v>Tremont</x:v>
      </x:c>
      <x:c r="F278" s="31" t="n">
        <x:v>0.07634923998723027</x:v>
      </x:c>
      <x:c r="G278" s="31" t="n">
        <x:v>40.847222854198456</x:v>
      </x:c>
      <x:c r="H278" s="31" t="n">
        <x:v>-73.8873810261002</x:v>
      </x:c>
      <x:c r="I278" s="31" t="n">
        <x:v>4504</x:v>
      </x:c>
      <x:c r="J278" s="31" t="n">
        <x:v>58992.07380130192</x:v>
      </x:c>
      <x:c r="K278" s="31"/>
      <x:c r="L278" s="40"/>
      <x:c r="M278" s="40"/>
      <x:c r="N278" s="31" t="n">
        <x:v>279</x:v>
      </x:c>
      <x:c r="O278" s="31" t="n">
        <x:v>2093</x:v>
      </x:c>
      <x:c r="P278" s="31" t="n">
        <x:v>8.200704225352112</x:v>
      </x:c>
      <x:c r="Q278" s="40" t="n">
        <x:v>0.36454849498327757</x:v>
      </x:c>
      <x:c r="R278" s="40" t="n">
        <x:v>0.48017200191113235</x:v>
      </x:c>
      <x:c r="S278" s="40" t="n">
        <x:v>0.01433349259436216</x:v>
      </x:c>
      <x:c r="T278" s="31" t="n">
        <x:v>85.3908459255162</x:v>
      </x:c>
      <x:c r="U278" s="31" t="n">
        <x:v>159.50007495</x:v>
      </x:c>
      <x:c r="V278" s="31" t="n">
        <x:v>18</x:v>
      </x:c>
      <x:c r="W278" s="31" t="n">
        <x:v>3.996447602131439</x:v>
      </x:c>
      <x:c r="X278" s="31" t="n">
        <x:v>5</x:v>
      </x:c>
      <x:c r="Y278" s="40" t="n">
        <x:v>1</x:v>
      </x:c>
      <x:c r="Z278" s="40" t="n">
        <x:v>1</x:v>
      </x:c>
      <x:c r="AA278" s="40" t="n">
        <x:v>0.957955088389871</x:v>
      </x:c>
      <x:c r="AB278" s="31" t="n">
        <x:v>0.09560865972102549</x:v>
      </x:c>
      <x:c r="AC278" s="31" t="n">
        <x:v>6</x:v>
      </x:c>
      <x:c r="AD278" s="44" t="b">
        <x:v>1</x:v>
      </x:c>
    </x:row>
    <x:row r="279">
      <x:c r="A279" s="31" t="str">
        <x:v>36005037200</x:v>
      </x:c>
      <x:c r="B279" s="31" t="str">
        <x:v>Bronx</x:v>
      </x:c>
      <x:c r="C279" s="31" t="str">
        <x:v>037200</x:v>
      </x:c>
      <x:c r="D279" s="31" t="str">
        <x:v>BX1201</x:v>
      </x:c>
      <x:c r="E279" s="31" t="str">
        <x:v>Williamsbridge-Olinville</x:v>
      </x:c>
      <x:c r="F279" s="31" t="n">
        <x:v>0.07206063924292642</x:v>
      </x:c>
      <x:c r="G279" s="31" t="n">
        <x:v>40.873804300840625</x:v>
      </x:c>
      <x:c r="H279" s="31" t="n">
        <x:v>-73.86327806292181</x:v>
      </x:c>
      <x:c r="I279" s="31" t="n">
        <x:v>2289</x:v>
      </x:c>
      <x:c r="J279" s="31" t="n">
        <x:v>31764.913884311558</x:v>
      </x:c>
      <x:c r="K279" s="31"/>
      <x:c r="L279" s="40"/>
      <x:c r="M279" s="40"/>
      <x:c r="N279" s="31" t="n">
        <x:v>225</x:v>
      </x:c>
      <x:c r="O279" s="31" t="n">
        <x:v>796</x:v>
      </x:c>
      <x:c r="P279" s="31" t="n">
        <x:v>4.5832286432160805</x:v>
      </x:c>
      <x:c r="Q279" s="40" t="n">
        <x:v>0.12562814070351758</x:v>
      </x:c>
      <x:c r="R279" s="40" t="n">
        <x:v>0.4535175879396985</x:v>
      </x:c>
      <x:c r="S279" s="40" t="n">
        <x:v>0.00628140703517588</x:v>
      </x:c>
      <x:c r="T279" s="31" t="n">
        <x:v>47.77299883153943</x:v>
      </x:c>
      <x:c r="U279" s="31" t="n">
        <x:v>96.47</x:v>
      </x:c>
      <x:c r="V279" s="31" t="n">
        <x:v>6</x:v>
      </x:c>
      <x:c r="W279" s="31" t="n">
        <x:v>2.6212319790301444</x:v>
      </x:c>
      <x:c r="X279" s="31" t="n">
        <x:v>4.030150753768845</x:v>
      </x:c>
      <x:c r="Y279" s="40" t="n">
        <x:v>1</x:v>
      </x:c>
      <x:c r="Z279" s="40" t="n">
        <x:v>1</x:v>
      </x:c>
      <x:c r="AA279" s="40" t="n">
        <x:v>0.9874371859296482</x:v>
      </x:c>
      <x:c r="AB279" s="31" t="n">
        <x:v>0.12876396081386315</x:v>
      </x:c>
      <x:c r="AC279" s="31" t="n">
        <x:v>7</x:v>
      </x:c>
      <x:c r="AD279" s="44" t="b">
        <x:v>1</x:v>
      </x:c>
    </x:row>
    <x:row r="280">
      <x:c r="A280" s="31" t="str">
        <x:v>36005037300</x:v>
      </x:c>
      <x:c r="B280" s="31" t="str">
        <x:v>Bronx</x:v>
      </x:c>
      <x:c r="C280" s="31" t="str">
        <x:v>037300</x:v>
      </x:c>
      <x:c r="D280" s="31" t="str">
        <x:v>BX0602</x:v>
      </x:c>
      <x:c r="E280" s="31" t="str">
        <x:v>Tremont</x:v>
      </x:c>
      <x:c r="F280" s="31" t="n">
        <x:v>0.06687955940513085</x:v>
      </x:c>
      <x:c r="G280" s="31" t="n">
        <x:v>40.84866940854379</x:v>
      </x:c>
      <x:c r="H280" s="31" t="n">
        <x:v>-73.89014306804427</x:v>
      </x:c>
      <x:c r="I280" s="31" t="n">
        <x:v>6117</x:v>
      </x:c>
      <x:c r="J280" s="31" t="n">
        <x:v>91462.92311744382</x:v>
      </x:c>
      <x:c r="K280" s="31"/>
      <x:c r="L280" s="40"/>
      <x:c r="M280" s="40"/>
      <x:c r="N280" s="31" t="n">
        <x:v>275</x:v>
      </x:c>
      <x:c r="O280" s="31" t="n">
        <x:v>2506</x:v>
      </x:c>
      <x:c r="P280" s="31" t="n">
        <x:v>6.232993890020366</x:v>
      </x:c>
      <x:c r="Q280" s="40" t="n">
        <x:v>0.22585794094173983</x:v>
      </x:c>
      <x:c r="R280" s="40" t="n">
        <x:v>0.6460494812450119</x:v>
      </x:c>
      <x:c r="S280" s="40" t="n">
        <x:v>0.0015961691939345571</x:v>
      </x:c>
      <x:c r="T280" s="31" t="n">
        <x:v>68.82318092405974</x:v>
      </x:c>
      <x:c r="U280" s="31" t="n">
        <x:v>156.21341455</x:v>
      </x:c>
      <x:c r="V280" s="31" t="n">
        <x:v>25</x:v>
      </x:c>
      <x:c r="W280" s="31" t="n">
        <x:v>4.086970737289521</x:v>
      </x:c>
      <x:c r="X280" s="31" t="n">
        <x:v>5</x:v>
      </x:c>
      <x:c r="Y280" s="40" t="n">
        <x:v>1</x:v>
      </x:c>
      <x:c r="Z280" s="40" t="n">
        <x:v>1</x:v>
      </x:c>
      <x:c r="AA280" s="40" t="n">
        <x:v>0.9485235434956105</x:v>
      </x:c>
      <x:c r="AB280" s="31" t="n">
        <x:v>0.06115263284255571</x:v>
      </x:c>
      <x:c r="AC280" s="31" t="n">
        <x:v>6</x:v>
      </x:c>
      <x:c r="AD280" s="44" t="b">
        <x:v>1</x:v>
      </x:c>
    </x:row>
    <x:row r="281">
      <x:c r="A281" s="31" t="str">
        <x:v>36005037400</x:v>
      </x:c>
      <x:c r="B281" s="31" t="str">
        <x:v>Bronx</x:v>
      </x:c>
      <x:c r="C281" s="31" t="str">
        <x:v>037400</x:v>
      </x:c>
      <x:c r="D281" s="31" t="str">
        <x:v>BX1201</x:v>
      </x:c>
      <x:c r="E281" s="31" t="str">
        <x:v>Williamsbridge-Olinville</x:v>
      </x:c>
      <x:c r="F281" s="31" t="n">
        <x:v>0.06456533826439108</x:v>
      </x:c>
      <x:c r="G281" s="31" t="n">
        <x:v>40.874540547349106</x:v>
      </x:c>
      <x:c r="H281" s="31" t="n">
        <x:v>-73.86667217119897</x:v>
      </x:c>
      <x:c r="I281" s="31" t="n">
        <x:v>3890</x:v>
      </x:c>
      <x:c r="J281" s="31" t="n">
        <x:v>60249.04545641331</x:v>
      </x:c>
      <x:c r="K281" s="31"/>
      <x:c r="L281" s="40"/>
      <x:c r="M281" s="40"/>
      <x:c r="N281" s="31" t="n">
        <x:v>138</x:v>
      </x:c>
      <x:c r="O281" s="31" t="n">
        <x:v>1670</x:v>
      </x:c>
      <x:c r="P281" s="31" t="n">
        <x:v>8.997005988023952</x:v>
      </x:c>
      <x:c r="Q281" s="40" t="n">
        <x:v>0.43892215568862275</x:v>
      </x:c>
      <x:c r="R281" s="40" t="n">
        <x:v>0.47125748502994014</x:v>
      </x:c>
      <x:c r="S281" s="40" t="n">
        <x:v>0.43892215568862275</x:v>
      </x:c>
      <x:c r="T281" s="31" t="n">
        <x:v>96.37895418647413</x:v>
      </x:c>
      <x:c r="U281" s="31" t="n">
        <x:v>148.96</x:v>
      </x:c>
      <x:c r="V281" s="31" t="n">
        <x:v>25</x:v>
      </x:c>
      <x:c r="W281" s="31" t="n">
        <x:v>6.426735218508997</x:v>
      </x:c>
      <x:c r="X281" s="31" t="n">
        <x:v>4</x:v>
      </x:c>
      <x:c r="Y281" s="40" t="n">
        <x:v>1</x:v>
      </x:c>
      <x:c r="Z281" s="40" t="n">
        <x:v>1</x:v>
      </x:c>
      <x:c r="AA281" s="40" t="n">
        <x:v>0.9952095808383233</x:v>
      </x:c>
      <x:c r="AB281" s="31" t="n">
        <x:v>0.06286743470888817</x:v>
      </x:c>
      <x:c r="AC281" s="31" t="n">
        <x:v>6</x:v>
      </x:c>
      <x:c r="AD281" s="44" t="b">
        <x:v>1</x:v>
      </x:c>
    </x:row>
    <x:row r="282">
      <x:c r="A282" s="31" t="str">
        <x:v>36005037504</x:v>
      </x:c>
      <x:c r="B282" s="31" t="str">
        <x:v>Bronx</x:v>
      </x:c>
      <x:c r="C282" s="31" t="str">
        <x:v>037504</x:v>
      </x:c>
      <x:c r="D282" s="31" t="str">
        <x:v>BX0602</x:v>
      </x:c>
      <x:c r="E282" s="31" t="str">
        <x:v>Tremont</x:v>
      </x:c>
      <x:c r="F282" s="31" t="n">
        <x:v>0.09276164986369374</x:v>
      </x:c>
      <x:c r="G282" s="31" t="n">
        <x:v>40.85030341183396</x:v>
      </x:c>
      <x:c r="H282" s="31" t="n">
        <x:v>-73.89267225600506</x:v>
      </x:c>
      <x:c r="I282" s="31" t="n">
        <x:v>4023</x:v>
      </x:c>
      <x:c r="J282" s="31" t="n">
        <x:v>43369.21568246679</x:v>
      </x:c>
      <x:c r="K282" s="31"/>
      <x:c r="L282" s="40"/>
      <x:c r="M282" s="40"/>
      <x:c r="N282" s="31" t="n">
        <x:v>95</x:v>
      </x:c>
      <x:c r="O282" s="31" t="n">
        <x:v>1861</x:v>
      </x:c>
      <x:c r="P282" s="31" t="n">
        <x:v>6.911073788546256</x:v>
      </x:c>
      <x:c r="Q282" s="40" t="n">
        <x:v>0.199892530897367</x:v>
      </x:c>
      <x:c r="R282" s="40" t="n">
        <x:v>0.7452982267598065</x:v>
      </x:c>
      <x:c r="S282" s="40" t="n">
        <x:v>0.02418054809242343</x:v>
      </x:c>
      <x:c r="T282" s="31" t="n">
        <x:v>76.02211176786673</x:v>
      </x:c>
      <x:c r="U282" s="31" t="n">
        <x:v>120</x:v>
      </x:c>
      <x:c r="V282" s="31" t="n">
        <x:v>21</x:v>
      </x:c>
      <x:c r="W282" s="31" t="n">
        <x:v>5.219985085756898</x:v>
      </x:c>
      <x:c r="X282" s="31" t="n">
        <x:v>5</x:v>
      </x:c>
      <x:c r="Y282" s="40" t="n">
        <x:v>1</x:v>
      </x:c>
      <x:c r="Z282" s="40" t="n">
        <x:v>1</x:v>
      </x:c>
      <x:c r="AA282" s="40" t="n">
        <x:v>1</x:v>
      </x:c>
      <x:c r="AB282" s="31" t="n">
        <x:v>0.019116705037713785</x:v>
      </x:c>
      <x:c r="AC282" s="31" t="n">
        <x:v>5</x:v>
      </x:c>
      <x:c r="AD282" s="44" t="b">
        <x:v>1</x:v>
      </x:c>
    </x:row>
    <x:row r="283">
      <x:c r="A283" s="31" t="str">
        <x:v>36005037600</x:v>
      </x:c>
      <x:c r="B283" s="31" t="str">
        <x:v>Bronx</x:v>
      </x:c>
      <x:c r="C283" s="31" t="str">
        <x:v>037600</x:v>
      </x:c>
      <x:c r="D283" s="31" t="str">
        <x:v>BX1201</x:v>
      </x:c>
      <x:c r="E283" s="31" t="str">
        <x:v>Williamsbridge-Olinville</x:v>
      </x:c>
      <x:c r="F283" s="31" t="n">
        <x:v>0.0481164863862345</x:v>
      </x:c>
      <x:c r="G283" s="31" t="n">
        <x:v>40.874532729214614</x:v>
      </x:c>
      <x:c r="H283" s="31" t="n">
        <x:v>-73.86920747288194</x:v>
      </x:c>
      <x:c r="I283" s="31" t="n">
        <x:v>2274</x:v>
      </x:c>
      <x:c r="J283" s="31" t="n">
        <x:v>47260.30869640892</x:v>
      </x:c>
      <x:c r="K283" s="31"/>
      <x:c r="L283" s="40"/>
      <x:c r="M283" s="40"/>
      <x:c r="N283" s="31" t="n">
        <x:v>194</x:v>
      </x:c>
      <x:c r="O283" s="31" t="n">
        <x:v>724</x:v>
      </x:c>
      <x:c r="P283" s="31" t="n">
        <x:v>3.7910911602209945</x:v>
      </x:c>
      <x:c r="Q283" s="40" t="n">
        <x:v>0</x:v>
      </x:c>
      <x:c r="R283" s="40" t="n">
        <x:v>0.5718232044198895</x:v>
      </x:c>
      <x:c r="S283" s="40" t="n">
        <x:v>0.05386740331491713</x:v>
      </x:c>
      <x:c r="T283" s="31" t="n">
        <x:v>45.18314631994475</x:v>
      </x:c>
      <x:c r="U283" s="31" t="n">
        <x:v>69.85</x:v>
      </x:c>
      <x:c r="V283" s="31" t="n">
        <x:v>5</x:v>
      </x:c>
      <x:c r="W283" s="31" t="n">
        <x:v>2.1987686895338614</x:v>
      </x:c>
      <x:c r="X283" s="31" t="n">
        <x:v>4</x:v>
      </x:c>
      <x:c r="Y283" s="40" t="n">
        <x:v>1</x:v>
      </x:c>
      <x:c r="Z283" s="40" t="n">
        <x:v>1</x:v>
      </x:c>
      <x:c r="AA283" s="40" t="n">
        <x:v>1</x:v>
      </x:c>
      <x:c r="AB283" s="31" t="n">
        <x:v>0.07090777735532365</x:v>
      </x:c>
      <x:c r="AC283" s="31" t="n">
        <x:v>4</x:v>
      </x:c>
      <x:c r="AD283" s="44" t="b">
        <x:v>1</x:v>
      </x:c>
    </x:row>
    <x:row r="284">
      <x:c r="A284" s="31" t="str">
        <x:v>36005037800</x:v>
      </x:c>
      <x:c r="B284" s="31" t="str">
        <x:v>Bronx</x:v>
      </x:c>
      <x:c r="C284" s="31" t="str">
        <x:v>037800</x:v>
      </x:c>
      <x:c r="D284" s="31" t="str">
        <x:v>BX1201</x:v>
      </x:c>
      <x:c r="E284" s="31" t="str">
        <x:v>Williamsbridge-Olinville</x:v>
      </x:c>
      <x:c r="F284" s="31" t="n">
        <x:v>0.05141262913438361</x:v>
      </x:c>
      <x:c r="G284" s="31" t="n">
        <x:v>40.87977536160565</x:v>
      </x:c>
      <x:c r="H284" s="31" t="n">
        <x:v>-73.866607015962</x:v>
      </x:c>
      <x:c r="I284" s="31" t="n">
        <x:v>3569</x:v>
      </x:c>
      <x:c r="J284" s="31" t="n">
        <x:v>69418.74127213488</x:v>
      </x:c>
      <x:c r="K284" s="31"/>
      <x:c r="L284" s="40"/>
      <x:c r="M284" s="40"/>
      <x:c r="N284" s="31" t="n">
        <x:v>184</x:v>
      </x:c>
      <x:c r="O284" s="31" t="n">
        <x:v>1433</x:v>
      </x:c>
      <x:c r="P284" s="31" t="n">
        <x:v>6.3377529658060014</x:v>
      </x:c>
      <x:c r="Q284" s="40" t="n">
        <x:v>0.09909281228192603</x:v>
      </x:c>
      <x:c r="R284" s="40" t="n">
        <x:v>0.7515701325889742</x:v>
      </x:c>
      <x:c r="S284" s="40" t="n">
        <x:v>0</x:v>
      </x:c>
      <x:c r="T284" s="31" t="n">
        <x:v>66.9975234878781</x:v>
      </x:c>
      <x:c r="U284" s="31" t="n">
        <x:v>150.94</x:v>
      </x:c>
      <x:c r="V284" s="31" t="n">
        <x:v>15</x:v>
      </x:c>
      <x:c r="W284" s="31" t="n">
        <x:v>4.202857943401513</x:v>
      </x:c>
      <x:c r="X284" s="31" t="n">
        <x:v>4</x:v>
      </x:c>
      <x:c r="Y284" s="40" t="n">
        <x:v>1</x:v>
      </x:c>
      <x:c r="Z284" s="40" t="n">
        <x:v>1</x:v>
      </x:c>
      <x:c r="AA284" s="40" t="n">
        <x:v>0.9274249825540823</x:v>
      </x:c>
      <x:c r="AB284" s="31" t="n">
        <x:v>0.23438450385111484</x:v>
      </x:c>
      <x:c r="AC284" s="31" t="n">
        <x:v>7</x:v>
      </x:c>
      <x:c r="AD284" s="44" t="b">
        <x:v>1</x:v>
      </x:c>
    </x:row>
    <x:row r="285">
      <x:c r="A285" s="31" t="str">
        <x:v>36005037900</x:v>
      </x:c>
      <x:c r="B285" s="31" t="str">
        <x:v>Bronx</x:v>
      </x:c>
      <x:c r="C285" s="31" t="str">
        <x:v>037900</x:v>
      </x:c>
      <x:c r="D285" s="31" t="str">
        <x:v>BX0502</x:v>
      </x:c>
      <x:c r="E285" s="31" t="str">
        <x:v>Mount Hope</x:v>
      </x:c>
      <x:c r="F285" s="31" t="n">
        <x:v>0.07391413941115703</x:v>
      </x:c>
      <x:c r="G285" s="31" t="n">
        <x:v>40.85157430417754</x:v>
      </x:c>
      <x:c r="H285" s="31" t="n">
        <x:v>-73.89878139868325</x:v>
      </x:c>
      <x:c r="I285" s="31" t="n">
        <x:v>6878</x:v>
      </x:c>
      <x:c r="J285" s="31" t="n">
        <x:v>93053.91437679101</x:v>
      </x:c>
      <x:c r="K285" s="31"/>
      <x:c r="L285" s="40"/>
      <x:c r="M285" s="40"/>
      <x:c r="N285" s="31" t="n">
        <x:v>139</x:v>
      </x:c>
      <x:c r="O285" s="31" t="n">
        <x:v>2475</x:v>
      </x:c>
      <x:c r="P285" s="31" t="n">
        <x:v>8.623131313131314</x:v>
      </x:c>
      <x:c r="Q285" s="40" t="n">
        <x:v>0.48767676767676765</x:v>
      </x:c>
      <x:c r="R285" s="40" t="n">
        <x:v>0.44646464646464645</x:v>
      </x:c>
      <x:c r="S285" s="40" t="n">
        <x:v>0</x:v>
      </x:c>
      <x:c r="T285" s="31" t="n">
        <x:v>97.48285071147676</x:v>
      </x:c>
      <x:c r="U285" s="31" t="n">
        <x:v>176.45293884</x:v>
      </x:c>
      <x:c r="V285" s="31" t="n">
        <x:v>26</x:v>
      </x:c>
      <x:c r="W285" s="31" t="n">
        <x:v>3.7801686536783947</x:v>
      </x:c>
      <x:c r="X285" s="31" t="n">
        <x:v>5</x:v>
      </x:c>
      <x:c r="Y285" s="40" t="n">
        <x:v>1</x:v>
      </x:c>
      <x:c r="Z285" s="40" t="n">
        <x:v>1</x:v>
      </x:c>
      <x:c r="AA285" s="40" t="n">
        <x:v>0.9822222222222222</x:v>
      </x:c>
      <x:c r="AB285" s="31" t="n">
        <x:v>0.03891718469077187</x:v>
      </x:c>
      <x:c r="AC285" s="31" t="n">
        <x:v>8</x:v>
      </x:c>
      <x:c r="AD285" s="44" t="b">
        <x:v>1</x:v>
      </x:c>
    </x:row>
    <x:row r="286">
      <x:c r="A286" s="31" t="str">
        <x:v>36005038000</x:v>
      </x:c>
      <x:c r="B286" s="31" t="str">
        <x:v>Bronx</x:v>
      </x:c>
      <x:c r="C286" s="31" t="str">
        <x:v>038000</x:v>
      </x:c>
      <x:c r="D286" s="31" t="str">
        <x:v>BX1201</x:v>
      </x:c>
      <x:c r="E286" s="31" t="str">
        <x:v>Williamsbridge-Olinville</x:v>
      </x:c>
      <x:c r="F286" s="31" t="n">
        <x:v>0.08189750956511134</x:v>
      </x:c>
      <x:c r="G286" s="31" t="n">
        <x:v>40.87808251375869</x:v>
      </x:c>
      <x:c r="H286" s="31" t="n">
        <x:v>-73.86240949416269</x:v>
      </x:c>
      <x:c r="I286" s="31" t="n">
        <x:v>4938</x:v>
      </x:c>
      <x:c r="J286" s="31" t="n">
        <x:v>60294.87375405622</x:v>
      </x:c>
      <x:c r="K286" s="31"/>
      <x:c r="L286" s="40"/>
      <x:c r="M286" s="40"/>
      <x:c r="N286" s="31" t="n">
        <x:v>362</x:v>
      </x:c>
      <x:c r="O286" s="31" t="n">
        <x:v>2708</x:v>
      </x:c>
      <x:c r="P286" s="31" t="n">
        <x:v>7.813053914327917</x:v>
      </x:c>
      <x:c r="Q286" s="40" t="n">
        <x:v>0.1447562776957164</x:v>
      </x:c>
      <x:c r="R286" s="40" t="n">
        <x:v>0.7064254062038404</x:v>
      </x:c>
      <x:c r="S286" s="40" t="n">
        <x:v>0.00775480059084195</x:v>
      </x:c>
      <x:c r="T286" s="31" t="n">
        <x:v>77.44501241443878</x:v>
      </x:c>
      <x:c r="U286" s="31" t="n">
        <x:v>266.09</x:v>
      </x:c>
      <x:c r="V286" s="31" t="n">
        <x:v>23</x:v>
      </x:c>
      <x:c r="W286" s="31" t="n">
        <x:v>4.657756176589713</x:v>
      </x:c>
      <x:c r="X286" s="31" t="n">
        <x:v>4.120384047267356</x:v>
      </x:c>
      <x:c r="Y286" s="40" t="n">
        <x:v>1</x:v>
      </x:c>
      <x:c r="Z286" s="40" t="n">
        <x:v>1</x:v>
      </x:c>
      <x:c r="AA286" s="40" t="n">
        <x:v>0.9409158050221565</x:v>
      </x:c>
      <x:c r="AB286" s="31" t="n">
        <x:v>0.17584586057427007</x:v>
      </x:c>
      <x:c r="AC286" s="31" t="n">
        <x:v>7</x:v>
      </x:c>
      <x:c r="AD286" s="44" t="b">
        <x:v>1</x:v>
      </x:c>
    </x:row>
    <x:row r="287">
      <x:c r="A287" s="31" t="str">
        <x:v>36005038100</x:v>
      </x:c>
      <x:c r="B287" s="31" t="str">
        <x:v>Bronx</x:v>
      </x:c>
      <x:c r="C287" s="31" t="str">
        <x:v>038100</x:v>
      </x:c>
      <x:c r="D287" s="31" t="str">
        <x:v>BX0502</x:v>
      </x:c>
      <x:c r="E287" s="31" t="str">
        <x:v>Mount Hope</x:v>
      </x:c>
      <x:c r="F287" s="31" t="n">
        <x:v>0.05821908979030361</x:v>
      </x:c>
      <x:c r="G287" s="31" t="n">
        <x:v>40.85201926852565</x:v>
      </x:c>
      <x:c r="H287" s="31" t="n">
        <x:v>-73.90115417664865</x:v>
      </x:c>
      <x:c r="I287" s="31" t="n">
        <x:v>6853</x:v>
      </x:c>
      <x:c r="J287" s="31" t="n">
        <x:v>117710.53145426138</x:v>
      </x:c>
      <x:c r="K287" s="31"/>
      <x:c r="L287" s="40"/>
      <x:c r="M287" s="40"/>
      <x:c r="N287" s="31" t="n">
        <x:v>142</x:v>
      </x:c>
      <x:c r="O287" s="31" t="n">
        <x:v>3301</x:v>
      </x:c>
      <x:c r="P287" s="31" t="n">
        <x:v>7.5240078764010905</x:v>
      </x:c>
      <x:c r="Q287" s="40" t="n">
        <x:v>0.27809754619812177</x:v>
      </x:c>
      <x:c r="R287" s="40" t="n">
        <x:v>0.687064525901242</x:v>
      </x:c>
      <x:c r="S287" s="40" t="n">
        <x:v>0</x:v>
      </x:c>
      <x:c r="T287" s="31" t="n">
        <x:v>77.12298962946144</x:v>
      </x:c>
      <x:c r="U287" s="31" t="n">
        <x:v>138</x:v>
      </x:c>
      <x:c r="V287" s="31" t="n">
        <x:v>48</x:v>
      </x:c>
      <x:c r="W287" s="31" t="n">
        <x:v>7.004231723332847</x:v>
      </x:c>
      <x:c r="X287" s="31" t="n">
        <x:v>5</x:v>
      </x:c>
      <x:c r="Y287" s="40" t="n">
        <x:v>1</x:v>
      </x:c>
      <x:c r="Z287" s="40" t="n">
        <x:v>1</x:v>
      </x:c>
      <x:c r="AA287" s="40" t="n">
        <x:v>0.9506210239321418</x:v>
      </x:c>
      <x:c r="AB287" s="31" t="n">
        <x:v>0.09374380513378593</x:v>
      </x:c>
      <x:c r="AC287" s="31" t="n">
        <x:v>5</x:v>
      </x:c>
      <x:c r="AD287" s="44" t="b">
        <x:v>1</x:v>
      </x:c>
    </x:row>
    <x:row r="288">
      <x:c r="A288" s="31" t="str">
        <x:v>36005038200</x:v>
      </x:c>
      <x:c r="B288" s="31" t="str">
        <x:v>Bronx</x:v>
      </x:c>
      <x:c r="C288" s="31" t="str">
        <x:v>038200</x:v>
      </x:c>
      <x:c r="D288" s="31" t="str">
        <x:v>BX1201</x:v>
      </x:c>
      <x:c r="E288" s="31" t="str">
        <x:v>Williamsbridge-Olinville</x:v>
      </x:c>
      <x:c r="F288" s="31" t="n">
        <x:v>0.06112295342021063</x:v>
      </x:c>
      <x:c r="G288" s="31" t="n">
        <x:v>40.877311892972905</x:v>
      </x:c>
      <x:c r="H288" s="31" t="n">
        <x:v>-73.85473994882639</x:v>
      </x:c>
      <x:c r="I288" s="31" t="n">
        <x:v>2852</x:v>
      </x:c>
      <x:c r="J288" s="31" t="n">
        <x:v>46660.04897363109</x:v>
      </x:c>
      <x:c r="K288" s="31"/>
      <x:c r="L288" s="40"/>
      <x:c r="M288" s="40"/>
      <x:c r="N288" s="31" t="n">
        <x:v>402</x:v>
      </x:c>
      <x:c r="O288" s="31" t="n">
        <x:v>860</x:v>
      </x:c>
      <x:c r="P288" s="31" t="n">
        <x:v>2.4336854460093895</x:v>
      </x:c>
      <x:c r="Q288" s="40" t="n">
        <x:v>0</x:v>
      </x:c>
      <x:c r="R288" s="40" t="n">
        <x:v>0.3744186046511628</x:v>
      </x:c>
      <x:c r="S288" s="40" t="n">
        <x:v>0.09069767441860466</x:v>
      </x:c>
      <x:c r="T288" s="31" t="n">
        <x:v>29.41308417363318</x:v>
      </x:c>
      <x:c r="U288" s="31" t="n">
        <x:v>49</x:v>
      </x:c>
      <x:c r="V288" s="31" t="n">
        <x:v>1</x:v>
      </x:c>
      <x:c r="W288" s="31" t="n">
        <x:v>0.3506311360448808</x:v>
      </x:c>
      <x:c r="X288" s="31" t="n">
        <x:v>5</x:v>
      </x:c>
      <x:c r="Y288" s="40" t="n">
        <x:v>1</x:v>
      </x:c>
      <x:c r="Z288" s="40" t="n">
        <x:v>1</x:v>
      </x:c>
      <x:c r="AA288" s="40" t="n">
        <x:v>0.9953488372093023</x:v>
      </x:c>
      <x:c r="AB288" s="31" t="n">
        <x:v>0.1866595807803301</x:v>
      </x:c>
      <x:c r="AC288" s="31" t="n">
        <x:v>6</x:v>
      </x:c>
      <x:c r="AD288" s="44" t="b">
        <x:v>1</x:v>
      </x:c>
    </x:row>
    <x:row r="289">
      <x:c r="A289" s="31" t="str">
        <x:v>36005038301</x:v>
      </x:c>
      <x:c r="B289" s="31" t="str">
        <x:v>Bronx</x:v>
      </x:c>
      <x:c r="C289" s="31" t="str">
        <x:v>038301</x:v>
      </x:c>
      <x:c r="D289" s="31" t="str">
        <x:v>BX0503</x:v>
      </x:c>
      <x:c r="E289" s="31" t="str">
        <x:v>Fordham Heights</x:v>
      </x:c>
      <x:c r="F289" s="31" t="n">
        <x:v>0.03696749766665232</x:v>
      </x:c>
      <x:c r="G289" s="31" t="n">
        <x:v>40.85720988657232</x:v>
      </x:c>
      <x:c r="H289" s="31" t="n">
        <x:v>-73.89850957803205</x:v>
      </x:c>
      <x:c r="I289" s="31" t="n">
        <x:v>4635</x:v>
      </x:c>
      <x:c r="J289" s="31" t="n">
        <x:v>125380.40961807231</x:v>
      </x:c>
      <x:c r="K289" s="31"/>
      <x:c r="L289" s="40"/>
      <x:c r="M289" s="40"/>
      <x:c r="N289" s="31" t="n">
        <x:v>107</x:v>
      </x:c>
      <x:c r="O289" s="31" t="n">
        <x:v>1600</x:v>
      </x:c>
      <x:c r="P289" s="31" t="n">
        <x:v>5.0853125</x:v>
      </x:c>
      <x:c r="Q289" s="40" t="n">
        <x:v>0</x:v>
      </x:c>
      <x:c r="R289" s="40" t="n">
        <x:v>0.978125</x:v>
      </x:c>
      <x:c r="S289" s="40" t="n">
        <x:v>0</x:v>
      </x:c>
      <x:c r="T289" s="31" t="n">
        <x:v>57.385484080924996</x:v>
      </x:c>
      <x:c r="U289" s="31" t="n">
        <x:v>72</x:v>
      </x:c>
      <x:c r="V289" s="31" t="n">
        <x:v>14</x:v>
      </x:c>
      <x:c r="W289" s="31" t="n">
        <x:v>3.0204962243797193</x:v>
      </x:c>
      <x:c r="X289" s="31" t="n">
        <x:v>5</x:v>
      </x:c>
      <x:c r="Y289" s="40" t="n">
        <x:v>1</x:v>
      </x:c>
      <x:c r="Z289" s="40" t="n">
        <x:v>1</x:v>
      </x:c>
      <x:c r="AA289" s="40" t="n">
        <x:v>1</x:v>
      </x:c>
      <x:c r="AB289" s="31" t="n">
        <x:v>0.04345745454322381</x:v>
      </x:c>
      <x:c r="AC289" s="31" t="n">
        <x:v>7</x:v>
      </x:c>
      <x:c r="AD289" s="44" t="b">
        <x:v>1</x:v>
      </x:c>
    </x:row>
    <x:row r="290">
      <x:c r="A290" s="31" t="str">
        <x:v>36005038303</x:v>
      </x:c>
      <x:c r="B290" s="31" t="str">
        <x:v>Bronx</x:v>
      </x:c>
      <x:c r="C290" s="31" t="str">
        <x:v>038303</x:v>
      </x:c>
      <x:c r="D290" s="31" t="str">
        <x:v>BX0503</x:v>
      </x:c>
      <x:c r="E290" s="31" t="str">
        <x:v>Fordham Heights</x:v>
      </x:c>
      <x:c r="F290" s="31" t="n">
        <x:v>0.029053924074301254</x:v>
      </x:c>
      <x:c r="G290" s="31" t="n">
        <x:v>40.856829701271</x:v>
      </x:c>
      <x:c r="H290" s="31" t="n">
        <x:v>-73.8961624642254</x:v>
      </x:c>
      <x:c r="I290" s="31" t="n">
        <x:v>3468</x:v>
      </x:c>
      <x:c r="J290" s="31" t="n">
        <x:v>119364.25493269296</x:v>
      </x:c>
      <x:c r="K290" s="31"/>
      <x:c r="L290" s="40"/>
      <x:c r="M290" s="40"/>
      <x:c r="N290" s="31" t="n">
        <x:v>25</x:v>
      </x:c>
      <x:c r="O290" s="31" t="n">
        <x:v>1307</x:v>
      </x:c>
      <x:c r="P290" s="31" t="n">
        <x:v>7.7796480489671005</x:v>
      </x:c>
      <x:c r="Q290" s="40" t="n">
        <x:v>0.5118592195868401</x:v>
      </x:c>
      <x:c r="R290" s="40" t="n">
        <x:v>0.4812547819433818</x:v>
      </x:c>
      <x:c r="S290" s="40" t="n">
        <x:v>0</x:v>
      </x:c>
      <x:c r="T290" s="31" t="n">
        <x:v>92.6273487365723</x:v>
      </x:c>
      <x:c r="U290" s="31" t="n">
        <x:v>152</x:v>
      </x:c>
      <x:c r="V290" s="31" t="n">
        <x:v>15</x:v>
      </x:c>
      <x:c r="W290" s="31" t="n">
        <x:v>4.325259515570934</x:v>
      </x:c>
      <x:c r="X290" s="31" t="n">
        <x:v>5</x:v>
      </x:c>
      <x:c r="Y290" s="40" t="n">
        <x:v>1</x:v>
      </x:c>
      <x:c r="Z290" s="40" t="n">
        <x:v>1</x:v>
      </x:c>
      <x:c r="AA290" s="40" t="n">
        <x:v>1</x:v>
      </x:c>
      <x:c r="AB290" s="31" t="n">
        <x:v>0.1400422604793534</x:v>
      </x:c>
      <x:c r="AC290" s="31" t="n">
        <x:v>4</x:v>
      </x:c>
      <x:c r="AD290" s="44" t="b">
        <x:v>1</x:v>
      </x:c>
    </x:row>
    <x:row r="291">
      <x:c r="A291" s="31" t="str">
        <x:v>36005038304</x:v>
      </x:c>
      <x:c r="B291" s="31" t="str">
        <x:v>Bronx</x:v>
      </x:c>
      <x:c r="C291" s="31" t="str">
        <x:v>038304</x:v>
      </x:c>
      <x:c r="D291" s="31" t="str">
        <x:v>BX0603</x:v>
      </x:c>
      <x:c r="E291" s="31" t="str">
        <x:v>Belmont</x:v>
      </x:c>
      <x:c r="F291" s="31" t="n">
        <x:v>0.02701715008816862</x:v>
      </x:c>
      <x:c r="G291" s="31" t="n">
        <x:v>40.85813429577619</x:v>
      </x:c>
      <x:c r="H291" s="31" t="n">
        <x:v>-73.8937360550023</x:v>
      </x:c>
      <x:c r="I291" s="31" t="n">
        <x:v>2508</x:v>
      </x:c>
      <x:c r="J291" s="31" t="n">
        <x:v>92829.92439303605</x:v>
      </x:c>
      <x:c r="K291" s="31"/>
      <x:c r="L291" s="40"/>
      <x:c r="M291" s="40"/>
      <x:c r="N291" s="31" t="n">
        <x:v>60</x:v>
      </x:c>
      <x:c r="O291" s="31" t="n">
        <x:v>960</x:v>
      </x:c>
      <x:c r="P291" s="31" t="n">
        <x:v>5.510869565217392</x:v>
      </x:c>
      <x:c r="Q291" s="40" t="n">
        <x:v>0</x:v>
      </x:c>
      <x:c r="R291" s="40" t="n">
        <x:v>0.9520833333333333</x:v>
      </x:c>
      <x:c r="S291" s="40" t="n">
        <x:v>0</x:v>
      </x:c>
      <x:c r="T291" s="31" t="n">
        <x:v>59.625684782608694</x:v>
      </x:c>
      <x:c r="U291" s="31" t="n">
        <x:v>75</x:v>
      </x:c>
      <x:c r="V291" s="31" t="n">
        <x:v>7</x:v>
      </x:c>
      <x:c r="W291" s="31" t="n">
        <x:v>2.7910685805422646</x:v>
      </x:c>
      <x:c r="X291" s="31" t="n">
        <x:v>5</x:v>
      </x:c>
      <x:c r="Y291" s="40" t="n">
        <x:v>1</x:v>
      </x:c>
      <x:c r="Z291" s="40" t="n">
        <x:v>1</x:v>
      </x:c>
      <x:c r="AA291" s="40" t="n">
        <x:v>0.9583333333333334</x:v>
      </x:c>
      <x:c r="AB291" s="31" t="n">
        <x:v>0.07578367229646092</x:v>
      </x:c>
      <x:c r="AC291" s="31" t="n">
        <x:v>6</x:v>
      </x:c>
      <x:c r="AD291" s="44" t="b">
        <x:v>1</x:v>
      </x:c>
    </x:row>
    <x:row r="292">
      <x:c r="A292" s="31" t="str">
        <x:v>36005038500</x:v>
      </x:c>
      <x:c r="B292" s="31" t="str">
        <x:v>Bronx</x:v>
      </x:c>
      <x:c r="C292" s="31" t="str">
        <x:v>038500</x:v>
      </x:c>
      <x:c r="D292" s="31" t="str">
        <x:v>BX0603</x:v>
      </x:c>
      <x:c r="E292" s="31" t="str">
        <x:v>Belmont</x:v>
      </x:c>
      <x:c r="F292" s="31" t="n">
        <x:v>0.0735679744400683</x:v>
      </x:c>
      <x:c r="G292" s="31" t="n">
        <x:v>40.85621407630331</x:v>
      </x:c>
      <x:c r="H292" s="31" t="n">
        <x:v>-73.89249208706927</x:v>
      </x:c>
      <x:c r="I292" s="31" t="n">
        <x:v>5362</x:v>
      </x:c>
      <x:c r="J292" s="31" t="n">
        <x:v>72884.97530087798</x:v>
      </x:c>
      <x:c r="K292" s="31"/>
      <x:c r="L292" s="40"/>
      <x:c r="M292" s="40"/>
      <x:c r="N292" s="31" t="n">
        <x:v>208</x:v>
      </x:c>
      <x:c r="O292" s="31" t="n">
        <x:v>2323</x:v>
      </x:c>
      <x:c r="P292" s="31" t="n">
        <x:v>6.39978021978022</x:v>
      </x:c>
      <x:c r="Q292" s="40" t="n">
        <x:v>0.21179509255273354</x:v>
      </x:c>
      <x:c r="R292" s="40" t="n">
        <x:v>0.7128712871287128</x:v>
      </x:c>
      <x:c r="S292" s="40" t="n">
        <x:v>0.0667240637107189</x:v>
      </x:c>
      <x:c r="T292" s="31" t="n">
        <x:v>70.95948238628509</x:v>
      </x:c>
      <x:c r="U292" s="31" t="n">
        <x:v>154.32968251</x:v>
      </x:c>
      <x:c r="V292" s="31" t="n">
        <x:v>25</x:v>
      </x:c>
      <x:c r="W292" s="31" t="n">
        <x:v>4.662439388287952</x:v>
      </x:c>
      <x:c r="X292" s="31" t="n">
        <x:v>5</x:v>
      </x:c>
      <x:c r="Y292" s="40" t="n">
        <x:v>1</x:v>
      </x:c>
      <x:c r="Z292" s="40" t="n">
        <x:v>1</x:v>
      </x:c>
      <x:c r="AA292" s="40" t="n">
        <x:v>0.9814894532931554</x:v>
      </x:c>
      <x:c r="AB292" s="31" t="n">
        <x:v>0.05262058993058286</x:v>
      </x:c>
      <x:c r="AC292" s="31" t="n">
        <x:v>6</x:v>
      </x:c>
      <x:c r="AD292" s="44" t="b">
        <x:v>1</x:v>
      </x:c>
    </x:row>
    <x:row r="293">
      <x:c r="A293" s="31" t="str">
        <x:v>36005038600</x:v>
      </x:c>
      <x:c r="B293" s="31" t="str">
        <x:v>Bronx</x:v>
      </x:c>
      <x:c r="C293" s="31" t="str">
        <x:v>038600</x:v>
      </x:c>
      <x:c r="D293" s="31" t="str">
        <x:v>BX1202</x:v>
      </x:c>
      <x:c r="E293" s="31" t="str">
        <x:v>Eastchester-Edenwald-Baychester</x:v>
      </x:c>
      <x:c r="F293" s="31" t="n">
        <x:v>0.15804071985981977</x:v>
      </x:c>
      <x:c r="G293" s="31" t="n">
        <x:v>40.87963530180773</x:v>
      </x:c>
      <x:c r="H293" s="31" t="n">
        <x:v>-73.84839831249651</x:v>
      </x:c>
      <x:c r="I293" s="31" t="n">
        <x:v>7949</x:v>
      </x:c>
      <x:c r="J293" s="31" t="n">
        <x:v>50297.163965405045</x:v>
      </x:c>
      <x:c r="K293" s="31"/>
      <x:c r="L293" s="40"/>
      <x:c r="M293" s="40"/>
      <x:c r="N293" s="31" t="n">
        <x:v>705</x:v>
      </x:c>
      <x:c r="O293" s="31" t="n">
        <x:v>2806</x:v>
      </x:c>
      <x:c r="P293" s="31" t="n">
        <x:v>3.5910952550838386</x:v>
      </x:c>
      <x:c r="Q293" s="40" t="n">
        <x:v>0</x:v>
      </x:c>
      <x:c r="R293" s="40" t="n">
        <x:v>0.7473271560940841</x:v>
      </x:c>
      <x:c r="S293" s="40" t="n">
        <x:v>0.5067712045616536</x:v>
      </x:c>
      <x:c r="T293" s="31" t="n">
        <x:v>42.30227167437993</x:v>
      </x:c>
      <x:c r="U293" s="31" t="n">
        <x:v>66</x:v>
      </x:c>
      <x:c r="V293" s="31" t="n">
        <x:v>5</x:v>
      </x:c>
      <x:c r="W293" s="31" t="n">
        <x:v>0.629009938357026</x:v>
      </x:c>
      <x:c r="X293" s="31" t="n">
        <x:v>5</x:v>
      </x:c>
      <x:c r="Y293" s="40" t="n">
        <x:v>1</x:v>
      </x:c>
      <x:c r="Z293" s="40" t="n">
        <x:v>1</x:v>
      </x:c>
      <x:c r="AA293" s="40" t="n">
        <x:v>0.9942979330007128</x:v>
      </x:c>
      <x:c r="AB293" s="31" t="n">
        <x:v>0.1392328984489199</x:v>
      </x:c>
      <x:c r="AC293" s="31" t="n">
        <x:v>9</x:v>
      </x:c>
      <x:c r="AD293" s="44" t="b">
        <x:v>1</x:v>
      </x:c>
    </x:row>
    <x:row r="294">
      <x:c r="A294" s="31" t="str">
        <x:v>36005038700</x:v>
      </x:c>
      <x:c r="B294" s="31" t="str">
        <x:v>Bronx</x:v>
      </x:c>
      <x:c r="C294" s="31" t="str">
        <x:v>038700</x:v>
      </x:c>
      <x:c r="D294" s="31" t="str">
        <x:v>BX0603</x:v>
      </x:c>
      <x:c r="E294" s="31" t="str">
        <x:v>Belmont</x:v>
      </x:c>
      <x:c r="F294" s="31" t="n">
        <x:v>0.07072840063705234</x:v>
      </x:c>
      <x:c r="G294" s="31" t="n">
        <x:v>40.8580070107123</x:v>
      </x:c>
      <x:c r="H294" s="31" t="n">
        <x:v>-73.88922282365226</x:v>
      </x:c>
      <x:c r="I294" s="31" t="n">
        <x:v>3401</x:v>
      </x:c>
      <x:c r="J294" s="31" t="n">
        <x:v>48085.35141989801</x:v>
      </x:c>
      <x:c r="K294" s="31"/>
      <x:c r="L294" s="40"/>
      <x:c r="M294" s="40"/>
      <x:c r="N294" s="31" t="n">
        <x:v>159</x:v>
      </x:c>
      <x:c r="O294" s="31" t="n">
        <x:v>1396</x:v>
      </x:c>
      <x:c r="P294" s="31" t="n">
        <x:v>5.808022922636103</x:v>
      </x:c>
      <x:c r="Q294" s="40" t="n">
        <x:v>0.1511461318051576</x:v>
      </x:c>
      <x:c r="R294" s="40" t="n">
        <x:v>0.7564469914040115</x:v>
      </x:c>
      <x:c r="S294" s="40" t="n">
        <x:v>0</x:v>
      </x:c>
      <x:c r="T294" s="31" t="n">
        <x:v>63.70337809129454</x:v>
      </x:c>
      <x:c r="U294" s="31" t="n">
        <x:v>170</x:v>
      </x:c>
      <x:c r="V294" s="31" t="n">
        <x:v>5</x:v>
      </x:c>
      <x:c r="W294" s="31" t="n">
        <x:v>1.470155836518671</x:v>
      </x:c>
      <x:c r="X294" s="31" t="n">
        <x:v>5</x:v>
      </x:c>
      <x:c r="Y294" s="40" t="n">
        <x:v>1</x:v>
      </x:c>
      <x:c r="Z294" s="40" t="n">
        <x:v>1</x:v>
      </x:c>
      <x:c r="AA294" s="40" t="n">
        <x:v>0.9849570200573066</x:v>
      </x:c>
      <x:c r="AB294" s="31" t="n">
        <x:v>0.06825180859944997</x:v>
      </x:c>
      <x:c r="AC294" s="31" t="n">
        <x:v>5</x:v>
      </x:c>
      <x:c r="AD294" s="44" t="b">
        <x:v>1</x:v>
      </x:c>
    </x:row>
    <x:row r="295">
      <x:c r="A295" s="31" t="str">
        <x:v>36005038800</x:v>
      </x:c>
      <x:c r="B295" s="31" t="str">
        <x:v>Bronx</x:v>
      </x:c>
      <x:c r="C295" s="31" t="str">
        <x:v>038800</x:v>
      </x:c>
      <x:c r="D295" s="31" t="str">
        <x:v>BX1201</x:v>
      </x:c>
      <x:c r="E295" s="31" t="str">
        <x:v>Williamsbridge-Olinville</x:v>
      </x:c>
      <x:c r="F295" s="31" t="n">
        <x:v>0.05717243942729855</x:v>
      </x:c>
      <x:c r="G295" s="31" t="n">
        <x:v>40.879601801035186</x:v>
      </x:c>
      <x:c r="H295" s="31" t="n">
        <x:v>-73.85535726998852</x:v>
      </x:c>
      <x:c r="I295" s="31" t="n">
        <x:v>2941</x:v>
      </x:c>
      <x:c r="J295" s="31" t="n">
        <x:v>51440.86957737435</x:v>
      </x:c>
      <x:c r="K295" s="31"/>
      <x:c r="L295" s="40"/>
      <x:c r="M295" s="40"/>
      <x:c r="N295" s="31" t="n">
        <x:v>418</x:v>
      </x:c>
      <x:c r="O295" s="31" t="n">
        <x:v>849</x:v>
      </x:c>
      <x:c r="P295" s="31" t="n">
        <x:v>2.28294674556213</x:v>
      </x:c>
      <x:c r="Q295" s="40" t="n">
        <x:v>0</x:v>
      </x:c>
      <x:c r="R295" s="40" t="n">
        <x:v>0.24617196702002356</x:v>
      </x:c>
      <x:c r="S295" s="40" t="n">
        <x:v>0.0035335689045936395</x:v>
      </x:c>
      <x:c r="T295" s="31" t="n">
        <x:v>29.26950681182568</x:v>
      </x:c>
      <x:c r="U295" s="31" t="n">
        <x:v>49.50509926</x:v>
      </x:c>
      <x:c r="V295" s="31" t="n">
        <x:v>0</x:v>
      </x:c>
      <x:c r="W295" s="31" t="n">
        <x:v>0</x:v>
      </x:c>
      <x:c r="X295" s="31" t="n">
        <x:v>5</x:v>
      </x:c>
      <x:c r="Y295" s="40" t="n">
        <x:v>1</x:v>
      </x:c>
      <x:c r="Z295" s="40" t="n">
        <x:v>1</x:v>
      </x:c>
      <x:c r="AA295" s="40" t="n">
        <x:v>1</x:v>
      </x:c>
      <x:c r="AB295" s="31" t="n">
        <x:v>0.25994503432409166</x:v>
      </x:c>
      <x:c r="AC295" s="31" t="n">
        <x:v>5</x:v>
      </x:c>
      <x:c r="AD295" s="44" t="b">
        <x:v>1</x:v>
      </x:c>
    </x:row>
    <x:row r="296">
      <x:c r="A296" s="31" t="str">
        <x:v>36005038900</x:v>
      </x:c>
      <x:c r="B296" s="31" t="str">
        <x:v>Bronx</x:v>
      </x:c>
      <x:c r="C296" s="31" t="str">
        <x:v>038900</x:v>
      </x:c>
      <x:c r="D296" s="31" t="str">
        <x:v>BX0603</x:v>
      </x:c>
      <x:c r="E296" s="31" t="str">
        <x:v>Belmont</x:v>
      </x:c>
      <x:c r="F296" s="31" t="n">
        <x:v>0.06623082021349862</x:v>
      </x:c>
      <x:c r="G296" s="31" t="n">
        <x:v>40.856409802747756</x:v>
      </x:c>
      <x:c r="H296" s="31" t="n">
        <x:v>-73.88499787568341</x:v>
      </x:c>
      <x:c r="I296" s="31" t="n">
        <x:v>4819</x:v>
      </x:c>
      <x:c r="J296" s="31" t="n">
        <x:v>72760.68731242786</x:v>
      </x:c>
      <x:c r="K296" s="31"/>
      <x:c r="L296" s="40"/>
      <x:c r="M296" s="40"/>
      <x:c r="N296" s="31" t="n">
        <x:v>307</x:v>
      </x:c>
      <x:c r="O296" s="31" t="n">
        <x:v>2135</x:v>
      </x:c>
      <x:c r="P296" s="31" t="n">
        <x:v>4.204052780395853</x:v>
      </x:c>
      <x:c r="Q296" s="40" t="n">
        <x:v>0.04215456674473068</x:v>
      </x:c>
      <x:c r="R296" s="40" t="n">
        <x:v>0.8201405152224824</x:v>
      </x:c>
      <x:c r="S296" s="40" t="n">
        <x:v>0.0117096018735363</x:v>
      </x:c>
      <x:c r="T296" s="31" t="n">
        <x:v>48.19150269420627</x:v>
      </x:c>
      <x:c r="U296" s="31" t="n">
        <x:v>110</x:v>
      </x:c>
      <x:c r="V296" s="31" t="n">
        <x:v>9</x:v>
      </x:c>
      <x:c r="W296" s="31" t="n">
        <x:v>1.867607387424777</x:v>
      </x:c>
      <x:c r="X296" s="31" t="n">
        <x:v>5</x:v>
      </x:c>
      <x:c r="Y296" s="40" t="n">
        <x:v>1</x:v>
      </x:c>
      <x:c r="Z296" s="40" t="n">
        <x:v>1</x:v>
      </x:c>
      <x:c r="AA296" s="40" t="n">
        <x:v>0.985480093676815</x:v>
      </x:c>
      <x:c r="AB296" s="31" t="n">
        <x:v>0.15288831388098809</x:v>
      </x:c>
      <x:c r="AC296" s="31" t="n">
        <x:v>4</x:v>
      </x:c>
      <x:c r="AD296" s="44" t="b">
        <x:v>1</x:v>
      </x:c>
    </x:row>
    <x:row r="297">
      <x:c r="A297" s="31" t="str">
        <x:v>36005039000</x:v>
      </x:c>
      <x:c r="B297" s="31" t="str">
        <x:v>Bronx</x:v>
      </x:c>
      <x:c r="C297" s="31" t="str">
        <x:v>039000</x:v>
      </x:c>
      <x:c r="D297" s="31" t="str">
        <x:v>BX1201</x:v>
      </x:c>
      <x:c r="E297" s="31" t="str">
        <x:v>Williamsbridge-Olinville</x:v>
      </x:c>
      <x:c r="F297" s="31" t="n">
        <x:v>0.07027878460349231</x:v>
      </x:c>
      <x:c r="G297" s="31" t="n">
        <x:v>40.88123082174053</x:v>
      </x:c>
      <x:c r="H297" s="31" t="n">
        <x:v>-73.86075665835044</x:v>
      </x:c>
      <x:c r="I297" s="31" t="n">
        <x:v>3323</x:v>
      </x:c>
      <x:c r="J297" s="31" t="n">
        <x:v>47283.11707079341</x:v>
      </x:c>
      <x:c r="K297" s="31"/>
      <x:c r="L297" s="40"/>
      <x:c r="M297" s="40"/>
      <x:c r="N297" s="31" t="n">
        <x:v>412</x:v>
      </x:c>
      <x:c r="O297" s="31" t="n">
        <x:v>1315</x:v>
      </x:c>
      <x:c r="P297" s="31" t="n">
        <x:v>3.2857963246554363</x:v>
      </x:c>
      <x:c r="Q297" s="40" t="n">
        <x:v>0</x:v>
      </x:c>
      <x:c r="R297" s="40" t="n">
        <x:v>0.5893536121673004</x:v>
      </x:c>
      <x:c r="S297" s="40" t="n">
        <x:v>0.02737642585551331</x:v>
      </x:c>
      <x:c r="T297" s="31" t="n">
        <x:v>34.75422833351805</x:v>
      </x:c>
      <x:c r="U297" s="31" t="n">
        <x:v>74</x:v>
      </x:c>
      <x:c r="V297" s="31" t="n">
        <x:v>5</x:v>
      </x:c>
      <x:c r="W297" s="31" t="n">
        <x:v>1.5046644598254588</x:v>
      </x:c>
      <x:c r="X297" s="31" t="n">
        <x:v>4.037262357414448</x:v>
      </x:c>
      <x:c r="Y297" s="40" t="n">
        <x:v>1</x:v>
      </x:c>
      <x:c r="Z297" s="40" t="n">
        <x:v>1</x:v>
      </x:c>
      <x:c r="AA297" s="40" t="n">
        <x:v>0.905703422053232</x:v>
      </x:c>
      <x:c r="AB297" s="31" t="n">
        <x:v>0.05107072169223253</x:v>
      </x:c>
      <x:c r="AC297" s="31" t="n">
        <x:v>7</x:v>
      </x:c>
      <x:c r="AD297" s="44" t="b">
        <x:v>1</x:v>
      </x:c>
    </x:row>
    <x:row r="298">
      <x:c r="A298" s="31" t="str">
        <x:v>36005039100</x:v>
      </x:c>
      <x:c r="B298" s="31" t="str">
        <x:v>Bronx</x:v>
      </x:c>
      <x:c r="C298" s="31" t="str">
        <x:v>039100</x:v>
      </x:c>
      <x:c r="D298" s="31" t="str">
        <x:v>BX0603</x:v>
      </x:c>
      <x:c r="E298" s="31" t="str">
        <x:v>Belmont</x:v>
      </x:c>
      <x:c r="F298" s="31" t="n">
        <x:v>0.0794061376129907</x:v>
      </x:c>
      <x:c r="G298" s="31" t="n">
        <x:v>40.85311619499476</x:v>
      </x:c>
      <x:c r="H298" s="31" t="n">
        <x:v>-73.88712593410496</x:v>
      </x:c>
      <x:c r="I298" s="31" t="n">
        <x:v>7210</x:v>
      </x:c>
      <x:c r="J298" s="31" t="n">
        <x:v>90799.02658331108</x:v>
      </x:c>
      <x:c r="K298" s="31"/>
      <x:c r="L298" s="40"/>
      <x:c r="M298" s="40"/>
      <x:c r="N298" s="31" t="n">
        <x:v>308</x:v>
      </x:c>
      <x:c r="O298" s="31" t="n">
        <x:v>2841</x:v>
      </x:c>
      <x:c r="P298" s="31" t="n">
        <x:v>4.622590032739178</x:v>
      </x:c>
      <x:c r="Q298" s="40" t="n">
        <x:v>0</x:v>
      </x:c>
      <x:c r="R298" s="40" t="n">
        <x:v>0.8771559310102077</x:v>
      </x:c>
      <x:c r="S298" s="40" t="n">
        <x:v>0.021119324181626188</x:v>
      </x:c>
      <x:c r="T298" s="31" t="n">
        <x:v>51.92666567570057</x:v>
      </x:c>
      <x:c r="U298" s="31" t="n">
        <x:v>89.76431393</x:v>
      </x:c>
      <x:c r="V298" s="31" t="n">
        <x:v>15</x:v>
      </x:c>
      <x:c r="W298" s="31" t="n">
        <x:v>2.0804438280166435</x:v>
      </x:c>
      <x:c r="X298" s="31" t="n">
        <x:v>5</x:v>
      </x:c>
      <x:c r="Y298" s="40" t="n">
        <x:v>1</x:v>
      </x:c>
      <x:c r="Z298" s="40" t="n">
        <x:v>1</x:v>
      </x:c>
      <x:c r="AA298" s="40" t="n">
        <x:v>0.9897923266455474</x:v>
      </x:c>
      <x:c r="AB298" s="31" t="n">
        <x:v>0.09432182149034836</x:v>
      </x:c>
      <x:c r="AC298" s="31" t="n">
        <x:v>6</x:v>
      </x:c>
      <x:c r="AD298" s="44" t="b">
        <x:v>1</x:v>
      </x:c>
    </x:row>
    <x:row r="299">
      <x:c r="A299" s="31" t="str">
        <x:v>36005039200</x:v>
      </x:c>
      <x:c r="B299" s="31" t="str">
        <x:v>Bronx</x:v>
      </x:c>
      <x:c r="C299" s="31" t="str">
        <x:v>039200</x:v>
      </x:c>
      <x:c r="D299" s="31" t="str">
        <x:v>BX1201</x:v>
      </x:c>
      <x:c r="E299" s="31" t="str">
        <x:v>Williamsbridge-Olinville</x:v>
      </x:c>
      <x:c r="F299" s="31" t="n">
        <x:v>0.037147604895187675</x:v>
      </x:c>
      <x:c r="G299" s="31" t="n">
        <x:v>40.88328730704269</x:v>
      </x:c>
      <x:c r="H299" s="31" t="n">
        <x:v>-73.86474047629943</x:v>
      </x:c>
      <x:c r="I299" s="31" t="n">
        <x:v>1809</x:v>
      </x:c>
      <x:c r="J299" s="31" t="n">
        <x:v>48697.621424156714</x:v>
      </x:c>
      <x:c r="K299" s="31"/>
      <x:c r="L299" s="40"/>
      <x:c r="M299" s="40"/>
      <x:c r="N299" s="31" t="n">
        <x:v>155</x:v>
      </x:c>
      <x:c r="O299" s="31" t="n">
        <x:v>589</x:v>
      </x:c>
      <x:c r="P299" s="31" t="n">
        <x:v>3.781409168081494</x:v>
      </x:c>
      <x:c r="Q299" s="40" t="n">
        <x:v>0</x:v>
      </x:c>
      <x:c r="R299" s="40" t="n">
        <x:v>0.66553480475382</x:v>
      </x:c>
      <x:c r="S299" s="40" t="n">
        <x:v>0.001697792869269949</x:v>
      </x:c>
      <x:c r="T299" s="31" t="n">
        <x:v>43.211825890543295</x:v>
      </x:c>
      <x:c r="U299" s="31" t="n">
        <x:v>82</x:v>
      </x:c>
      <x:c r="V299" s="31" t="n">
        <x:v>4</x:v>
      </x:c>
      <x:c r="W299" s="31" t="n">
        <x:v>2.2111663902708676</x:v>
      </x:c>
      <x:c r="X299" s="31" t="n">
        <x:v>4</x:v>
      </x:c>
      <x:c r="Y299" s="40" t="n">
        <x:v>1</x:v>
      </x:c>
      <x:c r="Z299" s="40" t="n">
        <x:v>1</x:v>
      </x:c>
      <x:c r="AA299" s="40" t="n">
        <x:v>1</x:v>
      </x:c>
      <x:c r="AB299" s="31" t="n">
        <x:v>0.24264811855532162</x:v>
      </x:c>
      <x:c r="AC299" s="31" t="n">
        <x:v>5</x:v>
      </x:c>
      <x:c r="AD299" s="44" t="b">
        <x:v>1</x:v>
      </x:c>
    </x:row>
    <x:row r="300">
      <x:c r="A300" s="31" t="str">
        <x:v>36005039300</x:v>
      </x:c>
      <x:c r="B300" s="31" t="str">
        <x:v>Bronx</x:v>
      </x:c>
      <x:c r="C300" s="31" t="str">
        <x:v>039300</x:v>
      </x:c>
      <x:c r="D300" s="31" t="str">
        <x:v>BX0603</x:v>
      </x:c>
      <x:c r="E300" s="31" t="str">
        <x:v>Belmont</x:v>
      </x:c>
      <x:c r="F300" s="31" t="n">
        <x:v>0.07044620819523359</x:v>
      </x:c>
      <x:c r="G300" s="31" t="n">
        <x:v>40.852512267545976</x:v>
      </x:c>
      <x:c r="H300" s="31" t="n">
        <x:v>-73.88313610803542</x:v>
      </x:c>
      <x:c r="I300" s="31" t="n">
        <x:v>8033</x:v>
      </x:c>
      <x:c r="J300" s="31" t="n">
        <x:v>114030.2679987752</x:v>
      </x:c>
      <x:c r="K300" s="31"/>
      <x:c r="L300" s="40"/>
      <x:c r="M300" s="40"/>
      <x:c r="N300" s="31" t="n">
        <x:v>176</x:v>
      </x:c>
      <x:c r="O300" s="31" t="n">
        <x:v>2933</x:v>
      </x:c>
      <x:c r="P300" s="31" t="n">
        <x:v>7.12219730941704</x:v>
      </x:c>
      <x:c r="Q300" s="40" t="n">
        <x:v>0.18990794408455505</x:v>
      </x:c>
      <x:c r="R300" s="40" t="n">
        <x:v>0.7354244800545516</x:v>
      </x:c>
      <x:c r="S300" s="40" t="n">
        <x:v>0.02557108762359359</x:v>
      </x:c>
      <x:c r="T300" s="31" t="n">
        <x:v>76.81358801948905</x:v>
      </x:c>
      <x:c r="U300" s="31" t="n">
        <x:v>168.10101605</x:v>
      </x:c>
      <x:c r="V300" s="31" t="n">
        <x:v>29</x:v>
      </x:c>
      <x:c r="W300" s="31" t="n">
        <x:v>3.6101083032490977</x:v>
      </x:c>
      <x:c r="X300" s="31" t="n">
        <x:v>5</x:v>
      </x:c>
      <x:c r="Y300" s="40" t="n">
        <x:v>1</x:v>
      </x:c>
      <x:c r="Z300" s="40" t="n">
        <x:v>1</x:v>
      </x:c>
      <x:c r="AA300" s="40" t="n">
        <x:v>0.9809069212410502</x:v>
      </x:c>
      <x:c r="AB300" s="31" t="n">
        <x:v>0.1574792160304196</x:v>
      </x:c>
      <x:c r="AC300" s="31" t="n">
        <x:v>8</x:v>
      </x:c>
      <x:c r="AD300" s="44" t="b">
        <x:v>1</x:v>
      </x:c>
    </x:row>
    <x:row r="301">
      <x:c r="A301" s="31" t="str">
        <x:v>36005039400</x:v>
      </x:c>
      <x:c r="B301" s="31" t="str">
        <x:v>Bronx</x:v>
      </x:c>
      <x:c r="C301" s="31" t="str">
        <x:v>039400</x:v>
      </x:c>
      <x:c r="D301" s="31" t="str">
        <x:v>BX1201</x:v>
      </x:c>
      <x:c r="E301" s="31" t="str">
        <x:v>Williamsbridge-Olinville</x:v>
      </x:c>
      <x:c r="F301" s="31" t="n">
        <x:v>0.055992254285755286</x:v>
      </x:c>
      <x:c r="G301" s="31" t="n">
        <x:v>40.88647815146286</x:v>
      </x:c>
      <x:c r="H301" s="31" t="n">
        <x:v>-73.8633961378347</x:v>
      </x:c>
      <x:c r="I301" s="31" t="n">
        <x:v>4647</x:v>
      </x:c>
      <x:c r="J301" s="31" t="n">
        <x:v>82993.62223003442</x:v>
      </x:c>
      <x:c r="K301" s="31"/>
      <x:c r="L301" s="40"/>
      <x:c r="M301" s="40"/>
      <x:c r="N301" s="31" t="n">
        <x:v>228</x:v>
      </x:c>
      <x:c r="O301" s="31" t="n">
        <x:v>1981</x:v>
      </x:c>
      <x:c r="P301" s="31" t="n">
        <x:v>5.469586067642605</x:v>
      </x:c>
      <x:c r="Q301" s="40" t="n">
        <x:v>0.08379606259464917</x:v>
      </x:c>
      <x:c r="R301" s="40" t="n">
        <x:v>0.7465926299848561</x:v>
      </x:c>
      <x:c r="S301" s="40" t="n">
        <x:v>0.005552751135790005</x:v>
      </x:c>
      <x:c r="T301" s="31" t="n">
        <x:v>58.684406593289204</x:v>
      </x:c>
      <x:c r="U301" s="31" t="n">
        <x:v>124.61</x:v>
      </x:c>
      <x:c r="V301" s="31" t="n">
        <x:v>21</x:v>
      </x:c>
      <x:c r="W301" s="31" t="n">
        <x:v>4.519044544867657</x:v>
      </x:c>
      <x:c r="X301" s="31" t="n">
        <x:v>4.574457344775366</x:v>
      </x:c>
      <x:c r="Y301" s="40" t="n">
        <x:v>1</x:v>
      </x:c>
      <x:c r="Z301" s="40" t="n">
        <x:v>1</x:v>
      </x:c>
      <x:c r="AA301" s="40" t="n">
        <x:v>0.9914184755174155</x:v>
      </x:c>
      <x:c r="AB301" s="31" t="n">
        <x:v>0.08376032433113963</x:v>
      </x:c>
      <x:c r="AC301" s="31" t="n">
        <x:v>5</x:v>
      </x:c>
      <x:c r="AD301" s="44" t="b">
        <x:v>1</x:v>
      </x:c>
    </x:row>
    <x:row r="302">
      <x:c r="A302" s="31" t="str">
        <x:v>36005039500</x:v>
      </x:c>
      <x:c r="B302" s="31" t="str">
        <x:v>Bronx</x:v>
      </x:c>
      <x:c r="C302" s="31" t="str">
        <x:v>039500</x:v>
      </x:c>
      <x:c r="D302" s="31" t="str">
        <x:v>BX0602</x:v>
      </x:c>
      <x:c r="E302" s="31" t="str">
        <x:v>Tremont</x:v>
      </x:c>
      <x:c r="F302" s="31" t="n">
        <x:v>0.15851105839646465</x:v>
      </x:c>
      <x:c r="G302" s="31" t="n">
        <x:v>40.848184639481225</x:v>
      </x:c>
      <x:c r="H302" s="31" t="n">
        <x:v>-73.89669060222086</x:v>
      </x:c>
      <x:c r="I302" s="31" t="n">
        <x:v>4254</x:v>
      </x:c>
      <x:c r="J302" s="31" t="n">
        <x:v>26837.244309857433</x:v>
      </x:c>
      <x:c r="K302" s="31"/>
      <x:c r="L302" s="40"/>
      <x:c r="M302" s="40"/>
      <x:c r="N302" s="31" t="n">
        <x:v>252</x:v>
      </x:c>
      <x:c r="O302" s="31" t="n">
        <x:v>2002</x:v>
      </x:c>
      <x:c r="P302" s="31" t="n">
        <x:v>5.361768231768232</x:v>
      </x:c>
      <x:c r="Q302" s="40" t="n">
        <x:v>0</x:v>
      </x:c>
      <x:c r="R302" s="40" t="n">
        <x:v>0.919080919080919</x:v>
      </x:c>
      <x:c r="S302" s="40" t="n">
        <x:v>0.025474525474525476</x:v>
      </x:c>
      <x:c r="T302" s="31" t="n">
        <x:v>59.942272318691586</x:v>
      </x:c>
      <x:c r="U302" s="31" t="n">
        <x:v>99.2272985</x:v>
      </x:c>
      <x:c r="V302" s="31" t="n">
        <x:v>22</x:v>
      </x:c>
      <x:c r="W302" s="31" t="n">
        <x:v>5.171603196991067</x:v>
      </x:c>
      <x:c r="X302" s="31" t="n">
        <x:v>5</x:v>
      </x:c>
      <x:c r="Y302" s="40" t="n">
        <x:v>1</x:v>
      </x:c>
      <x:c r="Z302" s="40" t="n">
        <x:v>1</x:v>
      </x:c>
      <x:c r="AA302" s="40" t="n">
        <x:v>0.962037962037962</x:v>
      </x:c>
      <x:c r="AB302" s="31" t="n">
        <x:v>0.12989319042541014</x:v>
      </x:c>
      <x:c r="AC302" s="31" t="n">
        <x:v>8</x:v>
      </x:c>
      <x:c r="AD302" s="44" t="b">
        <x:v>1</x:v>
      </x:c>
    </x:row>
    <x:row r="303">
      <x:c r="A303" s="31" t="str">
        <x:v>36005039600</x:v>
      </x:c>
      <x:c r="B303" s="31" t="str">
        <x:v>Bronx</x:v>
      </x:c>
      <x:c r="C303" s="31" t="str">
        <x:v>039600</x:v>
      </x:c>
      <x:c r="D303" s="31" t="str">
        <x:v>BX1201</x:v>
      </x:c>
      <x:c r="E303" s="31" t="str">
        <x:v>Williamsbridge-Olinville</x:v>
      </x:c>
      <x:c r="F303" s="31" t="n">
        <x:v>0.08618595400704489</x:v>
      </x:c>
      <x:c r="G303" s="31" t="n">
        <x:v>40.884423454401464</x:v>
      </x:c>
      <x:c r="H303" s="31" t="n">
        <x:v>-73.85895559005178</x:v>
      </x:c>
      <x:c r="I303" s="31" t="n">
        <x:v>4485</x:v>
      </x:c>
      <x:c r="J303" s="31" t="n">
        <x:v>52038.64193037062</x:v>
      </x:c>
      <x:c r="K303" s="31"/>
      <x:c r="L303" s="40"/>
      <x:c r="M303" s="40"/>
      <x:c r="N303" s="31" t="n">
        <x:v>506</x:v>
      </x:c>
      <x:c r="O303" s="31" t="n">
        <x:v>1552</x:v>
      </x:c>
      <x:c r="P303" s="31" t="n">
        <x:v>3.1681701030927836</x:v>
      </x:c>
      <x:c r="Q303" s="40" t="n">
        <x:v>0</x:v>
      </x:c>
      <x:c r="R303" s="40" t="n">
        <x:v>0.5844072164948454</x:v>
      </x:c>
      <x:c r="S303" s="40" t="n">
        <x:v>0.027706185567010308</x:v>
      </x:c>
      <x:c r="T303" s="31" t="n">
        <x:v>36.54097604992815</x:v>
      </x:c>
      <x:c r="U303" s="31" t="n">
        <x:v>80</x:v>
      </x:c>
      <x:c r="V303" s="31" t="n">
        <x:v>2</x:v>
      </x:c>
      <x:c r="W303" s="31" t="n">
        <x:v>0.4459308807134894</x:v>
      </x:c>
      <x:c r="X303" s="31" t="n">
        <x:v>4.358891752577319</x:v>
      </x:c>
      <x:c r="Y303" s="40" t="n">
        <x:v>1</x:v>
      </x:c>
      <x:c r="Z303" s="40" t="n">
        <x:v>1</x:v>
      </x:c>
      <x:c r="AA303" s="40" t="n">
        <x:v>0.9864690721649485</x:v>
      </x:c>
      <x:c r="AB303" s="31" t="n">
        <x:v>0.19093464551038</x:v>
      </x:c>
      <x:c r="AC303" s="31" t="n">
        <x:v>7</x:v>
      </x:c>
      <x:c r="AD303" s="44" t="b">
        <x:v>1</x:v>
      </x:c>
    </x:row>
    <x:row r="304">
      <x:c r="A304" s="31" t="str">
        <x:v>36005039700</x:v>
      </x:c>
      <x:c r="B304" s="31" t="str">
        <x:v>Bronx</x:v>
      </x:c>
      <x:c r="C304" s="31" t="str">
        <x:v>039700</x:v>
      </x:c>
      <x:c r="D304" s="31" t="str">
        <x:v>BX0603</x:v>
      </x:c>
      <x:c r="E304" s="31" t="str">
        <x:v>Belmont</x:v>
      </x:c>
      <x:c r="F304" s="31" t="n">
        <x:v>0.20065563964718205</x:v>
      </x:c>
      <x:c r="G304" s="31" t="n">
        <x:v>40.861866296367204</x:v>
      </x:c>
      <x:c r="H304" s="31" t="n">
        <x:v>-73.8854177464566</x:v>
      </x:c>
      <x:c r="I304" s="31" t="n">
        <x:v>4492</x:v>
      </x:c>
      <x:c r="J304" s="31" t="n">
        <x:v>22386.612247223147</x:v>
      </x:c>
      <x:c r="K304" s="31"/>
      <x:c r="L304" s="40"/>
      <x:c r="M304" s="40"/>
      <x:c r="N304" s="31" t="n">
        <x:v>68</x:v>
      </x:c>
      <x:c r="O304" s="31" t="n">
        <x:v>791</x:v>
      </x:c>
      <x:c r="P304" s="31" t="n">
        <x:v>6.946902654867257</x:v>
      </x:c>
      <x:c r="Q304" s="40" t="n">
        <x:v>0.38811630847029077</x:v>
      </x:c>
      <x:c r="R304" s="40" t="n">
        <x:v>0.5145385587863464</x:v>
      </x:c>
      <x:c r="S304" s="40" t="n">
        <x:v>0.05815423514538559</x:v>
      </x:c>
      <x:c r="T304" s="31" t="n">
        <x:v>78.63863897721079</x:v>
      </x:c>
      <x:c r="U304" s="31" t="n">
        <x:v>135</x:v>
      </x:c>
      <x:c r="V304" s="31" t="n">
        <x:v>7</x:v>
      </x:c>
      <x:c r="W304" s="31" t="n">
        <x:v>1.558325912733749</x:v>
      </x:c>
      <x:c r="X304" s="31" t="n">
        <x:v>5</x:v>
      </x:c>
      <x:c r="Y304" s="40" t="n">
        <x:v>1</x:v>
      </x:c>
      <x:c r="Z304" s="40" t="n">
        <x:v>1</x:v>
      </x:c>
      <x:c r="AA304" s="40" t="n">
        <x:v>0.9835651074589128</x:v>
      </x:c>
      <x:c r="AB304" s="31" t="n">
        <x:v>0.23230576611513024</x:v>
      </x:c>
      <x:c r="AC304" s="31" t="n">
        <x:v>12</x:v>
      </x:c>
      <x:c r="AD304" s="44" t="b">
        <x:v>1</x:v>
      </x:c>
    </x:row>
    <x:row r="305">
      <x:c r="A305" s="31" t="str">
        <x:v>36005039800</x:v>
      </x:c>
      <x:c r="B305" s="31" t="str">
        <x:v>Bronx</x:v>
      </x:c>
      <x:c r="C305" s="31" t="str">
        <x:v>039800</x:v>
      </x:c>
      <x:c r="D305" s="31" t="str">
        <x:v>BX1201</x:v>
      </x:c>
      <x:c r="E305" s="31" t="str">
        <x:v>Williamsbridge-Olinville</x:v>
      </x:c>
      <x:c r="F305" s="31" t="n">
        <x:v>0.07794405014204546</x:v>
      </x:c>
      <x:c r="G305" s="31" t="n">
        <x:v>40.882697146023716</x:v>
      </x:c>
      <x:c r="H305" s="31" t="n">
        <x:v>-73.85346966050538</x:v>
      </x:c>
      <x:c r="I305" s="31" t="n">
        <x:v>3347</x:v>
      </x:c>
      <x:c r="J305" s="31" t="n">
        <x:v>42941.05828347921</x:v>
      </x:c>
      <x:c r="K305" s="31"/>
      <x:c r="L305" s="40"/>
      <x:c r="M305" s="40"/>
      <x:c r="N305" s="31" t="n">
        <x:v>507</x:v>
      </x:c>
      <x:c r="O305" s="31" t="n">
        <x:v>1034</x:v>
      </x:c>
      <x:c r="P305" s="31" t="n">
        <x:v>2.3426407766990294</x:v>
      </x:c>
      <x:c r="Q305" s="40" t="n">
        <x:v>0</x:v>
      </x:c>
      <x:c r="R305" s="40" t="n">
        <x:v>0.2572533849129594</x:v>
      </x:c>
      <x:c r="S305" s="40" t="n">
        <x:v>0</x:v>
      </x:c>
      <x:c r="T305" s="31" t="n">
        <x:v>28.821408945532948</x:v>
      </x:c>
      <x:c r="U305" s="31" t="n">
        <x:v>57.93</x:v>
      </x:c>
      <x:c r="V305" s="31" t="n">
        <x:v>0</x:v>
      </x:c>
      <x:c r="W305" s="31" t="n">
        <x:v>0</x:v>
      </x:c>
      <x:c r="X305" s="31" t="n">
        <x:v>5</x:v>
      </x:c>
      <x:c r="Y305" s="40" t="n">
        <x:v>1</x:v>
      </x:c>
      <x:c r="Z305" s="40" t="n">
        <x:v>1</x:v>
      </x:c>
      <x:c r="AA305" s="40" t="n">
        <x:v>0.9980657640232108</x:v>
      </x:c>
      <x:c r="AB305" s="31" t="n">
        <x:v>0.32642309933540903</x:v>
      </x:c>
      <x:c r="AC305" s="31" t="n">
        <x:v>6</x:v>
      </x:c>
      <x:c r="AD305" s="44" t="b">
        <x:v>1</x:v>
      </x:c>
    </x:row>
    <x:row r="306">
      <x:c r="A306" s="31" t="str">
        <x:v>36005039901</x:v>
      </x:c>
      <x:c r="B306" s="31" t="str">
        <x:v>Bronx</x:v>
      </x:c>
      <x:c r="C306" s="31" t="str">
        <x:v>039901</x:v>
      </x:c>
      <x:c r="D306" s="31" t="str">
        <x:v>BX0701</x:v>
      </x:c>
      <x:c r="E306" s="31" t="str">
        <x:v>University Heights (North)-Fordham</x:v>
      </x:c>
      <x:c r="F306" s="31" t="n">
        <x:v>0.05874888368234906</x:v>
      </x:c>
      <x:c r="G306" s="31" t="n">
        <x:v>40.863513842434415</x:v>
      </x:c>
      <x:c r="H306" s="31" t="n">
        <x:v>-73.89365462114658</x:v>
      </x:c>
      <x:c r="I306" s="31" t="n">
        <x:v>5254</x:v>
      </x:c>
      <x:c r="J306" s="31" t="n">
        <x:v>89431.48653526756</x:v>
      </x:c>
      <x:c r="K306" s="31"/>
      <x:c r="L306" s="40"/>
      <x:c r="M306" s="40"/>
      <x:c r="N306" s="31" t="n">
        <x:v>121</x:v>
      </x:c>
      <x:c r="O306" s="31" t="n">
        <x:v>1872</x:v>
      </x:c>
      <x:c r="P306" s="31" t="n">
        <x:v>5.258279914529915</x:v>
      </x:c>
      <x:c r="Q306" s="40" t="n">
        <x:v>0.028311965811965812</x:v>
      </x:c>
      <x:c r="R306" s="40" t="n">
        <x:v>0.9321581196581197</x:v>
      </x:c>
      <x:c r="S306" s="40" t="n">
        <x:v>0</x:v>
      </x:c>
      <x:c r="T306" s="31" t="n">
        <x:v>60.24707206721925</x:v>
      </x:c>
      <x:c r="U306" s="31" t="n">
        <x:v>85</x:v>
      </x:c>
      <x:c r="V306" s="31" t="n">
        <x:v>19</x:v>
      </x:c>
      <x:c r="W306" s="31" t="n">
        <x:v>3.616292348686715</x:v>
      </x:c>
      <x:c r="X306" s="31" t="n">
        <x:v>5</x:v>
      </x:c>
      <x:c r="Y306" s="40" t="n">
        <x:v>1</x:v>
      </x:c>
      <x:c r="Z306" s="40" t="n">
        <x:v>1</x:v>
      </x:c>
      <x:c r="AA306" s="40" t="n">
        <x:v>0.9989316239316239</x:v>
      </x:c>
      <x:c r="AB306" s="31" t="n">
        <x:v>0.057000259239014986</x:v>
      </x:c>
      <x:c r="AC306" s="31" t="n">
        <x:v>9</x:v>
      </x:c>
      <x:c r="AD306" s="44" t="b">
        <x:v>1</x:v>
      </x:c>
    </x:row>
    <x:row r="307">
      <x:c r="A307" s="31" t="str">
        <x:v>36005039902</x:v>
      </x:c>
      <x:c r="B307" s="31" t="str">
        <x:v>Bronx</x:v>
      </x:c>
      <x:c r="C307" s="31" t="str">
        <x:v>039902</x:v>
      </x:c>
      <x:c r="D307" s="31" t="str">
        <x:v>BX0503</x:v>
      </x:c>
      <x:c r="E307" s="31" t="str">
        <x:v>Fordham Heights</x:v>
      </x:c>
      <x:c r="F307" s="31" t="n">
        <x:v>0.04697709807592975</x:v>
      </x:c>
      <x:c r="G307" s="31" t="n">
        <x:v>40.86043320821882</x:v>
      </x:c>
      <x:c r="H307" s="31" t="n">
        <x:v>-73.89475394339763</x:v>
      </x:c>
      <x:c r="I307" s="31" t="n">
        <x:v>5548</x:v>
      </x:c>
      <x:c r="J307" s="31" t="n">
        <x:v>118100.10041558312</x:v>
      </x:c>
      <x:c r="K307" s="31"/>
      <x:c r="L307" s="40"/>
      <x:c r="M307" s="40"/>
      <x:c r="N307" s="31" t="n">
        <x:v>100</x:v>
      </x:c>
      <x:c r="O307" s="31" t="n">
        <x:v>1944</x:v>
      </x:c>
      <x:c r="P307" s="31" t="n">
        <x:v>5.418323481998925</x:v>
      </x:c>
      <x:c r="Q307" s="40" t="n">
        <x:v>0</x:v>
      </x:c>
      <x:c r="R307" s="40" t="n">
        <x:v>0.9197530864197531</x:v>
      </x:c>
      <x:c r="S307" s="40" t="n">
        <x:v>0.00205761316872428</x:v>
      </x:c>
      <x:c r="T307" s="31" t="n">
        <x:v>63.864944393118044</x:v>
      </x:c>
      <x:c r="U307" s="31" t="n">
        <x:v>92.12</x:v>
      </x:c>
      <x:c r="V307" s="31" t="n">
        <x:v>13</x:v>
      </x:c>
      <x:c r="W307" s="31" t="n">
        <x:v>2.343186733958183</x:v>
      </x:c>
      <x:c r="X307" s="31" t="n">
        <x:v>5</x:v>
      </x:c>
      <x:c r="Y307" s="40" t="n">
        <x:v>1</x:v>
      </x:c>
      <x:c r="Z307" s="40" t="n">
        <x:v>1</x:v>
      </x:c>
      <x:c r="AA307" s="40" t="n">
        <x:v>0.9238683127572016</x:v>
      </x:c>
      <x:c r="AB307" s="31" t="n">
        <x:v>0.1101711253005734</x:v>
      </x:c>
      <x:c r="AC307" s="31" t="n">
        <x:v>6</x:v>
      </x:c>
      <x:c r="AD307" s="44" t="b">
        <x:v>1</x:v>
      </x:c>
    </x:row>
    <x:row r="308">
      <x:c r="A308" s="31" t="str">
        <x:v>36005040100</x:v>
      </x:c>
      <x:c r="B308" s="31" t="str">
        <x:v>Bronx</x:v>
      </x:c>
      <x:c r="C308" s="31" t="str">
        <x:v>040100</x:v>
      </x:c>
      <x:c r="D308" s="31" t="str">
        <x:v>BX0701</x:v>
      </x:c>
      <x:c r="E308" s="31" t="str">
        <x:v>University Heights (North)-Fordham</x:v>
      </x:c>
      <x:c r="F308" s="31" t="n">
        <x:v>0.06607072224410296</x:v>
      </x:c>
      <x:c r="G308" s="31" t="n">
        <x:v>40.86459996166986</x:v>
      </x:c>
      <x:c r="H308" s="31" t="n">
        <x:v>-73.89765721166371</x:v>
      </x:c>
      <x:c r="I308" s="31" t="n">
        <x:v>5009</x:v>
      </x:c>
      <x:c r="J308" s="31" t="n">
        <x:v>75812.70235693648</x:v>
      </x:c>
      <x:c r="K308" s="31"/>
      <x:c r="L308" s="40"/>
      <x:c r="M308" s="40"/>
      <x:c r="N308" s="31" t="n">
        <x:v>66</x:v>
      </x:c>
      <x:c r="O308" s="31" t="n">
        <x:v>1955</x:v>
      </x:c>
      <x:c r="P308" s="31" t="n">
        <x:v>6.4822250639386185</x:v>
      </x:c>
      <x:c r="Q308" s="40" t="n">
        <x:v>0.1959079283887468</x:v>
      </x:c>
      <x:c r="R308" s="40" t="n">
        <x:v>0.8035805626598466</x:v>
      </x:c>
      <x:c r="S308" s="40" t="n">
        <x:v>0</x:v>
      </x:c>
      <x:c r="T308" s="31" t="n">
        <x:v>71.52894292993861</x:v>
      </x:c>
      <x:c r="U308" s="31" t="n">
        <x:v>118</x:v>
      </x:c>
      <x:c r="V308" s="31" t="n">
        <x:v>21</x:v>
      </x:c>
      <x:c r="W308" s="31" t="n">
        <x:v>4.192453583549611</x:v>
      </x:c>
      <x:c r="X308" s="31" t="n">
        <x:v>4</x:v>
      </x:c>
      <x:c r="Y308" s="40" t="n">
        <x:v>1</x:v>
      </x:c>
      <x:c r="Z308" s="40" t="n">
        <x:v>1</x:v>
      </x:c>
      <x:c r="AA308" s="40" t="n">
        <x:v>1</x:v>
      </x:c>
      <x:c r="AB308" s="31" t="n">
        <x:v>0.1620600888229876</x:v>
      </x:c>
      <x:c r="AC308" s="31" t="n">
        <x:v>8</x:v>
      </x:c>
      <x:c r="AD308" s="44" t="b">
        <x:v>1</x:v>
      </x:c>
    </x:row>
    <x:row r="309">
      <x:c r="A309" s="31" t="str">
        <x:v>36005040302</x:v>
      </x:c>
      <x:c r="B309" s="31" t="str">
        <x:v>Bronx</x:v>
      </x:c>
      <x:c r="C309" s="31" t="str">
        <x:v>040302</x:v>
      </x:c>
      <x:c r="D309" s="31" t="str">
        <x:v>BX0702</x:v>
      </x:c>
      <x:c r="E309" s="31" t="str">
        <x:v>Bedford Park</x:v>
      </x:c>
      <x:c r="F309" s="31" t="n">
        <x:v>0.0244885165110982</x:v>
      </x:c>
      <x:c r="G309" s="31" t="n">
        <x:v>40.867847246846864</x:v>
      </x:c>
      <x:c r="H309" s="31" t="n">
        <x:v>-73.89219906363967</x:v>
      </x:c>
      <x:c r="I309" s="31" t="n">
        <x:v>4197</x:v>
      </x:c>
      <x:c r="J309" s="31" t="n">
        <x:v>171386.45365054754</x:v>
      </x:c>
      <x:c r="K309" s="31"/>
      <x:c r="L309" s="40"/>
      <x:c r="M309" s="40"/>
      <x:c r="N309" s="31" t="n">
        <x:v>30</x:v>
      </x:c>
      <x:c r="O309" s="31" t="n">
        <x:v>1484</x:v>
      </x:c>
      <x:c r="P309" s="31" t="n">
        <x:v>5.341411261582324</x:v>
      </x:c>
      <x:c r="Q309" s="40" t="n">
        <x:v>0</x:v>
      </x:c>
      <x:c r="R309" s="40" t="n">
        <x:v>0.9454177897574124</x:v>
      </x:c>
      <x:c r="S309" s="40" t="n">
        <x:v>0</x:v>
      </x:c>
      <x:c r="T309" s="31" t="n">
        <x:v>66.02021909280998</x:v>
      </x:c>
      <x:c r="U309" s="31" t="n">
        <x:v>110</x:v>
      </x:c>
      <x:c r="V309" s="31" t="n">
        <x:v>8</x:v>
      </x:c>
      <x:c r="W309" s="31" t="n">
        <x:v>1.9061234214915415</x:v>
      </x:c>
      <x:c r="X309" s="31" t="n">
        <x:v>5</x:v>
      </x:c>
      <x:c r="Y309" s="40" t="n">
        <x:v>1</x:v>
      </x:c>
      <x:c r="Z309" s="40" t="n">
        <x:v>1</x:v>
      </x:c>
      <x:c r="AA309" s="40" t="n">
        <x:v>1</x:v>
      </x:c>
      <x:c r="AB309" s="31" t="n">
        <x:v>0.10583123102086502</x:v>
      </x:c>
      <x:c r="AC309" s="31" t="n">
        <x:v>7</x:v>
      </x:c>
      <x:c r="AD309" s="44" t="b">
        <x:v>1</x:v>
      </x:c>
    </x:row>
    <x:row r="310">
      <x:c r="A310" s="31" t="str">
        <x:v>36005040303</x:v>
      </x:c>
      <x:c r="B310" s="31" t="str">
        <x:v>Bronx</x:v>
      </x:c>
      <x:c r="C310" s="31" t="str">
        <x:v>040303</x:v>
      </x:c>
      <x:c r="D310" s="31" t="str">
        <x:v>BX0702</x:v>
      </x:c>
      <x:c r="E310" s="31" t="str">
        <x:v>Bedford Park</x:v>
      </x:c>
      <x:c r="F310" s="31" t="n">
        <x:v>0.034047423597337007</x:v>
      </x:c>
      <x:c r="G310" s="31" t="n">
        <x:v>40.86969056276924</x:v>
      </x:c>
      <x:c r="H310" s="31" t="n">
        <x:v>-73.89349760662445</x:v>
      </x:c>
      <x:c r="I310" s="31" t="n">
        <x:v>4843</x:v>
      </x:c>
      <x:c r="J310" s="31" t="n">
        <x:v>142242.7745862918</x:v>
      </x:c>
      <x:c r="K310" s="31"/>
      <x:c r="L310" s="40"/>
      <x:c r="M310" s="40"/>
      <x:c r="N310" s="31" t="n">
        <x:v>106</x:v>
      </x:c>
      <x:c r="O310" s="31" t="n">
        <x:v>1828</x:v>
      </x:c>
      <x:c r="P310" s="31" t="n">
        <x:v>5.97242140099283</x:v>
      </x:c>
      <x:c r="Q310" s="40" t="n">
        <x:v>0.08916849015317287</x:v>
      </x:c>
      <x:c r="R310" s="40" t="n">
        <x:v>0.8457330415754923</x:v>
      </x:c>
      <x:c r="S310" s="40" t="n">
        <x:v>0.00437636761487965</x:v>
      </x:c>
      <x:c r="T310" s="31" t="n">
        <x:v>65.49346756146758</x:v>
      </x:c>
      <x:c r="U310" s="31" t="n">
        <x:v>105</x:v>
      </x:c>
      <x:c r="V310" s="31" t="n">
        <x:v>31</x:v>
      </x:c>
      <x:c r="W310" s="31" t="n">
        <x:v>6.400991121205864</x:v>
      </x:c>
      <x:c r="X310" s="31" t="n">
        <x:v>4</x:v>
      </x:c>
      <x:c r="Y310" s="40" t="n">
        <x:v>1</x:v>
      </x:c>
      <x:c r="Z310" s="40" t="n">
        <x:v>1</x:v>
      </x:c>
      <x:c r="AA310" s="40" t="n">
        <x:v>0.9617067833698031</x:v>
      </x:c>
      <x:c r="AB310" s="31" t="n">
        <x:v>0.19091376771360513</x:v>
      </x:c>
      <x:c r="AC310" s="31" t="n">
        <x:v>5</x:v>
      </x:c>
      <x:c r="AD310" s="44" t="b">
        <x:v>1</x:v>
      </x:c>
    </x:row>
    <x:row r="311">
      <x:c r="A311" s="31" t="str">
        <x:v>36005040304</x:v>
      </x:c>
      <x:c r="B311" s="31" t="str">
        <x:v>Bronx</x:v>
      </x:c>
      <x:c r="C311" s="31" t="str">
        <x:v>040304</x:v>
      </x:c>
      <x:c r="D311" s="31" t="str">
        <x:v>BX0702</x:v>
      </x:c>
      <x:c r="E311" s="31" t="str">
        <x:v>Bedford Park</x:v>
      </x:c>
      <x:c r="F311" s="31" t="n">
        <x:v>0.025945834256162478</x:v>
      </x:c>
      <x:c r="G311" s="31" t="n">
        <x:v>40.86767022958926</x:v>
      </x:c>
      <x:c r="H311" s="31" t="n">
        <x:v>-73.89519054680981</x:v>
      </x:c>
      <x:c r="I311" s="31" t="n">
        <x:v>4125</x:v>
      </x:c>
      <x:c r="J311" s="31" t="n">
        <x:v>158985.0593846393</x:v>
      </x:c>
      <x:c r="K311" s="31"/>
      <x:c r="L311" s="40"/>
      <x:c r="M311" s="40"/>
      <x:c r="N311" s="31" t="n">
        <x:v>37</x:v>
      </x:c>
      <x:c r="O311" s="31" t="n">
        <x:v>1585</x:v>
      </x:c>
      <x:c r="P311" s="31" t="n">
        <x:v>6.938485804416404</x:v>
      </x:c>
      <x:c r="Q311" s="40" t="n">
        <x:v>0.22586750788643534</x:v>
      </x:c>
      <x:c r="R311" s="40" t="n">
        <x:v>0.7558359621451104</x:v>
      </x:c>
      <x:c r="S311" s="40" t="n">
        <x:v>0</x:v>
      </x:c>
      <x:c r="T311" s="31" t="n">
        <x:v>75.61557702390307</x:v>
      </x:c>
      <x:c r="U311" s="31" t="n">
        <x:v>133</x:v>
      </x:c>
      <x:c r="V311" s="31" t="n">
        <x:v>19</x:v>
      </x:c>
      <x:c r="W311" s="31" t="n">
        <x:v>4.6060606060606055</x:v>
      </x:c>
      <x:c r="X311" s="31" t="n">
        <x:v>4</x:v>
      </x:c>
      <x:c r="Y311" s="40" t="n">
        <x:v>1</x:v>
      </x:c>
      <x:c r="Z311" s="40" t="n">
        <x:v>1</x:v>
      </x:c>
      <x:c r="AA311" s="40" t="n">
        <x:v>0.9634069400630915</x:v>
      </x:c>
      <x:c r="AB311" s="31" t="n">
        <x:v>0.11553995728903142</x:v>
      </x:c>
      <x:c r="AC311" s="31" t="n">
        <x:v>6</x:v>
      </x:c>
      <x:c r="AD311" s="44" t="b">
        <x:v>1</x:v>
      </x:c>
    </x:row>
    <x:row r="312">
      <x:c r="A312" s="31" t="str">
        <x:v>36005040400</x:v>
      </x:c>
      <x:c r="B312" s="31" t="str">
        <x:v>Bronx</x:v>
      </x:c>
      <x:c r="C312" s="31" t="str">
        <x:v>040400</x:v>
      </x:c>
      <x:c r="D312" s="31" t="str">
        <x:v>BX1201</x:v>
      </x:c>
      <x:c r="E312" s="31" t="str">
        <x:v>Williamsbridge-Olinville</x:v>
      </x:c>
      <x:c r="F312" s="31" t="n">
        <x:v>0.08310975237136996</x:v>
      </x:c>
      <x:c r="G312" s="31" t="n">
        <x:v>40.8861692240014</x:v>
      </x:c>
      <x:c r="H312" s="31" t="n">
        <x:v>-73.85134867998117</x:v>
      </x:c>
      <x:c r="I312" s="31" t="n">
        <x:v>3530</x:v>
      </x:c>
      <x:c r="J312" s="31" t="n">
        <x:v>42473.95641640765</x:v>
      </x:c>
      <x:c r="K312" s="31"/>
      <x:c r="L312" s="40"/>
      <x:c r="M312" s="40"/>
      <x:c r="N312" s="31" t="n">
        <x:v>518</x:v>
      </x:c>
      <x:c r="O312" s="31" t="n">
        <x:v>1061</x:v>
      </x:c>
      <x:c r="P312" s="31" t="n">
        <x:v>2.353791469194313</x:v>
      </x:c>
      <x:c r="Q312" s="40" t="n">
        <x:v>0</x:v>
      </x:c>
      <x:c r="R312" s="40" t="n">
        <x:v>0.3468426013195099</x:v>
      </x:c>
      <x:c r="S312" s="40" t="n">
        <x:v>0.00942507068803016</x:v>
      </x:c>
      <x:c r="T312" s="31" t="n">
        <x:v>28.256161880612627</x:v>
      </x:c>
      <x:c r="U312" s="31" t="n">
        <x:v>37.67</x:v>
      </x:c>
      <x:c r="V312" s="31" t="n">
        <x:v>1</x:v>
      </x:c>
      <x:c r="W312" s="31" t="n">
        <x:v>0.28328611898017</x:v>
      </x:c>
      <x:c r="X312" s="31" t="n">
        <x:v>5</x:v>
      </x:c>
      <x:c r="Y312" s="40" t="n">
        <x:v>1</x:v>
      </x:c>
      <x:c r="Z312" s="40" t="n">
        <x:v>1</x:v>
      </x:c>
      <x:c r="AA312" s="40" t="n">
        <x:v>1</x:v>
      </x:c>
      <x:c r="AB312" s="31" t="n">
        <x:v>0.1580545250092241</x:v>
      </x:c>
      <x:c r="AC312" s="31" t="n">
        <x:v>7</x:v>
      </x:c>
      <x:c r="AD312" s="44" t="b">
        <x:v>1</x:v>
      </x:c>
    </x:row>
    <x:row r="313">
      <x:c r="A313" s="31" t="str">
        <x:v>36005040501</x:v>
      </x:c>
      <x:c r="B313" s="31" t="str">
        <x:v>Bronx</x:v>
      </x:c>
      <x:c r="C313" s="31" t="str">
        <x:v>040501</x:v>
      </x:c>
      <x:c r="D313" s="31" t="str">
        <x:v>BX0702</x:v>
      </x:c>
      <x:c r="E313" s="31" t="str">
        <x:v>Bedford Park</x:v>
      </x:c>
      <x:c r="F313" s="31" t="n">
        <x:v>0.03133025122729425</x:v>
      </x:c>
      <x:c r="G313" s="31" t="n">
        <x:v>40.86716306641855</x:v>
      </x:c>
      <x:c r="H313" s="31" t="n">
        <x:v>-73.89091360076301</x:v>
      </x:c>
      <x:c r="I313" s="31" t="n">
        <x:v>4385</x:v>
      </x:c>
      <x:c r="J313" s="31" t="n">
        <x:v>139960.57574475755</x:v>
      </x:c>
      <x:c r="K313" s="31"/>
      <x:c r="L313" s="40"/>
      <x:c r="M313" s="40"/>
      <x:c r="N313" s="31" t="n">
        <x:v>134</x:v>
      </x:c>
      <x:c r="O313" s="31" t="n">
        <x:v>1412</x:v>
      </x:c>
      <x:c r="P313" s="31" t="n">
        <x:v>4.897662889518414</x:v>
      </x:c>
      <x:c r="Q313" s="40" t="n">
        <x:v>0</x:v>
      </x:c>
      <x:c r="R313" s="40" t="n">
        <x:v>0.9263456090651558</x:v>
      </x:c>
      <x:c r="S313" s="40" t="n">
        <x:v>0.02903682719546742</x:v>
      </x:c>
      <x:c r="T313" s="31" t="n">
        <x:v>59.77710064530497</x:v>
      </x:c>
      <x:c r="U313" s="31" t="n">
        <x:v>80</x:v>
      </x:c>
      <x:c r="V313" s="31" t="n">
        <x:v>8</x:v>
      </x:c>
      <x:c r="W313" s="31" t="n">
        <x:v>1.8244013683010263</x:v>
      </x:c>
      <x:c r="X313" s="31" t="n">
        <x:v>5</x:v>
      </x:c>
      <x:c r="Y313" s="40" t="n">
        <x:v>1</x:v>
      </x:c>
      <x:c r="Z313" s="40" t="n">
        <x:v>1</x:v>
      </x:c>
      <x:c r="AA313" s="40" t="n">
        <x:v>0.9985835694050992</x:v>
      </x:c>
      <x:c r="AB313" s="31" t="n">
        <x:v>0.03344545591646142</x:v>
      </x:c>
      <x:c r="AC313" s="31" t="n">
        <x:v>4</x:v>
      </x:c>
      <x:c r="AD313" s="44" t="b">
        <x:v>1</x:v>
      </x:c>
    </x:row>
    <x:row r="314">
      <x:c r="A314" s="31" t="str">
        <x:v>36005040502</x:v>
      </x:c>
      <x:c r="B314" s="31" t="str">
        <x:v>Bronx</x:v>
      </x:c>
      <x:c r="C314" s="31" t="str">
        <x:v>040502</x:v>
      </x:c>
      <x:c r="D314" s="31" t="str">
        <x:v>BX0702</x:v>
      </x:c>
      <x:c r="E314" s="31" t="str">
        <x:v>Bedford Park</x:v>
      </x:c>
      <x:c r="F314" s="31" t="n">
        <x:v>0.055028794313160004</x:v>
      </x:c>
      <x:c r="G314" s="31" t="n">
        <x:v>40.865873749532014</x:v>
      </x:c>
      <x:c r="H314" s="31" t="n">
        <x:v>-73.88898424130905</x:v>
      </x:c>
      <x:c r="I314" s="31" t="n">
        <x:v>7320</x:v>
      </x:c>
      <x:c r="J314" s="31" t="n">
        <x:v>133021.2680718218</x:v>
      </x:c>
      <x:c r="K314" s="31"/>
      <x:c r="L314" s="40"/>
      <x:c r="M314" s="40"/>
      <x:c r="N314" s="31" t="n">
        <x:v>218</x:v>
      </x:c>
      <x:c r="O314" s="31" t="n">
        <x:v>2583</x:v>
      </x:c>
      <x:c r="P314" s="31" t="n">
        <x:v>5.18931475029036</x:v>
      </x:c>
      <x:c r="Q314" s="40" t="n">
        <x:v>0</x:v>
      </x:c>
      <x:c r="R314" s="40" t="n">
        <x:v>0.9094076655052264</x:v>
      </x:c>
      <x:c r="S314" s="40" t="n">
        <x:v>0.0023228803716608595</x:v>
      </x:c>
      <x:c r="T314" s="31" t="n">
        <x:v>59.06860734637175</x:v>
      </x:c>
      <x:c r="U314" s="31" t="n">
        <x:v>96</x:v>
      </x:c>
      <x:c r="V314" s="31" t="n">
        <x:v>26</x:v>
      </x:c>
      <x:c r="W314" s="31" t="n">
        <x:v>3.5519125683060113</x:v>
      </x:c>
      <x:c r="X314" s="31" t="n">
        <x:v>5</x:v>
      </x:c>
      <x:c r="Y314" s="40" t="n">
        <x:v>1</x:v>
      </x:c>
      <x:c r="Z314" s="40" t="n">
        <x:v>1</x:v>
      </x:c>
      <x:c r="AA314" s="40" t="n">
        <x:v>0.9976771196283392</x:v>
      </x:c>
      <x:c r="AB314" s="31" t="n">
        <x:v>0.08744332650578512</x:v>
      </x:c>
      <x:c r="AC314" s="31" t="n">
        <x:v>4</x:v>
      </x:c>
      <x:c r="AD314" s="44" t="b">
        <x:v>1</x:v>
      </x:c>
    </x:row>
    <x:row r="315">
      <x:c r="A315" s="31" t="str">
        <x:v>36005040600</x:v>
      </x:c>
      <x:c r="B315" s="31" t="str">
        <x:v>Bronx</x:v>
      </x:c>
      <x:c r="C315" s="31" t="str">
        <x:v>040600</x:v>
      </x:c>
      <x:c r="D315" s="31" t="str">
        <x:v>BX1201</x:v>
      </x:c>
      <x:c r="E315" s="31" t="str">
        <x:v>Williamsbridge-Olinville</x:v>
      </x:c>
      <x:c r="F315" s="31" t="n">
        <x:v>0.08622942159628959</x:v>
      </x:c>
      <x:c r="G315" s="31" t="n">
        <x:v>40.88795096671501</x:v>
      </x:c>
      <x:c r="H315" s="31" t="n">
        <x:v>-73.85700530401638</x:v>
      </x:c>
      <x:c r="I315" s="31" t="n">
        <x:v>3792</x:v>
      </x:c>
      <x:c r="J315" s="31" t="n">
        <x:v>43975.709564114346</x:v>
      </x:c>
      <x:c r="K315" s="31"/>
      <x:c r="L315" s="40"/>
      <x:c r="M315" s="40"/>
      <x:c r="N315" s="31" t="n">
        <x:v>423</x:v>
      </x:c>
      <x:c r="O315" s="31" t="n">
        <x:v>1362</x:v>
      </x:c>
      <x:c r="P315" s="31" t="n">
        <x:v>2.6862132352941175</x:v>
      </x:c>
      <x:c r="Q315" s="40" t="n">
        <x:v>0</x:v>
      </x:c>
      <x:c r="R315" s="40" t="n">
        <x:v>0.4897209985315712</x:v>
      </x:c>
      <x:c r="S315" s="40" t="n">
        <x:v>0.020558002936857563</x:v>
      </x:c>
      <x:c r="T315" s="31" t="n">
        <x:v>33.661444270059654</x:v>
      </x:c>
      <x:c r="U315" s="31" t="n">
        <x:v>53.97</x:v>
      </x:c>
      <x:c r="V315" s="31" t="n">
        <x:v>0</x:v>
      </x:c>
      <x:c r="W315" s="31" t="n">
        <x:v>0</x:v>
      </x:c>
      <x:c r="X315" s="31" t="n">
        <x:v>5</x:v>
      </x:c>
      <x:c r="Y315" s="40" t="n">
        <x:v>1</x:v>
      </x:c>
      <x:c r="Z315" s="40" t="n">
        <x:v>1</x:v>
      </x:c>
      <x:c r="AA315" s="40" t="n">
        <x:v>0.9845814977973568</x:v>
      </x:c>
      <x:c r="AB315" s="31" t="n">
        <x:v>0.13039062203612894</x:v>
      </x:c>
      <x:c r="AC315" s="31" t="n">
        <x:v>8</x:v>
      </x:c>
      <x:c r="AD315" s="44" t="b">
        <x:v>1</x:v>
      </x:c>
    </x:row>
    <x:row r="316">
      <x:c r="A316" s="31" t="str">
        <x:v>36005040701</x:v>
      </x:c>
      <x:c r="B316" s="31" t="str">
        <x:v>Bronx</x:v>
      </x:c>
      <x:c r="C316" s="31" t="str">
        <x:v>040701</x:v>
      </x:c>
      <x:c r="D316" s="31" t="str">
        <x:v>BX0702</x:v>
      </x:c>
      <x:c r="E316" s="31" t="str">
        <x:v>Bedford Park</x:v>
      </x:c>
      <x:c r="F316" s="31" t="n">
        <x:v>0.022618442910999195</x:v>
      </x:c>
      <x:c r="G316" s="31" t="n">
        <x:v>40.87158043033574</x:v>
      </x:c>
      <x:c r="H316" s="31" t="n">
        <x:v>-73.89025817903189</x:v>
      </x:c>
      <x:c r="I316" s="31" t="n">
        <x:v>3235</x:v>
      </x:c>
      <x:c r="J316" s="31" t="n">
        <x:v>143024.8763245697</x:v>
      </x:c>
      <x:c r="K316" s="31"/>
      <x:c r="L316" s="40"/>
      <x:c r="M316" s="40"/>
      <x:c r="N316" s="31" t="n">
        <x:v>36</x:v>
      </x:c>
      <x:c r="O316" s="31" t="n">
        <x:v>1572</x:v>
      </x:c>
      <x:c r="P316" s="31" t="n">
        <x:v>7.291984732824427</x:v>
      </x:c>
      <x:c r="Q316" s="40" t="n">
        <x:v>0.21183206106870228</x:v>
      </x:c>
      <x:c r="R316" s="40" t="n">
        <x:v>0.7849872773536896</x:v>
      </x:c>
      <x:c r="S316" s="40" t="n">
        <x:v>0</x:v>
      </x:c>
      <x:c r="T316" s="31" t="n">
        <x:v>79.4994976238968</x:v>
      </x:c>
      <x:c r="U316" s="31" t="n">
        <x:v>190</x:v>
      </x:c>
      <x:c r="V316" s="31" t="n">
        <x:v>19</x:v>
      </x:c>
      <x:c r="W316" s="31" t="n">
        <x:v>5.873261205564142</x:v>
      </x:c>
      <x:c r="X316" s="31" t="n">
        <x:v>4</x:v>
      </x:c>
      <x:c r="Y316" s="40" t="n">
        <x:v>1</x:v>
      </x:c>
      <x:c r="Z316" s="40" t="n">
        <x:v>1</x:v>
      </x:c>
      <x:c r="AA316" s="40" t="n">
        <x:v>0.9370229007633588</x:v>
      </x:c>
      <x:c r="AB316" s="31" t="n">
        <x:v>0.21226762286723933</x:v>
      </x:c>
      <x:c r="AC316" s="31" t="n">
        <x:v>6</x:v>
      </x:c>
      <x:c r="AD316" s="44" t="b">
        <x:v>1</x:v>
      </x:c>
    </x:row>
    <x:row r="317">
      <x:c r="A317" s="31" t="str">
        <x:v>36005040702</x:v>
      </x:c>
      <x:c r="B317" s="31" t="str">
        <x:v>Bronx</x:v>
      </x:c>
      <x:c r="C317" s="31" t="str">
        <x:v>040702</x:v>
      </x:c>
      <x:c r="D317" s="31" t="str">
        <x:v>BX0702</x:v>
      </x:c>
      <x:c r="E317" s="31" t="str">
        <x:v>Bedford Park</x:v>
      </x:c>
      <x:c r="F317" s="31" t="n">
        <x:v>0.0701962475974231</x:v>
      </x:c>
      <x:c r="G317" s="31" t="n">
        <x:v>40.86914111364134</x:v>
      </x:c>
      <x:c r="H317" s="31" t="n">
        <x:v>-73.88699828501422</x:v>
      </x:c>
      <x:c r="I317" s="31" t="n">
        <x:v>6968</x:v>
      </x:c>
      <x:c r="J317" s="31" t="n">
        <x:v>99264.565250861</x:v>
      </x:c>
      <x:c r="K317" s="31"/>
      <x:c r="L317" s="40"/>
      <x:c r="M317" s="40"/>
      <x:c r="N317" s="31" t="n">
        <x:v>170</x:v>
      </x:c>
      <x:c r="O317" s="31" t="n">
        <x:v>2947</x:v>
      </x:c>
      <x:c r="P317" s="31" t="n">
        <x:v>5.695028842891076</x:v>
      </x:c>
      <x:c r="Q317" s="40" t="n">
        <x:v>0.09331523583305056</x:v>
      </x:c>
      <x:c r="R317" s="40" t="n">
        <x:v>0.8547675602307431</x:v>
      </x:c>
      <x:c r="S317" s="40" t="n">
        <x:v>0.07227689175432643</x:v>
      </x:c>
      <x:c r="T317" s="31" t="n">
        <x:v>68.57838467460128</x:v>
      </x:c>
      <x:c r="U317" s="31" t="n">
        <x:v>127</x:v>
      </x:c>
      <x:c r="V317" s="31" t="n">
        <x:v>38</x:v>
      </x:c>
      <x:c r="W317" s="31" t="n">
        <x:v>5.453501722158438</x:v>
      </x:c>
      <x:c r="X317" s="31" t="n">
        <x:v>5</x:v>
      </x:c>
      <x:c r="Y317" s="40" t="n">
        <x:v>1</x:v>
      </x:c>
      <x:c r="Z317" s="40" t="n">
        <x:v>1</x:v>
      </x:c>
      <x:c r="AA317" s="40" t="n">
        <x:v>1</x:v>
      </x:c>
      <x:c r="AB317" s="31" t="n">
        <x:v>0.2143709839438905</x:v>
      </x:c>
      <x:c r="AC317" s="31" t="n">
        <x:v>10</x:v>
      </x:c>
      <x:c r="AD317" s="44" t="b">
        <x:v>1</x:v>
      </x:c>
    </x:row>
    <x:row r="318">
      <x:c r="A318" s="31" t="str">
        <x:v>36005040800</x:v>
      </x:c>
      <x:c r="B318" s="31" t="str">
        <x:v>Bronx</x:v>
      </x:c>
      <x:c r="C318" s="31" t="str">
        <x:v>040800</x:v>
      </x:c>
      <x:c r="D318" s="31" t="str">
        <x:v>BX1201</x:v>
      </x:c>
      <x:c r="E318" s="31" t="str">
        <x:v>Williamsbridge-Olinville</x:v>
      </x:c>
      <x:c r="F318" s="31" t="n">
        <x:v>0.04747782352968606</x:v>
      </x:c>
      <x:c r="G318" s="31" t="n">
        <x:v>40.88974179385527</x:v>
      </x:c>
      <x:c r="H318" s="31" t="n">
        <x:v>-73.86168991389015</x:v>
      </x:c>
      <x:c r="I318" s="31" t="n">
        <x:v>4475</x:v>
      </x:c>
      <x:c r="J318" s="31" t="n">
        <x:v>94254.53121712612</x:v>
      </x:c>
      <x:c r="K318" s="31"/>
      <x:c r="L318" s="40"/>
      <x:c r="M318" s="40"/>
      <x:c r="N318" s="31" t="n">
        <x:v>221</x:v>
      </x:c>
      <x:c r="O318" s="31" t="n">
        <x:v>1585</x:v>
      </x:c>
      <x:c r="P318" s="31" t="n">
        <x:v>4.675094816687737</x:v>
      </x:c>
      <x:c r="Q318" s="40" t="n">
        <x:v>0</x:v>
      </x:c>
      <x:c r="R318" s="40" t="n">
        <x:v>0.7785488958990536</x:v>
      </x:c>
      <x:c r="S318" s="40" t="n">
        <x:v>0.008201892744479496</x:v>
      </x:c>
      <x:c r="T318" s="31" t="n">
        <x:v>52.916630846556956</x:v>
      </x:c>
      <x:c r="U318" s="31" t="n">
        <x:v>70.39</x:v>
      </x:c>
      <x:c r="V318" s="31" t="n">
        <x:v>13</x:v>
      </x:c>
      <x:c r="W318" s="31" t="n">
        <x:v>2.905027932960894</x:v>
      </x:c>
      <x:c r="X318" s="31" t="n">
        <x:v>5</x:v>
      </x:c>
      <x:c r="Y318" s="40" t="n">
        <x:v>1</x:v>
      </x:c>
      <x:c r="Z318" s="40" t="n">
        <x:v>1</x:v>
      </x:c>
      <x:c r="AA318" s="40" t="n">
        <x:v>0.9968454258675079</x:v>
      </x:c>
      <x:c r="AB318" s="31" t="n">
        <x:v>0.14738167065156565</x:v>
      </x:c>
      <x:c r="AC318" s="31" t="n">
        <x:v>5</x:v>
      </x:c>
      <x:c r="AD318" s="44" t="b">
        <x:v>1</x:v>
      </x:c>
    </x:row>
    <x:row r="319">
      <x:c r="A319" s="31" t="str">
        <x:v>36005040900</x:v>
      </x:c>
      <x:c r="B319" s="31" t="str">
        <x:v>Bronx</x:v>
      </x:c>
      <x:c r="C319" s="31" t="str">
        <x:v>040900</x:v>
      </x:c>
      <x:c r="D319" s="31" t="str">
        <x:v>BX0702</x:v>
      </x:c>
      <x:c r="E319" s="31" t="str">
        <x:v>Bedford Park</x:v>
      </x:c>
      <x:c r="F319" s="31" t="n">
        <x:v>0.4504101693784435</x:v>
      </x:c>
      <x:c r="G319" s="31" t="n">
        <x:v>40.87679313884091</x:v>
      </x:c>
      <x:c r="H319" s="31" t="n">
        <x:v>-73.89314683536045</x:v>
      </x:c>
      <x:c r="I319" s="31" t="n">
        <x:v>3580</x:v>
      </x:c>
      <x:c r="J319" s="31" t="n">
        <x:v>7948.310769582144</x:v>
      </x:c>
      <x:c r="K319" s="31"/>
      <x:c r="L319" s="40"/>
      <x:c r="M319" s="40"/>
      <x:c r="N319" s="31" t="n">
        <x:v>15</x:v>
      </x:c>
      <x:c r="O319" s="31" t="n">
        <x:v>1465</x:v>
      </x:c>
      <x:c r="P319" s="31" t="n">
        <x:v>31.71211604095563</x:v>
      </x:c>
      <x:c r="Q319" s="40" t="n">
        <x:v>0.9180887372013652</x:v>
      </x:c>
      <x:c r="R319" s="40" t="n">
        <x:v>0.07303754266211604</x:v>
      </x:c>
      <x:c r="S319" s="40" t="n">
        <x:v>0</x:v>
      </x:c>
      <x:c r="T319" s="31" t="n">
        <x:v>319.6250881157377</x:v>
      </x:c>
      <x:c r="U319" s="31" t="n">
        <x:v>437</x:v>
      </x:c>
      <x:c r="V319" s="31" t="n">
        <x:v>19</x:v>
      </x:c>
      <x:c r="W319" s="31" t="n">
        <x:v>5.307262569832401</x:v>
      </x:c>
      <x:c r="X319" s="31" t="n">
        <x:v>3.5044368600682594</x:v>
      </x:c>
      <x:c r="Y319" s="40" t="n">
        <x:v>0.8348122866894198</x:v>
      </x:c>
      <x:c r="Z319" s="40" t="n">
        <x:v>1</x:v>
      </x:c>
      <x:c r="AA319" s="40" t="n">
        <x:v>0.9993174061433447</x:v>
      </x:c>
      <x:c r="AB319" s="31" t="n">
        <x:v>0.16184336667867197</x:v>
      </x:c>
      <x:c r="AC319" s="31" t="n">
        <x:v>12</x:v>
      </x:c>
      <x:c r="AD319" s="44" t="b">
        <x:v>1</x:v>
      </x:c>
    </x:row>
    <x:row r="320">
      <x:c r="A320" s="31" t="str">
        <x:v>36005041100</x:v>
      </x:c>
      <x:c r="B320" s="31" t="str">
        <x:v>Bronx</x:v>
      </x:c>
      <x:c r="C320" s="31" t="str">
        <x:v>041100</x:v>
      </x:c>
      <x:c r="D320" s="31" t="str">
        <x:v>BX0702</x:v>
      </x:c>
      <x:c r="E320" s="31" t="str">
        <x:v>Bedford Park</x:v>
      </x:c>
      <x:c r="F320" s="31" t="n">
        <x:v>0.046979782638171486</x:v>
      </x:c>
      <x:c r="G320" s="31" t="n">
        <x:v>40.87557807126167</x:v>
      </x:c>
      <x:c r="H320" s="31" t="n">
        <x:v>-73.88713947398742</x:v>
      </x:c>
      <x:c r="I320" s="31" t="n">
        <x:v>3215</x:v>
      </x:c>
      <x:c r="J320" s="31" t="n">
        <x:v>68433.69252602255</x:v>
      </x:c>
      <x:c r="K320" s="31"/>
      <x:c r="L320" s="40"/>
      <x:c r="M320" s="40"/>
      <x:c r="N320" s="31" t="n">
        <x:v>68</x:v>
      </x:c>
      <x:c r="O320" s="31" t="n">
        <x:v>2069</x:v>
      </x:c>
      <x:c r="P320" s="31" t="n">
        <x:v>8.032683769116922</x:v>
      </x:c>
      <x:c r="Q320" s="40" t="n">
        <x:v>0.42629289511841467</x:v>
      </x:c>
      <x:c r="R320" s="40" t="n">
        <x:v>0.5500241662638956</x:v>
      </x:c>
      <x:c r="S320" s="40" t="n">
        <x:v>0.005799903334944417</x:v>
      </x:c>
      <x:c r="T320" s="31" t="n">
        <x:v>85.51720057476636</x:v>
      </x:c>
      <x:c r="U320" s="31" t="n">
        <x:v>237</x:v>
      </x:c>
      <x:c r="V320" s="31" t="n">
        <x:v>37</x:v>
      </x:c>
      <x:c r="W320" s="31" t="n">
        <x:v>11.508553654743391</x:v>
      </x:c>
      <x:c r="X320" s="31" t="n">
        <x:v>4</x:v>
      </x:c>
      <x:c r="Y320" s="40" t="n">
        <x:v>1</x:v>
      </x:c>
      <x:c r="Z320" s="40" t="n">
        <x:v>1</x:v>
      </x:c>
      <x:c r="AA320" s="40" t="n">
        <x:v>0.930884485258579</x:v>
      </x:c>
      <x:c r="AB320" s="31" t="n">
        <x:v>0.24638418802305204</x:v>
      </x:c>
      <x:c r="AC320" s="31" t="n">
        <x:v>6</x:v>
      </x:c>
      <x:c r="AD320" s="44" t="b">
        <x:v>1</x:v>
      </x:c>
    </x:row>
    <x:row r="321">
      <x:c r="A321" s="31" t="str">
        <x:v>36005041300</x:v>
      </x:c>
      <x:c r="B321" s="31" t="str">
        <x:v>Bronx</x:v>
      </x:c>
      <x:c r="C321" s="31" t="str">
        <x:v>041300</x:v>
      </x:c>
      <x:c r="D321" s="31" t="str">
        <x:v>BX0702</x:v>
      </x:c>
      <x:c r="E321" s="31" t="str">
        <x:v>Bedford Park</x:v>
      </x:c>
      <x:c r="F321" s="31" t="n">
        <x:v>0.06691555793696911</x:v>
      </x:c>
      <x:c r="G321" s="31" t="n">
        <x:v>40.87409901928833</x:v>
      </x:c>
      <x:c r="H321" s="31" t="n">
        <x:v>-73.88519741795314</x:v>
      </x:c>
      <x:c r="I321" s="31" t="n">
        <x:v>7781</x:v>
      </x:c>
      <x:c r="J321" s="31" t="n">
        <x:v>116280.88055888718</x:v>
      </x:c>
      <x:c r="K321" s="31"/>
      <x:c r="L321" s="40"/>
      <x:c r="M321" s="40"/>
      <x:c r="N321" s="31" t="n">
        <x:v>161</x:v>
      </x:c>
      <x:c r="O321" s="31" t="n">
        <x:v>4202</x:v>
      </x:c>
      <x:c r="P321" s="31" t="n">
        <x:v>6.809457495761686</x:v>
      </x:c>
      <x:c r="Q321" s="40" t="n">
        <x:v>0.15849595430747263</x:v>
      </x:c>
      <x:c r="R321" s="40" t="n">
        <x:v>0.804616849119467</x:v>
      </x:c>
      <x:c r="S321" s="40" t="n">
        <x:v>0.00023798191337458352</x:v>
      </x:c>
      <x:c r="T321" s="31" t="n">
        <x:v>73.62689456696128</x:v>
      </x:c>
      <x:c r="U321" s="31" t="n">
        <x:v>135</x:v>
      </x:c>
      <x:c r="V321" s="31" t="n">
        <x:v>62</x:v>
      </x:c>
      <x:c r="W321" s="31" t="n">
        <x:v>7.968127490039841</x:v>
      </x:c>
      <x:c r="X321" s="31" t="n">
        <x:v>5</x:v>
      </x:c>
      <x:c r="Y321" s="40" t="n">
        <x:v>1</x:v>
      </x:c>
      <x:c r="Z321" s="40" t="n">
        <x:v>1</x:v>
      </x:c>
      <x:c r="AA321" s="40" t="n">
        <x:v>0.9773917182294146</x:v>
      </x:c>
      <x:c r="AB321" s="31" t="n">
        <x:v>0.15361616349529375</x:v>
      </x:c>
      <x:c r="AC321" s="31" t="n">
        <x:v>5</x:v>
      </x:c>
      <x:c r="AD321" s="44" t="b">
        <x:v>1</x:v>
      </x:c>
    </x:row>
    <x:row r="322">
      <x:c r="A322" s="31" t="str">
        <x:v>36005041400</x:v>
      </x:c>
      <x:c r="B322" s="31" t="str">
        <x:v>Bronx</x:v>
      </x:c>
      <x:c r="C322" s="31" t="str">
        <x:v>041400</x:v>
      </x:c>
      <x:c r="D322" s="31" t="str">
        <x:v>BX1203</x:v>
      </x:c>
      <x:c r="E322" s="31" t="str">
        <x:v>Wakefield-Woodlawn</x:v>
      </x:c>
      <x:c r="F322" s="31" t="n">
        <x:v>0.21330027000724575</x:v>
      </x:c>
      <x:c r="G322" s="31" t="n">
        <x:v>40.903725611325484</x:v>
      </x:c>
      <x:c r="H322" s="31" t="n">
        <x:v>-73.85411680792753</x:v>
      </x:c>
      <x:c r="I322" s="31" t="n">
        <x:v>5342</x:v>
      </x:c>
      <x:c r="J322" s="31" t="n">
        <x:v>25044.506506337446</x:v>
      </x:c>
      <x:c r="K322" s="31"/>
      <x:c r="L322" s="40"/>
      <x:c r="M322" s="40"/>
      <x:c r="N322" s="31" t="n">
        <x:v>655</x:v>
      </x:c>
      <x:c r="O322" s="31" t="n">
        <x:v>2136</x:v>
      </x:c>
      <x:c r="P322" s="31" t="n">
        <x:v>3.4064916584887146</x:v>
      </x:c>
      <x:c r="Q322" s="40" t="n">
        <x:v>0</x:v>
      </x:c>
      <x:c r="R322" s="40" t="n">
        <x:v>0.5121722846441947</x:v>
      </x:c>
      <x:c r="S322" s="40" t="n">
        <x:v>0.009831460674157303</x:v>
      </x:c>
      <x:c r="T322" s="31" t="n">
        <x:v>43.824737743961464</x:v>
      </x:c>
      <x:c r="U322" s="31" t="n">
        <x:v>89</x:v>
      </x:c>
      <x:c r="V322" s="31" t="n">
        <x:v>12</x:v>
      </x:c>
      <x:c r="W322" s="31" t="n">
        <x:v>2.2463496817671285</x:v>
      </x:c>
      <x:c r="X322" s="31" t="n">
        <x:v>3</x:v>
      </x:c>
      <x:c r="Y322" s="40" t="n">
        <x:v>0</x:v>
      </x:c>
      <x:c r="Z322" s="40" t="n">
        <x:v>1</x:v>
      </x:c>
      <x:c r="AA322" s="40" t="n">
        <x:v>0.9962546816479401</x:v>
      </x:c>
      <x:c r="AB322" s="31" t="n">
        <x:v>0.098935113731619</x:v>
      </x:c>
      <x:c r="AC322" s="31" t="n">
        <x:v>2</x:v>
      </x:c>
      <x:c r="AD322" s="44" t="b">
        <x:v>1</x:v>
      </x:c>
    </x:row>
    <x:row r="323">
      <x:c r="A323" s="31" t="str">
        <x:v>36005041500</x:v>
      </x:c>
      <x:c r="B323" s="31" t="str">
        <x:v>Bronx</x:v>
      </x:c>
      <x:c r="C323" s="31" t="str">
        <x:v>041500</x:v>
      </x:c>
      <x:c r="D323" s="31" t="str">
        <x:v>BX0702</x:v>
      </x:c>
      <x:c r="E323" s="31" t="str">
        <x:v>Bedford Park</x:v>
      </x:c>
      <x:c r="F323" s="31" t="n">
        <x:v>0.05277842168739957</x:v>
      </x:c>
      <x:c r="G323" s="31" t="n">
        <x:v>40.87011197861959</x:v>
      </x:c>
      <x:c r="H323" s="31" t="n">
        <x:v>-73.88354479035036</x:v>
      </x:c>
      <x:c r="I323" s="31" t="n">
        <x:v>5872</x:v>
      </x:c>
      <x:c r="J323" s="31" t="n">
        <x:v>111257.58998211751</x:v>
      </x:c>
      <x:c r="K323" s="31"/>
      <x:c r="L323" s="40"/>
      <x:c r="M323" s="40"/>
      <x:c r="N323" s="31" t="n">
        <x:v>144</x:v>
      </x:c>
      <x:c r="O323" s="31" t="n">
        <x:v>2526</x:v>
      </x:c>
      <x:c r="P323" s="31" t="n">
        <x:v>5.726543942992874</x:v>
      </x:c>
      <x:c r="Q323" s="40" t="n">
        <x:v>0.02058590657165479</x:v>
      </x:c>
      <x:c r="R323" s="40" t="n">
        <x:v>0.9382422802850356</x:v>
      </x:c>
      <x:c r="S323" s="40" t="n">
        <x:v>0.000395882818685669</x:v>
      </x:c>
      <x:c r="T323" s="31" t="n">
        <x:v>62.23245716944533</x:v>
      </x:c>
      <x:c r="U323" s="31" t="n">
        <x:v>108</x:v>
      </x:c>
      <x:c r="V323" s="31" t="n">
        <x:v>40</x:v>
      </x:c>
      <x:c r="W323" s="31" t="n">
        <x:v>6.8119891008174385</x:v>
      </x:c>
      <x:c r="X323" s="31" t="n">
        <x:v>5</x:v>
      </x:c>
      <x:c r="Y323" s="40" t="n">
        <x:v>1</x:v>
      </x:c>
      <x:c r="Z323" s="40" t="n">
        <x:v>1</x:v>
      </x:c>
      <x:c r="AA323" s="40" t="n">
        <x:v>0.9920823436262867</x:v>
      </x:c>
      <x:c r="AB323" s="31" t="n">
        <x:v>0.15573664457638928</x:v>
      </x:c>
      <x:c r="AC323" s="31" t="n">
        <x:v>5</x:v>
      </x:c>
      <x:c r="AD323" s="44" t="b">
        <x:v>1</x:v>
      </x:c>
    </x:row>
    <x:row r="324">
      <x:c r="A324" s="31" t="str">
        <x:v>36005041800</x:v>
      </x:c>
      <x:c r="B324" s="31" t="str">
        <x:v>Bronx</x:v>
      </x:c>
      <x:c r="C324" s="31" t="str">
        <x:v>041800</x:v>
      </x:c>
      <x:c r="D324" s="31" t="str">
        <x:v>BX1203</x:v>
      </x:c>
      <x:c r="E324" s="31" t="str">
        <x:v>Wakefield-Woodlawn</x:v>
      </x:c>
      <x:c r="F324" s="31" t="n">
        <x:v>0.1051189827045311</x:v>
      </x:c>
      <x:c r="G324" s="31" t="n">
        <x:v>40.897124996833625</x:v>
      </x:c>
      <x:c r="H324" s="31" t="n">
        <x:v>-73.85848898416927</x:v>
      </x:c>
      <x:c r="I324" s="31" t="n">
        <x:v>3752</x:v>
      </x:c>
      <x:c r="J324" s="31" t="n">
        <x:v>35692.887273710956</x:v>
      </x:c>
      <x:c r="K324" s="31"/>
      <x:c r="L324" s="40"/>
      <x:c r="M324" s="40"/>
      <x:c r="N324" s="31" t="n">
        <x:v>300</x:v>
      </x:c>
      <x:c r="O324" s="31" t="n">
        <x:v>1371</x:v>
      </x:c>
      <x:c r="P324" s="31" t="n">
        <x:v>3.8705324580598104</x:v>
      </x:c>
      <x:c r="Q324" s="40" t="n">
        <x:v>0</x:v>
      </x:c>
      <x:c r="R324" s="40" t="n">
        <x:v>0.6280087527352297</x:v>
      </x:c>
      <x:c r="S324" s="40" t="n">
        <x:v>0.0036469730123997084</x:v>
      </x:c>
      <x:c r="T324" s="31" t="n">
        <x:v>44.90073152054784</x:v>
      </x:c>
      <x:c r="U324" s="31" t="n">
        <x:v>85.25981169</x:v>
      </x:c>
      <x:c r="V324" s="31" t="n">
        <x:v>9</x:v>
      </x:c>
      <x:c r="W324" s="31" t="n">
        <x:v>2.398720682302772</x:v>
      </x:c>
      <x:c r="X324" s="31" t="n">
        <x:v>4.784099197665937</x:v>
      </x:c>
      <x:c r="Y324" s="40" t="n">
        <x:v>0.8920495988329686</x:v>
      </x:c>
      <x:c r="Z324" s="40" t="n">
        <x:v>1</x:v>
      </x:c>
      <x:c r="AA324" s="40" t="n">
        <x:v>0.9985412107950401</x:v>
      </x:c>
      <x:c r="AB324" s="31" t="n">
        <x:v>0.3791068247462617</x:v>
      </x:c>
      <x:c r="AC324" s="31" t="n">
        <x:v>1</x:v>
      </x:c>
      <x:c r="AD324" s="44" t="b">
        <x:v>1</x:v>
      </x:c>
    </x:row>
    <x:row r="325">
      <x:c r="A325" s="31" t="str">
        <x:v>36005041900</x:v>
      </x:c>
      <x:c r="B325" s="31" t="str">
        <x:v>Bronx</x:v>
      </x:c>
      <x:c r="C325" s="31" t="str">
        <x:v>041900</x:v>
      </x:c>
      <x:c r="D325" s="31" t="str">
        <x:v>BX0703</x:v>
      </x:c>
      <x:c r="E325" s="31" t="str">
        <x:v>Norwood</x:v>
      </x:c>
      <x:c r="F325" s="31" t="n">
        <x:v>0.12574145087774047</x:v>
      </x:c>
      <x:c r="G325" s="31" t="n">
        <x:v>40.87686143326415</x:v>
      </x:c>
      <x:c r="H325" s="31" t="n">
        <x:v>-73.88168176550678</x:v>
      </x:c>
      <x:c r="I325" s="31" t="n">
        <x:v>7205</x:v>
      </x:c>
      <x:c r="J325" s="31" t="n">
        <x:v>57300.11821643036</x:v>
      </x:c>
      <x:c r="K325" s="31"/>
      <x:c r="L325" s="40"/>
      <x:c r="M325" s="40"/>
      <x:c r="N325" s="31" t="n">
        <x:v>129</x:v>
      </x:c>
      <x:c r="O325" s="31" t="n">
        <x:v>2662</x:v>
      </x:c>
      <x:c r="P325" s="31" t="n">
        <x:v>5.227648384673178</x:v>
      </x:c>
      <x:c r="Q325" s="40" t="n">
        <x:v>0</x:v>
      </x:c>
      <x:c r="R325" s="40" t="n">
        <x:v>0.9470323065364388</x:v>
      </x:c>
      <x:c r="S325" s="40" t="n">
        <x:v>0.004507888805409466</x:v>
      </x:c>
      <x:c r="T325" s="31" t="n">
        <x:v>59.71024625400451</x:v>
      </x:c>
      <x:c r="U325" s="31" t="n">
        <x:v>78</x:v>
      </x:c>
      <x:c r="V325" s="31" t="n">
        <x:v>34</x:v>
      </x:c>
      <x:c r="W325" s="31" t="n">
        <x:v>4.718945176960444</x:v>
      </x:c>
      <x:c r="X325" s="31" t="n">
        <x:v>4</x:v>
      </x:c>
      <x:c r="Y325" s="40" t="n">
        <x:v>1</x:v>
      </x:c>
      <x:c r="Z325" s="40" t="n">
        <x:v>1</x:v>
      </x:c>
      <x:c r="AA325" s="40" t="n">
        <x:v>1</x:v>
      </x:c>
      <x:c r="AB325" s="31" t="n">
        <x:v>0.018773504838264798</x:v>
      </x:c>
      <x:c r="AC325" s="31" t="n">
        <x:v>6</x:v>
      </x:c>
      <x:c r="AD325" s="44" t="b">
        <x:v>1</x:v>
      </x:c>
    </x:row>
    <x:row r="326">
      <x:c r="A326" s="31" t="str">
        <x:v>36005042000</x:v>
      </x:c>
      <x:c r="B326" s="31" t="str">
        <x:v>Bronx</x:v>
      </x:c>
      <x:c r="C326" s="31" t="str">
        <x:v>042000</x:v>
      </x:c>
      <x:c r="D326" s="31" t="str">
        <x:v>BX1203</x:v>
      </x:c>
      <x:c r="E326" s="31" t="str">
        <x:v>Wakefield-Woodlawn</x:v>
      </x:c>
      <x:c r="F326" s="31" t="n">
        <x:v>0.0579347674662104</x:v>
      </x:c>
      <x:c r="G326" s="31" t="n">
        <x:v>40.89302054399448</x:v>
      </x:c>
      <x:c r="H326" s="31" t="n">
        <x:v>-73.85985232866864</x:v>
      </x:c>
      <x:c r="I326" s="31" t="n">
        <x:v>3905</x:v>
      </x:c>
      <x:c r="J326" s="31" t="n">
        <x:v>67403.39472800221</x:v>
      </x:c>
      <x:c r="K326" s="31"/>
      <x:c r="L326" s="40"/>
      <x:c r="M326" s="40"/>
      <x:c r="N326" s="31" t="n">
        <x:v>165</x:v>
      </x:c>
      <x:c r="O326" s="31" t="n">
        <x:v>1631</x:v>
      </x:c>
      <x:c r="P326" s="31" t="n">
        <x:v>4.765634580012263</x:v>
      </x:c>
      <x:c r="Q326" s="40" t="n">
        <x:v>0</x:v>
      </x:c>
      <x:c r="R326" s="40" t="n">
        <x:v>0.858982219497241</x:v>
      </x:c>
      <x:c r="S326" s="40" t="n">
        <x:v>0.05334150827713059</x:v>
      </x:c>
      <x:c r="T326" s="31" t="n">
        <x:v>53.68709671083384</x:v>
      </x:c>
      <x:c r="U326" s="31" t="n">
        <x:v>91</x:v>
      </x:c>
      <x:c r="V326" s="31" t="n">
        <x:v>15</x:v>
      </x:c>
      <x:c r="W326" s="31" t="n">
        <x:v>3.8412291933418694</x:v>
      </x:c>
      <x:c r="X326" s="31" t="n">
        <x:v>5</x:v>
      </x:c>
      <x:c r="Y326" s="40" t="n">
        <x:v>1</x:v>
      </x:c>
      <x:c r="Z326" s="40" t="n">
        <x:v>1</x:v>
      </x:c>
      <x:c r="AA326" s="40" t="n">
        <x:v>1</x:v>
      </x:c>
      <x:c r="AB326" s="31" t="n">
        <x:v>0.11812100932366705</x:v>
      </x:c>
      <x:c r="AC326" s="31" t="n">
        <x:v>5</x:v>
      </x:c>
      <x:c r="AD326" s="44" t="b">
        <x:v>1</x:v>
      </x:c>
    </x:row>
    <x:row r="327">
      <x:c r="A327" s="31" t="str">
        <x:v>36005042100</x:v>
      </x:c>
      <x:c r="B327" s="31" t="str">
        <x:v>Bronx</x:v>
      </x:c>
      <x:c r="C327" s="31" t="str">
        <x:v>042100</x:v>
      </x:c>
      <x:c r="D327" s="31" t="str">
        <x:v>BX0703</x:v>
      </x:c>
      <x:c r="E327" s="31" t="str">
        <x:v>Norwood</x:v>
      </x:c>
      <x:c r="F327" s="31" t="n">
        <x:v>0.09589295046344123</x:v>
      </x:c>
      <x:c r="G327" s="31" t="n">
        <x:v>40.8814701859471</x:v>
      </x:c>
      <x:c r="H327" s="31" t="n">
        <x:v>-73.88277406540283</x:v>
      </x:c>
      <x:c r="I327" s="31" t="n">
        <x:v>6135</x:v>
      </x:c>
      <x:c r="J327" s="31" t="n">
        <x:v>63977.59136985718</x:v>
      </x:c>
      <x:c r="K327" s="31"/>
      <x:c r="L327" s="40"/>
      <x:c r="M327" s="40"/>
      <x:c r="N327" s="31" t="n">
        <x:v>53</x:v>
      </x:c>
      <x:c r="O327" s="31" t="n">
        <x:v>2476</x:v>
      </x:c>
      <x:c r="P327" s="31" t="n">
        <x:v>9.60521001615509</x:v>
      </x:c>
      <x:c r="Q327" s="40" t="n">
        <x:v>0.2241518578352181</x:v>
      </x:c>
      <x:c r="R327" s="40" t="n">
        <x:v>0.7657512116316639</x:v>
      </x:c>
      <x:c r="S327" s="40" t="n">
        <x:v>0</x:v>
      </x:c>
      <x:c r="T327" s="31" t="n">
        <x:v>100.43628750178515</x:v>
      </x:c>
      <x:c r="U327" s="31" t="n">
        <x:v>263.05</x:v>
      </x:c>
      <x:c r="V327" s="31" t="n">
        <x:v>38</x:v>
      </x:c>
      <x:c r="W327" s="31" t="n">
        <x:v>6.1939690301548485</x:v>
      </x:c>
      <x:c r="X327" s="31" t="n">
        <x:v>4</x:v>
      </x:c>
      <x:c r="Y327" s="40" t="n">
        <x:v>1</x:v>
      </x:c>
      <x:c r="Z327" s="40" t="n">
        <x:v>1</x:v>
      </x:c>
      <x:c r="AA327" s="40" t="n">
        <x:v>1</x:v>
      </x:c>
      <x:c r="AB327" s="31" t="n">
        <x:v>0.09253333063816395</x:v>
      </x:c>
      <x:c r="AC327" s="31" t="n">
        <x:v>8</x:v>
      </x:c>
      <x:c r="AD327" s="44" t="b">
        <x:v>1</x:v>
      </x:c>
    </x:row>
    <x:row r="328">
      <x:c r="A328" s="31" t="str">
        <x:v>36005042200</x:v>
      </x:c>
      <x:c r="B328" s="31" t="str">
        <x:v>Bronx</x:v>
      </x:c>
      <x:c r="C328" s="31" t="str">
        <x:v>042200</x:v>
      </x:c>
      <x:c r="D328" s="31" t="str">
        <x:v>BX1203</x:v>
      </x:c>
      <x:c r="E328" s="31" t="str">
        <x:v>Wakefield-Woodlawn</x:v>
      </x:c>
      <x:c r="F328" s="31" t="n">
        <x:v>0.06759479215234734</x:v>
      </x:c>
      <x:c r="G328" s="31" t="n">
        <x:v>40.89109936718915</x:v>
      </x:c>
      <x:c r="H328" s="31" t="n">
        <x:v>-73.85527280078497</x:v>
      </x:c>
      <x:c r="I328" s="31" t="n">
        <x:v>3211</x:v>
      </x:c>
      <x:c r="J328" s="31" t="n">
        <x:v>47503.659642342616</x:v>
      </x:c>
      <x:c r="K328" s="31"/>
      <x:c r="L328" s="40"/>
      <x:c r="M328" s="40"/>
      <x:c r="N328" s="31" t="n">
        <x:v>331</x:v>
      </x:c>
      <x:c r="O328" s="31" t="n">
        <x:v>1132</x:v>
      </x:c>
      <x:c r="P328" s="31" t="n">
        <x:v>3.4946996466431095</x:v>
      </x:c>
      <x:c r="Q328" s="40" t="n">
        <x:v>0</x:v>
      </x:c>
      <x:c r="R328" s="40" t="n">
        <x:v>0.5053003533568905</x:v>
      </x:c>
      <x:c r="S328" s="40" t="n">
        <x:v>0.015901060070671377</x:v>
      </x:c>
      <x:c r="T328" s="31" t="n">
        <x:v>41.485188737553</x:v>
      </x:c>
      <x:c r="U328" s="31" t="n">
        <x:v>70.86</x:v>
      </x:c>
      <x:c r="V328" s="31" t="n">
        <x:v>8</x:v>
      </x:c>
      <x:c r="W328" s="31" t="n">
        <x:v>2.4914356898162566</x:v>
      </x:c>
      <x:c r="X328" s="31" t="n">
        <x:v>5</x:v>
      </x:c>
      <x:c r="Y328" s="40" t="n">
        <x:v>1</x:v>
      </x:c>
      <x:c r="Z328" s="40" t="n">
        <x:v>1</x:v>
      </x:c>
      <x:c r="AA328" s="40" t="n">
        <x:v>1</x:v>
      </x:c>
      <x:c r="AB328" s="31" t="n">
        <x:v>0.2226263212985994</x:v>
      </x:c>
      <x:c r="AC328" s="31" t="n">
        <x:v>7</x:v>
      </x:c>
      <x:c r="AD328" s="44" t="b">
        <x:v>1</x:v>
      </x:c>
    </x:row>
    <x:row r="329">
      <x:c r="A329" s="31" t="str">
        <x:v>36005042300</x:v>
      </x:c>
      <x:c r="B329" s="31" t="str">
        <x:v>Bronx</x:v>
      </x:c>
      <x:c r="C329" s="31" t="str">
        <x:v>042300</x:v>
      </x:c>
      <x:c r="D329" s="31" t="str">
        <x:v>BX0703</x:v>
      </x:c>
      <x:c r="E329" s="31" t="str">
        <x:v>Norwood</x:v>
      </x:c>
      <x:c r="F329" s="31" t="n">
        <x:v>0.06955849571173382</x:v>
      </x:c>
      <x:c r="G329" s="31" t="n">
        <x:v>40.87706748850996</x:v>
      </x:c>
      <x:c r="H329" s="31" t="n">
        <x:v>-73.87731846306889</x:v>
      </x:c>
      <x:c r="I329" s="31" t="n">
        <x:v>4179</x:v>
      </x:c>
      <x:c r="J329" s="31" t="n">
        <x:v>60078.93007518051</x:v>
      </x:c>
      <x:c r="K329" s="31"/>
      <x:c r="L329" s="40"/>
      <x:c r="M329" s="40"/>
      <x:c r="N329" s="31" t="n">
        <x:v>104</x:v>
      </x:c>
      <x:c r="O329" s="31" t="n">
        <x:v>1451</x:v>
      </x:c>
      <x:c r="P329" s="31" t="n">
        <x:v>5.309958649207443</x:v>
      </x:c>
      <x:c r="Q329" s="40" t="n">
        <x:v>0</x:v>
      </x:c>
      <x:c r="R329" s="40" t="n">
        <x:v>0.8986905582356995</x:v>
      </x:c>
      <x:c r="S329" s="40" t="n">
        <x:v>0</x:v>
      </x:c>
      <x:c r="T329" s="31" t="n">
        <x:v>59.68603945119228</x:v>
      </x:c>
      <x:c r="U329" s="31" t="n">
        <x:v>83.03</x:v>
      </x:c>
      <x:c r="V329" s="31" t="n">
        <x:v>12</x:v>
      </x:c>
      <x:c r="W329" s="31" t="n">
        <x:v>2.871500358937545</x:v>
      </x:c>
      <x:c r="X329" s="31" t="n">
        <x:v>4</x:v>
      </x:c>
      <x:c r="Y329" s="40" t="n">
        <x:v>1</x:v>
      </x:c>
      <x:c r="Z329" s="40" t="n">
        <x:v>1</x:v>
      </x:c>
      <x:c r="AA329" s="40" t="n">
        <x:v>1</x:v>
      </x:c>
      <x:c r="AB329" s="31" t="n">
        <x:v>0.11756664892807192</x:v>
      </x:c>
      <x:c r="AC329" s="31" t="n">
        <x:v>6</x:v>
      </x:c>
      <x:c r="AD329" s="44" t="b">
        <x:v>1</x:v>
      </x:c>
    </x:row>
    <x:row r="330">
      <x:c r="A330" s="31" t="str">
        <x:v>36005042400</x:v>
      </x:c>
      <x:c r="B330" s="31" t="str">
        <x:v>Bronx</x:v>
      </x:c>
      <x:c r="C330" s="31" t="str">
        <x:v>042400</x:v>
      </x:c>
      <x:c r="D330" s="31" t="str">
        <x:v>BX1203</x:v>
      </x:c>
      <x:c r="E330" s="31" t="str">
        <x:v>Wakefield-Woodlawn</x:v>
      </x:c>
      <x:c r="F330" s="31" t="n">
        <x:v>0.06752103748278238</x:v>
      </x:c>
      <x:c r="G330" s="31" t="n">
        <x:v>40.88928009307501</x:v>
      </x:c>
      <x:c r="H330" s="31" t="n">
        <x:v>-73.84953599169987</x:v>
      </x:c>
      <x:c r="I330" s="31" t="n">
        <x:v>2553</x:v>
      </x:c>
      <x:c r="J330" s="31" t="n">
        <x:v>37810.437978696726</x:v>
      </x:c>
      <x:c r="K330" s="31"/>
      <x:c r="L330" s="40"/>
      <x:c r="M330" s="40"/>
      <x:c r="N330" s="31" t="n">
        <x:v>426</x:v>
      </x:c>
      <x:c r="O330" s="31" t="n">
        <x:v>825</x:v>
      </x:c>
      <x:c r="P330" s="31" t="n">
        <x:v>2.2306060606060605</x:v>
      </x:c>
      <x:c r="Q330" s="40" t="n">
        <x:v>0</x:v>
      </x:c>
      <x:c r="R330" s="40" t="n">
        <x:v>0.18787878787878787</x:v>
      </x:c>
      <x:c r="S330" s="40" t="n">
        <x:v>0.012121212121212121</x:v>
      </x:c>
      <x:c r="T330" s="31" t="n">
        <x:v>28.583099248864468</x:v>
      </x:c>
      <x:c r="U330" s="31" t="n">
        <x:v>50</x:v>
      </x:c>
      <x:c r="V330" s="31" t="n">
        <x:v>0</x:v>
      </x:c>
      <x:c r="W330" s="31" t="n">
        <x:v>0</x:v>
      </x:c>
      <x:c r="X330" s="31" t="n">
        <x:v>5</x:v>
      </x:c>
      <x:c r="Y330" s="40" t="n">
        <x:v>1</x:v>
      </x:c>
      <x:c r="Z330" s="40" t="n">
        <x:v>1</x:v>
      </x:c>
      <x:c r="AA330" s="40" t="n">
        <x:v>0.9927272727272727</x:v>
      </x:c>
      <x:c r="AB330" s="31" t="n">
        <x:v>0.17947071852807517</x:v>
      </x:c>
      <x:c r="AC330" s="31" t="n">
        <x:v>6</x:v>
      </x:c>
      <x:c r="AD330" s="44" t="b">
        <x:v>1</x:v>
      </x:c>
    </x:row>
    <x:row r="331">
      <x:c r="A331" s="31" t="str">
        <x:v>36005042500</x:v>
      </x:c>
      <x:c r="B331" s="31" t="str">
        <x:v>Bronx</x:v>
      </x:c>
      <x:c r="C331" s="31" t="str">
        <x:v>042500</x:v>
      </x:c>
      <x:c r="D331" s="31" t="str">
        <x:v>BX0703</x:v>
      </x:c>
      <x:c r="E331" s="31" t="str">
        <x:v>Norwood</x:v>
      </x:c>
      <x:c r="F331" s="31" t="n">
        <x:v>0.11316686352480775</x:v>
      </x:c>
      <x:c r="G331" s="31" t="n">
        <x:v>40.8710882820459</x:v>
      </x:c>
      <x:c r="H331" s="31" t="n">
        <x:v>-73.87903687919368</x:v>
      </x:c>
      <x:c r="I331" s="31" t="n">
        <x:v>7667</x:v>
      </x:c>
      <x:c r="J331" s="31" t="n">
        <x:v>67749.51395837958</x:v>
      </x:c>
      <x:c r="K331" s="31"/>
      <x:c r="L331" s="40"/>
      <x:c r="M331" s="40"/>
      <x:c r="N331" s="31" t="n">
        <x:v>199</x:v>
      </x:c>
      <x:c r="O331" s="31" t="n">
        <x:v>2618</x:v>
      </x:c>
      <x:c r="P331" s="31" t="n">
        <x:v>5.7061688311688314</x:v>
      </x:c>
      <x:c r="Q331" s="40" t="n">
        <x:v>0.10962566844919786</x:v>
      </x:c>
      <x:c r="R331" s="40" t="n">
        <x:v>0.8162719633307869</x:v>
      </x:c>
      <x:c r="S331" s="40" t="n">
        <x:v>0.0015278838808250573</x:v>
      </x:c>
      <x:c r="T331" s="31" t="n">
        <x:v>62.49031809494576</x:v>
      </x:c>
      <x:c r="U331" s="31" t="n">
        <x:v>100</x:v>
      </x:c>
      <x:c r="V331" s="31" t="n">
        <x:v>25</x:v>
      </x:c>
      <x:c r="W331" s="31" t="n">
        <x:v>3.26072779444372</x:v>
      </x:c>
      <x:c r="X331" s="31" t="n">
        <x:v>4.071810542398778</x:v>
      </x:c>
      <x:c r="Y331" s="40" t="n">
        <x:v>1</x:v>
      </x:c>
      <x:c r="Z331" s="40" t="n">
        <x:v>1</x:v>
      </x:c>
      <x:c r="AA331" s="40" t="n">
        <x:v>0.9507257448433919</x:v>
      </x:c>
      <x:c r="AB331" s="31" t="n">
        <x:v>0.10484880594631167</x:v>
      </x:c>
      <x:c r="AC331" s="31" t="n">
        <x:v>7</x:v>
      </x:c>
      <x:c r="AD331" s="44" t="b">
        <x:v>1</x:v>
      </x:c>
    </x:row>
    <x:row r="332">
      <x:c r="A332" s="31" t="str">
        <x:v>36005042600</x:v>
      </x:c>
      <x:c r="B332" s="31" t="str">
        <x:v>Bronx</x:v>
      </x:c>
      <x:c r="C332" s="31" t="str">
        <x:v>042600</x:v>
      </x:c>
      <x:c r="D332" s="31" t="str">
        <x:v>BX1202</x:v>
      </x:c>
      <x:c r="E332" s="31" t="str">
        <x:v>Eastchester-Edenwald-Baychester</x:v>
      </x:c>
      <x:c r="F332" s="31" t="n">
        <x:v>0.19634496482438016</x:v>
      </x:c>
      <x:c r="G332" s="31" t="n">
        <x:v>40.890849227983175</x:v>
      </x:c>
      <x:c r="H332" s="31" t="n">
        <x:v>-73.84191978215861</x:v>
      </x:c>
      <x:c r="I332" s="31" t="n">
        <x:v>6982</x:v>
      </x:c>
      <x:c r="J332" s="31" t="n">
        <x:v>35559.86274588206</x:v>
      </x:c>
      <x:c r="K332" s="31"/>
      <x:c r="L332" s="40"/>
      <x:c r="M332" s="40"/>
      <x:c r="N332" s="31" t="n">
        <x:v>1184</x:v>
      </x:c>
      <x:c r="O332" s="31" t="n">
        <x:v>2079</x:v>
      </x:c>
      <x:c r="P332" s="31" t="n">
        <x:v>2.3251468464130958</x:v>
      </x:c>
      <x:c r="Q332" s="40" t="n">
        <x:v>0</x:v>
      </x:c>
      <x:c r="R332" s="40" t="n">
        <x:v>0.30447330447330445</x:v>
      </x:c>
      <x:c r="S332" s="40" t="n">
        <x:v>0.006734006734006734</x:v>
      </x:c>
      <x:c r="T332" s="31" t="n">
        <x:v>28.837492433219115</x:v>
      </x:c>
      <x:c r="U332" s="31" t="n">
        <x:v>43.56349641</x:v>
      </x:c>
      <x:c r="V332" s="31" t="n">
        <x:v>4</x:v>
      </x:c>
      <x:c r="W332" s="31" t="n">
        <x:v>0.5729017473503294</x:v>
      </x:c>
      <x:c r="X332" s="31" t="n">
        <x:v>5</x:v>
      </x:c>
      <x:c r="Y332" s="40" t="n">
        <x:v>1</x:v>
      </x:c>
      <x:c r="Z332" s="40" t="n">
        <x:v>1</x:v>
      </x:c>
      <x:c r="AA332" s="40" t="n">
        <x:v>0.9966329966329966</x:v>
      </x:c>
      <x:c r="AB332" s="31" t="n">
        <x:v>0.14595627472687117</x:v>
      </x:c>
      <x:c r="AC332" s="31" t="n">
        <x:v>7</x:v>
      </x:c>
      <x:c r="AD332" s="44" t="b">
        <x:v>1</x:v>
      </x:c>
    </x:row>
    <x:row r="333">
      <x:c r="A333" s="31" t="str">
        <x:v>36005042800</x:v>
      </x:c>
      <x:c r="B333" s="31" t="str">
        <x:v>Bronx</x:v>
      </x:c>
      <x:c r="C333" s="31" t="str">
        <x:v>042800</x:v>
      </x:c>
      <x:c r="D333" s="31" t="str">
        <x:v>BX1203</x:v>
      </x:c>
      <x:c r="E333" s="31" t="str">
        <x:v>Wakefield-Woodlawn</x:v>
      </x:c>
      <x:c r="F333" s="31" t="n">
        <x:v>0.0653206406798812</x:v>
      </x:c>
      <x:c r="G333" s="31" t="n">
        <x:v>40.89450935360991</x:v>
      </x:c>
      <x:c r="H333" s="31" t="n">
        <x:v>-73.84570314648596</x:v>
      </x:c>
      <x:c r="I333" s="31" t="n">
        <x:v>2230</x:v>
      </x:c>
      <x:c r="J333" s="31" t="n">
        <x:v>34139.28548142427</x:v>
      </x:c>
      <x:c r="K333" s="31"/>
      <x:c r="L333" s="40"/>
      <x:c r="M333" s="40"/>
      <x:c r="N333" s="31" t="n">
        <x:v>417</x:v>
      </x:c>
      <x:c r="O333" s="31" t="n">
        <x:v>710</x:v>
      </x:c>
      <x:c r="P333" s="31" t="n">
        <x:v>2.012722143864598</x:v>
      </x:c>
      <x:c r="Q333" s="40" t="n">
        <x:v>0</x:v>
      </x:c>
      <x:c r="R333" s="40" t="n">
        <x:v>0.14647887323943662</x:v>
      </x:c>
      <x:c r="S333" s="40" t="n">
        <x:v>0</x:v>
      </x:c>
      <x:c r="T333" s="31" t="n">
        <x:v>27.85740495894366</x:v>
      </x:c>
      <x:c r="U333" s="31" t="n">
        <x:v>41.78</x:v>
      </x:c>
      <x:c r="V333" s="31" t="n">
        <x:v>0</x:v>
      </x:c>
      <x:c r="W333" s="31" t="n">
        <x:v>0</x:v>
      </x:c>
      <x:c r="X333" s="31" t="n">
        <x:v>5</x:v>
      </x:c>
      <x:c r="Y333" s="40" t="n">
        <x:v>1</x:v>
      </x:c>
      <x:c r="Z333" s="40" t="n">
        <x:v>1</x:v>
      </x:c>
      <x:c r="AA333" s="40" t="n">
        <x:v>1</x:v>
      </x:c>
      <x:c r="AB333" s="31" t="n">
        <x:v>0.08876630187156202</x:v>
      </x:c>
      <x:c r="AC333" s="31" t="n">
        <x:v>5</x:v>
      </x:c>
      <x:c r="AD333" s="44" t="b">
        <x:v>1</x:v>
      </x:c>
    </x:row>
    <x:row r="334">
      <x:c r="A334" s="31" t="str">
        <x:v>36005042901</x:v>
      </x:c>
      <x:c r="B334" s="31" t="str">
        <x:v>Bronx</x:v>
      </x:c>
      <x:c r="C334" s="31" t="str">
        <x:v>042901</x:v>
      </x:c>
      <x:c r="D334" s="31" t="str">
        <x:v>BX0703</x:v>
      </x:c>
      <x:c r="E334" s="31" t="str">
        <x:v>Norwood</x:v>
      </x:c>
      <x:c r="F334" s="31" t="n">
        <x:v>0.039641835740573346</x:v>
      </x:c>
      <x:c r="G334" s="31" t="n">
        <x:v>40.87496001819157</x:v>
      </x:c>
      <x:c r="H334" s="31" t="n">
        <x:v>-73.87427736490265</x:v>
      </x:c>
      <x:c r="I334" s="31" t="n">
        <x:v>3711</x:v>
      </x:c>
      <x:c r="J334" s="31" t="n">
        <x:v>93613.22276510515</x:v>
      </x:c>
      <x:c r="K334" s="31"/>
      <x:c r="L334" s="40"/>
      <x:c r="M334" s="40"/>
      <x:c r="N334" s="31" t="n">
        <x:v>101</x:v>
      </x:c>
      <x:c r="O334" s="31" t="n">
        <x:v>1462</x:v>
      </x:c>
      <x:c r="P334" s="31" t="n">
        <x:v>5.445793433652531</x:v>
      </x:c>
      <x:c r="Q334" s="40" t="n">
        <x:v>0.047879616963064295</x:v>
      </x:c>
      <x:c r="R334" s="40" t="n">
        <x:v>0.8707250341997264</x:v>
      </x:c>
      <x:c r="S334" s="40" t="n">
        <x:v>0.036935704514363885</x:v>
      </x:c>
      <x:c r="T334" s="31" t="n">
        <x:v>60.16756782154692</x:v>
      </x:c>
      <x:c r="U334" s="31" t="n">
        <x:v>95</x:v>
      </x:c>
      <x:c r="V334" s="31" t="n">
        <x:v>14</x:v>
      </x:c>
      <x:c r="W334" s="31" t="n">
        <x:v>3.7725680409593103</x:v>
      </x:c>
      <x:c r="X334" s="31" t="n">
        <x:v>4</x:v>
      </x:c>
      <x:c r="Y334" s="40" t="n">
        <x:v>1</x:v>
      </x:c>
      <x:c r="Z334" s="40" t="n">
        <x:v>1</x:v>
      </x:c>
      <x:c r="AA334" s="40" t="n">
        <x:v>0.93296853625171</x:v>
      </x:c>
      <x:c r="AB334" s="31" t="n">
        <x:v>0.045978247041623344</x:v>
      </x:c>
      <x:c r="AC334" s="31" t="n">
        <x:v>6</x:v>
      </x:c>
      <x:c r="AD334" s="44" t="b">
        <x:v>1</x:v>
      </x:c>
    </x:row>
    <x:row r="335">
      <x:c r="A335" s="31" t="str">
        <x:v>36005042902</x:v>
      </x:c>
      <x:c r="B335" s="31" t="str">
        <x:v>Bronx</x:v>
      </x:c>
      <x:c r="C335" s="31" t="str">
        <x:v>042902</x:v>
      </x:c>
      <x:c r="D335" s="31" t="str">
        <x:v>BX0703</x:v>
      </x:c>
      <x:c r="E335" s="31" t="str">
        <x:v>Norwood</x:v>
      </x:c>
      <x:c r="F335" s="31" t="n">
        <x:v>0.03628253280138028</x:v>
      </x:c>
      <x:c r="G335" s="31" t="n">
        <x:v>40.87712282994453</x:v>
      </x:c>
      <x:c r="H335" s="31" t="n">
        <x:v>-73.87391837169521</x:v>
      </x:c>
      <x:c r="I335" s="31" t="n">
        <x:v>4334</x:v>
      </x:c>
      <x:c r="J335" s="31" t="n">
        <x:v>119451.41822720612</x:v>
      </x:c>
      <x:c r="K335" s="31"/>
      <x:c r="L335" s="40"/>
      <x:c r="M335" s="40"/>
      <x:c r="N335" s="31" t="n">
        <x:v>145</x:v>
      </x:c>
      <x:c r="O335" s="31" t="n">
        <x:v>1716</x:v>
      </x:c>
      <x:c r="P335" s="31" t="n">
        <x:v>5.6781759906759905</x:v>
      </x:c>
      <x:c r="Q335" s="40" t="n">
        <x:v>0.07109557109557109</x:v>
      </x:c>
      <x:c r="R335" s="40" t="n">
        <x:v>0.8356643356643356</x:v>
      </x:c>
      <x:c r="S335" s="40" t="n">
        <x:v>0.0011655011655011655</x:v>
      </x:c>
      <x:c r="T335" s="31" t="n">
        <x:v>63.91062754044289</x:v>
      </x:c>
      <x:c r="U335" s="31" t="n">
        <x:v>145.16563743</x:v>
      </x:c>
      <x:c r="V335" s="31" t="n">
        <x:v>17</x:v>
      </x:c>
      <x:c r="W335" s="31" t="n">
        <x:v>3.922473465620674</x:v>
      </x:c>
      <x:c r="X335" s="31" t="n">
        <x:v>4</x:v>
      </x:c>
      <x:c r="Y335" s="40" t="n">
        <x:v>1</x:v>
      </x:c>
      <x:c r="Z335" s="40" t="n">
        <x:v>1</x:v>
      </x:c>
      <x:c r="AA335" s="40" t="n">
        <x:v>1</x:v>
      </x:c>
      <x:c r="AB335" s="31" t="n">
        <x:v>0.1339249412206003</x:v>
      </x:c>
      <x:c r="AC335" s="31" t="n">
        <x:v>3</x:v>
      </x:c>
      <x:c r="AD335" s="44" t="b">
        <x:v>1</x:v>
      </x:c>
    </x:row>
    <x:row r="336">
      <x:c r="A336" s="31" t="str">
        <x:v>36005043000</x:v>
      </x:c>
      <x:c r="B336" s="31" t="str">
        <x:v>Bronx</x:v>
      </x:c>
      <x:c r="C336" s="31" t="str">
        <x:v>043000</x:v>
      </x:c>
      <x:c r="D336" s="31" t="str">
        <x:v>BX1203</x:v>
      </x:c>
      <x:c r="E336" s="31" t="str">
        <x:v>Wakefield-Woodlawn</x:v>
      </x:c>
      <x:c r="F336" s="31" t="n">
        <x:v>0.07960916365393997</x:v>
      </x:c>
      <x:c r="G336" s="31" t="n">
        <x:v>40.89346005463479</x:v>
      </x:c>
      <x:c r="H336" s="31" t="n">
        <x:v>-73.85065724850715</x:v>
      </x:c>
      <x:c r="I336" s="31" t="n">
        <x:v>2952</x:v>
      </x:c>
      <x:c r="J336" s="31" t="n">
        <x:v>37081.1583052462</x:v>
      </x:c>
      <x:c r="K336" s="31"/>
      <x:c r="L336" s="40"/>
      <x:c r="M336" s="40"/>
      <x:c r="N336" s="31" t="n">
        <x:v>504</x:v>
      </x:c>
      <x:c r="O336" s="31" t="n">
        <x:v>1012</x:v>
      </x:c>
      <x:c r="P336" s="31" t="n">
        <x:v>3.238389328063241</x:v>
      </x:c>
      <x:c r="Q336" s="40" t="n">
        <x:v>0.10869565217391304</x:v>
      </x:c>
      <x:c r="R336" s="40" t="n">
        <x:v>0.13043478260869565</x:v>
      </x:c>
      <x:c r="S336" s="40" t="n">
        <x:v>0.0029644268774703555</x:v>
      </x:c>
      <x:c r="T336" s="31" t="n">
        <x:v>38.45234106277502</x:v>
      </x:c>
      <x:c r="U336" s="31" t="n">
        <x:v>114.07</x:v>
      </x:c>
      <x:c r="V336" s="31" t="n">
        <x:v>3</x:v>
      </x:c>
      <x:c r="W336" s="31" t="n">
        <x:v>1.016260162601626</x:v>
      </x:c>
      <x:c r="X336" s="31" t="n">
        <x:v>5</x:v>
      </x:c>
      <x:c r="Y336" s="40" t="n">
        <x:v>1</x:v>
      </x:c>
      <x:c r="Z336" s="40" t="n">
        <x:v>1</x:v>
      </x:c>
      <x:c r="AA336" s="40" t="n">
        <x:v>0.9970355731225297</x:v>
      </x:c>
      <x:c r="AB336" s="31" t="n">
        <x:v>0.27280006868502604</x:v>
      </x:c>
      <x:c r="AC336" s="31" t="n">
        <x:v>6</x:v>
      </x:c>
      <x:c r="AD336" s="44" t="b">
        <x:v>1</x:v>
      </x:c>
    </x:row>
    <x:row r="337">
      <x:c r="A337" s="31" t="str">
        <x:v>36005043101</x:v>
      </x:c>
      <x:c r="B337" s="31" t="str">
        <x:v>Bronx</x:v>
      </x:c>
      <x:c r="C337" s="31" t="str">
        <x:v>043101</x:v>
      </x:c>
      <x:c r="D337" s="31" t="str">
        <x:v>BX0703</x:v>
      </x:c>
      <x:c r="E337" s="31" t="str">
        <x:v>Norwood</x:v>
      </x:c>
      <x:c r="F337" s="31" t="n">
        <x:v>0.039563349705506776</x:v>
      </x:c>
      <x:c r="G337" s="31" t="n">
        <x:v>40.88371666074489</x:v>
      </x:c>
      <x:c r="H337" s="31" t="n">
        <x:v>-73.87898985969088</x:v>
      </x:c>
      <x:c r="I337" s="31" t="n">
        <x:v>5185</x:v>
      </x:c>
      <x:c r="J337" s="31" t="n">
        <x:v>131055.6370629635</x:v>
      </x:c>
      <x:c r="K337" s="31"/>
      <x:c r="L337" s="40"/>
      <x:c r="M337" s="40"/>
      <x:c r="N337" s="31" t="n">
        <x:v>50</x:v>
      </x:c>
      <x:c r="O337" s="31" t="n">
        <x:v>1901</x:v>
      </x:c>
      <x:c r="P337" s="31" t="n">
        <x:v>5.799842188321936</x:v>
      </x:c>
      <x:c r="Q337" s="40" t="n">
        <x:v>0</x:v>
      </x:c>
      <x:c r="R337" s="40" t="n">
        <x:v>0.9889531825355077</x:v>
      </x:c>
      <x:c r="S337" s="40" t="n">
        <x:v>0.0015781167806417674</x:v>
      </x:c>
      <x:c r="T337" s="31" t="n">
        <x:v>64.91070894134666</x:v>
      </x:c>
      <x:c r="U337" s="31" t="n">
        <x:v>80</x:v>
      </x:c>
      <x:c r="V337" s="31" t="n">
        <x:v>33</x:v>
      </x:c>
      <x:c r="W337" s="31" t="n">
        <x:v>6.364513018322083</x:v>
      </x:c>
      <x:c r="X337" s="31" t="n">
        <x:v>4</x:v>
      </x:c>
      <x:c r="Y337" s="40" t="n">
        <x:v>1</x:v>
      </x:c>
      <x:c r="Z337" s="40" t="n">
        <x:v>1</x:v>
      </x:c>
      <x:c r="AA337" s="40" t="n">
        <x:v>1</x:v>
      </x:c>
      <x:c r="AB337" s="31" t="n">
        <x:v>0.1240240654912034</x:v>
      </x:c>
      <x:c r="AC337" s="31" t="n">
        <x:v>3</x:v>
      </x:c>
      <x:c r="AD337" s="44" t="b">
        <x:v>1</x:v>
      </x:c>
    </x:row>
    <x:row r="338">
      <x:c r="A338" s="31" t="str">
        <x:v>36005043102</x:v>
      </x:c>
      <x:c r="B338" s="31" t="str">
        <x:v>Bronx</x:v>
      </x:c>
      <x:c r="C338" s="31" t="str">
        <x:v>043102</x:v>
      </x:c>
      <x:c r="D338" s="31" t="str">
        <x:v>BX0703</x:v>
      </x:c>
      <x:c r="E338" s="31" t="str">
        <x:v>Norwood</x:v>
      </x:c>
      <x:c r="F338" s="31" t="n">
        <x:v>0.04407044658445248</x:v>
      </x:c>
      <x:c r="G338" s="31" t="n">
        <x:v>40.88024657673305</x:v>
      </x:c>
      <x:c r="H338" s="31" t="n">
        <x:v>-73.87438064531743</x:v>
      </x:c>
      <x:c r="I338" s="31" t="n">
        <x:v>5050</x:v>
      </x:c>
      <x:c r="J338" s="31" t="n">
        <x:v>114589.26313176003</x:v>
      </x:c>
      <x:c r="K338" s="31"/>
      <x:c r="L338" s="40"/>
      <x:c r="M338" s="40"/>
      <x:c r="N338" s="31" t="n">
        <x:v>72</x:v>
      </x:c>
      <x:c r="O338" s="31" t="n">
        <x:v>1917</x:v>
      </x:c>
      <x:c r="P338" s="31" t="n">
        <x:v>5.965571205007825</x:v>
      </x:c>
      <x:c r="Q338" s="40" t="n">
        <x:v>0.016692749087115284</x:v>
      </x:c>
      <x:c r="R338" s="40" t="n">
        <x:v>0.9431403234220136</x:v>
      </x:c>
      <x:c r="S338" s="40" t="n">
        <x:v>0</x:v>
      </x:c>
      <x:c r="T338" s="31" t="n">
        <x:v>68.33471729971309</x:v>
      </x:c>
      <x:c r="U338" s="31" t="n">
        <x:v>111.75059704</x:v>
      </x:c>
      <x:c r="V338" s="31" t="n">
        <x:v>32</x:v>
      </x:c>
      <x:c r="W338" s="31" t="n">
        <x:v>6.336633663366337</x:v>
      </x:c>
      <x:c r="X338" s="31" t="n">
        <x:v>4</x:v>
      </x:c>
      <x:c r="Y338" s="40" t="n">
        <x:v>1</x:v>
      </x:c>
      <x:c r="Z338" s="40" t="n">
        <x:v>1</x:v>
      </x:c>
      <x:c r="AA338" s="40" t="n">
        <x:v>1</x:v>
      </x:c>
      <x:c r="AB338" s="31" t="n">
        <x:v>0.050641270819988635</x:v>
      </x:c>
      <x:c r="AC338" s="31" t="n">
        <x:v>7</x:v>
      </x:c>
      <x:c r="AD338" s="44" t="b">
        <x:v>1</x:v>
      </x:c>
    </x:row>
    <x:row r="339">
      <x:c r="A339" s="31" t="str">
        <x:v>36005043400</x:v>
      </x:c>
      <x:c r="B339" s="31" t="str">
        <x:v>Bronx</x:v>
      </x:c>
      <x:c r="C339" s="31" t="str">
        <x:v>043400</x:v>
      </x:c>
      <x:c r="D339" s="31" t="str">
        <x:v>BX1203</x:v>
      </x:c>
      <x:c r="E339" s="31" t="str">
        <x:v>Wakefield-Woodlawn</x:v>
      </x:c>
      <x:c r="F339" s="31" t="n">
        <x:v>0.13490777898050105</x:v>
      </x:c>
      <x:c r="G339" s="31" t="n">
        <x:v>40.89821282494462</x:v>
      </x:c>
      <x:c r="H339" s="31" t="n">
        <x:v>-73.85234247628385</x:v>
      </x:c>
      <x:c r="I339" s="31" t="n">
        <x:v>3649</x:v>
      </x:c>
      <x:c r="J339" s="31" t="n">
        <x:v>27048.106696111347</x:v>
      </x:c>
      <x:c r="K339" s="31"/>
      <x:c r="L339" s="40"/>
      <x:c r="M339" s="40"/>
      <x:c r="N339" s="31" t="n">
        <x:v>375</x:v>
      </x:c>
      <x:c r="O339" s="31" t="n">
        <x:v>1671</x:v>
      </x:c>
      <x:c r="P339" s="31" t="n">
        <x:v>5.093169562612343</x:v>
      </x:c>
      <x:c r="Q339" s="40" t="n">
        <x:v>0.17773788150807898</x:v>
      </x:c>
      <x:c r="R339" s="40" t="n">
        <x:v>0.49251944943147813</x:v>
      </x:c>
      <x:c r="S339" s="40" t="n">
        <x:v>0.03052064631956912</x:v>
      </x:c>
      <x:c r="T339" s="31" t="n">
        <x:v>44.97888805112335</x:v>
      </x:c>
      <x:c r="U339" s="31" t="n">
        <x:v>69.92</x:v>
      </x:c>
      <x:c r="V339" s="31" t="n">
        <x:v>9</x:v>
      </x:c>
      <x:c r="W339" s="31" t="n">
        <x:v>2.466429158673609</x:v>
      </x:c>
      <x:c r="X339" s="31" t="n">
        <x:v>4.572710951526032</x:v>
      </x:c>
      <x:c r="Y339" s="40" t="n">
        <x:v>0.7863554757630161</x:v>
      </x:c>
      <x:c r="Z339" s="40" t="n">
        <x:v>1</x:v>
      </x:c>
      <x:c r="AA339" s="40" t="n">
        <x:v>0.8150807899461401</x:v>
      </x:c>
      <x:c r="AB339" s="31" t="n">
        <x:v>0.23995011884661596</x:v>
      </x:c>
      <x:c r="AC339" s="31" t="n">
        <x:v>7</x:v>
      </x:c>
      <x:c r="AD339" s="44" t="b">
        <x:v>1</x:v>
      </x:c>
    </x:row>
    <x:row r="340">
      <x:c r="A340" s="31" t="str">
        <x:v>36005043501</x:v>
      </x:c>
      <x:c r="B340" s="31" t="str">
        <x:v>Bronx</x:v>
      </x:c>
      <x:c r="C340" s="31" t="str">
        <x:v>043501</x:v>
      </x:c>
      <x:c r="D340" s="31" t="str">
        <x:v>BX1201</x:v>
      </x:c>
      <x:c r="E340" s="31" t="str">
        <x:v>Williamsbridge-Olinville</x:v>
      </x:c>
      <x:c r="F340" s="31" t="n">
        <x:v>0.15277720338111225</x:v>
      </x:c>
      <x:c r="G340" s="31" t="n">
        <x:v>40.88668766149664</x:v>
      </x:c>
      <x:c r="H340" s="31" t="n">
        <x:v>-73.86644578863407</x:v>
      </x:c>
      <x:c r="I340" s="31" t="n">
        <x:v>1192</x:v>
      </x:c>
      <x:c r="J340" s="31" t="n">
        <x:v>7802.211152055727</x:v>
      </x:c>
      <x:c r="K340" s="31"/>
      <x:c r="L340" s="40"/>
      <x:c r="M340" s="40"/>
      <x:c r="N340" s="31" t="n">
        <x:v>5</x:v>
      </x:c>
      <x:c r="O340" s="31" t="n">
        <x:v>484</x:v>
      </x:c>
      <x:c r="P340" s="31" t="n">
        <x:v>11.559917355371901</x:v>
      </x:c>
      <x:c r="Q340" s="40" t="n">
        <x:v>0.8347107438016529</x:v>
      </x:c>
      <x:c r="R340" s="40" t="n">
        <x:v>0.1652892561983471</x:v>
      </x:c>
      <x:c r="S340" s="40" t="n">
        <x:v>0</x:v>
      </x:c>
      <x:c r="T340" s="31" t="n">
        <x:v>63.484105165841584</x:v>
      </x:c>
      <x:c r="U340" s="31" t="n">
        <x:v>112</x:v>
      </x:c>
      <x:c r="V340" s="31" t="n">
        <x:v>10</x:v>
      </x:c>
      <x:c r="W340" s="31" t="n">
        <x:v>8.389261744966444</x:v>
      </x:c>
      <x:c r="X340" s="31" t="n">
        <x:v>4</x:v>
      </x:c>
      <x:c r="Y340" s="40" t="n">
        <x:v>1</x:v>
      </x:c>
      <x:c r="Z340" s="40" t="n">
        <x:v>1</x:v>
      </x:c>
      <x:c r="AA340" s="40" t="n">
        <x:v>0.8347107438016529</x:v>
      </x:c>
      <x:c r="AB340" s="31" t="n">
        <x:v>0.24226446128011228</x:v>
      </x:c>
      <x:c r="AC340" s="31" t="n">
        <x:v>9</x:v>
      </x:c>
      <x:c r="AD340" s="44" t="b">
        <x:v>1</x:v>
      </x:c>
    </x:row>
    <x:row r="341">
      <x:c r="A341" s="31" t="str">
        <x:v>36005043502</x:v>
      </x:c>
      <x:c r="B341" s="31" t="str">
        <x:v>Bronx</x:v>
      </x:c>
      <x:c r="C341" s="31" t="str">
        <x:v>043502</x:v>
      </x:c>
      <x:c r="D341" s="31" t="str">
        <x:v>BX1271</x:v>
      </x:c>
      <x:c r="E341" s="31" t="str">
        <x:v>Woodlawn Cemetery</x:v>
      </x:c>
      <x:c r="F341" s="31" t="n">
        <x:v>0.6415855497338441</x:v>
      </x:c>
      <x:c r="G341" s="31" t="n">
        <x:v>40.88953719783665</x:v>
      </x:c>
      <x:c r="H341" s="31" t="n">
        <x:v>-73.87258179135439</x:v>
      </x:c>
      <x:c r="I341" s="31" t="n">
        <x:v>2</x:v>
      </x:c>
      <x:c r="J341" s="31" t="n">
        <x:v>3.1172771905939616</x:v>
      </x:c>
      <x:c r="K341" s="31"/>
      <x:c r="L341" s="40"/>
      <x:c r="M341" s="40"/>
      <x:c r="N341" s="31" t="n">
        <x:v>0</x:v>
      </x:c>
      <x:c r="O341" s="31"/>
      <x:c r="P341" s="31"/>
      <x:c r="Q341" s="40"/>
      <x:c r="R341" s="40"/>
      <x:c r="S341" s="40"/>
      <x:c r="T341" s="31"/>
      <x:c r="U341" s="31"/>
      <x:c r="V341" s="31" t="n">
        <x:v>0</x:v>
      </x:c>
      <x:c r="W341" s="31" t="n">
        <x:v>0</x:v>
      </x:c>
      <x:c r="X341" s="31"/>
      <x:c r="Y341" s="40"/>
      <x:c r="Z341" s="40"/>
      <x:c r="AA341" s="40"/>
      <x:c r="AB341" s="31" t="n">
        <x:v>0.40614999513238026</x:v>
      </x:c>
      <x:c r="AC341" s="31" t="n">
        <x:v>0</x:v>
      </x:c>
      <x:c r="AD341" s="44" t="b">
        <x:v>0</x:v>
      </x:c>
    </x:row>
    <x:row r="342">
      <x:c r="A342" s="31" t="str">
        <x:v>36005043503</x:v>
      </x:c>
      <x:c r="B342" s="31" t="str">
        <x:v>Bronx</x:v>
      </x:c>
      <x:c r="C342" s="31" t="str">
        <x:v>043503</x:v>
      </x:c>
      <x:c r="D342" s="31" t="str">
        <x:v>BX2691</x:v>
      </x:c>
      <x:c r="E342" s="31" t="str">
        <x:v>Van Cortlandt Park</x:v>
      </x:c>
      <x:c r="F342" s="31" t="n">
        <x:v>1.8171272486297634</x:v>
      </x:c>
      <x:c r="G342" s="31" t="n">
        <x:v>40.897045039617176</x:v>
      </x:c>
      <x:c r="H342" s="31" t="n">
        <x:v>-73.88663145704984</x:v>
      </x:c>
      <x:c r="I342" s="31" t="n">
        <x:v>122</x:v>
      </x:c>
      <x:c r="J342" s="31" t="n">
        <x:v>67.13894147589072</x:v>
      </x:c>
      <x:c r="K342" s="31"/>
      <x:c r="L342" s="40"/>
      <x:c r="M342" s="40"/>
      <x:c r="N342" s="31" t="n">
        <x:v>0</x:v>
      </x:c>
      <x:c r="O342" s="31"/>
      <x:c r="P342" s="31"/>
      <x:c r="Q342" s="40"/>
      <x:c r="R342" s="40"/>
      <x:c r="S342" s="40"/>
      <x:c r="T342" s="31"/>
      <x:c r="U342" s="31"/>
      <x:c r="V342" s="31" t="n">
        <x:v>0</x:v>
      </x:c>
      <x:c r="W342" s="31" t="n">
        <x:v>0</x:v>
      </x:c>
      <x:c r="X342" s="31"/>
      <x:c r="Y342" s="40"/>
      <x:c r="Z342" s="40"/>
      <x:c r="AA342" s="40"/>
      <x:c r="AB342" s="31" t="n">
        <x:v>0.8417058021519269</x:v>
      </x:c>
      <x:c r="AC342" s="31" t="n">
        <x:v>11</x:v>
      </x:c>
      <x:c r="AD342" s="44" t="b">
        <x:v>0</x:v>
      </x:c>
    </x:row>
    <x:row r="343">
      <x:c r="A343" s="31" t="str">
        <x:v>36005043600</x:v>
      </x:c>
      <x:c r="B343" s="31" t="str">
        <x:v>Bronx</x:v>
      </x:c>
      <x:c r="C343" s="31" t="str">
        <x:v>043600</x:v>
      </x:c>
      <x:c r="D343" s="31" t="str">
        <x:v>BX1203</x:v>
      </x:c>
      <x:c r="E343" s="31" t="str">
        <x:v>Wakefield-Woodlawn</x:v>
      </x:c>
      <x:c r="F343" s="31" t="n">
        <x:v>0.06023639142382633</x:v>
      </x:c>
      <x:c r="G343" s="31" t="n">
        <x:v>40.897295691151236</x:v>
      </x:c>
      <x:c r="H343" s="31" t="n">
        <x:v>-73.84976303791245</x:v>
      </x:c>
      <x:c r="I343" s="31" t="n">
        <x:v>2061</x:v>
      </x:c>
      <x:c r="J343" s="31" t="n">
        <x:v>34215.19701435464</x:v>
      </x:c>
      <x:c r="K343" s="31"/>
      <x:c r="L343" s="40"/>
      <x:c r="M343" s="40"/>
      <x:c r="N343" s="31" t="n">
        <x:v>389</x:v>
      </x:c>
      <x:c r="O343" s="31" t="n">
        <x:v>691</x:v>
      </x:c>
      <x:c r="P343" s="31" t="n">
        <x:v>2.422575976845152</x:v>
      </x:c>
      <x:c r="Q343" s="40" t="n">
        <x:v>0</x:v>
      </x:c>
      <x:c r="R343" s="40" t="n">
        <x:v>0.18234442836468887</x:v>
      </x:c>
      <x:c r="S343" s="40" t="n">
        <x:v>0.002894356005788712</x:v>
      </x:c>
      <x:c r="T343" s="31" t="n">
        <x:v>32.01163212227207</x:v>
      </x:c>
      <x:c r="U343" s="31" t="n">
        <x:v>60.52</x:v>
      </x:c>
      <x:c r="V343" s="31" t="n">
        <x:v>0</x:v>
      </x:c>
      <x:c r="W343" s="31" t="n">
        <x:v>0</x:v>
      </x:c>
      <x:c r="X343" s="31" t="n">
        <x:v>5</x:v>
      </x:c>
      <x:c r="Y343" s="40" t="n">
        <x:v>1</x:v>
      </x:c>
      <x:c r="Z343" s="40" t="n">
        <x:v>1</x:v>
      </x:c>
      <x:c r="AA343" s="40" t="n">
        <x:v>1</x:v>
      </x:c>
      <x:c r="AB343" s="31" t="n">
        <x:v>0.20963276157271604</x:v>
      </x:c>
      <x:c r="AC343" s="31" t="n">
        <x:v>4</x:v>
      </x:c>
      <x:c r="AD343" s="44" t="b">
        <x:v>1</x:v>
      </x:c>
    </x:row>
    <x:row r="344">
      <x:c r="A344" s="31" t="str">
        <x:v>36005044200</x:v>
      </x:c>
      <x:c r="B344" s="31" t="str">
        <x:v>Bronx</x:v>
      </x:c>
      <x:c r="C344" s="31" t="str">
        <x:v>044200</x:v>
      </x:c>
      <x:c r="D344" s="31" t="str">
        <x:v>BX1203</x:v>
      </x:c>
      <x:c r="E344" s="31" t="str">
        <x:v>Wakefield-Woodlawn</x:v>
      </x:c>
      <x:c r="F344" s="31" t="n">
        <x:v>0.09383186310154099</x:v>
      </x:c>
      <x:c r="G344" s="31" t="n">
        <x:v>40.903883104190236</x:v>
      </x:c>
      <x:c r="H344" s="31" t="n">
        <x:v>-73.8462047377876</x:v>
      </x:c>
      <x:c r="I344" s="31" t="n">
        <x:v>3877</x:v>
      </x:c>
      <x:c r="J344" s="31" t="n">
        <x:v>41318.58701137022</x:v>
      </x:c>
      <x:c r="K344" s="31"/>
      <x:c r="L344" s="40"/>
      <x:c r="M344" s="40"/>
      <x:c r="N344" s="31" t="n">
        <x:v>482</x:v>
      </x:c>
      <x:c r="O344" s="31" t="n">
        <x:v>1389</x:v>
      </x:c>
      <x:c r="P344" s="31" t="n">
        <x:v>3.24622030237581</x:v>
      </x:c>
      <x:c r="Q344" s="40" t="n">
        <x:v>0</x:v>
      </x:c>
      <x:c r="R344" s="40" t="n">
        <x:v>0.4535637149028078</x:v>
      </x:c>
      <x:c r="S344" s="40" t="n">
        <x:v>0.01583873290136789</x:v>
      </x:c>
      <x:c r="T344" s="31" t="n">
        <x:v>38.165986728808605</x:v>
      </x:c>
      <x:c r="U344" s="31" t="n">
        <x:v>69.47</x:v>
      </x:c>
      <x:c r="V344" s="31" t="n">
        <x:v>5</x:v>
      </x:c>
      <x:c r="W344" s="31" t="n">
        <x:v>1.2896569512509672</x:v>
      </x:c>
      <x:c r="X344" s="31" t="n">
        <x:v>3.613390928725702</x:v>
      </x:c>
      <x:c r="Y344" s="40" t="n">
        <x:v>0.30669546436285094</x:v>
      </x:c>
      <x:c r="Z344" s="40" t="n">
        <x:v>1</x:v>
      </x:c>
      <x:c r="AA344" s="40" t="n">
        <x:v>0.9366450683945284</x:v>
      </x:c>
      <x:c r="AB344" s="31" t="n">
        <x:v>0.4423841875529615</x:v>
      </x:c>
      <x:c r="AC344" s="31" t="n">
        <x:v>3</x:v>
      </x:c>
      <x:c r="AD344" s="44" t="b">
        <x:v>1</x:v>
      </x:c>
    </x:row>
    <x:row r="345">
      <x:c r="A345" s="31" t="str">
        <x:v>36005044400</x:v>
      </x:c>
      <x:c r="B345" s="31" t="str">
        <x:v>Bronx</x:v>
      </x:c>
      <x:c r="C345" s="31" t="str">
        <x:v>044400</x:v>
      </x:c>
      <x:c r="D345" s="31" t="str">
        <x:v>BX1203</x:v>
      </x:c>
      <x:c r="E345" s="31" t="str">
        <x:v>Wakefield-Woodlawn</x:v>
      </x:c>
      <x:c r="F345" s="31" t="n">
        <x:v>0.1407373635144054</x:v>
      </x:c>
      <x:c r="G345" s="31" t="n">
        <x:v>40.89949894065343</x:v>
      </x:c>
      <x:c r="H345" s="31" t="n">
        <x:v>-73.84374036398064</x:v>
      </x:c>
      <x:c r="I345" s="31" t="n">
        <x:v>3984</x:v>
      </x:c>
      <x:c r="J345" s="31" t="n">
        <x:v>28308.04770328251</x:v>
      </x:c>
      <x:c r="K345" s="31"/>
      <x:c r="L345" s="40"/>
      <x:c r="M345" s="40"/>
      <x:c r="N345" s="31" t="n">
        <x:v>688</x:v>
      </x:c>
      <x:c r="O345" s="31" t="n">
        <x:v>1287</x:v>
      </x:c>
      <x:c r="P345" s="31" t="n">
        <x:v>2.3271173271173273</x:v>
      </x:c>
      <x:c r="Q345" s="40" t="n">
        <x:v>0</x:v>
      </x:c>
      <x:c r="R345" s="40" t="n">
        <x:v>0.18181818181818182</x:v>
      </x:c>
      <x:c r="S345" s="40" t="n">
        <x:v>0.005439005439005439</x:v>
      </x:c>
      <x:c r="T345" s="31" t="n">
        <x:v>30.562968731439685</x:v>
      </x:c>
      <x:c r="U345" s="31" t="n">
        <x:v>64.99</x:v>
      </x:c>
      <x:c r="V345" s="31" t="n">
        <x:v>1</x:v>
      </x:c>
      <x:c r="W345" s="31" t="n">
        <x:v>0.251004016064257</x:v>
      </x:c>
      <x:c r="X345" s="31" t="n">
        <x:v>5</x:v>
      </x:c>
      <x:c r="Y345" s="40" t="n">
        <x:v>1</x:v>
      </x:c>
      <x:c r="Z345" s="40" t="n">
        <x:v>1</x:v>
      </x:c>
      <x:c r="AA345" s="40" t="n">
        <x:v>0.9984459984459985</x:v>
      </x:c>
      <x:c r="AB345" s="31" t="n">
        <x:v>0.2961486134676035</x:v>
      </x:c>
      <x:c r="AC345" s="31" t="n">
        <x:v>5</x:v>
      </x:c>
      <x:c r="AD345" s="44" t="b">
        <x:v>1</x:v>
      </x:c>
    </x:row>
    <x:row r="346">
      <x:c r="A346" s="31" t="str">
        <x:v>36005044800</x:v>
      </x:c>
      <x:c r="B346" s="31" t="str">
        <x:v>Bronx</x:v>
      </x:c>
      <x:c r="C346" s="31" t="str">
        <x:v>044800</x:v>
      </x:c>
      <x:c r="D346" s="31" t="str">
        <x:v>BX1203</x:v>
      </x:c>
      <x:c r="E346" s="31" t="str">
        <x:v>Wakefield-Woodlawn</x:v>
      </x:c>
      <x:c r="F346" s="31" t="n">
        <x:v>0.06519050647024219</x:v>
      </x:c>
      <x:c r="G346" s="31" t="n">
        <x:v>40.895475328448434</x:v>
      </x:c>
      <x:c r="H346" s="31" t="n">
        <x:v>-73.84130104052082</x:v>
      </x:c>
      <x:c r="I346" s="31" t="n">
        <x:v>2007</x:v>
      </x:c>
      <x:c r="J346" s="31" t="n">
        <x:v>30786.691324696865</x:v>
      </x:c>
      <x:c r="K346" s="31"/>
      <x:c r="L346" s="40"/>
      <x:c r="M346" s="40"/>
      <x:c r="N346" s="31" t="n">
        <x:v>419</x:v>
      </x:c>
      <x:c r="O346" s="31" t="n">
        <x:v>703</x:v>
      </x:c>
      <x:c r="P346" s="31" t="n">
        <x:v>2.146443812233286</x:v>
      </x:c>
      <x:c r="Q346" s="40" t="n">
        <x:v>0</x:v>
      </x:c>
      <x:c r="R346" s="40" t="n">
        <x:v>0.20625889046941678</x:v>
      </x:c>
      <x:c r="S346" s="40" t="n">
        <x:v>0.011379800853485065</x:v>
      </x:c>
      <x:c r="T346" s="31" t="n">
        <x:v>28.51534116743224</x:v>
      </x:c>
      <x:c r="U346" s="31" t="n">
        <x:v>40.8</x:v>
      </x:c>
      <x:c r="V346" s="31" t="n">
        <x:v>0</x:v>
      </x:c>
      <x:c r="W346" s="31" t="n">
        <x:v>0</x:v>
      </x:c>
      <x:c r="X346" s="31" t="n">
        <x:v>5</x:v>
      </x:c>
      <x:c r="Y346" s="40" t="n">
        <x:v>1</x:v>
      </x:c>
      <x:c r="Z346" s="40" t="n">
        <x:v>1</x:v>
      </x:c>
      <x:c r="AA346" s="40" t="n">
        <x:v>0.9971550497866287</x:v>
      </x:c>
      <x:c r="AB346" s="31" t="n">
        <x:v>0.26532808940218944</x:v>
      </x:c>
      <x:c r="AC346" s="31" t="n">
        <x:v>3</x:v>
      </x:c>
      <x:c r="AD346" s="44" t="b">
        <x:v>1</x:v>
      </x:c>
    </x:row>
    <x:row r="347">
      <x:c r="A347" s="31" t="str">
        <x:v>36005044901</x:v>
      </x:c>
      <x:c r="B347" s="31" t="str">
        <x:v>Bronx</x:v>
      </x:c>
      <x:c r="C347" s="31" t="str">
        <x:v>044901</x:v>
      </x:c>
      <x:c r="D347" s="31" t="str">
        <x:v>BX1203</x:v>
      </x:c>
      <x:c r="E347" s="31" t="str">
        <x:v>Wakefield-Woodlawn</x:v>
      </x:c>
      <x:c r="F347" s="31" t="n">
        <x:v>0.061335947824480604</x:v>
      </x:c>
      <x:c r="G347" s="31" t="n">
        <x:v>40.897495311374726</x:v>
      </x:c>
      <x:c r="H347" s="31" t="n">
        <x:v>-73.87340906741957</x:v>
      </x:c>
      <x:c r="I347" s="31" t="n">
        <x:v>1946</x:v>
      </x:c>
      <x:c r="J347" s="31" t="n">
        <x:v>31726.908428458428</x:v>
      </x:c>
      <x:c r="K347" s="31"/>
      <x:c r="L347" s="40"/>
      <x:c r="M347" s="40"/>
      <x:c r="N347" s="31" t="n">
        <x:v>299</x:v>
      </x:c>
      <x:c r="O347" s="31" t="n">
        <x:v>998</x:v>
      </x:c>
      <x:c r="P347" s="31" t="n">
        <x:v>3.7392284569138274</x:v>
      </x:c>
      <x:c r="Q347" s="40" t="n">
        <x:v>0</x:v>
      </x:c>
      <x:c r="R347" s="40" t="n">
        <x:v>0.5651302605210421</x:v>
      </x:c>
      <x:c r="S347" s="40" t="n">
        <x:v>0</x:v>
      </x:c>
      <x:c r="T347" s="31" t="n">
        <x:v>42.063319141851466</x:v>
      </x:c>
      <x:c r="U347" s="31" t="n">
        <x:v>64.32</x:v>
      </x:c>
      <x:c r="V347" s="31" t="n">
        <x:v>7</x:v>
      </x:c>
      <x:c r="W347" s="31" t="n">
        <x:v>3.5971223021582737</x:v>
      </x:c>
      <x:c r="X347" s="31" t="n">
        <x:v>3</x:v>
      </x:c>
      <x:c r="Y347" s="40" t="n">
        <x:v>0</x:v>
      </x:c>
      <x:c r="Z347" s="40" t="n">
        <x:v>1</x:v>
      </x:c>
      <x:c r="AA347" s="40" t="n">
        <x:v>0.9579158316633266</x:v>
      </x:c>
      <x:c r="AB347" s="31" t="n">
        <x:v>0.35102506119896987</x:v>
      </x:c>
      <x:c r="AC347" s="31" t="n">
        <x:v>2</x:v>
      </x:c>
      <x:c r="AD347" s="44" t="b">
        <x:v>1</x:v>
      </x:c>
    </x:row>
    <x:row r="348">
      <x:c r="A348" s="31" t="str">
        <x:v>36005044902</x:v>
      </x:c>
      <x:c r="B348" s="31" t="str">
        <x:v>Bronx</x:v>
      </x:c>
      <x:c r="C348" s="31" t="str">
        <x:v>044902</x:v>
      </x:c>
      <x:c r="D348" s="31" t="str">
        <x:v>BX1203</x:v>
      </x:c>
      <x:c r="E348" s="31" t="str">
        <x:v>Wakefield-Woodlawn</x:v>
      </x:c>
      <x:c r="F348" s="31" t="n">
        <x:v>0.060132847731935835</x:v>
      </x:c>
      <x:c r="G348" s="31" t="n">
        <x:v>40.898811229222005</x:v>
      </x:c>
      <x:c r="H348" s="31" t="n">
        <x:v>-73.86898444479398</x:v>
      </x:c>
      <x:c r="I348" s="31" t="n">
        <x:v>2229</x:v>
      </x:c>
      <x:c r="J348" s="31" t="n">
        <x:v>37067.92683321074</x:v>
      </x:c>
      <x:c r="K348" s="31"/>
      <x:c r="L348" s="40"/>
      <x:c r="M348" s="40"/>
      <x:c r="N348" s="31" t="n">
        <x:v>326</x:v>
      </x:c>
      <x:c r="O348" s="31" t="n">
        <x:v>949</x:v>
      </x:c>
      <x:c r="P348" s="31" t="n">
        <x:v>3.1412012644889358</x:v>
      </x:c>
      <x:c r="Q348" s="40" t="n">
        <x:v>0</x:v>
      </x:c>
      <x:c r="R348" s="40" t="n">
        <x:v>0.5194942044257113</x:v>
      </x:c>
      <x:c r="S348" s="40" t="n">
        <x:v>0.006322444678609062</x:v>
      </x:c>
      <x:c r="T348" s="31" t="n">
        <x:v>38.213345975922024</x:v>
      </x:c>
      <x:c r="U348" s="31" t="n">
        <x:v>62</x:v>
      </x:c>
      <x:c r="V348" s="31" t="n">
        <x:v>2</x:v>
      </x:c>
      <x:c r="W348" s="31" t="n">
        <x:v>0.8972633467922835</x:v>
      </x:c>
      <x:c r="X348" s="31" t="n">
        <x:v>3</x:v>
      </x:c>
      <x:c r="Y348" s="40" t="n">
        <x:v>0</x:v>
      </x:c>
      <x:c r="Z348" s="40" t="n">
        <x:v>1</x:v>
      </x:c>
      <x:c r="AA348" s="40" t="n">
        <x:v>1</x:v>
      </x:c>
      <x:c r="AB348" s="31" t="n">
        <x:v>0.10890843552804005</x:v>
      </x:c>
      <x:c r="AC348" s="31" t="n">
        <x:v>4</x:v>
      </x:c>
      <x:c r="AD348" s="44" t="b">
        <x:v>1</x:v>
      </x:c>
    </x:row>
    <x:row r="349">
      <x:c r="A349" s="31" t="str">
        <x:v>36005045101</x:v>
      </x:c>
      <x:c r="B349" s="31" t="str">
        <x:v>Bronx</x:v>
      </x:c>
      <x:c r="C349" s="31" t="str">
        <x:v>045101</x:v>
      </x:c>
      <x:c r="D349" s="31" t="str">
        <x:v>BX1203</x:v>
      </x:c>
      <x:c r="E349" s="31" t="str">
        <x:v>Wakefield-Woodlawn</x:v>
      </x:c>
      <x:c r="F349" s="31" t="n">
        <x:v>0.06734801255057679</x:v>
      </x:c>
      <x:c r="G349" s="31" t="n">
        <x:v>40.897460143174406</x:v>
      </x:c>
      <x:c r="H349" s="31" t="n">
        <x:v>-73.86433661116189</x:v>
      </x:c>
      <x:c r="I349" s="31" t="n">
        <x:v>1817</x:v>
      </x:c>
      <x:c r="J349" s="31" t="n">
        <x:v>26979.266814079707</x:v>
      </x:c>
      <x:c r="K349" s="31"/>
      <x:c r="L349" s="40"/>
      <x:c r="M349" s="40"/>
      <x:c r="N349" s="31" t="n">
        <x:v>188</x:v>
      </x:c>
      <x:c r="O349" s="31" t="n">
        <x:v>916</x:v>
      </x:c>
      <x:c r="P349" s="31" t="n">
        <x:v>5.391648471615721</x:v>
      </x:c>
      <x:c r="Q349" s="40" t="n">
        <x:v>0.11790393013100436</x:v>
      </x:c>
      <x:c r="R349" s="40" t="n">
        <x:v>0.6048034934497817</x:v>
      </x:c>
      <x:c r="S349" s="40" t="n">
        <x:v>0.004366812227074236</x:v>
      </x:c>
      <x:c r="T349" s="31" t="n">
        <x:v>60.48216533223684</x:v>
      </x:c>
      <x:c r="U349" s="31" t="n">
        <x:v>108.64459352</x:v>
      </x:c>
      <x:c r="V349" s="31" t="n">
        <x:v>13</x:v>
      </x:c>
      <x:c r="W349" s="31" t="n">
        <x:v>7.154650522839846</x:v>
      </x:c>
      <x:c r="X349" s="31" t="n">
        <x:v>3</x:v>
      </x:c>
      <x:c r="Y349" s="40" t="n">
        <x:v>0</x:v>
      </x:c>
      <x:c r="Z349" s="40" t="n">
        <x:v>1</x:v>
      </x:c>
      <x:c r="AA349" s="40" t="n">
        <x:v>0.9956331877729258</x:v>
      </x:c>
      <x:c r="AB349" s="31" t="n">
        <x:v>0.1880040619248499</x:v>
      </x:c>
      <x:c r="AC349" s="31" t="n">
        <x:v>2</x:v>
      </x:c>
      <x:c r="AD349" s="44" t="b">
        <x:v>1</x:v>
      </x:c>
    </x:row>
    <x:row r="350">
      <x:c r="A350" s="31" t="str">
        <x:v>36005045102</x:v>
      </x:c>
      <x:c r="B350" s="31" t="str">
        <x:v>Bronx</x:v>
      </x:c>
      <x:c r="C350" s="31" t="str">
        <x:v>045102</x:v>
      </x:c>
      <x:c r="D350" s="31" t="str">
        <x:v>BX1203</x:v>
      </x:c>
      <x:c r="E350" s="31" t="str">
        <x:v>Wakefield-Woodlawn</x:v>
      </x:c>
      <x:c r="F350" s="31" t="n">
        <x:v>0.08201331316072659</x:v>
      </x:c>
      <x:c r="G350" s="31" t="n">
        <x:v>40.90042859011976</x:v>
      </x:c>
      <x:c r="H350" s="31" t="n">
        <x:v>-73.86417127697612</x:v>
      </x:c>
      <x:c r="I350" s="31" t="n">
        <x:v>2142</x:v>
      </x:c>
      <x:c r="J350" s="31" t="n">
        <x:v>26117.710862408272</x:v>
      </x:c>
      <x:c r="K350" s="31"/>
      <x:c r="L350" s="40"/>
      <x:c r="M350" s="40"/>
      <x:c r="N350" s="31" t="n">
        <x:v>305</x:v>
      </x:c>
      <x:c r="O350" s="31" t="n">
        <x:v>963</x:v>
      </x:c>
      <x:c r="P350" s="31" t="n">
        <x:v>4.228452751817238</x:v>
      </x:c>
      <x:c r="Q350" s="40" t="n">
        <x:v>0</x:v>
      </x:c>
      <x:c r="R350" s="40" t="n">
        <x:v>0.5181723779854621</x:v>
      </x:c>
      <x:c r="S350" s="40" t="n">
        <x:v>0</x:v>
      </x:c>
      <x:c r="T350" s="31" t="n">
        <x:v>47.963797632980274</x:v>
      </x:c>
      <x:c r="U350" s="31" t="n">
        <x:v>67.41919033</x:v>
      </x:c>
      <x:c r="V350" s="31" t="n">
        <x:v>7</x:v>
      </x:c>
      <x:c r="W350" s="31" t="n">
        <x:v>3.2679738562091503</x:v>
      </x:c>
      <x:c r="X350" s="31" t="n">
        <x:v>3</x:v>
      </x:c>
      <x:c r="Y350" s="40" t="n">
        <x:v>0</x:v>
      </x:c>
      <x:c r="Z350" s="40" t="n">
        <x:v>1</x:v>
      </x:c>
      <x:c r="AA350" s="40" t="n">
        <x:v>1</x:v>
      </x:c>
      <x:c r="AB350" s="31" t="n">
        <x:v>0.16781058276739683</x:v>
      </x:c>
      <x:c r="AC350" s="31" t="n">
        <x:v>2</x:v>
      </x:c>
      <x:c r="AD350" s="44" t="b">
        <x:v>1</x:v>
      </x:c>
    </x:row>
    <x:row r="351">
      <x:c r="A351" s="31" t="str">
        <x:v>36005045600</x:v>
      </x:c>
      <x:c r="B351" s="31" t="str">
        <x:v>Bronx</x:v>
      </x:c>
      <x:c r="C351" s="31" t="str">
        <x:v>045600</x:v>
      </x:c>
      <x:c r="D351" s="31" t="str">
        <x:v>BX1202</x:v>
      </x:c>
      <x:c r="E351" s="31" t="str">
        <x:v>Eastchester-Edenwald-Baychester</x:v>
      </x:c>
      <x:c r="F351" s="31" t="n">
        <x:v>0.33898697824265384</x:v>
      </x:c>
      <x:c r="G351" s="31" t="n">
        <x:v>40.888692928653455</x:v>
      </x:c>
      <x:c r="H351" s="31" t="n">
        <x:v>-73.82086801714601</x:v>
      </x:c>
      <x:c r="I351" s="31" t="n">
        <x:v>3056</x:v>
      </x:c>
      <x:c r="J351" s="31" t="n">
        <x:v>9015.095552763247</x:v>
      </x:c>
      <x:c r="K351" s="31"/>
      <x:c r="L351" s="40"/>
      <x:c r="M351" s="40"/>
      <x:c r="N351" s="31" t="n">
        <x:v>608</x:v>
      </x:c>
      <x:c r="O351" s="31" t="n">
        <x:v>1074</x:v>
      </x:c>
      <x:c r="P351" s="31" t="n">
        <x:v>2.1347020484171324</x:v>
      </x:c>
      <x:c r="Q351" s="40" t="n">
        <x:v>0</x:v>
      </x:c>
      <x:c r="R351" s="40" t="n">
        <x:v>0.16294227188081936</x:v>
      </x:c>
      <x:c r="S351" s="40" t="n">
        <x:v>0.05027932960893855</x:v>
      </x:c>
      <x:c r="T351" s="31" t="n">
        <x:v>28.40506258774133</x:v>
      </x:c>
      <x:c r="U351" s="31" t="n">
        <x:v>43.602328</x:v>
      </x:c>
      <x:c r="V351" s="31" t="n">
        <x:v>3</x:v>
      </x:c>
      <x:c r="W351" s="31" t="n">
        <x:v>0.981675392670157</x:v>
      </x:c>
      <x:c r="X351" s="31" t="n">
        <x:v>4.638439581351094</x:v>
      </x:c>
      <x:c r="Y351" s="40" t="n">
        <x:v>0.978116079923882</x:v>
      </x:c>
      <x:c r="Z351" s="40" t="n">
        <x:v>0.978584729981378</x:v>
      </x:c>
      <x:c r="AA351" s="40" t="n">
        <x:v>0.9934823091247672</x:v>
      </x:c>
      <x:c r="AB351" s="31" t="n">
        <x:v>0.5617704278623276</x:v>
      </x:c>
      <x:c r="AC351" s="31" t="n">
        <x:v>1</x:v>
      </x:c>
      <x:c r="AD351" s="44" t="b">
        <x:v>1</x:v>
      </x:c>
    </x:row>
    <x:row r="352">
      <x:c r="A352" s="31" t="str">
        <x:v>36005045800</x:v>
      </x:c>
      <x:c r="B352" s="31" t="str">
        <x:v>Bronx</x:v>
      </x:c>
      <x:c r="C352" s="31" t="str">
        <x:v>045800</x:v>
      </x:c>
      <x:c r="D352" s="31" t="str">
        <x:v>BX1202</x:v>
      </x:c>
      <x:c r="E352" s="31" t="str">
        <x:v>Eastchester-Edenwald-Baychester</x:v>
      </x:c>
      <x:c r="F352" s="31" t="n">
        <x:v>0.0926350312453369</x:v>
      </x:c>
      <x:c r="G352" s="31" t="n">
        <x:v>40.88586321444957</x:v>
      </x:c>
      <x:c r="H352" s="31" t="n">
        <x:v>-73.84519991565637</x:v>
      </x:c>
      <x:c r="I352" s="31" t="n">
        <x:v>5662</x:v>
      </x:c>
      <x:c r="J352" s="31" t="n">
        <x:v>61121.58568829777</x:v>
      </x:c>
      <x:c r="K352" s="31"/>
      <x:c r="L352" s="40"/>
      <x:c r="M352" s="40"/>
      <x:c r="N352" s="31" t="n">
        <x:v>2</x:v>
      </x:c>
      <x:c r="O352" s="31" t="n">
        <x:v>2255</x:v>
      </x:c>
      <x:c r="P352" s="31" t="n">
        <x:v>14</x:v>
      </x:c>
      <x:c r="Q352" s="40" t="n">
        <x:v>1</x:v>
      </x:c>
      <x:c r="R352" s="40" t="n">
        <x:v>0</x:v>
      </x:c>
      <x:c r="S352" s="40" t="n">
        <x:v>1</x:v>
      </x:c>
      <x:c r="T352" s="31" t="n">
        <x:v>130.11896649720623</x:v>
      </x:c>
      <x:c r="U352" s="31" t="n">
        <x:v>130.87</x:v>
      </x:c>
      <x:c r="V352" s="31" t="n">
        <x:v>24</x:v>
      </x:c>
      <x:c r="W352" s="31" t="n">
        <x:v>4.2387848816672555</x:v>
      </x:c>
      <x:c r="X352" s="31" t="n">
        <x:v>5</x:v>
      </x:c>
      <x:c r="Y352" s="40" t="n">
        <x:v>1</x:v>
      </x:c>
      <x:c r="Z352" s="40" t="n">
        <x:v>1</x:v>
      </x:c>
      <x:c r="AA352" s="40" t="n">
        <x:v>1</x:v>
      </x:c>
      <x:c r="AB352" s="31" t="n">
        <x:v>0.09703010506159593</x:v>
      </x:c>
      <x:c r="AC352" s="31" t="n">
        <x:v>6</x:v>
      </x:c>
      <x:c r="AD352" s="44" t="b">
        <x:v>1</x:v>
      </x:c>
    </x:row>
    <x:row r="353">
      <x:c r="A353" s="31" t="str">
        <x:v>36005046000</x:v>
      </x:c>
      <x:c r="B353" s="31" t="str">
        <x:v>Bronx</x:v>
      </x:c>
      <x:c r="C353" s="31" t="str">
        <x:v>046000</x:v>
      </x:c>
      <x:c r="D353" s="31" t="str">
        <x:v>BX1202</x:v>
      </x:c>
      <x:c r="E353" s="31" t="str">
        <x:v>Eastchester-Edenwald-Baychester</x:v>
      </x:c>
      <x:c r="F353" s="31" t="n">
        <x:v>0.11108430984131083</x:v>
      </x:c>
      <x:c r="G353" s="31" t="n">
        <x:v>40.882444754994005</x:v>
      </x:c>
      <x:c r="H353" s="31" t="n">
        <x:v>-73.84264786270172</x:v>
      </x:c>
      <x:c r="I353" s="31" t="n">
        <x:v>2890</x:v>
      </x:c>
      <x:c r="J353" s="31" t="n">
        <x:v>26016.27542295128</x:v>
      </x:c>
      <x:c r="K353" s="31"/>
      <x:c r="L353" s="40"/>
      <x:c r="M353" s="40"/>
      <x:c r="N353" s="31" t="n">
        <x:v>245</x:v>
      </x:c>
      <x:c r="O353" s="31" t="n">
        <x:v>1007</x:v>
      </x:c>
      <x:c r="P353" s="31" t="n">
        <x:v>4.144684052156469</x:v>
      </x:c>
      <x:c r="Q353" s="40" t="n">
        <x:v>0</x:v>
      </x:c>
      <x:c r="R353" s="40" t="n">
        <x:v>0.785501489572989</x:v>
      </x:c>
      <x:c r="S353" s="40" t="n">
        <x:v>0.4637537239324727</x:v>
      </x:c>
      <x:c r="T353" s="31" t="n">
        <x:v>43.46352010362275</x:v>
      </x:c>
      <x:c r="U353" s="31" t="n">
        <x:v>60.12577137</x:v>
      </x:c>
      <x:c r="V353" s="31" t="n">
        <x:v>12</x:v>
      </x:c>
      <x:c r="W353" s="31" t="n">
        <x:v>4.152249134948097</x:v>
      </x:c>
      <x:c r="X353" s="31" t="n">
        <x:v>5</x:v>
      </x:c>
      <x:c r="Y353" s="40" t="n">
        <x:v>1</x:v>
      </x:c>
      <x:c r="Z353" s="40" t="n">
        <x:v>1</x:v>
      </x:c>
      <x:c r="AA353" s="40" t="n">
        <x:v>0.9950347567030785</x:v>
      </x:c>
      <x:c r="AB353" s="31" t="n">
        <x:v>0.1773330670186782</x:v>
      </x:c>
      <x:c r="AC353" s="31" t="n">
        <x:v>7</x:v>
      </x:c>
      <x:c r="AD353" s="44" t="b">
        <x:v>1</x:v>
      </x:c>
    </x:row>
    <x:row r="354">
      <x:c r="A354" s="31" t="str">
        <x:v>36005046203</x:v>
      </x:c>
      <x:c r="B354" s="31" t="str">
        <x:v>Bronx</x:v>
      </x:c>
      <x:c r="C354" s="31" t="str">
        <x:v>046203</x:v>
      </x:c>
      <x:c r="D354" s="31" t="str">
        <x:v>BX1004</x:v>
      </x:c>
      <x:c r="E354" s="31" t="str">
        <x:v>Co-op City</x:v>
      </x:c>
      <x:c r="F354" s="31" t="n">
        <x:v>0.34645267435720845</x:v>
      </x:c>
      <x:c r="G354" s="31" t="n">
        <x:v>40.87922443250925</x:v>
      </x:c>
      <x:c r="H354" s="31" t="n">
        <x:v>-73.82483909718731</x:v>
      </x:c>
      <x:c r="I354" s="31" t="n">
        <x:v>6599</x:v>
      </x:c>
      <x:c r="J354" s="31" t="n">
        <x:v>19047.334566671958</x:v>
      </x:c>
      <x:c r="K354" s="31"/>
      <x:c r="L354" s="40"/>
      <x:c r="M354" s="40"/>
      <x:c r="N354" s="31" t="n">
        <x:v>26</x:v>
      </x:c>
      <x:c r="O354" s="31" t="n">
        <x:v>312</x:v>
      </x:c>
      <x:c r="P354" s="31" t="n">
        <x:v>9.412660256410257</x:v>
      </x:c>
      <x:c r="Q354" s="40" t="n">
        <x:v>0.8012820512820513</x:v>
      </x:c>
      <x:c r="R354" s="40" t="n">
        <x:v>0.11858974358974358</x:v>
      </x:c>
      <x:c r="S354" s="40" t="n">
        <x:v>0.00641025641025641</x:v>
      </x:c>
      <x:c r="T354" s="31" t="n">
        <x:v>94.43244794179486</x:v>
      </x:c>
      <x:c r="U354" s="31" t="n">
        <x:v>113</x:v>
      </x:c>
      <x:c r="V354" s="31" t="n">
        <x:v>3</x:v>
      </x:c>
      <x:c r="W354" s="31" t="n">
        <x:v>0.4546143355053796</x:v>
      </x:c>
      <x:c r="X354" s="31" t="n">
        <x:v>4</x:v>
      </x:c>
      <x:c r="Y354" s="40" t="n">
        <x:v>1</x:v>
      </x:c>
      <x:c r="Z354" s="40" t="n">
        <x:v>1</x:v>
      </x:c>
      <x:c r="AA354" s="40" t="n">
        <x:v>1</x:v>
      </x:c>
      <x:c r="AB354" s="31" t="n">
        <x:v>0.41256669029998094</x:v>
      </x:c>
      <x:c r="AC354" s="31" t="n">
        <x:v>7</x:v>
      </x:c>
      <x:c r="AD354" s="44" t="b">
        <x:v>1</x:v>
      </x:c>
    </x:row>
    <x:row r="355">
      <x:c r="A355" s="31" t="str">
        <x:v>36005046204</x:v>
      </x:c>
      <x:c r="B355" s="31" t="str">
        <x:v>Bronx</x:v>
      </x:c>
      <x:c r="C355" s="31" t="str">
        <x:v>046204</x:v>
      </x:c>
      <x:c r="D355" s="31" t="str">
        <x:v>BX1004</x:v>
      </x:c>
      <x:c r="E355" s="31" t="str">
        <x:v>Co-op City</x:v>
      </x:c>
      <x:c r="F355" s="31" t="n">
        <x:v>0.05276161182743629</x:v>
      </x:c>
      <x:c r="G355" s="31" t="n">
        <x:v>40.87298384963102</x:v>
      </x:c>
      <x:c r="H355" s="31" t="n">
        <x:v>-73.82612351523103</x:v>
      </x:c>
      <x:c r="I355" s="31" t="n">
        <x:v>5552</x:v>
      </x:c>
      <x:c r="J355" s="31" t="n">
        <x:v>105228.02104982192</x:v>
      </x:c>
      <x:c r="K355" s="31"/>
      <x:c r="L355" s="40"/>
      <x:c r="M355" s="40"/>
      <x:c r="N355" s="31" t="n">
        <x:v>1</x:v>
      </x:c>
      <x:c r="O355" s="31" t="n">
        <x:v>10914</x:v>
      </x:c>
      <x:c r="P355" s="31" t="n">
        <x:v>33</x:v>
      </x:c>
      <x:c r="Q355" s="40" t="n">
        <x:v>1</x:v>
      </x:c>
      <x:c r="R355" s="40" t="n">
        <x:v>0</x:v>
      </x:c>
      <x:c r="S355" s="40" t="n">
        <x:v>1</x:v>
      </x:c>
      <x:c r="T355" s="31" t="n">
        <x:v>290.005</x:v>
      </x:c>
      <x:c r="U355" s="31" t="n">
        <x:v>290.005</x:v>
      </x:c>
      <x:c r="V355" s="31" t="n">
        <x:v>112</x:v>
      </x:c>
      <x:c r="W355" s="31" t="n">
        <x:v>20.172910662824208</x:v>
      </x:c>
      <x:c r="X355" s="31" t="n">
        <x:v>4</x:v>
      </x:c>
      <x:c r="Y355" s="40" t="n">
        <x:v>1</x:v>
      </x:c>
      <x:c r="Z355" s="40" t="n">
        <x:v>1</x:v>
      </x:c>
      <x:c r="AA355" s="40" t="n">
        <x:v>1</x:v>
      </x:c>
      <x:c r="AB355" s="31" t="n">
        <x:v>0.22725275968913433</x:v>
      </x:c>
      <x:c r="AC355" s="31" t="n">
        <x:v>3</x:v>
      </x:c>
      <x:c r="AD355" s="44" t="b">
        <x:v>1</x:v>
      </x:c>
    </x:row>
    <x:row r="356">
      <x:c r="A356" s="31" t="str">
        <x:v>36005046205</x:v>
      </x:c>
      <x:c r="B356" s="31" t="str">
        <x:v>Bronx</x:v>
      </x:c>
      <x:c r="C356" s="31" t="str">
        <x:v>046205</x:v>
      </x:c>
      <x:c r="D356" s="31" t="str">
        <x:v>BX1004</x:v>
      </x:c>
      <x:c r="E356" s="31" t="str">
        <x:v>Co-op City</x:v>
      </x:c>
      <x:c r="F356" s="31" t="n">
        <x:v>0.33818748159901574</x:v>
      </x:c>
      <x:c r="G356" s="31" t="n">
        <x:v>40.86892588468581</x:v>
      </x:c>
      <x:c r="H356" s="31" t="n">
        <x:v>-73.82908641188472</x:v>
      </x:c>
      <x:c r="I356" s="31" t="n">
        <x:v>4445</x:v>
      </x:c>
      <x:c r="J356" s="31" t="n">
        <x:v>13143.597092900014</x:v>
      </x:c>
      <x:c r="K356" s="31"/>
      <x:c r="L356" s="40"/>
      <x:c r="M356" s="40"/>
      <x:c r="N356" s="31" t="n">
        <x:v>1</x:v>
      </x:c>
      <x:c r="O356" s="31" t="n">
        <x:v>100</x:v>
      </x:c>
      <x:c r="P356" s="31" t="n">
        <x:v>7</x:v>
      </x:c>
      <x:c r="Q356" s="40" t="n">
        <x:v>0</x:v>
      </x:c>
      <x:c r="R356" s="40" t="n">
        <x:v>1</x:v>
      </x:c>
      <x:c r="S356" s="40" t="n">
        <x:v>0</x:v>
      </x:c>
      <x:c r="T356" s="31" t="n">
        <x:v>64.44</x:v>
      </x:c>
      <x:c r="U356" s="31" t="n">
        <x:v>64.44</x:v>
      </x:c>
      <x:c r="V356" s="31" t="n">
        <x:v>2</x:v>
      </x:c>
      <x:c r="W356" s="31" t="n">
        <x:v>0.4499437570303712</x:v>
      </x:c>
      <x:c r="X356" s="31" t="n">
        <x:v>4</x:v>
      </x:c>
      <x:c r="Y356" s="40" t="n">
        <x:v>1</x:v>
      </x:c>
      <x:c r="Z356" s="40" t="n">
        <x:v>1</x:v>
      </x:c>
      <x:c r="AA356" s="40" t="n">
        <x:v>1</x:v>
      </x:c>
      <x:c r="AB356" s="31" t="n">
        <x:v>0.0970926118339732</x:v>
      </x:c>
      <x:c r="AC356" s="31" t="n">
        <x:v>10</x:v>
      </x:c>
      <x:c r="AD356" s="44" t="b">
        <x:v>1</x:v>
      </x:c>
    </x:row>
    <x:row r="357">
      <x:c r="A357" s="31" t="str">
        <x:v>36005046206</x:v>
      </x:c>
      <x:c r="B357" s="31" t="str">
        <x:v>Bronx</x:v>
      </x:c>
      <x:c r="C357" s="31" t="str">
        <x:v>046206</x:v>
      </x:c>
      <x:c r="D357" s="31" t="str">
        <x:v>BX1004</x:v>
      </x:c>
      <x:c r="E357" s="31" t="str">
        <x:v>Co-op City</x:v>
      </x:c>
      <x:c r="F357" s="31" t="n">
        <x:v>0.027591780417061236</x:v>
      </x:c>
      <x:c r="G357" s="31" t="n">
        <x:v>40.8754544702532</x:v>
      </x:c>
      <x:c r="H357" s="31" t="n">
        <x:v>-73.82789106275712</x:v>
      </x:c>
      <x:c r="I357" s="31" t="n">
        <x:v>4434</x:v>
      </x:c>
      <x:c r="J357" s="31" t="n">
        <x:v>160700.032146467</x:v>
      </x:c>
      <x:c r="K357" s="31"/>
      <x:c r="L357" s="40"/>
      <x:c r="M357" s="40"/>
      <x:c r="N357" s="31" t="n">
        <x:v>0</x:v>
      </x:c>
      <x:c r="O357" s="31"/>
      <x:c r="P357" s="31"/>
      <x:c r="Q357" s="40"/>
      <x:c r="R357" s="40"/>
      <x:c r="S357" s="40"/>
      <x:c r="T357" s="31"/>
      <x:c r="U357" s="31"/>
      <x:c r="V357" s="31" t="n">
        <x:v>0</x:v>
      </x:c>
      <x:c r="W357" s="31" t="n">
        <x:v>0</x:v>
      </x:c>
      <x:c r="X357" s="31"/>
      <x:c r="Y357" s="40"/>
      <x:c r="Z357" s="40"/>
      <x:c r="AA357" s="40"/>
      <x:c r="AB357" s="31" t="n">
        <x:v>0.2044282358527415</x:v>
      </x:c>
      <x:c r="AC357" s="31" t="n">
        <x:v>4</x:v>
      </x:c>
      <x:c r="AD357" s="44" t="b">
        <x:v>0</x:v>
      </x:c>
    </x:row>
    <x:row r="358">
      <x:c r="A358" s="31" t="str">
        <x:v>36005046207</x:v>
      </x:c>
      <x:c r="B358" s="31" t="str">
        <x:v>Bronx</x:v>
      </x:c>
      <x:c r="C358" s="31" t="str">
        <x:v>046207</x:v>
      </x:c>
      <x:c r="D358" s="31" t="str">
        <x:v>BX1004</x:v>
      </x:c>
      <x:c r="E358" s="31" t="str">
        <x:v>Co-op City</x:v>
      </x:c>
      <x:c r="F358" s="31" t="n">
        <x:v>0.07142120713706669</x:v>
      </x:c>
      <x:c r="G358" s="31" t="n">
        <x:v>40.87733576317527</x:v>
      </x:c>
      <x:c r="H358" s="31" t="n">
        <x:v>-73.8316575067578</x:v>
      </x:c>
      <x:c r="I358" s="31" t="n">
        <x:v>6228</x:v>
      </x:c>
      <x:c r="J358" s="31" t="n">
        <x:v>87200.99042918232</x:v>
      </x:c>
      <x:c r="K358" s="31"/>
      <x:c r="L358" s="40"/>
      <x:c r="M358" s="40"/>
      <x:c r="N358" s="31" t="n">
        <x:v>0</x:v>
      </x:c>
      <x:c r="O358" s="31"/>
      <x:c r="P358" s="31"/>
      <x:c r="Q358" s="40"/>
      <x:c r="R358" s="40"/>
      <x:c r="S358" s="40"/>
      <x:c r="T358" s="31"/>
      <x:c r="U358" s="31"/>
      <x:c r="V358" s="31" t="n">
        <x:v>0</x:v>
      </x:c>
      <x:c r="W358" s="31" t="n">
        <x:v>0</x:v>
      </x:c>
      <x:c r="X358" s="31"/>
      <x:c r="Y358" s="40"/>
      <x:c r="Z358" s="40"/>
      <x:c r="AA358" s="40"/>
      <x:c r="AB358" s="31" t="n">
        <x:v>0.16073976223011696</x:v>
      </x:c>
      <x:c r="AC358" s="31" t="n">
        <x:v>5</x:v>
      </x:c>
      <x:c r="AD358" s="44" t="b">
        <x:v>0</x:v>
      </x:c>
    </x:row>
    <x:row r="359">
      <x:c r="A359" s="31" t="str">
        <x:v>36005046208</x:v>
      </x:c>
      <x:c r="B359" s="31" t="str">
        <x:v>Bronx</x:v>
      </x:c>
      <x:c r="C359" s="31" t="str">
        <x:v>046208</x:v>
      </x:c>
      <x:c r="D359" s="31" t="str">
        <x:v>BX1202</x:v>
      </x:c>
      <x:c r="E359" s="31" t="str">
        <x:v>Eastchester-Edenwald-Baychester</x:v>
      </x:c>
      <x:c r="F359" s="31" t="n">
        <x:v>0.18697956693282256</x:v>
      </x:c>
      <x:c r="G359" s="31" t="n">
        <x:v>40.87502274518004</x:v>
      </x:c>
      <x:c r="H359" s="31" t="n">
        <x:v>-73.83696460790622</x:v>
      </x:c>
      <x:c r="I359" s="31" t="n">
        <x:v>5155</x:v>
      </x:c>
      <x:c r="J359" s="31" t="n">
        <x:v>27569.857415768176</x:v>
      </x:c>
      <x:c r="K359" s="31"/>
      <x:c r="L359" s="40"/>
      <x:c r="M359" s="40"/>
      <x:c r="N359" s="31" t="n">
        <x:v>670</x:v>
      </x:c>
      <x:c r="O359" s="31" t="n">
        <x:v>1299</x:v>
      </x:c>
      <x:c r="P359" s="31" t="n">
        <x:v>2.3502975724353954</x:v>
      </x:c>
      <x:c r="Q359" s="40" t="n">
        <x:v>0</x:v>
      </x:c>
      <x:c r="R359" s="40" t="n">
        <x:v>0.3856812933025404</x:v>
      </x:c>
      <x:c r="S359" s="40" t="n">
        <x:v>0.05388760585065435</x:v>
      </x:c>
      <x:c r="T359" s="31" t="n">
        <x:v>29.26425712080185</x:v>
      </x:c>
      <x:c r="U359" s="31" t="n">
        <x:v>41.03436753</x:v>
      </x:c>
      <x:c r="V359" s="31" t="n">
        <x:v>0</x:v>
      </x:c>
      <x:c r="W359" s="31" t="n">
        <x:v>0</x:v>
      </x:c>
      <x:c r="X359" s="31" t="n">
        <x:v>4.872209391839877</x:v>
      </x:c>
      <x:c r="Y359" s="40" t="n">
        <x:v>1</x:v>
      </x:c>
      <x:c r="Z359" s="40" t="n">
        <x:v>1</x:v>
      </x:c>
      <x:c r="AA359" s="40" t="n">
        <x:v>0.9984603541185527</x:v>
      </x:c>
      <x:c r="AB359" s="31" t="n">
        <x:v>0.20301417870147112</x:v>
      </x:c>
      <x:c r="AC359" s="31" t="n">
        <x:v>8</x:v>
      </x:c>
      <x:c r="AD359" s="44" t="b">
        <x:v>1</x:v>
      </x:c>
    </x:row>
    <x:row r="360">
      <x:c r="A360" s="31" t="str">
        <x:v>36005046209</x:v>
      </x:c>
      <x:c r="B360" s="31" t="str">
        <x:v>Bronx</x:v>
      </x:c>
      <x:c r="C360" s="31" t="str">
        <x:v>046209</x:v>
      </x:c>
      <x:c r="D360" s="31" t="str">
        <x:v>BX1202</x:v>
      </x:c>
      <x:c r="E360" s="31" t="str">
        <x:v>Eastchester-Edenwald-Baychester</x:v>
      </x:c>
      <x:c r="F360" s="31" t="n">
        <x:v>0.18413656291967975</x:v>
      </x:c>
      <x:c r="G360" s="31" t="n">
        <x:v>40.883084745836136</x:v>
      </x:c>
      <x:c r="H360" s="31" t="n">
        <x:v>-73.83090472049565</x:v>
      </x:c>
      <x:c r="I360" s="31" t="n">
        <x:v>3707</x:v>
      </x:c>
      <x:c r="J360" s="31" t="n">
        <x:v>20131.797516047864</x:v>
      </x:c>
      <x:c r="K360" s="31"/>
      <x:c r="L360" s="40"/>
      <x:c r="M360" s="40"/>
      <x:c r="N360" s="31" t="n">
        <x:v>134</x:v>
      </x:c>
      <x:c r="O360" s="31" t="n">
        <x:v>1174</x:v>
      </x:c>
      <x:c r="P360" s="31" t="n">
        <x:v>11.377623509369677</x:v>
      </x:c>
      <x:c r="Q360" s="40" t="n">
        <x:v>0.6354344122657581</x:v>
      </x:c>
      <x:c r="R360" s="40" t="n">
        <x:v>0.24701873935264054</x:v>
      </x:c>
      <x:c r="S360" s="40" t="n">
        <x:v>0.2010221465076661</x:v>
      </x:c>
      <x:c r="T360" s="31" t="n">
        <x:v>105.91797854627089</x:v>
      </x:c>
      <x:c r="U360" s="31" t="n">
        <x:v>158.03</x:v>
      </x:c>
      <x:c r="V360" s="31" t="n">
        <x:v>13</x:v>
      </x:c>
      <x:c r="W360" s="31" t="n">
        <x:v>3.5068788777987594</x:v>
      </x:c>
      <x:c r="X360" s="31" t="n">
        <x:v>4</x:v>
      </x:c>
      <x:c r="Y360" s="40" t="n">
        <x:v>1</x:v>
      </x:c>
      <x:c r="Z360" s="40" t="n">
        <x:v>1</x:v>
      </x:c>
      <x:c r="AA360" s="40" t="n">
        <x:v>0.9684838160136287</x:v>
      </x:c>
      <x:c r="AB360" s="31" t="n">
        <x:v>0.0020429312076348577</x:v>
      </x:c>
      <x:c r="AC360" s="31" t="n">
        <x:v>6</x:v>
      </x:c>
      <x:c r="AD360" s="44" t="b">
        <x:v>1</x:v>
      </x:c>
    </x:row>
    <x:row r="361">
      <x:c r="A361" s="31" t="str">
        <x:v>36005048401</x:v>
      </x:c>
      <x:c r="B361" s="31" t="str">
        <x:v>Bronx</x:v>
      </x:c>
      <x:c r="C361" s="31" t="str">
        <x:v>048401</x:v>
      </x:c>
      <x:c r="D361" s="31" t="str">
        <x:v>BX1202</x:v>
      </x:c>
      <x:c r="E361" s="31" t="str">
        <x:v>Eastchester-Edenwald-Baychester</x:v>
      </x:c>
      <x:c r="F361" s="31" t="n">
        <x:v>0.19511880585829888</x:v>
      </x:c>
      <x:c r="G361" s="31" t="n">
        <x:v>40.88608691866947</x:v>
      </x:c>
      <x:c r="H361" s="31" t="n">
        <x:v>-73.83314270094733</x:v>
      </x:c>
      <x:c r="I361" s="31" t="n">
        <x:v>3888</x:v>
      </x:c>
      <x:c r="J361" s="31" t="n">
        <x:v>19926.32121182405</x:v>
      </x:c>
      <x:c r="K361" s="31"/>
      <x:c r="L361" s="40"/>
      <x:c r="M361" s="40"/>
      <x:c r="N361" s="31" t="n">
        <x:v>626</x:v>
      </x:c>
      <x:c r="O361" s="31" t="n">
        <x:v>1219</x:v>
      </x:c>
      <x:c r="P361" s="31" t="n">
        <x:v>2.5274609695973704</x:v>
      </x:c>
      <x:c r="Q361" s="40" t="n">
        <x:v>0</x:v>
      </x:c>
      <x:c r="R361" s="40" t="n">
        <x:v>0.5151763740771124</x:v>
      </x:c>
      <x:c r="S361" s="40" t="n">
        <x:v>0.011484823625922888</x:v>
      </x:c>
      <x:c r="T361" s="31" t="n">
        <x:v>30.248230272776393</x:v>
      </x:c>
      <x:c r="U361" s="31" t="n">
        <x:v>44.16</x:v>
      </x:c>
      <x:c r="V361" s="31" t="n">
        <x:v>0</x:v>
      </x:c>
      <x:c r="W361" s="31" t="n">
        <x:v>0</x:v>
      </x:c>
      <x:c r="X361" s="31" t="n">
        <x:v>5</x:v>
      </x:c>
      <x:c r="Y361" s="40" t="n">
        <x:v>1</x:v>
      </x:c>
      <x:c r="Z361" s="40" t="n">
        <x:v>1</x:v>
      </x:c>
      <x:c r="AA361" s="40" t="n">
        <x:v>0.9868744872846595</x:v>
      </x:c>
      <x:c r="AB361" s="31" t="n">
        <x:v>0.1965484566754544</x:v>
      </x:c>
      <x:c r="AC361" s="31" t="n">
        <x:v>6</x:v>
      </x:c>
      <x:c r="AD361" s="44" t="b">
        <x:v>1</x:v>
      </x:c>
    </x:row>
    <x:row r="362">
      <x:c r="A362" s="31" t="str">
        <x:v>36005048402</x:v>
      </x:c>
      <x:c r="B362" s="31" t="str">
        <x:v>Bronx</x:v>
      </x:c>
      <x:c r="C362" s="31" t="str">
        <x:v>048402</x:v>
      </x:c>
      <x:c r="D362" s="31" t="str">
        <x:v>BX1202</x:v>
      </x:c>
      <x:c r="E362" s="31" t="str">
        <x:v>Eastchester-Edenwald-Baychester</x:v>
      </x:c>
      <x:c r="F362" s="31" t="n">
        <x:v>0.07341848999189336</x:v>
      </x:c>
      <x:c r="G362" s="31" t="n">
        <x:v>40.88688922645086</x:v>
      </x:c>
      <x:c r="H362" s="31" t="n">
        <x:v>-73.83850725974685</x:v>
      </x:c>
      <x:c r="I362" s="31" t="n">
        <x:v>41</x:v>
      </x:c>
      <x:c r="J362" s="31" t="n">
        <x:v>558.4424305720138</x:v>
      </x:c>
      <x:c r="K362" s="31"/>
      <x:c r="L362" s="40"/>
      <x:c r="M362" s="40"/>
      <x:c r="N362" s="31" t="n">
        <x:v>0</x:v>
      </x:c>
      <x:c r="O362" s="31"/>
      <x:c r="P362" s="31"/>
      <x:c r="Q362" s="40"/>
      <x:c r="R362" s="40"/>
      <x:c r="S362" s="40"/>
      <x:c r="T362" s="31"/>
      <x:c r="U362" s="31"/>
      <x:c r="V362" s="31" t="n">
        <x:v>0</x:v>
      </x:c>
      <x:c r="W362" s="31" t="n">
        <x:v>0</x:v>
      </x:c>
      <x:c r="X362" s="31"/>
      <x:c r="Y362" s="40"/>
      <x:c r="Z362" s="40"/>
      <x:c r="AA362" s="40"/>
      <x:c r="AB362" s="31" t="n">
        <x:v>0.11220513590605143</x:v>
      </x:c>
      <x:c r="AC362" s="31" t="n">
        <x:v>4</x:v>
      </x:c>
      <x:c r="AD362" s="44" t="b">
        <x:v>0</x:v>
      </x:c>
    </x:row>
    <x:row r="363">
      <x:c r="A363" s="31" t="str">
        <x:v>36005050400</x:v>
      </x:c>
      <x:c r="B363" s="31" t="str">
        <x:v>Bronx</x:v>
      </x:c>
      <x:c r="C363" s="31" t="str">
        <x:v>050400</x:v>
      </x:c>
      <x:c r="D363" s="31" t="str">
        <x:v>BX2891</x:v>
      </x:c>
      <x:c r="E363" s="31" t="str">
        <x:v>Pelham Bay Park</x:v>
      </x:c>
      <x:c r="F363" s="31" t="n">
        <x:v>2.845610827959998</x:v>
      </x:c>
      <x:c r="G363" s="31" t="n">
        <x:v>40.871622841532144</x:v>
      </x:c>
      <x:c r="H363" s="31" t="n">
        <x:v>-73.80441690280504</x:v>
      </x:c>
      <x:c r="I363" s="31" t="n">
        <x:v>5</x:v>
      </x:c>
      <x:c r="J363" s="31" t="n">
        <x:v>1.7570919926476634</x:v>
      </x:c>
      <x:c r="K363" s="31"/>
      <x:c r="L363" s="40"/>
      <x:c r="M363" s="40"/>
      <x:c r="N363" s="31" t="n">
        <x:v>0</x:v>
      </x:c>
      <x:c r="O363" s="31"/>
      <x:c r="P363" s="31"/>
      <x:c r="Q363" s="40"/>
      <x:c r="R363" s="40"/>
      <x:c r="S363" s="40"/>
      <x:c r="T363" s="31"/>
      <x:c r="U363" s="31"/>
      <x:c r="V363" s="31" t="n">
        <x:v>0</x:v>
      </x:c>
      <x:c r="W363" s="31" t="n">
        <x:v>0</x:v>
      </x:c>
      <x:c r="X363" s="31"/>
      <x:c r="Y363" s="40"/>
      <x:c r="Z363" s="40"/>
      <x:c r="AA363" s="40"/>
      <x:c r="AB363" s="31" t="n">
        <x:v>1.1455442133852947</x:v>
      </x:c>
      <x:c r="AC363" s="31" t="n">
        <x:v>4</x:v>
      </x:c>
      <x:c r="AD363" s="44" t="b">
        <x:v>0</x:v>
      </x:c>
    </x:row>
    <x:row r="364">
      <x:c r="A364" s="31" t="str">
        <x:v>36005051601</x:v>
      </x:c>
      <x:c r="B364" s="31" t="str">
        <x:v>Bronx</x:v>
      </x:c>
      <x:c r="C364" s="31" t="str">
        <x:v>051601</x:v>
      </x:c>
      <x:c r="D364" s="31" t="str">
        <x:v>BX1003</x:v>
      </x:c>
      <x:c r="E364" s="31" t="str">
        <x:v>Pelham Bay-Country Club-City Island</x:v>
      </x:c>
      <x:c r="F364" s="31" t="n">
        <x:v>0.4466794328871097</x:v>
      </x:c>
      <x:c r="G364" s="31" t="n">
        <x:v>40.84724930510134</x:v>
      </x:c>
      <x:c r="H364" s="31" t="n">
        <x:v>-73.78664764499084</x:v>
      </x:c>
      <x:c r="I364" s="31" t="n">
        <x:v>4445</x:v>
      </x:c>
      <x:c r="J364" s="31" t="n">
        <x:v>9951.208120933105</x:v>
      </x:c>
      <x:c r="K364" s="31"/>
      <x:c r="L364" s="40"/>
      <x:c r="M364" s="40"/>
      <x:c r="N364" s="31" t="n">
        <x:v>1198</x:v>
      </x:c>
      <x:c r="O364" s="31" t="n">
        <x:v>2141</x:v>
      </x:c>
      <x:c r="P364" s="31" t="n">
        <x:v>2.3152271640363464</x:v>
      </x:c>
      <x:c r="Q364" s="40" t="n">
        <x:v>0</x:v>
      </x:c>
      <x:c r="R364" s="40" t="n">
        <x:v>0.23073330219523588</x:v>
      </x:c>
      <x:c r="S364" s="40" t="n">
        <x:v>0.15319943951424567</x:v>
      </x:c>
      <x:c r="T364" s="31" t="n">
        <x:v>30.202546013046327</x:v>
      </x:c>
      <x:c r="U364" s="31" t="n">
        <x:v>66.32</x:v>
      </x:c>
      <x:c r="V364" s="31" t="n">
        <x:v>11</x:v>
      </x:c>
      <x:c r="W364" s="31" t="n">
        <x:v>2.4746906636670416</x:v>
      </x:c>
      <x:c r="X364" s="31" t="n">
        <x:v>1</x:v>
      </x:c>
      <x:c r="Y364" s="40" t="n">
        <x:v>0</x:v>
      </x:c>
      <x:c r="Z364" s="40" t="n">
        <x:v>1</x:v>
      </x:c>
      <x:c r="AA364" s="40" t="n">
        <x:v>0.9981317141522653</x:v>
      </x:c>
      <x:c r="AB364" s="31" t="n">
        <x:v>0.03732426696642479</x:v>
      </x:c>
      <x:c r="AC364" s="31" t="n">
        <x:v>0</x:v>
      </x:c>
      <x:c r="AD364" s="44" t="b">
        <x:v>0</x:v>
      </x:c>
    </x:row>
    <x:row r="365">
      <x:c r="A365" s="31" t="str">
        <x:v>36005051602</x:v>
      </x:c>
      <x:c r="B365" s="31" t="str">
        <x:v>Bronx</x:v>
      </x:c>
      <x:c r="C365" s="31" t="str">
        <x:v>051602</x:v>
      </x:c>
      <x:c r="D365" s="31" t="str">
        <x:v>BX1071</x:v>
      </x:c>
      <x:c r="E365" s="31" t="str">
        <x:v>Hart Island</x:v>
      </x:c>
      <x:c r="F365" s="31" t="n">
        <x:v>0.17594729726275538</x:v>
      </x:c>
      <x:c r="G365" s="31" t="n">
        <x:v>40.85383403592157</x:v>
      </x:c>
      <x:c r="H365" s="31" t="n">
        <x:v>-73.77023216252357</x:v>
      </x:c>
      <x:c r="I365" s="31" t="n">
        <x:v>0</x:v>
      </x:c>
      <x:c r="J365" s="31" t="n">
        <x:v>0</x:v>
      </x:c>
      <x:c r="K365" s="31"/>
      <x:c r="L365" s="40"/>
      <x:c r="M365" s="40"/>
      <x:c r="N365" s="31" t="n">
        <x:v>0</x:v>
      </x:c>
      <x:c r="O365" s="31"/>
      <x:c r="P365" s="31"/>
      <x:c r="Q365" s="40"/>
      <x:c r="R365" s="40"/>
      <x:c r="S365" s="40"/>
      <x:c r="T365" s="31"/>
      <x:c r="U365" s="31"/>
      <x:c r="V365" s="31" t="n">
        <x:v>0</x:v>
      </x:c>
      <x:c r="W365" s="31"/>
      <x:c r="X365" s="31"/>
      <x:c r="Y365" s="40"/>
      <x:c r="Z365" s="40"/>
      <x:c r="AA365" s="40"/>
      <x:c r="AB365" s="31" t="n">
        <x:v>0.9456321300666418</x:v>
      </x:c>
      <x:c r="AC365" s="31" t="n">
        <x:v>0</x:v>
      </x:c>
      <x:c r="AD365" s="44" t="b">
        <x:v>0</x:v>
      </x:c>
    </x:row>
    <x:row r="366">
      <x:c r="A366" s="31" t="str">
        <x:v>36047000100</x:v>
      </x:c>
      <x:c r="B366" s="31" t="str">
        <x:v>Brooklyn</x:v>
      </x:c>
      <x:c r="C366" s="31" t="str">
        <x:v>000100</x:v>
      </x:c>
      <x:c r="D366" s="31" t="str">
        <x:v>BK0201</x:v>
      </x:c>
      <x:c r="E366" s="31" t="str">
        <x:v>Brooklyn Heights</x:v>
      </x:c>
      <x:c r="F366" s="31" t="n">
        <x:v>0.07977864804149448</x:v>
      </x:c>
      <x:c r="G366" s="31" t="n">
        <x:v>40.700217803998804</x:v>
      </x:c>
      <x:c r="H366" s="31" t="n">
        <x:v>-73.99380890396519</x:v>
      </x:c>
      <x:c r="I366" s="31" t="n">
        <x:v>4616</x:v>
      </x:c>
      <x:c r="J366" s="31" t="n">
        <x:v>57860.09306148088</x:v>
      </x:c>
      <x:c r="K366" s="31"/>
      <x:c r="L366" s="40"/>
      <x:c r="M366" s="40"/>
      <x:c r="N366" s="31" t="n">
        <x:v>204</x:v>
      </x:c>
      <x:c r="O366" s="31" t="n">
        <x:v>2820</x:v>
      </x:c>
      <x:c r="P366" s="31" t="n">
        <x:v>14.500266240681576</x:v>
      </x:c>
      <x:c r="Q366" s="40" t="n">
        <x:v>0.5308510638297872</x:v>
      </x:c>
      <x:c r="R366" s="40" t="n">
        <x:v>0.4563829787234043</x:v>
      </x:c>
      <x:c r="S366" s="40" t="n">
        <x:v>0.13120567375886524</x:v>
      </x:c>
      <x:c r="T366" s="31" t="n">
        <x:v>146.65535343436326</x:v>
      </x:c>
      <x:c r="U366" s="31" t="n">
        <x:v>297.91005109</x:v>
      </x:c>
      <x:c r="V366" s="31" t="n">
        <x:v>59</x:v>
      </x:c>
      <x:c r="W366" s="31" t="n">
        <x:v>12.78162911611785</x:v>
      </x:c>
      <x:c r="X366" s="31" t="n">
        <x:v>2</x:v>
      </x:c>
      <x:c r="Y366" s="40" t="n">
        <x:v>0</x:v>
      </x:c>
      <x:c r="Z366" s="40" t="n">
        <x:v>1</x:v>
      </x:c>
      <x:c r="AA366" s="40" t="n">
        <x:v>0.999645390070922</x:v>
      </x:c>
      <x:c r="AB366" s="31" t="n">
        <x:v>0.0635788524501753</x:v>
      </x:c>
      <x:c r="AC366" s="31" t="n">
        <x:v>8</x:v>
      </x:c>
      <x:c r="AD366" s="44" t="b">
        <x:v>1</x:v>
      </x:c>
    </x:row>
    <x:row r="367">
      <x:c r="A367" s="31" t="str">
        <x:v>36047000200</x:v>
      </x:c>
      <x:c r="B367" s="31" t="str">
        <x:v>Brooklyn</x:v>
      </x:c>
      <x:c r="C367" s="31" t="str">
        <x:v>000200</x:v>
      </x:c>
      <x:c r="D367" s="31" t="str">
        <x:v>BK0702</x:v>
      </x:c>
      <x:c r="E367" s="31" t="str">
        <x:v>Sunset Park (West)</x:v>
      </x:c>
      <x:c r="F367" s="31" t="n">
        <x:v>0.10583696787692264</x:v>
      </x:c>
      <x:c r="G367" s="31" t="n">
        <x:v>40.65325714938911</x:v>
      </x:c>
      <x:c r="H367" s="31" t="n">
        <x:v>-74.01108734489682</x:v>
      </x:c>
      <x:c r="I367" s="31" t="n">
        <x:v>1205</x:v>
      </x:c>
      <x:c r="J367" s="31" t="n">
        <x:v>11385.435771377062</x:v>
      </x:c>
      <x:c r="K367" s="31"/>
      <x:c r="L367" s="40"/>
      <x:c r="M367" s="40"/>
      <x:c r="N367" s="31" t="n">
        <x:v>104</x:v>
      </x:c>
      <x:c r="O367" s="31" t="n">
        <x:v>344</x:v>
      </x:c>
      <x:c r="P367" s="31" t="n">
        <x:v>3.116279069767442</x:v>
      </x:c>
      <x:c r="Q367" s="40" t="n">
        <x:v>0</x:v>
      </x:c>
      <x:c r="R367" s="40" t="n">
        <x:v>0.6540697674418605</x:v>
      </x:c>
      <x:c r="S367" s="40" t="n">
        <x:v>0</x:v>
      </x:c>
      <x:c r="T367" s="31" t="n">
        <x:v>37.783488372093025</x:v>
      </x:c>
      <x:c r="U367" s="31" t="n">
        <x:v>51.4</x:v>
      </x:c>
      <x:c r="V367" s="31" t="n">
        <x:v>0</x:v>
      </x:c>
      <x:c r="W367" s="31" t="n">
        <x:v>0</x:v>
      </x:c>
      <x:c r="X367" s="31" t="n">
        <x:v>3.441860465116279</x:v>
      </x:c>
      <x:c r="Y367" s="40" t="n">
        <x:v>0.4418604651162791</x:v>
      </x:c>
      <x:c r="Z367" s="40" t="n">
        <x:v>1</x:v>
      </x:c>
      <x:c r="AA367" s="40" t="n">
        <x:v>1</x:v>
      </x:c>
      <x:c r="AB367" s="31" t="n">
        <x:v>0.052401864160535376</x:v>
      </x:c>
      <x:c r="AC367" s="31" t="n">
        <x:v>6</x:v>
      </x:c>
      <x:c r="AD367" s="44" t="b">
        <x:v>1</x:v>
      </x:c>
    </x:row>
    <x:row r="368">
      <x:c r="A368" s="31" t="str">
        <x:v>36047000301</x:v>
      </x:c>
      <x:c r="B368" s="31" t="str">
        <x:v>Brooklyn</x:v>
      </x:c>
      <x:c r="C368" s="31" t="str">
        <x:v>000301</x:v>
      </x:c>
      <x:c r="D368" s="31" t="str">
        <x:v>BK0201</x:v>
      </x:c>
      <x:c r="E368" s="31" t="str">
        <x:v>Brooklyn Heights</x:v>
      </x:c>
      <x:c r="F368" s="31" t="n">
        <x:v>0.07763491750817837</x:v>
      </x:c>
      <x:c r="G368" s="31" t="n">
        <x:v>40.69637076488683</x:v>
      </x:c>
      <x:c r="H368" s="31" t="n">
        <x:v>-73.99737605241972</x:v>
      </x:c>
      <x:c r="I368" s="31" t="n">
        <x:v>3850</x:v>
      </x:c>
      <x:c r="J368" s="31" t="n">
        <x:v>49591.087664831044</x:v>
      </x:c>
      <x:c r="K368" s="31"/>
      <x:c r="L368" s="40"/>
      <x:c r="M368" s="40"/>
      <x:c r="N368" s="31" t="n">
        <x:v>250</x:v>
      </x:c>
      <x:c r="O368" s="31" t="n">
        <x:v>2344</x:v>
      </x:c>
      <x:c r="P368" s="31" t="n">
        <x:v>6.2883547008547005</x:v>
      </x:c>
      <x:c r="Q368" s="40" t="n">
        <x:v>0.22098976109215018</x:v>
      </x:c>
      <x:c r="R368" s="40" t="n">
        <x:v>0.7721843003412969</x:v>
      </x:c>
      <x:c r="S368" s="40" t="n">
        <x:v>0.06143344709897611</x:v>
      </x:c>
      <x:c r="T368" s="31" t="n">
        <x:v>77.8456104888029</x:v>
      </x:c>
      <x:c r="U368" s="31" t="n">
        <x:v>162.06</x:v>
      </x:c>
      <x:c r="V368" s="31" t="n">
        <x:v>79</x:v>
      </x:c>
      <x:c r="W368" s="31" t="n">
        <x:v>20.51948051948052</x:v>
      </x:c>
      <x:c r="X368" s="31" t="n">
        <x:v>2</x:v>
      </x:c>
      <x:c r="Y368" s="40" t="n">
        <x:v>0</x:v>
      </x:c>
      <x:c r="Z368" s="40" t="n">
        <x:v>1</x:v>
      </x:c>
      <x:c r="AA368" s="40" t="n">
        <x:v>0.9978668941979523</x:v>
      </x:c>
      <x:c r="AB368" s="31" t="n">
        <x:v>0.2822871207830127</x:v>
      </x:c>
      <x:c r="AC368" s="31" t="n">
        <x:v>5</x:v>
      </x:c>
      <x:c r="AD368" s="44" t="b">
        <x:v>1</x:v>
      </x:c>
    </x:row>
    <x:row r="369">
      <x:c r="A369" s="31" t="str">
        <x:v>36047000501</x:v>
      </x:c>
      <x:c r="B369" s="31" t="str">
        <x:v>Brooklyn</x:v>
      </x:c>
      <x:c r="C369" s="31" t="str">
        <x:v>000501</x:v>
      </x:c>
      <x:c r="D369" s="31" t="str">
        <x:v>BK0201</x:v>
      </x:c>
      <x:c r="E369" s="31" t="str">
        <x:v>Brooklyn Heights</x:v>
      </x:c>
      <x:c r="F369" s="31" t="n">
        <x:v>0.03233711512134843</x:v>
      </x:c>
      <x:c r="G369" s="31" t="n">
        <x:v>40.695815038567105</x:v>
      </x:c>
      <x:c r="H369" s="31" t="n">
        <x:v>-73.99470023171256</x:v>
      </x:c>
      <x:c r="I369" s="31" t="n">
        <x:v>4404</x:v>
      </x:c>
      <x:c r="J369" s="31" t="n">
        <x:v>136190.2564119751</x:v>
      </x:c>
      <x:c r="K369" s="31"/>
      <x:c r="L369" s="40"/>
      <x:c r="M369" s="40"/>
      <x:c r="N369" s="31" t="n">
        <x:v>152</x:v>
      </x:c>
      <x:c r="O369" s="31" t="n">
        <x:v>2079</x:v>
      </x:c>
      <x:c r="P369" s="31" t="n">
        <x:v>10.515074770863484</x:v>
      </x:c>
      <x:c r="Q369" s="40" t="n">
        <x:v>0.4122174122174122</x:v>
      </x:c>
      <x:c r="R369" s="40" t="n">
        <x:v>0.5723905723905723</x:v>
      </x:c>
      <x:c r="S369" s="40" t="n">
        <x:v>0</x:v>
      </x:c>
      <x:c r="T369" s="31" t="n">
        <x:v>114.24269596985569</x:v>
      </x:c>
      <x:c r="U369" s="31" t="n">
        <x:v>317</x:v>
      </x:c>
      <x:c r="V369" s="31" t="n">
        <x:v>53</x:v>
      </x:c>
      <x:c r="W369" s="31" t="n">
        <x:v>12.03451407811081</x:v>
      </x:c>
      <x:c r="X369" s="31" t="n">
        <x:v>2</x:v>
      </x:c>
      <x:c r="Y369" s="40" t="n">
        <x:v>0</x:v>
      </x:c>
      <x:c r="Z369" s="40" t="n">
        <x:v>1</x:v>
      </x:c>
      <x:c r="AA369" s="40" t="n">
        <x:v>1</x:v>
      </x:c>
      <x:c r="AB369" s="31" t="n">
        <x:v>0.13905169511666543</x:v>
      </x:c>
      <x:c r="AC369" s="31" t="n">
        <x:v>4</x:v>
      </x:c>
      <x:c r="AD369" s="44" t="b">
        <x:v>1</x:v>
      </x:c>
    </x:row>
    <x:row r="370">
      <x:c r="A370" s="31" t="str">
        <x:v>36047000502</x:v>
      </x:c>
      <x:c r="B370" s="31" t="str">
        <x:v>Brooklyn</x:v>
      </x:c>
      <x:c r="C370" s="31" t="str">
        <x:v>000502</x:v>
      </x:c>
      <x:c r="D370" s="31" t="str">
        <x:v>BK0201</x:v>
      </x:c>
      <x:c r="E370" s="31" t="str">
        <x:v>Brooklyn Heights</x:v>
      </x:c>
      <x:c r="F370" s="31" t="n">
        <x:v>0.03735971467013889</x:v>
      </x:c>
      <x:c r="G370" s="31" t="n">
        <x:v>40.69513397184614</x:v>
      </x:c>
      <x:c r="H370" s="31" t="n">
        <x:v>-73.99286290731145</x:v>
      </x:c>
      <x:c r="I370" s="31" t="n">
        <x:v>2640</x:v>
      </x:c>
      <x:c r="J370" s="31" t="n">
        <x:v>70664.351248649</x:v>
      </x:c>
      <x:c r="K370" s="31"/>
      <x:c r="L370" s="40"/>
      <x:c r="M370" s="40"/>
      <x:c r="N370" s="31" t="n">
        <x:v>127</x:v>
      </x:c>
      <x:c r="O370" s="31" t="n">
        <x:v>1801</x:v>
      </x:c>
      <x:c r="P370" s="31" t="n">
        <x:v>9.084264952487423</x:v>
      </x:c>
      <x:c r="Q370" s="40" t="n">
        <x:v>0.3631315935591338</x:v>
      </x:c>
      <x:c r="R370" s="40" t="n">
        <x:v>0.6240977234869517</x:v>
      </x:c>
      <x:c r="S370" s="40" t="n">
        <x:v>0.018878400888395337</x:v>
      </x:c>
      <x:c r="T370" s="31" t="n">
        <x:v>78.80346063987973</x:v>
      </x:c>
      <x:c r="U370" s="31" t="n">
        <x:v>145.6179258</x:v>
      </x:c>
      <x:c r="V370" s="31" t="n">
        <x:v>48</x:v>
      </x:c>
      <x:c r="W370" s="31" t="n">
        <x:v>18.18181818181818</x:v>
      </x:c>
      <x:c r="X370" s="31" t="n">
        <x:v>2</x:v>
      </x:c>
      <x:c r="Y370" s="40" t="n">
        <x:v>0</x:v>
      </x:c>
      <x:c r="Z370" s="40" t="n">
        <x:v>1</x:v>
      </x:c>
      <x:c r="AA370" s="40" t="n">
        <x:v>0.923375902276513</x:v>
      </x:c>
      <x:c r="AB370" s="31" t="n">
        <x:v>0.03301382533626086</x:v>
      </x:c>
      <x:c r="AC370" s="31" t="n">
        <x:v>6</x:v>
      </x:c>
      <x:c r="AD370" s="44" t="b">
        <x:v>1</x:v>
      </x:c>
    </x:row>
    <x:row r="371">
      <x:c r="A371" s="31" t="str">
        <x:v>36047000700</x:v>
      </x:c>
      <x:c r="B371" s="31" t="str">
        <x:v>Brooklyn</x:v>
      </x:c>
      <x:c r="C371" s="31" t="str">
        <x:v>000700</x:v>
      </x:c>
      <x:c r="D371" s="31" t="str">
        <x:v>BK0201</x:v>
      </x:c>
      <x:c r="E371" s="31" t="str">
        <x:v>Brooklyn Heights</x:v>
      </x:c>
      <x:c r="F371" s="31" t="n">
        <x:v>0.0674923113288424</x:v>
      </x:c>
      <x:c r="G371" s="31" t="n">
        <x:v>40.692351327909</x:v>
      </x:c>
      <x:c r="H371" s="31" t="n">
        <x:v>-73.99730353799546</x:v>
      </x:c>
      <x:c r="I371" s="31" t="n">
        <x:v>4415</x:v>
      </x:c>
      <x:c r="J371" s="31" t="n">
        <x:v>65414.85856794593</x:v>
      </x:c>
      <x:c r="K371" s="31"/>
      <x:c r="L371" s="40"/>
      <x:c r="M371" s="40"/>
      <x:c r="N371" s="31" t="n">
        <x:v>374</x:v>
      </x:c>
      <x:c r="O371" s="31" t="n">
        <x:v>2383</x:v>
      </x:c>
      <x:c r="P371" s="31" t="n">
        <x:v>7.839488040285355</x:v>
      </x:c>
      <x:c r="Q371" s="40" t="n">
        <x:v>0.3256399496433068</x:v>
      </x:c>
      <x:c r="R371" s="40" t="n">
        <x:v>0.663449433487201</x:v>
      </x:c>
      <x:c r="S371" s="40" t="n">
        <x:v>0.0692404532102392</x:v>
      </x:c>
      <x:c r="T371" s="31" t="n">
        <x:v>100.90225977569031</x:v>
      </x:c>
      <x:c r="U371" s="31" t="n">
        <x:v>315</x:v>
      </x:c>
      <x:c r="V371" s="31" t="n">
        <x:v>34</x:v>
      </x:c>
      <x:c r="W371" s="31" t="n">
        <x:v>7.701019252548131</x:v>
      </x:c>
      <x:c r="X371" s="31" t="n">
        <x:v>2</x:v>
      </x:c>
      <x:c r="Y371" s="40" t="n">
        <x:v>0</x:v>
      </x:c>
      <x:c r="Z371" s="40" t="n">
        <x:v>1</x:v>
      </x:c>
      <x:c r="AA371" s="40" t="n">
        <x:v>1</x:v>
      </x:c>
      <x:c r="AB371" s="31" t="n">
        <x:v>0.3074180459959979</x:v>
      </x:c>
      <x:c r="AC371" s="31" t="n">
        <x:v>9</x:v>
      </x:c>
      <x:c r="AD371" s="44" t="b">
        <x:v>1</x:v>
      </x:c>
    </x:row>
    <x:row r="372">
      <x:c r="A372" s="31" t="str">
        <x:v>36047000900</x:v>
      </x:c>
      <x:c r="B372" s="31" t="str">
        <x:v>Brooklyn</x:v>
      </x:c>
      <x:c r="C372" s="31" t="str">
        <x:v>000900</x:v>
      </x:c>
      <x:c r="D372" s="31" t="str">
        <x:v>BK0201</x:v>
      </x:c>
      <x:c r="E372" s="31" t="str">
        <x:v>Brooklyn Heights</x:v>
      </x:c>
      <x:c r="F372" s="31" t="n">
        <x:v>0.06345308869949495</x:v>
      </x:c>
      <x:c r="G372" s="31" t="n">
        <x:v>40.6917113291593</x:v>
      </x:c>
      <x:c r="H372" s="31" t="n">
        <x:v>-73.99159301354536</x:v>
      </x:c>
      <x:c r="I372" s="31" t="n">
        <x:v>5167</x:v>
      </x:c>
      <x:c r="J372" s="31" t="n">
        <x:v>81430.23619339</x:v>
      </x:c>
      <x:c r="K372" s="31"/>
      <x:c r="L372" s="40"/>
      <x:c r="M372" s="40"/>
      <x:c r="N372" s="31" t="n">
        <x:v>157</x:v>
      </x:c>
      <x:c r="O372" s="31" t="n">
        <x:v>3030</x:v>
      </x:c>
      <x:c r="P372" s="31" t="n">
        <x:v>14.683003300330032</x:v>
      </x:c>
      <x:c r="Q372" s="40" t="n">
        <x:v>0.7452145214521452</x:v>
      </x:c>
      <x:c r="R372" s="40" t="n">
        <x:v>0.25412541254125415</x:v>
      </x:c>
      <x:c r="S372" s="40" t="n">
        <x:v>0.01485148514851485</x:v>
      </x:c>
      <x:c r="T372" s="31" t="n">
        <x:v>170.1263399450689</x:v>
      </x:c>
      <x:c r="U372" s="31" t="n">
        <x:v>388.16010113</x:v>
      </x:c>
      <x:c r="V372" s="31" t="n">
        <x:v>86</x:v>
      </x:c>
      <x:c r="W372" s="31" t="n">
        <x:v>16.64408747822721</x:v>
      </x:c>
      <x:c r="X372" s="31" t="n">
        <x:v>2</x:v>
      </x:c>
      <x:c r="Y372" s="40" t="n">
        <x:v>0</x:v>
      </x:c>
      <x:c r="Z372" s="40" t="n">
        <x:v>1</x:v>
      </x:c>
      <x:c r="AA372" s="40" t="n">
        <x:v>0.9818481848184818</x:v>
      </x:c>
      <x:c r="AB372" s="31" t="n">
        <x:v>0.06568773458250873</x:v>
      </x:c>
      <x:c r="AC372" s="31" t="n">
        <x:v>6</x:v>
      </x:c>
      <x:c r="AD372" s="44" t="b">
        <x:v>1</x:v>
      </x:c>
    </x:row>
    <x:row r="373">
      <x:c r="A373" s="31" t="str">
        <x:v>36047001100</x:v>
      </x:c>
      <x:c r="B373" s="31" t="str">
        <x:v>Brooklyn</x:v>
      </x:c>
      <x:c r="C373" s="31" t="str">
        <x:v>001100</x:v>
      </x:c>
      <x:c r="D373" s="31" t="str">
        <x:v>BK0202</x:v>
      </x:c>
      <x:c r="E373" s="31" t="str">
        <x:v>Downtown Brooklyn-DUMBO-Boerum Hill</x:v>
      </x:c>
      <x:c r="F373" s="31" t="n">
        <x:v>0.06499853518135905</x:v>
      </x:c>
      <x:c r="G373" s="31" t="n">
        <x:v>40.693289689544635</x:v>
      </x:c>
      <x:c r="H373" s="31" t="n">
        <x:v>-73.98770511547349</x:v>
      </x:c>
      <x:c r="I373" s="31" t="n">
        <x:v>1578</x:v>
      </x:c>
      <x:c r="J373" s="31" t="n">
        <x:v>24277.470186013594</x:v>
      </x:c>
      <x:c r="K373" s="31"/>
      <x:c r="L373" s="40"/>
      <x:c r="M373" s="40"/>
      <x:c r="N373" s="31" t="n">
        <x:v>14</x:v>
      </x:c>
      <x:c r="O373" s="31" t="n">
        <x:v>1338</x:v>
      </x:c>
      <x:c r="P373" s="31" t="n">
        <x:v>44.69506726457399</x:v>
      </x:c>
      <x:c r="Q373" s="40" t="n">
        <x:v>0.9379671150971599</x:v>
      </x:c>
      <x:c r="R373" s="40" t="n">
        <x:v>0.06203288490284006</x:v>
      </x:c>
      <x:c r="S373" s="40" t="n">
        <x:v>0.02242152466367713</x:v>
      </x:c>
      <x:c r="T373" s="31" t="n">
        <x:v>505.2037517621873</x:v>
      </x:c>
      <x:c r="U373" s="31" t="n">
        <x:v>628</x:v>
      </x:c>
      <x:c r="V373" s="31" t="n">
        <x:v>26</x:v>
      </x:c>
      <x:c r="W373" s="31" t="n">
        <x:v>16.476552598225602</x:v>
      </x:c>
      <x:c r="X373" s="31" t="n">
        <x:v>2</x:v>
      </x:c>
      <x:c r="Y373" s="40" t="n">
        <x:v>0</x:v>
      </x:c>
      <x:c r="Z373" s="40" t="n">
        <x:v>1</x:v>
      </x:c>
      <x:c r="AA373" s="40" t="n">
        <x:v>0.9260089686098655</x:v>
      </x:c>
      <x:c r="AB373" s="31" t="n">
        <x:v>0.05388857613302013</x:v>
      </x:c>
      <x:c r="AC373" s="31" t="n">
        <x:v>6</x:v>
      </x:c>
      <x:c r="AD373" s="44" t="b">
        <x:v>1</x:v>
      </x:c>
    </x:row>
    <x:row r="374">
      <x:c r="A374" s="31" t="str">
        <x:v>36047001300</x:v>
      </x:c>
      <x:c r="B374" s="31" t="str">
        <x:v>Brooklyn</x:v>
      </x:c>
      <x:c r="C374" s="31" t="str">
        <x:v>001300</x:v>
      </x:c>
      <x:c r="D374" s="31" t="str">
        <x:v>BK0202</x:v>
      </x:c>
      <x:c r="E374" s="31" t="str">
        <x:v>Downtown Brooklyn-DUMBO-Boerum Hill</x:v>
      </x:c>
      <x:c r="F374" s="31" t="n">
        <x:v>0.11358226831238522</x:v>
      </x:c>
      <x:c r="G374" s="31" t="n">
        <x:v>40.69761670264745</x:v>
      </x:c>
      <x:c r="H374" s="31" t="n">
        <x:v>-73.98836420133868</x:v>
      </x:c>
      <x:c r="I374" s="31" t="n">
        <x:v>2465</x:v>
      </x:c>
      <x:c r="J374" s="31" t="n">
        <x:v>21702.331152786213</x:v>
      </x:c>
      <x:c r="K374" s="31"/>
      <x:c r="L374" s="40"/>
      <x:c r="M374" s="40"/>
      <x:c r="N374" s="31" t="n">
        <x:v>8</x:v>
      </x:c>
      <x:c r="O374" s="31" t="n">
        <x:v>2086</x:v>
      </x:c>
      <x:c r="P374" s="31" t="n">
        <x:v>21.199424736337487</x:v>
      </x:c>
      <x:c r="Q374" s="40" t="n">
        <x:v>0.9889741131351869</x:v>
      </x:c>
      <x:c r="R374" s="40" t="n">
        <x:v>0.01102588686481304</x:v>
      </x:c>
      <x:c r="S374" s="40" t="n">
        <x:v>0.4899328859060403</x:v>
      </x:c>
      <x:c r="T374" s="31" t="n">
        <x:v>259.9163872955092</x:v>
      </x:c>
      <x:c r="U374" s="31" t="n">
        <x:v>371.41509581</x:v>
      </x:c>
      <x:c r="V374" s="31" t="n">
        <x:v>38</x:v>
      </x:c>
      <x:c r="W374" s="31" t="n">
        <x:v>15.415821501014198</x:v>
      </x:c>
      <x:c r="X374" s="31" t="n">
        <x:v>2</x:v>
      </x:c>
      <x:c r="Y374" s="40" t="n">
        <x:v>0</x:v>
      </x:c>
      <x:c r="Z374" s="40" t="n">
        <x:v>1</x:v>
      </x:c>
      <x:c r="AA374" s="40" t="n">
        <x:v>0.9650047938638543</x:v>
      </x:c>
      <x:c r="AB374" s="31" t="n">
        <x:v>0.0642407895763546</x:v>
      </x:c>
      <x:c r="AC374" s="31" t="n">
        <x:v>7</x:v>
      </x:c>
      <x:c r="AD374" s="44" t="b">
        <x:v>1</x:v>
      </x:c>
    </x:row>
    <x:row r="375">
      <x:c r="A375" s="31" t="str">
        <x:v>36047001501</x:v>
      </x:c>
      <x:c r="B375" s="31" t="str">
        <x:v>Brooklyn</x:v>
      </x:c>
      <x:c r="C375" s="31" t="str">
        <x:v>001501</x:v>
      </x:c>
      <x:c r="D375" s="31" t="str">
        <x:v>BK0202</x:v>
      </x:c>
      <x:c r="E375" s="31" t="str">
        <x:v>Downtown Brooklyn-DUMBO-Boerum Hill</x:v>
      </x:c>
      <x:c r="F375" s="31" t="n">
        <x:v>0.06371914501226757</x:v>
      </x:c>
      <x:c r="G375" s="31" t="n">
        <x:v>40.69591158403762</x:v>
      </x:c>
      <x:c r="H375" s="31" t="n">
        <x:v>-73.98247001516232</x:v>
      </x:c>
      <x:c r="I375" s="31" t="n">
        <x:v>5161</x:v>
      </x:c>
      <x:c r="J375" s="31" t="n">
        <x:v>80996.06482488701</x:v>
      </x:c>
      <x:c r="K375" s="31"/>
      <x:c r="L375" s="40"/>
      <x:c r="M375" s="40"/>
      <x:c r="N375" s="31" t="n">
        <x:v>49</x:v>
      </x:c>
      <x:c r="O375" s="31" t="n">
        <x:v>3196</x:v>
      </x:c>
      <x:c r="P375" s="31" t="n">
        <x:v>18.109668335419276</x:v>
      </x:c>
      <x:c r="Q375" s="40" t="n">
        <x:v>0.717459324155194</x:v>
      </x:c>
      <x:c r="R375" s="40" t="n">
        <x:v>0.28035043804755944</x:v>
      </x:c>
      <x:c r="S375" s="40" t="n">
        <x:v>0.1811639549436796</x:v>
      </x:c>
      <x:c r="T375" s="31" t="n">
        <x:v>201.35272546710328</x:v>
      </x:c>
      <x:c r="U375" s="31" t="n">
        <x:v>420.07083389</x:v>
      </x:c>
      <x:c r="V375" s="31" t="n">
        <x:v>72</x:v>
      </x:c>
      <x:c r="W375" s="31" t="n">
        <x:v>13.950784731641155</x:v>
      </x:c>
      <x:c r="X375" s="31" t="n">
        <x:v>2</x:v>
      </x:c>
      <x:c r="Y375" s="40" t="n">
        <x:v>0</x:v>
      </x:c>
      <x:c r="Z375" s="40" t="n">
        <x:v>1</x:v>
      </x:c>
      <x:c r="AA375" s="40" t="n">
        <x:v>0.9937421777221527</x:v>
      </x:c>
      <x:c r="AB375" s="31" t="n">
        <x:v>0.1483651068860284</x:v>
      </x:c>
      <x:c r="AC375" s="31" t="n">
        <x:v>7</x:v>
      </x:c>
      <x:c r="AD375" s="44" t="b">
        <x:v>1</x:v>
      </x:c>
    </x:row>
    <x:row r="376">
      <x:c r="A376" s="31" t="str">
        <x:v>36047001502</x:v>
      </x:c>
      <x:c r="B376" s="31" t="str">
        <x:v>Brooklyn</x:v>
      </x:c>
      <x:c r="C376" s="31" t="str">
        <x:v>001502</x:v>
      </x:c>
      <x:c r="D376" s="31" t="str">
        <x:v>BK0202</x:v>
      </x:c>
      <x:c r="E376" s="31" t="str">
        <x:v>Downtown Brooklyn-DUMBO-Boerum Hill</x:v>
      </x:c>
      <x:c r="F376" s="31" t="n">
        <x:v>0.054527193153839526</x:v>
      </x:c>
      <x:c r="G376" s="31" t="n">
        <x:v>40.692319376842946</x:v>
      </x:c>
      <x:c r="H376" s="31" t="n">
        <x:v>-73.98359595341994</x:v>
      </x:c>
      <x:c r="I376" s="31" t="n">
        <x:v>5801</x:v>
      </x:c>
      <x:c r="J376" s="31" t="n">
        <x:v>106387.28429745926</x:v>
      </x:c>
      <x:c r="K376" s="31"/>
      <x:c r="L376" s="40"/>
      <x:c r="M376" s="40"/>
      <x:c r="N376" s="31" t="n">
        <x:v>21</x:v>
      </x:c>
      <x:c r="O376" s="31" t="n">
        <x:v>4807</x:v>
      </x:c>
      <x:c r="P376" s="31" t="n">
        <x:v>46.82225148123766</x:v>
      </x:c>
      <x:c r="Q376" s="40" t="n">
        <x:v>0.8995215311004785</x:v>
      </x:c>
      <x:c r="R376" s="40" t="n">
        <x:v>0.04847097982109424</x:v>
      </x:c>
      <x:c r="S376" s="40" t="n">
        <x:v>0</x:v>
      </x:c>
      <x:c r="T376" s="31" t="n">
        <x:v>537.3894959328248</x:v>
      </x:c>
      <x:c r="U376" s="31" t="n">
        <x:v>1035</x:v>
      </x:c>
      <x:c r="V376" s="31" t="n">
        <x:v>104</x:v>
      </x:c>
      <x:c r="W376" s="31" t="n">
        <x:v>17.927943458024476</x:v>
      </x:c>
      <x:c r="X376" s="31" t="n">
        <x:v>2</x:v>
      </x:c>
      <x:c r="Y376" s="40" t="n">
        <x:v>0</x:v>
      </x:c>
      <x:c r="Z376" s="40" t="n">
        <x:v>1</x:v>
      </x:c>
      <x:c r="AA376" s="40" t="n">
        <x:v>0.8903682130226752</x:v>
      </x:c>
      <x:c r="AB376" s="31" t="n">
        <x:v>0.08276151119357991</x:v>
      </x:c>
      <x:c r="AC376" s="31" t="n">
        <x:v>6</x:v>
      </x:c>
      <x:c r="AD376" s="44" t="b">
        <x:v>1</x:v>
      </x:c>
    </x:row>
    <x:row r="377">
      <x:c r="A377" s="31" t="str">
        <x:v>36047001801</x:v>
      </x:c>
      <x:c r="B377" s="31" t="str">
        <x:v>Brooklyn</x:v>
      </x:c>
      <x:c r="C377" s="31" t="str">
        <x:v>001801</x:v>
      </x:c>
      <x:c r="D377" s="31" t="str">
        <x:v>BK0702</x:v>
      </x:c>
      <x:c r="E377" s="31" t="str">
        <x:v>Sunset Park (West)</x:v>
      </x:c>
      <x:c r="F377" s="31" t="n">
        <x:v>0.18435675567069848</x:v>
      </x:c>
      <x:c r="G377" s="31" t="n">
        <x:v>40.66465635208922</x:v>
      </x:c>
      <x:c r="H377" s="31" t="n">
        <x:v>-74.00024316538375</x:v>
      </x:c>
      <x:c r="I377" s="31" t="n">
        <x:v>2563</x:v>
      </x:c>
      <x:c r="J377" s="31" t="n">
        <x:v>13902.39262280184</x:v>
      </x:c>
      <x:c r="K377" s="31"/>
      <x:c r="L377" s="40"/>
      <x:c r="M377" s="40"/>
      <x:c r="N377" s="31" t="n">
        <x:v>1</x:v>
      </x:c>
      <x:c r="O377" s="31" t="n">
        <x:v>2</x:v>
      </x:c>
      <x:c r="P377" s="31" t="n">
        <x:v>3</x:v>
      </x:c>
      <x:c r="Q377" s="40" t="n">
        <x:v>0</x:v>
      </x:c>
      <x:c r="R377" s="40" t="n">
        <x:v>1</x:v>
      </x:c>
      <x:c r="S377" s="40" t="n">
        <x:v>0</x:v>
      </x:c>
      <x:c r="T377" s="31"/>
      <x:c r="U377" s="31"/>
      <x:c r="V377" s="31" t="n">
        <x:v>0</x:v>
      </x:c>
      <x:c r="W377" s="31" t="n">
        <x:v>0</x:v>
      </x:c>
      <x:c r="X377" s="31" t="n">
        <x:v>4</x:v>
      </x:c>
      <x:c r="Y377" s="40" t="n">
        <x:v>1</x:v>
      </x:c>
      <x:c r="Z377" s="40" t="n">
        <x:v>1</x:v>
      </x:c>
      <x:c r="AA377" s="40" t="n">
        <x:v>0</x:v>
      </x:c>
      <x:c r="AB377" s="31" t="n">
        <x:v>0.4011528487051722</x:v>
      </x:c>
      <x:c r="AC377" s="31" t="n">
        <x:v>8</x:v>
      </x:c>
      <x:c r="AD377" s="44" t="b">
        <x:v>1</x:v>
      </x:c>
    </x:row>
    <x:row r="378">
      <x:c r="A378" s="31" t="str">
        <x:v>36047001802</x:v>
      </x:c>
      <x:c r="B378" s="31" t="str">
        <x:v>Brooklyn</x:v>
      </x:c>
      <x:c r="C378" s="31" t="str">
        <x:v>001802</x:v>
      </x:c>
      <x:c r="D378" s="31" t="str">
        <x:v>BK0702</x:v>
      </x:c>
      <x:c r="E378" s="31" t="str">
        <x:v>Sunset Park (West)</x:v>
      </x:c>
      <x:c r="F378" s="31" t="n">
        <x:v>0.22939274365315082</x:v>
      </x:c>
      <x:c r="G378" s="31" t="n">
        <x:v>40.658699433504644</x:v>
      </x:c>
      <x:c r="H378" s="31" t="n">
        <x:v>-74.00971872776908</x:v>
      </x:c>
      <x:c r="I378" s="31" t="n">
        <x:v>6</x:v>
      </x:c>
      <x:c r="J378" s="31" t="n">
        <x:v>26.156014808699407</x:v>
      </x:c>
      <x:c r="K378" s="31"/>
      <x:c r="L378" s="40"/>
      <x:c r="M378" s="40"/>
      <x:c r="N378" s="31" t="n">
        <x:v>0</x:v>
      </x:c>
      <x:c r="O378" s="31"/>
      <x:c r="P378" s="31"/>
      <x:c r="Q378" s="40"/>
      <x:c r="R378" s="40"/>
      <x:c r="S378" s="40"/>
      <x:c r="T378" s="31"/>
      <x:c r="U378" s="31"/>
      <x:c r="V378" s="31" t="n">
        <x:v>0</x:v>
      </x:c>
      <x:c r="W378" s="31" t="n">
        <x:v>0</x:v>
      </x:c>
      <x:c r="X378" s="31"/>
      <x:c r="Y378" s="40"/>
      <x:c r="Z378" s="40"/>
      <x:c r="AA378" s="40"/>
      <x:c r="AB378" s="31" t="n">
        <x:v>0.3548587659233567</x:v>
      </x:c>
      <x:c r="AC378" s="31" t="n">
        <x:v>5</x:v>
      </x:c>
      <x:c r="AD378" s="44" t="b">
        <x:v>0</x:v>
      </x:c>
    </x:row>
    <x:row r="379">
      <x:c r="A379" s="31" t="str">
        <x:v>36047001803</x:v>
      </x:c>
      <x:c r="B379" s="31" t="str">
        <x:v>Brooklyn</x:v>
      </x:c>
      <x:c r="C379" s="31" t="str">
        <x:v>001803</x:v>
      </x:c>
      <x:c r="D379" s="31" t="str">
        <x:v>BK0702</x:v>
      </x:c>
      <x:c r="E379" s="31" t="str">
        <x:v>Sunset Park (West)</x:v>
      </x:c>
      <x:c r="F379" s="31" t="n">
        <x:v>0.24709943309910182</x:v>
      </x:c>
      <x:c r="G379" s="31" t="n">
        <x:v>40.65151215002027</x:v>
      </x:c>
      <x:c r="H379" s="31" t="n">
        <x:v>-74.01925406812816</x:v>
      </x:c>
      <x:c r="I379" s="31" t="n">
        <x:v>16</x:v>
      </x:c>
      <x:c r="J379" s="31" t="n">
        <x:v>64.75126146316585</x:v>
      </x:c>
      <x:c r="K379" s="31"/>
      <x:c r="L379" s="40"/>
      <x:c r="M379" s="40"/>
      <x:c r="N379" s="31" t="n">
        <x:v>0</x:v>
      </x:c>
      <x:c r="O379" s="31"/>
      <x:c r="P379" s="31"/>
      <x:c r="Q379" s="40"/>
      <x:c r="R379" s="40"/>
      <x:c r="S379" s="40"/>
      <x:c r="T379" s="31"/>
      <x:c r="U379" s="31"/>
      <x:c r="V379" s="31" t="n">
        <x:v>0</x:v>
      </x:c>
      <x:c r="W379" s="31" t="n">
        <x:v>0</x:v>
      </x:c>
      <x:c r="X379" s="31"/>
      <x:c r="Y379" s="40"/>
      <x:c r="Z379" s="40"/>
      <x:c r="AA379" s="40"/>
      <x:c r="AB379" s="31" t="n">
        <x:v>0.4270152616718576</x:v>
      </x:c>
      <x:c r="AC379" s="31" t="n">
        <x:v>5</x:v>
      </x:c>
      <x:c r="AD379" s="44" t="b">
        <x:v>0</x:v>
      </x:c>
    </x:row>
    <x:row r="380">
      <x:c r="A380" s="31" t="str">
        <x:v>36047001804</x:v>
      </x:c>
      <x:c r="B380" s="31" t="str">
        <x:v>Brooklyn</x:v>
      </x:c>
      <x:c r="C380" s="31" t="str">
        <x:v>001804</x:v>
      </x:c>
      <x:c r="D380" s="31" t="str">
        <x:v>BK0702</x:v>
      </x:c>
      <x:c r="E380" s="31" t="str">
        <x:v>Sunset Park (West)</x:v>
      </x:c>
      <x:c r="F380" s="31" t="n">
        <x:v>0.13066778884907312</x:v>
      </x:c>
      <x:c r="G380" s="31" t="n">
        <x:v>40.64371612493677</x:v>
      </x:c>
      <x:c r="H380" s="31" t="n">
        <x:v>-74.02670240640036</x:v>
      </x:c>
      <x:c r="I380" s="31" t="n">
        <x:v>0</x:v>
      </x:c>
      <x:c r="J380" s="31" t="n">
        <x:v>0</x:v>
      </x:c>
      <x:c r="K380" s="31"/>
      <x:c r="L380" s="40"/>
      <x:c r="M380" s="40"/>
      <x:c r="N380" s="31" t="n">
        <x:v>0</x:v>
      </x:c>
      <x:c r="O380" s="31"/>
      <x:c r="P380" s="31"/>
      <x:c r="Q380" s="40"/>
      <x:c r="R380" s="40"/>
      <x:c r="S380" s="40"/>
      <x:c r="T380" s="31"/>
      <x:c r="U380" s="31"/>
      <x:c r="V380" s="31" t="n">
        <x:v>0</x:v>
      </x:c>
      <x:c r="W380" s="31"/>
      <x:c r="X380" s="31"/>
      <x:c r="Y380" s="40"/>
      <x:c r="Z380" s="40"/>
      <x:c r="AA380" s="40"/>
      <x:c r="AB380" s="31" t="n">
        <x:v>0.1923065284495443</x:v>
      </x:c>
      <x:c r="AC380" s="31" t="n">
        <x:v>4</x:v>
      </x:c>
      <x:c r="AD380" s="44" t="b">
        <x:v>0</x:v>
      </x:c>
    </x:row>
    <x:row r="381">
      <x:c r="A381" s="31" t="str">
        <x:v>36047002000</x:v>
      </x:c>
      <x:c r="B381" s="31" t="str">
        <x:v>Brooklyn</x:v>
      </x:c>
      <x:c r="C381" s="31" t="str">
        <x:v>002000</x:v>
      </x:c>
      <x:c r="D381" s="31" t="str">
        <x:v>BK0702</x:v>
      </x:c>
      <x:c r="E381" s="31" t="str">
        <x:v>Sunset Park (West)</x:v>
      </x:c>
      <x:c r="F381" s="31" t="n">
        <x:v>0.05813752168022555</x:v>
      </x:c>
      <x:c r="G381" s="31" t="n">
        <x:v>40.648055883918204</x:v>
      </x:c>
      <x:c r="H381" s="31" t="n">
        <x:v>-74.01596097559336</x:v>
      </x:c>
      <x:c r="I381" s="31" t="n">
        <x:v>1694</x:v>
      </x:c>
      <x:c r="J381" s="31" t="n">
        <x:v>29137.808957828078</x:v>
      </x:c>
      <x:c r="K381" s="31"/>
      <x:c r="L381" s="40"/>
      <x:c r="M381" s="40"/>
      <x:c r="N381" s="31" t="n">
        <x:v>144</x:v>
      </x:c>
      <x:c r="O381" s="31" t="n">
        <x:v>406</x:v>
      </x:c>
      <x:c r="P381" s="31" t="n">
        <x:v>2.706896551724138</x:v>
      </x:c>
      <x:c r="Q381" s="40" t="n">
        <x:v>0</x:v>
      </x:c>
      <x:c r="R381" s="40" t="n">
        <x:v>0.5862068965517241</x:v>
      </x:c>
      <x:c r="S381" s="40" t="n">
        <x:v>0.017241379310344827</x:v>
      </x:c>
      <x:c r="T381" s="31" t="n">
        <x:v>35.09076354679803</x:v>
      </x:c>
      <x:c r="U381" s="31" t="n">
        <x:v>49.49</x:v>
      </x:c>
      <x:c r="V381" s="31" t="n">
        <x:v>0</x:v>
      </x:c>
      <x:c r="W381" s="31" t="n">
        <x:v>0</x:v>
      </x:c>
      <x:c r="X381" s="31" t="n">
        <x:v>3.039408866995074</x:v>
      </x:c>
      <x:c r="Y381" s="40" t="n">
        <x:v>0.03940886699507389</x:v>
      </x:c>
      <x:c r="Z381" s="40" t="n">
        <x:v>1</x:v>
      </x:c>
      <x:c r="AA381" s="40" t="n">
        <x:v>1</x:v>
      </x:c>
      <x:c r="AB381" s="31" t="n">
        <x:v>0.19022974104709534</x:v>
      </x:c>
      <x:c r="AC381" s="31" t="n">
        <x:v>6</x:v>
      </x:c>
      <x:c r="AD381" s="44" t="b">
        <x:v>1</x:v>
      </x:c>
    </x:row>
    <x:row r="382">
      <x:c r="A382" s="31" t="str">
        <x:v>36047002100</x:v>
      </x:c>
      <x:c r="B382" s="31" t="str">
        <x:v>Brooklyn</x:v>
      </x:c>
      <x:c r="C382" s="31" t="str">
        <x:v>002100</x:v>
      </x:c>
      <x:c r="D382" s="31" t="str">
        <x:v>BK0202</x:v>
      </x:c>
      <x:c r="E382" s="31" t="str">
        <x:v>Downtown Brooklyn-DUMBO-Boerum Hill</x:v>
      </x:c>
      <x:c r="F382" s="31" t="n">
        <x:v>0.2046386425088958</x:v>
      </x:c>
      <x:c r="G382" s="31" t="n">
        <x:v>40.70318386591059</x:v>
      </x:c>
      <x:c r="H382" s="31" t="n">
        <x:v>-73.9864964337898</x:v>
      </x:c>
      <x:c r="I382" s="31" t="n">
        <x:v>5975</x:v>
      </x:c>
      <x:c r="J382" s="31" t="n">
        <x:v>29197.809009802546</x:v>
      </x:c>
      <x:c r="K382" s="31"/>
      <x:c r="L382" s="40"/>
      <x:c r="M382" s="40"/>
      <x:c r="N382" s="31" t="n">
        <x:v>133</x:v>
      </x:c>
      <x:c r="O382" s="31" t="n">
        <x:v>4376</x:v>
      </x:c>
      <x:c r="P382" s="31" t="n">
        <x:v>14.028172293364378</x:v>
      </x:c>
      <x:c r="Q382" s="40" t="n">
        <x:v>0.6135740402193784</x:v>
      </x:c>
      <x:c r="R382" s="40" t="n">
        <x:v>0.3654021937842779</x:v>
      </x:c>
      <x:c r="S382" s="40" t="n">
        <x:v>0.0013711151736745886</x:v>
      </x:c>
      <x:c r="T382" s="31" t="n">
        <x:v>165.422953102532</x:v>
      </x:c>
      <x:c r="U382" s="31" t="n">
        <x:v>373</x:v>
      </x:c>
      <x:c r="V382" s="31" t="n">
        <x:v>129</x:v>
      </x:c>
      <x:c r="W382" s="31" t="n">
        <x:v>21.589958158995817</x:v>
      </x:c>
      <x:c r="X382" s="31" t="n">
        <x:v>2</x:v>
      </x:c>
      <x:c r="Y382" s="40" t="n">
        <x:v>0</x:v>
      </x:c>
      <x:c r="Z382" s="40" t="n">
        <x:v>1</x:v>
      </x:c>
      <x:c r="AA382" s="40" t="n">
        <x:v>1</x:v>
      </x:c>
      <x:c r="AB382" s="31" t="n">
        <x:v>0.06347422581739476</x:v>
      </x:c>
      <x:c r="AC382" s="31" t="n">
        <x:v>6</x:v>
      </x:c>
      <x:c r="AD382" s="44" t="b">
        <x:v>1</x:v>
      </x:c>
    </x:row>
    <x:row r="383">
      <x:c r="A383" s="31" t="str">
        <x:v>36047002200</x:v>
      </x:c>
      <x:c r="B383" s="31" t="str">
        <x:v>Brooklyn</x:v>
      </x:c>
      <x:c r="C383" s="31" t="str">
        <x:v>002200</x:v>
      </x:c>
      <x:c r="D383" s="31" t="str">
        <x:v>BK0702</x:v>
      </x:c>
      <x:c r="E383" s="31" t="str">
        <x:v>Sunset Park (West)</x:v>
      </x:c>
      <x:c r="F383" s="31" t="n">
        <x:v>0.13088533641313704</x:v>
      </x:c>
      <x:c r="G383" s="31" t="n">
        <x:v>40.64343697439387</x:v>
      </x:c>
      <x:c r="H383" s="31" t="n">
        <x:v>-74.02173865536633</x:v>
      </x:c>
      <x:c r="I383" s="31" t="n">
        <x:v>4589</x:v>
      </x:c>
      <x:c r="J383" s="31" t="n">
        <x:v>35061.22324898879</x:v>
      </x:c>
      <x:c r="K383" s="31"/>
      <x:c r="L383" s="40"/>
      <x:c r="M383" s="40"/>
      <x:c r="N383" s="31" t="n">
        <x:v>300</x:v>
      </x:c>
      <x:c r="O383" s="31" t="n">
        <x:v>1589</x:v>
      </x:c>
      <x:c r="P383" s="31" t="n">
        <x:v>10.551290119572059</x:v>
      </x:c>
      <x:c r="Q383" s="40" t="n">
        <x:v>0.2643171806167401</x:v>
      </x:c>
      <x:c r="R383" s="40" t="n">
        <x:v>0.5594713656387665</x:v>
      </x:c>
      <x:c r="S383" s="40" t="n">
        <x:v>0.013215859030837005</x:v>
      </x:c>
      <x:c r="T383" s="31" t="n">
        <x:v>106.20489286576216</x:v>
      </x:c>
      <x:c r="U383" s="31" t="n">
        <x:v>296.53921512</x:v>
      </x:c>
      <x:c r="V383" s="31" t="n">
        <x:v>17</x:v>
      </x:c>
      <x:c r="W383" s="31" t="n">
        <x:v>3.704510786663761</x:v>
      </x:c>
      <x:c r="X383" s="31" t="n">
        <x:v>3</x:v>
      </x:c>
      <x:c r="Y383" s="40" t="n">
        <x:v>0</x:v>
      </x:c>
      <x:c r="Z383" s="40" t="n">
        <x:v>1</x:v>
      </x:c>
      <x:c r="AA383" s="40" t="n">
        <x:v>0.9949653870358716</x:v>
      </x:c>
      <x:c r="AB383" s="31" t="n">
        <x:v>0.07755755458635563</x:v>
      </x:c>
      <x:c r="AC383" s="31" t="n">
        <x:v>8</x:v>
      </x:c>
      <x:c r="AD383" s="44" t="b">
        <x:v>1</x:v>
      </x:c>
    </x:row>
    <x:row r="384">
      <x:c r="A384" s="31" t="str">
        <x:v>36047002300</x:v>
      </x:c>
      <x:c r="B384" s="31" t="str">
        <x:v>Brooklyn</x:v>
      </x:c>
      <x:c r="C384" s="31" t="str">
        <x:v>002300</x:v>
      </x:c>
      <x:c r="D384" s="31" t="str">
        <x:v>BK0202</x:v>
      </x:c>
      <x:c r="E384" s="31" t="str">
        <x:v>Downtown Brooklyn-DUMBO-Boerum Hill</x:v>
      </x:c>
      <x:c r="F384" s="31" t="n">
        <x:v>0.07041291181021866</x:v>
      </x:c>
      <x:c r="G384" s="31" t="n">
        <x:v>40.699564710239805</x:v>
      </x:c>
      <x:c r="H384" s="31" t="n">
        <x:v>-73.98327335213702</x:v>
      </x:c>
      <x:c r="I384" s="31" t="n">
        <x:v>3940</x:v>
      </x:c>
      <x:c r="J384" s="31" t="n">
        <x:v>55955.64646750211</x:v>
      </x:c>
      <x:c r="K384" s="31"/>
      <x:c r="L384" s="40"/>
      <x:c r="M384" s="40"/>
      <x:c r="N384" s="31" t="n">
        <x:v>4</x:v>
      </x:c>
      <x:c r="O384" s="31" t="n">
        <x:v>1510</x:v>
      </x:c>
      <x:c r="P384" s="31" t="n">
        <x:v>13.403973509933774</x:v>
      </x:c>
      <x:c r="Q384" s="40" t="n">
        <x:v>0.9205298013245033</x:v>
      </x:c>
      <x:c r="R384" s="40" t="n">
        <x:v>0.07947019867549669</x:v>
      </x:c>
      <x:c r="S384" s="40" t="n">
        <x:v>0.9205298013245033</x:v>
      </x:c>
      <x:c r="T384" s="31" t="n">
        <x:v>167.56323747323177</x:v>
      </x:c>
      <x:c r="U384" s="31" t="n">
        <x:v>177.73292713</x:v>
      </x:c>
      <x:c r="V384" s="31" t="n">
        <x:v>23</x:v>
      </x:c>
      <x:c r="W384" s="31" t="n">
        <x:v>5.837563451776649</x:v>
      </x:c>
      <x:c r="X384" s="31" t="n">
        <x:v>2</x:v>
      </x:c>
      <x:c r="Y384" s="40" t="n">
        <x:v>0</x:v>
      </x:c>
      <x:c r="Z384" s="40" t="n">
        <x:v>1</x:v>
      </x:c>
      <x:c r="AA384" s="40" t="n">
        <x:v>1</x:v>
      </x:c>
      <x:c r="AB384" s="31" t="n">
        <x:v>0.12039857555862672</x:v>
      </x:c>
      <x:c r="AC384" s="31" t="n">
        <x:v>5</x:v>
      </x:c>
      <x:c r="AD384" s="44" t="b">
        <x:v>1</x:v>
      </x:c>
    </x:row>
    <x:row r="385">
      <x:c r="A385" s="31" t="str">
        <x:v>36047002901</x:v>
      </x:c>
      <x:c r="B385" s="31" t="str">
        <x:v>Brooklyn</x:v>
      </x:c>
      <x:c r="C385" s="31" t="str">
        <x:v>002901</x:v>
      </x:c>
      <x:c r="D385" s="31" t="str">
        <x:v>BK0203</x:v>
      </x:c>
      <x:c r="E385" s="31" t="str">
        <x:v>Fort Greene</x:v>
      </x:c>
      <x:c r="F385" s="31" t="n">
        <x:v>0.04188075544005395</x:v>
      </x:c>
      <x:c r="G385" s="31" t="n">
        <x:v>40.69497590263015</x:v>
      </x:c>
      <x:c r="H385" s="31" t="n">
        <x:v>-73.97810121306011</x:v>
      </x:c>
      <x:c r="I385" s="31" t="n">
        <x:v>3149</x:v>
      </x:c>
      <x:c r="J385" s="31" t="n">
        <x:v>75189.66568087158</x:v>
      </x:c>
      <x:c r="K385" s="31"/>
      <x:c r="L385" s="40"/>
      <x:c r="M385" s="40"/>
      <x:c r="N385" s="31" t="n">
        <x:v>4</x:v>
      </x:c>
      <x:c r="O385" s="31" t="n">
        <x:v>1051</x:v>
      </x:c>
      <x:c r="P385" s="31" t="n">
        <x:v>8.16650808753568</x:v>
      </x:c>
      <x:c r="Q385" s="40" t="n">
        <x:v>0.23882017126546146</x:v>
      </x:c>
      <x:c r="R385" s="40" t="n">
        <x:v>0.7611798287345385</x:v>
      </x:c>
      <x:c r="S385" s="40" t="n">
        <x:v>0.7611798287345385</x:v>
      </x:c>
      <x:c r="T385" s="31" t="n">
        <x:v>132.63966187737844</x:v>
      </x:c>
      <x:c r="U385" s="31" t="n">
        <x:v>195</x:v>
      </x:c>
      <x:c r="V385" s="31" t="n">
        <x:v>39</x:v>
      </x:c>
      <x:c r="W385" s="31" t="n">
        <x:v>12.384884090187361</x:v>
      </x:c>
      <x:c r="X385" s="31" t="n">
        <x:v>4</x:v>
      </x:c>
      <x:c r="Y385" s="40" t="n">
        <x:v>1</x:v>
      </x:c>
      <x:c r="Z385" s="40" t="n">
        <x:v>1</x:v>
      </x:c>
      <x:c r="AA385" s="40" t="n">
        <x:v>0.9000951474785919</x:v>
      </x:c>
      <x:c r="AB385" s="31" t="n">
        <x:v>0.023932810899675732</x:v>
      </x:c>
      <x:c r="AC385" s="31" t="n">
        <x:v>5</x:v>
      </x:c>
      <x:c r="AD385" s="44" t="b">
        <x:v>1</x:v>
      </x:c>
    </x:row>
    <x:row r="386">
      <x:c r="A386" s="31" t="str">
        <x:v>36047003000</x:v>
      </x:c>
      <x:c r="B386" s="31" t="str">
        <x:v>Brooklyn</x:v>
      </x:c>
      <x:c r="C386" s="31" t="str">
        <x:v>003000</x:v>
      </x:c>
      <x:c r="D386" s="31" t="str">
        <x:v>BK1001</x:v>
      </x:c>
      <x:c r="E386" s="31" t="str">
        <x:v>Bay Ridge</x:v>
      </x:c>
      <x:c r="F386" s="31" t="n">
        <x:v>0.04251750041896235</x:v>
      </x:c>
      <x:c r="G386" s="31" t="n">
        <x:v>40.63887637467275</x:v>
      </x:c>
      <x:c r="H386" s="31" t="n">
        <x:v>-74.02897627857323</x:v>
      </x:c>
      <x:c r="I386" s="31" t="n">
        <x:v>1811</x:v>
      </x:c>
      <x:c r="J386" s="31" t="n">
        <x:v>42594.22548726109</x:v>
      </x:c>
      <x:c r="K386" s="31"/>
      <x:c r="L386" s="40"/>
      <x:c r="M386" s="40"/>
      <x:c r="N386" s="31" t="n">
        <x:v>271</x:v>
      </x:c>
      <x:c r="O386" s="31" t="n">
        <x:v>723</x:v>
      </x:c>
      <x:c r="P386" s="31" t="n">
        <x:v>3.396265560165975</x:v>
      </x:c>
      <x:c r="Q386" s="40" t="n">
        <x:v>0</x:v>
      </x:c>
      <x:c r="R386" s="40" t="n">
        <x:v>0.4854771784232365</x:v>
      </x:c>
      <x:c r="S386" s="40" t="n">
        <x:v>0.0027662517289073307</x:v>
      </x:c>
      <x:c r="T386" s="31" t="n">
        <x:v>40.23300138312586</x:v>
      </x:c>
      <x:c r="U386" s="31" t="n">
        <x:v>67.07</x:v>
      </x:c>
      <x:c r="V386" s="31" t="n">
        <x:v>3</x:v>
      </x:c>
      <x:c r="W386" s="31" t="n">
        <x:v>1.6565433462175594</x:v>
      </x:c>
      <x:c r="X386" s="31" t="n">
        <x:v>3</x:v>
      </x:c>
      <x:c r="Y386" s="40" t="n">
        <x:v>0</x:v>
      </x:c>
      <x:c r="Z386" s="40" t="n">
        <x:v>1</x:v>
      </x:c>
      <x:c r="AA386" s="40" t="n">
        <x:v>1</x:v>
      </x:c>
      <x:c r="AB386" s="31" t="n">
        <x:v>0.20631462547499455</x:v>
      </x:c>
      <x:c r="AC386" s="31" t="n">
        <x:v>6</x:v>
      </x:c>
      <x:c r="AD386" s="44" t="b">
        <x:v>1</x:v>
      </x:c>
    </x:row>
    <x:row r="387">
      <x:c r="A387" s="31" t="str">
        <x:v>36047003101</x:v>
      </x:c>
      <x:c r="B387" s="31" t="str">
        <x:v>Brooklyn</x:v>
      </x:c>
      <x:c r="C387" s="31" t="str">
        <x:v>003101</x:v>
      </x:c>
      <x:c r="D387" s="31" t="str">
        <x:v>BK0203</x:v>
      </x:c>
      <x:c r="E387" s="31" t="str">
        <x:v>Fort Greene</x:v>
      </x:c>
      <x:c r="F387" s="31" t="n">
        <x:v>0.058203652758049236</x:v>
      </x:c>
      <x:c r="G387" s="31" t="n">
        <x:v>40.691693285737784</x:v>
      </x:c>
      <x:c r="H387" s="31" t="n">
        <x:v>-73.97970041568236</x:v>
      </x:c>
      <x:c r="I387" s="31" t="n">
        <x:v>3395</x:v>
      </x:c>
      <x:c r="J387" s="31" t="n">
        <x:v>58329.672436761124</x:v>
      </x:c>
      <x:c r="K387" s="31"/>
      <x:c r="L387" s="40"/>
      <x:c r="M387" s="40"/>
      <x:c r="N387" s="31" t="n">
        <x:v>11</x:v>
      </x:c>
      <x:c r="O387" s="31" t="n">
        <x:v>3043</x:v>
      </x:c>
      <x:c r="P387" s="31" t="n">
        <x:v>23.850476503450544</x:v>
      </x:c>
      <x:c r="Q387" s="40" t="n">
        <x:v>1</x:v>
      </x:c>
      <x:c r="R387" s="40" t="n">
        <x:v>0</x:v>
      </x:c>
      <x:c r="S387" s="40" t="n">
        <x:v>0.09595793624712455</x:v>
      </x:c>
      <x:c r="T387" s="31" t="n">
        <x:v>243.99848557952714</x:v>
      </x:c>
      <x:c r="U387" s="31" t="n">
        <x:v>410</x:v>
      </x:c>
      <x:c r="V387" s="31" t="n">
        <x:v>45</x:v>
      </x:c>
      <x:c r="W387" s="31" t="n">
        <x:v>13.254786450662738</x:v>
      </x:c>
      <x:c r="X387" s="31" t="n">
        <x:v>2</x:v>
      </x:c>
      <x:c r="Y387" s="40" t="n">
        <x:v>0</x:v>
      </x:c>
      <x:c r="Z387" s="40" t="n">
        <x:v>1</x:v>
      </x:c>
      <x:c r="AA387" s="40" t="n">
        <x:v>0.8478475188958264</x:v>
      </x:c>
      <x:c r="AB387" s="31" t="n">
        <x:v>0.12327267687734574</x:v>
      </x:c>
      <x:c r="AC387" s="31" t="n">
        <x:v>5</x:v>
      </x:c>
      <x:c r="AD387" s="44" t="b">
        <x:v>1</x:v>
      </x:c>
    </x:row>
    <x:row r="388">
      <x:c r="A388" s="31" t="str">
        <x:v>36047003102</x:v>
      </x:c>
      <x:c r="B388" s="31" t="str">
        <x:v>Brooklyn</x:v>
      </x:c>
      <x:c r="C388" s="31" t="str">
        <x:v>003102</x:v>
      </x:c>
      <x:c r="D388" s="31" t="str">
        <x:v>BK0203</x:v>
      </x:c>
      <x:c r="E388" s="31" t="str">
        <x:v>Fort Greene</x:v>
      </x:c>
      <x:c r="F388" s="31" t="n">
        <x:v>0.05263410710944674</x:v>
      </x:c>
      <x:c r="G388" s="31" t="n">
        <x:v>40.69153053611825</x:v>
      </x:c>
      <x:c r="H388" s="31" t="n">
        <x:v>-73.97548822357601</x:v>
      </x:c>
      <x:c r="I388" s="31" t="n">
        <x:v>0</x:v>
      </x:c>
      <x:c r="J388" s="31" t="n">
        <x:v>0</x:v>
      </x:c>
      <x:c r="K388" s="31"/>
      <x:c r="L388" s="40"/>
      <x:c r="M388" s="40"/>
      <x:c r="N388" s="31" t="n">
        <x:v>0</x:v>
      </x:c>
      <x:c r="O388" s="31"/>
      <x:c r="P388" s="31"/>
      <x:c r="Q388" s="40"/>
      <x:c r="R388" s="40"/>
      <x:c r="S388" s="40"/>
      <x:c r="T388" s="31"/>
      <x:c r="U388" s="31"/>
      <x:c r="V388" s="31" t="n">
        <x:v>0</x:v>
      </x:c>
      <x:c r="W388" s="31"/>
      <x:c r="X388" s="31"/>
      <x:c r="Y388" s="40"/>
      <x:c r="Z388" s="40"/>
      <x:c r="AA388" s="40"/>
      <x:c r="AB388" s="31" t="n">
        <x:v>0.16306624734309533</x:v>
      </x:c>
      <x:c r="AC388" s="31" t="n">
        <x:v>6</x:v>
      </x:c>
      <x:c r="AD388" s="44" t="b">
        <x:v>0</x:v>
      </x:c>
    </x:row>
    <x:row r="389">
      <x:c r="A389" s="31" t="str">
        <x:v>36047003300</x:v>
      </x:c>
      <x:c r="B389" s="31" t="str">
        <x:v>Brooklyn</x:v>
      </x:c>
      <x:c r="C389" s="31" t="str">
        <x:v>003300</x:v>
      </x:c>
      <x:c r="D389" s="31" t="str">
        <x:v>BK0203</x:v>
      </x:c>
      <x:c r="E389" s="31" t="str">
        <x:v>Fort Greene</x:v>
      </x:c>
      <x:c r="F389" s="31" t="n">
        <x:v>0.06352369856483873</x:v>
      </x:c>
      <x:c r="G389" s="31" t="n">
        <x:v>40.68851043801634</x:v>
      </x:c>
      <x:c r="H389" s="31" t="n">
        <x:v>-73.97810331200525</x:v>
      </x:c>
      <x:c r="I389" s="31" t="n">
        <x:v>4807</x:v>
      </x:c>
      <x:c r="J389" s="31" t="n">
        <x:v>75672.54597264182</x:v>
      </x:c>
      <x:c r="K389" s="31"/>
      <x:c r="L389" s="40"/>
      <x:c r="M389" s="40"/>
      <x:c r="N389" s="31" t="n">
        <x:v>243</x:v>
      </x:c>
      <x:c r="O389" s="31" t="n">
        <x:v>5253</x:v>
      </x:c>
      <x:c r="P389" s="31" t="n">
        <x:v>34.14318398474738</x:v>
      </x:c>
      <x:c r="Q389" s="40" t="n">
        <x:v>0.8138206739006282</x:v>
      </x:c>
      <x:c r="R389" s="40" t="n">
        <x:v>0.17970683418998668</x:v>
      </x:c>
      <x:c r="S389" s="40" t="n">
        <x:v>0.012944983818770227</x:v>
      </x:c>
      <x:c r="T389" s="31" t="n">
        <x:v>392.73895629686615</x:v>
      </x:c>
      <x:c r="U389" s="31" t="n">
        <x:v>610</x:v>
      </x:c>
      <x:c r="V389" s="31" t="n">
        <x:v>58</x:v>
      </x:c>
      <x:c r="W389" s="31" t="n">
        <x:v>12.065737466195133</x:v>
      </x:c>
      <x:c r="X389" s="31" t="n">
        <x:v>2</x:v>
      </x:c>
      <x:c r="Y389" s="40" t="n">
        <x:v>0</x:v>
      </x:c>
      <x:c r="Z389" s="40" t="n">
        <x:v>1</x:v>
      </x:c>
      <x:c r="AA389" s="40" t="n">
        <x:v>0.9446030839520274</x:v>
      </x:c>
      <x:c r="AB389" s="31" t="n">
        <x:v>0.09221131166401411</x:v>
      </x:c>
      <x:c r="AC389" s="31" t="n">
        <x:v>7</x:v>
      </x:c>
      <x:c r="AD389" s="44" t="b">
        <x:v>1</x:v>
      </x:c>
    </x:row>
    <x:row r="390">
      <x:c r="A390" s="31" t="str">
        <x:v>36047003400</x:v>
      </x:c>
      <x:c r="B390" s="31" t="str">
        <x:v>Brooklyn</x:v>
      </x:c>
      <x:c r="C390" s="31" t="str">
        <x:v>003400</x:v>
      </x:c>
      <x:c r="D390" s="31" t="str">
        <x:v>BK1001</x:v>
      </x:c>
      <x:c r="E390" s="31" t="str">
        <x:v>Bay Ridge</x:v>
      </x:c>
      <x:c r="F390" s="31" t="n">
        <x:v>0.18639582007790978</x:v>
      </x:c>
      <x:c r="G390" s="31" t="n">
        <x:v>40.639433872955664</x:v>
      </x:c>
      <x:c r="H390" s="31" t="n">
        <x:v>-74.03361939530507</x:v>
      </x:c>
      <x:c r="I390" s="31" t="n">
        <x:v>3489</x:v>
      </x:c>
      <x:c r="J390" s="31" t="n">
        <x:v>18718.230905294266</x:v>
      </x:c>
      <x:c r="K390" s="31"/>
      <x:c r="L390" s="40"/>
      <x:c r="M390" s="40"/>
      <x:c r="N390" s="31" t="n">
        <x:v>458</x:v>
      </x:c>
      <x:c r="O390" s="31" t="n">
        <x:v>1451</x:v>
      </x:c>
      <x:c r="P390" s="31" t="n">
        <x:v>3.572491349480969</x:v>
      </x:c>
      <x:c r="Q390" s="40" t="n">
        <x:v>0</x:v>
      </x:c>
      <x:c r="R390" s="40" t="n">
        <x:v>0.5554789800137836</x:v>
      </x:c>
      <x:c r="S390" s="40" t="n">
        <x:v>0.051688490696071676</x:v>
      </x:c>
      <x:c r="T390" s="31" t="n">
        <x:v>41.97644414607856</x:v>
      </x:c>
      <x:c r="U390" s="31" t="n">
        <x:v>74</x:v>
      </x:c>
      <x:c r="V390" s="31" t="n">
        <x:v>15</x:v>
      </x:c>
      <x:c r="W390" s="31" t="n">
        <x:v>4.299226139294927</x:v>
      </x:c>
      <x:c r="X390" s="31" t="n">
        <x:v>2.372846312887664</x:v>
      </x:c>
      <x:c r="Y390" s="40" t="n">
        <x:v>0</x:v>
      </x:c>
      <x:c r="Z390" s="40" t="n">
        <x:v>1</x:v>
      </x:c>
      <x:c r="AA390" s="40" t="n">
        <x:v>1</x:v>
      </x:c>
      <x:c r="AB390" s="31" t="n">
        <x:v>0.4295454354474735</x:v>
      </x:c>
      <x:c r="AC390" s="31" t="n">
        <x:v>4</x:v>
      </x:c>
      <x:c r="AD390" s="44" t="b">
        <x:v>1</x:v>
      </x:c>
    </x:row>
    <x:row r="391">
      <x:c r="A391" s="31" t="str">
        <x:v>36047003500</x:v>
      </x:c>
      <x:c r="B391" s="31" t="str">
        <x:v>Brooklyn</x:v>
      </x:c>
      <x:c r="C391" s="31" t="str">
        <x:v>003500</x:v>
      </x:c>
      <x:c r="D391" s="31" t="str">
        <x:v>BK0203</x:v>
      </x:c>
      <x:c r="E391" s="31" t="str">
        <x:v>Fort Greene</x:v>
      </x:c>
      <x:c r="F391" s="31" t="n">
        <x:v>0.05136528600206612</x:v>
      </x:c>
      <x:c r="G391" s="31" t="n">
        <x:v>40.685324003392196</x:v>
      </x:c>
      <x:c r="H391" s="31" t="n">
        <x:v>-73.97618003994535</x:v>
      </x:c>
      <x:c r="I391" s="31" t="n">
        <x:v>2402</x:v>
      </x:c>
      <x:c r="J391" s="31" t="n">
        <x:v>46763.099886241886</x:v>
      </x:c>
      <x:c r="K391" s="31"/>
      <x:c r="L391" s="40"/>
      <x:c r="M391" s="40"/>
      <x:c r="N391" s="31" t="n">
        <x:v>117</x:v>
      </x:c>
      <x:c r="O391" s="31" t="n">
        <x:v>1485</x:v>
      </x:c>
      <x:c r="P391" s="31" t="n">
        <x:v>18.49122214719784</x:v>
      </x:c>
      <x:c r="Q391" s="40" t="n">
        <x:v>0.7265993265993266</x:v>
      </x:c>
      <x:c r="R391" s="40" t="n">
        <x:v>0.25925925925925924</x:v>
      </x:c>
      <x:c r="S391" s="40" t="n">
        <x:v>0</x:v>
      </x:c>
      <x:c r="T391" s="31" t="n">
        <x:v>221.66159246623258</x:v>
      </x:c>
      <x:c r="U391" s="31" t="n">
        <x:v>517</x:v>
      </x:c>
      <x:c r="V391" s="31" t="n">
        <x:v>29</x:v>
      </x:c>
      <x:c r="W391" s="31" t="n">
        <x:v>12.073272273105745</x:v>
      </x:c>
      <x:c r="X391" s="31" t="n">
        <x:v>2</x:v>
      </x:c>
      <x:c r="Y391" s="40" t="n">
        <x:v>0</x:v>
      </x:c>
      <x:c r="Z391" s="40" t="n">
        <x:v>1</x:v>
      </x:c>
      <x:c r="AA391" s="40" t="n">
        <x:v>0.967003367003367</x:v>
      </x:c>
      <x:c r="AB391" s="31" t="n">
        <x:v>0.10968486574754582</x:v>
      </x:c>
      <x:c r="AC391" s="31" t="n">
        <x:v>8</x:v>
      </x:c>
      <x:c r="AD391" s="44" t="b">
        <x:v>1</x:v>
      </x:c>
    </x:row>
    <x:row r="392">
      <x:c r="A392" s="31" t="str">
        <x:v>36047003600</x:v>
      </x:c>
      <x:c r="B392" s="31" t="str">
        <x:v>Brooklyn</x:v>
      </x:c>
      <x:c r="C392" s="31" t="str">
        <x:v>003600</x:v>
      </x:c>
      <x:c r="D392" s="31" t="str">
        <x:v>BK1001</x:v>
      </x:c>
      <x:c r="E392" s="31" t="str">
        <x:v>Bay Ridge</x:v>
      </x:c>
      <x:c r="F392" s="31" t="n">
        <x:v>0.048384663472437445</x:v>
      </x:c>
      <x:c r="G392" s="31" t="n">
        <x:v>40.63468631384894</x:v>
      </x:c>
      <x:c r="H392" s="31" t="n">
        <x:v>-74.03089775069084</x:v>
      </x:c>
      <x:c r="I392" s="31" t="n">
        <x:v>3959</x:v>
      </x:c>
      <x:c r="J392" s="31" t="n">
        <x:v>81823.44809022518</x:v>
      </x:c>
      <x:c r="K392" s="31"/>
      <x:c r="L392" s="40"/>
      <x:c r="M392" s="40"/>
      <x:c r="N392" s="31" t="n">
        <x:v>266</x:v>
      </x:c>
      <x:c r="O392" s="31" t="n">
        <x:v>1894</x:v>
      </x:c>
      <x:c r="P392" s="31" t="n">
        <x:v>5.792106652587117</x:v>
      </x:c>
      <x:c r="Q392" s="40" t="n">
        <x:v>0.2402323125659979</x:v>
      </x:c>
      <x:c r="R392" s="40" t="n">
        <x:v>0.5638859556494192</x:v>
      </x:c>
      <x:c r="S392" s="40" t="n">
        <x:v>0.2402323125659979</x:v>
      </x:c>
      <x:c r="T392" s="31" t="n">
        <x:v>61.6432226098944</x:v>
      </x:c>
      <x:c r="U392" s="31" t="n">
        <x:v>85.92</x:v>
      </x:c>
      <x:c r="V392" s="31" t="n">
        <x:v>27</x:v>
      </x:c>
      <x:c r="W392" s="31" t="n">
        <x:v>6.819904016165698</x:v>
      </x:c>
      <x:c r="X392" s="31" t="n">
        <x:v>2.029039070749736</x:v>
      </x:c>
      <x:c r="Y392" s="40" t="n">
        <x:v>0</x:v>
      </x:c>
      <x:c r="Z392" s="40" t="n">
        <x:v>1</x:v>
      </x:c>
      <x:c r="AA392" s="40" t="n">
        <x:v>1</x:v>
      </x:c>
      <x:c r="AB392" s="31" t="n">
        <x:v>0.10435944430016215</x:v>
      </x:c>
      <x:c r="AC392" s="31" t="n">
        <x:v>6</x:v>
      </x:c>
      <x:c r="AD392" s="44" t="b">
        <x:v>1</x:v>
      </x:c>
    </x:row>
    <x:row r="393">
      <x:c r="A393" s="31" t="str">
        <x:v>36047003700</x:v>
      </x:c>
      <x:c r="B393" s="31" t="str">
        <x:v>Brooklyn</x:v>
      </x:c>
      <x:c r="C393" s="31" t="str">
        <x:v>003700</x:v>
      </x:c>
      <x:c r="D393" s="31" t="str">
        <x:v>BK0202</x:v>
      </x:c>
      <x:c r="E393" s="31" t="str">
        <x:v>Downtown Brooklyn-DUMBO-Boerum Hill</x:v>
      </x:c>
      <x:c r="F393" s="31" t="n">
        <x:v>0.06422018201833678</x:v>
      </x:c>
      <x:c r="G393" s="31" t="n">
        <x:v>40.68938791445583</x:v>
      </x:c>
      <x:c r="H393" s="31" t="n">
        <x:v>-73.98468599339347</x:v>
      </x:c>
      <x:c r="I393" s="31" t="n">
        <x:v>4565</x:v>
      </x:c>
      <x:c r="J393" s="31" t="n">
        <x:v>71083.57305335192</x:v>
      </x:c>
      <x:c r="K393" s="31"/>
      <x:c r="L393" s="40"/>
      <x:c r="M393" s="40"/>
      <x:c r="N393" s="31" t="n">
        <x:v>41</x:v>
      </x:c>
      <x:c r="O393" s="31" t="n">
        <x:v>4540</x:v>
      </x:c>
      <x:c r="P393" s="31" t="n">
        <x:v>33.31740088105727</x:v>
      </x:c>
      <x:c r="Q393" s="40" t="n">
        <x:v>0.9814977973568282</x:v>
      </x:c>
      <x:c r="R393" s="40" t="n">
        <x:v>0.017180616740088105</x:v>
      </x:c>
      <x:c r="S393" s="40" t="n">
        <x:v>0.03700440528634361</x:v>
      </x:c>
      <x:c r="T393" s="31" t="n">
        <x:v>342.16074955946084</x:v>
      </x:c>
      <x:c r="U393" s="31" t="n">
        <x:v>577</x:v>
      </x:c>
      <x:c r="V393" s="31" t="n">
        <x:v>85</x:v>
      </x:c>
      <x:c r="W393" s="31" t="n">
        <x:v>18.619934282584882</x:v>
      </x:c>
      <x:c r="X393" s="31" t="n">
        <x:v>2</x:v>
      </x:c>
      <x:c r="Y393" s="40" t="n">
        <x:v>0</x:v>
      </x:c>
      <x:c r="Z393" s="40" t="n">
        <x:v>1</x:v>
      </x:c>
      <x:c r="AA393" s="40" t="n">
        <x:v>0.8006607929515418</x:v>
      </x:c>
      <x:c r="AB393" s="31" t="n">
        <x:v>0.08711007469773249</x:v>
      </x:c>
      <x:c r="AC393" s="31" t="n">
        <x:v>8</x:v>
      </x:c>
      <x:c r="AD393" s="44" t="b">
        <x:v>1</x:v>
      </x:c>
    </x:row>
    <x:row r="394">
      <x:c r="A394" s="31" t="str">
        <x:v>36047003800</x:v>
      </x:c>
      <x:c r="B394" s="31" t="str">
        <x:v>Brooklyn</x:v>
      </x:c>
      <x:c r="C394" s="31" t="str">
        <x:v>003800</x:v>
      </x:c>
      <x:c r="D394" s="31" t="str">
        <x:v>BK1001</x:v>
      </x:c>
      <x:c r="E394" s="31" t="str">
        <x:v>Bay Ridge</x:v>
      </x:c>
      <x:c r="F394" s="31" t="n">
        <x:v>0.04905959379555498</x:v>
      </x:c>
      <x:c r="G394" s="31" t="n">
        <x:v>40.6344213512448</x:v>
      </x:c>
      <x:c r="H394" s="31" t="n">
        <x:v>-74.03574418853192</x:v>
      </x:c>
      <x:c r="I394" s="31" t="n">
        <x:v>1529</x:v>
      </x:c>
      <x:c r="J394" s="31" t="n">
        <x:v>31166.1773306108</x:v>
      </x:c>
      <x:c r="K394" s="31"/>
      <x:c r="L394" s="40"/>
      <x:c r="M394" s="40"/>
      <x:c r="N394" s="31" t="n">
        <x:v>247</x:v>
      </x:c>
      <x:c r="O394" s="31" t="n">
        <x:v>719</x:v>
      </x:c>
      <x:c r="P394" s="31" t="n">
        <x:v>3.7828094575799724</x:v>
      </x:c>
      <x:c r="Q394" s="40" t="n">
        <x:v>0</x:v>
      </x:c>
      <x:c r="R394" s="40" t="n">
        <x:v>0.46453407510431155</x:v>
      </x:c>
      <x:c r="S394" s="40" t="n">
        <x:v>0</x:v>
      </x:c>
      <x:c r="T394" s="31" t="n">
        <x:v>45.159382936253486</x:v>
      </x:c>
      <x:c r="U394" s="31" t="n">
        <x:v>70.19</x:v>
      </x:c>
      <x:c r="V394" s="31" t="n">
        <x:v>10</x:v>
      </x:c>
      <x:c r="W394" s="31" t="n">
        <x:v>6.540222367560497</x:v>
      </x:c>
      <x:c r="X394" s="31" t="n">
        <x:v>2</x:v>
      </x:c>
      <x:c r="Y394" s="40" t="n">
        <x:v>0</x:v>
      </x:c>
      <x:c r="Z394" s="40" t="n">
        <x:v>1</x:v>
      </x:c>
      <x:c r="AA394" s="40" t="n">
        <x:v>0.9986091794158554</x:v>
      </x:c>
      <x:c r="AB394" s="31" t="n">
        <x:v>0.33263909896248084</x:v>
      </x:c>
      <x:c r="AC394" s="31" t="n">
        <x:v>3</x:v>
      </x:c>
      <x:c r="AD394" s="44" t="b">
        <x:v>1</x:v>
      </x:c>
    </x:row>
    <x:row r="395">
      <x:c r="A395" s="31" t="str">
        <x:v>36047003900</x:v>
      </x:c>
      <x:c r="B395" s="31" t="str">
        <x:v>Brooklyn</x:v>
      </x:c>
      <x:c r="C395" s="31" t="str">
        <x:v>003900</x:v>
      </x:c>
      <x:c r="D395" s="31" t="str">
        <x:v>BK0202</x:v>
      </x:c>
      <x:c r="E395" s="31" t="str">
        <x:v>Downtown Brooklyn-DUMBO-Boerum Hill</x:v>
      </x:c>
      <x:c r="F395" s="31" t="n">
        <x:v>0.060202417702235424</x:v>
      </x:c>
      <x:c r="G395" s="31" t="n">
        <x:v>40.68490440893784</x:v>
      </x:c>
      <x:c r="H395" s="31" t="n">
        <x:v>-73.98083681135995</x:v>
      </x:c>
      <x:c r="I395" s="31" t="n">
        <x:v>2644</x:v>
      </x:c>
      <x:c r="J395" s="31" t="n">
        <x:v>43918.501962452305</x:v>
      </x:c>
      <x:c r="K395" s="31"/>
      <x:c r="L395" s="40"/>
      <x:c r="M395" s="40"/>
      <x:c r="N395" s="31" t="n">
        <x:v>229</x:v>
      </x:c>
      <x:c r="O395" s="31" t="n">
        <x:v>1849</x:v>
      </x:c>
      <x:c r="P395" s="31" t="n">
        <x:v>14.7664223669924</x:v>
      </x:c>
      <x:c r="Q395" s="40" t="n">
        <x:v>0.2952947539210384</x:v>
      </x:c>
      <x:c r="R395" s="40" t="n">
        <x:v>0.6895619253650622</x:v>
      </x:c>
      <x:c r="S395" s="40" t="n">
        <x:v>0</x:v>
      </x:c>
      <x:c r="T395" s="31" t="n">
        <x:v>163.56270108367139</x:v>
      </x:c>
      <x:c r="U395" s="31" t="n">
        <x:v>490</x:v>
      </x:c>
      <x:c r="V395" s="31" t="n">
        <x:v>45</x:v>
      </x:c>
      <x:c r="W395" s="31" t="n">
        <x:v>17.019667170953102</x:v>
      </x:c>
      <x:c r="X395" s="31" t="n">
        <x:v>2</x:v>
      </x:c>
      <x:c r="Y395" s="40" t="n">
        <x:v>0</x:v>
      </x:c>
      <x:c r="Z395" s="40" t="n">
        <x:v>1</x:v>
      </x:c>
      <x:c r="AA395" s="40" t="n">
        <x:v>0.9972958355868037</x:v>
      </x:c>
      <x:c r="AB395" s="31" t="n">
        <x:v>0.06948849609496699</x:v>
      </x:c>
      <x:c r="AC395" s="31" t="n">
        <x:v>7</x:v>
      </x:c>
      <x:c r="AD395" s="44" t="b">
        <x:v>1</x:v>
      </x:c>
    </x:row>
    <x:row r="396">
      <x:c r="A396" s="31" t="str">
        <x:v>36047004100</x:v>
      </x:c>
      <x:c r="B396" s="31" t="str">
        <x:v>Brooklyn</x:v>
      </x:c>
      <x:c r="C396" s="31" t="str">
        <x:v>004100</x:v>
      </x:c>
      <x:c r="D396" s="31" t="str">
        <x:v>BK0202</x:v>
      </x:c>
      <x:c r="E396" s="31" t="str">
        <x:v>Downtown Brooklyn-DUMBO-Boerum Hill</x:v>
      </x:c>
      <x:c r="F396" s="31" t="n">
        <x:v>0.06255063183145373</x:v>
      </x:c>
      <x:c r="G396" s="31" t="n">
        <x:v>40.68659976496113</x:v>
      </x:c>
      <x:c r="H396" s="31" t="n">
        <x:v>-73.98505315593401</x:v>
      </x:c>
      <x:c r="I396" s="31" t="n">
        <x:v>3398</x:v>
      </x:c>
      <x:c r="J396" s="31" t="n">
        <x:v>54323.99162899115</x:v>
      </x:c>
      <x:c r="K396" s="31"/>
      <x:c r="L396" s="40"/>
      <x:c r="M396" s="40"/>
      <x:c r="N396" s="31" t="n">
        <x:v>457</x:v>
      </x:c>
      <x:c r="O396" s="31" t="n">
        <x:v>1990</x:v>
      </x:c>
      <x:c r="P396" s="31" t="n">
        <x:v>4.500503271263211</x:v>
      </x:c>
      <x:c r="Q396" s="40" t="n">
        <x:v>0</x:v>
      </x:c>
      <x:c r="R396" s="40" t="n">
        <x:v>0.9613065326633166</x:v>
      </x:c>
      <x:c r="S396" s="40" t="n">
        <x:v>0.0020100502512562816</x:v>
      </x:c>
      <x:c r="T396" s="31" t="n">
        <x:v>50.363369521332324</x:v>
      </x:c>
      <x:c r="U396" s="31" t="n">
        <x:v>85.09</x:v>
      </x:c>
      <x:c r="V396" s="31" t="n">
        <x:v>43</x:v>
      </x:c>
      <x:c r="W396" s="31" t="n">
        <x:v>12.654502648616834</x:v>
      </x:c>
      <x:c r="X396" s="31" t="n">
        <x:v>2</x:v>
      </x:c>
      <x:c r="Y396" s="40" t="n">
        <x:v>0</x:v>
      </x:c>
      <x:c r="Z396" s="40" t="n">
        <x:v>1</x:v>
      </x:c>
      <x:c r="AA396" s="40" t="n">
        <x:v>0.9994974874371859</x:v>
      </x:c>
      <x:c r="AB396" s="31" t="n">
        <x:v>0.10720062409045822</x:v>
      </x:c>
      <x:c r="AC396" s="31" t="n">
        <x:v>6</x:v>
      </x:c>
      <x:c r="AD396" s="44" t="b">
        <x:v>1</x:v>
      </x:c>
    </x:row>
    <x:row r="397">
      <x:c r="A397" s="31" t="str">
        <x:v>36047004300</x:v>
      </x:c>
      <x:c r="B397" s="31" t="str">
        <x:v>Brooklyn</x:v>
      </x:c>
      <x:c r="C397" s="31" t="str">
        <x:v>004300</x:v>
      </x:c>
      <x:c r="D397" s="31" t="str">
        <x:v>BK0202</x:v>
      </x:c>
      <x:c r="E397" s="31" t="str">
        <x:v>Downtown Brooklyn-DUMBO-Boerum Hill</x:v>
      </x:c>
      <x:c r="F397" s="31" t="n">
        <x:v>0.06363915501033057</x:v>
      </x:c>
      <x:c r="G397" s="31" t="n">
        <x:v>40.688199247228525</x:v>
      </x:c>
      <x:c r="H397" s="31" t="n">
        <x:v>-73.98959589049554</x:v>
      </x:c>
      <x:c r="I397" s="31" t="n">
        <x:v>3810</x:v>
      </x:c>
      <x:c r="J397" s="31" t="n">
        <x:v>59868.80245945316</x:v>
      </x:c>
      <x:c r="K397" s="31"/>
      <x:c r="L397" s="40"/>
      <x:c r="M397" s="40"/>
      <x:c r="N397" s="31" t="n">
        <x:v>314</x:v>
      </x:c>
      <x:c r="O397" s="31" t="n">
        <x:v>1969</x:v>
      </x:c>
      <x:c r="P397" s="31" t="n">
        <x:v>6.470797359065515</x:v>
      </x:c>
      <x:c r="Q397" s="40" t="n">
        <x:v>0.2371762315896394</x:v>
      </x:c>
      <x:c r="R397" s="40" t="n">
        <x:v>0.7475876079228034</x:v>
      </x:c>
      <x:c r="S397" s="40" t="n">
        <x:v>0.056881665820213305</x:v>
      </x:c>
      <x:c r="T397" s="31" t="n">
        <x:v>75.75270786409638</x:v>
      </x:c>
      <x:c r="U397" s="31" t="n">
        <x:v>210</x:v>
      </x:c>
      <x:c r="V397" s="31" t="n">
        <x:v>48</x:v>
      </x:c>
      <x:c r="W397" s="31" t="n">
        <x:v>12.598425196850393</x:v>
      </x:c>
      <x:c r="X397" s="31" t="n">
        <x:v>2</x:v>
      </x:c>
      <x:c r="Y397" s="40" t="n">
        <x:v>0</x:v>
      </x:c>
      <x:c r="Z397" s="40" t="n">
        <x:v>1</x:v>
      </x:c>
      <x:c r="AA397" s="40" t="n">
        <x:v>0.9695276790248857</x:v>
      </x:c>
      <x:c r="AB397" s="31" t="n">
        <x:v>0.09673897134148343</x:v>
      </x:c>
      <x:c r="AC397" s="31" t="n">
        <x:v>6</x:v>
      </x:c>
      <x:c r="AD397" s="44" t="b">
        <x:v>1</x:v>
      </x:c>
    </x:row>
    <x:row r="398">
      <x:c r="A398" s="31" t="str">
        <x:v>36047004400</x:v>
      </x:c>
      <x:c r="B398" s="31" t="str">
        <x:v>Brooklyn</x:v>
      </x:c>
      <x:c r="C398" s="31" t="str">
        <x:v>004400</x:v>
      </x:c>
      <x:c r="D398" s="31" t="str">
        <x:v>BK1001</x:v>
      </x:c>
      <x:c r="E398" s="31" t="str">
        <x:v>Bay Ridge</x:v>
      </x:c>
      <x:c r="F398" s="31" t="n">
        <x:v>0.1615203163617711</x:v>
      </x:c>
      <x:c r="G398" s="31" t="n">
        <x:v>40.63080844939873</x:v>
      </x:c>
      <x:c r="H398" s="31" t="n">
        <x:v>-74.035982396156</x:v>
      </x:c>
      <x:c r="I398" s="31" t="n">
        <x:v>2448</x:v>
      </x:c>
      <x:c r="J398" s="31" t="n">
        <x:v>15155.988145274563</x:v>
      </x:c>
      <x:c r="K398" s="31"/>
      <x:c r="L398" s="40"/>
      <x:c r="M398" s="40"/>
      <x:c r="N398" s="31" t="n">
        <x:v>704</x:v>
      </x:c>
      <x:c r="O398" s="31" t="n">
        <x:v>1037</x:v>
      </x:c>
      <x:c r="P398" s="31" t="n">
        <x:v>3.1303088803088803</x:v>
      </x:c>
      <x:c r="Q398" s="40" t="n">
        <x:v>0</x:v>
      </x:c>
      <x:c r="R398" s="40" t="n">
        <x:v>0.26229508196721313</x:v>
      </x:c>
      <x:c r="S398" s="40" t="n">
        <x:v>0.0048216007714561235</x:v>
      </x:c>
      <x:c r="T398" s="31" t="n">
        <x:v>38.18151359370406</x:v>
      </x:c>
      <x:c r="U398" s="31" t="n">
        <x:v>70.49</x:v>
      </x:c>
      <x:c r="V398" s="31" t="n">
        <x:v>13</x:v>
      </x:c>
      <x:c r="W398" s="31" t="n">
        <x:v>5.310457516339869</x:v>
      </x:c>
      <x:c r="X398" s="31" t="n">
        <x:v>2</x:v>
      </x:c>
      <x:c r="Y398" s="40" t="n">
        <x:v>0</x:v>
      </x:c>
      <x:c r="Z398" s="40" t="n">
        <x:v>1</x:v>
      </x:c>
      <x:c r="AA398" s="40" t="n">
        <x:v>0.9971070395371263</x:v>
      </x:c>
      <x:c r="AB398" s="31" t="n">
        <x:v>0.30677164531034107</x:v>
      </x:c>
      <x:c r="AC398" s="31" t="n">
        <x:v>5</x:v>
      </x:c>
      <x:c r="AD398" s="44" t="b">
        <x:v>1</x:v>
      </x:c>
    </x:row>
    <x:row r="399">
      <x:c r="A399" s="31" t="str">
        <x:v>36047004500</x:v>
      </x:c>
      <x:c r="B399" s="31" t="str">
        <x:v>Brooklyn</x:v>
      </x:c>
      <x:c r="C399" s="31" t="str">
        <x:v>004500</x:v>
      </x:c>
      <x:c r="D399" s="31" t="str">
        <x:v>BK0601</x:v>
      </x:c>
      <x:c r="E399" s="31" t="str">
        <x:v>Carroll Gardens-Cobble Hill-Gowanus-Red Hook</x:v>
      </x:c>
      <x:c r="F399" s="31" t="n">
        <x:v>0.06584298991405534</x:v>
      </x:c>
      <x:c r="G399" s="31" t="n">
        <x:v>40.68814626704575</x:v>
      </x:c>
      <x:c r="H399" s="31" t="n">
        <x:v>-73.99528652175961</x:v>
      </x:c>
      <x:c r="I399" s="31" t="n">
        <x:v>3476</x:v>
      </x:c>
      <x:c r="J399" s="31" t="n">
        <x:v>52792.25631365181</x:v>
      </x:c>
      <x:c r="K399" s="31"/>
      <x:c r="L399" s="40"/>
      <x:c r="M399" s="40"/>
      <x:c r="N399" s="31" t="n">
        <x:v>447</x:v>
      </x:c>
      <x:c r="O399" s="31" t="n">
        <x:v>1879</x:v>
      </x:c>
      <x:c r="P399" s="31" t="n">
        <x:v>3.9372006386375733</x:v>
      </x:c>
      <x:c r="Q399" s="40" t="n">
        <x:v>0.013304949441192123</x:v>
      </x:c>
      <x:c r="R399" s="40" t="n">
        <x:v>0.9744544970729111</x:v>
      </x:c>
      <x:c r="S399" s="40" t="n">
        <x:v>0.04630122405534859</x:v>
      </x:c>
      <x:c r="T399" s="31" t="n">
        <x:v>51.187051808137305</x:v>
      </x:c>
      <x:c r="U399" s="31" t="n">
        <x:v>182</x:v>
      </x:c>
      <x:c r="V399" s="31" t="n">
        <x:v>22</x:v>
      </x:c>
      <x:c r="W399" s="31" t="n">
        <x:v>6.329113924050633</x:v>
      </x:c>
      <x:c r="X399" s="31" t="n">
        <x:v>2</x:v>
      </x:c>
      <x:c r="Y399" s="40" t="n">
        <x:v>0</x:v>
      </x:c>
      <x:c r="Z399" s="40" t="n">
        <x:v>1</x:v>
      </x:c>
      <x:c r="AA399" s="40" t="n">
        <x:v>1</x:v>
      </x:c>
      <x:c r="AB399" s="31" t="n">
        <x:v>0.1417863405282288</x:v>
      </x:c>
      <x:c r="AC399" s="31" t="n">
        <x:v>7</x:v>
      </x:c>
      <x:c r="AD399" s="44" t="b">
        <x:v>1</x:v>
      </x:c>
    </x:row>
    <x:row r="400">
      <x:c r="A400" s="31" t="str">
        <x:v>36047004600</x:v>
      </x:c>
      <x:c r="B400" s="31" t="str">
        <x:v>Brooklyn</x:v>
      </x:c>
      <x:c r="C400" s="31" t="str">
        <x:v>004600</x:v>
      </x:c>
      <x:c r="D400" s="31" t="str">
        <x:v>BK1001</x:v>
      </x:c>
      <x:c r="E400" s="31" t="str">
        <x:v>Bay Ridge</x:v>
      </x:c>
      <x:c r="F400" s="31" t="n">
        <x:v>0.11117393673273933</x:v>
      </x:c>
      <x:c r="G400" s="31" t="n">
        <x:v>40.626989459961216</x:v>
      </x:c>
      <x:c r="H400" s="31" t="n">
        <x:v>-74.03629775080329</x:v>
      </x:c>
      <x:c r="I400" s="31" t="n">
        <x:v>1154</x:v>
      </x:c>
      <x:c r="J400" s="31" t="n">
        <x:v>10380.13075649377</x:v>
      </x:c>
      <x:c r="K400" s="31"/>
      <x:c r="L400" s="40"/>
      <x:c r="M400" s="40"/>
      <x:c r="N400" s="31" t="n">
        <x:v>321</x:v>
      </x:c>
      <x:c r="O400" s="31" t="n">
        <x:v>445</x:v>
      </x:c>
      <x:c r="P400" s="31" t="n">
        <x:v>2.5191011235955054</x:v>
      </x:c>
      <x:c r="Q400" s="40" t="n">
        <x:v>0</x:v>
      </x:c>
      <x:c r="R400" s="40" t="n">
        <x:v>0.20674157303370785</x:v>
      </x:c>
      <x:c r="S400" s="40" t="n">
        <x:v>0.0044943820224719105</x:v>
      </x:c>
      <x:c r="T400" s="31" t="n">
        <x:v>32.46057593833708</x:v>
      </x:c>
      <x:c r="U400" s="31" t="n">
        <x:v>47.04465397</x:v>
      </x:c>
      <x:c r="V400" s="31" t="n">
        <x:v>4</x:v>
      </x:c>
      <x:c r="W400" s="31" t="n">
        <x:v>3.4662045060658575</x:v>
      </x:c>
      <x:c r="X400" s="31" t="n">
        <x:v>2</x:v>
      </x:c>
      <x:c r="Y400" s="40" t="n">
        <x:v>0</x:v>
      </x:c>
      <x:c r="Z400" s="40" t="n">
        <x:v>1</x:v>
      </x:c>
      <x:c r="AA400" s="40" t="n">
        <x:v>1</x:v>
      </x:c>
      <x:c r="AB400" s="31" t="n">
        <x:v>0.16174760194731283</x:v>
      </x:c>
      <x:c r="AC400" s="31" t="n">
        <x:v>5</x:v>
      </x:c>
      <x:c r="AD400" s="44" t="b">
        <x:v>1</x:v>
      </x:c>
    </x:row>
    <x:row r="401">
      <x:c r="A401" s="31" t="str">
        <x:v>36047004700</x:v>
      </x:c>
      <x:c r="B401" s="31" t="str">
        <x:v>Brooklyn</x:v>
      </x:c>
      <x:c r="C401" s="31" t="str">
        <x:v>004700</x:v>
      </x:c>
      <x:c r="D401" s="31" t="str">
        <x:v>BK0601</x:v>
      </x:c>
      <x:c r="E401" s="31" t="str">
        <x:v>Carroll Gardens-Cobble Hill-Gowanus-Red Hook</x:v>
      </x:c>
      <x:c r="F401" s="31" t="n">
        <x:v>0.10503739692306589</x:v>
      </x:c>
      <x:c r="G401" s="31" t="n">
        <x:v>40.68848259881567</x:v>
      </x:c>
      <x:c r="H401" s="31" t="n">
        <x:v>-74.00163737197902</x:v>
      </x:c>
      <x:c r="I401" s="31" t="n">
        <x:v>1951</x:v>
      </x:c>
      <x:c r="J401" s="31" t="n">
        <x:v>18574.3369233436</x:v>
      </x:c>
      <x:c r="K401" s="31"/>
      <x:c r="L401" s="40"/>
      <x:c r="M401" s="40"/>
      <x:c r="N401" s="31" t="n">
        <x:v>104</x:v>
      </x:c>
      <x:c r="O401" s="31" t="n">
        <x:v>972</x:v>
      </x:c>
      <x:c r="P401" s="31" t="n">
        <x:v>5.926453819840365</x:v>
      </x:c>
      <x:c r="Q401" s="40" t="n">
        <x:v>0.06275720164609054</x:v>
      </x:c>
      <x:c r="R401" s="40" t="n">
        <x:v>0.8364197530864198</x:v>
      </x:c>
      <x:c r="S401" s="40" t="n">
        <x:v>0.0720164609053498</x:v>
      </x:c>
      <x:c r="T401" s="31" t="n">
        <x:v>64.48977593510882</x:v>
      </x:c>
      <x:c r="U401" s="31" t="n">
        <x:v>109</x:v>
      </x:c>
      <x:c r="V401" s="31" t="n">
        <x:v>24</x:v>
      </x:c>
      <x:c r="W401" s="31" t="n">
        <x:v>12.301383905689391</x:v>
      </x:c>
      <x:c r="X401" s="31" t="n">
        <x:v>2</x:v>
      </x:c>
      <x:c r="Y401" s="40" t="n">
        <x:v>0</x:v>
      </x:c>
      <x:c r="Z401" s="40" t="n">
        <x:v>1</x:v>
      </x:c>
      <x:c r="AA401" s="40" t="n">
        <x:v>0.8981481481481481</x:v>
      </x:c>
      <x:c r="AB401" s="31" t="n">
        <x:v>0.233295919044755</x:v>
      </x:c>
      <x:c r="AC401" s="31" t="n">
        <x:v>6</x:v>
      </x:c>
      <x:c r="AD401" s="44" t="b">
        <x:v>1</x:v>
      </x:c>
    </x:row>
    <x:row r="402">
      <x:c r="A402" s="31" t="str">
        <x:v>36047004900</x:v>
      </x:c>
      <x:c r="B402" s="31" t="str">
        <x:v>Brooklyn</x:v>
      </x:c>
      <x:c r="C402" s="31" t="str">
        <x:v>004900</x:v>
      </x:c>
      <x:c r="D402" s="31" t="str">
        <x:v>BK0601</x:v>
      </x:c>
      <x:c r="E402" s="31" t="str">
        <x:v>Carroll Gardens-Cobble Hill-Gowanus-Red Hook</x:v>
      </x:c>
      <x:c r="F402" s="31" t="n">
        <x:v>0.037699812657469585</x:v>
      </x:c>
      <x:c r="G402" s="31" t="n">
        <x:v>40.687998608665936</x:v>
      </x:c>
      <x:c r="H402" s="31" t="n">
        <x:v>-73.99843656083438</x:v>
      </x:c>
      <x:c r="I402" s="31" t="n">
        <x:v>2412</x:v>
      </x:c>
      <x:c r="J402" s="31" t="n">
        <x:v>63979.097772044304</x:v>
      </x:c>
      <x:c r="K402" s="31"/>
      <x:c r="L402" s="40"/>
      <x:c r="M402" s="40"/>
      <x:c r="N402" s="31" t="n">
        <x:v>246</x:v>
      </x:c>
      <x:c r="O402" s="31" t="n">
        <x:v>1225</x:v>
      </x:c>
      <x:c r="P402" s="31" t="n">
        <x:v>6.2504347826086954</x:v>
      </x:c>
      <x:c r="Q402" s="40" t="n">
        <x:v>0.08326530612244898</x:v>
      </x:c>
      <x:c r="R402" s="40" t="n">
        <x:v>0.8269387755102041</x:v>
      </x:c>
      <x:c r="S402" s="40" t="n">
        <x:v>0.20081632653061224</x:v>
      </x:c>
      <x:c r="T402" s="31" t="n">
        <x:v>49.18332216546112</x:v>
      </x:c>
      <x:c r="U402" s="31" t="n">
        <x:v>72</x:v>
      </x:c>
      <x:c r="V402" s="31" t="n">
        <x:v>16</x:v>
      </x:c>
      <x:c r="W402" s="31" t="n">
        <x:v>6.633499170812604</x:v>
      </x:c>
      <x:c r="X402" s="31" t="n">
        <x:v>2</x:v>
      </x:c>
      <x:c r="Y402" s="40" t="n">
        <x:v>0</x:v>
      </x:c>
      <x:c r="Z402" s="40" t="n">
        <x:v>1</x:v>
      </x:c>
      <x:c r="AA402" s="40" t="n">
        <x:v>0.9028571428571428</x:v>
      </x:c>
      <x:c r="AB402" s="31" t="n">
        <x:v>0.083318969769186</x:v>
      </x:c>
      <x:c r="AC402" s="31" t="n">
        <x:v>6</x:v>
      </x:c>
      <x:c r="AD402" s="44" t="b">
        <x:v>1</x:v>
      </x:c>
    </x:row>
    <x:row r="403">
      <x:c r="A403" s="31" t="str">
        <x:v>36047005000</x:v>
      </x:c>
      <x:c r="B403" s="31" t="str">
        <x:v>Brooklyn</x:v>
      </x:c>
      <x:c r="C403" s="31" t="str">
        <x:v>005000</x:v>
      </x:c>
      <x:c r="D403" s="31" t="str">
        <x:v>BK1001</x:v>
      </x:c>
      <x:c r="E403" s="31" t="str">
        <x:v>Bay Ridge</x:v>
      </x:c>
      <x:c r="F403" s="31" t="n">
        <x:v>0.08568907876779155</x:v>
      </x:c>
      <x:c r="G403" s="31" t="n">
        <x:v>40.624133449596776</x:v>
      </x:c>
      <x:c r="H403" s="31" t="n">
        <x:v>-74.03755639471483</x:v>
      </x:c>
      <x:c r="I403" s="31" t="n">
        <x:v>2535</x:v>
      </x:c>
      <x:c r="J403" s="31" t="n">
        <x:v>29583.700005336563</x:v>
      </x:c>
      <x:c r="K403" s="31"/>
      <x:c r="L403" s="40"/>
      <x:c r="M403" s="40"/>
      <x:c r="N403" s="31" t="n">
        <x:v>363</x:v>
      </x:c>
      <x:c r="O403" s="31" t="n">
        <x:v>1126</x:v>
      </x:c>
      <x:c r="P403" s="31" t="n">
        <x:v>4.379520426287744</x:v>
      </x:c>
      <x:c r="Q403" s="40" t="n">
        <x:v>0.046181172291296625</x:v>
      </x:c>
      <x:c r="R403" s="40" t="n">
        <x:v>0.5541740674955595</x:v>
      </x:c>
      <x:c r="S403" s="40" t="n">
        <x:v>0</x:v>
      </x:c>
      <x:c r="T403" s="31" t="n">
        <x:v>51.36933162716696</x:v>
      </x:c>
      <x:c r="U403" s="31" t="n">
        <x:v>116.2005992</x:v>
      </x:c>
      <x:c r="V403" s="31" t="n">
        <x:v>13</x:v>
      </x:c>
      <x:c r="W403" s="31" t="n">
        <x:v>5.128205128205129</x:v>
      </x:c>
      <x:c r="X403" s="31" t="n">
        <x:v>2</x:v>
      </x:c>
      <x:c r="Y403" s="40" t="n">
        <x:v>0</x:v>
      </x:c>
      <x:c r="Z403" s="40" t="n">
        <x:v>1</x:v>
      </x:c>
      <x:c r="AA403" s="40" t="n">
        <x:v>1</x:v>
      </x:c>
      <x:c r="AB403" s="31" t="n">
        <x:v>0.2149462092400443</x:v>
      </x:c>
      <x:c r="AC403" s="31" t="n">
        <x:v>4</x:v>
      </x:c>
      <x:c r="AD403" s="44" t="b">
        <x:v>1</x:v>
      </x:c>
    </x:row>
    <x:row r="404">
      <x:c r="A404" s="31" t="str">
        <x:v>36047005100</x:v>
      </x:c>
      <x:c r="B404" s="31" t="str">
        <x:v>Brooklyn</x:v>
      </x:c>
      <x:c r="C404" s="31" t="str">
        <x:v>005100</x:v>
      </x:c>
      <x:c r="D404" s="31" t="str">
        <x:v>BK0601</x:v>
      </x:c>
      <x:c r="E404" s="31" t="str">
        <x:v>Carroll Gardens-Cobble Hill-Gowanus-Red Hook</x:v>
      </x:c>
      <x:c r="F404" s="31" t="n">
        <x:v>0.07063138914858814</x:v>
      </x:c>
      <x:c r="G404" s="31" t="n">
        <x:v>40.68347368258098</x:v>
      </x:c>
      <x:c r="H404" s="31" t="n">
        <x:v>-74.00347472904883</x:v>
      </x:c>
      <x:c r="I404" s="31" t="n">
        <x:v>2658</x:v>
      </x:c>
      <x:c r="J404" s="31" t="n">
        <x:v>37631.99382088227</x:v>
      </x:c>
      <x:c r="K404" s="31"/>
      <x:c r="L404" s="40"/>
      <x:c r="M404" s="40"/>
      <x:c r="N404" s="31" t="n">
        <x:v>284</x:v>
      </x:c>
      <x:c r="O404" s="31" t="n">
        <x:v>1153</x:v>
      </x:c>
      <x:c r="P404" s="31" t="n">
        <x:v>3.3495515695067266</x:v>
      </x:c>
      <x:c r="Q404" s="40" t="n">
        <x:v>0</x:v>
      </x:c>
      <x:c r="R404" s="40" t="n">
        <x:v>0.8473547267996531</x:v>
      </x:c>
      <x:c r="S404" s="40" t="n">
        <x:v>0.22029488291413704</x:v>
      </x:c>
      <x:c r="T404" s="31" t="n">
        <x:v>41.4539634886817</x:v>
      </x:c>
      <x:c r="U404" s="31" t="n">
        <x:v>83</x:v>
      </x:c>
      <x:c r="V404" s="31" t="n">
        <x:v>15</x:v>
      </x:c>
      <x:c r="W404" s="31" t="n">
        <x:v>5.643340857787811</x:v>
      </x:c>
      <x:c r="X404" s="31" t="n">
        <x:v>2</x:v>
      </x:c>
      <x:c r="Y404" s="40" t="n">
        <x:v>0</x:v>
      </x:c>
      <x:c r="Z404" s="40" t="n">
        <x:v>1</x:v>
      </x:c>
      <x:c r="AA404" s="40" t="n">
        <x:v>1</x:v>
      </x:c>
      <x:c r="AB404" s="31" t="n">
        <x:v>0.28247400598227074</x:v>
      </x:c>
      <x:c r="AC404" s="31" t="n">
        <x:v>5</x:v>
      </x:c>
      <x:c r="AD404" s="44" t="b">
        <x:v>1</x:v>
      </x:c>
    </x:row>
    <x:row r="405">
      <x:c r="A405" s="31" t="str">
        <x:v>36047005201</x:v>
      </x:c>
      <x:c r="B405" s="31" t="str">
        <x:v>Brooklyn</x:v>
      </x:c>
      <x:c r="C405" s="31" t="str">
        <x:v>005201</x:v>
      </x:c>
      <x:c r="D405" s="31" t="str">
        <x:v>BK1001</x:v>
      </x:c>
      <x:c r="E405" s="31" t="str">
        <x:v>Bay Ridge</x:v>
      </x:c>
      <x:c r="F405" s="31" t="n">
        <x:v>0.05204812156293044</x:v>
      </x:c>
      <x:c r="G405" s="31" t="n">
        <x:v>40.62160222732532</x:v>
      </x:c>
      <x:c r="H405" s="31" t="n">
        <x:v>-74.03823195240636</x:v>
      </x:c>
      <x:c r="I405" s="31" t="n">
        <x:v>1879</x:v>
      </x:c>
      <x:c r="J405" s="31" t="n">
        <x:v>36101.206798176856</x:v>
      </x:c>
      <x:c r="K405" s="31"/>
      <x:c r="L405" s="40"/>
      <x:c r="M405" s="40"/>
      <x:c r="N405" s="31" t="n">
        <x:v>137</x:v>
      </x:c>
      <x:c r="O405" s="31" t="n">
        <x:v>1166</x:v>
      </x:c>
      <x:c r="P405" s="31" t="n">
        <x:v>9.239493996569468</x:v>
      </x:c>
      <x:c r="Q405" s="40" t="n">
        <x:v>0.47855917667238423</x:v>
      </x:c>
      <x:c r="R405" s="40" t="n">
        <x:v>0.37821612349914235</x:v>
      </x:c>
      <x:c r="S405" s="40" t="n">
        <x:v>0.48027444253859347</x:v>
      </x:c>
      <x:c r="T405" s="31" t="n">
        <x:v>100.72354976070325</x:v>
      </x:c>
      <x:c r="U405" s="31" t="n">
        <x:v>152.59778125</x:v>
      </x:c>
      <x:c r="V405" s="31" t="n">
        <x:v>15</x:v>
      </x:c>
      <x:c r="W405" s="31" t="n">
        <x:v>7.982969664715274</x:v>
      </x:c>
      <x:c r="X405" s="31" t="n">
        <x:v>2</x:v>
      </x:c>
      <x:c r="Y405" s="40" t="n">
        <x:v>0</x:v>
      </x:c>
      <x:c r="Z405" s="40" t="n">
        <x:v>1</x:v>
      </x:c>
      <x:c r="AA405" s="40" t="n">
        <x:v>1</x:v>
      </x:c>
      <x:c r="AB405" s="31" t="n">
        <x:v>0.284273134865833</x:v>
      </x:c>
      <x:c r="AC405" s="31" t="n">
        <x:v>4</x:v>
      </x:c>
      <x:c r="AD405" s="44" t="b">
        <x:v>1</x:v>
      </x:c>
    </x:row>
    <x:row r="406">
      <x:c r="A406" s="31" t="str">
        <x:v>36047005202</x:v>
      </x:c>
      <x:c r="B406" s="31" t="str">
        <x:v>Brooklyn</x:v>
      </x:c>
      <x:c r="C406" s="31" t="str">
        <x:v>005202</x:v>
      </x:c>
      <x:c r="D406" s="31" t="str">
        <x:v>BK1001</x:v>
      </x:c>
      <x:c r="E406" s="31" t="str">
        <x:v>Bay Ridge</x:v>
      </x:c>
      <x:c r="F406" s="31" t="n">
        <x:v>0.05015117515603478</x:v>
      </x:c>
      <x:c r="G406" s="31" t="n">
        <x:v>40.619295310066704</x:v>
      </x:c>
      <x:c r="H406" s="31" t="n">
        <x:v>-74.03891328120646</x:v>
      </x:c>
      <x:c r="I406" s="31" t="n">
        <x:v>2668</x:v>
      </x:c>
      <x:c r="J406" s="31" t="n">
        <x:v>53199.152197313066</x:v>
      </x:c>
      <x:c r="K406" s="31"/>
      <x:c r="L406" s="40"/>
      <x:c r="M406" s="40"/>
      <x:c r="N406" s="31" t="n">
        <x:v>124</x:v>
      </x:c>
      <x:c r="O406" s="31" t="n">
        <x:v>1512</x:v>
      </x:c>
      <x:c r="P406" s="31" t="n">
        <x:v>5.7663690476190474</x:v>
      </x:c>
      <x:c r="Q406" s="40" t="n">
        <x:v>0</x:v>
      </x:c>
      <x:c r="R406" s="40" t="n">
        <x:v>0.9054232804232805</x:v>
      </x:c>
      <x:c r="S406" s="40" t="n">
        <x:v>0</x:v>
      </x:c>
      <x:c r="T406" s="31" t="n">
        <x:v>60.562378830794174</x:v>
      </x:c>
      <x:c r="U406" s="31" t="n">
        <x:v>84.82162256</x:v>
      </x:c>
      <x:c r="V406" s="31" t="n">
        <x:v>30</x:v>
      </x:c>
      <x:c r="W406" s="31" t="n">
        <x:v>11.244377811094454</x:v>
      </x:c>
      <x:c r="X406" s="31" t="n">
        <x:v>2</x:v>
      </x:c>
      <x:c r="Y406" s="40" t="n">
        <x:v>0</x:v>
      </x:c>
      <x:c r="Z406" s="40" t="n">
        <x:v>1</x:v>
      </x:c>
      <x:c r="AA406" s="40" t="n">
        <x:v>0.9993386243386243</x:v>
      </x:c>
      <x:c r="AB406" s="31" t="n">
        <x:v>0.4118700929654652</x:v>
      </x:c>
      <x:c r="AC406" s="31" t="n">
        <x:v>3</x:v>
      </x:c>
      <x:c r="AD406" s="44" t="b">
        <x:v>1</x:v>
      </x:c>
    </x:row>
    <x:row r="407">
      <x:c r="A407" s="31" t="str">
        <x:v>36047005301</x:v>
      </x:c>
      <x:c r="B407" s="31" t="str">
        <x:v>Brooklyn</x:v>
      </x:c>
      <x:c r="C407" s="31" t="str">
        <x:v>005301</x:v>
      </x:c>
      <x:c r="D407" s="31" t="str">
        <x:v>BK0601</x:v>
      </x:c>
      <x:c r="E407" s="31" t="str">
        <x:v>Carroll Gardens-Cobble Hill-Gowanus-Red Hook</x:v>
      </x:c>
      <x:c r="F407" s="31" t="n">
        <x:v>0.2189758818174644</x:v>
      </x:c>
      <x:c r="G407" s="31" t="n">
        <x:v>40.675865595647416</x:v>
      </x:c>
      <x:c r="H407" s="31" t="n">
        <x:v>-74.01426004607035</x:v>
      </x:c>
      <x:c r="I407" s="31" t="n">
        <x:v>2164</x:v>
      </x:c>
      <x:c r="J407" s="31" t="n">
        <x:v>9882.366870904458</x:v>
      </x:c>
      <x:c r="K407" s="31"/>
      <x:c r="L407" s="40"/>
      <x:c r="M407" s="40"/>
      <x:c r="N407" s="31" t="n">
        <x:v>356</x:v>
      </x:c>
      <x:c r="O407" s="31" t="n">
        <x:v>1109</x:v>
      </x:c>
      <x:c r="P407" s="31" t="n">
        <x:v>3.2330950226244344</x:v>
      </x:c>
      <x:c r="Q407" s="40" t="n">
        <x:v>0</x:v>
      </x:c>
      <x:c r="R407" s="40" t="n">
        <x:v>0.7709648331830478</x:v>
      </x:c>
      <x:c r="S407" s="40" t="n">
        <x:v>0.05590622182146077</x:v>
      </x:c>
      <x:c r="T407" s="31" t="n">
        <x:v>38.28429389883272</x:v>
      </x:c>
      <x:c r="U407" s="31" t="n">
        <x:v>67.9</x:v>
      </x:c>
      <x:c r="V407" s="31" t="n">
        <x:v>18</x:v>
      </x:c>
      <x:c r="W407" s="31" t="n">
        <x:v>8.317929759704251</x:v>
      </x:c>
      <x:c r="X407" s="31" t="n">
        <x:v>2</x:v>
      </x:c>
      <x:c r="Y407" s="40" t="n">
        <x:v>0</x:v>
      </x:c>
      <x:c r="Z407" s="40" t="n">
        <x:v>1</x:v>
      </x:c>
      <x:c r="AA407" s="40" t="n">
        <x:v>0.9810640216411182</x:v>
      </x:c>
      <x:c r="AB407" s="31" t="n">
        <x:v>0.1340003315878596</x:v>
      </x:c>
      <x:c r="AC407" s="31" t="n">
        <x:v>4</x:v>
      </x:c>
      <x:c r="AD407" s="44" t="b">
        <x:v>1</x:v>
      </x:c>
    </x:row>
    <x:row r="408">
      <x:c r="A408" s="31" t="str">
        <x:v>36047005302</x:v>
      </x:c>
      <x:c r="B408" s="31" t="str">
        <x:v>Brooklyn</x:v>
      </x:c>
      <x:c r="C408" s="31" t="str">
        <x:v>005302</x:v>
      </x:c>
      <x:c r="D408" s="31" t="str">
        <x:v>BK0601</x:v>
      </x:c>
      <x:c r="E408" s="31" t="str">
        <x:v>Carroll Gardens-Cobble Hill-Gowanus-Red Hook</x:v>
      </x:c>
      <x:c r="F408" s="31" t="n">
        <x:v>0.29816094288015094</x:v>
      </x:c>
      <x:c r="G408" s="31" t="n">
        <x:v>40.67064543808252</x:v>
      </x:c>
      <x:c r="H408" s="31" t="n">
        <x:v>-74.00690458375146</x:v>
      </x:c>
      <x:c r="I408" s="31" t="n">
        <x:v>86</x:v>
      </x:c>
      <x:c r="J408" s="31" t="n">
        <x:v>288.4348270744792</x:v>
      </x:c>
      <x:c r="K408" s="31"/>
      <x:c r="L408" s="40"/>
      <x:c r="M408" s="40"/>
      <x:c r="N408" s="31" t="n">
        <x:v>7</x:v>
      </x:c>
      <x:c r="O408" s="31" t="n">
        <x:v>406</x:v>
      </x:c>
      <x:c r="P408" s="31" t="n">
        <x:v>8.492610837438423</x:v>
      </x:c>
      <x:c r="Q408" s="40" t="n">
        <x:v>0.9137931034482759</x:v>
      </x:c>
      <x:c r="R408" s="40" t="n">
        <x:v>0.0812807881773399</x:v>
      </x:c>
      <x:c r="S408" s="40" t="n">
        <x:v>0.05665024630541872</x:v>
      </x:c>
      <x:c r="T408" s="31" t="n">
        <x:v>34.66230760714286</x:v>
      </x:c>
      <x:c r="U408" s="31" t="n">
        <x:v>47.26</x:v>
      </x:c>
      <x:c r="V408" s="31" t="n">
        <x:v>5</x:v>
      </x:c>
      <x:c r="W408" s="31" t="n">
        <x:v>58.13953488372093</x:v>
      </x:c>
      <x:c r="X408" s="31" t="n">
        <x:v>2</x:v>
      </x:c>
      <x:c r="Y408" s="40" t="n">
        <x:v>0</x:v>
      </x:c>
      <x:c r="Z408" s="40" t="n">
        <x:v>1</x:v>
      </x:c>
      <x:c r="AA408" s="40" t="n">
        <x:v>0.08620689655172414</x:v>
      </x:c>
      <x:c r="AB408" s="31" t="n">
        <x:v>0.3915087068416589</x:v>
      </x:c>
      <x:c r="AC408" s="31" t="n">
        <x:v>7</x:v>
      </x:c>
      <x:c r="AD408" s="44" t="b">
        <x:v>1</x:v>
      </x:c>
    </x:row>
    <x:row r="409">
      <x:c r="A409" s="31" t="str">
        <x:v>36047005303</x:v>
      </x:c>
      <x:c r="B409" s="31" t="str">
        <x:v>Brooklyn</x:v>
      </x:c>
      <x:c r="C409" s="31" t="str">
        <x:v>005303</x:v>
      </x:c>
      <x:c r="D409" s="31" t="str">
        <x:v>BK0601</x:v>
      </x:c>
      <x:c r="E409" s="31" t="str">
        <x:v>Carroll Gardens-Cobble Hill-Gowanus-Red Hook</x:v>
      </x:c>
      <x:c r="F409" s="31" t="n">
        <x:v>0.1187863787989985</x:v>
      </x:c>
      <x:c r="G409" s="31" t="n">
        <x:v>40.68252544420734</x:v>
      </x:c>
      <x:c r="H409" s="31" t="n">
        <x:v>-74.01116262527347</x:v>
      </x:c>
      <x:c r="I409" s="31" t="n">
        <x:v>0</x:v>
      </x:c>
      <x:c r="J409" s="31" t="n">
        <x:v>0</x:v>
      </x:c>
      <x:c r="K409" s="31"/>
      <x:c r="L409" s="40"/>
      <x:c r="M409" s="40"/>
      <x:c r="N409" s="31" t="n">
        <x:v>1</x:v>
      </x:c>
      <x:c r="O409" s="31" t="n">
        <x:v>70</x:v>
      </x:c>
      <x:c r="P409" s="31" t="n">
        <x:v>7</x:v>
      </x:c>
      <x:c r="Q409" s="40" t="n">
        <x:v>0</x:v>
      </x:c>
      <x:c r="R409" s="40" t="n">
        <x:v>1</x:v>
      </x:c>
      <x:c r="S409" s="40" t="n">
        <x:v>0</x:v>
      </x:c>
      <x:c r="T409" s="31" t="n">
        <x:v>125.01</x:v>
      </x:c>
      <x:c r="U409" s="31" t="n">
        <x:v>125.01</x:v>
      </x:c>
      <x:c r="V409" s="31" t="n">
        <x:v>5</x:v>
      </x:c>
      <x:c r="W409" s="31"/>
      <x:c r="X409" s="31" t="n">
        <x:v>2</x:v>
      </x:c>
      <x:c r="Y409" s="40" t="n">
        <x:v>0</x:v>
      </x:c>
      <x:c r="Z409" s="40" t="n">
        <x:v>1</x:v>
      </x:c>
      <x:c r="AA409" s="40" t="n">
        <x:v>1</x:v>
      </x:c>
      <x:c r="AB409" s="31" t="n">
        <x:v>0.24978275881355183</x:v>
      </x:c>
      <x:c r="AC409" s="31" t="n">
        <x:v>5</x:v>
      </x:c>
      <x:c r="AD409" s="44" t="b">
        <x:v>0</x:v>
      </x:c>
    </x:row>
    <x:row r="410">
      <x:c r="A410" s="31" t="str">
        <x:v>36047005400</x:v>
      </x:c>
      <x:c r="B410" s="31" t="str">
        <x:v>Brooklyn</x:v>
      </x:c>
      <x:c r="C410" s="31" t="str">
        <x:v>005400</x:v>
      </x:c>
      <x:c r="D410" s="31" t="str">
        <x:v>BK1001</x:v>
      </x:c>
      <x:c r="E410" s="31" t="str">
        <x:v>Bay Ridge</x:v>
      </x:c>
      <x:c r="F410" s="31" t="n">
        <x:v>0.06243402913366621</x:v>
      </x:c>
      <x:c r="G410" s="31" t="n">
        <x:v>40.617099623902405</x:v>
      </x:c>
      <x:c r="H410" s="31" t="n">
        <x:v>-74.03586567028395</x:v>
      </x:c>
      <x:c r="I410" s="31" t="n">
        <x:v>3426</x:v>
      </x:c>
      <x:c r="J410" s="31" t="n">
        <x:v>54873.921282017705</x:v>
      </x:c>
      <x:c r="K410" s="31"/>
      <x:c r="L410" s="40"/>
      <x:c r="M410" s="40"/>
      <x:c r="N410" s="31" t="n">
        <x:v>266</x:v>
      </x:c>
      <x:c r="O410" s="31" t="n">
        <x:v>1841</x:v>
      </x:c>
      <x:c r="P410" s="31" t="n">
        <x:v>4.7058663769690385</x:v>
      </x:c>
      <x:c r="Q410" s="40" t="n">
        <x:v>0</x:v>
      </x:c>
      <x:c r="R410" s="40" t="n">
        <x:v>0.8093427485062467</x:v>
      </x:c>
      <x:c r="S410" s="40" t="n">
        <x:v>0</x:v>
      </x:c>
      <x:c r="T410" s="31" t="n">
        <x:v>51.958633204003256</x:v>
      </x:c>
      <x:c r="U410" s="31" t="n">
        <x:v>80</x:v>
      </x:c>
      <x:c r="V410" s="31" t="n">
        <x:v>24</x:v>
      </x:c>
      <x:c r="W410" s="31" t="n">
        <x:v>7.005253940455342</x:v>
      </x:c>
      <x:c r="X410" s="31" t="n">
        <x:v>2</x:v>
      </x:c>
      <x:c r="Y410" s="40" t="n">
        <x:v>0</x:v>
      </x:c>
      <x:c r="Z410" s="40" t="n">
        <x:v>1</x:v>
      </x:c>
      <x:c r="AA410" s="40" t="n">
        <x:v>1</x:v>
      </x:c>
      <x:c r="AB410" s="31" t="n">
        <x:v>0.23975177544425072</x:v>
      </x:c>
      <x:c r="AC410" s="31" t="n">
        <x:v>5</x:v>
      </x:c>
      <x:c r="AD410" s="44" t="b">
        <x:v>1</x:v>
      </x:c>
    </x:row>
    <x:row r="411">
      <x:c r="A411" s="31" t="str">
        <x:v>36047005601</x:v>
      </x:c>
      <x:c r="B411" s="31" t="str">
        <x:v>Brooklyn</x:v>
      </x:c>
      <x:c r="C411" s="31" t="str">
        <x:v>005601</x:v>
      </x:c>
      <x:c r="D411" s="31" t="str">
        <x:v>BK1001</x:v>
      </x:c>
      <x:c r="E411" s="31" t="str">
        <x:v>Bay Ridge</x:v>
      </x:c>
      <x:c r="F411" s="31" t="n">
        <x:v>0.06650356628931359</x:v>
      </x:c>
      <x:c r="G411" s="31" t="n">
        <x:v>40.615180174663</x:v>
      </x:c>
      <x:c r="H411" s="31" t="n">
        <x:v>-74.03633245369868</x:v>
      </x:c>
      <x:c r="I411" s="31" t="n">
        <x:v>2692</x:v>
      </x:c>
      <x:c r="J411" s="31" t="n">
        <x:v>40479.032181354996</x:v>
      </x:c>
      <x:c r="K411" s="31"/>
      <x:c r="L411" s="40"/>
      <x:c r="M411" s="40"/>
      <x:c r="N411" s="31" t="n">
        <x:v>219</x:v>
      </x:c>
      <x:c r="O411" s="31" t="n">
        <x:v>1537</x:v>
      </x:c>
      <x:c r="P411" s="31" t="n">
        <x:v>5.044951140065146</x:v>
      </x:c>
      <x:c r="Q411" s="40" t="n">
        <x:v>0</x:v>
      </x:c>
      <x:c r="R411" s="40" t="n">
        <x:v>0.8614183474300585</x:v>
      </x:c>
      <x:c r="S411" s="40" t="n">
        <x:v>0</x:v>
      </x:c>
      <x:c r="T411" s="31" t="n">
        <x:v>56.28979929538061</x:v>
      </x:c>
      <x:c r="U411" s="31" t="n">
        <x:v>73</x:v>
      </x:c>
      <x:c r="V411" s="31" t="n">
        <x:v>24</x:v>
      </x:c>
      <x:c r="W411" s="31" t="n">
        <x:v>8.915304606240714</x:v>
      </x:c>
      <x:c r="X411" s="31" t="n">
        <x:v>2</x:v>
      </x:c>
      <x:c r="Y411" s="40" t="n">
        <x:v>0</x:v>
      </x:c>
      <x:c r="Z411" s="40" t="n">
        <x:v>1</x:v>
      </x:c>
      <x:c r="AA411" s="40" t="n">
        <x:v>1</x:v>
      </x:c>
      <x:c r="AB411" s="31" t="n">
        <x:v>0.27306126426996297</x:v>
      </x:c>
      <x:c r="AC411" s="31" t="n">
        <x:v>3</x:v>
      </x:c>
      <x:c r="AD411" s="44" t="b">
        <x:v>1</x:v>
      </x:c>
    </x:row>
    <x:row r="412">
      <x:c r="A412" s="31" t="str">
        <x:v>36047005602</x:v>
      </x:c>
      <x:c r="B412" s="31" t="str">
        <x:v>Brooklyn</x:v>
      </x:c>
      <x:c r="C412" s="31" t="str">
        <x:v>005602</x:v>
      </x:c>
      <x:c r="D412" s="31" t="str">
        <x:v>BK1001</x:v>
      </x:c>
      <x:c r="E412" s="31" t="str">
        <x:v>Bay Ridge</x:v>
      </x:c>
      <x:c r="F412" s="31" t="n">
        <x:v>0.05154007546487603</x:v>
      </x:c>
      <x:c r="G412" s="31" t="n">
        <x:v>40.61276163584741</x:v>
      </x:c>
      <x:c r="H412" s="31" t="n">
        <x:v>-74.035723672487</x:v>
      </x:c>
      <x:c r="I412" s="31" t="n">
        <x:v>1734</x:v>
      </x:c>
      <x:c r="J412" s="31" t="n">
        <x:v>33643.722566562814</x:v>
      </x:c>
      <x:c r="K412" s="31"/>
      <x:c r="L412" s="40"/>
      <x:c r="M412" s="40"/>
      <x:c r="N412" s="31" t="n">
        <x:v>89</x:v>
      </x:c>
      <x:c r="O412" s="31" t="n">
        <x:v>1061</x:v>
      </x:c>
      <x:c r="P412" s="31" t="n">
        <x:v>4.889962299717248</x:v>
      </x:c>
      <x:c r="Q412" s="40" t="n">
        <x:v>0.021677662582469368</x:v>
      </x:c>
      <x:c r="R412" s="40" t="n">
        <x:v>0.882186616399623</x:v>
      </x:c>
      <x:c r="S412" s="40" t="n">
        <x:v>0.19792648444863337</x:v>
      </x:c>
      <x:c r="T412" s="31" t="n">
        <x:v>55.629680030414704</x:v>
      </x:c>
      <x:c r="U412" s="31" t="n">
        <x:v>84</x:v>
      </x:c>
      <x:c r="V412" s="31" t="n">
        <x:v>14</x:v>
      </x:c>
      <x:c r="W412" s="31" t="n">
        <x:v>8.073817762399077</x:v>
      </x:c>
      <x:c r="X412" s="31" t="n">
        <x:v>2</x:v>
      </x:c>
      <x:c r="Y412" s="40" t="n">
        <x:v>0</x:v>
      </x:c>
      <x:c r="Z412" s="40" t="n">
        <x:v>1</x:v>
      </x:c>
      <x:c r="AA412" s="40" t="n">
        <x:v>1</x:v>
      </x:c>
      <x:c r="AB412" s="31" t="n">
        <x:v>0.33934165569737756</x:v>
      </x:c>
      <x:c r="AC412" s="31" t="n">
        <x:v>3</x:v>
      </x:c>
      <x:c r="AD412" s="44" t="b">
        <x:v>1</x:v>
      </x:c>
    </x:row>
    <x:row r="413">
      <x:c r="A413" s="31" t="str">
        <x:v>36047005800</x:v>
      </x:c>
      <x:c r="B413" s="31" t="str">
        <x:v>Brooklyn</x:v>
      </x:c>
      <x:c r="C413" s="31" t="str">
        <x:v>005800</x:v>
      </x:c>
      <x:c r="D413" s="31" t="str">
        <x:v>BK1001</x:v>
      </x:c>
      <x:c r="E413" s="31" t="str">
        <x:v>Bay Ridge</x:v>
      </x:c>
      <x:c r="F413" s="31" t="n">
        <x:v>0.07462061213269054</x:v>
      </x:c>
      <x:c r="G413" s="31" t="n">
        <x:v>40.61908863988311</x:v>
      </x:c>
      <x:c r="H413" s="31" t="n">
        <x:v>-74.03218874719003</x:v>
      </x:c>
      <x:c r="I413" s="31" t="n">
        <x:v>3450</x:v>
      </x:c>
      <x:c r="J413" s="31" t="n">
        <x:v>46233.87427947123</x:v>
      </x:c>
      <x:c r="K413" s="31"/>
      <x:c r="L413" s="40"/>
      <x:c r="M413" s="40"/>
      <x:c r="N413" s="31" t="n">
        <x:v>417</x:v>
      </x:c>
      <x:c r="O413" s="31" t="n">
        <x:v>1671</x:v>
      </x:c>
      <x:c r="P413" s="31" t="n">
        <x:v>3.7236052789442113</x:v>
      </x:c>
      <x:c r="Q413" s="40" t="n">
        <x:v>0</x:v>
      </x:c>
      <x:c r="R413" s="40" t="n">
        <x:v>0.7217235188509874</x:v>
      </x:c>
      <x:c r="S413" s="40" t="n">
        <x:v>0.02154398563734291</x:v>
      </x:c>
      <x:c r="T413" s="31" t="n">
        <x:v>42.590089556039665</x:v>
      </x:c>
      <x:c r="U413" s="31" t="n">
        <x:v>71.11186809</x:v>
      </x:c>
      <x:c r="V413" s="31" t="n">
        <x:v>12</x:v>
      </x:c>
      <x:c r="W413" s="31" t="n">
        <x:v>3.4782608695652177</x:v>
      </x:c>
      <x:c r="X413" s="31" t="n">
        <x:v>2</x:v>
      </x:c>
      <x:c r="Y413" s="40" t="n">
        <x:v>0</x:v>
      </x:c>
      <x:c r="Z413" s="40" t="n">
        <x:v>1</x:v>
      </x:c>
      <x:c r="AA413" s="40" t="n">
        <x:v>0.9958108916816277</x:v>
      </x:c>
      <x:c r="AB413" s="31" t="n">
        <x:v>0.1890067119819749</x:v>
      </x:c>
      <x:c r="AC413" s="31" t="n">
        <x:v>6</x:v>
      </x:c>
      <x:c r="AD413" s="44" t="b">
        <x:v>1</x:v>
      </x:c>
    </x:row>
    <x:row r="414">
      <x:c r="A414" s="31" t="str">
        <x:v>36047005900</x:v>
      </x:c>
      <x:c r="B414" s="31" t="str">
        <x:v>Brooklyn</x:v>
      </x:c>
      <x:c r="C414" s="31" t="str">
        <x:v>005900</x:v>
      </x:c>
      <x:c r="D414" s="31" t="str">
        <x:v>BK0601</x:v>
      </x:c>
      <x:c r="E414" s="31" t="str">
        <x:v>Carroll Gardens-Cobble Hill-Gowanus-Red Hook</x:v>
      </x:c>
      <x:c r="F414" s="31" t="n">
        <x:v>0.13785675227344465</x:v>
      </x:c>
      <x:c r="G414" s="31" t="n">
        <x:v>40.67939507582127</x:v>
      </x:c>
      <x:c r="H414" s="31" t="n">
        <x:v>-74.0060988815391</x:v>
      </x:c>
      <x:c r="I414" s="31" t="n">
        <x:v>1742</x:v>
      </x:c>
      <x:c r="J414" s="31" t="n">
        <x:v>12636.305231858863</x:v>
      </x:c>
      <x:c r="K414" s="31"/>
      <x:c r="L414" s="40"/>
      <x:c r="M414" s="40"/>
      <x:c r="N414" s="31" t="n">
        <x:v>166</x:v>
      </x:c>
      <x:c r="O414" s="31" t="n">
        <x:v>742</x:v>
      </x:c>
      <x:c r="P414" s="31" t="n">
        <x:v>3.318733153638814</x:v>
      </x:c>
      <x:c r="Q414" s="40" t="n">
        <x:v>0</x:v>
      </x:c>
      <x:c r="R414" s="40" t="n">
        <x:v>0.8787061994609164</x:v>
      </x:c>
      <x:c r="S414" s="40" t="n">
        <x:v>0.07277628032345014</x:v>
      </x:c>
      <x:c r="T414" s="31" t="n">
        <x:v>39.94558209379311</x:v>
      </x:c>
      <x:c r="U414" s="31" t="n">
        <x:v>65.84</x:v>
      </x:c>
      <x:c r="V414" s="31" t="n">
        <x:v>3</x:v>
      </x:c>
      <x:c r="W414" s="31" t="n">
        <x:v>1.7221584385763489</x:v>
      </x:c>
      <x:c r="X414" s="31" t="n">
        <x:v>2</x:v>
      </x:c>
      <x:c r="Y414" s="40" t="n">
        <x:v>0</x:v>
      </x:c>
      <x:c r="Z414" s="40" t="n">
        <x:v>1</x:v>
      </x:c>
      <x:c r="AA414" s="40" t="n">
        <x:v>0.977088948787062</x:v>
      </x:c>
      <x:c r="AB414" s="31" t="n">
        <x:v>0.12453661365110567</x:v>
      </x:c>
      <x:c r="AC414" s="31" t="n">
        <x:v>7</x:v>
      </x:c>
      <x:c r="AD414" s="44" t="b">
        <x:v>1</x:v>
      </x:c>
    </x:row>
    <x:row r="415">
      <x:c r="A415" s="31" t="str">
        <x:v>36047006000</x:v>
      </x:c>
      <x:c r="B415" s="31" t="str">
        <x:v>Brooklyn</x:v>
      </x:c>
      <x:c r="C415" s="31" t="str">
        <x:v>006000</x:v>
      </x:c>
      <x:c r="D415" s="31" t="str">
        <x:v>BK1001</x:v>
      </x:c>
      <x:c r="E415" s="31" t="str">
        <x:v>Bay Ridge</x:v>
      </x:c>
      <x:c r="F415" s="31" t="n">
        <x:v>0.05879368507984676</x:v>
      </x:c>
      <x:c r="G415" s="31" t="n">
        <x:v>40.622082858523285</x:v>
      </x:c>
      <x:c r="H415" s="31" t="n">
        <x:v>-74.03160433901795</x:v>
      </x:c>
      <x:c r="I415" s="31" t="n">
        <x:v>2876</x:v>
      </x:c>
      <x:c r="J415" s="31" t="n">
        <x:v>48916.81812586081</x:v>
      </x:c>
      <x:c r="K415" s="31"/>
      <x:c r="L415" s="40"/>
      <x:c r="M415" s="40"/>
      <x:c r="N415" s="31" t="n">
        <x:v>432</x:v>
      </x:c>
      <x:c r="O415" s="31" t="n">
        <x:v>1177</x:v>
      </x:c>
      <x:c r="P415" s="31" t="n">
        <x:v>2.8319881053525915</x:v>
      </x:c>
      <x:c r="Q415" s="40" t="n">
        <x:v>0</x:v>
      </x:c>
      <x:c r="R415" s="40" t="n">
        <x:v>0.5199660152931181</x:v>
      </x:c>
      <x:c r="S415" s="40" t="n">
        <x:v>0.0016992353440951572</x:v>
      </x:c>
      <x:c r="T415" s="31" t="n">
        <x:v>34.796328880758736</x:v>
      </x:c>
      <x:c r="U415" s="31" t="n">
        <x:v>66.24</x:v>
      </x:c>
      <x:c r="V415" s="31" t="n">
        <x:v>5</x:v>
      </x:c>
      <x:c r="W415" s="31" t="n">
        <x:v>1.7385257301808068</x:v>
      </x:c>
      <x:c r="X415" s="31" t="n">
        <x:v>2</x:v>
      </x:c>
      <x:c r="Y415" s="40" t="n">
        <x:v>0</x:v>
      </x:c>
      <x:c r="Z415" s="40" t="n">
        <x:v>1</x:v>
      </x:c>
      <x:c r="AA415" s="40" t="n">
        <x:v>0.9966015293118097</x:v>
      </x:c>
      <x:c r="AB415" s="31" t="n">
        <x:v>0.12582801514280376</x:v>
      </x:c>
      <x:c r="AC415" s="31" t="n">
        <x:v>6</x:v>
      </x:c>
      <x:c r="AD415" s="44" t="b">
        <x:v>1</x:v>
      </x:c>
    </x:row>
    <x:row r="416">
      <x:c r="A416" s="31" t="str">
        <x:v>36047006200</x:v>
      </x:c>
      <x:c r="B416" s="31" t="str">
        <x:v>Brooklyn</x:v>
      </x:c>
      <x:c r="C416" s="31" t="str">
        <x:v>006200</x:v>
      </x:c>
      <x:c r="D416" s="31" t="str">
        <x:v>BK1001</x:v>
      </x:c>
      <x:c r="E416" s="31" t="str">
        <x:v>Bay Ridge</x:v>
      </x:c>
      <x:c r="F416" s="31" t="n">
        <x:v>0.06265938143903524</x:v>
      </x:c>
      <x:c r="G416" s="31" t="n">
        <x:v>40.62491073712658</x:v>
      </x:c>
      <x:c r="H416" s="31" t="n">
        <x:v>-74.0304460722683</x:v>
      </x:c>
      <x:c r="I416" s="31" t="n">
        <x:v>2958</x:v>
      </x:c>
      <x:c r="J416" s="31" t="n">
        <x:v>47207.615716379216</x:v>
      </x:c>
      <x:c r="K416" s="31"/>
      <x:c r="L416" s="40"/>
      <x:c r="M416" s="40"/>
      <x:c r="N416" s="31" t="n">
        <x:v>311</x:v>
      </x:c>
      <x:c r="O416" s="31" t="n">
        <x:v>1284</x:v>
      </x:c>
      <x:c r="P416" s="31" t="n">
        <x:v>3.748442367601246</x:v>
      </x:c>
      <x:c r="Q416" s="40" t="n">
        <x:v>0</x:v>
      </x:c>
      <x:c r="R416" s="40" t="n">
        <x:v>0.6993769470404985</x:v>
      </x:c>
      <x:c r="S416" s="40" t="n">
        <x:v>0.001557632398753894</x:v>
      </x:c>
      <x:c r="T416" s="31" t="n">
        <x:v>43.00084105490257</x:v>
      </x:c>
      <x:c r="U416" s="31" t="n">
        <x:v>66.17326161</x:v>
      </x:c>
      <x:c r="V416" s="31" t="n">
        <x:v>12</x:v>
      </x:c>
      <x:c r="W416" s="31" t="n">
        <x:v>4.056795131845842</x:v>
      </x:c>
      <x:c r="X416" s="31" t="n">
        <x:v>2</x:v>
      </x:c>
      <x:c r="Y416" s="40" t="n">
        <x:v>0</x:v>
      </x:c>
      <x:c r="Z416" s="40" t="n">
        <x:v>1</x:v>
      </x:c>
      <x:c r="AA416" s="40" t="n">
        <x:v>0.9992211838006231</x:v>
      </x:c>
      <x:c r="AB416" s="31" t="n">
        <x:v>0.18443894817906498</x:v>
      </x:c>
      <x:c r="AC416" s="31" t="n">
        <x:v>5</x:v>
      </x:c>
      <x:c r="AD416" s="44" t="b">
        <x:v>1</x:v>
      </x:c>
    </x:row>
    <x:row r="417">
      <x:c r="A417" s="31" t="str">
        <x:v>36047006300</x:v>
      </x:c>
      <x:c r="B417" s="31" t="str">
        <x:v>Brooklyn</x:v>
      </x:c>
      <x:c r="C417" s="31" t="str">
        <x:v>006300</x:v>
      </x:c>
      <x:c r="D417" s="31" t="str">
        <x:v>BK0601</x:v>
      </x:c>
      <x:c r="E417" s="31" t="str">
        <x:v>Carroll Gardens-Cobble Hill-Gowanus-Red Hook</x:v>
      </x:c>
      <x:c r="F417" s="31" t="n">
        <x:v>0.03878577591683885</x:v>
      </x:c>
      <x:c r="G417" s="31" t="n">
        <x:v>40.681992334674895</x:v>
      </x:c>
      <x:c r="H417" s="31" t="n">
        <x:v>-74.00129775274232</x:v>
      </x:c>
      <x:c r="I417" s="31" t="n">
        <x:v>2007</x:v>
      </x:c>
      <x:c r="J417" s="31" t="n">
        <x:v>51745.77412872281</x:v>
      </x:c>
      <x:c r="K417" s="31"/>
      <x:c r="L417" s="40"/>
      <x:c r="M417" s="40"/>
      <x:c r="N417" s="31" t="n">
        <x:v>217</x:v>
      </x:c>
      <x:c r="O417" s="31" t="n">
        <x:v>995</x:v>
      </x:c>
      <x:c r="P417" s="31" t="n">
        <x:v>3.7437185929648242</x:v>
      </x:c>
      <x:c r="Q417" s="40" t="n">
        <x:v>0</x:v>
      </x:c>
      <x:c r="R417" s="40" t="n">
        <x:v>0.9567839195979899</x:v>
      </x:c>
      <x:c r="S417" s="40" t="n">
        <x:v>0</x:v>
      </x:c>
      <x:c r="T417" s="31" t="n">
        <x:v>48.022393370908176</x:v>
      </x:c>
      <x:c r="U417" s="31" t="n">
        <x:v>81.59</x:v>
      </x:c>
      <x:c r="V417" s="31" t="n">
        <x:v>5</x:v>
      </x:c>
      <x:c r="W417" s="31" t="n">
        <x:v>2.4912805181863478</x:v>
      </x:c>
      <x:c r="X417" s="31" t="n">
        <x:v>2</x:v>
      </x:c>
      <x:c r="Y417" s="40" t="n">
        <x:v>0</x:v>
      </x:c>
      <x:c r="Z417" s="40" t="n">
        <x:v>1</x:v>
      </x:c>
      <x:c r="AA417" s="40" t="n">
        <x:v>0.9959798994974874</x:v>
      </x:c>
      <x:c r="AB417" s="31" t="n">
        <x:v>0.1719099201520551</x:v>
      </x:c>
      <x:c r="AC417" s="31" t="n">
        <x:v>6</x:v>
      </x:c>
      <x:c r="AD417" s="44" t="b">
        <x:v>1</x:v>
      </x:c>
    </x:row>
    <x:row r="418">
      <x:c r="A418" s="31" t="str">
        <x:v>36047006400</x:v>
      </x:c>
      <x:c r="B418" s="31" t="str">
        <x:v>Brooklyn</x:v>
      </x:c>
      <x:c r="C418" s="31" t="str">
        <x:v>006400</x:v>
      </x:c>
      <x:c r="D418" s="31" t="str">
        <x:v>BK1001</x:v>
      </x:c>
      <x:c r="E418" s="31" t="str">
        <x:v>Bay Ridge</x:v>
      </x:c>
      <x:c r="F418" s="31" t="n">
        <x:v>0.0784411894534837</x:v>
      </x:c>
      <x:c r="G418" s="31" t="n">
        <x:v>40.628925266857955</x:v>
      </x:c>
      <x:c r="H418" s="31" t="n">
        <x:v>-74.02880926017525</x:v>
      </x:c>
      <x:c r="I418" s="31" t="n">
        <x:v>3623</x:v>
      </x:c>
      <x:c r="J418" s="31" t="n">
        <x:v>46187.46892088461</x:v>
      </x:c>
      <x:c r="K418" s="31"/>
      <x:c r="L418" s="40"/>
      <x:c r="M418" s="40"/>
      <x:c r="N418" s="31" t="n">
        <x:v>455</x:v>
      </x:c>
      <x:c r="O418" s="31" t="n">
        <x:v>1570</x:v>
      </x:c>
      <x:c r="P418" s="31" t="n">
        <x:v>3.9036375239310783</x:v>
      </x:c>
      <x:c r="Q418" s="40" t="n">
        <x:v>0</x:v>
      </x:c>
      <x:c r="R418" s="40" t="n">
        <x:v>0.6656050955414012</x:v>
      </x:c>
      <x:c r="S418" s="40" t="n">
        <x:v>0.008280254777070064</x:v>
      </x:c>
      <x:c r="T418" s="31" t="n">
        <x:v>44.36659752375645</x:v>
      </x:c>
      <x:c r="U418" s="31" t="n">
        <x:v>67.29</x:v>
      </x:c>
      <x:c r="V418" s="31" t="n">
        <x:v>12</x:v>
      </x:c>
      <x:c r="W418" s="31" t="n">
        <x:v>3.3121722329561134</x:v>
      </x:c>
      <x:c r="X418" s="31" t="n">
        <x:v>2</x:v>
      </x:c>
      <x:c r="Y418" s="40" t="n">
        <x:v>0</x:v>
      </x:c>
      <x:c r="Z418" s="40" t="n">
        <x:v>1</x:v>
      </x:c>
      <x:c r="AA418" s="40" t="n">
        <x:v>0.9885350318471338</x:v>
      </x:c>
      <x:c r="AB418" s="31" t="n">
        <x:v>0.3251093849060209</x:v>
      </x:c>
      <x:c r="AC418" s="31" t="n">
        <x:v>6</x:v>
      </x:c>
      <x:c r="AD418" s="44" t="b">
        <x:v>1</x:v>
      </x:c>
    </x:row>
    <x:row r="419">
      <x:c r="A419" s="31" t="str">
        <x:v>36047006500</x:v>
      </x:c>
      <x:c r="B419" s="31" t="str">
        <x:v>Brooklyn</x:v>
      </x:c>
      <x:c r="C419" s="31" t="str">
        <x:v>006500</x:v>
      </x:c>
      <x:c r="D419" s="31" t="str">
        <x:v>BK0601</x:v>
      </x:c>
      <x:c r="E419" s="31" t="str">
        <x:v>Carroll Gardens-Cobble Hill-Gowanus-Red Hook</x:v>
      </x:c>
      <x:c r="F419" s="31" t="n">
        <x:v>0.09606133576711719</x:v>
      </x:c>
      <x:c r="G419" s="31" t="n">
        <x:v>40.6790992679452</x:v>
      </x:c>
      <x:c r="H419" s="31" t="n">
        <x:v>-73.99945245816936</x:v>
      </x:c>
      <x:c r="I419" s="31" t="n">
        <x:v>5461</x:v>
      </x:c>
      <x:c r="J419" s="31" t="n">
        <x:v>56849.094970313316</x:v>
      </x:c>
      <x:c r="K419" s="31"/>
      <x:c r="L419" s="40"/>
      <x:c r="M419" s="40"/>
      <x:c r="N419" s="31" t="n">
        <x:v>773</x:v>
      </x:c>
      <x:c r="O419" s="31" t="n">
        <x:v>2745</x:v>
      </x:c>
      <x:c r="P419" s="31" t="n">
        <x:v>3.4200438116100766</x:v>
      </x:c>
      <x:c r="Q419" s="40" t="n">
        <x:v>0.007285974499089253</x:v>
      </x:c>
      <x:c r="R419" s="40" t="n">
        <x:v>0.8892531876138433</x:v>
      </x:c>
      <x:c r="S419" s="40" t="n">
        <x:v>0.007650273224043716</x:v>
      </x:c>
      <x:c r="T419" s="31" t="n">
        <x:v>44.37411985601757</x:v>
      </x:c>
      <x:c r="U419" s="31" t="n">
        <x:v>157</x:v>
      </x:c>
      <x:c r="V419" s="31" t="n">
        <x:v>17</x:v>
      </x:c>
      <x:c r="W419" s="31" t="n">
        <x:v>3.112982970151987</x:v>
      </x:c>
      <x:c r="X419" s="31" t="n">
        <x:v>2</x:v>
      </x:c>
      <x:c r="Y419" s="40" t="n">
        <x:v>0</x:v>
      </x:c>
      <x:c r="Z419" s="40" t="n">
        <x:v>1</x:v>
      </x:c>
      <x:c r="AA419" s="40" t="n">
        <x:v>0.995264116575592</x:v>
      </x:c>
      <x:c r="AB419" s="31" t="n">
        <x:v>0.1344321815493091</x:v>
      </x:c>
      <x:c r="AC419" s="31" t="n">
        <x:v>6</x:v>
      </x:c>
      <x:c r="AD419" s="44" t="b">
        <x:v>1</x:v>
      </x:c>
    </x:row>
    <x:row r="420">
      <x:c r="A420" s="31" t="str">
        <x:v>36047006600</x:v>
      </x:c>
      <x:c r="B420" s="31" t="str">
        <x:v>Brooklyn</x:v>
      </x:c>
      <x:c r="C420" s="31" t="str">
        <x:v>006600</x:v>
      </x:c>
      <x:c r="D420" s="31" t="str">
        <x:v>BK1001</x:v>
      </x:c>
      <x:c r="E420" s="31" t="str">
        <x:v>Bay Ridge</x:v>
      </x:c>
      <x:c r="F420" s="31" t="n">
        <x:v>0.05930301535561582</x:v>
      </x:c>
      <x:c r="G420" s="31" t="n">
        <x:v>40.6321321878928</x:v>
      </x:c>
      <x:c r="H420" s="31" t="n">
        <x:v>-74.02750097275978</x:v>
      </x:c>
      <x:c r="I420" s="31" t="n">
        <x:v>3974</x:v>
      </x:c>
      <x:c r="J420" s="31" t="n">
        <x:v>67011.76957309092</x:v>
      </x:c>
      <x:c r="K420" s="31"/>
      <x:c r="L420" s="40"/>
      <x:c r="M420" s="40"/>
      <x:c r="N420" s="31" t="n">
        <x:v>300</x:v>
      </x:c>
      <x:c r="O420" s="31" t="n">
        <x:v>1644</x:v>
      </x:c>
      <x:c r="P420" s="31" t="n">
        <x:v>4.120742092457421</x:v>
      </x:c>
      <x:c r="Q420" s="40" t="n">
        <x:v>0</x:v>
      </x:c>
      <x:c r="R420" s="40" t="n">
        <x:v>0.7992700729927007</x:v>
      </x:c>
      <x:c r="S420" s="40" t="n">
        <x:v>0.05778588807785888</x:v>
      </x:c>
      <x:c r="T420" s="31" t="n">
        <x:v>47.004748324537715</x:v>
      </x:c>
      <x:c r="U420" s="31" t="n">
        <x:v>66.7</x:v>
      </x:c>
      <x:c r="V420" s="31" t="n">
        <x:v>11</x:v>
      </x:c>
      <x:c r="W420" s="31" t="n">
        <x:v>2.7679919476597887</x:v>
      </x:c>
      <x:c r="X420" s="31" t="n">
        <x:v>2</x:v>
      </x:c>
      <x:c r="Y420" s="40" t="n">
        <x:v>0</x:v>
      </x:c>
      <x:c r="Z420" s="40" t="n">
        <x:v>1</x:v>
      </x:c>
      <x:c r="AA420" s="40" t="n">
        <x:v>1</x:v>
      </x:c>
      <x:c r="AB420" s="31" t="n">
        <x:v>0.14654965052790342</x:v>
      </x:c>
      <x:c r="AC420" s="31" t="n">
        <x:v>7</x:v>
      </x:c>
      <x:c r="AD420" s="44" t="b">
        <x:v>1</x:v>
      </x:c>
    </x:row>
    <x:row r="421">
      <x:c r="A421" s="31" t="str">
        <x:v>36047006700</x:v>
      </x:c>
      <x:c r="B421" s="31" t="str">
        <x:v>Brooklyn</x:v>
      </x:c>
      <x:c r="C421" s="31" t="str">
        <x:v>006700</x:v>
      </x:c>
      <x:c r="D421" s="31" t="str">
        <x:v>BK0601</x:v>
      </x:c>
      <x:c r="E421" s="31" t="str">
        <x:v>Carroll Gardens-Cobble Hill-Gowanus-Red Hook</x:v>
      </x:c>
      <x:c r="F421" s="31" t="n">
        <x:v>0.06029055650503616</x:v>
      </x:c>
      <x:c r="G421" s="31" t="n">
        <x:v>40.684175878712146</x:v>
      </x:c>
      <x:c r="H421" s="31" t="n">
        <x:v>-73.99722307550871</x:v>
      </x:c>
      <x:c r="I421" s="31" t="n">
        <x:v>3618</x:v>
      </x:c>
      <x:c r="J421" s="31" t="n">
        <x:v>60009.397984206415</x:v>
      </x:c>
      <x:c r="K421" s="31"/>
      <x:c r="L421" s="40"/>
      <x:c r="M421" s="40"/>
      <x:c r="N421" s="31" t="n">
        <x:v>489</x:v>
      </x:c>
      <x:c r="O421" s="31" t="n">
        <x:v>1621</x:v>
      </x:c>
      <x:c r="P421" s="31" t="n">
        <x:v>3.466358024691358</x:v>
      </x:c>
      <x:c r="Q421" s="40" t="n">
        <x:v>0</x:v>
      </x:c>
      <x:c r="R421" s="40" t="n">
        <x:v>0.9784083898827884</x:v>
      </x:c>
      <x:c r="S421" s="40" t="n">
        <x:v>0</x:v>
      </x:c>
      <x:c r="T421" s="31" t="n">
        <x:v>46.722666139666046</x:v>
      </x:c>
      <x:c r="U421" s="31" t="n">
        <x:v>84.63920786</x:v>
      </x:c>
      <x:c r="V421" s="31" t="n">
        <x:v>12</x:v>
      </x:c>
      <x:c r="W421" s="31" t="n">
        <x:v>3.316749585406302</x:v>
      </x:c>
      <x:c r="X421" s="31" t="n">
        <x:v>2</x:v>
      </x:c>
      <x:c r="Y421" s="40" t="n">
        <x:v>0</x:v>
      </x:c>
      <x:c r="Z421" s="40" t="n">
        <x:v>1</x:v>
      </x:c>
      <x:c r="AA421" s="40" t="n">
        <x:v>0.9975323874151758</x:v>
      </x:c>
      <x:c r="AB421" s="31" t="n">
        <x:v>0.1868605675535471</x:v>
      </x:c>
      <x:c r="AC421" s="31" t="n">
        <x:v>6</x:v>
      </x:c>
      <x:c r="AD421" s="44" t="b">
        <x:v>1</x:v>
      </x:c>
    </x:row>
    <x:row r="422">
      <x:c r="A422" s="31" t="str">
        <x:v>36047006800</x:v>
      </x:c>
      <x:c r="B422" s="31" t="str">
        <x:v>Brooklyn</x:v>
      </x:c>
      <x:c r="C422" s="31" t="str">
        <x:v>006800</x:v>
      </x:c>
      <x:c r="D422" s="31" t="str">
        <x:v>BK1001</x:v>
      </x:c>
      <x:c r="E422" s="31" t="str">
        <x:v>Bay Ridge</x:v>
      </x:c>
      <x:c r="F422" s="31" t="n">
        <x:v>0.07162017054206841</x:v>
      </x:c>
      <x:c r="G422" s="31" t="n">
        <x:v>40.6351748378395</x:v>
      </x:c>
      <x:c r="H422" s="31" t="n">
        <x:v>-74.02623031367327</x:v>
      </x:c>
      <x:c r="I422" s="31" t="n">
        <x:v>5491</x:v>
      </x:c>
      <x:c r="J422" s="31" t="n">
        <x:v>76668.34578081162</x:v>
      </x:c>
      <x:c r="K422" s="31"/>
      <x:c r="L422" s="40"/>
      <x:c r="M422" s="40"/>
      <x:c r="N422" s="31" t="n">
        <x:v>449</x:v>
      </x:c>
      <x:c r="O422" s="31" t="n">
        <x:v>1832</x:v>
      </x:c>
      <x:c r="P422" s="31" t="n">
        <x:v>3.660616812227074</x:v>
      </x:c>
      <x:c r="Q422" s="40" t="n">
        <x:v>0</x:v>
      </x:c>
      <x:c r="R422" s="40" t="n">
        <x:v>0.709061135371179</x:v>
      </x:c>
      <x:c r="S422" s="40" t="n">
        <x:v>0</x:v>
      </x:c>
      <x:c r="T422" s="31" t="n">
        <x:v>42.22185221470137</x:v>
      </x:c>
      <x:c r="U422" s="31" t="n">
        <x:v>68.65797419</x:v>
      </x:c>
      <x:c r="V422" s="31" t="n">
        <x:v>9</x:v>
      </x:c>
      <x:c r="W422" s="31" t="n">
        <x:v>1.6390457111637224</x:v>
      </x:c>
      <x:c r="X422" s="31" t="n">
        <x:v>2.4072052401746724</x:v>
      </x:c>
      <x:c r="Y422" s="40" t="n">
        <x:v>0</x:v>
      </x:c>
      <x:c r="Z422" s="40" t="n">
        <x:v>1</x:v>
      </x:c>
      <x:c r="AA422" s="40" t="n">
        <x:v>0.99617903930131</x:v>
      </x:c>
      <x:c r="AB422" s="31" t="n">
        <x:v>0.12933547175794619</x:v>
      </x:c>
      <x:c r="AC422" s="31" t="n">
        <x:v>6</x:v>
      </x:c>
      <x:c r="AD422" s="44" t="b">
        <x:v>1</x:v>
      </x:c>
    </x:row>
    <x:row r="423">
      <x:c r="A423" s="31" t="str">
        <x:v>36047006901</x:v>
      </x:c>
      <x:c r="B423" s="31" t="str">
        <x:v>Brooklyn</x:v>
      </x:c>
      <x:c r="C423" s="31" t="str">
        <x:v>006901</x:v>
      </x:c>
      <x:c r="D423" s="31" t="str">
        <x:v>BK0202</x:v>
      </x:c>
      <x:c r="E423" s="31" t="str">
        <x:v>Downtown Brooklyn-DUMBO-Boerum Hill</x:v>
      </x:c>
      <x:c r="F423" s="31" t="n">
        <x:v>0.02876281216034636</x:v>
      </x:c>
      <x:c r="G423" s="31" t="n">
        <x:v>40.686193784006065</x:v>
      </x:c>
      <x:c r="H423" s="31" t="n">
        <x:v>-73.99115646098525</x:v>
      </x:c>
      <x:c r="I423" s="31" t="n">
        <x:v>1631</x:v>
      </x:c>
      <x:c r="J423" s="31" t="n">
        <x:v>56705.16467261731</x:v>
      </x:c>
      <x:c r="K423" s="31"/>
      <x:c r="L423" s="40"/>
      <x:c r="M423" s="40"/>
      <x:c r="N423" s="31" t="n">
        <x:v>241</x:v>
      </x:c>
      <x:c r="O423" s="31" t="n">
        <x:v>871</x:v>
      </x:c>
      <x:c r="P423" s="31" t="n">
        <x:v>3.6052934407364785</x:v>
      </x:c>
      <x:c r="Q423" s="40" t="n">
        <x:v>0</x:v>
      </x:c>
      <x:c r="R423" s="40" t="n">
        <x:v>0.9276693455797933</x:v>
      </x:c>
      <x:c r="S423" s="40" t="n">
        <x:v>0</x:v>
      </x:c>
      <x:c r="T423" s="31" t="n">
        <x:v>42.977304106994225</x:v>
      </x:c>
      <x:c r="U423" s="31" t="n">
        <x:v>77</x:v>
      </x:c>
      <x:c r="V423" s="31" t="n">
        <x:v>8</x:v>
      </x:c>
      <x:c r="W423" s="31" t="n">
        <x:v>4.904966278356836</x:v>
      </x:c>
      <x:c r="X423" s="31" t="n">
        <x:v>2</x:v>
      </x:c>
      <x:c r="Y423" s="40" t="n">
        <x:v>0</x:v>
      </x:c>
      <x:c r="Z423" s="40" t="n">
        <x:v>1</x:v>
      </x:c>
      <x:c r="AA423" s="40" t="n">
        <x:v>0.9931113662456946</x:v>
      </x:c>
      <x:c r="AB423" s="31" t="n">
        <x:v>0.09158559005181217</x:v>
      </x:c>
      <x:c r="AC423" s="31" t="n">
        <x:v>5</x:v>
      </x:c>
      <x:c r="AD423" s="44" t="b">
        <x:v>1</x:v>
      </x:c>
    </x:row>
    <x:row r="424">
      <x:c r="A424" s="31" t="str">
        <x:v>36047006902</x:v>
      </x:c>
      <x:c r="B424" s="31" t="str">
        <x:v>Brooklyn</x:v>
      </x:c>
      <x:c r="C424" s="31" t="str">
        <x:v>006902</x:v>
      </x:c>
      <x:c r="D424" s="31" t="str">
        <x:v>BK0601</x:v>
      </x:c>
      <x:c r="E424" s="31" t="str">
        <x:v>Carroll Gardens-Cobble Hill-Gowanus-Red Hook</x:v>
      </x:c>
      <x:c r="F424" s="31" t="n">
        <x:v>0.04040725818554867</x:v>
      </x:c>
      <x:c r="G424" s="31" t="n">
        <x:v>40.68455262183832</x:v>
      </x:c>
      <x:c r="H424" s="31" t="n">
        <x:v>-73.99208757492814</x:v>
      </x:c>
      <x:c r="I424" s="31" t="n">
        <x:v>1962</x:v>
      </x:c>
      <x:c r="J424" s="31" t="n">
        <x:v>48555.633024902774</x:v>
      </x:c>
      <x:c r="K424" s="31"/>
      <x:c r="L424" s="40"/>
      <x:c r="M424" s="40"/>
      <x:c r="N424" s="31" t="n">
        <x:v>238</x:v>
      </x:c>
      <x:c r="O424" s="31" t="n">
        <x:v>927</x:v>
      </x:c>
      <x:c r="P424" s="31" t="n">
        <x:v>3.738846572361262</x:v>
      </x:c>
      <x:c r="Q424" s="40" t="n">
        <x:v>0.038834951456310676</x:v>
      </x:c>
      <x:c r="R424" s="40" t="n">
        <x:v>0.8727076591154261</x:v>
      </x:c>
      <x:c r="S424" s="40" t="n">
        <x:v>0.06364617044228695</x:v>
      </x:c>
      <x:c r="T424" s="31" t="n">
        <x:v>44.18745831474428</x:v>
      </x:c>
      <x:c r="U424" s="31" t="n">
        <x:v>135</x:v>
      </x:c>
      <x:c r="V424" s="31" t="n">
        <x:v>14</x:v>
      </x:c>
      <x:c r="W424" s="31" t="n">
        <x:v>7.135575942915392</x:v>
      </x:c>
      <x:c r="X424" s="31" t="n">
        <x:v>2</x:v>
      </x:c>
      <x:c r="Y424" s="40" t="n">
        <x:v>0</x:v>
      </x:c>
      <x:c r="Z424" s="40" t="n">
        <x:v>1</x:v>
      </x:c>
      <x:c r="AA424" s="40" t="n">
        <x:v>0.9913700107874865</x:v>
      </x:c>
      <x:c r="AB424" s="31" t="n">
        <x:v>0.06698133237285354</x:v>
      </x:c>
      <x:c r="AC424" s="31" t="n">
        <x:v>5</x:v>
      </x:c>
      <x:c r="AD424" s="44" t="b">
        <x:v>1</x:v>
      </x:c>
    </x:row>
    <x:row r="425">
      <x:c r="A425" s="31" t="str">
        <x:v>36047007000</x:v>
      </x:c>
      <x:c r="B425" s="31" t="str">
        <x:v>Brooklyn</x:v>
      </x:c>
      <x:c r="C425" s="31" t="str">
        <x:v>007000</x:v>
      </x:c>
      <x:c r="D425" s="31" t="str">
        <x:v>BK1001</x:v>
      </x:c>
      <x:c r="E425" s="31" t="str">
        <x:v>Bay Ridge</x:v>
      </x:c>
      <x:c r="F425" s="31" t="n">
        <x:v>0.05696167980838211</x:v>
      </x:c>
      <x:c r="G425" s="31" t="n">
        <x:v>40.63819551638823</x:v>
      </x:c>
      <x:c r="H425" s="31" t="n">
        <x:v>-74.0242801060523</x:v>
      </x:c>
      <x:c r="I425" s="31" t="n">
        <x:v>2454</x:v>
      </x:c>
      <x:c r="J425" s="31" t="n">
        <x:v>43081.59464845848</x:v>
      </x:c>
      <x:c r="K425" s="31"/>
      <x:c r="L425" s="40"/>
      <x:c r="M425" s="40"/>
      <x:c r="N425" s="31" t="n">
        <x:v>173</x:v>
      </x:c>
      <x:c r="O425" s="31" t="n">
        <x:v>1075</x:v>
      </x:c>
      <x:c r="P425" s="31" t="n">
        <x:v>12.371162790697674</x:v>
      </x:c>
      <x:c r="Q425" s="40" t="n">
        <x:v>0.36372093023255814</x:v>
      </x:c>
      <x:c r="R425" s="40" t="n">
        <x:v>0.40093023255813953</x:v>
      </x:c>
      <x:c r="S425" s="40" t="n">
        <x:v>0.012093023255813953</x:v>
      </x:c>
      <x:c r="T425" s="31" t="n">
        <x:v>119.96940732209887</x:v>
      </x:c>
      <x:c r="U425" s="31" t="n">
        <x:v>258.88</x:v>
      </x:c>
      <x:c r="V425" s="31" t="n">
        <x:v>9</x:v>
      </x:c>
      <x:c r="W425" s="31" t="n">
        <x:v>3.667481662591687</x:v>
      </x:c>
      <x:c r="X425" s="31" t="n">
        <x:v>3</x:v>
      </x:c>
      <x:c r="Y425" s="40" t="n">
        <x:v>0</x:v>
      </x:c>
      <x:c r="Z425" s="40" t="n">
        <x:v>1</x:v>
      </x:c>
      <x:c r="AA425" s="40" t="n">
        <x:v>0.9972093023255814</x:v>
      </x:c>
      <x:c r="AB425" s="31" t="n">
        <x:v>0.1133736241627796</x:v>
      </x:c>
      <x:c r="AC425" s="31" t="n">
        <x:v>5</x:v>
      </x:c>
      <x:c r="AD425" s="44" t="b">
        <x:v>1</x:v>
      </x:c>
    </x:row>
    <x:row r="426">
      <x:c r="A426" s="31" t="str">
        <x:v>36047007100</x:v>
      </x:c>
      <x:c r="B426" s="31" t="str">
        <x:v>Brooklyn</x:v>
      </x:c>
      <x:c r="C426" s="31" t="str">
        <x:v>007100</x:v>
      </x:c>
      <x:c r="D426" s="31" t="str">
        <x:v>BK0601</x:v>
      </x:c>
      <x:c r="E426" s="31" t="str">
        <x:v>Carroll Gardens-Cobble Hill-Gowanus-Red Hook</x:v>
      </x:c>
      <x:c r="F426" s="31" t="n">
        <x:v>0.06601972183518423</x:v>
      </x:c>
      <x:c r="G426" s="31" t="n">
        <x:v>40.68331330377044</x:v>
      </x:c>
      <x:c r="H426" s="31" t="n">
        <x:v>-73.9871673488637</x:v>
      </x:c>
      <x:c r="I426" s="31" t="n">
        <x:v>4362</x:v>
      </x:c>
      <x:c r="J426" s="31" t="n">
        <x:v>66071.16599021078</x:v>
      </x:c>
      <x:c r="K426" s="31"/>
      <x:c r="L426" s="40"/>
      <x:c r="M426" s="40"/>
      <x:c r="N426" s="31" t="n">
        <x:v>239</x:v>
      </x:c>
      <x:c r="O426" s="31" t="n">
        <x:v>1867</x:v>
      </x:c>
      <x:c r="P426" s="31" t="n">
        <x:v>6.21382463690156</x:v>
      </x:c>
      <x:c r="Q426" s="40" t="n">
        <x:v>0.42635243706480985</x:v>
      </x:c>
      <x:c r="R426" s="40" t="n">
        <x:v>0.48580610605249064</x:v>
      </x:c>
      <x:c r="S426" s="40" t="n">
        <x:v>0.6459560792715586</x:v>
      </x:c>
      <x:c r="T426" s="31" t="n">
        <x:v>93.89738235370847</x:v>
      </x:c>
      <x:c r="U426" s="31" t="n">
        <x:v>128.28</x:v>
      </x:c>
      <x:c r="V426" s="31" t="n">
        <x:v>30</x:v>
      </x:c>
      <x:c r="W426" s="31" t="n">
        <x:v>6.87757909215956</x:v>
      </x:c>
      <x:c r="X426" s="31" t="n">
        <x:v>2</x:v>
      </x:c>
      <x:c r="Y426" s="40" t="n">
        <x:v>0</x:v>
      </x:c>
      <x:c r="Z426" s="40" t="n">
        <x:v>1</x:v>
      </x:c>
      <x:c r="AA426" s="40" t="n">
        <x:v>0.9994643813604713</x:v>
      </x:c>
      <x:c r="AB426" s="31" t="n">
        <x:v>0.10326432135716375</x:v>
      </x:c>
      <x:c r="AC426" s="31" t="n">
        <x:v>8</x:v>
      </x:c>
      <x:c r="AD426" s="44" t="b">
        <x:v>1</x:v>
      </x:c>
    </x:row>
    <x:row r="427">
      <x:c r="A427" s="31" t="str">
        <x:v>36047007200</x:v>
      </x:c>
      <x:c r="B427" s="31" t="str">
        <x:v>Brooklyn</x:v>
      </x:c>
      <x:c r="C427" s="31" t="str">
        <x:v>007200</x:v>
      </x:c>
      <x:c r="D427" s="31" t="str">
        <x:v>BK0702</x:v>
      </x:c>
      <x:c r="E427" s="31" t="str">
        <x:v>Sunset Park (West)</x:v>
      </x:c>
      <x:c r="F427" s="31" t="n">
        <x:v>0.023823561810828453</x:v>
      </x:c>
      <x:c r="G427" s="31" t="n">
        <x:v>40.64028149366957</x:v>
      </x:c>
      <x:c r="H427" s="31" t="n">
        <x:v>-74.02042148919598</x:v>
      </x:c>
      <x:c r="I427" s="31" t="n">
        <x:v>2082</x:v>
      </x:c>
      <x:c r="J427" s="31" t="n">
        <x:v>87392.47374226278</x:v>
      </x:c>
      <x:c r="K427" s="31"/>
      <x:c r="L427" s="40"/>
      <x:c r="M427" s="40"/>
      <x:c r="N427" s="31" t="n">
        <x:v>120</x:v>
      </x:c>
      <x:c r="O427" s="31" t="n">
        <x:v>577</x:v>
      </x:c>
      <x:c r="P427" s="31" t="n">
        <x:v>3.0883882149046795</x:v>
      </x:c>
      <x:c r="Q427" s="40" t="n">
        <x:v>0</x:v>
      </x:c>
      <x:c r="R427" s="40" t="n">
        <x:v>0.8388214904679376</x:v>
      </x:c>
      <x:c r="S427" s="40" t="n">
        <x:v>0</x:v>
      </x:c>
      <x:c r="T427" s="31" t="n">
        <x:v>36.25358260869565</x:v>
      </x:c>
      <x:c r="U427" s="31" t="n">
        <x:v>48.99</x:v>
      </x:c>
      <x:c r="V427" s="31" t="n">
        <x:v>0</x:v>
      </x:c>
      <x:c r="W427" s="31" t="n">
        <x:v>0</x:v>
      </x:c>
      <x:c r="X427" s="31" t="n">
        <x:v>3</x:v>
      </x:c>
      <x:c r="Y427" s="40" t="n">
        <x:v>0</x:v>
      </x:c>
      <x:c r="Z427" s="40" t="n">
        <x:v>1</x:v>
      </x:c>
      <x:c r="AA427" s="40" t="n">
        <x:v>0.9965337954939342</x:v>
      </x:c>
      <x:c r="AB427" s="31" t="n">
        <x:v>0.05410793532402774</x:v>
      </x:c>
      <x:c r="AC427" s="31" t="n">
        <x:v>4</x:v>
      </x:c>
      <x:c r="AD427" s="44" t="b">
        <x:v>1</x:v>
      </x:c>
    </x:row>
    <x:row r="428">
      <x:c r="A428" s="31" t="str">
        <x:v>36047007400</x:v>
      </x:c>
      <x:c r="B428" s="31" t="str">
        <x:v>Brooklyn</x:v>
      </x:c>
      <x:c r="C428" s="31" t="str">
        <x:v>007400</x:v>
      </x:c>
      <x:c r="D428" s="31" t="str">
        <x:v>BK0702</x:v>
      </x:c>
      <x:c r="E428" s="31" t="str">
        <x:v>Sunset Park (West)</x:v>
      </x:c>
      <x:c r="F428" s="31" t="n">
        <x:v>0.05544725291085572</x:v>
      </x:c>
      <x:c r="G428" s="31" t="n">
        <x:v>40.641864262495226</x:v>
      </x:c>
      <x:c r="H428" s="31" t="n">
        <x:v>-74.01706330843683</x:v>
      </x:c>
      <x:c r="I428" s="31" t="n">
        <x:v>5829</x:v>
      </x:c>
      <x:c r="J428" s="31" t="n">
        <x:v>105126.93946030951</x:v>
      </x:c>
      <x:c r="K428" s="31"/>
      <x:c r="L428" s="40"/>
      <x:c r="M428" s="40"/>
      <x:c r="N428" s="31" t="n">
        <x:v>408</x:v>
      </x:c>
      <x:c r="O428" s="31" t="n">
        <x:v>1443</x:v>
      </x:c>
      <x:c r="P428" s="31" t="n">
        <x:v>3.126126126126126</x:v>
      </x:c>
      <x:c r="Q428" s="40" t="n">
        <x:v>0</x:v>
      </x:c>
      <x:c r="R428" s="40" t="n">
        <x:v>0.6431046431046431</x:v>
      </x:c>
      <x:c r="S428" s="40" t="n">
        <x:v>0</x:v>
      </x:c>
      <x:c r="T428" s="31" t="n">
        <x:v>39.37830996169785</x:v>
      </x:c>
      <x:c r="U428" s="31" t="n">
        <x:v>54.98</x:v>
      </x:c>
      <x:c r="V428" s="31" t="n">
        <x:v>5</x:v>
      </x:c>
      <x:c r="W428" s="31" t="n">
        <x:v>0.8577800651912849</x:v>
      </x:c>
      <x:c r="X428" s="31" t="n">
        <x:v>3</x:v>
      </x:c>
      <x:c r="Y428" s="40" t="n">
        <x:v>0</x:v>
      </x:c>
      <x:c r="Z428" s="40" t="n">
        <x:v>1</x:v>
      </x:c>
      <x:c r="AA428" s="40" t="n">
        <x:v>1</x:v>
      </x:c>
      <x:c r="AB428" s="31" t="n">
        <x:v>0.12176015793082257</x:v>
      </x:c>
      <x:c r="AC428" s="31" t="n">
        <x:v>6</x:v>
      </x:c>
      <x:c r="AD428" s="44" t="b">
        <x:v>1</x:v>
      </x:c>
    </x:row>
    <x:row r="429">
      <x:c r="A429" s="31" t="str">
        <x:v>36047007500</x:v>
      </x:c>
      <x:c r="B429" s="31" t="str">
        <x:v>Brooklyn</x:v>
      </x:c>
      <x:c r="C429" s="31" t="str">
        <x:v>007500</x:v>
      </x:c>
      <x:c r="D429" s="31" t="str">
        <x:v>BK0601</x:v>
      </x:c>
      <x:c r="E429" s="31" t="str">
        <x:v>Carroll Gardens-Cobble Hill-Gowanus-Red Hook</x:v>
      </x:c>
      <x:c r="F429" s="31" t="n">
        <x:v>0.10949302915913396</x:v>
      </x:c>
      <x:c r="G429" s="31" t="n">
        <x:v>40.68129118459427</x:v>
      </x:c>
      <x:c r="H429" s="31" t="n">
        <x:v>-73.9920056662482</x:v>
      </x:c>
      <x:c r="I429" s="31" t="n">
        <x:v>4691</x:v>
      </x:c>
      <x:c r="J429" s="31" t="n">
        <x:v>42842.91005578299</x:v>
      </x:c>
      <x:c r="K429" s="31"/>
      <x:c r="L429" s="40"/>
      <x:c r="M429" s="40"/>
      <x:c r="N429" s="31" t="n">
        <x:v>765</x:v>
      </x:c>
      <x:c r="O429" s="31" t="n">
        <x:v>5169</x:v>
      </x:c>
      <x:c r="P429" s="31" t="n">
        <x:v>13.185428515395175</x:v>
      </x:c>
      <x:c r="Q429" s="40" t="n">
        <x:v>0.5356935577481138</x:v>
      </x:c>
      <x:c r="R429" s="40" t="n">
        <x:v>0.3671890114142</x:v>
      </x:c>
      <x:c r="S429" s="40" t="n">
        <x:v>0.009092667827432772</x:v>
      </x:c>
      <x:c r="T429" s="31" t="n">
        <x:v>125.18594829410479</x:v>
      </x:c>
      <x:c r="U429" s="31" t="n">
        <x:v>225</x:v>
      </x:c>
      <x:c r="V429" s="31" t="n">
        <x:v>36</x:v>
      </x:c>
      <x:c r="W429" s="31" t="n">
        <x:v>7.674269878490727</x:v>
      </x:c>
      <x:c r="X429" s="31" t="n">
        <x:v>2</x:v>
      </x:c>
      <x:c r="Y429" s="40" t="n">
        <x:v>0</x:v>
      </x:c>
      <x:c r="Z429" s="40" t="n">
        <x:v>1</x:v>
      </x:c>
      <x:c r="AA429" s="40" t="n">
        <x:v>0.8676726639582124</x:v>
      </x:c>
      <x:c r="AB429" s="31" t="n">
        <x:v>0.10223371972279564</x:v>
      </x:c>
      <x:c r="AC429" s="31" t="n">
        <x:v>6</x:v>
      </x:c>
      <x:c r="AD429" s="44" t="b">
        <x:v>1</x:v>
      </x:c>
    </x:row>
    <x:row r="430">
      <x:c r="A430" s="31" t="str">
        <x:v>36047007600</x:v>
      </x:c>
      <x:c r="B430" s="31" t="str">
        <x:v>Brooklyn</x:v>
      </x:c>
      <x:c r="C430" s="31" t="str">
        <x:v>007600</x:v>
      </x:c>
      <x:c r="D430" s="31" t="str">
        <x:v>BK0702</x:v>
      </x:c>
      <x:c r="E430" s="31" t="str">
        <x:v>Sunset Park (West)</x:v>
      </x:c>
      <x:c r="F430" s="31" t="n">
        <x:v>0.05417820549923955</x:v>
      </x:c>
      <x:c r="G430" s="31" t="n">
        <x:v>40.64410202542614</x:v>
      </x:c>
      <x:c r="H430" s="31" t="n">
        <x:v>-74.01469738018709</x:v>
      </x:c>
      <x:c r="I430" s="31" t="n">
        <x:v>4872</x:v>
      </x:c>
      <x:c r="J430" s="31" t="n">
        <x:v>89925.45904955054</x:v>
      </x:c>
      <x:c r="K430" s="31"/>
      <x:c r="L430" s="40"/>
      <x:c r="M430" s="40"/>
      <x:c r="N430" s="31" t="n">
        <x:v>419</x:v>
      </x:c>
      <x:c r="O430" s="31" t="n">
        <x:v>1269</x:v>
      </x:c>
      <x:c r="P430" s="31" t="n">
        <x:v>2.985224586288416</x:v>
      </x:c>
      <x:c r="Q430" s="40" t="n">
        <x:v>0</x:v>
      </x:c>
      <x:c r="R430" s="40" t="n">
        <x:v>0.6690307328605201</x:v>
      </x:c>
      <x:c r="S430" s="40" t="n">
        <x:v>0.014972419227738377</x:v>
      </x:c>
      <x:c r="T430" s="31" t="n">
        <x:v>37.7557602557732</x:v>
      </x:c>
      <x:c r="U430" s="31" t="n">
        <x:v>78</x:v>
      </x:c>
      <x:c r="V430" s="31" t="n">
        <x:v>5</x:v>
      </x:c>
      <x:c r="W430" s="31" t="n">
        <x:v>1.026272577996716</x:v>
      </x:c>
      <x:c r="X430" s="31" t="n">
        <x:v>3</x:v>
      </x:c>
      <x:c r="Y430" s="40" t="n">
        <x:v>0</x:v>
      </x:c>
      <x:c r="Z430" s="40" t="n">
        <x:v>1</x:v>
      </x:c>
      <x:c r="AA430" s="40" t="n">
        <x:v>0.9936958234830575</x:v>
      </x:c>
      <x:c r="AB430" s="31" t="n">
        <x:v>0.13762863201046946</x:v>
      </x:c>
      <x:c r="AC430" s="31" t="n">
        <x:v>7</x:v>
      </x:c>
      <x:c r="AD430" s="44" t="b">
        <x:v>1</x:v>
      </x:c>
    </x:row>
    <x:row r="431">
      <x:c r="A431" s="31" t="str">
        <x:v>36047007700</x:v>
      </x:c>
      <x:c r="B431" s="31" t="str">
        <x:v>Brooklyn</x:v>
      </x:c>
      <x:c r="C431" s="31" t="str">
        <x:v>007700</x:v>
      </x:c>
      <x:c r="D431" s="31" t="str">
        <x:v>BK0601</x:v>
      </x:c>
      <x:c r="E431" s="31" t="str">
        <x:v>Carroll Gardens-Cobble Hill-Gowanus-Red Hook</x:v>
      </x:c>
      <x:c r="F431" s="31" t="n">
        <x:v>0.1495956657907197</x:v>
      </x:c>
      <x:c r="G431" s="31" t="n">
        <x:v>40.67705036384847</x:v>
      </x:c>
      <x:c r="H431" s="31" t="n">
        <x:v>-73.99517874132101</x:v>
      </x:c>
      <x:c r="I431" s="31" t="n">
        <x:v>5690</x:v>
      </x:c>
      <x:c r="J431" s="31" t="n">
        <x:v>38035.86133277522</x:v>
      </x:c>
      <x:c r="K431" s="31"/>
      <x:c r="L431" s="40"/>
      <x:c r="M431" s="40"/>
      <x:c r="N431" s="31" t="n">
        <x:v>584</x:v>
      </x:c>
      <x:c r="O431" s="31" t="n">
        <x:v>3238</x:v>
      </x:c>
      <x:c r="P431" s="31" t="n">
        <x:v>7.435026488002493</x:v>
      </x:c>
      <x:c r="Q431" s="40" t="n">
        <x:v>0.3480543545398394</x:v>
      </x:c>
      <x:c r="R431" s="40" t="n">
        <x:v>0.5086473131562693</x:v>
      </x:c>
      <x:c r="S431" s="40" t="n">
        <x:v>0.017603458925262508</x:v>
      </x:c>
      <x:c r="T431" s="31" t="n">
        <x:v>69.1178013604333</x:v>
      </x:c>
      <x:c r="U431" s="31" t="n">
        <x:v>155</x:v>
      </x:c>
      <x:c r="V431" s="31" t="n">
        <x:v>38</x:v>
      </x:c>
      <x:c r="W431" s="31" t="n">
        <x:v>6.678383128295255</x:v>
      </x:c>
      <x:c r="X431" s="31" t="n">
        <x:v>2</x:v>
      </x:c>
      <x:c r="Y431" s="40" t="n">
        <x:v>0</x:v>
      </x:c>
      <x:c r="Z431" s="40" t="n">
        <x:v>1</x:v>
      </x:c>
      <x:c r="AA431" s="40" t="n">
        <x:v>0.9051883878937615</x:v>
      </x:c>
      <x:c r="AB431" s="31" t="n">
        <x:v>0.2377582153909779</x:v>
      </x:c>
      <x:c r="AC431" s="31" t="n">
        <x:v>6</x:v>
      </x:c>
      <x:c r="AD431" s="44" t="b">
        <x:v>1</x:v>
      </x:c>
    </x:row>
    <x:row r="432">
      <x:c r="A432" s="31" t="str">
        <x:v>36047007800</x:v>
      </x:c>
      <x:c r="B432" s="31" t="str">
        <x:v>Brooklyn</x:v>
      </x:c>
      <x:c r="C432" s="31" t="str">
        <x:v>007800</x:v>
      </x:c>
      <x:c r="D432" s="31" t="str">
        <x:v>BK0702</x:v>
      </x:c>
      <x:c r="E432" s="31" t="str">
        <x:v>Sunset Park (West)</x:v>
      </x:c>
      <x:c r="F432" s="31" t="n">
        <x:v>0.054156335990587695</x:v>
      </x:c>
      <x:c r="G432" s="31" t="n">
        <x:v>40.64634221325945</x:v>
      </x:c>
      <x:c r="H432" s="31" t="n">
        <x:v>-74.01236607757275</x:v>
      </x:c>
      <x:c r="I432" s="31" t="n">
        <x:v>5333</x:v>
      </x:c>
      <x:c r="J432" s="31" t="n">
        <x:v>98474.16562536411</x:v>
      </x:c>
      <x:c r="K432" s="31"/>
      <x:c r="L432" s="40"/>
      <x:c r="M432" s="40"/>
      <x:c r="N432" s="31" t="n">
        <x:v>403</x:v>
      </x:c>
      <x:c r="O432" s="31" t="n">
        <x:v>1558</x:v>
      </x:c>
      <x:c r="P432" s="31" t="n">
        <x:v>3.270404777704048</x:v>
      </x:c>
      <x:c r="Q432" s="40" t="n">
        <x:v>0</x:v>
      </x:c>
      <x:c r="R432" s="40" t="n">
        <x:v>0.6450577663671374</x:v>
      </x:c>
      <x:c r="S432" s="40" t="n">
        <x:v>0.028241335044929396</x:v>
      </x:c>
      <x:c r="T432" s="31" t="n">
        <x:v>41.00352202402159</x:v>
      </x:c>
      <x:c r="U432" s="31" t="n">
        <x:v>90</x:v>
      </x:c>
      <x:c r="V432" s="31" t="n">
        <x:v>12</x:v>
      </x:c>
      <x:c r="W432" s="31" t="n">
        <x:v>2.250140633789612</x:v>
      </x:c>
      <x:c r="X432" s="31" t="n">
        <x:v>3.0154043645699615</x:v>
      </x:c>
      <x:c r="Y432" s="40" t="n">
        <x:v>0.01540436456996149</x:v>
      </x:c>
      <x:c r="Z432" s="40" t="n">
        <x:v>1</x:v>
      </x:c>
      <x:c r="AA432" s="40" t="n">
        <x:v>0.9512195121951219</x:v>
      </x:c>
      <x:c r="AB432" s="31" t="n">
        <x:v>0.07339020284014562</x:v>
      </x:c>
      <x:c r="AC432" s="31" t="n">
        <x:v>6</x:v>
      </x:c>
      <x:c r="AD432" s="44" t="b">
        <x:v>1</x:v>
      </x:c>
    </x:row>
    <x:row r="433">
      <x:c r="A433" s="31" t="str">
        <x:v>36047008000</x:v>
      </x:c>
      <x:c r="B433" s="31" t="str">
        <x:v>Brooklyn</x:v>
      </x:c>
      <x:c r="C433" s="31" t="str">
        <x:v>008000</x:v>
      </x:c>
      <x:c r="D433" s="31" t="str">
        <x:v>BK0702</x:v>
      </x:c>
      <x:c r="E433" s="31" t="str">
        <x:v>Sunset Park (West)</x:v>
      </x:c>
      <x:c r="F433" s="31" t="n">
        <x:v>0.05403202492539027</x:v>
      </x:c>
      <x:c r="G433" s="31" t="n">
        <x:v>40.64857994428525</x:v>
      </x:c>
      <x:c r="H433" s="31" t="n">
        <x:v>-74.01003792533052</x:v>
      </x:c>
      <x:c r="I433" s="31" t="n">
        <x:v>4024</x:v>
      </x:c>
      <x:c r="J433" s="31" t="n">
        <x:v>74474.35119369505</x:v>
      </x:c>
      <x:c r="K433" s="31"/>
      <x:c r="L433" s="40"/>
      <x:c r="M433" s="40"/>
      <x:c r="N433" s="31" t="n">
        <x:v>385</x:v>
      </x:c>
      <x:c r="O433" s="31" t="n">
        <x:v>1263</x:v>
      </x:c>
      <x:c r="P433" s="31" t="n">
        <x:v>3.351543942992874</x:v>
      </x:c>
      <x:c r="Q433" s="40" t="n">
        <x:v>0</x:v>
      </x:c>
      <x:c r="R433" s="40" t="n">
        <x:v>0.566904196357878</x:v>
      </x:c>
      <x:c r="S433" s="40" t="n">
        <x:v>0.001583531274742676</x:v>
      </x:c>
      <x:c r="T433" s="31" t="n">
        <x:v>42.879929849327</x:v>
      </x:c>
      <x:c r="U433" s="31" t="n">
        <x:v>79.06</x:v>
      </x:c>
      <x:c r="V433" s="31" t="n">
        <x:v>8</x:v>
      </x:c>
      <x:c r="W433" s="31" t="n">
        <x:v>1.9880715705765406</x:v>
      </x:c>
      <x:c r="X433" s="31" t="n">
        <x:v>3.0055423594615993</x:v>
      </x:c>
      <x:c r="Y433" s="40" t="n">
        <x:v>0.0055423594615993665</x:v>
      </x:c>
      <x:c r="Z433" s="40" t="n">
        <x:v>1</x:v>
      </x:c>
      <x:c r="AA433" s="40" t="n">
        <x:v>1</x:v>
      </x:c>
      <x:c r="AB433" s="31" t="n">
        <x:v>0.09826248540385119</x:v>
      </x:c>
      <x:c r="AC433" s="31" t="n">
        <x:v>7</x:v>
      </x:c>
      <x:c r="AD433" s="44" t="b">
        <x:v>1</x:v>
      </x:c>
    </x:row>
    <x:row r="434">
      <x:c r="A434" s="31" t="str">
        <x:v>36047008200</x:v>
      </x:c>
      <x:c r="B434" s="31" t="str">
        <x:v>Brooklyn</x:v>
      </x:c>
      <x:c r="C434" s="31" t="str">
        <x:v>008200</x:v>
      </x:c>
      <x:c r="D434" s="31" t="str">
        <x:v>BK0702</x:v>
      </x:c>
      <x:c r="E434" s="31" t="str">
        <x:v>Sunset Park (West)</x:v>
      </x:c>
      <x:c r="F434" s="31" t="n">
        <x:v>0.05441582556710572</x:v>
      </x:c>
      <x:c r="G434" s="31" t="n">
        <x:v>40.65082192761294</x:v>
      </x:c>
      <x:c r="H434" s="31" t="n">
        <x:v>-74.00771043281661</x:v>
      </x:c>
      <x:c r="I434" s="31" t="n">
        <x:v>4008</x:v>
      </x:c>
      <x:c r="J434" s="31" t="n">
        <x:v>73655.04351408443</x:v>
      </x:c>
      <x:c r="K434" s="31"/>
      <x:c r="L434" s="40"/>
      <x:c r="M434" s="40"/>
      <x:c r="N434" s="31" t="n">
        <x:v>330</x:v>
      </x:c>
      <x:c r="O434" s="31" t="n">
        <x:v>1367</x:v>
      </x:c>
      <x:c r="P434" s="31" t="n">
        <x:v>3.327724945135333</x:v>
      </x:c>
      <x:c r="Q434" s="40" t="n">
        <x:v>0</x:v>
      </x:c>
      <x:c r="R434" s="40" t="n">
        <x:v>0.6766642282370153</x:v>
      </x:c>
      <x:c r="S434" s="40" t="n">
        <x:v>0</x:v>
      </x:c>
      <x:c r="T434" s="31" t="n">
        <x:v>40.69725731111439</x:v>
      </x:c>
      <x:c r="U434" s="31" t="n">
        <x:v>61.59</x:v>
      </x:c>
      <x:c r="V434" s="31" t="n">
        <x:v>6</x:v>
      </x:c>
      <x:c r="W434" s="31" t="n">
        <x:v>1.4970059880239521</x:v>
      </x:c>
      <x:c r="X434" s="31" t="n">
        <x:v>3.8419897585954645</x:v>
      </x:c>
      <x:c r="Y434" s="40" t="n">
        <x:v>0.8419897585954645</x:v>
      </x:c>
      <x:c r="Z434" s="40" t="n">
        <x:v>1</x:v>
      </x:c>
      <x:c r="AA434" s="40" t="n">
        <x:v>0.9912216532553035</x:v>
      </x:c>
      <x:c r="AB434" s="31" t="n">
        <x:v>0.04828333077066309</x:v>
      </x:c>
      <x:c r="AC434" s="31" t="n">
        <x:v>6</x:v>
      </x:c>
      <x:c r="AD434" s="44" t="b">
        <x:v>1</x:v>
      </x:c>
    </x:row>
    <x:row r="435">
      <x:c r="A435" s="31" t="str">
        <x:v>36047008400</x:v>
      </x:c>
      <x:c r="B435" s="31" t="str">
        <x:v>Brooklyn</x:v>
      </x:c>
      <x:c r="C435" s="31" t="str">
        <x:v>008400</x:v>
      </x:c>
      <x:c r="D435" s="31" t="str">
        <x:v>BK0702</x:v>
      </x:c>
      <x:c r="E435" s="31" t="str">
        <x:v>Sunset Park (West)</x:v>
      </x:c>
      <x:c r="F435" s="31" t="n">
        <x:v>0.09506762982129534</x:v>
      </x:c>
      <x:c r="G435" s="31" t="n">
        <x:v>40.65390831923152</x:v>
      </x:c>
      <x:c r="H435" s="31" t="n">
        <x:v>-74.00450796758595</x:v>
      </x:c>
      <x:c r="I435" s="31" t="n">
        <x:v>3311</x:v>
      </x:c>
      <x:c r="J435" s="31" t="n">
        <x:v>34827.83788997261</x:v>
      </x:c>
      <x:c r="K435" s="31"/>
      <x:c r="L435" s="40"/>
      <x:c r="M435" s="40"/>
      <x:c r="N435" s="31" t="n">
        <x:v>301</x:v>
      </x:c>
      <x:c r="O435" s="31" t="n">
        <x:v>1061</x:v>
      </x:c>
      <x:c r="P435" s="31" t="n">
        <x:v>3.0150801131008484</x:v>
      </x:c>
      <x:c r="Q435" s="40" t="n">
        <x:v>0</x:v>
      </x:c>
      <x:c r="R435" s="40" t="n">
        <x:v>0.7078228086710651</x:v>
      </x:c>
      <x:c r="S435" s="40" t="n">
        <x:v>0.002827521206409048</x:v>
      </x:c>
      <x:c r="T435" s="31" t="n">
        <x:v>36.60747608531429</x:v>
      </x:c>
      <x:c r="U435" s="31" t="n">
        <x:v>59</x:v>
      </x:c>
      <x:c r="V435" s="31" t="n">
        <x:v>4</x:v>
      </x:c>
      <x:c r="W435" s="31" t="n">
        <x:v>1.2080942313500453</x:v>
      </x:c>
      <x:c r="X435" s="31" t="n">
        <x:v>4</x:v>
      </x:c>
      <x:c r="Y435" s="40" t="n">
        <x:v>1</x:v>
      </x:c>
      <x:c r="Z435" s="40" t="n">
        <x:v>1</x:v>
      </x:c>
      <x:c r="AA435" s="40" t="n">
        <x:v>0.9896324222431668</x:v>
      </x:c>
      <x:c r="AB435" s="31" t="n">
        <x:v>0.04578234122581184</x:v>
      </x:c>
      <x:c r="AC435" s="31" t="n">
        <x:v>6</x:v>
      </x:c>
      <x:c r="AD435" s="44" t="b">
        <x:v>1</x:v>
      </x:c>
    </x:row>
    <x:row r="436">
      <x:c r="A436" s="31" t="str">
        <x:v>36047008500</x:v>
      </x:c>
      <x:c r="B436" s="31" t="str">
        <x:v>Brooklyn</x:v>
      </x:c>
      <x:c r="C436" s="31" t="str">
        <x:v>008500</x:v>
      </x:c>
      <x:c r="D436" s="31" t="str">
        <x:v>BK0601</x:v>
      </x:c>
      <x:c r="E436" s="31" t="str">
        <x:v>Carroll Gardens-Cobble Hill-Gowanus-Red Hook</x:v>
      </x:c>
      <x:c r="F436" s="31" t="n">
        <x:v>0.09415596421136077</x:v>
      </x:c>
      <x:c r="G436" s="31" t="n">
        <x:v>40.67585523381069</x:v>
      </x:c>
      <x:c r="H436" s="31" t="n">
        <x:v>-74.00646621356684</x:v>
      </x:c>
      <x:c r="I436" s="31" t="n">
        <x:v>6673</x:v>
      </x:c>
      <x:c r="J436" s="31" t="n">
        <x:v>70871.77170232666</x:v>
      </x:c>
      <x:c r="K436" s="31"/>
      <x:c r="L436" s="40"/>
      <x:c r="M436" s="40"/>
      <x:c r="N436" s="31" t="n">
        <x:v>3</x:v>
      </x:c>
      <x:c r="O436" s="31" t="n">
        <x:v>2884</x:v>
      </x:c>
      <x:c r="P436" s="31" t="n">
        <x:v>5.641123439667129</x:v>
      </x:c>
      <x:c r="Q436" s="40" t="n">
        <x:v>0</x:v>
      </x:c>
      <x:c r="R436" s="40" t="n">
        <x:v>1</x:v>
      </x:c>
      <x:c r="S436" s="40" t="n">
        <x:v>1</x:v>
      </x:c>
      <x:c r="T436" s="31" t="n">
        <x:v>65.14953883495146</x:v>
      </x:c>
      <x:c r="U436" s="31" t="n">
        <x:v>123.21</x:v>
      </x:c>
      <x:c r="V436" s="31" t="n">
        <x:v>93</x:v>
      </x:c>
      <x:c r="W436" s="31" t="n">
        <x:v>13.936760077925971</x:v>
      </x:c>
      <x:c r="X436" s="31" t="n">
        <x:v>2</x:v>
      </x:c>
      <x:c r="Y436" s="40" t="n">
        <x:v>0</x:v>
      </x:c>
      <x:c r="Z436" s="40" t="n">
        <x:v>1</x:v>
      </x:c>
      <x:c r="AA436" s="40" t="n">
        <x:v>1</x:v>
      </x:c>
      <x:c r="AB436" s="31" t="n">
        <x:v>0.16147388766661477</x:v>
      </x:c>
      <x:c r="AC436" s="31" t="n">
        <x:v>3</x:v>
      </x:c>
      <x:c r="AD436" s="44" t="b">
        <x:v>1</x:v>
      </x:c>
    </x:row>
    <x:row r="437">
      <x:c r="A437" s="31" t="str">
        <x:v>36047008600</x:v>
      </x:c>
      <x:c r="B437" s="31" t="str">
        <x:v>Brooklyn</x:v>
      </x:c>
      <x:c r="C437" s="31" t="str">
        <x:v>008600</x:v>
      </x:c>
      <x:c r="D437" s="31" t="str">
        <x:v>BK0703</x:v>
      </x:c>
      <x:c r="E437" s="31" t="str">
        <x:v>Sunset Park (Central)</x:v>
      </x:c>
      <x:c r="F437" s="31" t="n">
        <x:v>0.043830242201130624</x:v>
      </x:c>
      <x:c r="G437" s="31" t="n">
        <x:v>40.64797672194857</x:v>
      </x:c>
      <x:c r="H437" s="31" t="n">
        <x:v>-74.00374397659523</x:v>
      </x:c>
      <x:c r="I437" s="31" t="n">
        <x:v>0</x:v>
      </x:c>
      <x:c r="J437" s="31" t="n">
        <x:v>0</x:v>
      </x:c>
      <x:c r="K437" s="31"/>
      <x:c r="L437" s="40"/>
      <x:c r="M437" s="40"/>
      <x:c r="N437" s="31" t="n">
        <x:v>0</x:v>
      </x:c>
      <x:c r="O437" s="31"/>
      <x:c r="P437" s="31"/>
      <x:c r="Q437" s="40"/>
      <x:c r="R437" s="40"/>
      <x:c r="S437" s="40"/>
      <x:c r="T437" s="31"/>
      <x:c r="U437" s="31"/>
      <x:c r="V437" s="31" t="n">
        <x:v>0</x:v>
      </x:c>
      <x:c r="W437" s="31"/>
      <x:c r="X437" s="31"/>
      <x:c r="Y437" s="40"/>
      <x:c r="Z437" s="40"/>
      <x:c r="AA437" s="40"/>
      <x:c r="AB437" s="31" t="n">
        <x:v>0.1844995798150057</x:v>
      </x:c>
      <x:c r="AC437" s="31" t="n">
        <x:v>7</x:v>
      </x:c>
      <x:c r="AD437" s="44" t="b">
        <x:v>0</x:v>
      </x:c>
    </x:row>
    <x:row r="438">
      <x:c r="A438" s="31" t="str">
        <x:v>36047008800</x:v>
      </x:c>
      <x:c r="B438" s="31" t="str">
        <x:v>Brooklyn</x:v>
      </x:c>
      <x:c r="C438" s="31" t="str">
        <x:v>008800</x:v>
      </x:c>
      <x:c r="D438" s="31" t="str">
        <x:v>BK0703</x:v>
      </x:c>
      <x:c r="E438" s="31" t="str">
        <x:v>Sunset Park (Central)</x:v>
      </x:c>
      <x:c r="F438" s="31" t="n">
        <x:v>0.07245702831654614</x:v>
      </x:c>
      <x:c r="G438" s="31" t="n">
        <x:v>40.65021861117413</x:v>
      </x:c>
      <x:c r="H438" s="31" t="n">
        <x:v>-74.00142440660879</x:v>
      </x:c>
      <x:c r="I438" s="31" t="n">
        <x:v>3258</x:v>
      </x:c>
      <x:c r="J438" s="31" t="n">
        <x:v>44964.58212123515</x:v>
      </x:c>
      <x:c r="K438" s="31"/>
      <x:c r="L438" s="40"/>
      <x:c r="M438" s="40"/>
      <x:c r="N438" s="31" t="n">
        <x:v>217</x:v>
      </x:c>
      <x:c r="O438" s="31" t="n">
        <x:v>1163</x:v>
      </x:c>
      <x:c r="P438" s="31" t="n">
        <x:v>3.342218400687876</x:v>
      </x:c>
      <x:c r="Q438" s="40" t="n">
        <x:v>0</x:v>
      </x:c>
      <x:c r="R438" s="40" t="n">
        <x:v>0.7411865864144453</x:v>
      </x:c>
      <x:c r="S438" s="40" t="n">
        <x:v>0</x:v>
      </x:c>
      <x:c r="T438" s="31" t="n">
        <x:v>39.45645026439381</x:v>
      </x:c>
      <x:c r="U438" s="31" t="n">
        <x:v>60</x:v>
      </x:c>
      <x:c r="V438" s="31" t="n">
        <x:v>1</x:v>
      </x:c>
      <x:c r="W438" s="31" t="n">
        <x:v>0.3069367710251688</x:v>
      </x:c>
      <x:c r="X438" s="31" t="n">
        <x:v>4</x:v>
      </x:c>
      <x:c r="Y438" s="40" t="n">
        <x:v>1</x:v>
      </x:c>
      <x:c r="Z438" s="40" t="n">
        <x:v>1</x:v>
      </x:c>
      <x:c r="AA438" s="40" t="n">
        <x:v>1</x:v>
      </x:c>
      <x:c r="AB438" s="31" t="n">
        <x:v>0.21993742682114276</x:v>
      </x:c>
      <x:c r="AC438" s="31" t="n">
        <x:v>6</x:v>
      </x:c>
      <x:c r="AD438" s="44" t="b">
        <x:v>1</x:v>
      </x:c>
    </x:row>
    <x:row r="439">
      <x:c r="A439" s="31" t="str">
        <x:v>36047009001</x:v>
      </x:c>
      <x:c r="B439" s="31" t="str">
        <x:v>Brooklyn</x:v>
      </x:c>
      <x:c r="C439" s="31" t="str">
        <x:v>009001</x:v>
      </x:c>
      <x:c r="D439" s="31" t="str">
        <x:v>BK0703</x:v>
      </x:c>
      <x:c r="E439" s="31" t="str">
        <x:v>Sunset Park (Central)</x:v>
      </x:c>
      <x:c r="F439" s="31" t="n">
        <x:v>0.029595040069372705</x:v>
      </x:c>
      <x:c r="G439" s="31" t="n">
        <x:v>40.64795497599209</x:v>
      </x:c>
      <x:c r="H439" s="31" t="n">
        <x:v>-73.99838355818508</x:v>
      </x:c>
      <x:c r="I439" s="31" t="n">
        <x:v>1886</x:v>
      </x:c>
      <x:c r="J439" s="31" t="n">
        <x:v>63726.894627582624</x:v>
      </x:c>
      <x:c r="K439" s="31"/>
      <x:c r="L439" s="40"/>
      <x:c r="M439" s="40"/>
      <x:c r="N439" s="31" t="n">
        <x:v>93</x:v>
      </x:c>
      <x:c r="O439" s="31" t="n">
        <x:v>500</x:v>
      </x:c>
      <x:c r="P439" s="31" t="n">
        <x:v>3.1968</x:v>
      </x:c>
      <x:c r="Q439" s="40" t="n">
        <x:v>0</x:v>
      </x:c>
      <x:c r="R439" s="40" t="n">
        <x:v>0.608</x:v>
      </x:c>
      <x:c r="S439" s="40" t="n">
        <x:v>0</x:v>
      </x:c>
      <x:c r="T439" s="31" t="n">
        <x:v>37.97950378092</x:v>
      </x:c>
      <x:c r="U439" s="31" t="n">
        <x:v>71</x:v>
      </x:c>
      <x:c r="V439" s="31" t="n">
        <x:v>6</x:v>
      </x:c>
      <x:c r="W439" s="31" t="n">
        <x:v>3.181336161187699</x:v>
      </x:c>
      <x:c r="X439" s="31" t="n">
        <x:v>4</x:v>
      </x:c>
      <x:c r="Y439" s="40" t="n">
        <x:v>1</x:v>
      </x:c>
      <x:c r="Z439" s="40" t="n">
        <x:v>1</x:v>
      </x:c>
      <x:c r="AA439" s="40" t="n">
        <x:v>1</x:v>
      </x:c>
      <x:c r="AB439" s="31" t="n">
        <x:v>0.22687023478502003</x:v>
      </x:c>
      <x:c r="AC439" s="31" t="n">
        <x:v>6</x:v>
      </x:c>
      <x:c r="AD439" s="44" t="b">
        <x:v>1</x:v>
      </x:c>
    </x:row>
    <x:row r="440">
      <x:c r="A440" s="31" t="str">
        <x:v>36047009002</x:v>
      </x:c>
      <x:c r="B440" s="31" t="str">
        <x:v>Brooklyn</x:v>
      </x:c>
      <x:c r="C440" s="31" t="str">
        <x:v>009002</x:v>
      </x:c>
      <x:c r="D440" s="31" t="str">
        <x:v>BK1201</x:v>
      </x:c>
      <x:c r="E440" s="31" t="str">
        <x:v>Sunset Park (East)-Borough Park (West)</x:v>
      </x:c>
      <x:c r="F440" s="31" t="n">
        <x:v>0.02891430837070994</x:v>
      </x:c>
      <x:c r="G440" s="31" t="n">
        <x:v>40.64659998114839</x:v>
      </x:c>
      <x:c r="H440" s="31" t="n">
        <x:v>-73.99619557448575</x:v>
      </x:c>
      <x:c r="I440" s="31" t="n">
        <x:v>1391</x:v>
      </x:c>
      <x:c r="J440" s="31" t="n">
        <x:v>48107.66981405913</x:v>
      </x:c>
      <x:c r="K440" s="31"/>
      <x:c r="L440" s="40"/>
      <x:c r="M440" s="40"/>
      <x:c r="N440" s="31" t="n">
        <x:v>101</x:v>
      </x:c>
      <x:c r="O440" s="31" t="n">
        <x:v>418</x:v>
      </x:c>
      <x:c r="P440" s="31" t="n">
        <x:v>2.789473684210526</x:v>
      </x:c>
      <x:c r="Q440" s="40" t="n">
        <x:v>0</x:v>
      </x:c>
      <x:c r="R440" s="40" t="n">
        <x:v>0.49282296650717705</x:v>
      </x:c>
      <x:c r="S440" s="40" t="n">
        <x:v>0</x:v>
      </x:c>
      <x:c r="T440" s="31" t="n">
        <x:v>32.755143540669856</x:v>
      </x:c>
      <x:c r="U440" s="31" t="n">
        <x:v>60</x:v>
      </x:c>
      <x:c r="V440" s="31" t="n">
        <x:v>2</x:v>
      </x:c>
      <x:c r="W440" s="31" t="n">
        <x:v>1.4378145219266716</x:v>
      </x:c>
      <x:c r="X440" s="31" t="n">
        <x:v>4</x:v>
      </x:c>
      <x:c r="Y440" s="40" t="n">
        <x:v>1</x:v>
      </x:c>
      <x:c r="Z440" s="40" t="n">
        <x:v>1</x:v>
      </x:c>
      <x:c r="AA440" s="40" t="n">
        <x:v>1</x:v>
      </x:c>
      <x:c r="AB440" s="31" t="n">
        <x:v>0.2925650083722144</x:v>
      </x:c>
      <x:c r="AC440" s="31" t="n">
        <x:v>6</x:v>
      </x:c>
      <x:c r="AD440" s="44" t="b">
        <x:v>1</x:v>
      </x:c>
    </x:row>
    <x:row r="441">
      <x:c r="A441" s="31" t="str">
        <x:v>36047009201</x:v>
      </x:c>
      <x:c r="B441" s="31" t="str">
        <x:v>Brooklyn</x:v>
      </x:c>
      <x:c r="C441" s="31" t="str">
        <x:v>009201</x:v>
      </x:c>
      <x:c r="D441" s="31" t="str">
        <x:v>BK0703</x:v>
      </x:c>
      <x:c r="E441" s="31" t="str">
        <x:v>Sunset Park (Central)</x:v>
      </x:c>
      <x:c r="F441" s="31" t="n">
        <x:v>0.02183275819813906</x:v>
      </x:c>
      <x:c r="G441" s="31" t="n">
        <x:v>40.64598411109653</x:v>
      </x:c>
      <x:c r="H441" s="31" t="n">
        <x:v>-74.00044095217872</x:v>
      </x:c>
      <x:c r="I441" s="31" t="n">
        <x:v>2087</x:v>
      </x:c>
      <x:c r="J441" s="31" t="n">
        <x:v>95590.30430602614</x:v>
      </x:c>
      <x:c r="K441" s="31"/>
      <x:c r="L441" s="40"/>
      <x:c r="M441" s="40"/>
      <x:c r="N441" s="31" t="n">
        <x:v>156</x:v>
      </x:c>
      <x:c r="O441" s="31" t="n">
        <x:v>622</x:v>
      </x:c>
      <x:c r="P441" s="31" t="n">
        <x:v>3.530546623794212</x:v>
      </x:c>
      <x:c r="Q441" s="40" t="n">
        <x:v>0</x:v>
      </x:c>
      <x:c r="R441" s="40" t="n">
        <x:v>0.6221864951768489</x:v>
      </x:c>
      <x:c r="S441" s="40" t="n">
        <x:v>0.003215434083601286</x:v>
      </x:c>
      <x:c r="T441" s="31" t="n">
        <x:v>41.30400554863344</x:v>
      </x:c>
      <x:c r="U441" s="31" t="n">
        <x:v>86</x:v>
      </x:c>
      <x:c r="V441" s="31" t="n">
        <x:v>11</x:v>
      </x:c>
      <x:c r="W441" s="31" t="n">
        <x:v>5.270723526593196</x:v>
      </x:c>
      <x:c r="X441" s="31" t="n">
        <x:v>3.8842443729903535</x:v>
      </x:c>
      <x:c r="Y441" s="40" t="n">
        <x:v>0.8842443729903537</x:v>
      </x:c>
      <x:c r="Z441" s="40" t="n">
        <x:v>1</x:v>
      </x:c>
      <x:c r="AA441" s="40" t="n">
        <x:v>1</x:v>
      </x:c>
      <x:c r="AB441" s="31" t="n">
        <x:v>0.06543323502354634</x:v>
      </x:c>
      <x:c r="AC441" s="31" t="n">
        <x:v>8</x:v>
      </x:c>
      <x:c r="AD441" s="44" t="b">
        <x:v>1</x:v>
      </x:c>
    </x:row>
    <x:row r="442">
      <x:c r="A442" s="31" t="str">
        <x:v>36047009202</x:v>
      </x:c>
      <x:c r="B442" s="31" t="str">
        <x:v>Brooklyn</x:v>
      </x:c>
      <x:c r="C442" s="31" t="str">
        <x:v>009202</x:v>
      </x:c>
      <x:c r="D442" s="31" t="str">
        <x:v>BK1201</x:v>
      </x:c>
      <x:c r="E442" s="31" t="str">
        <x:v>Sunset Park (East)-Borough Park (West)</x:v>
      </x:c>
      <x:c r="F442" s="31" t="n">
        <x:v>0.02188833009024908</x:v>
      </x:c>
      <x:c r="G442" s="31" t="n">
        <x:v>40.644652592305384</x:v>
      </x:c>
      <x:c r="H442" s="31" t="n">
        <x:v>-73.99823990044561</x:v>
      </x:c>
      <x:c r="I442" s="31" t="n">
        <x:v>3424</x:v>
      </x:c>
      <x:c r="J442" s="31" t="n">
        <x:v>156430.38943045455</x:v>
      </x:c>
      <x:c r="K442" s="31"/>
      <x:c r="L442" s="40"/>
      <x:c r="M442" s="40"/>
      <x:c r="N442" s="31" t="n">
        <x:v>138</x:v>
      </x:c>
      <x:c r="O442" s="31" t="n">
        <x:v>1033</x:v>
      </x:c>
      <x:c r="P442" s="31" t="n">
        <x:v>3.6999031945788965</x:v>
      </x:c>
      <x:c r="Q442" s="40" t="n">
        <x:v>0</x:v>
      </x:c>
      <x:c r="R442" s="40" t="n">
        <x:v>0.782187802516941</x:v>
      </x:c>
      <x:c r="S442" s="40" t="n">
        <x:v>0.003872216844143272</x:v>
      </x:c>
      <x:c r="T442" s="31" t="n">
        <x:v>43.74719305949661</x:v>
      </x:c>
      <x:c r="U442" s="31" t="n">
        <x:v>67.97</x:v>
      </x:c>
      <x:c r="V442" s="31" t="n">
        <x:v>7</x:v>
      </x:c>
      <x:c r="W442" s="31" t="n">
        <x:v>2.0443925233644857</x:v>
      </x:c>
      <x:c r="X442" s="31" t="n">
        <x:v>3.892545982575024</x:v>
      </x:c>
      <x:c r="Y442" s="40" t="n">
        <x:v>0.8925459825750242</x:v>
      </x:c>
      <x:c r="Z442" s="40" t="n">
        <x:v>1</x:v>
      </x:c>
      <x:c r="AA442" s="40" t="n">
        <x:v>1</x:v>
      </x:c>
      <x:c r="AB442" s="31" t="n">
        <x:v>0.19735627712291146</x:v>
      </x:c>
      <x:c r="AC442" s="31" t="n">
        <x:v>7</x:v>
      </x:c>
      <x:c r="AD442" s="44" t="b">
        <x:v>1</x:v>
      </x:c>
    </x:row>
    <x:row r="443">
      <x:c r="A443" s="31" t="str">
        <x:v>36047009401</x:v>
      </x:c>
      <x:c r="B443" s="31" t="str">
        <x:v>Brooklyn</x:v>
      </x:c>
      <x:c r="C443" s="31" t="str">
        <x:v>009401</x:v>
      </x:c>
      <x:c r="D443" s="31" t="str">
        <x:v>BK0703</x:v>
      </x:c>
      <x:c r="E443" s="31" t="str">
        <x:v>Sunset Park (Central)</x:v>
      </x:c>
      <x:c r="F443" s="31" t="n">
        <x:v>0.029135726157921545</x:v>
      </x:c>
      <x:c r="G443" s="31" t="n">
        <x:v>40.64402174755836</x:v>
      </x:c>
      <x:c r="H443" s="31" t="n">
        <x:v>-74.00248052657126</x:v>
      </x:c>
      <x:c r="I443" s="31" t="n">
        <x:v>3127</x:v>
      </x:c>
      <x:c r="J443" s="31" t="n">
        <x:v>107325.28110166281</x:v>
      </x:c>
      <x:c r="K443" s="31"/>
      <x:c r="L443" s="40"/>
      <x:c r="M443" s="40"/>
      <x:c r="N443" s="31" t="n">
        <x:v>244</x:v>
      </x:c>
      <x:c r="O443" s="31" t="n">
        <x:v>724</x:v>
      </x:c>
      <x:c r="P443" s="31" t="n">
        <x:v>2.8301104972375692</x:v>
      </x:c>
      <x:c r="Q443" s="40" t="n">
        <x:v>0</x:v>
      </x:c>
      <x:c r="R443" s="40" t="n">
        <x:v>0.3328729281767956</x:v>
      </x:c>
      <x:c r="S443" s="40" t="n">
        <x:v>0.05939226519337017</x:v>
      </x:c>
      <x:c r="T443" s="31" t="n">
        <x:v>34.641872130041435</x:v>
      </x:c>
      <x:c r="U443" s="31" t="n">
        <x:v>70</x:v>
      </x:c>
      <x:c r="V443" s="31" t="n">
        <x:v>7</x:v>
      </x:c>
      <x:c r="W443" s="31" t="n">
        <x:v>2.238567316917173</x:v>
      </x:c>
      <x:c r="X443" s="31" t="n">
        <x:v>3</x:v>
      </x:c>
      <x:c r="Y443" s="40" t="n">
        <x:v>0</x:v>
      </x:c>
      <x:c r="Z443" s="40" t="n">
        <x:v>1</x:v>
      </x:c>
      <x:c r="AA443" s="40" t="n">
        <x:v>1</x:v>
      </x:c>
      <x:c r="AB443" s="31" t="n">
        <x:v>0.11463561014564179</x:v>
      </x:c>
      <x:c r="AC443" s="31" t="n">
        <x:v>8</x:v>
      </x:c>
      <x:c r="AD443" s="44" t="b">
        <x:v>1</x:v>
      </x:c>
    </x:row>
    <x:row r="444">
      <x:c r="A444" s="31" t="str">
        <x:v>36047009402</x:v>
      </x:c>
      <x:c r="B444" s="31" t="str">
        <x:v>Brooklyn</x:v>
      </x:c>
      <x:c r="C444" s="31" t="str">
        <x:v>009402</x:v>
      </x:c>
      <x:c r="D444" s="31" t="str">
        <x:v>BK1201</x:v>
      </x:c>
      <x:c r="E444" s="31" t="str">
        <x:v>Sunset Park (East)-Borough Park (West)</x:v>
      </x:c>
      <x:c r="F444" s="31" t="n">
        <x:v>0.029174681604396232</x:v>
      </x:c>
      <x:c r="G444" s="31" t="n">
        <x:v>40.64269160443231</x:v>
      </x:c>
      <x:c r="H444" s="31" t="n">
        <x:v>-74.00027750482478</x:v>
      </x:c>
      <x:c r="I444" s="31" t="n">
        <x:v>3168</x:v>
      </x:c>
      <x:c r="J444" s="31" t="n">
        <x:v>108587.30329802897</x:v>
      </x:c>
      <x:c r="K444" s="31"/>
      <x:c r="L444" s="40"/>
      <x:c r="M444" s="40"/>
      <x:c r="N444" s="31" t="n">
        <x:v>184</x:v>
      </x:c>
      <x:c r="O444" s="31" t="n">
        <x:v>794</x:v>
      </x:c>
      <x:c r="P444" s="31" t="n">
        <x:v>3.334382871536524</x:v>
      </x:c>
      <x:c r="Q444" s="40" t="n">
        <x:v>0</x:v>
      </x:c>
      <x:c r="R444" s="40" t="n">
        <x:v>0.4534005037783375</x:v>
      </x:c>
      <x:c r="S444" s="40" t="n">
        <x:v>0.0025188916876574307</x:v>
      </x:c>
      <x:c r="T444" s="31" t="n">
        <x:v>40.306357855730475</x:v>
      </x:c>
      <x:c r="U444" s="31" t="n">
        <x:v>80</x:v>
      </x:c>
      <x:c r="V444" s="31" t="n">
        <x:v>13</x:v>
      </x:c>
      <x:c r="W444" s="31" t="n">
        <x:v>4.103535353535354</x:v>
      </x:c>
      <x:c r="X444" s="31" t="n">
        <x:v>3</x:v>
      </x:c>
      <x:c r="Y444" s="40" t="n">
        <x:v>0</x:v>
      </x:c>
      <x:c r="Z444" s="40" t="n">
        <x:v>1</x:v>
      </x:c>
      <x:c r="AA444" s="40" t="n">
        <x:v>1</x:v>
      </x:c>
      <x:c r="AB444" s="31" t="n">
        <x:v>0.13115721467853123</x:v>
      </x:c>
      <x:c r="AC444" s="31" t="n">
        <x:v>7</x:v>
      </x:c>
      <x:c r="AD444" s="44" t="b">
        <x:v>1</x:v>
      </x:c>
    </x:row>
    <x:row r="445">
      <x:c r="A445" s="31" t="str">
        <x:v>36047009600</x:v>
      </x:c>
      <x:c r="B445" s="31" t="str">
        <x:v>Brooklyn</x:v>
      </x:c>
      <x:c r="C445" s="31" t="str">
        <x:v>009600</x:v>
      </x:c>
      <x:c r="D445" s="31" t="str">
        <x:v>BK0703</x:v>
      </x:c>
      <x:c r="E445" s="31" t="str">
        <x:v>Sunset Park (Central)</x:v>
      </x:c>
      <x:c r="F445" s="31" t="n">
        <x:v>0.0582087417416351</x:v>
      </x:c>
      <x:c r="G445" s="31" t="n">
        <x:v>40.64601514795009</x:v>
      </x:c>
      <x:c r="H445" s="31" t="n">
        <x:v>-74.00578480078333</x:v>
      </x:c>
      <x:c r="I445" s="31" t="n">
        <x:v>6462</x:v>
      </x:c>
      <x:c r="J445" s="31" t="n">
        <x:v>111014.2533003408</x:v>
      </x:c>
      <x:c r="K445" s="31"/>
      <x:c r="L445" s="40"/>
      <x:c r="M445" s="40"/>
      <x:c r="N445" s="31" t="n">
        <x:v>501</x:v>
      </x:c>
      <x:c r="O445" s="31" t="n">
        <x:v>1771</x:v>
      </x:c>
      <x:c r="P445" s="31" t="n">
        <x:v>2.963131026659104</x:v>
      </x:c>
      <x:c r="Q445" s="40" t="n">
        <x:v>0</x:v>
      </x:c>
      <x:c r="R445" s="40" t="n">
        <x:v>0.5420666290231507</x:v>
      </x:c>
      <x:c r="S445" s="40" t="n">
        <x:v>0.020892151326933936</x:v>
      </x:c>
      <x:c r="T445" s="31" t="n">
        <x:v>36.4368651712253</x:v>
      </x:c>
      <x:c r="U445" s="31" t="n">
        <x:v>68</x:v>
      </x:c>
      <x:c r="V445" s="31" t="n">
        <x:v>7</x:v>
      </x:c>
      <x:c r="W445" s="31" t="n">
        <x:v>1.0832559579077685</x:v>
      </x:c>
      <x:c r="X445" s="31" t="n">
        <x:v>3</x:v>
      </x:c>
      <x:c r="Y445" s="40" t="n">
        <x:v>0</x:v>
      </x:c>
      <x:c r="Z445" s="40" t="n">
        <x:v>1</x:v>
      </x:c>
      <x:c r="AA445" s="40" t="n">
        <x:v>1</x:v>
      </x:c>
      <x:c r="AB445" s="31" t="n">
        <x:v>0.2168195546163389</x:v>
      </x:c>
      <x:c r="AC445" s="31" t="n">
        <x:v>8</x:v>
      </x:c>
      <x:c r="AD445" s="44" t="b">
        <x:v>1</x:v>
      </x:c>
    </x:row>
    <x:row r="446">
      <x:c r="A446" s="31" t="str">
        <x:v>36047009800</x:v>
      </x:c>
      <x:c r="B446" s="31" t="str">
        <x:v>Brooklyn</x:v>
      </x:c>
      <x:c r="C446" s="31" t="str">
        <x:v>009800</x:v>
      </x:c>
      <x:c r="D446" s="31" t="str">
        <x:v>BK0703</x:v>
      </x:c>
      <x:c r="E446" s="31" t="str">
        <x:v>Sunset Park (Central)</x:v>
      </x:c>
      <x:c r="F446" s="31" t="n">
        <x:v>0.05830673860838499</x:v>
      </x:c>
      <x:c r="G446" s="31" t="n">
        <x:v>40.64377621338014</x:v>
      </x:c>
      <x:c r="H446" s="31" t="n">
        <x:v>-74.00811525633576</x:v>
      </x:c>
      <x:c r="I446" s="31" t="n">
        <x:v>7440</x:v>
      </x:c>
      <x:c r="J446" s="31" t="n">
        <x:v>127601.03167440866</x:v>
      </x:c>
      <x:c r="K446" s="31"/>
      <x:c r="L446" s="40"/>
      <x:c r="M446" s="40"/>
      <x:c r="N446" s="31" t="n">
        <x:v>461</x:v>
      </x:c>
      <x:c r="O446" s="31" t="n">
        <x:v>1725</x:v>
      </x:c>
      <x:c r="P446" s="31" t="n">
        <x:v>3.1243478260869564</x:v>
      </x:c>
      <x:c r="Q446" s="40" t="n">
        <x:v>0</x:v>
      </x:c>
      <x:c r="R446" s="40" t="n">
        <x:v>0.6365217391304347</x:v>
      </x:c>
      <x:c r="S446" s="40" t="n">
        <x:v>0.00463768115942029</x:v>
      </x:c>
      <x:c r="T446" s="31" t="n">
        <x:v>38.26252376764637</x:v>
      </x:c>
      <x:c r="U446" s="31" t="n">
        <x:v>85</x:v>
      </x:c>
      <x:c r="V446" s="31" t="n">
        <x:v>15</x:v>
      </x:c>
      <x:c r="W446" s="31" t="n">
        <x:v>2.0161290322580645</x:v>
      </x:c>
      <x:c r="X446" s="31" t="n">
        <x:v>3</x:v>
      </x:c>
      <x:c r="Y446" s="40" t="n">
        <x:v>0</x:v>
      </x:c>
      <x:c r="Z446" s="40" t="n">
        <x:v>1</x:v>
      </x:c>
      <x:c r="AA446" s="40" t="n">
        <x:v>1</x:v>
      </x:c>
      <x:c r="AB446" s="31" t="n">
        <x:v>0.0316040159533578</x:v>
      </x:c>
      <x:c r="AC446" s="31" t="n">
        <x:v>8</x:v>
      </x:c>
      <x:c r="AD446" s="44" t="b">
        <x:v>1</x:v>
      </x:c>
    </x:row>
    <x:row r="447">
      <x:c r="A447" s="31" t="str">
        <x:v>36047010000</x:v>
      </x:c>
      <x:c r="B447" s="31" t="str">
        <x:v>Brooklyn</x:v>
      </x:c>
      <x:c r="C447" s="31" t="str">
        <x:v>010000</x:v>
      </x:c>
      <x:c r="D447" s="31" t="str">
        <x:v>BK0703</x:v>
      </x:c>
      <x:c r="E447" s="31" t="str">
        <x:v>Sunset Park (Central)</x:v>
      </x:c>
      <x:c r="F447" s="31" t="n">
        <x:v>0.05829102621527777</x:v>
      </x:c>
      <x:c r="G447" s="31" t="n">
        <x:v>40.64153539215046</x:v>
      </x:c>
      <x:c r="H447" s="31" t="n">
        <x:v>-74.01044565201441</x:v>
      </x:c>
      <x:c r="I447" s="31" t="n">
        <x:v>7741</x:v>
      </x:c>
      <x:c r="J447" s="31" t="n">
        <x:v>132799.171718324</x:v>
      </x:c>
      <x:c r="K447" s="31"/>
      <x:c r="L447" s="40"/>
      <x:c r="M447" s="40"/>
      <x:c r="N447" s="31" t="n">
        <x:v>510</x:v>
      </x:c>
      <x:c r="O447" s="31" t="n">
        <x:v>1735</x:v>
      </x:c>
      <x:c r="P447" s="31" t="n">
        <x:v>2.9671469740634007</x:v>
      </x:c>
      <x:c r="Q447" s="40" t="n">
        <x:v>0</x:v>
      </x:c>
      <x:c r="R447" s="40" t="n">
        <x:v>0.6126801152737752</x:v>
      </x:c>
      <x:c r="S447" s="40" t="n">
        <x:v>0.0011527377521613833</x:v>
      </x:c>
      <x:c r="T447" s="31" t="n">
        <x:v>35.30384291177659</x:v>
      </x:c>
      <x:c r="U447" s="31" t="n">
        <x:v>59.49818569</x:v>
      </x:c>
      <x:c r="V447" s="31" t="n">
        <x:v>26</x:v>
      </x:c>
      <x:c r="W447" s="31" t="n">
        <x:v>3.3587391809843687</x:v>
      </x:c>
      <x:c r="X447" s="31" t="n">
        <x:v>3</x:v>
      </x:c>
      <x:c r="Y447" s="40" t="n">
        <x:v>0</x:v>
      </x:c>
      <x:c r="Z447" s="40" t="n">
        <x:v>1</x:v>
      </x:c>
      <x:c r="AA447" s="40" t="n">
        <x:v>0.9700288184438041</x:v>
      </x:c>
      <x:c r="AB447" s="31" t="n">
        <x:v>0.1678315917987394</x:v>
      </x:c>
      <x:c r="AC447" s="31" t="n">
        <x:v>8</x:v>
      </x:c>
      <x:c r="AD447" s="44" t="b">
        <x:v>1</x:v>
      </x:c>
    </x:row>
    <x:row r="448">
      <x:c r="A448" s="31" t="str">
        <x:v>36047010100</x:v>
      </x:c>
      <x:c r="B448" s="31" t="str">
        <x:v>Brooklyn</x:v>
      </x:c>
      <x:c r="C448" s="31" t="str">
        <x:v>010100</x:v>
      </x:c>
      <x:c r="D448" s="31" t="str">
        <x:v>BK0702</x:v>
      </x:c>
      <x:c r="E448" s="31" t="str">
        <x:v>Sunset Park (West)</x:v>
      </x:c>
      <x:c r="F448" s="31" t="n">
        <x:v>0.12172993483090852</x:v>
      </x:c>
      <x:c r="G448" s="31" t="n">
        <x:v>40.658382397129955</x:v>
      </x:c>
      <x:c r="H448" s="31" t="n">
        <x:v>-73.99983868009457</x:v>
      </x:c>
      <x:c r="I448" s="31" t="n">
        <x:v>4590</x:v>
      </x:c>
      <x:c r="J448" s="31" t="n">
        <x:v>37706.419594948726</x:v>
      </x:c>
      <x:c r="K448" s="31"/>
      <x:c r="L448" s="40"/>
      <x:c r="M448" s="40"/>
      <x:c r="N448" s="31" t="n">
        <x:v>471</x:v>
      </x:c>
      <x:c r="O448" s="31" t="n">
        <x:v>1805</x:v>
      </x:c>
      <x:c r="P448" s="31" t="n">
        <x:v>4.508864265927977</x:v>
      </x:c>
      <x:c r="Q448" s="40" t="n">
        <x:v>0.10360110803324099</x:v>
      </x:c>
      <x:c r="R448" s="40" t="n">
        <x:v>0.5407202216066482</x:v>
      </x:c>
      <x:c r="S448" s="40" t="n">
        <x:v>0.0016620498614958448</x:v>
      </x:c>
      <x:c r="T448" s="31" t="n">
        <x:v>45.00453913629609</x:v>
      </x:c>
      <x:c r="U448" s="31" t="n">
        <x:v>145</x:v>
      </x:c>
      <x:c r="V448" s="31" t="n">
        <x:v>10</x:v>
      </x:c>
      <x:c r="W448" s="31" t="n">
        <x:v>2.1786492374727673</x:v>
      </x:c>
      <x:c r="X448" s="31" t="n">
        <x:v>4</x:v>
      </x:c>
      <x:c r="Y448" s="40" t="n">
        <x:v>1</x:v>
      </x:c>
      <x:c r="Z448" s="40" t="n">
        <x:v>1</x:v>
      </x:c>
      <x:c r="AA448" s="40" t="n">
        <x:v>0.9916897506925207</x:v>
      </x:c>
      <x:c r="AB448" s="31" t="n">
        <x:v>0.049304950417366954</x:v>
      </x:c>
      <x:c r="AC448" s="31" t="n">
        <x:v>5</x:v>
      </x:c>
      <x:c r="AD448" s="44" t="b">
        <x:v>1</x:v>
      </x:c>
    </x:row>
    <x:row r="449">
      <x:c r="A449" s="31" t="str">
        <x:v>36047010200</x:v>
      </x:c>
      <x:c r="B449" s="31" t="str">
        <x:v>Brooklyn</x:v>
      </x:c>
      <x:c r="C449" s="31" t="str">
        <x:v>010200</x:v>
      </x:c>
      <x:c r="D449" s="31" t="str">
        <x:v>BK0703</x:v>
      </x:c>
      <x:c r="E449" s="31" t="str">
        <x:v>Sunset Park (Central)</x:v>
      </x:c>
      <x:c r="F449" s="31" t="n">
        <x:v>0.058851578763128444</x:v>
      </x:c>
      <x:c r="G449" s="31" t="n">
        <x:v>40.63928461926256</x:v>
      </x:c>
      <x:c r="H449" s="31" t="n">
        <x:v>-74.01278730299443</x:v>
      </x:c>
      <x:c r="I449" s="31" t="n">
        <x:v>6578</x:v>
      </x:c>
      <x:c r="J449" s="31" t="n">
        <x:v>111772.70241934841</x:v>
      </x:c>
      <x:c r="K449" s="31"/>
      <x:c r="L449" s="40"/>
      <x:c r="M449" s="40"/>
      <x:c r="N449" s="31" t="n">
        <x:v>462</x:v>
      </x:c>
      <x:c r="O449" s="31" t="n">
        <x:v>1381</x:v>
      </x:c>
      <x:c r="P449" s="31" t="n">
        <x:v>2.7723750905141205</x:v>
      </x:c>
      <x:c r="Q449" s="40" t="n">
        <x:v>0</x:v>
      </x:c>
      <x:c r="R449" s="40" t="n">
        <x:v>0.47501810282404056</x:v>
      </x:c>
      <x:c r="S449" s="40" t="n">
        <x:v>0.001448225923244026</x:v>
      </x:c>
      <x:c r="T449" s="31" t="n">
        <x:v>33.28784158025344</x:v>
      </x:c>
      <x:c r="U449" s="31" t="n">
        <x:v>61.40234425</x:v>
      </x:c>
      <x:c r="V449" s="31" t="n">
        <x:v>19</x:v>
      </x:c>
      <x:c r="W449" s="31" t="n">
        <x:v>2.888415931894193</x:v>
      </x:c>
      <x:c r="X449" s="31" t="n">
        <x:v>3</x:v>
      </x:c>
      <x:c r="Y449" s="40" t="n">
        <x:v>0</x:v>
      </x:c>
      <x:c r="Z449" s="40" t="n">
        <x:v>1</x:v>
      </x:c>
      <x:c r="AA449" s="40" t="n">
        <x:v>1</x:v>
      </x:c>
      <x:c r="AB449" s="31" t="n">
        <x:v>0.30251073501323816</x:v>
      </x:c>
      <x:c r="AC449" s="31" t="n">
        <x:v>7</x:v>
      </x:c>
      <x:c r="AD449" s="44" t="b">
        <x:v>1</x:v>
      </x:c>
    </x:row>
    <x:row r="450">
      <x:c r="A450" s="31" t="str">
        <x:v>36047010401</x:v>
      </x:c>
      <x:c r="B450" s="31" t="str">
        <x:v>Brooklyn</x:v>
      </x:c>
      <x:c r="C450" s="31" t="str">
        <x:v>010401</x:v>
      </x:c>
      <x:c r="D450" s="31" t="str">
        <x:v>BK0703</x:v>
      </x:c>
      <x:c r="E450" s="31" t="str">
        <x:v>Sunset Park (Central)</x:v>
      </x:c>
      <x:c r="F450" s="31" t="n">
        <x:v>0.029384444989812904</x:v>
      </x:c>
      <x:c r="G450" s="31" t="n">
        <x:v>40.63728920500239</x:v>
      </x:c>
      <x:c r="H450" s="31" t="n">
        <x:v>-74.00948319069339</x:v>
      </x:c>
      <x:c r="I450" s="31" t="n">
        <x:v>3015</x:v>
      </x:c>
      <x:c r="J450" s="31" t="n">
        <x:v>102605.30702707675</x:v>
      </x:c>
      <x:c r="K450" s="31"/>
      <x:c r="L450" s="40"/>
      <x:c r="M450" s="40"/>
      <x:c r="N450" s="31" t="n">
        <x:v>225</x:v>
      </x:c>
      <x:c r="O450" s="31" t="n">
        <x:v>822</x:v>
      </x:c>
      <x:c r="P450" s="31" t="n">
        <x:v>3.261557177615572</x:v>
      </x:c>
      <x:c r="Q450" s="40" t="n">
        <x:v>0</x:v>
      </x:c>
      <x:c r="R450" s="40" t="n">
        <x:v>0.7226277372262774</x:v>
      </x:c>
      <x:c r="S450" s="40" t="n">
        <x:v>0.004866180048661801</x:v>
      </x:c>
      <x:c r="T450" s="31" t="n">
        <x:v>36.5520820624282</x:v>
      </x:c>
      <x:c r="U450" s="31" t="n">
        <x:v>89.17494005</x:v>
      </x:c>
      <x:c r="V450" s="31" t="n">
        <x:v>44</x:v>
      </x:c>
      <x:c r="W450" s="31" t="n">
        <x:v>14.593698175787729</x:v>
      </x:c>
      <x:c r="X450" s="31" t="n">
        <x:v>3</x:v>
      </x:c>
      <x:c r="Y450" s="40" t="n">
        <x:v>0</x:v>
      </x:c>
      <x:c r="Z450" s="40" t="n">
        <x:v>1</x:v>
      </x:c>
      <x:c r="AA450" s="40" t="n">
        <x:v>0.9318734793187348</x:v>
      </x:c>
      <x:c r="AB450" s="31" t="n">
        <x:v>0.3354966116165388</x:v>
      </x:c>
      <x:c r="AC450" s="31" t="n">
        <x:v>6</x:v>
      </x:c>
      <x:c r="AD450" s="44" t="b">
        <x:v>1</x:v>
      </x:c>
    </x:row>
    <x:row r="451">
      <x:c r="A451" s="31" t="str">
        <x:v>36047010402</x:v>
      </x:c>
      <x:c r="B451" s="31" t="str">
        <x:v>Brooklyn</x:v>
      </x:c>
      <x:c r="C451" s="31" t="str">
        <x:v>010402</x:v>
      </x:c>
      <x:c r="D451" s="31" t="str">
        <x:v>BK1201</x:v>
      </x:c>
      <x:c r="E451" s="31" t="str">
        <x:v>Sunset Park (East)-Borough Park (West)</x:v>
      </x:c>
      <x:c r="F451" s="31" t="n">
        <x:v>0.029420611941790062</x:v>
      </x:c>
      <x:c r="G451" s="31" t="n">
        <x:v>40.63595950090709</x:v>
      </x:c>
      <x:c r="H451" s="31" t="n">
        <x:v>-74.00728127326407</x:v>
      </x:c>
      <x:c r="I451" s="31" t="n">
        <x:v>2965</x:v>
      </x:c>
      <x:c r="J451" s="31" t="n">
        <x:v>100779.68486401232</x:v>
      </x:c>
      <x:c r="K451" s="31"/>
      <x:c r="L451" s="40"/>
      <x:c r="M451" s="40"/>
      <x:c r="N451" s="31" t="n">
        <x:v>223</x:v>
      </x:c>
      <x:c r="O451" s="31" t="n">
        <x:v>824</x:v>
      </x:c>
      <x:c r="P451" s="31" t="n">
        <x:v>3.5069781553398056</x:v>
      </x:c>
      <x:c r="Q451" s="40" t="n">
        <x:v>0.03033980582524272</x:v>
      </x:c>
      <x:c r="R451" s="40" t="n">
        <x:v>0.6031553398058253</x:v>
      </x:c>
      <x:c r="S451" s="40" t="n">
        <x:v>0</x:v>
      </x:c>
      <x:c r="T451" s="31" t="n">
        <x:v>39.701209116508515</x:v>
      </x:c>
      <x:c r="U451" s="31" t="n">
        <x:v>146</x:v>
      </x:c>
      <x:c r="V451" s="31" t="n">
        <x:v>40</x:v>
      </x:c>
      <x:c r="W451" s="31" t="n">
        <x:v>13.490725126475548</x:v>
      </x:c>
      <x:c r="X451" s="31" t="n">
        <x:v>3</x:v>
      </x:c>
      <x:c r="Y451" s="40" t="n">
        <x:v>0</x:v>
      </x:c>
      <x:c r="Z451" s="40" t="n">
        <x:v>1</x:v>
      </x:c>
      <x:c r="AA451" s="40" t="n">
        <x:v>0.9975728155339806</x:v>
      </x:c>
      <x:c r="AB451" s="31" t="n">
        <x:v>0.26281796184265455</x:v>
      </x:c>
      <x:c r="AC451" s="31" t="n">
        <x:v>5</x:v>
      </x:c>
      <x:c r="AD451" s="44" t="b">
        <x:v>1</x:v>
      </x:c>
    </x:row>
    <x:row r="452">
      <x:c r="A452" s="31" t="str">
        <x:v>36047010601</x:v>
      </x:c>
      <x:c r="B452" s="31" t="str">
        <x:v>Brooklyn</x:v>
      </x:c>
      <x:c r="C452" s="31" t="str">
        <x:v>010601</x:v>
      </x:c>
      <x:c r="D452" s="31" t="str">
        <x:v>BK0703</x:v>
      </x:c>
      <x:c r="E452" s="31" t="str">
        <x:v>Sunset Park (Central)</x:v>
      </x:c>
      <x:c r="F452" s="31" t="n">
        <x:v>0.029124101006191172</x:v>
      </x:c>
      <x:c r="G452" s="31" t="n">
        <x:v>40.639539743771806</x:v>
      </x:c>
      <x:c r="H452" s="31" t="n">
        <x:v>-74.00714206299858</x:v>
      </x:c>
      <x:c r="I452" s="31" t="n">
        <x:v>3037</x:v>
      </x:c>
      <x:c r="J452" s="31" t="n">
        <x:v>104277.89683033984</x:v>
      </x:c>
      <x:c r="K452" s="31"/>
      <x:c r="L452" s="40"/>
      <x:c r="M452" s="40"/>
      <x:c r="N452" s="31" t="n">
        <x:v>264</x:v>
      </x:c>
      <x:c r="O452" s="31" t="n">
        <x:v>809</x:v>
      </x:c>
      <x:c r="P452" s="31" t="n">
        <x:v>2.919653893695921</x:v>
      </x:c>
      <x:c r="Q452" s="40" t="n">
        <x:v>0</x:v>
      </x:c>
      <x:c r="R452" s="40" t="n">
        <x:v>0.5624227441285538</x:v>
      </x:c>
      <x:c r="S452" s="40" t="n">
        <x:v>0</x:v>
      </x:c>
      <x:c r="T452" s="31" t="n">
        <x:v>33.3898063674042</x:v>
      </x:c>
      <x:c r="U452" s="31" t="n">
        <x:v>74</x:v>
      </x:c>
      <x:c r="V452" s="31" t="n">
        <x:v>48</x:v>
      </x:c>
      <x:c r="W452" s="31" t="n">
        <x:v>15.805070793546264</x:v>
      </x:c>
      <x:c r="X452" s="31" t="n">
        <x:v>3</x:v>
      </x:c>
      <x:c r="Y452" s="40" t="n">
        <x:v>0</x:v>
      </x:c>
      <x:c r="Z452" s="40" t="n">
        <x:v>1</x:v>
      </x:c>
      <x:c r="AA452" s="40" t="n">
        <x:v>1</x:v>
      </x:c>
      <x:c r="AB452" s="31" t="n">
        <x:v>0.28366239026242435</x:v>
      </x:c>
      <x:c r="AC452" s="31" t="n">
        <x:v>8</x:v>
      </x:c>
      <x:c r="AD452" s="44" t="b">
        <x:v>1</x:v>
      </x:c>
    </x:row>
    <x:row r="453">
      <x:c r="A453" s="31" t="str">
        <x:v>36047010602</x:v>
      </x:c>
      <x:c r="B453" s="31" t="str">
        <x:v>Brooklyn</x:v>
      </x:c>
      <x:c r="C453" s="31" t="str">
        <x:v>010602</x:v>
      </x:c>
      <x:c r="D453" s="31" t="str">
        <x:v>BK1201</x:v>
      </x:c>
      <x:c r="E453" s="31" t="str">
        <x:v>Sunset Park (East)-Borough Park (West)</x:v>
      </x:c>
      <x:c r="F453" s="31" t="n">
        <x:v>0.029157026374863695</x:v>
      </x:c>
      <x:c r="G453" s="31" t="n">
        <x:v>40.63821048300519</x:v>
      </x:c>
      <x:c r="H453" s="31" t="n">
        <x:v>-74.00493881018375</x:v>
      </x:c>
      <x:c r="I453" s="31" t="n">
        <x:v>2820</x:v>
      </x:c>
      <x:c r="J453" s="31" t="n">
        <x:v>96717.6818288687</x:v>
      </x:c>
      <x:c r="K453" s="31"/>
      <x:c r="L453" s="40"/>
      <x:c r="M453" s="40"/>
      <x:c r="N453" s="31" t="n">
        <x:v>235</x:v>
      </x:c>
      <x:c r="O453" s="31" t="n">
        <x:v>647</x:v>
      </x:c>
      <x:c r="P453" s="31" t="n">
        <x:v>2.983771251931994</x:v>
      </x:c>
      <x:c r="Q453" s="40" t="n">
        <x:v>0</x:v>
      </x:c>
      <x:c r="R453" s="40" t="n">
        <x:v>0.4420401854714065</x:v>
      </x:c>
      <x:c r="S453" s="40" t="n">
        <x:v>0</x:v>
      </x:c>
      <x:c r="T453" s="31" t="n">
        <x:v>32.27780990391785</x:v>
      </x:c>
      <x:c r="U453" s="31" t="n">
        <x:v>70</x:v>
      </x:c>
      <x:c r="V453" s="31" t="n">
        <x:v>29</x:v>
      </x:c>
      <x:c r="W453" s="31" t="n">
        <x:v>10.28368794326241</x:v>
      </x:c>
      <x:c r="X453" s="31" t="n">
        <x:v>3</x:v>
      </x:c>
      <x:c r="Y453" s="40" t="n">
        <x:v>0</x:v>
      </x:c>
      <x:c r="Z453" s="40" t="n">
        <x:v>1</x:v>
      </x:c>
      <x:c r="AA453" s="40" t="n">
        <x:v>0.9783616692426584</x:v>
      </x:c>
      <x:c r="AB453" s="31" t="n">
        <x:v>0.27585481851208715</x:v>
      </x:c>
      <x:c r="AC453" s="31" t="n">
        <x:v>7</x:v>
      </x:c>
      <x:c r="AD453" s="44" t="b">
        <x:v>1</x:v>
      </x:c>
    </x:row>
    <x:row r="454">
      <x:c r="A454" s="31" t="str">
        <x:v>36047010801</x:v>
      </x:c>
      <x:c r="B454" s="31" t="str">
        <x:v>Brooklyn</x:v>
      </x:c>
      <x:c r="C454" s="31" t="str">
        <x:v>010801</x:v>
      </x:c>
      <x:c r="D454" s="31" t="str">
        <x:v>BK0703</x:v>
      </x:c>
      <x:c r="E454" s="31" t="str">
        <x:v>Sunset Park (Central)</x:v>
      </x:c>
      <x:c r="F454" s="31" t="n">
        <x:v>0.029147142881729225</x:v>
      </x:c>
      <x:c r="G454" s="31" t="n">
        <x:v>40.6417810463698</x:v>
      </x:c>
      <x:c r="H454" s="31" t="n">
        <x:v>-74.00481132989205</x:v>
      </x:c>
      <x:c r="I454" s="31" t="n">
        <x:v>2876</x:v>
      </x:c>
      <x:c r="J454" s="31" t="n">
        <x:v>98671.76387304875</x:v>
      </x:c>
      <x:c r="K454" s="31"/>
      <x:c r="L454" s="40"/>
      <x:c r="M454" s="40"/>
      <x:c r="N454" s="31" t="n">
        <x:v>248</x:v>
      </x:c>
      <x:c r="O454" s="31" t="n">
        <x:v>676</x:v>
      </x:c>
      <x:c r="P454" s="31" t="n">
        <x:v>2.595808383233533</x:v>
      </x:c>
      <x:c r="Q454" s="40" t="n">
        <x:v>0</x:v>
      </x:c>
      <x:c r="R454" s="40" t="n">
        <x:v>0.4467455621301775</x:v>
      </x:c>
      <x:c r="S454" s="40" t="n">
        <x:v>0.0014792899408284023</x:v>
      </x:c>
      <x:c r="T454" s="31" t="n">
        <x:v>31.59125433994083</x:v>
      </x:c>
      <x:c r="U454" s="31" t="n">
        <x:v>56</x:v>
      </x:c>
      <x:c r="V454" s="31" t="n">
        <x:v>21</x:v>
      </x:c>
      <x:c r="W454" s="31" t="n">
        <x:v>7.301808066759388</x:v>
      </x:c>
      <x:c r="X454" s="31" t="n">
        <x:v>3</x:v>
      </x:c>
      <x:c r="Y454" s="40" t="n">
        <x:v>0</x:v>
      </x:c>
      <x:c r="Z454" s="40" t="n">
        <x:v>1</x:v>
      </x:c>
      <x:c r="AA454" s="40" t="n">
        <x:v>1</x:v>
      </x:c>
      <x:c r="AB454" s="31" t="n">
        <x:v>0.08877075689724925</x:v>
      </x:c>
      <x:c r="AC454" s="31" t="n">
        <x:v>8</x:v>
      </x:c>
      <x:c r="AD454" s="44" t="b">
        <x:v>1</x:v>
      </x:c>
    </x:row>
    <x:row r="455">
      <x:c r="A455" s="31" t="str">
        <x:v>36047010802</x:v>
      </x:c>
      <x:c r="B455" s="31" t="str">
        <x:v>Brooklyn</x:v>
      </x:c>
      <x:c r="C455" s="31" t="str">
        <x:v>010802</x:v>
      </x:c>
      <x:c r="D455" s="31" t="str">
        <x:v>BK1201</x:v>
      </x:c>
      <x:c r="E455" s="31" t="str">
        <x:v>Sunset Park (East)-Borough Park (West)</x:v>
      </x:c>
      <x:c r="F455" s="31" t="n">
        <x:v>0.029136321855379076</x:v>
      </x:c>
      <x:c r="G455" s="31" t="n">
        <x:v>40.64045082150909</x:v>
      </x:c>
      <x:c r="H455" s="31" t="n">
        <x:v>-74.00260903253175</x:v>
      </x:c>
      <x:c r="I455" s="31" t="n">
        <x:v>2840</x:v>
      </x:c>
      <x:c r="J455" s="31" t="n">
        <x:v>97472.83868213058</x:v>
      </x:c>
      <x:c r="K455" s="31"/>
      <x:c r="L455" s="40"/>
      <x:c r="M455" s="40"/>
      <x:c r="N455" s="31" t="n">
        <x:v>193</x:v>
      </x:c>
      <x:c r="O455" s="31" t="n">
        <x:v>822</x:v>
      </x:c>
      <x:c r="P455" s="31" t="n">
        <x:v>3.2688564476885644</x:v>
      </x:c>
      <x:c r="Q455" s="40" t="n">
        <x:v>0</x:v>
      </x:c>
      <x:c r="R455" s="40" t="n">
        <x:v>0.6374695863746959</x:v>
      </x:c>
      <x:c r="S455" s="40" t="n">
        <x:v>0.0024330900243309003</x:v>
      </x:c>
      <x:c r="T455" s="31" t="n">
        <x:v>38.69997882136253</x:v>
      </x:c>
      <x:c r="U455" s="31" t="n">
        <x:v>73</x:v>
      </x:c>
      <x:c r="V455" s="31" t="n">
        <x:v>14</x:v>
      </x:c>
      <x:c r="W455" s="31" t="n">
        <x:v>4.929577464788733</x:v>
      </x:c>
      <x:c r="X455" s="31" t="n">
        <x:v>3</x:v>
      </x:c>
      <x:c r="Y455" s="40" t="n">
        <x:v>0</x:v>
      </x:c>
      <x:c r="Z455" s="40" t="n">
        <x:v>1</x:v>
      </x:c>
      <x:c r="AA455" s="40" t="n">
        <x:v>1</x:v>
      </x:c>
      <x:c r="AB455" s="31" t="n">
        <x:v>0.08802275560491109</x:v>
      </x:c>
      <x:c r="AC455" s="31" t="n">
        <x:v>7</x:v>
      </x:c>
      <x:c r="AD455" s="44" t="b">
        <x:v>1</x:v>
      </x:c>
    </x:row>
    <x:row r="456">
      <x:c r="A456" s="31" t="str">
        <x:v>36047011000</x:v>
      </x:c>
      <x:c r="B456" s="31" t="str">
        <x:v>Brooklyn</x:v>
      </x:c>
      <x:c r="C456" s="31" t="str">
        <x:v>011000</x:v>
      </x:c>
      <x:c r="D456" s="31" t="str">
        <x:v>BK1201</x:v>
      </x:c>
      <x:c r="E456" s="31" t="str">
        <x:v>Sunset Park (East)-Borough Park (West)</x:v>
      </x:c>
      <x:c r="F456" s="31" t="n">
        <x:v>0.06094527064322199</x:v>
      </x:c>
      <x:c r="G456" s="31" t="n">
        <x:v>40.64457568977626</x:v>
      </x:c>
      <x:c r="H456" s="31" t="n">
        <x:v>-73.99277158178589</x:v>
      </x:c>
      <x:c r="I456" s="31" t="n">
        <x:v>2709</x:v>
      </x:c>
      <x:c r="J456" s="31" t="n">
        <x:v>44449.71646542816</x:v>
      </x:c>
      <x:c r="K456" s="31"/>
      <x:c r="L456" s="40"/>
      <x:c r="M456" s="40"/>
      <x:c r="N456" s="31" t="n">
        <x:v>231</x:v>
      </x:c>
      <x:c r="O456" s="31" t="n">
        <x:v>736</x:v>
      </x:c>
      <x:c r="P456" s="31" t="n">
        <x:v>3.15625</x:v>
      </x:c>
      <x:c r="Q456" s="40" t="n">
        <x:v>0</x:v>
      </x:c>
      <x:c r="R456" s="40" t="n">
        <x:v>0.6358695652173914</x:v>
      </x:c>
      <x:c r="S456" s="40" t="n">
        <x:v>0.02717391304347826</x:v>
      </x:c>
      <x:c r="T456" s="31" t="n">
        <x:v>36.12071513450276</x:v>
      </x:c>
      <x:c r="U456" s="31" t="n">
        <x:v>87</x:v>
      </x:c>
      <x:c r="V456" s="31" t="n">
        <x:v>9</x:v>
      </x:c>
      <x:c r="W456" s="31" t="n">
        <x:v>3.3222591362126246</x:v>
      </x:c>
      <x:c r="X456" s="31" t="n">
        <x:v>3.9605978260869565</x:v>
      </x:c>
      <x:c r="Y456" s="40" t="n">
        <x:v>0.9605978260869565</x:v>
      </x:c>
      <x:c r="Z456" s="40" t="n">
        <x:v>1</x:v>
      </x:c>
      <x:c r="AA456" s="40" t="n">
        <x:v>0.9836956521739131</x:v>
      </x:c>
      <x:c r="AB456" s="31" t="n">
        <x:v>0.12057513307106706</x:v>
      </x:c>
      <x:c r="AC456" s="31" t="n">
        <x:v>6</x:v>
      </x:c>
      <x:c r="AD456" s="44" t="b">
        <x:v>1</x:v>
      </x:c>
    </x:row>
    <x:row r="457">
      <x:c r="A457" s="31" t="str">
        <x:v>36047011200</x:v>
      </x:c>
      <x:c r="B457" s="31" t="str">
        <x:v>Brooklyn</x:v>
      </x:c>
      <x:c r="C457" s="31" t="str">
        <x:v>011200</x:v>
      </x:c>
      <x:c r="D457" s="31" t="str">
        <x:v>BK1201</x:v>
      </x:c>
      <x:c r="E457" s="31" t="str">
        <x:v>Sunset Park (East)-Borough Park (West)</x:v>
      </x:c>
      <x:c r="F457" s="31" t="n">
        <x:v>0.06614335718836088</x:v>
      </x:c>
      <x:c r="G457" s="31" t="n">
        <x:v>40.64225295501269</x:v>
      </x:c>
      <x:c r="H457" s="31" t="n">
        <x:v>-73.99567494314753</x:v>
      </x:c>
      <x:c r="I457" s="31" t="n">
        <x:v>6636</x:v>
      </x:c>
      <x:c r="J457" s="31" t="n">
        <x:v>100327.53525198634</x:v>
      </x:c>
      <x:c r="K457" s="31"/>
      <x:c r="L457" s="40"/>
      <x:c r="M457" s="40"/>
      <x:c r="N457" s="31" t="n">
        <x:v>321</x:v>
      </x:c>
      <x:c r="O457" s="31" t="n">
        <x:v>2077</x:v>
      </x:c>
      <x:c r="P457" s="31" t="n">
        <x:v>3.81824747231584</x:v>
      </x:c>
      <x:c r="Q457" s="40" t="n">
        <x:v>0.05440539239287434</x:v>
      </x:c>
      <x:c r="R457" s="40" t="n">
        <x:v>0.7202696196437169</x:v>
      </x:c>
      <x:c r="S457" s="40" t="n">
        <x:v>0.03514684641309581</x:v>
      </x:c>
      <x:c r="T457" s="31" t="n">
        <x:v>42.288628759545674</x:v>
      </x:c>
      <x:c r="U457" s="31" t="n">
        <x:v>82.63</x:v>
      </x:c>
      <x:c r="V457" s="31" t="n">
        <x:v>29</x:v>
      </x:c>
      <x:c r="W457" s="31" t="n">
        <x:v>4.370102471368294</x:v>
      </x:c>
      <x:c r="X457" s="31" t="n">
        <x:v>3.9658160808858933</x:v>
      </x:c>
      <x:c r="Y457" s="40" t="n">
        <x:v>0.9658160808858931</x:v>
      </x:c>
      <x:c r="Z457" s="40" t="n">
        <x:v>1</x:v>
      </x:c>
      <x:c r="AA457" s="40" t="n">
        <x:v>0.9855560905151661</x:v>
      </x:c>
      <x:c r="AB457" s="31" t="n">
        <x:v>0.16999884012919797</x:v>
      </x:c>
      <x:c r="AC457" s="31" t="n">
        <x:v>7</x:v>
      </x:c>
      <x:c r="AD457" s="44" t="b">
        <x:v>1</x:v>
      </x:c>
    </x:row>
    <x:row r="458">
      <x:c r="A458" s="31" t="str">
        <x:v>36047011400</x:v>
      </x:c>
      <x:c r="B458" s="31" t="str">
        <x:v>Brooklyn</x:v>
      </x:c>
      <x:c r="C458" s="31" t="str">
        <x:v>011400</x:v>
      </x:c>
      <x:c r="D458" s="31" t="str">
        <x:v>BK1201</x:v>
      </x:c>
      <x:c r="E458" s="31" t="str">
        <x:v>Sunset Park (East)-Borough Park (West)</x:v>
      </x:c>
      <x:c r="F458" s="31" t="n">
        <x:v>0.06478704711317722</x:v>
      </x:c>
      <x:c r="G458" s="31" t="n">
        <x:v>40.639423230410344</x:v>
      </x:c>
      <x:c r="H458" s="31" t="n">
        <x:v>-73.99921188984707</x:v>
      </x:c>
      <x:c r="I458" s="31" t="n">
        <x:v>4150</x:v>
      </x:c>
      <x:c r="J458" s="31" t="n">
        <x:v>64056.01404784383</x:v>
      </x:c>
      <x:c r="K458" s="31"/>
      <x:c r="L458" s="40"/>
      <x:c r="M458" s="40"/>
      <x:c r="N458" s="31" t="n">
        <x:v>309</x:v>
      </x:c>
      <x:c r="O458" s="31" t="n">
        <x:v>1309</x:v>
      </x:c>
      <x:c r="P458" s="31" t="n">
        <x:v>3.640565317035905</x:v>
      </x:c>
      <x:c r="Q458" s="40" t="n">
        <x:v>0.0748663101604278</x:v>
      </x:c>
      <x:c r="R458" s="40" t="n">
        <x:v>0.46218487394957986</x:v>
      </x:c>
      <x:c r="S458" s="40" t="n">
        <x:v>0.0007639419404125286</x:v>
      </x:c>
      <x:c r="T458" s="31" t="n">
        <x:v>42.46894216798921</x:v>
      </x:c>
      <x:c r="U458" s="31" t="n">
        <x:v>97.63</x:v>
      </x:c>
      <x:c r="V458" s="31" t="n">
        <x:v>22</x:v>
      </x:c>
      <x:c r="W458" s="31" t="n">
        <x:v>5.301204819277109</x:v>
      </x:c>
      <x:c r="X458" s="31" t="n">
        <x:v>3.93048128342246</x:v>
      </x:c>
      <x:c r="Y458" s="40" t="n">
        <x:v>0.93048128342246</x:v>
      </x:c>
      <x:c r="Z458" s="40" t="n">
        <x:v>1</x:v>
      </x:c>
      <x:c r="AA458" s="40" t="n">
        <x:v>0.9915966386554622</x:v>
      </x:c>
      <x:c r="AB458" s="31" t="n">
        <x:v>0.1387527199756432</x:v>
      </x:c>
      <x:c r="AC458" s="31" t="n">
        <x:v>8</x:v>
      </x:c>
      <x:c r="AD458" s="44" t="b">
        <x:v>1</x:v>
      </x:c>
    </x:row>
    <x:row r="459">
      <x:c r="A459" s="31" t="str">
        <x:v>36047011600</x:v>
      </x:c>
      <x:c r="B459" s="31" t="str">
        <x:v>Brooklyn</x:v>
      </x:c>
      <x:c r="C459" s="31" t="str">
        <x:v>011600</x:v>
      </x:c>
      <x:c r="D459" s="31" t="str">
        <x:v>BK1201</x:v>
      </x:c>
      <x:c r="E459" s="31" t="str">
        <x:v>Sunset Park (East)-Borough Park (West)</x:v>
      </x:c>
      <x:c r="F459" s="31" t="n">
        <x:v>0.061875775746456044</x:v>
      </x:c>
      <x:c r="G459" s="31" t="n">
        <x:v>40.63587294948281</x:v>
      </x:c>
      <x:c r="H459" s="31" t="n">
        <x:v>-74.00364955648514</x:v>
      </x:c>
      <x:c r="I459" s="31" t="n">
        <x:v>5529</x:v>
      </x:c>
      <x:c r="J459" s="31" t="n">
        <x:v>89356.4554674157</x:v>
      </x:c>
      <x:c r="K459" s="31"/>
      <x:c r="L459" s="40"/>
      <x:c r="M459" s="40"/>
      <x:c r="N459" s="31" t="n">
        <x:v>397</x:v>
      </x:c>
      <x:c r="O459" s="31" t="n">
        <x:v>1518</x:v>
      </x:c>
      <x:c r="P459" s="31" t="n">
        <x:v>3.36034255599473</x:v>
      </x:c>
      <x:c r="Q459" s="40" t="n">
        <x:v>0</x:v>
      </x:c>
      <x:c r="R459" s="40" t="n">
        <x:v>0.5579710144927537</x:v>
      </x:c>
      <x:c r="S459" s="40" t="n">
        <x:v>0.013175230566534914</x:v>
      </x:c>
      <x:c r="T459" s="31" t="n">
        <x:v>35.87052077946477</x:v>
      </x:c>
      <x:c r="U459" s="31" t="n">
        <x:v>65</x:v>
      </x:c>
      <x:c r="V459" s="31" t="n">
        <x:v>55</x:v>
      </x:c>
      <x:c r="W459" s="31" t="n">
        <x:v>9.947549285585097</x:v>
      </x:c>
      <x:c r="X459" s="31" t="n">
        <x:v>3.8945981554677207</x:v>
      </x:c>
      <x:c r="Y459" s="40" t="n">
        <x:v>0.8945981554677207</x:v>
      </x:c>
      <x:c r="Z459" s="40" t="n">
        <x:v>1</x:v>
      </x:c>
      <x:c r="AA459" s="40" t="n">
        <x:v>0.9723320158102767</x:v>
      </x:c>
      <x:c r="AB459" s="31" t="n">
        <x:v>0.18136173166396444</x:v>
      </x:c>
      <x:c r="AC459" s="31" t="n">
        <x:v>9</x:v>
      </x:c>
      <x:c r="AD459" s="44" t="b">
        <x:v>1</x:v>
      </x:c>
    </x:row>
    <x:row r="460">
      <x:c r="A460" s="31" t="str">
        <x:v>36047011700</x:v>
      </x:c>
      <x:c r="B460" s="31" t="str">
        <x:v>Brooklyn</x:v>
      </x:c>
      <x:c r="C460" s="31" t="str">
        <x:v>011700</x:v>
      </x:c>
      <x:c r="D460" s="31" t="str">
        <x:v>BK0601</x:v>
      </x:c>
      <x:c r="E460" s="31" t="str">
        <x:v>Carroll Gardens-Cobble Hill-Gowanus-Red Hook</x:v>
      </x:c>
      <x:c r="F460" s="31" t="n">
        <x:v>0.0775964617155217</x:v>
      </x:c>
      <x:c r="G460" s="31" t="n">
        <x:v>40.668558733322634</x:v>
      </x:c>
      <x:c r="H460" s="31" t="n">
        <x:v>-73.99330290978607</x:v>
      </x:c>
      <x:c r="I460" s="31" t="n">
        <x:v>2672</x:v>
      </x:c>
      <x:c r="J460" s="31" t="n">
        <x:v>34434.55978438663</x:v>
      </x:c>
      <x:c r="K460" s="31"/>
      <x:c r="L460" s="40"/>
      <x:c r="M460" s="40"/>
      <x:c r="N460" s="31" t="n">
        <x:v>358</x:v>
      </x:c>
      <x:c r="O460" s="31" t="n">
        <x:v>1492</x:v>
      </x:c>
      <x:c r="P460" s="31" t="n">
        <x:v>5.122319034852547</x:v>
      </x:c>
      <x:c r="Q460" s="40" t="n">
        <x:v>0.23324396782841822</x:v>
      </x:c>
      <x:c r="R460" s="40" t="n">
        <x:v>0.561662198391421</x:v>
      </x:c>
      <x:c r="S460" s="40" t="n">
        <x:v>0</x:v>
      </x:c>
      <x:c r="T460" s="31" t="n">
        <x:v>55.92590819927298</x:v>
      </x:c>
      <x:c r="U460" s="31" t="n">
        <x:v>125.56466472</x:v>
      </x:c>
      <x:c r="V460" s="31" t="n">
        <x:v>20</x:v>
      </x:c>
      <x:c r="W460" s="31" t="n">
        <x:v>7.485029940119761</x:v>
      </x:c>
      <x:c r="X460" s="31" t="n">
        <x:v>1</x:v>
      </x:c>
      <x:c r="Y460" s="40" t="n">
        <x:v>0</x:v>
      </x:c>
      <x:c r="Z460" s="40" t="n">
        <x:v>1</x:v>
      </x:c>
      <x:c r="AA460" s="40" t="n">
        <x:v>0.9403485254691689</x:v>
      </x:c>
      <x:c r="AB460" s="31" t="n">
        <x:v>0.15549734353829744</x:v>
      </x:c>
      <x:c r="AC460" s="31" t="n">
        <x:v>7</x:v>
      </x:c>
      <x:c r="AD460" s="44" t="b">
        <x:v>1</x:v>
      </x:c>
    </x:row>
    <x:row r="461">
      <x:c r="A461" s="31" t="str">
        <x:v>36047011800</x:v>
      </x:c>
      <x:c r="B461" s="31" t="str">
        <x:v>Brooklyn</x:v>
      </x:c>
      <x:c r="C461" s="31" t="str">
        <x:v>011800</x:v>
      </x:c>
      <x:c r="D461" s="31" t="str">
        <x:v>BK0703</x:v>
      </x:c>
      <x:c r="E461" s="31" t="str">
        <x:v>Sunset Park (Central)</x:v>
      </x:c>
      <x:c r="F461" s="31" t="n">
        <x:v>0.08455003119009699</x:v>
      </x:c>
      <x:c r="G461" s="31" t="n">
        <x:v>40.63510419109951</x:v>
      </x:c>
      <x:c r="H461" s="31" t="n">
        <x:v>-74.01148531583806</x:v>
      </x:c>
      <x:c r="I461" s="31" t="n">
        <x:v>2578</x:v>
      </x:c>
      <x:c r="J461" s="31" t="n">
        <x:v>30490.822578217463</x:v>
      </x:c>
      <x:c r="K461" s="31"/>
      <x:c r="L461" s="40"/>
      <x:c r="M461" s="40"/>
      <x:c r="N461" s="31" t="n">
        <x:v>157</x:v>
      </x:c>
      <x:c r="O461" s="31" t="n">
        <x:v>689</x:v>
      </x:c>
      <x:c r="P461" s="31" t="n">
        <x:v>3.3586309523809526</x:v>
      </x:c>
      <x:c r="Q461" s="40" t="n">
        <x:v>0</x:v>
      </x:c>
      <x:c r="R461" s="40" t="n">
        <x:v>0.7445573294629898</x:v>
      </x:c>
      <x:c r="S461" s="40" t="n">
        <x:v>0</x:v>
      </x:c>
      <x:c r="T461" s="31" t="n">
        <x:v>38.995707976602944</x:v>
      </x:c>
      <x:c r="U461" s="31" t="n">
        <x:v>86</x:v>
      </x:c>
      <x:c r="V461" s="31" t="n">
        <x:v>11</x:v>
      </x:c>
      <x:c r="W461" s="31" t="n">
        <x:v>4.266873545384018</x:v>
      </x:c>
      <x:c r="X461" s="31" t="n">
        <x:v>3.13933236574746</x:v>
      </x:c>
      <x:c r="Y461" s="40" t="n">
        <x:v>0.13933236574746008</x:v>
      </x:c>
      <x:c r="Z461" s="40" t="n">
        <x:v>1</x:v>
      </x:c>
      <x:c r="AA461" s="40" t="n">
        <x:v>0.9869375907111756</x:v>
      </x:c>
      <x:c r="AB461" s="31" t="n">
        <x:v>0.20711397567909517</x:v>
      </x:c>
      <x:c r="AC461" s="31" t="n">
        <x:v>8</x:v>
      </x:c>
      <x:c r="AD461" s="44" t="b">
        <x:v>1</x:v>
      </x:c>
    </x:row>
    <x:row r="462">
      <x:c r="A462" s="31" t="str">
        <x:v>36047011901</x:v>
      </x:c>
      <x:c r="B462" s="31" t="str">
        <x:v>Brooklyn</x:v>
      </x:c>
      <x:c r="C462" s="31" t="str">
        <x:v>011901</x:v>
      </x:c>
      <x:c r="D462" s="31" t="str">
        <x:v>BK0601</x:v>
      </x:c>
      <x:c r="E462" s="31" t="str">
        <x:v>Carroll Gardens-Cobble Hill-Gowanus-Red Hook</x:v>
      </x:c>
      <x:c r="F462" s="31" t="n">
        <x:v>0.18065591956747876</x:v>
      </x:c>
      <x:c r="G462" s="31" t="n">
        <x:v>40.67650029998871</x:v>
      </x:c>
      <x:c r="H462" s="31" t="n">
        <x:v>-73.98704144388887</x:v>
      </x:c>
      <x:c r="I462" s="31" t="n">
        <x:v>1589</x:v>
      </x:c>
      <x:c r="J462" s="31" t="n">
        <x:v>8795.726172739529</x:v>
      </x:c>
      <x:c r="K462" s="31"/>
      <x:c r="L462" s="40"/>
      <x:c r="M462" s="40"/>
      <x:c r="N462" s="31" t="n">
        <x:v>184</x:v>
      </x:c>
      <x:c r="O462" s="31" t="n">
        <x:v>4107</x:v>
      </x:c>
      <x:c r="P462" s="31" t="n">
        <x:v>13.96492760858712</x:v>
      </x:c>
      <x:c r="Q462" s="40" t="n">
        <x:v>0.8154370586803019</x:v>
      </x:c>
      <x:c r="R462" s="40" t="n">
        <x:v>0.1446311176040906</x:v>
      </x:c>
      <x:c r="S462" s="40" t="n">
        <x:v>0.0024348672997321647</x:v>
      </x:c>
      <x:c r="T462" s="31" t="n">
        <x:v>155.25290472691987</x:v>
      </x:c>
      <x:c r="U462" s="31" t="n">
        <x:v>225</x:v>
      </x:c>
      <x:c r="V462" s="31" t="n">
        <x:v>31</x:v>
      </x:c>
      <x:c r="W462" s="31" t="n">
        <x:v>19.509125235997484</x:v>
      </x:c>
      <x:c r="X462" s="31" t="n">
        <x:v>1.2398344290236183</x:v>
      </x:c>
      <x:c r="Y462" s="40" t="n">
        <x:v>0</x:v>
      </x:c>
      <x:c r="Z462" s="40" t="n">
        <x:v>1</x:v>
      </x:c>
      <x:c r="AA462" s="40" t="n">
        <x:v>0.8110542975407841</x:v>
      </x:c>
      <x:c r="AB462" s="31" t="n">
        <x:v>0.0949618897363702</x:v>
      </x:c>
      <x:c r="AC462" s="31" t="n">
        <x:v>10</x:v>
      </x:c>
      <x:c r="AD462" s="44" t="b">
        <x:v>1</x:v>
      </x:c>
    </x:row>
    <x:row r="463">
      <x:c r="A463" s="31" t="str">
        <x:v>36047011902</x:v>
      </x:c>
      <x:c r="B463" s="31" t="str">
        <x:v>Brooklyn</x:v>
      </x:c>
      <x:c r="C463" s="31" t="str">
        <x:v>011902</x:v>
      </x:c>
      <x:c r="D463" s="31" t="str">
        <x:v>BK0601</x:v>
      </x:c>
      <x:c r="E463" s="31" t="str">
        <x:v>Carroll Gardens-Cobble Hill-Gowanus-Red Hook</x:v>
      </x:c>
      <x:c r="F463" s="31" t="n">
        <x:v>0.09499428284119604</x:v>
      </x:c>
      <x:c r="G463" s="31" t="n">
        <x:v>40.673136093671914</x:v>
      </x:c>
      <x:c r="H463" s="31" t="n">
        <x:v>-73.99500260358637</x:v>
      </x:c>
      <x:c r="I463" s="31" t="n">
        <x:v>0</x:v>
      </x:c>
      <x:c r="J463" s="31" t="n">
        <x:v>0</x:v>
      </x:c>
      <x:c r="K463" s="31"/>
      <x:c r="L463" s="40"/>
      <x:c r="M463" s="40"/>
      <x:c r="N463" s="31" t="n">
        <x:v>0</x:v>
      </x:c>
      <x:c r="O463" s="31"/>
      <x:c r="P463" s="31"/>
      <x:c r="Q463" s="40"/>
      <x:c r="R463" s="40"/>
      <x:c r="S463" s="40"/>
      <x:c r="T463" s="31"/>
      <x:c r="U463" s="31"/>
      <x:c r="V463" s="31" t="n">
        <x:v>0</x:v>
      </x:c>
      <x:c r="W463" s="31"/>
      <x:c r="X463" s="31"/>
      <x:c r="Y463" s="40"/>
      <x:c r="Z463" s="40"/>
      <x:c r="AA463" s="40"/>
      <x:c r="AB463" s="31" t="n">
        <x:v>0.40929028542087303</x:v>
      </x:c>
      <x:c r="AC463" s="31" t="n">
        <x:v>6</x:v>
      </x:c>
      <x:c r="AD463" s="44" t="b">
        <x:v>0</x:v>
      </x:c>
    </x:row>
    <x:row r="464">
      <x:c r="A464" s="31" t="str">
        <x:v>36047012000</x:v>
      </x:c>
      <x:c r="B464" s="31" t="str">
        <x:v>Brooklyn</x:v>
      </x:c>
      <x:c r="C464" s="31" t="str">
        <x:v>012000</x:v>
      </x:c>
      <x:c r="D464" s="31" t="str">
        <x:v>BK1002</x:v>
      </x:c>
      <x:c r="E464" s="31" t="str">
        <x:v>Dyker Heights</x:v>
      </x:c>
      <x:c r="F464" s="31" t="n">
        <x:v>0.07451996365142906</x:v>
      </x:c>
      <x:c r="G464" s="31" t="n">
        <x:v>40.63278156269225</x:v>
      </x:c>
      <x:c r="H464" s="31" t="n">
        <x:v>-74.01172202494968</x:v>
      </x:c>
      <x:c r="I464" s="31" t="n">
        <x:v>1176</x:v>
      </x:c>
      <x:c r="J464" s="31" t="n">
        <x:v>15781.006087184907</x:v>
      </x:c>
      <x:c r="K464" s="31"/>
      <x:c r="L464" s="40"/>
      <x:c r="M464" s="40"/>
      <x:c r="N464" s="31" t="n">
        <x:v>94</x:v>
      </x:c>
      <x:c r="O464" s="31" t="n">
        <x:v>330</x:v>
      </x:c>
      <x:c r="P464" s="31" t="n">
        <x:v>2.8113636363636365</x:v>
      </x:c>
      <x:c r="Q464" s="40" t="n">
        <x:v>0</x:v>
      </x:c>
      <x:c r="R464" s="40" t="n">
        <x:v>0.5454545454545454</x:v>
      </x:c>
      <x:c r="S464" s="40" t="n">
        <x:v>0</x:v>
      </x:c>
      <x:c r="T464" s="31" t="n">
        <x:v>34.88655282382716</x:v>
      </x:c>
      <x:c r="U464" s="31" t="n">
        <x:v>75.77</x:v>
      </x:c>
      <x:c r="V464" s="31" t="n">
        <x:v>4</x:v>
      </x:c>
      <x:c r="W464" s="31" t="n">
        <x:v>3.401360544217687</x:v>
      </x:c>
      <x:c r="X464" s="31" t="n">
        <x:v>3.5545454545454547</x:v>
      </x:c>
      <x:c r="Y464" s="40" t="n">
        <x:v>0.5545454545454546</x:v>
      </x:c>
      <x:c r="Z464" s="40" t="n">
        <x:v>1</x:v>
      </x:c>
      <x:c r="AA464" s="40" t="n">
        <x:v>0.9818181818181818</x:v>
      </x:c>
      <x:c r="AB464" s="31" t="n">
        <x:v>0.10920477544215379</x:v>
      </x:c>
      <x:c r="AC464" s="31" t="n">
        <x:v>7</x:v>
      </x:c>
      <x:c r="AD464" s="44" t="b">
        <x:v>1</x:v>
      </x:c>
    </x:row>
    <x:row r="465">
      <x:c r="A465" s="31" t="str">
        <x:v>36047012100</x:v>
      </x:c>
      <x:c r="B465" s="31" t="str">
        <x:v>Brooklyn</x:v>
      </x:c>
      <x:c r="C465" s="31" t="str">
        <x:v>012100</x:v>
      </x:c>
      <x:c r="D465" s="31" t="str">
        <x:v>BK0601</x:v>
      </x:c>
      <x:c r="E465" s="31" t="str">
        <x:v>Carroll Gardens-Cobble Hill-Gowanus-Red Hook</x:v>
      </x:c>
      <x:c r="F465" s="31" t="n">
        <x:v>0.05715031186617596</x:v>
      </x:c>
      <x:c r="G465" s="31" t="n">
        <x:v>40.67147905876966</x:v>
      </x:c>
      <x:c r="H465" s="31" t="n">
        <x:v>-73.99104923720023</x:v>
      </x:c>
      <x:c r="I465" s="31" t="n">
        <x:v>1916</x:v>
      </x:c>
      <x:c r="J465" s="31" t="n">
        <x:v>33525.62632530396</x:v>
      </x:c>
      <x:c r="K465" s="31"/>
      <x:c r="L465" s="40"/>
      <x:c r="M465" s="40"/>
      <x:c r="N465" s="31" t="n">
        <x:v>263</x:v>
      </x:c>
      <x:c r="O465" s="31" t="n">
        <x:v>977</x:v>
      </x:c>
      <x:c r="P465" s="31" t="n">
        <x:v>4.691752577319588</x:v>
      </x:c>
      <x:c r="Q465" s="40" t="n">
        <x:v>0.1842374616171955</x:v>
      </x:c>
      <x:c r="R465" s="40" t="n">
        <x:v>0.5823950870010235</x:v>
      </x:c>
      <x:c r="S465" s="40" t="n">
        <x:v>0.009211873080859774</x:v>
      </x:c>
      <x:c r="T465" s="31" t="n">
        <x:v>50.91272464121901</x:v>
      </x:c>
      <x:c r="U465" s="31" t="n">
        <x:v>120</x:v>
      </x:c>
      <x:c r="V465" s="31" t="n">
        <x:v>16</x:v>
      </x:c>
      <x:c r="W465" s="31" t="n">
        <x:v>8.35073068893528</x:v>
      </x:c>
      <x:c r="X465" s="31" t="n">
        <x:v>1</x:v>
      </x:c>
      <x:c r="Y465" s="40" t="n">
        <x:v>0</x:v>
      </x:c>
      <x:c r="Z465" s="40" t="n">
        <x:v>1</x:v>
      </x:c>
      <x:c r="AA465" s="40" t="n">
        <x:v>0.9907881269191402</x:v>
      </x:c>
      <x:c r="AB465" s="31" t="n">
        <x:v>0.1775092805368218</x:v>
      </x:c>
      <x:c r="AC465" s="31" t="n">
        <x:v>5</x:v>
      </x:c>
      <x:c r="AD465" s="44" t="b">
        <x:v>1</x:v>
      </x:c>
    </x:row>
    <x:row r="466">
      <x:c r="A466" s="31" t="str">
        <x:v>36047012200</x:v>
      </x:c>
      <x:c r="B466" s="31" t="str">
        <x:v>Brooklyn</x:v>
      </x:c>
      <x:c r="C466" s="31" t="str">
        <x:v>012200</x:v>
      </x:c>
      <x:c r="D466" s="31" t="str">
        <x:v>BK0703</x:v>
      </x:c>
      <x:c r="E466" s="31" t="str">
        <x:v>Sunset Park (Central)</x:v>
      </x:c>
      <x:c r="F466" s="31" t="n">
        <x:v>0.07000276128759182</x:v>
      </x:c>
      <x:c r="G466" s="31" t="n">
        <x:v>40.63816471534763</x:v>
      </x:c>
      <x:c r="H466" s="31" t="n">
        <x:v>-74.01757396996189</x:v>
      </x:c>
      <x:c r="I466" s="31" t="n">
        <x:v>5521</x:v>
      </x:c>
      <x:c r="J466" s="31" t="n">
        <x:v>78868.31745562317</x:v>
      </x:c>
      <x:c r="K466" s="31"/>
      <x:c r="L466" s="40"/>
      <x:c r="M466" s="40"/>
      <x:c r="N466" s="31" t="n">
        <x:v>386</x:v>
      </x:c>
      <x:c r="O466" s="31" t="n">
        <x:v>1552</x:v>
      </x:c>
      <x:c r="P466" s="31" t="n">
        <x:v>3.9162371134020617</x:v>
      </x:c>
      <x:c r="Q466" s="40" t="n">
        <x:v>0.10309278350515463</x:v>
      </x:c>
      <x:c r="R466" s="40" t="n">
        <x:v>0.5644329896907216</x:v>
      </x:c>
      <x:c r="S466" s="40" t="n">
        <x:v>0.0856958762886598</x:v>
      </x:c>
      <x:c r="T466" s="31" t="n">
        <x:v>45.42168804524484</x:v>
      </x:c>
      <x:c r="U466" s="31" t="n">
        <x:v>135</x:v>
      </x:c>
      <x:c r="V466" s="31" t="n">
        <x:v>13</x:v>
      </x:c>
      <x:c r="W466" s="31" t="n">
        <x:v>2.35464589748234</x:v>
      </x:c>
      <x:c r="X466" s="31" t="n">
        <x:v>3</x:v>
      </x:c>
      <x:c r="Y466" s="40" t="n">
        <x:v>0</x:v>
      </x:c>
      <x:c r="Z466" s="40" t="n">
        <x:v>1</x:v>
      </x:c>
      <x:c r="AA466" s="40" t="n">
        <x:v>1</x:v>
      </x:c>
      <x:c r="AB466" s="31" t="n">
        <x:v>0.17066459444658977</x:v>
      </x:c>
      <x:c r="AC466" s="31" t="n">
        <x:v>7</x:v>
      </x:c>
      <x:c r="AD466" s="44" t="b">
        <x:v>1</x:v>
      </x:c>
    </x:row>
    <x:row r="467">
      <x:c r="A467" s="31" t="str">
        <x:v>36047012600</x:v>
      </x:c>
      <x:c r="B467" s="31" t="str">
        <x:v>Brooklyn</x:v>
      </x:c>
      <x:c r="C467" s="31" t="str">
        <x:v>012600</x:v>
      </x:c>
      <x:c r="D467" s="31" t="str">
        <x:v>BK1001</x:v>
      </x:c>
      <x:c r="E467" s="31" t="str">
        <x:v>Bay Ridge</x:v>
      </x:c>
      <x:c r="F467" s="31" t="n">
        <x:v>0.0916047522289658</x:v>
      </x:c>
      <x:c r="G467" s="31" t="n">
        <x:v>40.63482260234418</x:v>
      </x:c>
      <x:c r="H467" s="31" t="n">
        <x:v>-74.01903902640842</x:v>
      </x:c>
      <x:c r="I467" s="31" t="n">
        <x:v>3085</x:v>
      </x:c>
      <x:c r="J467" s="31" t="n">
        <x:v>33677.292115686876</x:v>
      </x:c>
      <x:c r="K467" s="31"/>
      <x:c r="L467" s="40"/>
      <x:c r="M467" s="40"/>
      <x:c r="N467" s="31" t="n">
        <x:v>282</x:v>
      </x:c>
      <x:c r="O467" s="31" t="n">
        <x:v>895</x:v>
      </x:c>
      <x:c r="P467" s="31" t="n">
        <x:v>2.840223463687151</x:v>
      </x:c>
      <x:c r="Q467" s="40" t="n">
        <x:v>0</x:v>
      </x:c>
      <x:c r="R467" s="40" t="n">
        <x:v>0.6089385474860335</x:v>
      </x:c>
      <x:c r="S467" s="40" t="n">
        <x:v>0.004469273743016759</x:v>
      </x:c>
      <x:c r="T467" s="31" t="n">
        <x:v>34.37139055774302</x:v>
      </x:c>
      <x:c r="U467" s="31" t="n">
        <x:v>47.06</x:v>
      </x:c>
      <x:c r="V467" s="31" t="n">
        <x:v>1</x:v>
      </x:c>
      <x:c r="W467" s="31" t="n">
        <x:v>0.32414910858995133</x:v>
      </x:c>
      <x:c r="X467" s="31" t="n">
        <x:v>3</x:v>
      </x:c>
      <x:c r="Y467" s="40" t="n">
        <x:v>0</x:v>
      </x:c>
      <x:c r="Z467" s="40" t="n">
        <x:v>1</x:v>
      </x:c>
      <x:c r="AA467" s="40" t="n">
        <x:v>1</x:v>
      </x:c>
      <x:c r="AB467" s="31" t="n">
        <x:v>0.2620178939684522</x:v>
      </x:c>
      <x:c r="AC467" s="31" t="n">
        <x:v>9</x:v>
      </x:c>
      <x:c r="AD467" s="44" t="b">
        <x:v>1</x:v>
      </x:c>
    </x:row>
    <x:row r="468">
      <x:c r="A468" s="31" t="str">
        <x:v>36047012700</x:v>
      </x:c>
      <x:c r="B468" s="31" t="str">
        <x:v>Brooklyn</x:v>
      </x:c>
      <x:c r="C468" s="31" t="str">
        <x:v>012700</x:v>
      </x:c>
      <x:c r="D468" s="31" t="str">
        <x:v>BK0601</x:v>
      </x:c>
      <x:c r="E468" s="31" t="str">
        <x:v>Carroll Gardens-Cobble Hill-Gowanus-Red Hook</x:v>
      </x:c>
      <x:c r="F468" s="31" t="n">
        <x:v>0.06311269232595845</x:v>
      </x:c>
      <x:c r="G468" s="31" t="n">
        <x:v>40.6817465718342</x:v>
      </x:c>
      <x:c r="H468" s="31" t="n">
        <x:v>-73.9828517204327</x:v>
      </x:c>
      <x:c r="I468" s="31" t="n">
        <x:v>4036</x:v>
      </x:c>
      <x:c r="J468" s="31" t="n">
        <x:v>63949.10201509468</x:v>
      </x:c>
      <x:c r="K468" s="31"/>
      <x:c r="L468" s="40"/>
      <x:c r="M468" s="40"/>
      <x:c r="N468" s="31" t="n">
        <x:v>130</x:v>
      </x:c>
      <x:c r="O468" s="31" t="n">
        <x:v>2756</x:v>
      </x:c>
      <x:c r="P468" s="31" t="n">
        <x:v>11.62844702467344</x:v>
      </x:c>
      <x:c r="Q468" s="40" t="n">
        <x:v>0.601233671988389</x:v>
      </x:c>
      <x:c r="R468" s="40" t="n">
        <x:v>0.3940493468795356</x:v>
      </x:c>
      <x:c r="S468" s="40" t="n">
        <x:v>0.32982583454281567</x:v>
      </x:c>
      <x:c r="T468" s="31" t="n">
        <x:v>110.04724188052928</x:v>
      </x:c>
      <x:c r="U468" s="31" t="n">
        <x:v>184.68</x:v>
      </x:c>
      <x:c r="V468" s="31" t="n">
        <x:v>43</x:v>
      </x:c>
      <x:c r="W468" s="31" t="n">
        <x:v>10.654112983151634</x:v>
      </x:c>
      <x:c r="X468" s="31" t="n">
        <x:v>2</x:v>
      </x:c>
      <x:c r="Y468" s="40" t="n">
        <x:v>0</x:v>
      </x:c>
      <x:c r="Z468" s="40" t="n">
        <x:v>1</x:v>
      </x:c>
      <x:c r="AA468" s="40" t="n">
        <x:v>0.9666182873730044</x:v>
      </x:c>
      <x:c r="AB468" s="31" t="n">
        <x:v>0.08774041096156618</x:v>
      </x:c>
      <x:c r="AC468" s="31" t="n">
        <x:v>6</x:v>
      </x:c>
      <x:c r="AD468" s="44" t="b">
        <x:v>1</x:v>
      </x:c>
    </x:row>
    <x:row r="469">
      <x:c r="A469" s="31" t="str">
        <x:v>36047012801</x:v>
      </x:c>
      <x:c r="B469" s="31" t="str">
        <x:v>Brooklyn</x:v>
      </x:c>
      <x:c r="C469" s="31" t="str">
        <x:v>012801</x:v>
      </x:c>
      <x:c r="D469" s="31" t="str">
        <x:v>BK1002</x:v>
      </x:c>
      <x:c r="E469" s="31" t="str">
        <x:v>Dyker Heights</x:v>
      </x:c>
      <x:c r="F469" s="31" t="n">
        <x:v>0.04441928839997991</x:v>
      </x:c>
      <x:c r="G469" s="31" t="n">
        <x:v>40.63080173010274</x:v>
      </x:c>
      <x:c r="H469" s="31" t="n">
        <x:v>-74.01330346675525</x:v>
      </x:c>
      <x:c r="I469" s="31" t="n">
        <x:v>2567</x:v>
      </x:c>
      <x:c r="J469" s="31" t="n">
        <x:v>57790.209894518724</x:v>
      </x:c>
      <x:c r="K469" s="31"/>
      <x:c r="L469" s="40"/>
      <x:c r="M469" s="40"/>
      <x:c r="N469" s="31" t="n">
        <x:v>209</x:v>
      </x:c>
      <x:c r="O469" s="31" t="n">
        <x:v>694</x:v>
      </x:c>
      <x:c r="P469" s="31" t="n">
        <x:v>3.422190201729107</x:v>
      </x:c>
      <x:c r="Q469" s="40" t="n">
        <x:v>0</x:v>
      </x:c>
      <x:c r="R469" s="40" t="n">
        <x:v>0.5835734870317003</x:v>
      </x:c>
      <x:c r="S469" s="40" t="n">
        <x:v>0</x:v>
      </x:c>
      <x:c r="T469" s="31" t="n">
        <x:v>40.88244219653179</x:v>
      </x:c>
      <x:c r="U469" s="31" t="n">
        <x:v>66.99</x:v>
      </x:c>
      <x:c r="V469" s="31" t="n">
        <x:v>3</x:v>
      </x:c>
      <x:c r="W469" s="31" t="n">
        <x:v>1.168679392286716</x:v>
      </x:c>
      <x:c r="X469" s="31" t="n">
        <x:v>3.015850144092219</x:v>
      </x:c>
      <x:c r="Y469" s="40" t="n">
        <x:v>0.01585014409221902</x:v>
      </x:c>
      <x:c r="Z469" s="40" t="n">
        <x:v>1</x:v>
      </x:c>
      <x:c r="AA469" s="40" t="n">
        <x:v>0.9971181556195965</x:v>
      </x:c>
      <x:c r="AB469" s="31" t="n">
        <x:v>0.13473199626384066</x:v>
      </x:c>
      <x:c r="AC469" s="31" t="n">
        <x:v>7</x:v>
      </x:c>
      <x:c r="AD469" s="44" t="b">
        <x:v>1</x:v>
      </x:c>
    </x:row>
    <x:row r="470">
      <x:c r="A470" s="31" t="str">
        <x:v>36047012901</x:v>
      </x:c>
      <x:c r="B470" s="31" t="str">
        <x:v>Brooklyn</x:v>
      </x:c>
      <x:c r="C470" s="31" t="str">
        <x:v>012901</x:v>
      </x:c>
      <x:c r="D470" s="31" t="str">
        <x:v>BK0602</x:v>
      </x:c>
      <x:c r="E470" s="31" t="str">
        <x:v>Park Slope</x:v>
      </x:c>
      <x:c r="F470" s="31" t="n">
        <x:v>0.050101175042326675</x:v>
      </x:c>
      <x:c r="G470" s="31" t="n">
        <x:v>40.681629986718534</x:v>
      </x:c>
      <x:c r="H470" s="31" t="n">
        <x:v>-73.97865569008671</x:v>
      </x:c>
      <x:c r="I470" s="31" t="n">
        <x:v>2333</x:v>
      </x:c>
      <x:c r="J470" s="31" t="n">
        <x:v>46565.77411665546</x:v>
      </x:c>
      <x:c r="K470" s="31"/>
      <x:c r="L470" s="40"/>
      <x:c r="M470" s="40"/>
      <x:c r="N470" s="31" t="n">
        <x:v>290</x:v>
      </x:c>
      <x:c r="O470" s="31" t="n">
        <x:v>1642</x:v>
      </x:c>
      <x:c r="P470" s="31" t="n">
        <x:v>7.393412057178372</x:v>
      </x:c>
      <x:c r="Q470" s="40" t="n">
        <x:v>0.26370280146163216</x:v>
      </x:c>
      <x:c r="R470" s="40" t="n">
        <x:v>0.6711327649208283</x:v>
      </x:c>
      <x:c r="S470" s="40" t="n">
        <x:v>0.029232643118148598</x:v>
      </x:c>
      <x:c r="T470" s="31" t="n">
        <x:v>75.01126882252625</x:v>
      </x:c>
      <x:c r="U470" s="31" t="n">
        <x:v>194</x:v>
      </x:c>
      <x:c r="V470" s="31" t="n">
        <x:v>27</x:v>
      </x:c>
      <x:c r="W470" s="31" t="n">
        <x:v>11.573081868838404</x:v>
      </x:c>
      <x:c r="X470" s="31" t="n">
        <x:v>2</x:v>
      </x:c>
      <x:c r="Y470" s="40" t="n">
        <x:v>0</x:v>
      </x:c>
      <x:c r="Z470" s="40" t="n">
        <x:v>1</x:v>
      </x:c>
      <x:c r="AA470" s="40" t="n">
        <x:v>0.9859926918392204</x:v>
      </x:c>
      <x:c r="AB470" s="31" t="n">
        <x:v>0.12564005261744185</x:v>
      </x:c>
      <x:c r="AC470" s="31" t="n">
        <x:v>5</x:v>
      </x:c>
      <x:c r="AD470" s="44" t="b">
        <x:v>1</x:v>
      </x:c>
    </x:row>
    <x:row r="471">
      <x:c r="A471" s="31" t="str">
        <x:v>36047012902</x:v>
      </x:c>
      <x:c r="B471" s="31" t="str">
        <x:v>Brooklyn</x:v>
      </x:c>
      <x:c r="C471" s="31" t="str">
        <x:v>012902</x:v>
      </x:c>
      <x:c r="D471" s="31" t="str">
        <x:v>BK0602</x:v>
      </x:c>
      <x:c r="E471" s="31" t="str">
        <x:v>Park Slope</x:v>
      </x:c>
      <x:c r="F471" s="31" t="n">
        <x:v>0.0524275773997073</x:v>
      </x:c>
      <x:c r="G471" s="31" t="n">
        <x:v>40.680933177470315</x:v>
      </x:c>
      <x:c r="H471" s="31" t="n">
        <x:v>-73.97605475561423</x:v>
      </x:c>
      <x:c r="I471" s="31" t="n">
        <x:v>3318</x:v>
      </x:c>
      <x:c r="J471" s="31" t="n">
        <x:v>63287.30344916766</x:v>
      </x:c>
      <x:c r="K471" s="31"/>
      <x:c r="L471" s="40"/>
      <x:c r="M471" s="40"/>
      <x:c r="N471" s="31" t="n">
        <x:v>299</x:v>
      </x:c>
      <x:c r="O471" s="31" t="n">
        <x:v>2538</x:v>
      </x:c>
      <x:c r="P471" s="31" t="n">
        <x:v>25.371946414499607</x:v>
      </x:c>
      <x:c r="Q471" s="40" t="n">
        <x:v>0.6004728132387707</x:v>
      </x:c>
      <x:c r="R471" s="40" t="n">
        <x:v>0.3814026792750197</x:v>
      </x:c>
      <x:c r="S471" s="40" t="n">
        <x:v>0</x:v>
      </x:c>
      <x:c r="T471" s="31" t="n">
        <x:v>266.7171984155345</x:v>
      </x:c>
      <x:c r="U471" s="31" t="n">
        <x:v>511</x:v>
      </x:c>
      <x:c r="V471" s="31" t="n">
        <x:v>20</x:v>
      </x:c>
      <x:c r="W471" s="31" t="n">
        <x:v>6.027727546714889</x:v>
      </x:c>
      <x:c r="X471" s="31" t="n">
        <x:v>2</x:v>
      </x:c>
      <x:c r="Y471" s="40" t="n">
        <x:v>0</x:v>
      </x:c>
      <x:c r="Z471" s="40" t="n">
        <x:v>1</x:v>
      </x:c>
      <x:c r="AA471" s="40" t="n">
        <x:v>0.9988179669030733</x:v>
      </x:c>
      <x:c r="AB471" s="31" t="n">
        <x:v>0.13294591234971836</x:v>
      </x:c>
      <x:c r="AC471" s="31" t="n">
        <x:v>6</x:v>
      </x:c>
      <x:c r="AD471" s="44" t="b">
        <x:v>1</x:v>
      </x:c>
    </x:row>
    <x:row r="472">
      <x:c r="A472" s="31" t="str">
        <x:v>36047013000</x:v>
      </x:c>
      <x:c r="B472" s="31" t="str">
        <x:v>Brooklyn</x:v>
      </x:c>
      <x:c r="C472" s="31" t="str">
        <x:v>013000</x:v>
      </x:c>
      <x:c r="D472" s="31" t="str">
        <x:v>BK1001</x:v>
      </x:c>
      <x:c r="E472" s="31" t="str">
        <x:v>Bay Ridge</x:v>
      </x:c>
      <x:c r="F472" s="31" t="n">
        <x:v>0.06812376278552572</x:v>
      </x:c>
      <x:c r="G472" s="31" t="n">
        <x:v>40.632587380445926</x:v>
      </x:c>
      <x:c r="H472" s="31" t="n">
        <x:v>-74.0213841299239</x:v>
      </x:c>
      <x:c r="I472" s="31" t="n">
        <x:v>5347</x:v>
      </x:c>
      <x:c r="J472" s="31" t="n">
        <x:v>78489.49883807768</x:v>
      </x:c>
      <x:c r="K472" s="31"/>
      <x:c r="L472" s="40"/>
      <x:c r="M472" s="40"/>
      <x:c r="N472" s="31" t="n">
        <x:v>467</x:v>
      </x:c>
      <x:c r="O472" s="31" t="n">
        <x:v>1852</x:v>
      </x:c>
      <x:c r="P472" s="31" t="n">
        <x:v>3.539730021598272</x:v>
      </x:c>
      <x:c r="Q472" s="40" t="n">
        <x:v>0</x:v>
      </x:c>
      <x:c r="R472" s="40" t="n">
        <x:v>0.7327213822894169</x:v>
      </x:c>
      <x:c r="S472" s="40" t="n">
        <x:v>0</x:v>
      </x:c>
      <x:c r="T472" s="31" t="n">
        <x:v>42.18372975024298</x:v>
      </x:c>
      <x:c r="U472" s="31" t="n">
        <x:v>68.73893612</x:v>
      </x:c>
      <x:c r="V472" s="31" t="n">
        <x:v>10</x:v>
      </x:c>
      <x:c r="W472" s="31" t="n">
        <x:v>1.8702075930428277</x:v>
      </x:c>
      <x:c r="X472" s="31" t="n">
        <x:v>2.251619870410367</x:v>
      </x:c>
      <x:c r="Y472" s="40" t="n">
        <x:v>0</x:v>
      </x:c>
      <x:c r="Z472" s="40" t="n">
        <x:v>1</x:v>
      </x:c>
      <x:c r="AA472" s="40" t="n">
        <x:v>1</x:v>
      </x:c>
      <x:c r="AB472" s="31" t="n">
        <x:v>0.17218624440928645</x:v>
      </x:c>
      <x:c r="AC472" s="31" t="n">
        <x:v>4</x:v>
      </x:c>
      <x:c r="AD472" s="44" t="b">
        <x:v>1</x:v>
      </x:c>
    </x:row>
    <x:row r="473">
      <x:c r="A473" s="31" t="str">
        <x:v>36047013100</x:v>
      </x:c>
      <x:c r="B473" s="31" t="str">
        <x:v>Brooklyn</x:v>
      </x:c>
      <x:c r="C473" s="31" t="str">
        <x:v>013100</x:v>
      </x:c>
      <x:c r="D473" s="31" t="str">
        <x:v>BK0602</x:v>
      </x:c>
      <x:c r="E473" s="31" t="str">
        <x:v>Park Slope</x:v>
      </x:c>
      <x:c r="F473" s="31" t="n">
        <x:v>0.06029876858714991</x:v>
      </x:c>
      <x:c r="G473" s="31" t="n">
        <x:v>40.677713375332026</x:v>
      </x:c>
      <x:c r="H473" s="31" t="n">
        <x:v>-73.97960617141172</x:v>
      </x:c>
      <x:c r="I473" s="31" t="n">
        <x:v>3979</x:v>
      </x:c>
      <x:c r="J473" s="31" t="n">
        <x:v>65988.08057330632</x:v>
      </x:c>
      <x:c r="K473" s="31"/>
      <x:c r="L473" s="40"/>
      <x:c r="M473" s="40"/>
      <x:c r="N473" s="31" t="n">
        <x:v>471</x:v>
      </x:c>
      <x:c r="O473" s="31" t="n">
        <x:v>1944</x:v>
      </x:c>
      <x:c r="P473" s="31" t="n">
        <x:v>3.696493982208268</x:v>
      </x:c>
      <x:c r="Q473" s="40" t="n">
        <x:v>0.026748971193415638</x:v>
      </x:c>
      <x:c r="R473" s="40" t="n">
        <x:v>0.8914609053497943</x:v>
      </x:c>
      <x:c r="S473" s="40" t="n">
        <x:v>0.01748971193415638</x:v>
      </x:c>
      <x:c r="T473" s="31" t="n">
        <x:v>44.93353138754132</x:v>
      </x:c>
      <x:c r="U473" s="31" t="n">
        <x:v>120</x:v>
      </x:c>
      <x:c r="V473" s="31" t="n">
        <x:v>12</x:v>
      </x:c>
      <x:c r="W473" s="31" t="n">
        <x:v>3.0158331239004776</x:v>
      </x:c>
      <x:c r="X473" s="31" t="n">
        <x:v>1.8621399176954732</x:v>
      </x:c>
      <x:c r="Y473" s="40" t="n">
        <x:v>0</x:v>
      </x:c>
      <x:c r="Z473" s="40" t="n">
        <x:v>1</x:v>
      </x:c>
      <x:c r="AA473" s="40" t="n">
        <x:v>0.9958847736625515</x:v>
      </x:c>
      <x:c r="AB473" s="31" t="n">
        <x:v>0.12026424428688791</x:v>
      </x:c>
      <x:c r="AC473" s="31" t="n">
        <x:v>8</x:v>
      </x:c>
      <x:c r="AD473" s="44" t="b">
        <x:v>1</x:v>
      </x:c>
    </x:row>
    <x:row r="474">
      <x:c r="A474" s="31" t="str">
        <x:v>36047013200</x:v>
      </x:c>
      <x:c r="B474" s="31" t="str">
        <x:v>Brooklyn</x:v>
      </x:c>
      <x:c r="C474" s="31" t="str">
        <x:v>013200</x:v>
      </x:c>
      <x:c r="D474" s="31" t="str">
        <x:v>BK1002</x:v>
      </x:c>
      <x:c r="E474" s="31" t="str">
        <x:v>Dyker Heights</x:v>
      </x:c>
      <x:c r="F474" s="31" t="n">
        <x:v>0.060138449192564856</x:v>
      </x:c>
      <x:c r="G474" s="31" t="n">
        <x:v>40.627973055884084</x:v>
      </x:c>
      <x:c r="H474" s="31" t="n">
        <x:v>-74.01567057404355</x:v>
      </x:c>
      <x:c r="I474" s="31" t="n">
        <x:v>2870</x:v>
      </x:c>
      <x:c r="J474" s="31" t="n">
        <x:v>47723.21266233831</x:v>
      </x:c>
      <x:c r="K474" s="31"/>
      <x:c r="L474" s="40"/>
      <x:c r="M474" s="40"/>
      <x:c r="N474" s="31" t="n">
        <x:v>306</x:v>
      </x:c>
      <x:c r="O474" s="31" t="n">
        <x:v>767</x:v>
      </x:c>
      <x:c r="P474" s="31" t="n">
        <x:v>2.5369281045751633</x:v>
      </x:c>
      <x:c r="Q474" s="40" t="n">
        <x:v>0</x:v>
      </x:c>
      <x:c r="R474" s="40" t="n">
        <x:v>0.36766623207301175</x:v>
      </x:c>
      <x:c r="S474" s="40" t="n">
        <x:v>0</x:v>
      </x:c>
      <x:c r="T474" s="31" t="n">
        <x:v>31.638775802326798</x:v>
      </x:c>
      <x:c r="U474" s="31" t="n">
        <x:v>45.29</x:v>
      </x:c>
      <x:c r="V474" s="31" t="n">
        <x:v>1</x:v>
      </x:c>
      <x:c r="W474" s="31" t="n">
        <x:v>0.34843205574912894</x:v>
      </x:c>
      <x:c r="X474" s="31" t="n">
        <x:v>3</x:v>
      </x:c>
      <x:c r="Y474" s="40" t="n">
        <x:v>0</x:v>
      </x:c>
      <x:c r="Z474" s="40" t="n">
        <x:v>1</x:v>
      </x:c>
      <x:c r="AA474" s="40" t="n">
        <x:v>0.9973924380704041</x:v>
      </x:c>
      <x:c r="AB474" s="31" t="n">
        <x:v>0.12962553376287045</x:v>
      </x:c>
      <x:c r="AC474" s="31" t="n">
        <x:v>8</x:v>
      </x:c>
      <x:c r="AD474" s="44" t="b">
        <x:v>1</x:v>
      </x:c>
    </x:row>
    <x:row r="475">
      <x:c r="A475" s="31" t="str">
        <x:v>36047013300</x:v>
      </x:c>
      <x:c r="B475" s="31" t="str">
        <x:v>Brooklyn</x:v>
      </x:c>
      <x:c r="C475" s="31" t="str">
        <x:v>013300</x:v>
      </x:c>
      <x:c r="D475" s="31" t="str">
        <x:v>BK0602</x:v>
      </x:c>
      <x:c r="E475" s="31" t="str">
        <x:v>Park Slope</x:v>
      </x:c>
      <x:c r="F475" s="31" t="n">
        <x:v>0.057254594370910815</x:v>
      </x:c>
      <x:c r="G475" s="31" t="n">
        <x:v>40.675180920179585</x:v>
      </x:c>
      <x:c r="H475" s="31" t="n">
        <x:v>-73.98130753929568</x:v>
      </x:c>
      <x:c r="I475" s="31" t="n">
        <x:v>4411</x:v>
      </x:c>
      <x:c r="J475" s="31" t="n">
        <x:v>77041.85224725101</x:v>
      </x:c>
      <x:c r="K475" s="31"/>
      <x:c r="L475" s="40"/>
      <x:c r="M475" s="40"/>
      <x:c r="N475" s="31" t="n">
        <x:v>464</x:v>
      </x:c>
      <x:c r="O475" s="31" t="n">
        <x:v>2137</x:v>
      </x:c>
      <x:c r="P475" s="31" t="n">
        <x:v>4.314742014742015</x:v>
      </x:c>
      <x:c r="Q475" s="40" t="n">
        <x:v>0.08423022929340196</x:v>
      </x:c>
      <x:c r="R475" s="40" t="n">
        <x:v>0.7243799719232569</x:v>
      </x:c>
      <x:c r="S475" s="40" t="n">
        <x:v>0.004211511464670099</x:v>
      </x:c>
      <x:c r="T475" s="31" t="n">
        <x:v>53.919267524449786</x:v>
      </x:c>
      <x:c r="U475" s="31" t="n">
        <x:v>147.87849421</x:v>
      </x:c>
      <x:c r="V475" s="31" t="n">
        <x:v>29</x:v>
      </x:c>
      <x:c r="W475" s="31" t="n">
        <x:v>6.574472908637497</x:v>
      </x:c>
      <x:c r="X475" s="31" t="n">
        <x:v>1</x:v>
      </x:c>
      <x:c r="Y475" s="40" t="n">
        <x:v>0</x:v>
      </x:c>
      <x:c r="Z475" s="40" t="n">
        <x:v>1</x:v>
      </x:c>
      <x:c r="AA475" s="40" t="n">
        <x:v>0.9737950397753861</x:v>
      </x:c>
      <x:c r="AB475" s="31" t="n">
        <x:v>0.20999456574998646</x:v>
      </x:c>
      <x:c r="AC475" s="31" t="n">
        <x:v>6</x:v>
      </x:c>
      <x:c r="AD475" s="44" t="b">
        <x:v>1</x:v>
      </x:c>
    </x:row>
    <x:row r="476">
      <x:c r="A476" s="31" t="str">
        <x:v>36047013400</x:v>
      </x:c>
      <x:c r="B476" s="31" t="str">
        <x:v>Brooklyn</x:v>
      </x:c>
      <x:c r="C476" s="31" t="str">
        <x:v>013400</x:v>
      </x:c>
      <x:c r="D476" s="31" t="str">
        <x:v>BK1001</x:v>
      </x:c>
      <x:c r="E476" s="31" t="str">
        <x:v>Bay Ridge</x:v>
      </x:c>
      <x:c r="F476" s="31" t="n">
        <x:v>0.10341905134512741</x:v>
      </x:c>
      <x:c r="G476" s="31" t="n">
        <x:v>40.629523350776694</x:v>
      </x:c>
      <x:c r="H476" s="31" t="n">
        <x:v>-74.02026898870547</x:v>
      </x:c>
      <x:c r="I476" s="31" t="n">
        <x:v>4212</x:v>
      </x:c>
      <x:c r="J476" s="31" t="n">
        <x:v>40727.5056695678</x:v>
      </x:c>
      <x:c r="K476" s="31"/>
      <x:c r="L476" s="40"/>
      <x:c r="M476" s="40"/>
      <x:c r="N476" s="31" t="n">
        <x:v>620</x:v>
      </x:c>
      <x:c r="O476" s="31" t="n">
        <x:v>1576</x:v>
      </x:c>
      <x:c r="P476" s="31" t="n">
        <x:v>2.868972081218274</x:v>
      </x:c>
      <x:c r="Q476" s="40" t="n">
        <x:v>0</x:v>
      </x:c>
      <x:c r="R476" s="40" t="n">
        <x:v>0.3762690355329949</x:v>
      </x:c>
      <x:c r="S476" s="40" t="n">
        <x:v>0.0133248730964467</x:v>
      </x:c>
      <x:c r="T476" s="31" t="n">
        <x:v>35.05584629786396</x:v>
      </x:c>
      <x:c r="U476" s="31" t="n">
        <x:v>65.22</x:v>
      </x:c>
      <x:c r="V476" s="31" t="n">
        <x:v>12</x:v>
      </x:c>
      <x:c r="W476" s="31" t="n">
        <x:v>2.849002849002849</x:v>
      </x:c>
      <x:c r="X476" s="31" t="n">
        <x:v>2.0241116751269037</x:v>
      </x:c>
      <x:c r="Y476" s="40" t="n">
        <x:v>0</x:v>
      </x:c>
      <x:c r="Z476" s="40" t="n">
        <x:v>1</x:v>
      </x:c>
      <x:c r="AA476" s="40" t="n">
        <x:v>0.9980964467005076</x:v>
      </x:c>
      <x:c r="AB476" s="31" t="n">
        <x:v>0.09917009130651505</x:v>
      </x:c>
      <x:c r="AC476" s="31" t="n">
        <x:v>7</x:v>
      </x:c>
      <x:c r="AD476" s="44" t="b">
        <x:v>1</x:v>
      </x:c>
    </x:row>
    <x:row r="477">
      <x:c r="A477" s="31" t="str">
        <x:v>36047013500</x:v>
      </x:c>
      <x:c r="B477" s="31" t="str">
        <x:v>Brooklyn</x:v>
      </x:c>
      <x:c r="C477" s="31" t="str">
        <x:v>013500</x:v>
      </x:c>
      <x:c r="D477" s="31" t="str">
        <x:v>BK0602</x:v>
      </x:c>
      <x:c r="E477" s="31" t="str">
        <x:v>Park Slope</x:v>
      </x:c>
      <x:c r="F477" s="31" t="n">
        <x:v>0.058658350606204085</x:v>
      </x:c>
      <x:c r="G477" s="31" t="n">
        <x:v>40.67281186185695</x:v>
      </x:c>
      <x:c r="H477" s="31" t="n">
        <x:v>-73.98331377222101</x:v>
      </x:c>
      <x:c r="I477" s="31" t="n">
        <x:v>3799</x:v>
      </x:c>
      <x:c r="J477" s="31" t="n">
        <x:v>64764.86230416089</x:v>
      </x:c>
      <x:c r="K477" s="31"/>
      <x:c r="L477" s="40"/>
      <x:c r="M477" s="40"/>
      <x:c r="N477" s="31" t="n">
        <x:v>338</x:v>
      </x:c>
      <x:c r="O477" s="31" t="n">
        <x:v>1659</x:v>
      </x:c>
      <x:c r="P477" s="31" t="n">
        <x:v>4.649382716049383</x:v>
      </x:c>
      <x:c r="Q477" s="40" t="n">
        <x:v>0.10849909584086799</x:v>
      </x:c>
      <x:c r="R477" s="40" t="n">
        <x:v>0.7576853526220615</x:v>
      </x:c>
      <x:c r="S477" s="40" t="n">
        <x:v>0.039783001808318265</x:v>
      </x:c>
      <x:c r="T477" s="31" t="n">
        <x:v>55.91165360412794</x:v>
      </x:c>
      <x:c r="U477" s="31" t="n">
        <x:v>133</x:v>
      </x:c>
      <x:c r="V477" s="31" t="n">
        <x:v>24</x:v>
      </x:c>
      <x:c r="W477" s="31" t="n">
        <x:v>6.317451961042379</x:v>
      </x:c>
      <x:c r="X477" s="31" t="n">
        <x:v>1</x:v>
      </x:c>
      <x:c r="Y477" s="40" t="n">
        <x:v>0</x:v>
      </x:c>
      <x:c r="Z477" s="40" t="n">
        <x:v>1</x:v>
      </x:c>
      <x:c r="AA477" s="40" t="n">
        <x:v>0.9987944544906571</x:v>
      </x:c>
      <x:c r="AB477" s="31" t="n">
        <x:v>0.07993630793816811</x:v>
      </x:c>
      <x:c r="AC477" s="31" t="n">
        <x:v>6</x:v>
      </x:c>
      <x:c r="AD477" s="44" t="b">
        <x:v>1</x:v>
      </x:c>
    </x:row>
    <x:row r="478">
      <x:c r="A478" s="31" t="str">
        <x:v>36047013600</x:v>
      </x:c>
      <x:c r="B478" s="31" t="str">
        <x:v>Brooklyn</x:v>
      </x:c>
      <x:c r="C478" s="31" t="str">
        <x:v>013600</x:v>
      </x:c>
      <x:c r="D478" s="31" t="str">
        <x:v>BK1001</x:v>
      </x:c>
      <x:c r="E478" s="31" t="str">
        <x:v>Bay Ridge</x:v>
      </x:c>
      <x:c r="F478" s="31" t="n">
        <x:v>0.0829228117675333</x:v>
      </x:c>
      <x:c r="G478" s="31" t="n">
        <x:v>40.626897581082716</x:v>
      </x:c>
      <x:c r="H478" s="31" t="n">
        <x:v>-74.02258025183662</x:v>
      </x:c>
      <x:c r="I478" s="31" t="n">
        <x:v>4079</x:v>
      </x:c>
      <x:c r="J478" s="31" t="n">
        <x:v>49190.32426728501</x:v>
      </x:c>
      <x:c r="K478" s="31"/>
      <x:c r="L478" s="40"/>
      <x:c r="M478" s="40"/>
      <x:c r="N478" s="31" t="n">
        <x:v>585</x:v>
      </x:c>
      <x:c r="O478" s="31" t="n">
        <x:v>1695</x:v>
      </x:c>
      <x:c r="P478" s="31" t="n">
        <x:v>3.302654867256637</x:v>
      </x:c>
      <x:c r="Q478" s="40" t="n">
        <x:v>0</x:v>
      </x:c>
      <x:c r="R478" s="40" t="n">
        <x:v>0.6176991150442478</x:v>
      </x:c>
      <x:c r="S478" s="40" t="n">
        <x:v>0.0011799410029498525</x:v>
      </x:c>
      <x:c r="T478" s="31" t="n">
        <x:v>39.146457944040165</x:v>
      </x:c>
      <x:c r="U478" s="31" t="n">
        <x:v>66.88</x:v>
      </x:c>
      <x:c r="V478" s="31" t="n">
        <x:v>10</x:v>
      </x:c>
      <x:c r="W478" s="31" t="n">
        <x:v>2.4515812699190977</x:v>
      </x:c>
      <x:c r="X478" s="31" t="n">
        <x:v>2</x:v>
      </x:c>
      <x:c r="Y478" s="40" t="n">
        <x:v>0</x:v>
      </x:c>
      <x:c r="Z478" s="40" t="n">
        <x:v>1</x:v>
      </x:c>
      <x:c r="AA478" s="40" t="n">
        <x:v>0.9988200589970502</x:v>
      </x:c>
      <x:c r="AB478" s="31" t="n">
        <x:v>0.29994837396986634</x:v>
      </x:c>
      <x:c r="AC478" s="31" t="n">
        <x:v>7</x:v>
      </x:c>
      <x:c r="AD478" s="44" t="b">
        <x:v>1</x:v>
      </x:c>
    </x:row>
    <x:row r="479">
      <x:c r="A479" s="31" t="str">
        <x:v>36047013700</x:v>
      </x:c>
      <x:c r="B479" s="31" t="str">
        <x:v>Brooklyn</x:v>
      </x:c>
      <x:c r="C479" s="31" t="str">
        <x:v>013700</x:v>
      </x:c>
      <x:c r="D479" s="31" t="str">
        <x:v>BK0602</x:v>
      </x:c>
      <x:c r="E479" s="31" t="str">
        <x:v>Park Slope</x:v>
      </x:c>
      <x:c r="F479" s="31" t="n">
        <x:v>0.05876829281988923</x:v>
      </x:c>
      <x:c r="G479" s="31" t="n">
        <x:v>40.67039802059171</x:v>
      </x:c>
      <x:c r="H479" s="31" t="n">
        <x:v>-73.98532311473488</x:v>
      </x:c>
      <x:c r="I479" s="31" t="n">
        <x:v>3406</x:v>
      </x:c>
      <x:c r="J479" s="31" t="n">
        <x:v>57956.42235922312</x:v>
      </x:c>
      <x:c r="K479" s="31"/>
      <x:c r="L479" s="40"/>
      <x:c r="M479" s="40"/>
      <x:c r="N479" s="31" t="n">
        <x:v>413</x:v>
      </x:c>
      <x:c r="O479" s="31" t="n">
        <x:v>1691</x:v>
      </x:c>
      <x:c r="P479" s="31" t="n">
        <x:v>4.141848523748395</x:v>
      </x:c>
      <x:c r="Q479" s="40" t="n">
        <x:v>0.09166173861620343</x:v>
      </x:c>
      <x:c r="R479" s="40" t="n">
        <x:v>0.6469544648137197</x:v>
      </x:c>
      <x:c r="S479" s="40" t="n">
        <x:v>0</x:v>
      </x:c>
      <x:c r="T479" s="31" t="n">
        <x:v>56.25706302888955</x:v>
      </x:c>
      <x:c r="U479" s="31" t="n">
        <x:v>143</x:v>
      </x:c>
      <x:c r="V479" s="31" t="n">
        <x:v>19</x:v>
      </x:c>
      <x:c r="W479" s="31" t="n">
        <x:v>5.578391074574281</x:v>
      </x:c>
      <x:c r="X479" s="31" t="n">
        <x:v>1</x:v>
      </x:c>
      <x:c r="Y479" s="40" t="n">
        <x:v>0</x:v>
      </x:c>
      <x:c r="Z479" s="40" t="n">
        <x:v>1</x:v>
      </x:c>
      <x:c r="AA479" s="40" t="n">
        <x:v>0.9958604376108812</x:v>
      </x:c>
      <x:c r="AB479" s="31" t="n">
        <x:v>0.13085593945811144</x:v>
      </x:c>
      <x:c r="AC479" s="31" t="n">
        <x:v>7</x:v>
      </x:c>
      <x:c r="AD479" s="44" t="b">
        <x:v>1</x:v>
      </x:c>
    </x:row>
    <x:row r="480">
      <x:c r="A480" s="31" t="str">
        <x:v>36047013800</x:v>
      </x:c>
      <x:c r="B480" s="31" t="str">
        <x:v>Brooklyn</x:v>
      </x:c>
      <x:c r="C480" s="31" t="str">
        <x:v>013800</x:v>
      </x:c>
      <x:c r="D480" s="31" t="str">
        <x:v>BK1001</x:v>
      </x:c>
      <x:c r="E480" s="31" t="str">
        <x:v>Bay Ridge</x:v>
      </x:c>
      <x:c r="F480" s="31" t="n">
        <x:v>0.06294425933590163</x:v>
      </x:c>
      <x:c r="G480" s="31" t="n">
        <x:v>40.62431793787146</x:v>
      </x:c>
      <x:c r="H480" s="31" t="n">
        <x:v>-74.02551807817689</x:v>
      </x:c>
      <x:c r="I480" s="31" t="n">
        <x:v>3247</x:v>
      </x:c>
      <x:c r="J480" s="31" t="n">
        <x:v>51585.323812810406</x:v>
      </x:c>
      <x:c r="K480" s="31"/>
      <x:c r="L480" s="40"/>
      <x:c r="M480" s="40"/>
      <x:c r="N480" s="31" t="n">
        <x:v>432</x:v>
      </x:c>
      <x:c r="O480" s="31" t="n">
        <x:v>1382</x:v>
      </x:c>
      <x:c r="P480" s="31" t="n">
        <x:v>3.5267727930535457</x:v>
      </x:c>
      <x:c r="Q480" s="40" t="n">
        <x:v>0</x:v>
      </x:c>
      <x:c r="R480" s="40" t="n">
        <x:v>0.597684515195369</x:v>
      </x:c>
      <x:c r="S480" s="40" t="n">
        <x:v>0.005065123010130246</x:v>
      </x:c>
      <x:c r="T480" s="31" t="n">
        <x:v>40.70667404543541</x:v>
      </x:c>
      <x:c r="U480" s="31" t="n">
        <x:v>67.1747729</x:v>
      </x:c>
      <x:c r="V480" s="31" t="n">
        <x:v>7</x:v>
      </x:c>
      <x:c r="W480" s="31" t="n">
        <x:v>2.1558361564521094</x:v>
      </x:c>
      <x:c r="X480" s="31" t="n">
        <x:v>2</x:v>
      </x:c>
      <x:c r="Y480" s="40" t="n">
        <x:v>0</x:v>
      </x:c>
      <x:c r="Z480" s="40" t="n">
        <x:v>1</x:v>
      </x:c>
      <x:c r="AA480" s="40" t="n">
        <x:v>0.9971056439942113</x:v>
      </x:c>
      <x:c r="AB480" s="31" t="n">
        <x:v>0.314210500365493</x:v>
      </x:c>
      <x:c r="AC480" s="31" t="n">
        <x:v>7</x:v>
      </x:c>
      <x:c r="AD480" s="44" t="b">
        <x:v>1</x:v>
      </x:c>
    </x:row>
    <x:row r="481">
      <x:c r="A481" s="31" t="str">
        <x:v>36047013900</x:v>
      </x:c>
      <x:c r="B481" s="31" t="str">
        <x:v>Brooklyn</x:v>
      </x:c>
      <x:c r="C481" s="31" t="str">
        <x:v>013900</x:v>
      </x:c>
      <x:c r="D481" s="31" t="str">
        <x:v>BK0602</x:v>
      </x:c>
      <x:c r="E481" s="31" t="str">
        <x:v>Park Slope</x:v>
      </x:c>
      <x:c r="F481" s="31" t="n">
        <x:v>0.058516154285037876</x:v>
      </x:c>
      <x:c r="G481" s="31" t="n">
        <x:v>40.66798931145791</x:v>
      </x:c>
      <x:c r="H481" s="31" t="n">
        <x:v>-73.9873369097162</x:v>
      </x:c>
      <x:c r="I481" s="31" t="n">
        <x:v>3727</x:v>
      </x:c>
      <x:c r="J481" s="31" t="n">
        <x:v>63691.81374848082</x:v>
      </x:c>
      <x:c r="K481" s="31"/>
      <x:c r="L481" s="40"/>
      <x:c r="M481" s="40"/>
      <x:c r="N481" s="31" t="n">
        <x:v>484</x:v>
      </x:c>
      <x:c r="O481" s="31" t="n">
        <x:v>2547</x:v>
      </x:c>
      <x:c r="P481" s="31" t="n">
        <x:v>5.343984220907298</x:v>
      </x:c>
      <x:c r="Q481" s="40" t="n">
        <x:v>0.10600706713780919</x:v>
      </x:c>
      <x:c r="R481" s="40" t="n">
        <x:v>0.7173144876325088</x:v>
      </x:c>
      <x:c r="S481" s="40" t="n">
        <x:v>0</x:v>
      </x:c>
      <x:c r="T481" s="31" t="n">
        <x:v>57.60754152120224</x:v>
      </x:c>
      <x:c r="U481" s="31" t="n">
        <x:v>155.39876497</x:v>
      </x:c>
      <x:c r="V481" s="31" t="n">
        <x:v>15</x:v>
      </x:c>
      <x:c r="W481" s="31" t="n">
        <x:v>4.024684733029247</x:v>
      </x:c>
      <x:c r="X481" s="31" t="n">
        <x:v>1</x:v>
      </x:c>
      <x:c r="Y481" s="40" t="n">
        <x:v>0</x:v>
      </x:c>
      <x:c r="Z481" s="40" t="n">
        <x:v>1</x:v>
      </x:c>
      <x:c r="AA481" s="40" t="n">
        <x:v>0.6988614055751865</x:v>
      </x:c>
      <x:c r="AB481" s="31" t="n">
        <x:v>0.1792155323777333</x:v>
      </x:c>
      <x:c r="AC481" s="31" t="n">
        <x:v>7</x:v>
      </x:c>
      <x:c r="AD481" s="44" t="b">
        <x:v>1</x:v>
      </x:c>
    </x:row>
    <x:row r="482">
      <x:c r="A482" s="31" t="str">
        <x:v>36047014000</x:v>
      </x:c>
      <x:c r="B482" s="31" t="str">
        <x:v>Brooklyn</x:v>
      </x:c>
      <x:c r="C482" s="31" t="str">
        <x:v>014000</x:v>
      </x:c>
      <x:c r="D482" s="31" t="str">
        <x:v>BK1002</x:v>
      </x:c>
      <x:c r="E482" s="31" t="str">
        <x:v>Dyker Heights</x:v>
      </x:c>
      <x:c r="F482" s="31" t="n">
        <x:v>0.056615267769312444</x:v>
      </x:c>
      <x:c r="G482" s="31" t="n">
        <x:v>40.62077399460692</x:v>
      </x:c>
      <x:c r="H482" s="31" t="n">
        <x:v>-74.01966963730744</x:v>
      </x:c>
      <x:c r="I482" s="31" t="n">
        <x:v>2136</x:v>
      </x:c>
      <x:c r="J482" s="31" t="n">
        <x:v>37728.33873547076</x:v>
      </x:c>
      <x:c r="K482" s="31"/>
      <x:c r="L482" s="40"/>
      <x:c r="M482" s="40"/>
      <x:c r="N482" s="31" t="n">
        <x:v>367</x:v>
      </x:c>
      <x:c r="O482" s="31" t="n">
        <x:v>860</x:v>
      </x:c>
      <x:c r="P482" s="31" t="n">
        <x:v>3.250581395348837</x:v>
      </x:c>
      <x:c r="Q482" s="40" t="n">
        <x:v>0</x:v>
      </x:c>
      <x:c r="R482" s="40" t="n">
        <x:v>0.4313953488372093</x:v>
      </x:c>
      <x:c r="S482" s="40" t="n">
        <x:v>0.046511627906976744</x:v>
      </x:c>
      <x:c r="T482" s="31" t="n">
        <x:v>38.21987209302325</x:v>
      </x:c>
      <x:c r="U482" s="31" t="n">
        <x:v>72.16</x:v>
      </x:c>
      <x:c r="V482" s="31" t="n">
        <x:v>6</x:v>
      </x:c>
      <x:c r="W482" s="31" t="n">
        <x:v>2.8089887640449436</x:v>
      </x:c>
      <x:c r="X482" s="31" t="n">
        <x:v>3</x:v>
      </x:c>
      <x:c r="Y482" s="40" t="n">
        <x:v>0</x:v>
      </x:c>
      <x:c r="Z482" s="40" t="n">
        <x:v>1</x:v>
      </x:c>
      <x:c r="AA482" s="40" t="n">
        <x:v>1</x:v>
      </x:c>
      <x:c r="AB482" s="31" t="n">
        <x:v>0.19270984108640873</x:v>
      </x:c>
      <x:c r="AC482" s="31" t="n">
        <x:v>7</x:v>
      </x:c>
      <x:c r="AD482" s="44" t="b">
        <x:v>1</x:v>
      </x:c>
    </x:row>
    <x:row r="483">
      <x:c r="A483" s="31" t="str">
        <x:v>36047014101</x:v>
      </x:c>
      <x:c r="B483" s="31" t="str">
        <x:v>Brooklyn</x:v>
      </x:c>
      <x:c r="C483" s="31" t="str">
        <x:v>014101</x:v>
      </x:c>
      <x:c r="D483" s="31" t="str">
        <x:v>BK0602</x:v>
      </x:c>
      <x:c r="E483" s="31" t="str">
        <x:v>Park Slope</x:v>
      </x:c>
      <x:c r="F483" s="31" t="n">
        <x:v>0.029291737720816113</x:v>
      </x:c>
      <x:c r="G483" s="31" t="n">
        <x:v>40.66618327076811</x:v>
      </x:c>
      <x:c r="H483" s="31" t="n">
        <x:v>-73.98884000384996</x:v>
      </x:c>
      <x:c r="I483" s="31" t="n">
        <x:v>1621</x:v>
      </x:c>
      <x:c r="J483" s="31" t="n">
        <x:v>55339.837310097166</x:v>
      </x:c>
      <x:c r="K483" s="31"/>
      <x:c r="L483" s="40"/>
      <x:c r="M483" s="40"/>
      <x:c r="N483" s="31" t="n">
        <x:v>194</x:v>
      </x:c>
      <x:c r="O483" s="31" t="n">
        <x:v>819</x:v>
      </x:c>
      <x:c r="P483" s="31" t="n">
        <x:v>5.0513059701492535</x:v>
      </x:c>
      <x:c r="Q483" s="40" t="n">
        <x:v>0.1807081807081807</x:v>
      </x:c>
      <x:c r="R483" s="40" t="n">
        <x:v>0.5482295482295483</x:v>
      </x:c>
      <x:c r="S483" s="40" t="n">
        <x:v>0</x:v>
      </x:c>
      <x:c r="T483" s="31" t="n">
        <x:v>57.325562159166665</x:v>
      </x:c>
      <x:c r="U483" s="31" t="n">
        <x:v>120</x:v>
      </x:c>
      <x:c r="V483" s="31" t="n">
        <x:v>15</x:v>
      </x:c>
      <x:c r="W483" s="31" t="n">
        <x:v>9.253547193090684</x:v>
      </x:c>
      <x:c r="X483" s="31" t="n">
        <x:v>1</x:v>
      </x:c>
      <x:c r="Y483" s="40" t="n">
        <x:v>0</x:v>
      </x:c>
      <x:c r="Z483" s="40" t="n">
        <x:v>1</x:v>
      </x:c>
      <x:c r="AA483" s="40" t="n">
        <x:v>0.9816849816849816</x:v>
      </x:c>
      <x:c r="AB483" s="31" t="n">
        <x:v>0.13313899157266987</x:v>
      </x:c>
      <x:c r="AC483" s="31" t="n">
        <x:v>6</x:v>
      </x:c>
      <x:c r="AD483" s="44" t="b">
        <x:v>1</x:v>
      </x:c>
    </x:row>
    <x:row r="484">
      <x:c r="A484" s="31" t="str">
        <x:v>36047014102</x:v>
      </x:c>
      <x:c r="B484" s="31" t="str">
        <x:v>Brooklyn</x:v>
      </x:c>
      <x:c r="C484" s="31" t="str">
        <x:v>014102</x:v>
      </x:c>
      <x:c r="D484" s="31" t="str">
        <x:v>BK0701</x:v>
      </x:c>
      <x:c r="E484" s="31" t="str">
        <x:v>Windsor Terrace-South Slope</x:v>
      </x:c>
      <x:c r="F484" s="31" t="n">
        <x:v>0.034811002559831265</x:v>
      </x:c>
      <x:c r="G484" s="31" t="n">
        <x:v>40.66480707360809</x:v>
      </x:c>
      <x:c r="H484" s="31" t="n">
        <x:v>-73.98983073366188</x:v>
      </x:c>
      <x:c r="I484" s="31" t="n">
        <x:v>1858</x:v>
      </x:c>
      <x:c r="J484" s="31" t="n">
        <x:v>53373.929601900156</x:v>
      </x:c>
      <x:c r="K484" s="31"/>
      <x:c r="L484" s="40"/>
      <x:c r="M484" s="40"/>
      <x:c r="N484" s="31" t="n">
        <x:v>195</x:v>
      </x:c>
      <x:c r="O484" s="31" t="n">
        <x:v>1328</x:v>
      </x:c>
      <x:c r="P484" s="31" t="n">
        <x:v>5.517160686427457</x:v>
      </x:c>
      <x:c r="Q484" s="40" t="n">
        <x:v>0.1875</x:v>
      </x:c>
      <x:c r="R484" s="40" t="n">
        <x:v>0.7070783132530121</x:v>
      </x:c>
      <x:c r="S484" s="40" t="n">
        <x:v>0.002259036144578313</x:v>
      </x:c>
      <x:c r="T484" s="31" t="n">
        <x:v>59.88265158174178</x:v>
      </x:c>
      <x:c r="U484" s="31" t="n">
        <x:v>120</x:v>
      </x:c>
      <x:c r="V484" s="31" t="n">
        <x:v>20</x:v>
      </x:c>
      <x:c r="W484" s="31" t="n">
        <x:v>10.764262648008613</x:v>
      </x:c>
      <x:c r="X484" s="31" t="n">
        <x:v>1</x:v>
      </x:c>
      <x:c r="Y484" s="40" t="n">
        <x:v>0</x:v>
      </x:c>
      <x:c r="Z484" s="40" t="n">
        <x:v>1</x:v>
      </x:c>
      <x:c r="AA484" s="40" t="n">
        <x:v>0.9856927710843374</x:v>
      </x:c>
      <x:c r="AB484" s="31" t="n">
        <x:v>0.17762827545910304</x:v>
      </x:c>
      <x:c r="AC484" s="31" t="n">
        <x:v>5</x:v>
      </x:c>
      <x:c r="AD484" s="44" t="b">
        <x:v>1</x:v>
      </x:c>
    </x:row>
    <x:row r="485">
      <x:c r="A485" s="31" t="str">
        <x:v>36047014200</x:v>
      </x:c>
      <x:c r="B485" s="31" t="str">
        <x:v>Brooklyn</x:v>
      </x:c>
      <x:c r="C485" s="31" t="str">
        <x:v>014200</x:v>
      </x:c>
      <x:c r="D485" s="31" t="str">
        <x:v>BK1001</x:v>
      </x:c>
      <x:c r="E485" s="31" t="str">
        <x:v>Bay Ridge</x:v>
      </x:c>
      <x:c r="F485" s="31" t="n">
        <x:v>0.07748096789414026</x:v>
      </x:c>
      <x:c r="G485" s="31" t="n">
        <x:v>40.622497727602344</x:v>
      </x:c>
      <x:c r="H485" s="31" t="n">
        <x:v>-74.02249001387514</x:v>
      </x:c>
      <x:c r="I485" s="31" t="n">
        <x:v>3434</x:v>
      </x:c>
      <x:c r="J485" s="31" t="n">
        <x:v>44320.56146603335</x:v>
      </x:c>
      <x:c r="K485" s="31"/>
      <x:c r="L485" s="40"/>
      <x:c r="M485" s="40"/>
      <x:c r="N485" s="31" t="n">
        <x:v>311</x:v>
      </x:c>
      <x:c r="O485" s="31" t="n">
        <x:v>1427</x:v>
      </x:c>
      <x:c r="P485" s="31" t="n">
        <x:v>3.699719691660827</x:v>
      </x:c>
      <x:c r="Q485" s="40" t="n">
        <x:v>0</x:v>
      </x:c>
      <x:c r="R485" s="40" t="n">
        <x:v>0.7231955150665732</x:v>
      </x:c>
      <x:c r="S485" s="40" t="n">
        <x:v>0</x:v>
      </x:c>
      <x:c r="T485" s="31" t="n">
        <x:v>43.515065867715485</x:v>
      </x:c>
      <x:c r="U485" s="31" t="n">
        <x:v>72.66</x:v>
      </x:c>
      <x:c r="V485" s="31" t="n">
        <x:v>7</x:v>
      </x:c>
      <x:c r="W485" s="31" t="n">
        <x:v>2.0384391380314506</x:v>
      </x:c>
      <x:c r="X485" s="31" t="n">
        <x:v>2</x:v>
      </x:c>
      <x:c r="Y485" s="40" t="n">
        <x:v>0</x:v>
      </x:c>
      <x:c r="Z485" s="40" t="n">
        <x:v>1</x:v>
      </x:c>
      <x:c r="AA485" s="40" t="n">
        <x:v>1</x:v>
      </x:c>
      <x:c r="AB485" s="31" t="n">
        <x:v>0.2237348087828694</x:v>
      </x:c>
      <x:c r="AC485" s="31" t="n">
        <x:v>7</x:v>
      </x:c>
      <x:c r="AD485" s="44" t="b">
        <x:v>1</x:v>
      </x:c>
    </x:row>
    <x:row r="486">
      <x:c r="A486" s="31" t="str">
        <x:v>36047014300</x:v>
      </x:c>
      <x:c r="B486" s="31" t="str">
        <x:v>Brooklyn</x:v>
      </x:c>
      <x:c r="C486" s="31" t="str">
        <x:v>014300</x:v>
      </x:c>
      <x:c r="D486" s="31" t="str">
        <x:v>BK0702</x:v>
      </x:c>
      <x:c r="E486" s="31" t="str">
        <x:v>Sunset Park (West)</x:v>
      </x:c>
      <x:c r="F486" s="31" t="n">
        <x:v>0.08377227936969123</x:v>
      </x:c>
      <x:c r="G486" s="31" t="n">
        <x:v>40.66361317596977</x:v>
      </x:c>
      <x:c r="H486" s="31" t="n">
        <x:v>-73.99264675492448</x:v>
      </x:c>
      <x:c r="I486" s="31" t="n">
        <x:v>3705</x:v>
      </x:c>
      <x:c r="J486" s="31" t="n">
        <x:v>44227.04058999817</x:v>
      </x:c>
      <x:c r="K486" s="31"/>
      <x:c r="L486" s="40"/>
      <x:c r="M486" s="40"/>
      <x:c r="N486" s="31" t="n">
        <x:v>453</x:v>
      </x:c>
      <x:c r="O486" s="31" t="n">
        <x:v>1843</x:v>
      </x:c>
      <x:c r="P486" s="31" t="n">
        <x:v>4.301780821917808</x:v>
      </x:c>
      <x:c r="Q486" s="40" t="n">
        <x:v>0.11285946825827456</x:v>
      </x:c>
      <x:c r="R486" s="40" t="n">
        <x:v>0.631578947368421</x:v>
      </x:c>
      <x:c r="S486" s="40" t="n">
        <x:v>0.017362995116657624</x:v>
      </x:c>
      <x:c r="T486" s="31" t="n">
        <x:v>50.095257769232525</x:v>
      </x:c>
      <x:c r="U486" s="31" t="n">
        <x:v>134</x:v>
      </x:c>
      <x:c r="V486" s="31" t="n">
        <x:v>22</x:v>
      </x:c>
      <x:c r="W486" s="31" t="n">
        <x:v>5.937921727395412</x:v>
      </x:c>
      <x:c r="X486" s="31" t="n">
        <x:v>1.8301682040151925</x:v>
      </x:c>
      <x:c r="Y486" s="40" t="n">
        <x:v>0.27672273467173086</x:v>
      </x:c>
      <x:c r="Z486" s="40" t="n">
        <x:v>1</x:v>
      </x:c>
      <x:c r="AA486" s="40" t="n">
        <x:v>0.9544221378187737</x:v>
      </x:c>
      <x:c r="AB486" s="31" t="n">
        <x:v>0.0541793177615873</x:v>
      </x:c>
      <x:c r="AC486" s="31" t="n">
        <x:v>6</x:v>
      </x:c>
      <x:c r="AD486" s="44" t="b">
        <x:v>1</x:v>
      </x:c>
    </x:row>
    <x:row r="487">
      <x:c r="A487" s="31" t="str">
        <x:v>36047014500</x:v>
      </x:c>
      <x:c r="B487" s="31" t="str">
        <x:v>Brooklyn</x:v>
      </x:c>
      <x:c r="C487" s="31" t="str">
        <x:v>014500</x:v>
      </x:c>
      <x:c r="D487" s="31" t="str">
        <x:v>BK0702</x:v>
      </x:c>
      <x:c r="E487" s="31" t="str">
        <x:v>Sunset Park (West)</x:v>
      </x:c>
      <x:c r="F487" s="31" t="n">
        <x:v>0.08312717205973083</x:v>
      </x:c>
      <x:c r="G487" s="31" t="n">
        <x:v>40.661356093398204</x:v>
      </x:c>
      <x:c r="H487" s="31" t="n">
        <x:v>-73.99495002738145</x:v>
      </x:c>
      <x:c r="I487" s="31" t="n">
        <x:v>4404</x:v>
      </x:c>
      <x:c r="J487" s="31" t="n">
        <x:v>52979.06678258604</x:v>
      </x:c>
      <x:c r="K487" s="31"/>
      <x:c r="L487" s="40"/>
      <x:c r="M487" s="40"/>
      <x:c r="N487" s="31" t="n">
        <x:v>479</x:v>
      </x:c>
      <x:c r="O487" s="31" t="n">
        <x:v>2092</x:v>
      </x:c>
      <x:c r="P487" s="31" t="n">
        <x:v>4.096043165467626</x:v>
      </x:c>
      <x:c r="Q487" s="40" t="n">
        <x:v>0.058317399617590825</x:v>
      </x:c>
      <x:c r="R487" s="40" t="n">
        <x:v>0.7901529636711281</x:v>
      </x:c>
      <x:c r="S487" s="40" t="n">
        <x:v>0.00621414913957935</x:v>
      </x:c>
      <x:c r="T487" s="31" t="n">
        <x:v>41.84254670795073</x:v>
      </x:c>
      <x:c r="U487" s="31" t="n">
        <x:v>101.6</x:v>
      </x:c>
      <x:c r="V487" s="31" t="n">
        <x:v>16</x:v>
      </x:c>
      <x:c r="W487" s="31" t="n">
        <x:v>3.6330608537693005</x:v>
      </x:c>
      <x:c r="X487" s="31" t="n">
        <x:v>2.948852772466539</x:v>
      </x:c>
      <x:c r="Y487" s="40" t="n">
        <x:v>0.6496175908221797</x:v>
      </x:c>
      <x:c r="Z487" s="40" t="n">
        <x:v>1</x:v>
      </x:c>
      <x:c r="AA487" s="40" t="n">
        <x:v>0.9120458891013384</x:v>
      </x:c>
      <x:c r="AB487" s="31" t="n">
        <x:v>0.18314291889998344</x:v>
      </x:c>
      <x:c r="AC487" s="31" t="n">
        <x:v>5</x:v>
      </x:c>
      <x:c r="AD487" s="44" t="b">
        <x:v>1</x:v>
      </x:c>
    </x:row>
    <x:row r="488">
      <x:c r="A488" s="31" t="str">
        <x:v>36047014700</x:v>
      </x:c>
      <x:c r="B488" s="31" t="str">
        <x:v>Brooklyn</x:v>
      </x:c>
      <x:c r="C488" s="31" t="str">
        <x:v>014700</x:v>
      </x:c>
      <x:c r="D488" s="31" t="str">
        <x:v>BK0702</x:v>
      </x:c>
      <x:c r="E488" s="31" t="str">
        <x:v>Sunset Park (West)</x:v>
      </x:c>
      <x:c r="F488" s="31" t="n">
        <x:v>0.040968571214273414</x:v>
      </x:c>
      <x:c r="G488" s="31" t="n">
        <x:v>40.65985286219295</x:v>
      </x:c>
      <x:c r="H488" s="31" t="n">
        <x:v>-73.98966628723133</x:v>
      </x:c>
      <x:c r="I488" s="31" t="n">
        <x:v>2242</x:v>
      </x:c>
      <x:c r="J488" s="31" t="n">
        <x:v>54724.87649798461</x:v>
      </x:c>
      <x:c r="K488" s="31"/>
      <x:c r="L488" s="40"/>
      <x:c r="M488" s="40"/>
      <x:c r="N488" s="31" t="n">
        <x:v>281</x:v>
      </x:c>
      <x:c r="O488" s="31" t="n">
        <x:v>983</x:v>
      </x:c>
      <x:c r="P488" s="31" t="n">
        <x:v>3.21912512716175</x:v>
      </x:c>
      <x:c r="Q488" s="40" t="n">
        <x:v>0</x:v>
      </x:c>
      <x:c r="R488" s="40" t="n">
        <x:v>0.7365208545269583</x:v>
      </x:c>
      <x:c r="S488" s="40" t="n">
        <x:v>0.002034587995930824</x:v>
      </x:c>
      <x:c r="T488" s="31" t="n">
        <x:v>38.48867212798156</x:v>
      </x:c>
      <x:c r="U488" s="31" t="n">
        <x:v>79</x:v>
      </x:c>
      <x:c r="V488" s="31" t="n">
        <x:v>14</x:v>
      </x:c>
      <x:c r="W488" s="31" t="n">
        <x:v>6.244424620874219</x:v>
      </x:c>
      <x:c r="X488" s="31" t="n">
        <x:v>1</x:v>
      </x:c>
      <x:c r="Y488" s="40" t="n">
        <x:v>0</x:v>
      </x:c>
      <x:c r="Z488" s="40" t="n">
        <x:v>1</x:v>
      </x:c>
      <x:c r="AA488" s="40" t="n">
        <x:v>0.9928789420142421</x:v>
      </x:c>
      <x:c r="AB488" s="31" t="n">
        <x:v>0.08462403422316175</x:v>
      </x:c>
      <x:c r="AC488" s="31" t="n">
        <x:v>5</x:v>
      </x:c>
      <x:c r="AD488" s="44" t="b">
        <x:v>1</x:v>
      </x:c>
    </x:row>
    <x:row r="489">
      <x:c r="A489" s="31" t="str">
        <x:v>36047014800</x:v>
      </x:c>
      <x:c r="B489" s="31" t="str">
        <x:v>Brooklyn</x:v>
      </x:c>
      <x:c r="C489" s="31" t="str">
        <x:v>014800</x:v>
      </x:c>
      <x:c r="D489" s="31" t="str">
        <x:v>BK1002</x:v>
      </x:c>
      <x:c r="E489" s="31" t="str">
        <x:v>Dyker Heights</x:v>
      </x:c>
      <x:c r="F489" s="31" t="n">
        <x:v>0.05156550922757403</x:v>
      </x:c>
      <x:c r="G489" s="31" t="n">
        <x:v>40.61670591937383</x:v>
      </x:c>
      <x:c r="H489" s="31" t="n">
        <x:v>-74.01296162150074</x:v>
      </x:c>
      <x:c r="I489" s="31" t="n">
        <x:v>1244</x:v>
      </x:c>
      <x:c r="J489" s="31" t="n">
        <x:v>24124.652672581116</x:v>
      </x:c>
      <x:c r="K489" s="31"/>
      <x:c r="L489" s="40"/>
      <x:c r="M489" s="40"/>
      <x:c r="N489" s="31" t="n">
        <x:v>323</x:v>
      </x:c>
      <x:c r="O489" s="31" t="n">
        <x:v>542</x:v>
      </x:c>
      <x:c r="P489" s="31" t="n">
        <x:v>2.195571955719557</x:v>
      </x:c>
      <x:c r="Q489" s="40" t="n">
        <x:v>0</x:v>
      </x:c>
      <x:c r="R489" s="40" t="n">
        <x:v>0.10516605166051661</x:v>
      </x:c>
      <x:c r="S489" s="40" t="n">
        <x:v>0.007380073800738007</x:v>
      </x:c>
      <x:c r="T489" s="31" t="n">
        <x:v>28.77621572211111</x:v>
      </x:c>
      <x:c r="U489" s="31" t="n">
        <x:v>42.37</x:v>
      </x:c>
      <x:c r="V489" s="31" t="n">
        <x:v>0</x:v>
      </x:c>
      <x:c r="W489" s="31" t="n">
        <x:v>0</x:v>
      </x:c>
      <x:c r="X489" s="31" t="n">
        <x:v>3</x:v>
      </x:c>
      <x:c r="Y489" s="40" t="n">
        <x:v>0</x:v>
      </x:c>
      <x:c r="Z489" s="40" t="n">
        <x:v>1</x:v>
      </x:c>
      <x:c r="AA489" s="40" t="n">
        <x:v>0.996309963099631</x:v>
      </x:c>
      <x:c r="AB489" s="31" t="n">
        <x:v>0.057753903505670695</x:v>
      </x:c>
      <x:c r="AC489" s="31" t="n">
        <x:v>6</x:v>
      </x:c>
      <x:c r="AD489" s="44" t="b">
        <x:v>1</x:v>
      </x:c>
    </x:row>
    <x:row r="490">
      <x:c r="A490" s="31" t="str">
        <x:v>36047014901</x:v>
      </x:c>
      <x:c r="B490" s="31" t="str">
        <x:v>Brooklyn</x:v>
      </x:c>
      <x:c r="C490" s="31" t="str">
        <x:v>014901</x:v>
      </x:c>
      <x:c r="D490" s="31" t="str">
        <x:v>BK0602</x:v>
      </x:c>
      <x:c r="E490" s="31" t="str">
        <x:v>Park Slope</x:v>
      </x:c>
      <x:c r="F490" s="31" t="n">
        <x:v>0.028957178507087924</x:v>
      </x:c>
      <x:c r="G490" s="31" t="n">
        <x:v>40.66388615005402</x:v>
      </x:c>
      <x:c r="H490" s="31" t="n">
        <x:v>-73.98408833761425</x:v>
      </x:c>
      <x:c r="I490" s="31" t="n">
        <x:v>1529</x:v>
      </x:c>
      <x:c r="J490" s="31" t="n">
        <x:v>52802.10568946635</x:v>
      </x:c>
      <x:c r="K490" s="31"/>
      <x:c r="L490" s="40"/>
      <x:c r="M490" s="40"/>
      <x:c r="N490" s="31" t="n">
        <x:v>206</x:v>
      </x:c>
      <x:c r="O490" s="31" t="n">
        <x:v>747</x:v>
      </x:c>
      <x:c r="P490" s="31" t="n">
        <x:v>3.423694779116466</x:v>
      </x:c>
      <x:c r="Q490" s="40" t="n">
        <x:v>0</x:v>
      </x:c>
      <x:c r="R490" s="40" t="n">
        <x:v>0.8018741633199464</x:v>
      </x:c>
      <x:c r="S490" s="40" t="n">
        <x:v>0.09370816599732262</x:v>
      </x:c>
      <x:c r="T490" s="31" t="n">
        <x:v>40.428193315576664</x:v>
      </x:c>
      <x:c r="U490" s="31" t="n">
        <x:v>60</x:v>
      </x:c>
      <x:c r="V490" s="31" t="n">
        <x:v>9</x:v>
      </x:c>
      <x:c r="W490" s="31" t="n">
        <x:v>5.886200130804448</x:v>
      </x:c>
      <x:c r="X490" s="31" t="n">
        <x:v>1</x:v>
      </x:c>
      <x:c r="Y490" s="40" t="n">
        <x:v>0</x:v>
      </x:c>
      <x:c r="Z490" s="40" t="n">
        <x:v>1</x:v>
      </x:c>
      <x:c r="AA490" s="40" t="n">
        <x:v>0.9866131191432396</x:v>
      </x:c>
      <x:c r="AB490" s="31" t="n">
        <x:v>0.1658150704632636</x:v>
      </x:c>
      <x:c r="AC490" s="31" t="n">
        <x:v>7</x:v>
      </x:c>
      <x:c r="AD490" s="44" t="b">
        <x:v>1</x:v>
      </x:c>
    </x:row>
    <x:row r="491">
      <x:c r="A491" s="31" t="str">
        <x:v>36047014902</x:v>
      </x:c>
      <x:c r="B491" s="31" t="str">
        <x:v>Brooklyn</x:v>
      </x:c>
      <x:c r="C491" s="31" t="str">
        <x:v>014902</x:v>
      </x:c>
      <x:c r="D491" s="31" t="str">
        <x:v>BK0701</x:v>
      </x:c>
      <x:c r="E491" s="31" t="str">
        <x:v>Windsor Terrace-South Slope</x:v>
      </x:c>
      <x:c r="F491" s="31" t="n">
        <x:v>0.06734676125459137</x:v>
      </x:c>
      <x:c r="G491" s="31" t="n">
        <x:v>40.66179644379744</x:v>
      </x:c>
      <x:c r="H491" s="31" t="n">
        <x:v>-73.98564258965015</x:v>
      </x:c>
      <x:c r="I491" s="31" t="n">
        <x:v>3601</x:v>
      </x:c>
      <x:c r="J491" s="31" t="n">
        <x:v>53469.53488063246</x:v>
      </x:c>
      <x:c r="K491" s="31"/>
      <x:c r="L491" s="40"/>
      <x:c r="M491" s="40"/>
      <x:c r="N491" s="31" t="n">
        <x:v>575</x:v>
      </x:c>
      <x:c r="O491" s="31" t="n">
        <x:v>1723</x:v>
      </x:c>
      <x:c r="P491" s="31" t="n">
        <x:v>3.097067448680352</x:v>
      </x:c>
      <x:c r="Q491" s="40" t="n">
        <x:v>0</x:v>
      </x:c>
      <x:c r="R491" s="40" t="n">
        <x:v>0.689495066744051</x:v>
      </x:c>
      <x:c r="S491" s="40" t="n">
        <x:v>0.01857225769007545</x:v>
      </x:c>
      <x:c r="T491" s="31" t="n">
        <x:v>36.93194095567442</x:v>
      </x:c>
      <x:c r="U491" s="31" t="n">
        <x:v>75</x:v>
      </x:c>
      <x:c r="V491" s="31" t="n">
        <x:v>13</x:v>
      </x:c>
      <x:c r="W491" s="31" t="n">
        <x:v>3.6101083032490977</x:v>
      </x:c>
      <x:c r="X491" s="31" t="n">
        <x:v>1</x:v>
      </x:c>
      <x:c r="Y491" s="40" t="n">
        <x:v>0</x:v>
      </x:c>
      <x:c r="Z491" s="40" t="n">
        <x:v>1</x:v>
      </x:c>
      <x:c r="AA491" s="40" t="n">
        <x:v>0.9982588508415554</x:v>
      </x:c>
      <x:c r="AB491" s="31" t="n">
        <x:v>0.06699866804288356</x:v>
      </x:c>
      <x:c r="AC491" s="31" t="n">
        <x:v>8</x:v>
      </x:c>
      <x:c r="AD491" s="44" t="b">
        <x:v>1</x:v>
      </x:c>
    </x:row>
    <x:row r="492">
      <x:c r="A492" s="31" t="str">
        <x:v>36047015000</x:v>
      </x:c>
      <x:c r="B492" s="31" t="str">
        <x:v>Brooklyn</x:v>
      </x:c>
      <x:c r="C492" s="31" t="str">
        <x:v>015000</x:v>
      </x:c>
      <x:c r="D492" s="31" t="str">
        <x:v>BK1002</x:v>
      </x:c>
      <x:c r="E492" s="31" t="str">
        <x:v>Dyker Heights</x:v>
      </x:c>
      <x:c r="F492" s="31" t="n">
        <x:v>0.051512280681818186</x:v>
      </x:c>
      <x:c r="G492" s="31" t="n">
        <x:v>40.615379092750246</x:v>
      </x:c>
      <x:c r="H492" s="31" t="n">
        <x:v>-74.01075639388972</x:v>
      </x:c>
      <x:c r="I492" s="31" t="n">
        <x:v>1791</x:v>
      </x:c>
      <x:c r="J492" s="31" t="n">
        <x:v>34768.40816004003</x:v>
      </x:c>
      <x:c r="K492" s="31"/>
      <x:c r="L492" s="40"/>
      <x:c r="M492" s="40"/>
      <x:c r="N492" s="31" t="n">
        <x:v>350</x:v>
      </x:c>
      <x:c r="O492" s="31" t="n">
        <x:v>728</x:v>
      </x:c>
      <x:c r="P492" s="31" t="n">
        <x:v>2.0245054945054943</x:v>
      </x:c>
      <x:c r="Q492" s="40" t="n">
        <x:v>0</x:v>
      </x:c>
      <x:c r="R492" s="40" t="n">
        <x:v>0.09203296703296704</x:v>
      </x:c>
      <x:c r="S492" s="40" t="n">
        <x:v>0.004120879120879121</x:v>
      </x:c>
      <x:c r="T492" s="31" t="n">
        <x:v>27.606902640851647</x:v>
      </x:c>
      <x:c r="U492" s="31" t="n">
        <x:v>50</x:v>
      </x:c>
      <x:c r="V492" s="31" t="n">
        <x:v>1</x:v>
      </x:c>
      <x:c r="W492" s="31" t="n">
        <x:v>0.5583472920156337</x:v>
      </x:c>
      <x:c r="X492" s="31" t="n">
        <x:v>3</x:v>
      </x:c>
      <x:c r="Y492" s="40" t="n">
        <x:v>0</x:v>
      </x:c>
      <x:c r="Z492" s="40" t="n">
        <x:v>1</x:v>
      </x:c>
      <x:c r="AA492" s="40" t="n">
        <x:v>1</x:v>
      </x:c>
      <x:c r="AB492" s="31" t="n">
        <x:v>0.09155616531656235</x:v>
      </x:c>
      <x:c r="AC492" s="31" t="n">
        <x:v>7</x:v>
      </x:c>
      <x:c r="AD492" s="44" t="b">
        <x:v>1</x:v>
      </x:c>
    </x:row>
    <x:row r="493">
      <x:c r="A493" s="31" t="str">
        <x:v>36047015100</x:v>
      </x:c>
      <x:c r="B493" s="31" t="str">
        <x:v>Brooklyn</x:v>
      </x:c>
      <x:c r="C493" s="31" t="str">
        <x:v>015100</x:v>
      </x:c>
      <x:c r="D493" s="31" t="str">
        <x:v>BK0602</x:v>
      </x:c>
      <x:c r="E493" s="31" t="str">
        <x:v>Park Slope</x:v>
      </x:c>
      <x:c r="F493" s="31" t="n">
        <x:v>0.05772579846942436</x:v>
      </x:c>
      <x:c r="G493" s="31" t="n">
        <x:v>40.665690090693985</x:v>
      </x:c>
      <x:c r="H493" s="31" t="n">
        <x:v>-73.98258246956972</x:v>
      </x:c>
      <x:c r="I493" s="31" t="n">
        <x:v>3696</x:v>
      </x:c>
      <x:c r="J493" s="31" t="n">
        <x:v>64026.831988433405</x:v>
      </x:c>
      <x:c r="K493" s="31"/>
      <x:c r="L493" s="40"/>
      <x:c r="M493" s="40"/>
      <x:c r="N493" s="31" t="n">
        <x:v>511</x:v>
      </x:c>
      <x:c r="O493" s="31" t="n">
        <x:v>1758</x:v>
      </x:c>
      <x:c r="P493" s="31" t="n">
        <x:v>3.473474044495151</x:v>
      </x:c>
      <x:c r="Q493" s="40" t="n">
        <x:v>0</x:v>
      </x:c>
      <x:c r="R493" s="40" t="n">
        <x:v>0.8270762229806599</x:v>
      </x:c>
      <x:c r="S493" s="40" t="n">
        <x:v>0.022753128555176336</x:v>
      </x:c>
      <x:c r="T493" s="31" t="n">
        <x:v>43.190952438350514</x:v>
      </x:c>
      <x:c r="U493" s="31" t="n">
        <x:v>105</x:v>
      </x:c>
      <x:c r="V493" s="31" t="n">
        <x:v>11</x:v>
      </x:c>
      <x:c r="W493" s="31" t="n">
        <x:v>2.976190476190476</x:v>
      </x:c>
      <x:c r="X493" s="31" t="n">
        <x:v>1</x:v>
      </x:c>
      <x:c r="Y493" s="40" t="n">
        <x:v>0</x:v>
      </x:c>
      <x:c r="Z493" s="40" t="n">
        <x:v>1</x:v>
      </x:c>
      <x:c r="AA493" s="40" t="n">
        <x:v>0.9931740614334471</x:v>
      </x:c>
      <x:c r="AB493" s="31" t="n">
        <x:v>0.180255018998431</x:v>
      </x:c>
      <x:c r="AC493" s="31" t="n">
        <x:v>6</x:v>
      </x:c>
      <x:c r="AD493" s="44" t="b">
        <x:v>1</x:v>
      </x:c>
    </x:row>
    <x:row r="494">
      <x:c r="A494" s="31" t="str">
        <x:v>36047015200</x:v>
      </x:c>
      <x:c r="B494" s="31" t="str">
        <x:v>Brooklyn</x:v>
      </x:c>
      <x:c r="C494" s="31" t="str">
        <x:v>015200</x:v>
      </x:c>
      <x:c r="D494" s="31" t="str">
        <x:v>BK1001</x:v>
      </x:c>
      <x:c r="E494" s="31" t="str">
        <x:v>Bay Ridge</x:v>
      </x:c>
      <x:c r="F494" s="31" t="n">
        <x:v>0.10347564192242022</x:v>
      </x:c>
      <x:c r="G494" s="31" t="n">
        <x:v>40.61450065595082</x:v>
      </x:c>
      <x:c r="H494" s="31" t="n">
        <x:v>-74.02447093490444</x:v>
      </x:c>
      <x:c r="I494" s="31" t="n">
        <x:v>2545</x:v>
      </x:c>
      <x:c r="J494" s="31" t="n">
        <x:v>24595.1602978031</x:v>
      </x:c>
      <x:c r="K494" s="31"/>
      <x:c r="L494" s="40"/>
      <x:c r="M494" s="40"/>
      <x:c r="N494" s="31" t="n">
        <x:v>400</x:v>
      </x:c>
      <x:c r="O494" s="31" t="n">
        <x:v>918</x:v>
      </x:c>
      <x:c r="P494" s="31" t="n">
        <x:v>2.4119256017505473</x:v>
      </x:c>
      <x:c r="Q494" s="40" t="n">
        <x:v>0</x:v>
      </x:c>
      <x:c r="R494" s="40" t="n">
        <x:v>0.3289760348583878</x:v>
      </x:c>
      <x:c r="S494" s="40" t="n">
        <x:v>0.0032679738562091504</x:v>
      </x:c>
      <x:c r="T494" s="31" t="n">
        <x:v>30.464334182921224</x:v>
      </x:c>
      <x:c r="U494" s="31" t="n">
        <x:v>47</x:v>
      </x:c>
      <x:c r="V494" s="31" t="n">
        <x:v>2</x:v>
      </x:c>
      <x:c r="W494" s="31" t="n">
        <x:v>0.7858546168958742</x:v>
      </x:c>
      <x:c r="X494" s="31" t="n">
        <x:v>2.729847494553377</x:v>
      </x:c>
      <x:c r="Y494" s="40" t="n">
        <x:v>0</x:v>
      </x:c>
      <x:c r="Z494" s="40" t="n">
        <x:v>1</x:v>
      </x:c>
      <x:c r="AA494" s="40" t="n">
        <x:v>0.9956427015250545</x:v>
      </x:c>
      <x:c r="AB494" s="31" t="n">
        <x:v>0.3108705548376185</x:v>
      </x:c>
      <x:c r="AC494" s="31" t="n">
        <x:v>5</x:v>
      </x:c>
      <x:c r="AD494" s="44" t="b">
        <x:v>1</x:v>
      </x:c>
    </x:row>
    <x:row r="495">
      <x:c r="A495" s="31" t="str">
        <x:v>36047015300</x:v>
      </x:c>
      <x:c r="B495" s="31" t="str">
        <x:v>Brooklyn</x:v>
      </x:c>
      <x:c r="C495" s="31" t="str">
        <x:v>015300</x:v>
      </x:c>
      <x:c r="D495" s="31" t="str">
        <x:v>BK0602</x:v>
      </x:c>
      <x:c r="E495" s="31" t="str">
        <x:v>Park Slope</x:v>
      </x:c>
      <x:c r="F495" s="31" t="n">
        <x:v>0.058012811914959245</x:v>
      </x:c>
      <x:c r="G495" s="31" t="n">
        <x:v>40.66810278222388</x:v>
      </x:c>
      <x:c r="H495" s="31" t="n">
        <x:v>-73.98057591385816</x:v>
      </x:c>
      <x:c r="I495" s="31" t="n">
        <x:v>2633</x:v>
      </x:c>
      <x:c r="J495" s="31" t="n">
        <x:v>45386.52606358238</x:v>
      </x:c>
      <x:c r="K495" s="31"/>
      <x:c r="L495" s="40"/>
      <x:c r="M495" s="40"/>
      <x:c r="N495" s="31" t="n">
        <x:v>397</x:v>
      </x:c>
      <x:c r="O495" s="31" t="n">
        <x:v>1360</x:v>
      </x:c>
      <x:c r="P495" s="31" t="n">
        <x:v>4.053175775480059</x:v>
      </x:c>
      <x:c r="Q495" s="40" t="n">
        <x:v>0.08823529411764706</x:v>
      </x:c>
      <x:c r="R495" s="40" t="n">
        <x:v>0.7544117647058823</x:v>
      </x:c>
      <x:c r="S495" s="40" t="n">
        <x:v>0</x:v>
      </x:c>
      <x:c r="T495" s="31" t="n">
        <x:v>50.3231800921944</x:v>
      </x:c>
      <x:c r="U495" s="31" t="n">
        <x:v>124.24</x:v>
      </x:c>
      <x:c r="V495" s="31" t="n">
        <x:v>6</x:v>
      </x:c>
      <x:c r="W495" s="31" t="n">
        <x:v>2.2787694644891756</x:v>
      </x:c>
      <x:c r="X495" s="31" t="n">
        <x:v>1</x:v>
      </x:c>
      <x:c r="Y495" s="40" t="n">
        <x:v>0</x:v>
      </x:c>
      <x:c r="Z495" s="40" t="n">
        <x:v>1</x:v>
      </x:c>
      <x:c r="AA495" s="40" t="n">
        <x:v>0.9985294117647059</x:v>
      </x:c>
      <x:c r="AB495" s="31" t="n">
        <x:v>0.12943941527088595</x:v>
      </x:c>
      <x:c r="AC495" s="31" t="n">
        <x:v>7</x:v>
      </x:c>
      <x:c r="AD495" s="44" t="b">
        <x:v>1</x:v>
      </x:c>
    </x:row>
    <x:row r="496">
      <x:c r="A496" s="31" t="str">
        <x:v>36047015400</x:v>
      </x:c>
      <x:c r="B496" s="31" t="str">
        <x:v>Brooklyn</x:v>
      </x:c>
      <x:c r="C496" s="31" t="str">
        <x:v>015400</x:v>
      </x:c>
      <x:c r="D496" s="31" t="str">
        <x:v>BK1091</x:v>
      </x:c>
      <x:c r="E496" s="31" t="str">
        <x:v>Dyker Beach Park</x:v>
      </x:c>
      <x:c r="F496" s="31" t="n">
        <x:v>0.3583076328820879</x:v>
      </x:c>
      <x:c r="G496" s="31" t="n">
        <x:v>40.61115153015019</x:v>
      </x:c>
      <x:c r="H496" s="31" t="n">
        <x:v>-74.0189331583347</x:v>
      </x:c>
      <x:c r="I496" s="31" t="n">
        <x:v>9</x:v>
      </x:c>
      <x:c r="J496" s="31" t="n">
        <x:v>25.118080593504203</x:v>
      </x:c>
      <x:c r="K496" s="31"/>
      <x:c r="L496" s="40"/>
      <x:c r="M496" s="40"/>
      <x:c r="N496" s="31" t="n">
        <x:v>0</x:v>
      </x:c>
      <x:c r="O496" s="31"/>
      <x:c r="P496" s="31"/>
      <x:c r="Q496" s="40"/>
      <x:c r="R496" s="40"/>
      <x:c r="S496" s="40"/>
      <x:c r="T496" s="31"/>
      <x:c r="U496" s="31"/>
      <x:c r="V496" s="31" t="n">
        <x:v>0</x:v>
      </x:c>
      <x:c r="W496" s="31" t="n">
        <x:v>0</x:v>
      </x:c>
      <x:c r="X496" s="31"/>
      <x:c r="Y496" s="40"/>
      <x:c r="Z496" s="40"/>
      <x:c r="AA496" s="40"/>
      <x:c r="AB496" s="31" t="n">
        <x:v>0.290780684418256</x:v>
      </x:c>
      <x:c r="AC496" s="31" t="n">
        <x:v>8</x:v>
      </x:c>
      <x:c r="AD496" s="44" t="b">
        <x:v>0</x:v>
      </x:c>
    </x:row>
    <x:row r="497">
      <x:c r="A497" s="31" t="str">
        <x:v>36047015500</x:v>
      </x:c>
      <x:c r="B497" s="31" t="str">
        <x:v>Brooklyn</x:v>
      </x:c>
      <x:c r="C497" s="31" t="str">
        <x:v>015500</x:v>
      </x:c>
      <x:c r="D497" s="31" t="str">
        <x:v>BK0602</x:v>
      </x:c>
      <x:c r="E497" s="31" t="str">
        <x:v>Park Slope</x:v>
      </x:c>
      <x:c r="F497" s="31" t="n">
        <x:v>0.057780015415518825</x:v>
      </x:c>
      <x:c r="G497" s="31" t="n">
        <x:v>40.670513541228246</x:v>
      </x:c>
      <x:c r="H497" s="31" t="n">
        <x:v>-73.97856124640829</x:v>
      </x:c>
      <x:c r="I497" s="31" t="n">
        <x:v>3466</x:v>
      </x:c>
      <x:c r="J497" s="31" t="n">
        <x:v>59986.13837456827</x:v>
      </x:c>
      <x:c r="K497" s="31"/>
      <x:c r="L497" s="40"/>
      <x:c r="M497" s="40"/>
      <x:c r="N497" s="31" t="n">
        <x:v>409</x:v>
      </x:c>
      <x:c r="O497" s="31" t="n">
        <x:v>1620</x:v>
      </x:c>
      <x:c r="P497" s="31" t="n">
        <x:v>3.9067349472377404</x:v>
      </x:c>
      <x:c r="Q497" s="40" t="n">
        <x:v>0</x:v>
      </x:c>
      <x:c r="R497" s="40" t="n">
        <x:v>0.9592592592592593</x:v>
      </x:c>
      <x:c r="S497" s="40" t="n">
        <x:v>0.004320987654320987</x:v>
      </x:c>
      <x:c r="T497" s="31" t="n">
        <x:v>47.401550355769714</x:v>
      </x:c>
      <x:c r="U497" s="31" t="n">
        <x:v>77.11</x:v>
      </x:c>
      <x:c r="V497" s="31" t="n">
        <x:v>7</x:v>
      </x:c>
      <x:c r="W497" s="31" t="n">
        <x:v>2.019619157530294</x:v>
      </x:c>
      <x:c r="X497" s="31" t="n">
        <x:v>1</x:v>
      </x:c>
      <x:c r="Y497" s="40" t="n">
        <x:v>0</x:v>
      </x:c>
      <x:c r="Z497" s="40" t="n">
        <x:v>1</x:v>
      </x:c>
      <x:c r="AA497" s="40" t="n">
        <x:v>0.9864197530864197</x:v>
      </x:c>
      <x:c r="AB497" s="31" t="n">
        <x:v>0.08150136582821337</x:v>
      </x:c>
      <x:c r="AC497" s="31" t="n">
        <x:v>6</x:v>
      </x:c>
      <x:c r="AD497" s="44" t="b">
        <x:v>1</x:v>
      </x:c>
    </x:row>
    <x:row r="498">
      <x:c r="A498" s="31" t="str">
        <x:v>36047015700</x:v>
      </x:c>
      <x:c r="B498" s="31" t="str">
        <x:v>Brooklyn</x:v>
      </x:c>
      <x:c r="C498" s="31" t="str">
        <x:v>015700</x:v>
      </x:c>
      <x:c r="D498" s="31" t="str">
        <x:v>BK0602</x:v>
      </x:c>
      <x:c r="E498" s="31" t="str">
        <x:v>Park Slope</x:v>
      </x:c>
      <x:c r="F498" s="31" t="n">
        <x:v>0.06463987329975895</x:v>
      </x:c>
      <x:c r="G498" s="31" t="n">
        <x:v>40.67305235709932</x:v>
      </x:c>
      <x:c r="H498" s="31" t="n">
        <x:v>-73.97641672018112</x:v>
      </x:c>
      <x:c r="I498" s="31" t="n">
        <x:v>4447</x:v>
      </x:c>
      <x:c r="J498" s="31" t="n">
        <x:v>68796.5457385354</x:v>
      </x:c>
      <x:c r="K498" s="31"/>
      <x:c r="L498" s="40"/>
      <x:c r="M498" s="40"/>
      <x:c r="N498" s="31" t="n">
        <x:v>453</x:v>
      </x:c>
      <x:c r="O498" s="31" t="n">
        <x:v>2218</x:v>
      </x:c>
      <x:c r="P498" s="31" t="n">
        <x:v>4.322588020118884</x:v>
      </x:c>
      <x:c r="Q498" s="40" t="n">
        <x:v>0.05049594229035167</x:v>
      </x:c>
      <x:c r="R498" s="40" t="n">
        <x:v>0.9125338142470695</x:v>
      </x:c>
      <x:c r="S498" s="40" t="n">
        <x:v>0.0036068530207394047</x:v>
      </x:c>
      <x:c r="T498" s="31" t="n">
        <x:v>55.16019099590723</x:v>
      </x:c>
      <x:c r="U498" s="31" t="n">
        <x:v>158.61</x:v>
      </x:c>
      <x:c r="V498" s="31" t="n">
        <x:v>28</x:v>
      </x:c>
      <x:c r="W498" s="31" t="n">
        <x:v>6.296379581740499</x:v>
      </x:c>
      <x:c r="X498" s="31" t="n">
        <x:v>1</x:v>
      </x:c>
      <x:c r="Y498" s="40" t="n">
        <x:v>0</x:v>
      </x:c>
      <x:c r="Z498" s="40" t="n">
        <x:v>1</x:v>
      </x:c>
      <x:c r="AA498" s="40" t="n">
        <x:v>0.9914337240757439</x:v>
      </x:c>
      <x:c r="AB498" s="31" t="n">
        <x:v>0.13883042980611404</x:v>
      </x:c>
      <x:c r="AC498" s="31" t="n">
        <x:v>6</x:v>
      </x:c>
      <x:c r="AD498" s="44" t="b">
        <x:v>1</x:v>
      </x:c>
    </x:row>
    <x:row r="499">
      <x:c r="A499" s="31" t="str">
        <x:v>36047015900</x:v>
      </x:c>
      <x:c r="B499" s="31" t="str">
        <x:v>Brooklyn</x:v>
      </x:c>
      <x:c r="C499" s="31" t="str">
        <x:v>015900</x:v>
      </x:c>
      <x:c r="D499" s="31" t="str">
        <x:v>BK0602</x:v>
      </x:c>
      <x:c r="E499" s="31" t="str">
        <x:v>Park Slope</x:v>
      </x:c>
      <x:c r="F499" s="31" t="n">
        <x:v>0.0968240798044364</x:v>
      </x:c>
      <x:c r="G499" s="31" t="n">
        <x:v>40.67519108626848</x:v>
      </x:c>
      <x:c r="H499" s="31" t="n">
        <x:v>-73.97306478983486</x:v>
      </x:c>
      <x:c r="I499" s="31" t="n">
        <x:v>5206</x:v>
      </x:c>
      <x:c r="J499" s="31" t="n">
        <x:v>53767.61659408474</x:v>
      </x:c>
      <x:c r="K499" s="31"/>
      <x:c r="L499" s="40"/>
      <x:c r="M499" s="40"/>
      <x:c r="N499" s="31" t="n">
        <x:v>498</x:v>
      </x:c>
      <x:c r="O499" s="31" t="n">
        <x:v>2779</x:v>
      </x:c>
      <x:c r="P499" s="31" t="n">
        <x:v>5.3652934742982135</x:v>
      </x:c>
      <x:c r="Q499" s="40" t="n">
        <x:v>0.12774379273119826</x:v>
      </x:c>
      <x:c r="R499" s="40" t="n">
        <x:v>0.8481468154012235</x:v>
      </x:c>
      <x:c r="S499" s="40" t="n">
        <x:v>0</x:v>
      </x:c>
      <x:c r="T499" s="31" t="n">
        <x:v>66.78967614220943</x:v>
      </x:c>
      <x:c r="U499" s="31" t="n">
        <x:v>200.84</x:v>
      </x:c>
      <x:c r="V499" s="31" t="n">
        <x:v>38</x:v>
      </x:c>
      <x:c r="W499" s="31" t="n">
        <x:v>7.299270072992701</x:v>
      </x:c>
      <x:c r="X499" s="31" t="n">
        <x:v>1.9165167326376393</x:v>
      </x:c>
      <x:c r="Y499" s="40" t="n">
        <x:v>0</x:v>
      </x:c>
      <x:c r="Z499" s="40" t="n">
        <x:v>1</x:v>
      </x:c>
      <x:c r="AA499" s="40" t="n">
        <x:v>1</x:v>
      </x:c>
      <x:c r="AB499" s="31" t="n">
        <x:v>0.18755373760017108</x:v>
      </x:c>
      <x:c r="AC499" s="31" t="n">
        <x:v>9</x:v>
      </x:c>
      <x:c r="AD499" s="44" t="b">
        <x:v>1</x:v>
      </x:c>
    </x:row>
    <x:row r="500">
      <x:c r="A500" s="31" t="str">
        <x:v>36047016000</x:v>
      </x:c>
      <x:c r="B500" s="31" t="str">
        <x:v>Brooklyn</x:v>
      </x:c>
      <x:c r="C500" s="31" t="str">
        <x:v>016000</x:v>
      </x:c>
      <x:c r="D500" s="31" t="str">
        <x:v>BK1001</x:v>
      </x:c>
      <x:c r="E500" s="31" t="str">
        <x:v>Bay Ridge</x:v>
      </x:c>
      <x:c r="F500" s="31" t="n">
        <x:v>0.09990759869253615</x:v>
      </x:c>
      <x:c r="G500" s="31" t="n">
        <x:v>40.61898273699946</x:v>
      </x:c>
      <x:c r="H500" s="31" t="n">
        <x:v>-74.02686709937659</x:v>
      </x:c>
      <x:c r="I500" s="31" t="n">
        <x:v>4462</x:v>
      </x:c>
      <x:c r="J500" s="31" t="n">
        <x:v>44661.26759518788</x:v>
      </x:c>
      <x:c r="K500" s="31"/>
      <x:c r="L500" s="40"/>
      <x:c r="M500" s="40"/>
      <x:c r="N500" s="31" t="n">
        <x:v>345</x:v>
      </x:c>
      <x:c r="O500" s="31" t="n">
        <x:v>1800</x:v>
      </x:c>
      <x:c r="P500" s="31" t="n">
        <x:v>4.198888888888889</x:v>
      </x:c>
      <x:c r="Q500" s="40" t="n">
        <x:v>0</x:v>
      </x:c>
      <x:c r="R500" s="40" t="n">
        <x:v>0.7511111111111111</x:v>
      </x:c>
      <x:c r="S500" s="40" t="n">
        <x:v>0.011666666666666667</x:v>
      </x:c>
      <x:c r="T500" s="31" t="n">
        <x:v>46.860861770902005</x:v>
      </x:c>
      <x:c r="U500" s="31" t="n">
        <x:v>68.33330238</x:v>
      </x:c>
      <x:c r="V500" s="31" t="n">
        <x:v>18</x:v>
      </x:c>
      <x:c r="W500" s="31" t="n">
        <x:v>4.034065441506051</x:v>
      </x:c>
      <x:c r="X500" s="31" t="n">
        <x:v>2</x:v>
      </x:c>
      <x:c r="Y500" s="40" t="n">
        <x:v>0</x:v>
      </x:c>
      <x:c r="Z500" s="40" t="n">
        <x:v>1</x:v>
      </x:c>
      <x:c r="AA500" s="40" t="n">
        <x:v>0.9977777777777778</x:v>
      </x:c>
      <x:c r="AB500" s="31" t="n">
        <x:v>0.11403123532679886</x:v>
      </x:c>
      <x:c r="AC500" s="31" t="n">
        <x:v>10</x:v>
      </x:c>
      <x:c r="AD500" s="44" t="b">
        <x:v>1</x:v>
      </x:c>
    </x:row>
    <x:row r="501">
      <x:c r="A501" s="31" t="str">
        <x:v>36047016100</x:v>
      </x:c>
      <x:c r="B501" s="31" t="str">
        <x:v>Brooklyn</x:v>
      </x:c>
      <x:c r="C501" s="31" t="str">
        <x:v>016100</x:v>
      </x:c>
      <x:c r="D501" s="31" t="str">
        <x:v>BK0801</x:v>
      </x:c>
      <x:c r="E501" s="31" t="str">
        <x:v>Prospect Heights</x:v>
      </x:c>
      <x:c r="F501" s="31" t="n">
        <x:v>0.07045442781759355</x:v>
      </x:c>
      <x:c r="G501" s="31" t="n">
        <x:v>40.6798832249012</x:v>
      </x:c>
      <x:c r="H501" s="31" t="n">
        <x:v>-73.97318286328866</x:v>
      </x:c>
      <x:c r="I501" s="31" t="n">
        <x:v>3450</x:v>
      </x:c>
      <x:c r="J501" s="31" t="n">
        <x:v>48967.82369636223</x:v>
      </x:c>
      <x:c r="K501" s="31"/>
      <x:c r="L501" s="40"/>
      <x:c r="M501" s="40"/>
      <x:c r="N501" s="31" t="n">
        <x:v>340</x:v>
      </x:c>
      <x:c r="O501" s="31" t="n">
        <x:v>1979</x:v>
      </x:c>
      <x:c r="P501" s="31" t="n">
        <x:v>7.892967145790554</x:v>
      </x:c>
      <x:c r="Q501" s="40" t="n">
        <x:v>0.2425467407781708</x:v>
      </x:c>
      <x:c r="R501" s="40" t="n">
        <x:v>0.6937847397675594</x:v>
      </x:c>
      <x:c r="S501" s="40" t="n">
        <x:v>0.007579585649317837</x:v>
      </x:c>
      <x:c r="T501" s="31" t="n">
        <x:v>91.97825862306371</x:v>
      </x:c>
      <x:c r="U501" s="31" t="n">
        <x:v>272</x:v>
      </x:c>
      <x:c r="V501" s="31" t="n">
        <x:v>24</x:v>
      </x:c>
      <x:c r="W501" s="31" t="n">
        <x:v>6.9565217391304355</x:v>
      </x:c>
      <x:c r="X501" s="31" t="n">
        <x:v>2</x:v>
      </x:c>
      <x:c r="Y501" s="40" t="n">
        <x:v>0</x:v>
      </x:c>
      <x:c r="Z501" s="40" t="n">
        <x:v>1</x:v>
      </x:c>
      <x:c r="AA501" s="40" t="n">
        <x:v>0.9994946942900454</x:v>
      </x:c>
      <x:c r="AB501" s="31" t="n">
        <x:v>0.061527676216172854</x:v>
      </x:c>
      <x:c r="AC501" s="31" t="n">
        <x:v>6</x:v>
      </x:c>
      <x:c r="AD501" s="44" t="b">
        <x:v>1</x:v>
      </x:c>
    </x:row>
    <x:row r="502">
      <x:c r="A502" s="31" t="str">
        <x:v>36047016200</x:v>
      </x:c>
      <x:c r="B502" s="31" t="str">
        <x:v>Brooklyn</x:v>
      </x:c>
      <x:c r="C502" s="31" t="str">
        <x:v>016200</x:v>
      </x:c>
      <x:c r="D502" s="31" t="str">
        <x:v>BK1001</x:v>
      </x:c>
      <x:c r="E502" s="31" t="str">
        <x:v>Bay Ridge</x:v>
      </x:c>
      <x:c r="F502" s="31" t="n">
        <x:v>0.09119485191940714</x:v>
      </x:c>
      <x:c r="G502" s="31" t="n">
        <x:v>40.61323665959221</x:v>
      </x:c>
      <x:c r="H502" s="31" t="n">
        <x:v>-74.03136808447906</x:v>
      </x:c>
      <x:c r="I502" s="31" t="n">
        <x:v>2218</x:v>
      </x:c>
      <x:c r="J502" s="31" t="n">
        <x:v>24321.548347489428</x:v>
      </x:c>
      <x:c r="K502" s="31"/>
      <x:c r="L502" s="40"/>
      <x:c r="M502" s="40"/>
      <x:c r="N502" s="31" t="n">
        <x:v>230</x:v>
      </x:c>
      <x:c r="O502" s="31" t="n">
        <x:v>1162</x:v>
      </x:c>
      <x:c r="P502" s="31" t="n">
        <x:v>4.405134899912968</x:v>
      </x:c>
      <x:c r="Q502" s="40" t="n">
        <x:v>0</x:v>
      </x:c>
      <x:c r="R502" s="40" t="n">
        <x:v>0.7650602409638554</x:v>
      </x:c>
      <x:c r="S502" s="40" t="n">
        <x:v>0.0017211703958691911</x:v>
      </x:c>
      <x:c r="T502" s="31" t="n">
        <x:v>50.14552856260757</x:v>
      </x:c>
      <x:c r="U502" s="31" t="n">
        <x:v>74.59687259</x:v>
      </x:c>
      <x:c r="V502" s="31" t="n">
        <x:v>14</x:v>
      </x:c>
      <x:c r="W502" s="31" t="n">
        <x:v>6.311992786293959</x:v>
      </x:c>
      <x:c r="X502" s="31" t="n">
        <x:v>2</x:v>
      </x:c>
      <x:c r="Y502" s="40" t="n">
        <x:v>0</x:v>
      </x:c>
      <x:c r="Z502" s="40" t="n">
        <x:v>1</x:v>
      </x:c>
      <x:c r="AA502" s="40" t="n">
        <x:v>1</x:v>
      </x:c>
      <x:c r="AB502" s="31" t="n">
        <x:v>0.2189899156599646</x:v>
      </x:c>
      <x:c r="AC502" s="31" t="n">
        <x:v>6</x:v>
      </x:c>
      <x:c r="AD502" s="44" t="b">
        <x:v>1</x:v>
      </x:c>
    </x:row>
    <x:row r="503">
      <x:c r="A503" s="31" t="str">
        <x:v>36047016300</x:v>
      </x:c>
      <x:c r="B503" s="31" t="str">
        <x:v>Brooklyn</x:v>
      </x:c>
      <x:c r="C503" s="31" t="str">
        <x:v>016300</x:v>
      </x:c>
      <x:c r="D503" s="31" t="str">
        <x:v>BK0801</x:v>
      </x:c>
      <x:c r="E503" s="31" t="str">
        <x:v>Prospect Heights</x:v>
      </x:c>
      <x:c r="F503" s="31" t="n">
        <x:v>0.07102526127934171</x:v>
      </x:c>
      <x:c r="G503" s="31" t="n">
        <x:v>40.679177435370605</x:v>
      </x:c>
      <x:c r="H503" s="31" t="n">
        <x:v>-73.97000216955709</x:v>
      </x:c>
      <x:c r="I503" s="31" t="n">
        <x:v>4088</x:v>
      </x:c>
      <x:c r="J503" s="31" t="n">
        <x:v>57556.98643503658</x:v>
      </x:c>
      <x:c r="K503" s="31"/>
      <x:c r="L503" s="40"/>
      <x:c r="M503" s="40"/>
      <x:c r="N503" s="31" t="n">
        <x:v>327</x:v>
      </x:c>
      <x:c r="O503" s="31" t="n">
        <x:v>2766</x:v>
      </x:c>
      <x:c r="P503" s="31" t="n">
        <x:v>12.468817787418654</x:v>
      </x:c>
      <x:c r="Q503" s="40" t="n">
        <x:v>0.49638467100506145</x:v>
      </x:c>
      <x:c r="R503" s="40" t="n">
        <x:v>0.4609544468546638</x:v>
      </x:c>
      <x:c r="S503" s="40" t="n">
        <x:v>0</x:v>
      </x:c>
      <x:c r="T503" s="31" t="n">
        <x:v>151.06429502380968</x:v>
      </x:c>
      <x:c r="U503" s="31" t="n">
        <x:v>287</x:v>
      </x:c>
      <x:c r="V503" s="31" t="n">
        <x:v>28</x:v>
      </x:c>
      <x:c r="W503" s="31" t="n">
        <x:v>6.8493150684931505</x:v>
      </x:c>
      <x:c r="X503" s="31" t="n">
        <x:v>2</x:v>
      </x:c>
      <x:c r="Y503" s="40" t="n">
        <x:v>0</x:v>
      </x:c>
      <x:c r="Z503" s="40" t="n">
        <x:v>1</x:v>
      </x:c>
      <x:c r="AA503" s="40" t="n">
        <x:v>0.9992769342010123</x:v>
      </x:c>
      <x:c r="AB503" s="31" t="n">
        <x:v>0.1816381842582221</x:v>
      </x:c>
      <x:c r="AC503" s="31" t="n">
        <x:v>7</x:v>
      </x:c>
      <x:c r="AD503" s="44" t="b">
        <x:v>1</x:v>
      </x:c>
    </x:row>
    <x:row r="504">
      <x:c r="A504" s="31" t="str">
        <x:v>36047016400</x:v>
      </x:c>
      <x:c r="B504" s="31" t="str">
        <x:v>Brooklyn</x:v>
      </x:c>
      <x:c r="C504" s="31" t="str">
        <x:v>016400</x:v>
      </x:c>
      <x:c r="D504" s="31" t="str">
        <x:v>BK1061</x:v>
      </x:c>
      <x:c r="E504" s="31" t="str">
        <x:v>Fort Hamilton</x:v>
      </x:c>
      <x:c r="F504" s="31" t="n">
        <x:v>0.3036266279639434</x:v>
      </x:c>
      <x:c r="G504" s="31" t="n">
        <x:v>40.60815343259653</x:v>
      </x:c>
      <x:c r="H504" s="31" t="n">
        <x:v>-74.02774908671803</x:v>
      </x:c>
      <x:c r="I504" s="31" t="n">
        <x:v>775</x:v>
      </x:c>
      <x:c r="J504" s="31" t="n">
        <x:v>2552.4770511630936</x:v>
      </x:c>
      <x:c r="K504" s="31"/>
      <x:c r="L504" s="40"/>
      <x:c r="M504" s="40"/>
      <x:c r="N504" s="31" t="n">
        <x:v>11</x:v>
      </x:c>
      <x:c r="O504" s="31" t="n">
        <x:v>522</x:v>
      </x:c>
      <x:c r="P504" s="31" t="n">
        <x:v>5.830459770114943</x:v>
      </x:c>
      <x:c r="Q504" s="40" t="n">
        <x:v>0</x:v>
      </x:c>
      <x:c r="R504" s="40" t="n">
        <x:v>0.9712643678160919</x:v>
      </x:c>
      <x:c r="S504" s="40" t="n">
        <x:v>0.9597701149425287</x:v>
      </x:c>
      <x:c r="T504" s="31" t="n">
        <x:v>25.889949924348656</x:v>
      </x:c>
      <x:c r="U504" s="31" t="n">
        <x:v>30</x:v>
      </x:c>
      <x:c r="V504" s="31" t="n">
        <x:v>1</x:v>
      </x:c>
      <x:c r="W504" s="31" t="n">
        <x:v>1.2903225806451613</x:v>
      </x:c>
      <x:c r="X504" s="31" t="n">
        <x:v>2.0402298850574714</x:v>
      </x:c>
      <x:c r="Y504" s="40" t="n">
        <x:v>0</x:v>
      </x:c>
      <x:c r="Z504" s="40" t="n">
        <x:v>1</x:v>
      </x:c>
      <x:c r="AA504" s="40" t="n">
        <x:v>1</x:v>
      </x:c>
      <x:c r="AB504" s="31" t="n">
        <x:v>0.6011527213923461</x:v>
      </x:c>
      <x:c r="AC504" s="31" t="n">
        <x:v>6</x:v>
      </x:c>
      <x:c r="AD504" s="44" t="b">
        <x:v>1</x:v>
      </x:c>
    </x:row>
    <x:row r="505">
      <x:c r="A505" s="31" t="str">
        <x:v>36047016500</x:v>
      </x:c>
      <x:c r="B505" s="31" t="str">
        <x:v>Brooklyn</x:v>
      </x:c>
      <x:c r="C505" s="31" t="str">
        <x:v>016500</x:v>
      </x:c>
      <x:c r="D505" s="31" t="str">
        <x:v>BK0602</x:v>
      </x:c>
      <x:c r="E505" s="31" t="str">
        <x:v>Park Slope</x:v>
      </x:c>
      <x:c r="F505" s="31" t="n">
        <x:v>0.07211284117201848</x:v>
      </x:c>
      <x:c r="G505" s="31" t="n">
        <x:v>40.66997771406239</x:v>
      </x:c>
      <x:c r="H505" s="31" t="n">
        <x:v>-73.97403846339412</x:v>
      </x:c>
      <x:c r="I505" s="31" t="n">
        <x:v>5080</x:v>
      </x:c>
      <x:c r="J505" s="31" t="n">
        <x:v>70445.1512024347</x:v>
      </x:c>
      <x:c r="K505" s="31"/>
      <x:c r="L505" s="40"/>
      <x:c r="M505" s="40"/>
      <x:c r="N505" s="31" t="n">
        <x:v>523</x:v>
      </x:c>
      <x:c r="O505" s="31" t="n">
        <x:v>2526</x:v>
      </x:c>
      <x:c r="P505" s="31" t="n">
        <x:v>4.935313990461049</x:v>
      </x:c>
      <x:c r="Q505" s="40" t="n">
        <x:v>0.08194774346793349</x:v>
      </x:c>
      <x:c r="R505" s="40" t="n">
        <x:v>0.9125098970704671</x:v>
      </x:c>
      <x:c r="S505" s="40" t="n">
        <x:v>0.011876484560570071</x:v>
      </x:c>
      <x:c r="T505" s="31" t="n">
        <x:v>62.367065658194775</x:v>
      </x:c>
      <x:c r="U505" s="31" t="n">
        <x:v>213.04</x:v>
      </x:c>
      <x:c r="V505" s="31" t="n">
        <x:v>35</x:v>
      </x:c>
      <x:c r="W505" s="31" t="n">
        <x:v>6.889763779527559</x:v>
      </x:c>
      <x:c r="X505" s="31" t="n">
        <x:v>1</x:v>
      </x:c>
      <x:c r="Y505" s="40" t="n">
        <x:v>0</x:v>
      </x:c>
      <x:c r="Z505" s="40" t="n">
        <x:v>1</x:v>
      </x:c>
      <x:c r="AA505" s="40" t="n">
        <x:v>1</x:v>
      </x:c>
      <x:c r="AB505" s="31" t="n">
        <x:v>0.2489729721130444</x:v>
      </x:c>
      <x:c r="AC505" s="31" t="n">
        <x:v>6</x:v>
      </x:c>
      <x:c r="AD505" s="44" t="b">
        <x:v>1</x:v>
      </x:c>
    </x:row>
    <x:row r="506">
      <x:c r="A506" s="31" t="str">
        <x:v>36047016600</x:v>
      </x:c>
      <x:c r="B506" s="31" t="str">
        <x:v>Brooklyn</x:v>
      </x:c>
      <x:c r="C506" s="31" t="str">
        <x:v>016600</x:v>
      </x:c>
      <x:c r="D506" s="31" t="str">
        <x:v>BK1002</x:v>
      </x:c>
      <x:c r="E506" s="31" t="str">
        <x:v>Dyker Heights</x:v>
      </x:c>
      <x:c r="F506" s="31" t="n">
        <x:v>0.10307333913208792</x:v>
      </x:c>
      <x:c r="G506" s="31" t="n">
        <x:v>40.61870281056342</x:v>
      </x:c>
      <x:c r="H506" s="31" t="n">
        <x:v>-74.0162627819443</x:v>
      </x:c>
      <x:c r="I506" s="31" t="n">
        <x:v>1968</x:v>
      </x:c>
      <x:c r="J506" s="31" t="n">
        <x:v>19093.201176669154</x:v>
      </x:c>
      <x:c r="K506" s="31"/>
      <x:c r="L506" s="40"/>
      <x:c r="M506" s="40"/>
      <x:c r="N506" s="31" t="n">
        <x:v>602</x:v>
      </x:c>
      <x:c r="O506" s="31" t="n">
        <x:v>906</x:v>
      </x:c>
      <x:c r="P506" s="31" t="n">
        <x:v>2.093101545253863</x:v>
      </x:c>
      <x:c r="Q506" s="40" t="n">
        <x:v>0</x:v>
      </x:c>
      <x:c r="R506" s="40" t="n">
        <x:v>0.017660044150110375</x:v>
      </x:c>
      <x:c r="S506" s="40" t="n">
        <x:v>0.002207505518763797</x:v>
      </x:c>
      <x:c r="T506" s="31" t="n">
        <x:v>29.42975717547074</x:v>
      </x:c>
      <x:c r="U506" s="31" t="n">
        <x:v>45.94</x:v>
      </x:c>
      <x:c r="V506" s="31" t="n">
        <x:v>9</x:v>
      </x:c>
      <x:c r="W506" s="31" t="n">
        <x:v>4.573170731707317</x:v>
      </x:c>
      <x:c r="X506" s="31" t="n">
        <x:v>3</x:v>
      </x:c>
      <x:c r="Y506" s="40" t="n">
        <x:v>0</x:v>
      </x:c>
      <x:c r="Z506" s="40" t="n">
        <x:v>1</x:v>
      </x:c>
      <x:c r="AA506" s="40" t="n">
        <x:v>0.8675496688741722</x:v>
      </x:c>
      <x:c r="AB506" s="31" t="n">
        <x:v>0.156630744275467</x:v>
      </x:c>
      <x:c r="AC506" s="31" t="n">
        <x:v>7</x:v>
      </x:c>
      <x:c r="AD506" s="44" t="b">
        <x:v>1</x:v>
      </x:c>
    </x:row>
    <x:row r="507">
      <x:c r="A507" s="31" t="str">
        <x:v>36047016700</x:v>
      </x:c>
      <x:c r="B507" s="31" t="str">
        <x:v>Brooklyn</x:v>
      </x:c>
      <x:c r="C507" s="31" t="str">
        <x:v>016700</x:v>
      </x:c>
      <x:c r="D507" s="31" t="str">
        <x:v>BK0602</x:v>
      </x:c>
      <x:c r="E507" s="31" t="str">
        <x:v>Park Slope</x:v>
      </x:c>
      <x:c r="F507" s="31" t="n">
        <x:v>0.06521653525453398</x:v>
      </x:c>
      <x:c r="G507" s="31" t="n">
        <x:v>40.66429714418259</x:v>
      </x:c>
      <x:c r="H507" s="31" t="n">
        <x:v>-73.97877531772623</x:v>
      </x:c>
      <x:c r="I507" s="31" t="n">
        <x:v>4754</x:v>
      </x:c>
      <x:c r="J507" s="31" t="n">
        <x:v>72895.62350170224</x:v>
      </x:c>
      <x:c r="K507" s="31"/>
      <x:c r="L507" s="40"/>
      <x:c r="M507" s="40"/>
      <x:c r="N507" s="31" t="n">
        <x:v>514</x:v>
      </x:c>
      <x:c r="O507" s="31" t="n">
        <x:v>2318</x:v>
      </x:c>
      <x:c r="P507" s="31" t="n">
        <x:v>3.4787839020122484</x:v>
      </x:c>
      <x:c r="Q507" s="40" t="n">
        <x:v>0</x:v>
      </x:c>
      <x:c r="R507" s="40" t="n">
        <x:v>0.7463330457290768</x:v>
      </x:c>
      <x:c r="S507" s="40" t="n">
        <x:v>0.011216566005176877</x:v>
      </x:c>
      <x:c r="T507" s="31" t="n">
        <x:v>45.63125539257981</x:v>
      </x:c>
      <x:c r="U507" s="31" t="n">
        <x:v>80.16</x:v>
      </x:c>
      <x:c r="V507" s="31" t="n">
        <x:v>6</x:v>
      </x:c>
      <x:c r="W507" s="31" t="n">
        <x:v>1.2620950778291964</x:v>
      </x:c>
      <x:c r="X507" s="31" t="n">
        <x:v>1</x:v>
      </x:c>
      <x:c r="Y507" s="40" t="n">
        <x:v>0</x:v>
      </x:c>
      <x:c r="Z507" s="40" t="n">
        <x:v>1</x:v>
      </x:c>
      <x:c r="AA507" s="40" t="n">
        <x:v>1</x:v>
      </x:c>
      <x:c r="AB507" s="31" t="n">
        <x:v>0.15321607655847033</x:v>
      </x:c>
      <x:c r="AC507" s="31" t="n">
        <x:v>7</x:v>
      </x:c>
      <x:c r="AD507" s="44" t="b">
        <x:v>1</x:v>
      </x:c>
    </x:row>
    <x:row r="508">
      <x:c r="A508" s="31" t="str">
        <x:v>36047016800</x:v>
      </x:c>
      <x:c r="B508" s="31" t="str">
        <x:v>Brooklyn</x:v>
      </x:c>
      <x:c r="C508" s="31" t="str">
        <x:v>016800</x:v>
      </x:c>
      <x:c r="D508" s="31" t="str">
        <x:v>BK1102</x:v>
      </x:c>
      <x:c r="E508" s="31" t="str">
        <x:v>Bath Beach</x:v>
      </x:c>
      <x:c r="F508" s="31" t="n">
        <x:v>0.06429352620308196</x:v>
      </x:c>
      <x:c r="G508" s="31" t="n">
        <x:v>40.6042311944112</x:v>
      </x:c>
      <x:c r="H508" s="31" t="n">
        <x:v>-74.01576723858503</x:v>
      </x:c>
      <x:c r="I508" s="31" t="n">
        <x:v>1695</x:v>
      </x:c>
      <x:c r="J508" s="31" t="n">
        <x:v>26363.463012528762</x:v>
      </x:c>
      <x:c r="K508" s="31"/>
      <x:c r="L508" s="40"/>
      <x:c r="M508" s="40"/>
      <x:c r="N508" s="31" t="n">
        <x:v>288</x:v>
      </x:c>
      <x:c r="O508" s="31" t="n">
        <x:v>751</x:v>
      </x:c>
      <x:c r="P508" s="31" t="n">
        <x:v>2.129387483355526</x:v>
      </x:c>
      <x:c r="Q508" s="40" t="n">
        <x:v>0</x:v>
      </x:c>
      <x:c r="R508" s="40" t="n">
        <x:v>0.12117177097203728</x:v>
      </x:c>
      <x:c r="S508" s="40" t="n">
        <x:v>0.2663115845539281</x:v>
      </x:c>
      <x:c r="T508" s="31" t="n">
        <x:v>26.473622655126498</x:v>
      </x:c>
      <x:c r="U508" s="31" t="n">
        <x:v>39.01</x:v>
      </x:c>
      <x:c r="V508" s="31" t="n">
        <x:v>0</x:v>
      </x:c>
      <x:c r="W508" s="31" t="n">
        <x:v>0</x:v>
      </x:c>
      <x:c r="X508" s="31" t="n">
        <x:v>3.0745672436750997</x:v>
      </x:c>
      <x:c r="Y508" s="40" t="n">
        <x:v>0.07456724367509987</x:v>
      </x:c>
      <x:c r="Z508" s="40" t="n">
        <x:v>1</x:v>
      </x:c>
      <x:c r="AA508" s="40" t="n">
        <x:v>1</x:v>
      </x:c>
      <x:c r="AB508" s="31" t="n">
        <x:v>0.43937627042031074</x:v>
      </x:c>
      <x:c r="AC508" s="31" t="n">
        <x:v>5</x:v>
      </x:c>
      <x:c r="AD508" s="44" t="b">
        <x:v>1</x:v>
      </x:c>
    </x:row>
    <x:row r="509">
      <x:c r="A509" s="31" t="str">
        <x:v>36047016900</x:v>
      </x:c>
      <x:c r="B509" s="31" t="str">
        <x:v>Brooklyn</x:v>
      </x:c>
      <x:c r="C509" s="31" t="str">
        <x:v>016900</x:v>
      </x:c>
      <x:c r="D509" s="31" t="str">
        <x:v>BK0701</x:v>
      </x:c>
      <x:c r="E509" s="31" t="str">
        <x:v>Windsor Terrace-South Slope</x:v>
      </x:c>
      <x:c r="F509" s="31" t="n">
        <x:v>0.08099217961827078</x:v>
      </x:c>
      <x:c r="G509" s="31" t="n">
        <x:v>40.65929133557355</x:v>
      </x:c>
      <x:c r="H509" s="31" t="n">
        <x:v>-73.98128726800643</x:v>
      </x:c>
      <x:c r="I509" s="31" t="n">
        <x:v>4459</x:v>
      </x:c>
      <x:c r="J509" s="31" t="n">
        <x:v>55054.698132782534</x:v>
      </x:c>
      <x:c r="K509" s="31"/>
      <x:c r="L509" s="40"/>
      <x:c r="M509" s="40"/>
      <x:c r="N509" s="31" t="n">
        <x:v>595</x:v>
      </x:c>
      <x:c r="O509" s="31" t="n">
        <x:v>2210</x:v>
      </x:c>
      <x:c r="P509" s="31" t="n">
        <x:v>3.5240471869328496</x:v>
      </x:c>
      <x:c r="Q509" s="40" t="n">
        <x:v>0</x:v>
      </x:c>
      <x:c r="R509" s="40" t="n">
        <x:v>0.7018099547511312</x:v>
      </x:c>
      <x:c r="S509" s="40" t="n">
        <x:v>0.0027149321266968325</x:v>
      </x:c>
      <x:c r="T509" s="31" t="n">
        <x:v>41.655558163545166</x:v>
      </x:c>
      <x:c r="U509" s="31" t="n">
        <x:v>73.38</x:v>
      </x:c>
      <x:c r="V509" s="31" t="n">
        <x:v>7</x:v>
      </x:c>
      <x:c r="W509" s="31" t="n">
        <x:v>1.5698587127158556</x:v>
      </x:c>
      <x:c r="X509" s="31" t="n">
        <x:v>1</x:v>
      </x:c>
      <x:c r="Y509" s="40" t="n">
        <x:v>0</x:v>
      </x:c>
      <x:c r="Z509" s="40" t="n">
        <x:v>1</x:v>
      </x:c>
      <x:c r="AA509" s="40" t="n">
        <x:v>0.9968325791855204</x:v>
      </x:c>
      <x:c r="AB509" s="31" t="n">
        <x:v>0.2208506723596792</x:v>
      </x:c>
      <x:c r="AC509" s="31" t="n">
        <x:v>6</x:v>
      </x:c>
      <x:c r="AD509" s="44" t="b">
        <x:v>1</x:v>
      </x:c>
    </x:row>
    <x:row r="510">
      <x:c r="A510" s="31" t="str">
        <x:v>36047017000</x:v>
      </x:c>
      <x:c r="B510" s="31" t="str">
        <x:v>Brooklyn</x:v>
      </x:c>
      <x:c r="C510" s="31" t="str">
        <x:v>017000</x:v>
      </x:c>
      <x:c r="D510" s="31" t="str">
        <x:v>BK1102</x:v>
      </x:c>
      <x:c r="E510" s="31" t="str">
        <x:v>Bath Beach</x:v>
      </x:c>
      <x:c r="F510" s="31" t="n">
        <x:v>0.08069711380638774</x:v>
      </x:c>
      <x:c r="G510" s="31" t="n">
        <x:v>40.61013325647096</x:v>
      </x:c>
      <x:c r="H510" s="31" t="n">
        <x:v>-74.0126338534979</x:v>
      </x:c>
      <x:c r="I510" s="31" t="n">
        <x:v>3604</x:v>
      </x:c>
      <x:c r="J510" s="31" t="n">
        <x:v>44660.82899379628</x:v>
      </x:c>
      <x:c r="K510" s="31"/>
      <x:c r="L510" s="40"/>
      <x:c r="M510" s="40"/>
      <x:c r="N510" s="31" t="n">
        <x:v>544</x:v>
      </x:c>
      <x:c r="O510" s="31" t="n">
        <x:v>1239</x:v>
      </x:c>
      <x:c r="P510" s="31" t="n">
        <x:v>2.064035512510089</x:v>
      </x:c>
      <x:c r="Q510" s="40" t="n">
        <x:v>0</x:v>
      </x:c>
      <x:c r="R510" s="40" t="n">
        <x:v>0.10008071025020178</x:v>
      </x:c>
      <x:c r="S510" s="40" t="n">
        <x:v>0.008071025020177562</x:v>
      </x:c>
      <x:c r="T510" s="31" t="n">
        <x:v>28.524577596885646</x:v>
      </x:c>
      <x:c r="U510" s="31" t="n">
        <x:v>43.81</x:v>
      </x:c>
      <x:c r="V510" s="31" t="n">
        <x:v>0</x:v>
      </x:c>
      <x:c r="W510" s="31" t="n">
        <x:v>0</x:v>
      </x:c>
      <x:c r="X510" s="31" t="n">
        <x:v>3</x:v>
      </x:c>
      <x:c r="Y510" s="40" t="n">
        <x:v>0</x:v>
      </x:c>
      <x:c r="Z510" s="40" t="n">
        <x:v>1</x:v>
      </x:c>
      <x:c r="AA510" s="40" t="n">
        <x:v>0.9951573849878934</x:v>
      </x:c>
      <x:c r="AB510" s="31" t="n">
        <x:v>0.04825771502887908</x:v>
      </x:c>
      <x:c r="AC510" s="31" t="n">
        <x:v>5</x:v>
      </x:c>
      <x:c r="AD510" s="44" t="b">
        <x:v>1</x:v>
      </x:c>
    </x:row>
    <x:row r="511">
      <x:c r="A511" s="31" t="str">
        <x:v>36047017100</x:v>
      </x:c>
      <x:c r="B511" s="31" t="str">
        <x:v>Brooklyn</x:v>
      </x:c>
      <x:c r="C511" s="31" t="str">
        <x:v>017100</x:v>
      </x:c>
      <x:c r="D511" s="31" t="str">
        <x:v>BK0701</x:v>
      </x:c>
      <x:c r="E511" s="31" t="str">
        <x:v>Windsor Terrace-South Slope</x:v>
      </x:c>
      <x:c r="F511" s="31" t="n">
        <x:v>0.08058344485981979</x:v>
      </x:c>
      <x:c r="G511" s="31" t="n">
        <x:v>40.656967442628506</x:v>
      </x:c>
      <x:c r="H511" s="31" t="n">
        <x:v>-73.97685187728364</x:v>
      </x:c>
      <x:c r="I511" s="31" t="n">
        <x:v>3717</x:v>
      </x:c>
      <x:c r="J511" s="31" t="n">
        <x:v>46126.09955389679</x:v>
      </x:c>
      <x:c r="K511" s="31"/>
      <x:c r="L511" s="40"/>
      <x:c r="M511" s="40"/>
      <x:c r="N511" s="31" t="n">
        <x:v>612</x:v>
      </x:c>
      <x:c r="O511" s="31" t="n">
        <x:v>1771</x:v>
      </x:c>
      <x:c r="P511" s="31" t="n">
        <x:v>2.9886299033541786</x:v>
      </x:c>
      <x:c r="Q511" s="40" t="n">
        <x:v>0</x:v>
      </x:c>
      <x:c r="R511" s="40" t="n">
        <x:v>0.43873517786561267</x:v>
      </x:c>
      <x:c r="S511" s="40" t="n">
        <x:v>0.06719367588932806</x:v>
      </x:c>
      <x:c r="T511" s="31" t="n">
        <x:v>37.07832096404291</x:v>
      </x:c>
      <x:c r="U511" s="31" t="n">
        <x:v>71.89</x:v>
      </x:c>
      <x:c r="V511" s="31" t="n">
        <x:v>8</x:v>
      </x:c>
      <x:c r="W511" s="31" t="n">
        <x:v>2.1522733387140165</x:v>
      </x:c>
      <x:c r="X511" s="31" t="n">
        <x:v>1.997176736307171</x:v>
      </x:c>
      <x:c r="Y511" s="40" t="n">
        <x:v>0</x:v>
      </x:c>
      <x:c r="Z511" s="40" t="n">
        <x:v>1</x:v>
      </x:c>
      <x:c r="AA511" s="40" t="n">
        <x:v>1</x:v>
      </x:c>
      <x:c r="AB511" s="31" t="n">
        <x:v>0.03997648807262715</x:v>
      </x:c>
      <x:c r="AC511" s="31" t="n">
        <x:v>4</x:v>
      </x:c>
      <x:c r="AD511" s="44" t="b">
        <x:v>1</x:v>
      </x:c>
    </x:row>
    <x:row r="512">
      <x:c r="A512" s="31" t="str">
        <x:v>36047017200</x:v>
      </x:c>
      <x:c r="B512" s="31" t="str">
        <x:v>Brooklyn</x:v>
      </x:c>
      <x:c r="C512" s="31" t="str">
        <x:v>017200</x:v>
      </x:c>
      <x:c r="D512" s="31" t="str">
        <x:v>BK1102</x:v>
      </x:c>
      <x:c r="E512" s="31" t="str">
        <x:v>Bath Beach</x:v>
      </x:c>
      <x:c r="F512" s="31" t="n">
        <x:v>0.07950046783638946</x:v>
      </x:c>
      <x:c r="G512" s="31" t="n">
        <x:v>40.60887691379008</x:v>
      </x:c>
      <x:c r="H512" s="31" t="n">
        <x:v>-74.01035227535684</x:v>
      </x:c>
      <x:c r="I512" s="31" t="n">
        <x:v>3300</x:v>
      </x:c>
      <x:c r="J512" s="31" t="n">
        <x:v>41509.18969170522</x:v>
      </x:c>
      <x:c r="K512" s="31"/>
      <x:c r="L512" s="40"/>
      <x:c r="M512" s="40"/>
      <x:c r="N512" s="31" t="n">
        <x:v>535</x:v>
      </x:c>
      <x:c r="O512" s="31" t="n">
        <x:v>1148</x:v>
      </x:c>
      <x:c r="P512" s="31" t="n">
        <x:v>2.1344133099824867</x:v>
      </x:c>
      <x:c r="Q512" s="40" t="n">
        <x:v>0</x:v>
      </x:c>
      <x:c r="R512" s="40" t="n">
        <x:v>0.12630662020905922</x:v>
      </x:c>
      <x:c r="S512" s="40" t="n">
        <x:v>0.01132404181184669</x:v>
      </x:c>
      <x:c r="T512" s="31" t="n">
        <x:v>27.877436216620207</x:v>
      </x:c>
      <x:c r="U512" s="31" t="n">
        <x:v>44.74</x:v>
      </x:c>
      <x:c r="V512" s="31" t="n">
        <x:v>0</x:v>
      </x:c>
      <x:c r="W512" s="31" t="n">
        <x:v>0</x:v>
      </x:c>
      <x:c r="X512" s="31" t="n">
        <x:v>3.1393728222996518</x:v>
      </x:c>
      <x:c r="Y512" s="40" t="n">
        <x:v>0.13937282229965156</x:v>
      </x:c>
      <x:c r="Z512" s="40" t="n">
        <x:v>1</x:v>
      </x:c>
      <x:c r="AA512" s="40" t="n">
        <x:v>1</x:v>
      </x:c>
      <x:c r="AB512" s="31" t="n">
        <x:v>0.19470050784128679</x:v>
      </x:c>
      <x:c r="AC512" s="31" t="n">
        <x:v>6</x:v>
      </x:c>
      <x:c r="AD512" s="44" t="b">
        <x:v>1</x:v>
      </x:c>
    </x:row>
    <x:row r="513">
      <x:c r="A513" s="31" t="str">
        <x:v>36047017400</x:v>
      </x:c>
      <x:c r="B513" s="31" t="str">
        <x:v>Brooklyn</x:v>
      </x:c>
      <x:c r="C513" s="31" t="str">
        <x:v>017400</x:v>
      </x:c>
      <x:c r="D513" s="31" t="str">
        <x:v>BK1102</x:v>
      </x:c>
      <x:c r="E513" s="31" t="str">
        <x:v>Bath Beach</x:v>
      </x:c>
      <x:c r="F513" s="31" t="n">
        <x:v>0.06362444316962236</x:v>
      </x:c>
      <x:c r="G513" s="31" t="n">
        <x:v>40.60374254290095</x:v>
      </x:c>
      <x:c r="H513" s="31" t="n">
        <x:v>-74.01158962065067</x:v>
      </x:c>
      <x:c r="I513" s="31" t="n">
        <x:v>1950</x:v>
      </x:c>
      <x:c r="J513" s="31" t="n">
        <x:v>30648.598287945915</x:v>
      </x:c>
      <x:c r="K513" s="31"/>
      <x:c r="L513" s="40"/>
      <x:c r="M513" s="40"/>
      <x:c r="N513" s="31" t="n">
        <x:v>398</x:v>
      </x:c>
      <x:c r="O513" s="31" t="n">
        <x:v>745</x:v>
      </x:c>
      <x:c r="P513" s="31" t="n">
        <x:v>2.3144295302013425</x:v>
      </x:c>
      <x:c r="Q513" s="40" t="n">
        <x:v>0</x:v>
      </x:c>
      <x:c r="R513" s="40" t="n">
        <x:v>0.2563758389261745</x:v>
      </x:c>
      <x:c r="S513" s="40" t="n">
        <x:v>0.005369127516778523</x:v>
      </x:c>
      <x:c r="T513" s="31" t="n">
        <x:v>27.547442555834483</x:v>
      </x:c>
      <x:c r="U513" s="31" t="n">
        <x:v>45.18</x:v>
      </x:c>
      <x:c r="V513" s="31" t="n">
        <x:v>0</x:v>
      </x:c>
      <x:c r="W513" s="31" t="n">
        <x:v>0</x:v>
      </x:c>
      <x:c r="X513" s="31" t="n">
        <x:v>4</x:v>
      </x:c>
      <x:c r="Y513" s="40" t="n">
        <x:v>1</x:v>
      </x:c>
      <x:c r="Z513" s="40" t="n">
        <x:v>1</x:v>
      </x:c>
      <x:c r="AA513" s="40" t="n">
        <x:v>0.9731543624161074</x:v>
      </x:c>
      <x:c r="AB513" s="31" t="n">
        <x:v>0.2892873805343988</x:v>
      </x:c>
      <x:c r="AC513" s="31" t="n">
        <x:v>5</x:v>
      </x:c>
      <x:c r="AD513" s="44" t="b">
        <x:v>1</x:v>
      </x:c>
    </x:row>
    <x:row r="514">
      <x:c r="A514" s="31" t="str">
        <x:v>36047017500</x:v>
      </x:c>
      <x:c r="B514" s="31" t="str">
        <x:v>Brooklyn</x:v>
      </x:c>
      <x:c r="C514" s="31" t="str">
        <x:v>017500</x:v>
      </x:c>
      <x:c r="D514" s="31" t="str">
        <x:v>BK0771</x:v>
      </x:c>
      <x:c r="E514" s="31" t="str">
        <x:v>Green-Wood Cemetery</x:v>
      </x:c>
      <x:c r="F514" s="31" t="n">
        <x:v>0.756915698045799</x:v>
      </x:c>
      <x:c r="G514" s="31" t="n">
        <x:v>40.65213723582515</x:v>
      </x:c>
      <x:c r="H514" s="31" t="n">
        <x:v>-73.99023692821132</x:v>
      </x:c>
      <x:c r="I514" s="31" t="n">
        <x:v>5</x:v>
      </x:c>
      <x:c r="J514" s="31" t="n">
        <x:v>6.605755453228113</x:v>
      </x:c>
      <x:c r="K514" s="31"/>
      <x:c r="L514" s="40"/>
      <x:c r="M514" s="40"/>
      <x:c r="N514" s="31" t="n">
        <x:v>0</x:v>
      </x:c>
      <x:c r="O514" s="31"/>
      <x:c r="P514" s="31"/>
      <x:c r="Q514" s="40"/>
      <x:c r="R514" s="40"/>
      <x:c r="S514" s="40"/>
      <x:c r="T514" s="31"/>
      <x:c r="U514" s="31"/>
      <x:c r="V514" s="31" t="n">
        <x:v>0</x:v>
      </x:c>
      <x:c r="W514" s="31" t="n">
        <x:v>0</x:v>
      </x:c>
      <x:c r="X514" s="31"/>
      <x:c r="Y514" s="40"/>
      <x:c r="Z514" s="40"/>
      <x:c r="AA514" s="40"/>
      <x:c r="AB514" s="31" t="n">
        <x:v>0.48914015625009505</x:v>
      </x:c>
      <x:c r="AC514" s="31" t="n">
        <x:v>12</x:v>
      </x:c>
      <x:c r="AD514" s="44" t="b">
        <x:v>0</x:v>
      </x:c>
    </x:row>
    <x:row r="515">
      <x:c r="A515" s="31" t="str">
        <x:v>36047017600</x:v>
      </x:c>
      <x:c r="B515" s="31" t="str">
        <x:v>Brooklyn</x:v>
      </x:c>
      <x:c r="C515" s="31" t="str">
        <x:v>017600</x:v>
      </x:c>
      <x:c r="D515" s="31" t="str">
        <x:v>BK1102</x:v>
      </x:c>
      <x:c r="E515" s="31" t="str">
        <x:v>Bath Beach</x:v>
      </x:c>
      <x:c r="F515" s="31" t="n">
        <x:v>0.051543017890911966</x:v>
      </x:c>
      <x:c r="G515" s="31" t="n">
        <x:v>40.60251504572059</x:v>
      </x:c>
      <x:c r="H515" s="31" t="n">
        <x:v>-74.00881277190955</x:v>
      </x:c>
      <x:c r="I515" s="31" t="n">
        <x:v>2418</x:v>
      </x:c>
      <x:c r="J515" s="31" t="n">
        <x:v>46912.27054491779</x:v>
      </x:c>
      <x:c r="K515" s="31"/>
      <x:c r="L515" s="40"/>
      <x:c r="M515" s="40"/>
      <x:c r="N515" s="31" t="n">
        <x:v>225</x:v>
      </x:c>
      <x:c r="O515" s="31" t="n">
        <x:v>914</x:v>
      </x:c>
      <x:c r="P515" s="31" t="n">
        <x:v>2.692560175054705</x:v>
      </x:c>
      <x:c r="Q515" s="40" t="n">
        <x:v>0</x:v>
      </x:c>
      <x:c r="R515" s="40" t="n">
        <x:v>0.5798687089715536</x:v>
      </x:c>
      <x:c r="S515" s="40" t="n">
        <x:v>0.3982494529540481</x:v>
      </x:c>
      <x:c r="T515" s="31" t="n">
        <x:v>31.31639618907489</x:v>
      </x:c>
      <x:c r="U515" s="31" t="n">
        <x:v>47.25</x:v>
      </x:c>
      <x:c r="V515" s="31" t="n">
        <x:v>1</x:v>
      </x:c>
      <x:c r="W515" s="31" t="n">
        <x:v>0.41356492969396197</x:v>
      </x:c>
      <x:c r="X515" s="31" t="n">
        <x:v>4</x:v>
      </x:c>
      <x:c r="Y515" s="40" t="n">
        <x:v>1</x:v>
      </x:c>
      <x:c r="Z515" s="40" t="n">
        <x:v>1</x:v>
      </x:c>
      <x:c r="AA515" s="40" t="n">
        <x:v>0.9934354485776805</x:v>
      </x:c>
      <x:c r="AB515" s="31" t="n">
        <x:v>0.2923071816947638</x:v>
      </x:c>
      <x:c r="AC515" s="31" t="n">
        <x:v>4</x:v>
      </x:c>
      <x:c r="AD515" s="44" t="b">
        <x:v>1</x:v>
      </x:c>
    </x:row>
    <x:row r="516">
      <x:c r="A516" s="31" t="str">
        <x:v>36047017700</x:v>
      </x:c>
      <x:c r="B516" s="31" t="str">
        <x:v>Brooklyn</x:v>
      </x:c>
      <x:c r="C516" s="31" t="str">
        <x:v>017700</x:v>
      </x:c>
      <x:c r="D516" s="31" t="str">
        <x:v>BK5591</x:v>
      </x:c>
      <x:c r="E516" s="31" t="str">
        <x:v>Prospect Park</x:v>
      </x:c>
      <x:c r="F516" s="31" t="n">
        <x:v>0.9802624574903869</x:v>
      </x:c>
      <x:c r="G516" s="31" t="n">
        <x:v>40.66160148267534</x:v>
      </x:c>
      <x:c r="H516" s="31" t="n">
        <x:v>-73.9689207541545</x:v>
      </x:c>
      <x:c r="I516" s="31" t="n">
        <x:v>15</x:v>
      </x:c>
      <x:c r="J516" s="31" t="n">
        <x:v>15.302024356213908</x:v>
      </x:c>
      <x:c r="K516" s="31"/>
      <x:c r="L516" s="40"/>
      <x:c r="M516" s="40"/>
      <x:c r="N516" s="31" t="n">
        <x:v>0</x:v>
      </x:c>
      <x:c r="O516" s="31"/>
      <x:c r="P516" s="31"/>
      <x:c r="Q516" s="40"/>
      <x:c r="R516" s="40"/>
      <x:c r="S516" s="40"/>
      <x:c r="T516" s="31"/>
      <x:c r="U516" s="31"/>
      <x:c r="V516" s="31" t="n">
        <x:v>0</x:v>
      </x:c>
      <x:c r="W516" s="31" t="n">
        <x:v>0</x:v>
      </x:c>
      <x:c r="X516" s="31"/>
      <x:c r="Y516" s="40"/>
      <x:c r="Z516" s="40"/>
      <x:c r="AA516" s="40"/>
      <x:c r="AB516" s="31" t="n">
        <x:v>0.4899535533838442</x:v>
      </x:c>
      <x:c r="AC516" s="31" t="n">
        <x:v>15</x:v>
      </x:c>
      <x:c r="AD516" s="44" t="b">
        <x:v>0</x:v>
      </x:c>
    </x:row>
    <x:row r="517">
      <x:c r="A517" s="31" t="str">
        <x:v>36047017800</x:v>
      </x:c>
      <x:c r="B517" s="31" t="str">
        <x:v>Brooklyn</x:v>
      </x:c>
      <x:c r="C517" s="31" t="str">
        <x:v>017800</x:v>
      </x:c>
      <x:c r="D517" s="31" t="str">
        <x:v>BK1102</x:v>
      </x:c>
      <x:c r="E517" s="31" t="str">
        <x:v>Bath Beach</x:v>
      </x:c>
      <x:c r="F517" s="31" t="n">
        <x:v>0.06331838176294192</x:v>
      </x:c>
      <x:c r="G517" s="31" t="n">
        <x:v>40.606968391550296</x:v>
      </x:c>
      <x:c r="H517" s="31" t="n">
        <x:v>-74.00472388926846</x:v>
      </x:c>
      <x:c r="I517" s="31" t="n">
        <x:v>2959</x:v>
      </x:c>
      <x:c r="J517" s="31" t="n">
        <x:v>46732.08502198016</x:v>
      </x:c>
      <x:c r="K517" s="31"/>
      <x:c r="L517" s="40"/>
      <x:c r="M517" s="40"/>
      <x:c r="N517" s="31" t="n">
        <x:v>294</x:v>
      </x:c>
      <x:c r="O517" s="31" t="n">
        <x:v>962</x:v>
      </x:c>
      <x:c r="P517" s="31" t="n">
        <x:v>2.906964656964657</x:v>
      </x:c>
      <x:c r="Q517" s="40" t="n">
        <x:v>0</x:v>
      </x:c>
      <x:c r="R517" s="40" t="n">
        <x:v>0.6008316008316008</x:v>
      </x:c>
      <x:c r="S517" s="40" t="n">
        <x:v>0.08212058212058213</x:v>
      </x:c>
      <x:c r="T517" s="31" t="n">
        <x:v>36.05811690245047</x:v>
      </x:c>
      <x:c r="U517" s="31" t="n">
        <x:v>50.93</x:v>
      </x:c>
      <x:c r="V517" s="31" t="n">
        <x:v>6</x:v>
      </x:c>
      <x:c r="W517" s="31" t="n">
        <x:v>2.0277120648867863</x:v>
      </x:c>
      <x:c r="X517" s="31" t="n">
        <x:v>4</x:v>
      </x:c>
      <x:c r="Y517" s="40" t="n">
        <x:v>1</x:v>
      </x:c>
      <x:c r="Z517" s="40" t="n">
        <x:v>1</x:v>
      </x:c>
      <x:c r="AA517" s="40" t="n">
        <x:v>0.9968814968814969</x:v>
      </x:c>
      <x:c r="AB517" s="31" t="n">
        <x:v>0.10266556133795164</x:v>
      </x:c>
      <x:c r="AC517" s="31" t="n">
        <x:v>7</x:v>
      </x:c>
      <x:c r="AD517" s="44" t="b">
        <x:v>1</x:v>
      </x:c>
    </x:row>
    <x:row r="518">
      <x:c r="A518" s="31" t="str">
        <x:v>36047017900</x:v>
      </x:c>
      <x:c r="B518" s="31" t="str">
        <x:v>Brooklyn</x:v>
      </x:c>
      <x:c r="C518" s="31" t="str">
        <x:v>017900</x:v>
      </x:c>
      <x:c r="D518" s="31" t="str">
        <x:v>BK0203</x:v>
      </x:c>
      <x:c r="E518" s="31" t="str">
        <x:v>Fort Greene</x:v>
      </x:c>
      <x:c r="F518" s="31" t="n">
        <x:v>0.06115870879749196</x:v>
      </x:c>
      <x:c r="G518" s="31" t="n">
        <x:v>40.68423878056649</x:v>
      </x:c>
      <x:c r="H518" s="31" t="n">
        <x:v>-73.97132615696403</x:v>
      </x:c>
      <x:c r="I518" s="31" t="n">
        <x:v>3895</x:v>
      </x:c>
      <x:c r="J518" s="31" t="n">
        <x:v>63686.75985127614</x:v>
      </x:c>
      <x:c r="K518" s="31"/>
      <x:c r="L518" s="40"/>
      <x:c r="M518" s="40"/>
      <x:c r="N518" s="31" t="n">
        <x:v>227</x:v>
      </x:c>
      <x:c r="O518" s="31" t="n">
        <x:v>1478</x:v>
      </x:c>
      <x:c r="P518" s="31" t="n">
        <x:v>11.947880472550382</x:v>
      </x:c>
      <x:c r="Q518" s="40" t="n">
        <x:v>0.462787550744249</x:v>
      </x:c>
      <x:c r="R518" s="40" t="n">
        <x:v>0.5094722598105548</x:v>
      </x:c>
      <x:c r="S518" s="40" t="n">
        <x:v>0.23207036535859268</x:v>
      </x:c>
      <x:c r="T518" s="31" t="n">
        <x:v>116.39373226008802</x:v>
      </x:c>
      <x:c r="U518" s="31" t="n">
        <x:v>296.2</x:v>
      </x:c>
      <x:c r="V518" s="31" t="n">
        <x:v>15</x:v>
      </x:c>
      <x:c r="W518" s="31" t="n">
        <x:v>3.851091142490372</x:v>
      </x:c>
      <x:c r="X518" s="31" t="n">
        <x:v>2</x:v>
      </x:c>
      <x:c r="Y518" s="40" t="n">
        <x:v>0</x:v>
      </x:c>
      <x:c r="Z518" s="40" t="n">
        <x:v>1</x:v>
      </x:c>
      <x:c r="AA518" s="40" t="n">
        <x:v>0.9993234100135318</x:v>
      </x:c>
      <x:c r="AB518" s="31" t="n">
        <x:v>0.10739225309857946</x:v>
      </x:c>
      <x:c r="AC518" s="31" t="n">
        <x:v>7</x:v>
      </x:c>
      <x:c r="AD518" s="44" t="b">
        <x:v>1</x:v>
      </x:c>
    </x:row>
    <x:row r="519">
      <x:c r="A519" s="31" t="str">
        <x:v>36047018000</x:v>
      </x:c>
      <x:c r="B519" s="31" t="str">
        <x:v>Brooklyn</x:v>
      </x:c>
      <x:c r="C519" s="31" t="str">
        <x:v>018000</x:v>
      </x:c>
      <x:c r="D519" s="31" t="str">
        <x:v>BK1102</x:v>
      </x:c>
      <x:c r="E519" s="31" t="str">
        <x:v>Bath Beach</x:v>
      </x:c>
      <x:c r="F519" s="31" t="n">
        <x:v>0.06801354044026917</x:v>
      </x:c>
      <x:c r="G519" s="31" t="n">
        <x:v>40.60830020060138</x:v>
      </x:c>
      <x:c r="H519" s="31" t="n">
        <x:v>-74.0071514789762</x:v>
      </x:c>
      <x:c r="I519" s="31" t="n">
        <x:v>3125</x:v>
      </x:c>
      <x:c r="J519" s="31" t="n">
        <x:v>45946.733250042125</x:v>
      </x:c>
      <x:c r="K519" s="31"/>
      <x:c r="L519" s="40"/>
      <x:c r="M519" s="40"/>
      <x:c r="N519" s="31" t="n">
        <x:v>400</x:v>
      </x:c>
      <x:c r="O519" s="31" t="n">
        <x:v>1058</x:v>
      </x:c>
      <x:c r="P519" s="31" t="n">
        <x:v>2.340264650283554</x:v>
      </x:c>
      <x:c r="Q519" s="40" t="n">
        <x:v>0</x:v>
      </x:c>
      <x:c r="R519" s="40" t="n">
        <x:v>0.26937618147448017</x:v>
      </x:c>
      <x:c r="S519" s="40" t="n">
        <x:v>0</x:v>
      </x:c>
      <x:c r="T519" s="31" t="n">
        <x:v>29.270872295726495</x:v>
      </x:c>
      <x:c r="U519" s="31" t="n">
        <x:v>44.91</x:v>
      </x:c>
      <x:c r="V519" s="31" t="n">
        <x:v>2</x:v>
      </x:c>
      <x:c r="W519" s="31" t="n">
        <x:v>0.64</x:v>
      </x:c>
      <x:c r="X519" s="31" t="n">
        <x:v>4</x:v>
      </x:c>
      <x:c r="Y519" s="40" t="n">
        <x:v>1</x:v>
      </x:c>
      <x:c r="Z519" s="40" t="n">
        <x:v>1</x:v>
      </x:c>
      <x:c r="AA519" s="40" t="n">
        <x:v>0.995274102079395</x:v>
      </x:c>
      <x:c r="AB519" s="31" t="n">
        <x:v>0.09490285752109223</x:v>
      </x:c>
      <x:c r="AC519" s="31" t="n">
        <x:v>6</x:v>
      </x:c>
      <x:c r="AD519" s="44" t="b">
        <x:v>1</x:v>
      </x:c>
    </x:row>
    <x:row r="520">
      <x:c r="A520" s="31" t="str">
        <x:v>36047018100</x:v>
      </x:c>
      <x:c r="B520" s="31" t="str">
        <x:v>Brooklyn</x:v>
      </x:c>
      <x:c r="C520" s="31" t="str">
        <x:v>018100</x:v>
      </x:c>
      <x:c r="D520" s="31" t="str">
        <x:v>BK0203</x:v>
      </x:c>
      <x:c r="E520" s="31" t="str">
        <x:v>Fort Greene</x:v>
      </x:c>
      <x:c r="F520" s="31" t="n">
        <x:v>0.06541335710585973</x:v>
      </x:c>
      <x:c r="G520" s="31" t="n">
        <x:v>40.68776794304688</x:v>
      </x:c>
      <x:c r="H520" s="31" t="n">
        <x:v>-73.9723714332504</x:v>
      </x:c>
      <x:c r="I520" s="31" t="n">
        <x:v>4204</x:v>
      </x:c>
      <x:c r="J520" s="31" t="n">
        <x:v>64268.21961142559</x:v>
      </x:c>
      <x:c r="K520" s="31"/>
      <x:c r="L520" s="40"/>
      <x:c r="M520" s="40"/>
      <x:c r="N520" s="31" t="n">
        <x:v>463</x:v>
      </x:c>
      <x:c r="O520" s="31" t="n">
        <x:v>2297</x:v>
      </x:c>
      <x:c r="P520" s="31" t="n">
        <x:v>5.346469307792773</x:v>
      </x:c>
      <x:c r="Q520" s="40" t="n">
        <x:v>0.1345232912494558</x:v>
      </x:c>
      <x:c r="R520" s="40" t="n">
        <x:v>0.8467566390944711</x:v>
      </x:c>
      <x:c r="S520" s="40" t="n">
        <x:v>0.00957771005659556</x:v>
      </x:c>
      <x:c r="T520" s="31" t="n">
        <x:v>67.44762575093846</x:v>
      </x:c>
      <x:c r="U520" s="31" t="n">
        <x:v>196</x:v>
      </x:c>
      <x:c r="V520" s="31" t="n">
        <x:v>20</x:v>
      </x:c>
      <x:c r="W520" s="31" t="n">
        <x:v>4.757373929590866</x:v>
      </x:c>
      <x:c r="X520" s="31" t="n">
        <x:v>2.5363517631693515</x:v>
      </x:c>
      <x:c r="Y520" s="40" t="n">
        <x:v>0.26817588158467565</x:v>
      </x:c>
      <x:c r="Z520" s="40" t="n">
        <x:v>1</x:v>
      </x:c>
      <x:c r="AA520" s="40" t="n">
        <x:v>0.9973878972572922</x:v>
      </x:c>
      <x:c r="AB520" s="31" t="n">
        <x:v>0.07111235228082664</x:v>
      </x:c>
      <x:c r="AC520" s="31" t="n">
        <x:v>7</x:v>
      </x:c>
      <x:c r="AD520" s="44" t="b">
        <x:v>1</x:v>
      </x:c>
    </x:row>
    <x:row r="521">
      <x:c r="A521" s="31" t="str">
        <x:v>36047018200</x:v>
      </x:c>
      <x:c r="B521" s="31" t="str">
        <x:v>Brooklyn</x:v>
      </x:c>
      <x:c r="C521" s="31" t="str">
        <x:v>018200</x:v>
      </x:c>
      <x:c r="D521" s="31" t="str">
        <x:v>BK1101</x:v>
      </x:c>
      <x:c r="E521" s="31" t="str">
        <x:v>Bensonhurst</x:v>
      </x:c>
      <x:c r="F521" s="31" t="n">
        <x:v>0.06388991962020776</x:v>
      </x:c>
      <x:c r="G521" s="31" t="n">
        <x:v>40.61245971566417</x:v>
      </x:c>
      <x:c r="H521" s="31" t="n">
        <x:v>-74.00268138240766</x:v>
      </x:c>
      <x:c r="I521" s="31" t="n">
        <x:v>3745</x:v>
      </x:c>
      <x:c r="J521" s="31" t="n">
        <x:v>58616.44563433592</x:v>
      </x:c>
      <x:c r="K521" s="31"/>
      <x:c r="L521" s="40"/>
      <x:c r="M521" s="40"/>
      <x:c r="N521" s="31" t="n">
        <x:v>464</x:v>
      </x:c>
      <x:c r="O521" s="31" t="n">
        <x:v>1193</x:v>
      </x:c>
      <x:c r="P521" s="31" t="n">
        <x:v>2.1745599329421625</x:v>
      </x:c>
      <x:c r="Q521" s="40" t="n">
        <x:v>0</x:v>
      </x:c>
      <x:c r="R521" s="40" t="n">
        <x:v>0.1601005867560771</x:v>
      </x:c>
      <x:c r="S521" s="40" t="n">
        <x:v>0</x:v>
      </x:c>
      <x:c r="T521" s="31" t="n">
        <x:v>29.033144023557046</x:v>
      </x:c>
      <x:c r="U521" s="31" t="n">
        <x:v>48.02</x:v>
      </x:c>
      <x:c r="V521" s="31" t="n">
        <x:v>0</x:v>
      </x:c>
      <x:c r="W521" s="31" t="n">
        <x:v>0</x:v>
      </x:c>
      <x:c r="X521" s="31" t="n">
        <x:v>4</x:v>
      </x:c>
      <x:c r="Y521" s="40" t="n">
        <x:v>1</x:v>
      </x:c>
      <x:c r="Z521" s="40" t="n">
        <x:v>1</x:v>
      </x:c>
      <x:c r="AA521" s="40" t="n">
        <x:v>0.9991617770326907</x:v>
      </x:c>
      <x:c r="AB521" s="31" t="n">
        <x:v>0.06127650633998847</x:v>
      </x:c>
      <x:c r="AC521" s="31" t="n">
        <x:v>8</x:v>
      </x:c>
      <x:c r="AD521" s="44" t="b">
        <x:v>1</x:v>
      </x:c>
    </x:row>
    <x:row r="522">
      <x:c r="A522" s="31" t="str">
        <x:v>36047018300</x:v>
      </x:c>
      <x:c r="B522" s="31" t="str">
        <x:v>Brooklyn</x:v>
      </x:c>
      <x:c r="C522" s="31" t="str">
        <x:v>018300</x:v>
      </x:c>
      <x:c r="D522" s="31" t="str">
        <x:v>BK0203</x:v>
      </x:c>
      <x:c r="E522" s="31" t="str">
        <x:v>Fort Greene</x:v>
      </x:c>
      <x:c r="F522" s="31" t="n">
        <x:v>0.053008416017777206</x:v>
      </x:c>
      <x:c r="G522" s="31" t="n">
        <x:v>40.69137580302734</x:v>
      </x:c>
      <x:c r="H522" s="31" t="n">
        <x:v>-73.97147810830153</x:v>
      </x:c>
      <x:c r="I522" s="31" t="n">
        <x:v>2784</x:v>
      </x:c>
      <x:c r="J522" s="31" t="n">
        <x:v>52519.962095572555</x:v>
      </x:c>
      <x:c r="K522" s="31"/>
      <x:c r="L522" s="40"/>
      <x:c r="M522" s="40"/>
      <x:c r="N522" s="31" t="n">
        <x:v>321</x:v>
      </x:c>
      <x:c r="O522" s="31" t="n">
        <x:v>1446</x:v>
      </x:c>
      <x:c r="P522" s="31" t="n">
        <x:v>4.0529045643153525</x:v>
      </x:c>
      <x:c r="Q522" s="40" t="n">
        <x:v>0</x:v>
      </x:c>
      <x:c r="R522" s="40" t="n">
        <x:v>0.9799446749654218</x:v>
      </x:c>
      <x:c r="S522" s="40" t="n">
        <x:v>0.004840940525587829</x:v>
      </x:c>
      <x:c r="T522" s="31" t="n">
        <x:v>52.17273150966527</x:v>
      </x:c>
      <x:c r="U522" s="31" t="n">
        <x:v>85</x:v>
      </x:c>
      <x:c r="V522" s="31" t="n">
        <x:v>16</x:v>
      </x:c>
      <x:c r="W522" s="31" t="n">
        <x:v>5.747126436781609</x:v>
      </x:c>
      <x:c r="X522" s="31" t="n">
        <x:v>4</x:v>
      </x:c>
      <x:c r="Y522" s="40" t="n">
        <x:v>1</x:v>
      </x:c>
      <x:c r="Z522" s="40" t="n">
        <x:v>1</x:v>
      </x:c>
      <x:c r="AA522" s="40" t="n">
        <x:v>0.991701244813278</x:v>
      </x:c>
      <x:c r="AB522" s="31" t="n">
        <x:v>0.028752659837354987</x:v>
      </x:c>
      <x:c r="AC522" s="31" t="n">
        <x:v>6</x:v>
      </x:c>
      <x:c r="AD522" s="44" t="b">
        <x:v>1</x:v>
      </x:c>
    </x:row>
    <x:row r="523">
      <x:c r="A523" s="31" t="str">
        <x:v>36047018400</x:v>
      </x:c>
      <x:c r="B523" s="31" t="str">
        <x:v>Brooklyn</x:v>
      </x:c>
      <x:c r="C523" s="31" t="str">
        <x:v>018400</x:v>
      </x:c>
      <x:c r="D523" s="31" t="str">
        <x:v>BK1101</x:v>
      </x:c>
      <x:c r="E523" s="31" t="str">
        <x:v>Bensonhurst</x:v>
      </x:c>
      <x:c r="F523" s="31" t="n">
        <x:v>0.05772352998127583</x:v>
      </x:c>
      <x:c r="G523" s="31" t="n">
        <x:v>40.61370125188454</x:v>
      </x:c>
      <x:c r="H523" s="31" t="n">
        <x:v>-74.00714508018508</x:v>
      </x:c>
      <x:c r="I523" s="31" t="n">
        <x:v>2460</x:v>
      </x:c>
      <x:c r="J523" s="31" t="n">
        <x:v>42616.936296133776</x:v>
      </x:c>
      <x:c r="K523" s="31"/>
      <x:c r="L523" s="40"/>
      <x:c r="M523" s="40"/>
      <x:c r="N523" s="31" t="n">
        <x:v>458</x:v>
      </x:c>
      <x:c r="O523" s="31" t="n">
        <x:v>919</x:v>
      </x:c>
      <x:c r="P523" s="31" t="n">
        <x:v>1.9689880304679</x:v>
      </x:c>
      <x:c r="Q523" s="40" t="n">
        <x:v>0</x:v>
      </x:c>
      <x:c r="R523" s="40" t="n">
        <x:v>0.042437431991294884</x:v>
      </x:c>
      <x:c r="S523" s="40" t="n">
        <x:v>0.004352557127312296</x:v>
      </x:c>
      <x:c r="T523" s="31" t="n">
        <x:v>25.274869800525163</x:v>
      </x:c>
      <x:c r="U523" s="31" t="n">
        <x:v>34.84</x:v>
      </x:c>
      <x:c r="V523" s="31" t="n">
        <x:v>0</x:v>
      </x:c>
      <x:c r="W523" s="31" t="n">
        <x:v>0</x:v>
      </x:c>
      <x:c r="X523" s="31" t="n">
        <x:v>3.0304678998911863</x:v>
      </x:c>
      <x:c r="Y523" s="40" t="n">
        <x:v>0.030467899891186073</x:v>
      </x:c>
      <x:c r="Z523" s="40" t="n">
        <x:v>1</x:v>
      </x:c>
      <x:c r="AA523" s="40" t="n">
        <x:v>0.9945593035908596</x:v>
      </x:c>
      <x:c r="AB523" s="31" t="n">
        <x:v>0.04098643008957947</x:v>
      </x:c>
      <x:c r="AC523" s="31" t="n">
        <x:v>6</x:v>
      </x:c>
      <x:c r="AD523" s="44" t="b">
        <x:v>1</x:v>
      </x:c>
    </x:row>
    <x:row r="524">
      <x:c r="A524" s="31" t="str">
        <x:v>36047018501</x:v>
      </x:c>
      <x:c r="B524" s="31" t="str">
        <x:v>Brooklyn</x:v>
      </x:c>
      <x:c r="C524" s="31" t="str">
        <x:v>018501</x:v>
      </x:c>
      <x:c r="D524" s="31" t="str">
        <x:v>BK0203</x:v>
      </x:c>
      <x:c r="E524" s="31" t="str">
        <x:v>Fort Greene</x:v>
      </x:c>
      <x:c r="F524" s="31" t="n">
        <x:v>0.04266249840772785</x:v>
      </x:c>
      <x:c r="G524" s="31" t="n">
        <x:v>40.694778278654944</x:v>
      </x:c>
      <x:c r="H524" s="31" t="n">
        <x:v>-73.9741525226363</x:v>
      </x:c>
      <x:c r="I524" s="31" t="n">
        <x:v>4461</x:v>
      </x:c>
      <x:c r="J524" s="31" t="n">
        <x:v>104564.90281853577</x:v>
      </x:c>
      <x:c r="K524" s="31"/>
      <x:c r="L524" s="40"/>
      <x:c r="M524" s="40"/>
      <x:c r="N524" s="31" t="n">
        <x:v>55</x:v>
      </x:c>
      <x:c r="O524" s="31" t="n">
        <x:v>1327</x:v>
      </x:c>
      <x:c r="P524" s="31" t="n">
        <x:v>10.03051996985682</x:v>
      </x:c>
      <x:c r="Q524" s="40" t="n">
        <x:v>0.6548605877920121</x:v>
      </x:c>
      <x:c r="R524" s="40" t="n">
        <x:v>0.3285606631499623</x:v>
      </x:c>
      <x:c r="S524" s="40" t="n">
        <x:v>0.6435568952524491</x:v>
      </x:c>
      <x:c r="T524" s="31" t="n">
        <x:v>120.5236338369947</x:v>
      </x:c>
      <x:c r="U524" s="31" t="n">
        <x:v>158</x:v>
      </x:c>
      <x:c r="V524" s="31" t="n">
        <x:v>38</x:v>
      </x:c>
      <x:c r="W524" s="31" t="n">
        <x:v>8.518269446312486</x:v>
      </x:c>
      <x:c r="X524" s="31" t="n">
        <x:v>4</x:v>
      </x:c>
      <x:c r="Y524" s="40" t="n">
        <x:v>1</x:v>
      </x:c>
      <x:c r="Z524" s="40" t="n">
        <x:v>1</x:v>
      </x:c>
      <x:c r="AA524" s="40" t="n">
        <x:v>0.9954785229841748</x:v>
      </x:c>
      <x:c r="AB524" s="31" t="n">
        <x:v>0.07359774301467756</x:v>
      </x:c>
      <x:c r="AC524" s="31" t="n">
        <x:v>5</x:v>
      </x:c>
      <x:c r="AD524" s="44" t="b">
        <x:v>1</x:v>
      </x:c>
    </x:row>
    <x:row r="525">
      <x:c r="A525" s="31" t="str">
        <x:v>36047018600</x:v>
      </x:c>
      <x:c r="B525" s="31" t="str">
        <x:v>Brooklyn</x:v>
      </x:c>
      <x:c r="C525" s="31" t="str">
        <x:v>018600</x:v>
      </x:c>
      <x:c r="D525" s="31" t="str">
        <x:v>BK1101</x:v>
      </x:c>
      <x:c r="E525" s="31" t="str">
        <x:v>Bensonhurst</x:v>
      </x:c>
      <x:c r="F525" s="31" t="n">
        <x:v>0.04364850492998163</x:v>
      </x:c>
      <x:c r="G525" s="31" t="n">
        <x:v>40.61564401576156</x:v>
      </x:c>
      <x:c r="H525" s="31" t="n">
        <x:v>-74.00510620531966</x:v>
      </x:c>
      <x:c r="I525" s="31" t="n">
        <x:v>2364</x:v>
      </x:c>
      <x:c r="J525" s="31" t="n">
        <x:v>54159.930650366834</x:v>
      </x:c>
      <x:c r="K525" s="31"/>
      <x:c r="L525" s="40"/>
      <x:c r="M525" s="40"/>
      <x:c r="N525" s="31" t="n">
        <x:v>346</x:v>
      </x:c>
      <x:c r="O525" s="31" t="n">
        <x:v>769</x:v>
      </x:c>
      <x:c r="P525" s="31" t="n">
        <x:v>2.1589726918075423</x:v>
      </x:c>
      <x:c r="Q525" s="40" t="n">
        <x:v>0</x:v>
      </x:c>
      <x:c r="R525" s="40" t="n">
        <x:v>0.07282184655396619</x:v>
      </x:c>
      <x:c r="S525" s="40" t="n">
        <x:v>0.0013003901170351106</x:v>
      </x:c>
      <x:c r="T525" s="31" t="n">
        <x:v>28.032970872652797</x:v>
      </x:c>
      <x:c r="U525" s="31" t="n">
        <x:v>59.99918953</x:v>
      </x:c>
      <x:c r="V525" s="31" t="n">
        <x:v>0</x:v>
      </x:c>
      <x:c r="W525" s="31" t="n">
        <x:v>0</x:v>
      </x:c>
      <x:c r="X525" s="31" t="n">
        <x:v>3.081924577373212</x:v>
      </x:c>
      <x:c r="Y525" s="40" t="n">
        <x:v>0.08192457737321196</x:v>
      </x:c>
      <x:c r="Z525" s="40" t="n">
        <x:v>1</x:v>
      </x:c>
      <x:c r="AA525" s="40" t="n">
        <x:v>1</x:v>
      </x:c>
      <x:c r="AB525" s="31" t="n">
        <x:v>0.15014449843068248</x:v>
      </x:c>
      <x:c r="AC525" s="31" t="n">
        <x:v>5</x:v>
      </x:c>
      <x:c r="AD525" s="44" t="b">
        <x:v>1</x:v>
      </x:c>
    </x:row>
    <x:row r="526">
      <x:c r="A526" s="31" t="str">
        <x:v>36047018700</x:v>
      </x:c>
      <x:c r="B526" s="31" t="str">
        <x:v>Brooklyn</x:v>
      </x:c>
      <x:c r="C526" s="31" t="str">
        <x:v>018700</x:v>
      </x:c>
      <x:c r="D526" s="31" t="str">
        <x:v>BK0203</x:v>
      </x:c>
      <x:c r="E526" s="31" t="str">
        <x:v>Fort Greene</x:v>
      </x:c>
      <x:c r="F526" s="31" t="n">
        <x:v>0.032918070144699836</x:v>
      </x:c>
      <x:c r="G526" s="31" t="n">
        <x:v>40.694649388159256</x:v>
      </x:c>
      <x:c r="H526" s="31" t="n">
        <x:v>-73.97064069174367</x:v>
      </x:c>
      <x:c r="I526" s="31" t="n">
        <x:v>1336</x:v>
      </x:c>
      <x:c r="J526" s="31" t="n">
        <x:v>40585.61131096898</x:v>
      </x:c>
      <x:c r="K526" s="31"/>
      <x:c r="L526" s="40"/>
      <x:c r="M526" s="40"/>
      <x:c r="N526" s="31" t="n">
        <x:v>161</x:v>
      </x:c>
      <x:c r="O526" s="31" t="n">
        <x:v>649</x:v>
      </x:c>
      <x:c r="P526" s="31" t="n">
        <x:v>4.023606811145511</x:v>
      </x:c>
      <x:c r="Q526" s="40" t="n">
        <x:v>0</x:v>
      </x:c>
      <x:c r="R526" s="40" t="n">
        <x:v>0.8659476117103235</x:v>
      </x:c>
      <x:c r="S526" s="40" t="n">
        <x:v>0.01078582434514638</x:v>
      </x:c>
      <x:c r="T526" s="31" t="n">
        <x:v>47.715506380357695</x:v>
      </x:c>
      <x:c r="U526" s="31" t="n">
        <x:v>88.39800947</x:v>
      </x:c>
      <x:c r="V526" s="31" t="n">
        <x:v>10</x:v>
      </x:c>
      <x:c r="W526" s="31" t="n">
        <x:v>7.485029940119761</x:v>
      </x:c>
      <x:c r="X526" s="31" t="n">
        <x:v>4</x:v>
      </x:c>
      <x:c r="Y526" s="40" t="n">
        <x:v>1</x:v>
      </x:c>
      <x:c r="Z526" s="40" t="n">
        <x:v>1</x:v>
      </x:c>
      <x:c r="AA526" s="40" t="n">
        <x:v>0.9907550077041603</x:v>
      </x:c>
      <x:c r="AB526" s="31" t="n">
        <x:v>0.053357670229425135</x:v>
      </x:c>
      <x:c r="AC526" s="31" t="n">
        <x:v>5</x:v>
      </x:c>
      <x:c r="AD526" s="44" t="b">
        <x:v>1</x:v>
      </x:c>
    </x:row>
    <x:row r="527">
      <x:c r="A527" s="31" t="str">
        <x:v>36047018800</x:v>
      </x:c>
      <x:c r="B527" s="31" t="str">
        <x:v>Brooklyn</x:v>
      </x:c>
      <x:c r="C527" s="31" t="str">
        <x:v>018800</x:v>
      </x:c>
      <x:c r="D527" s="31" t="str">
        <x:v>BK1101</x:v>
      </x:c>
      <x:c r="E527" s="31" t="str">
        <x:v>Bensonhurst</x:v>
      </x:c>
      <x:c r="F527" s="31" t="n">
        <x:v>0.06764851833677686</x:v>
      </x:c>
      <x:c r="G527" s="31" t="n">
        <x:v>40.617477725989474</x:v>
      </x:c>
      <x:c r="H527" s="31" t="n">
        <x:v>-74.00273952344915</x:v>
      </x:c>
      <x:c r="I527" s="31" t="n">
        <x:v>2955</x:v>
      </x:c>
      <x:c r="J527" s="31" t="n">
        <x:v>43681.66624565265</x:v>
      </x:c>
      <x:c r="K527" s="31"/>
      <x:c r="L527" s="40"/>
      <x:c r="M527" s="40"/>
      <x:c r="N527" s="31" t="n">
        <x:v>431</x:v>
      </x:c>
      <x:c r="O527" s="31" t="n">
        <x:v>955</x:v>
      </x:c>
      <x:c r="P527" s="31" t="n">
        <x:v>2.373778947368421</x:v>
      </x:c>
      <x:c r="Q527" s="40" t="n">
        <x:v>0</x:v>
      </x:c>
      <x:c r="R527" s="40" t="n">
        <x:v>0.2094240837696335</x:v>
      </x:c>
      <x:c r="S527" s="40" t="n">
        <x:v>0.005235602094240838</x:v>
      </x:c>
      <x:c r="T527" s="31" t="n">
        <x:v>30.33420507450262</x:v>
      </x:c>
      <x:c r="U527" s="31" t="n">
        <x:v>41.6</x:v>
      </x:c>
      <x:c r="V527" s="31" t="n">
        <x:v>0</x:v>
      </x:c>
      <x:c r="W527" s="31" t="n">
        <x:v>0</x:v>
      </x:c>
      <x:c r="X527" s="31" t="n">
        <x:v>3.119371727748691</x:v>
      </x:c>
      <x:c r="Y527" s="40" t="n">
        <x:v>0.1193717277486911</x:v>
      </x:c>
      <x:c r="Z527" s="40" t="n">
        <x:v>1</x:v>
      </x:c>
      <x:c r="AA527" s="40" t="n">
        <x:v>1</x:v>
      </x:c>
      <x:c r="AB527" s="31" t="n">
        <x:v>0.17646805024404513</x:v>
      </x:c>
      <x:c r="AC527" s="31" t="n">
        <x:v>6</x:v>
      </x:c>
      <x:c r="AD527" s="44" t="b">
        <x:v>1</x:v>
      </x:c>
    </x:row>
    <x:row r="528">
      <x:c r="A528" s="31" t="str">
        <x:v>36047019000</x:v>
      </x:c>
      <x:c r="B528" s="31" t="str">
        <x:v>Brooklyn</x:v>
      </x:c>
      <x:c r="C528" s="31" t="str">
        <x:v>019000</x:v>
      </x:c>
      <x:c r="D528" s="31" t="str">
        <x:v>BK1101</x:v>
      </x:c>
      <x:c r="E528" s="31" t="str">
        <x:v>Bensonhurst</x:v>
      </x:c>
      <x:c r="F528" s="31" t="n">
        <x:v>0.08220679202895431</x:v>
      </x:c>
      <x:c r="G528" s="31" t="n">
        <x:v>40.621037949206276</x:v>
      </x:c>
      <x:c r="H528" s="31" t="n">
        <x:v>-74.00038577775838</x:v>
      </x:c>
      <x:c r="I528" s="31" t="n">
        <x:v>4853</x:v>
      </x:c>
      <x:c r="J528" s="31" t="n">
        <x:v>59034.05156949452</x:v>
      </x:c>
      <x:c r="K528" s="31"/>
      <x:c r="L528" s="40"/>
      <x:c r="M528" s="40"/>
      <x:c r="N528" s="31" t="n">
        <x:v>473</x:v>
      </x:c>
      <x:c r="O528" s="31" t="n">
        <x:v>1642</x:v>
      </x:c>
      <x:c r="P528" s="31" t="n">
        <x:v>2.768118148599269</x:v>
      </x:c>
      <x:c r="Q528" s="40" t="n">
        <x:v>0</x:v>
      </x:c>
      <x:c r="R528" s="40" t="n">
        <x:v>0.5554202192448234</x:v>
      </x:c>
      <x:c r="S528" s="40" t="n">
        <x:v>0.024360535931790498</x:v>
      </x:c>
      <x:c r="T528" s="31" t="n">
        <x:v>33.41575675357579</x:v>
      </x:c>
      <x:c r="U528" s="31" t="n">
        <x:v>54</x:v>
      </x:c>
      <x:c r="V528" s="31" t="n">
        <x:v>2</x:v>
      </x:c>
      <x:c r="W528" s="31" t="n">
        <x:v>0.41211621677313004</x:v>
      </x:c>
      <x:c r="X528" s="31" t="n">
        <x:v>3.4957369062119366</x:v>
      </x:c>
      <x:c r="Y528" s="40" t="n">
        <x:v>0.49573690621193667</x:v>
      </x:c>
      <x:c r="Z528" s="40" t="n">
        <x:v>1</x:v>
      </x:c>
      <x:c r="AA528" s="40" t="n">
        <x:v>0.9963459196102314</x:v>
      </x:c>
      <x:c r="AB528" s="31" t="n">
        <x:v>0.11182613430766425</x:v>
      </x:c>
      <x:c r="AC528" s="31" t="n">
        <x:v>7</x:v>
      </x:c>
      <x:c r="AD528" s="44" t="b">
        <x:v>1</x:v>
      </x:c>
    </x:row>
    <x:row r="529">
      <x:c r="A529" s="31" t="str">
        <x:v>36047019100</x:v>
      </x:c>
      <x:c r="B529" s="31" t="str">
        <x:v>Brooklyn</x:v>
      </x:c>
      <x:c r="C529" s="31" t="str">
        <x:v>019100</x:v>
      </x:c>
      <x:c r="D529" s="31" t="str">
        <x:v>BK0204</x:v>
      </x:c>
      <x:c r="E529" s="31" t="str">
        <x:v>Clinton Hill</x:v>
      </x:c>
      <x:c r="F529" s="31" t="n">
        <x:v>0.09763235712881659</x:v>
      </x:c>
      <x:c r="G529" s="31" t="n">
        <x:v>40.6952392509573</x:v>
      </x:c>
      <x:c r="H529" s="31" t="n">
        <x:v>-73.9644222978529</x:v>
      </x:c>
      <x:c r="I529" s="31" t="n">
        <x:v>3427</x:v>
      </x:c>
      <x:c r="J529" s="31" t="n">
        <x:v>35101.06793261583</x:v>
      </x:c>
      <x:c r="K529" s="31"/>
      <x:c r="L529" s="40"/>
      <x:c r="M529" s="40"/>
      <x:c r="N529" s="31" t="n">
        <x:v>335</x:v>
      </x:c>
      <x:c r="O529" s="31" t="n">
        <x:v>1567</x:v>
      </x:c>
      <x:c r="P529" s="31" t="n">
        <x:v>4.455797565663037</x:v>
      </x:c>
      <x:c r="Q529" s="40" t="n">
        <x:v>0.031269942565411615</x:v>
      </x:c>
      <x:c r="R529" s="40" t="n">
        <x:v>0.8710912571793236</x:v>
      </x:c>
      <x:c r="S529" s="40" t="n">
        <x:v>0</x:v>
      </x:c>
      <x:c r="T529" s="31" t="n">
        <x:v>53.96141858369538</x:v>
      </x:c>
      <x:c r="U529" s="31" t="n">
        <x:v>205.5782486</x:v>
      </x:c>
      <x:c r="V529" s="31" t="n">
        <x:v>35</x:v>
      </x:c>
      <x:c r="W529" s="31" t="n">
        <x:v>10.213014298220017</x:v>
      </x:c>
      <x:c r="X529" s="31" t="n">
        <x:v>4</x:v>
      </x:c>
      <x:c r="Y529" s="40" t="n">
        <x:v>1</x:v>
      </x:c>
      <x:c r="Z529" s="40" t="n">
        <x:v>1</x:v>
      </x:c>
      <x:c r="AA529" s="40" t="n">
        <x:v>0.9929802169751116</x:v>
      </x:c>
      <x:c r="AB529" s="31" t="n">
        <x:v>0.2291659509647174</x:v>
      </x:c>
      <x:c r="AC529" s="31" t="n">
        <x:v>8</x:v>
      </x:c>
      <x:c r="AD529" s="44" t="b">
        <x:v>1</x:v>
      </x:c>
    </x:row>
    <x:row r="530">
      <x:c r="A530" s="31" t="str">
        <x:v>36047019200</x:v>
      </x:c>
      <x:c r="B530" s="31" t="str">
        <x:v>Brooklyn</x:v>
      </x:c>
      <x:c r="C530" s="31" t="str">
        <x:v>019200</x:v>
      </x:c>
      <x:c r="D530" s="31" t="str">
        <x:v>BK1202</x:v>
      </x:c>
      <x:c r="E530" s="31" t="str">
        <x:v>Borough Park</x:v>
      </x:c>
      <x:c r="F530" s="31" t="n">
        <x:v>0.07327804104001664</x:v>
      </x:c>
      <x:c r="G530" s="31" t="n">
        <x:v>40.628458532591424</x:v>
      </x:c>
      <x:c r="H530" s="31" t="n">
        <x:v>-73.99892800551022</x:v>
      </x:c>
      <x:c r="I530" s="31" t="n">
        <x:v>3541</x:v>
      </x:c>
      <x:c r="J530" s="31" t="n">
        <x:v>48322.79834099664</x:v>
      </x:c>
      <x:c r="K530" s="31"/>
      <x:c r="L530" s="40"/>
      <x:c r="M530" s="40"/>
      <x:c r="N530" s="31" t="n">
        <x:v>304</x:v>
      </x:c>
      <x:c r="O530" s="31" t="n">
        <x:v>801</x:v>
      </x:c>
      <x:c r="P530" s="31" t="n">
        <x:v>2.5935929648241207</x:v>
      </x:c>
      <x:c r="Q530" s="40" t="n">
        <x:v>0</x:v>
      </x:c>
      <x:c r="R530" s="40" t="n">
        <x:v>0.4943820224719101</x:v>
      </x:c>
      <x:c r="S530" s="40" t="n">
        <x:v>0.012484394506866416</x:v>
      </x:c>
      <x:c r="T530" s="31" t="n">
        <x:v>31.60755997634395</x:v>
      </x:c>
      <x:c r="U530" s="31" t="n">
        <x:v>46.72413536</x:v>
      </x:c>
      <x:c r="V530" s="31" t="n">
        <x:v>5</x:v>
      </x:c>
      <x:c r="W530" s="31" t="n">
        <x:v>1.4120304998587971</x:v>
      </x:c>
      <x:c r="X530" s="31" t="n">
        <x:v>4</x:v>
      </x:c>
      <x:c r="Y530" s="40" t="n">
        <x:v>1</x:v>
      </x:c>
      <x:c r="Z530" s="40" t="n">
        <x:v>1</x:v>
      </x:c>
      <x:c r="AA530" s="40" t="n">
        <x:v>0.9800249687890137</x:v>
      </x:c>
      <x:c r="AB530" s="31" t="n">
        <x:v>0.14213505681649768</x:v>
      </x:c>
      <x:c r="AC530" s="31" t="n">
        <x:v>7</x:v>
      </x:c>
      <x:c r="AD530" s="44" t="b">
        <x:v>1</x:v>
      </x:c>
    </x:row>
    <x:row r="531">
      <x:c r="A531" s="31" t="str">
        <x:v>36047019300</x:v>
      </x:c>
      <x:c r="B531" s="31" t="str">
        <x:v>Brooklyn</x:v>
      </x:c>
      <x:c r="C531" s="31" t="str">
        <x:v>019300</x:v>
      </x:c>
      <x:c r="D531" s="31" t="str">
        <x:v>BK0204</x:v>
      </x:c>
      <x:c r="E531" s="31" t="str">
        <x:v>Clinton Hill</x:v>
      </x:c>
      <x:c r="F531" s="31" t="n">
        <x:v>0.10413890467422808</x:v>
      </x:c>
      <x:c r="G531" s="31" t="n">
        <x:v>40.69127984909072</x:v>
      </x:c>
      <x:c r="H531" s="31" t="n">
        <x:v>-73.96263698895189</x:v>
      </x:c>
      <x:c r="I531" s="31" t="n">
        <x:v>6279</x:v>
      </x:c>
      <x:c r="J531" s="31" t="n">
        <x:v>60294.46938819114</x:v>
      </x:c>
      <x:c r="K531" s="31"/>
      <x:c r="L531" s="40"/>
      <x:c r="M531" s="40"/>
      <x:c r="N531" s="31" t="n">
        <x:v>53</x:v>
      </x:c>
      <x:c r="O531" s="31" t="n">
        <x:v>2918</x:v>
      </x:c>
      <x:c r="P531" s="31" t="n">
        <x:v>14.961870503597122</x:v>
      </x:c>
      <x:c r="Q531" s="40" t="n">
        <x:v>0.5962988348183688</x:v>
      </x:c>
      <x:c r="R531" s="40" t="n">
        <x:v>0.33824537354352296</x:v>
      </x:c>
      <x:c r="S531" s="40" t="n">
        <x:v>0.019533927347498287</x:v>
      </x:c>
      <x:c r="T531" s="31" t="n">
        <x:v>139.50415521978022</x:v>
      </x:c>
      <x:c r="U531" s="31" t="n">
        <x:v>211.8</x:v>
      </x:c>
      <x:c r="V531" s="31" t="n">
        <x:v>52</x:v>
      </x:c>
      <x:c r="W531" s="31" t="n">
        <x:v>8.281573498964804</x:v>
      </x:c>
      <x:c r="X531" s="31" t="n">
        <x:v>3.472926662097327</x:v>
      </x:c>
      <x:c r="Y531" s="40" t="n">
        <x:v>0.7364633310486635</x:v>
      </x:c>
      <x:c r="Z531" s="40" t="n">
        <x:v>1</x:v>
      </x:c>
      <x:c r="AA531" s="40" t="n">
        <x:v>0.997943797121316</x:v>
      </x:c>
      <x:c r="AB531" s="31" t="n">
        <x:v>0.13394617499229317</x:v>
      </x:c>
      <x:c r="AC531" s="31" t="n">
        <x:v>7</x:v>
      </x:c>
      <x:c r="AD531" s="44" t="b">
        <x:v>1</x:v>
      </x:c>
    </x:row>
    <x:row r="532">
      <x:c r="A532" s="31" t="str">
        <x:v>36047019400</x:v>
      </x:c>
      <x:c r="B532" s="31" t="str">
        <x:v>Brooklyn</x:v>
      </x:c>
      <x:c r="C532" s="31" t="str">
        <x:v>019400</x:v>
      </x:c>
      <x:c r="D532" s="31" t="str">
        <x:v>BK1002</x:v>
      </x:c>
      <x:c r="E532" s="31" t="str">
        <x:v>Dyker Heights</x:v>
      </x:c>
      <x:c r="F532" s="31" t="n">
        <x:v>0.06887811881313131</x:v>
      </x:c>
      <x:c r="G532" s="31" t="n">
        <x:v>40.62583670104307</x:v>
      </x:c>
      <x:c r="H532" s="31" t="n">
        <x:v>-74.00110732765621</x:v>
      </x:c>
      <x:c r="I532" s="31" t="n">
        <x:v>3570</x:v>
      </x:c>
      <x:c r="J532" s="31" t="n">
        <x:v>51830.683844393774</x:v>
      </x:c>
      <x:c r="K532" s="31"/>
      <x:c r="L532" s="40"/>
      <x:c r="M532" s="40"/>
      <x:c r="N532" s="31" t="n">
        <x:v>320</x:v>
      </x:c>
      <x:c r="O532" s="31" t="n">
        <x:v>1229</x:v>
      </x:c>
      <x:c r="P532" s="31" t="n">
        <x:v>2.70721271393643</x:v>
      </x:c>
      <x:c r="Q532" s="40" t="n">
        <x:v>0</x:v>
      </x:c>
      <x:c r="R532" s="40" t="n">
        <x:v>0.6265256305939788</x:v>
      </x:c>
      <x:c r="S532" s="40" t="n">
        <x:v>0.06590724165988608</x:v>
      </x:c>
      <x:c r="T532" s="31" t="n">
        <x:v>34.63083021460408</x:v>
      </x:c>
      <x:c r="U532" s="31" t="n">
        <x:v>49</x:v>
      </x:c>
      <x:c r="V532" s="31" t="n">
        <x:v>8</x:v>
      </x:c>
      <x:c r="W532" s="31" t="n">
        <x:v>2.2408963585434174</x:v>
      </x:c>
      <x:c r="X532" s="31" t="n">
        <x:v>4</x:v>
      </x:c>
      <x:c r="Y532" s="40" t="n">
        <x:v>1</x:v>
      </x:c>
      <x:c r="Z532" s="40" t="n">
        <x:v>1</x:v>
      </x:c>
      <x:c r="AA532" s="40" t="n">
        <x:v>0.9967453213995118</x:v>
      </x:c>
      <x:c r="AB532" s="31" t="n">
        <x:v>0.0821804527084293</x:v>
      </x:c>
      <x:c r="AC532" s="31" t="n">
        <x:v>6</x:v>
      </x:c>
      <x:c r="AD532" s="44" t="b">
        <x:v>1</x:v>
      </x:c>
    </x:row>
    <x:row r="533">
      <x:c r="A533" s="31" t="str">
        <x:v>36047019500</x:v>
      </x:c>
      <x:c r="B533" s="31" t="str">
        <x:v>Brooklyn</x:v>
      </x:c>
      <x:c r="C533" s="31" t="str">
        <x:v>019500</x:v>
      </x:c>
      <x:c r="D533" s="31" t="str">
        <x:v>BK0204</x:v>
      </x:c>
      <x:c r="E533" s="31" t="str">
        <x:v>Clinton Hill</x:v>
      </x:c>
      <x:c r="F533" s="31" t="n">
        <x:v>0.052896837111885905</x:v>
      </x:c>
      <x:c r="G533" s="31" t="n">
        <x:v>40.69141003486531</x:v>
      </x:c>
      <x:c r="H533" s="31" t="n">
        <x:v>-73.96750054272195</x:v>
      </x:c>
      <x:c r="I533" s="31" t="n">
        <x:v>3684</x:v>
      </x:c>
      <x:c r="J533" s="31" t="n">
        <x:v>69644.9958285352</x:v>
      </x:c>
      <x:c r="K533" s="31"/>
      <x:c r="L533" s="40"/>
      <x:c r="M533" s="40"/>
      <x:c r="N533" s="31" t="n">
        <x:v>230</x:v>
      </x:c>
      <x:c r="O533" s="31" t="n">
        <x:v>1886</x:v>
      </x:c>
      <x:c r="P533" s="31" t="n">
        <x:v>7.557416267942584</x:v>
      </x:c>
      <x:c r="Q533" s="40" t="n">
        <x:v>0.33085896076352067</x:v>
      </x:c>
      <x:c r="R533" s="40" t="n">
        <x:v>0.6362672322375398</x:v>
      </x:c>
      <x:c r="S533" s="40" t="n">
        <x:v>0.29692470837751855</x:v>
      </x:c>
      <x:c r="T533" s="31" t="n">
        <x:v>75.96654111405836</x:v>
      </x:c>
      <x:c r="U533" s="31" t="n">
        <x:v>126.15</x:v>
      </x:c>
      <x:c r="V533" s="31" t="n">
        <x:v>24</x:v>
      </x:c>
      <x:c r="W533" s="31" t="n">
        <x:v>6.514657980456026</x:v>
      </x:c>
      <x:c r="X533" s="31" t="n">
        <x:v>4</x:v>
      </x:c>
      <x:c r="Y533" s="40" t="n">
        <x:v>1</x:v>
      </x:c>
      <x:c r="Z533" s="40" t="n">
        <x:v>1</x:v>
      </x:c>
      <x:c r="AA533" s="40" t="n">
        <x:v>0.9994697773064687</x:v>
      </x:c>
      <x:c r="AB533" s="31" t="n">
        <x:v>0.18907277688149418</x:v>
      </x:c>
      <x:c r="AC533" s="31" t="n">
        <x:v>5</x:v>
      </x:c>
      <x:c r="AD533" s="44" t="b">
        <x:v>1</x:v>
      </x:c>
    </x:row>
    <x:row r="534">
      <x:c r="A534" s="31" t="str">
        <x:v>36047019600</x:v>
      </x:c>
      <x:c r="B534" s="31" t="str">
        <x:v>Brooklyn</x:v>
      </x:c>
      <x:c r="C534" s="31" t="str">
        <x:v>019600</x:v>
      </x:c>
      <x:c r="D534" s="31" t="str">
        <x:v>BK1002</x:v>
      </x:c>
      <x:c r="E534" s="31" t="str">
        <x:v>Dyker Heights</x:v>
      </x:c>
      <x:c r="F534" s="31" t="n">
        <x:v>0.07271887620810376</x:v>
      </x:c>
      <x:c r="G534" s="31" t="n">
        <x:v>40.623423344369264</x:v>
      </x:c>
      <x:c r="H534" s="31" t="n">
        <x:v>-74.0041849410707</x:v>
      </x:c>
      <x:c r="I534" s="31" t="n">
        <x:v>4691</x:v>
      </x:c>
      <x:c r="J534" s="31" t="n">
        <x:v>64508.69766710225</x:v>
      </x:c>
      <x:c r="K534" s="31"/>
      <x:c r="L534" s="40"/>
      <x:c r="M534" s="40"/>
      <x:c r="N534" s="31" t="n">
        <x:v>492</x:v>
      </x:c>
      <x:c r="O534" s="31" t="n">
        <x:v>1551</x:v>
      </x:c>
      <x:c r="P534" s="31" t="n">
        <x:v>2.7022888459058674</x:v>
      </x:c>
      <x:c r="Q534" s="40" t="n">
        <x:v>0</x:v>
      </x:c>
      <x:c r="R534" s="40" t="n">
        <x:v>0.45390070921985815</x:v>
      </x:c>
      <x:c r="S534" s="40" t="n">
        <x:v>0.013539651837524178</x:v>
      </x:c>
      <x:c r="T534" s="31" t="n">
        <x:v>31.68744009364346</x:v>
      </x:c>
      <x:c r="U534" s="31" t="n">
        <x:v>49</x:v>
      </x:c>
      <x:c r="V534" s="31" t="n">
        <x:v>9</x:v>
      </x:c>
      <x:c r="W534" s="31" t="n">
        <x:v>1.9185674696226818</x:v>
      </x:c>
      <x:c r="X534" s="31" t="n">
        <x:v>3.5370728562217923</x:v>
      </x:c>
      <x:c r="Y534" s="40" t="n">
        <x:v>0.5370728562217923</x:v>
      </x:c>
      <x:c r="Z534" s="40" t="n">
        <x:v>1</x:v>
      </x:c>
      <x:c r="AA534" s="40" t="n">
        <x:v>0.9909735654416505</x:v>
      </x:c>
      <x:c r="AB534" s="31" t="n">
        <x:v>0.10516576062819845</x:v>
      </x:c>
      <x:c r="AC534" s="31" t="n">
        <x:v>7</x:v>
      </x:c>
      <x:c r="AD534" s="44" t="b">
        <x:v>1</x:v>
      </x:c>
    </x:row>
    <x:row r="535">
      <x:c r="A535" s="31" t="str">
        <x:v>36047019700</x:v>
      </x:c>
      <x:c r="B535" s="31" t="str">
        <x:v>Brooklyn</x:v>
      </x:c>
      <x:c r="C535" s="31" t="str">
        <x:v>019700</x:v>
      </x:c>
      <x:c r="D535" s="31" t="str">
        <x:v>BK0204</x:v>
      </x:c>
      <x:c r="E535" s="31" t="str">
        <x:v>Clinton Hill</x:v>
      </x:c>
      <x:c r="F535" s="31" t="n">
        <x:v>0.06557307195499024</x:v>
      </x:c>
      <x:c r="G535" s="31" t="n">
        <x:v>40.68800234807324</x:v>
      </x:c>
      <x:c r="H535" s="31" t="n">
        <x:v>-73.96674663489584</x:v>
      </x:c>
      <x:c r="I535" s="31" t="n">
        <x:v>3585</x:v>
      </x:c>
      <x:c r="J535" s="31" t="n">
        <x:v>54671.83240188543</x:v>
      </x:c>
      <x:c r="K535" s="31"/>
      <x:c r="L535" s="40"/>
      <x:c r="M535" s="40"/>
      <x:c r="N535" s="31" t="n">
        <x:v>308</x:v>
      </x:c>
      <x:c r="O535" s="31" t="n">
        <x:v>1811</x:v>
      </x:c>
      <x:c r="P535" s="31" t="n">
        <x:v>6.998888888888889</x:v>
      </x:c>
      <x:c r="Q535" s="40" t="n">
        <x:v>0.2959690778575373</x:v>
      </x:c>
      <x:c r="R535" s="40" t="n">
        <x:v>0.6554389839867476</x:v>
      </x:c>
      <x:c r="S535" s="40" t="n">
        <x:v>0.2816123688569851</x:v>
      </x:c>
      <x:c r="T535" s="31" t="n">
        <x:v>74.37260436667586</x:v>
      </x:c>
      <x:c r="U535" s="31" t="n">
        <x:v>128.04871786</x:v>
      </x:c>
      <x:c r="V535" s="31" t="n">
        <x:v>22</x:v>
      </x:c>
      <x:c r="W535" s="31" t="n">
        <x:v>6.136680613668061</x:v>
      </x:c>
      <x:c r="X535" s="31" t="n">
        <x:v>2.771949199337383</x:v>
      </x:c>
      <x:c r="Y535" s="40" t="n">
        <x:v>0.38597459966869135</x:v>
      </x:c>
      <x:c r="Z535" s="40" t="n">
        <x:v>1</x:v>
      </x:c>
      <x:c r="AA535" s="40" t="n">
        <x:v>1</x:v>
      </x:c>
      <x:c r="AB535" s="31" t="n">
        <x:v>0.05688413663997812</x:v>
      </x:c>
      <x:c r="AC535" s="31" t="n">
        <x:v>8</x:v>
      </x:c>
      <x:c r="AD535" s="44" t="b">
        <x:v>1</x:v>
      </x:c>
    </x:row>
    <x:row r="536">
      <x:c r="A536" s="31" t="str">
        <x:v>36047019800</x:v>
      </x:c>
      <x:c r="B536" s="31" t="str">
        <x:v>Brooklyn</x:v>
      </x:c>
      <x:c r="C536" s="31" t="str">
        <x:v>019800</x:v>
      </x:c>
      <x:c r="D536" s="31" t="str">
        <x:v>BK1002</x:v>
      </x:c>
      <x:c r="E536" s="31" t="str">
        <x:v>Dyker Heights</x:v>
      </x:c>
      <x:c r="F536" s="31" t="n">
        <x:v>0.05201882335392275</x:v>
      </x:c>
      <x:c r="G536" s="31" t="n">
        <x:v>40.61935910299221</x:v>
      </x:c>
      <x:c r="H536" s="31" t="n">
        <x:v>-74.00661783917111</x:v>
      </x:c>
      <x:c r="I536" s="31" t="n">
        <x:v>2061</x:v>
      </x:c>
      <x:c r="J536" s="31" t="n">
        <x:v>39620.27333793161</x:v>
      </x:c>
      <x:c r="K536" s="31"/>
      <x:c r="L536" s="40"/>
      <x:c r="M536" s="40"/>
      <x:c r="N536" s="31" t="n">
        <x:v>358</x:v>
      </x:c>
      <x:c r="O536" s="31" t="n">
        <x:v>699</x:v>
      </x:c>
      <x:c r="P536" s="31" t="n">
        <x:v>2.2726609442060086</x:v>
      </x:c>
      <x:c r="Q536" s="40" t="n">
        <x:v>0</x:v>
      </x:c>
      <x:c r="R536" s="40" t="n">
        <x:v>0.12446351931330472</x:v>
      </x:c>
      <x:c r="S536" s="40" t="n">
        <x:v>0.002861230329041488</x:v>
      </x:c>
      <x:c r="T536" s="31" t="n">
        <x:v>30.199798174391987</x:v>
      </x:c>
      <x:c r="U536" s="31" t="n">
        <x:v>39.6</x:v>
      </x:c>
      <x:c r="V536" s="31" t="n">
        <x:v>1</x:v>
      </x:c>
      <x:c r="W536" s="31" t="n">
        <x:v>0.485201358563804</x:v>
      </x:c>
      <x:c r="X536" s="31" t="n">
        <x:v>3</x:v>
      </x:c>
      <x:c r="Y536" s="40" t="n">
        <x:v>0</x:v>
      </x:c>
      <x:c r="Z536" s="40" t="n">
        <x:v>1</x:v>
      </x:c>
      <x:c r="AA536" s="40" t="n">
        <x:v>1</x:v>
      </x:c>
      <x:c r="AB536" s="31" t="n">
        <x:v>0.31852513172234787</x:v>
      </x:c>
      <x:c r="AC536" s="31" t="n">
        <x:v>7</x:v>
      </x:c>
      <x:c r="AD536" s="44" t="b">
        <x:v>1</x:v>
      </x:c>
    </x:row>
    <x:row r="537">
      <x:c r="A537" s="31" t="str">
        <x:v>36047019900</x:v>
      </x:c>
      <x:c r="B537" s="31" t="str">
        <x:v>Brooklyn</x:v>
      </x:c>
      <x:c r="C537" s="31" t="str">
        <x:v>019900</x:v>
      </x:c>
      <x:c r="D537" s="31" t="str">
        <x:v>BK0204</x:v>
      </x:c>
      <x:c r="E537" s="31" t="str">
        <x:v>Clinton Hill</x:v>
      </x:c>
      <x:c r="F537" s="31" t="n">
        <x:v>0.07309876421279557</x:v>
      </x:c>
      <x:c r="G537" s="31" t="n">
        <x:v>40.68402745479205</x:v>
      </x:c>
      <x:c r="H537" s="31" t="n">
        <x:v>-73.96691940523822</x:v>
      </x:c>
      <x:c r="I537" s="31" t="n">
        <x:v>3978</x:v>
      </x:c>
      <x:c r="J537" s="31" t="n">
        <x:v>54419.52463682924</x:v>
      </x:c>
      <x:c r="K537" s="31"/>
      <x:c r="L537" s="40"/>
      <x:c r="M537" s="40"/>
      <x:c r="N537" s="31" t="n">
        <x:v>279</x:v>
      </x:c>
      <x:c r="O537" s="31" t="n">
        <x:v>2797</x:v>
      </x:c>
      <x:c r="P537" s="31" t="n">
        <x:v>8.576238233164373</x:v>
      </x:c>
      <x:c r="Q537" s="40" t="n">
        <x:v>0.2842331069002503</x:v>
      </x:c>
      <x:c r="R537" s="40" t="n">
        <x:v>0.6896675008938148</x:v>
      </x:c>
      <x:c r="S537" s="40" t="n">
        <x:v>0.026814444047193423</x:v>
      </x:c>
      <x:c r="T537" s="31" t="n">
        <x:v>100.11959151855655</x:v>
      </x:c>
      <x:c r="U537" s="31" t="n">
        <x:v>342</x:v>
      </x:c>
      <x:c r="V537" s="31" t="n">
        <x:v>37</x:v>
      </x:c>
      <x:c r="W537" s="31" t="n">
        <x:v>9.30115635997989</x:v>
      </x:c>
      <x:c r="X537" s="31" t="n">
        <x:v>2</x:v>
      </x:c>
      <x:c r="Y537" s="40" t="n">
        <x:v>0</x:v>
      </x:c>
      <x:c r="Z537" s="40" t="n">
        <x:v>1</x:v>
      </x:c>
      <x:c r="AA537" s="40" t="n">
        <x:v>0.995709688952449</x:v>
      </x:c>
      <x:c r="AB537" s="31" t="n">
        <x:v>0.11863666783836237</x:v>
      </x:c>
      <x:c r="AC537" s="31" t="n">
        <x:v>6</x:v>
      </x:c>
      <x:c r="AD537" s="44" t="b">
        <x:v>1</x:v>
      </x:c>
    </x:row>
    <x:row r="538">
      <x:c r="A538" s="31" t="str">
        <x:v>36047020000</x:v>
      </x:c>
      <x:c r="B538" s="31" t="str">
        <x:v>Brooklyn</x:v>
      </x:c>
      <x:c r="C538" s="31" t="str">
        <x:v>020000</x:v>
      </x:c>
      <x:c r="D538" s="31" t="str">
        <x:v>BK1002</x:v>
      </x:c>
      <x:c r="E538" s="31" t="str">
        <x:v>Dyker Heights</x:v>
      </x:c>
      <x:c r="F538" s="31" t="n">
        <x:v>0.05206827367065541</x:v>
      </x:c>
      <x:c r="G538" s="31" t="n">
        <x:v>40.62068905703743</x:v>
      </x:c>
      <x:c r="H538" s="31" t="n">
        <x:v>-74.00881988121645</x:v>
      </x:c>
      <x:c r="I538" s="31" t="n">
        <x:v>2442</x:v>
      </x:c>
      <x:c r="J538" s="31" t="n">
        <x:v>46899.9609137466</x:v>
      </x:c>
      <x:c r="K538" s="31"/>
      <x:c r="L538" s="40"/>
      <x:c r="M538" s="40"/>
      <x:c r="N538" s="31" t="n">
        <x:v>428</x:v>
      </x:c>
      <x:c r="O538" s="31" t="n">
        <x:v>777</x:v>
      </x:c>
      <x:c r="P538" s="31" t="n">
        <x:v>2.1943371943371943</x:v>
      </x:c>
      <x:c r="Q538" s="40" t="n">
        <x:v>0</x:v>
      </x:c>
      <x:c r="R538" s="40" t="n">
        <x:v>0.13384813384813385</x:v>
      </x:c>
      <x:c r="S538" s="40" t="n">
        <x:v>0.015444015444015444</x:v>
      </x:c>
      <x:c r="T538" s="31" t="n">
        <x:v>28.56351769867439</x:v>
      </x:c>
      <x:c r="U538" s="31" t="n">
        <x:v>44.62</x:v>
      </x:c>
      <x:c r="V538" s="31" t="n">
        <x:v>2</x:v>
      </x:c>
      <x:c r="W538" s="31" t="n">
        <x:v>0.819000819000819</x:v>
      </x:c>
      <x:c r="X538" s="31" t="n">
        <x:v>3</x:v>
      </x:c>
      <x:c r="Y538" s="40" t="n">
        <x:v>0</x:v>
      </x:c>
      <x:c r="Z538" s="40" t="n">
        <x:v>1</x:v>
      </x:c>
      <x:c r="AA538" s="40" t="n">
        <x:v>1</x:v>
      </x:c>
      <x:c r="AB538" s="31" t="n">
        <x:v>0.26944964566258883</x:v>
      </x:c>
      <x:c r="AC538" s="31" t="n">
        <x:v>7</x:v>
      </x:c>
      <x:c r="AD538" s="44" t="b">
        <x:v>1</x:v>
      </x:c>
    </x:row>
    <x:row r="539">
      <x:c r="A539" s="31" t="str">
        <x:v>36047020100</x:v>
      </x:c>
      <x:c r="B539" s="31" t="str">
        <x:v>Brooklyn</x:v>
      </x:c>
      <x:c r="C539" s="31" t="str">
        <x:v>020100</x:v>
      </x:c>
      <x:c r="D539" s="31" t="str">
        <x:v>BK0204</x:v>
      </x:c>
      <x:c r="E539" s="31" t="str">
        <x:v>Clinton Hill</x:v>
      </x:c>
      <x:c r="F539" s="31" t="n">
        <x:v>0.0676102959291064</x:v>
      </x:c>
      <x:c r="G539" s="31" t="n">
        <x:v>40.683849775408746</x:v>
      </x:c>
      <x:c r="H539" s="31" t="n">
        <x:v>-73.96338140669256</x:v>
      </x:c>
      <x:c r="I539" s="31" t="n">
        <x:v>3862</x:v>
      </x:c>
      <x:c r="J539" s="31" t="n">
        <x:v>57121.47753427299</x:v>
      </x:c>
      <x:c r="K539" s="31"/>
      <x:c r="L539" s="40"/>
      <x:c r="M539" s="40"/>
      <x:c r="N539" s="31" t="n">
        <x:v>482</x:v>
      </x:c>
      <x:c r="O539" s="31" t="n">
        <x:v>2186</x:v>
      </x:c>
      <x:c r="P539" s="31" t="n">
        <x:v>4.27683095347766</x:v>
      </x:c>
      <x:c r="Q539" s="40" t="n">
        <x:v>0.035681610247026534</x:v>
      </x:c>
      <x:c r="R539" s="40" t="n">
        <x:v>0.9327538883806038</x:v>
      </x:c>
      <x:c r="S539" s="40" t="n">
        <x:v>0.012351326623970723</x:v>
      </x:c>
      <x:c r="T539" s="31" t="n">
        <x:v>52.09159749502572</x:v>
      </x:c>
      <x:c r="U539" s="31" t="n">
        <x:v>90.68276835</x:v>
      </x:c>
      <x:c r="V539" s="31" t="n">
        <x:v>21</x:v>
      </x:c>
      <x:c r="W539" s="31" t="n">
        <x:v>5.4375970999482135</x:v>
      </x:c>
      <x:c r="X539" s="31" t="n">
        <x:v>2</x:v>
      </x:c>
      <x:c r="Y539" s="40" t="n">
        <x:v>0</x:v>
      </x:c>
      <x:c r="Z539" s="40" t="n">
        <x:v>1</x:v>
      </x:c>
      <x:c r="AA539" s="40" t="n">
        <x:v>0.9784995425434584</x:v>
      </x:c>
      <x:c r="AB539" s="31" t="n">
        <x:v>0.15744555506168434</x:v>
      </x:c>
      <x:c r="AC539" s="31" t="n">
        <x:v>6</x:v>
      </x:c>
      <x:c r="AD539" s="44" t="b">
        <x:v>1</x:v>
      </x:c>
    </x:row>
    <x:row r="540">
      <x:c r="A540" s="31" t="str">
        <x:v>36047020200</x:v>
      </x:c>
      <x:c r="B540" s="31" t="str">
        <x:v>Brooklyn</x:v>
      </x:c>
      <x:c r="C540" s="31" t="str">
        <x:v>020200</x:v>
      </x:c>
      <x:c r="D540" s="31" t="str">
        <x:v>BK1002</x:v>
      </x:c>
      <x:c r="E540" s="31" t="str">
        <x:v>Dyker Heights</x:v>
      </x:c>
      <x:c r="F540" s="31" t="n">
        <x:v>0.05206011165167298</x:v>
      </x:c>
      <x:c r="G540" s="31" t="n">
        <x:v>40.62201997263445</x:v>
      </x:c>
      <x:c r="H540" s="31" t="n">
        <x:v>-74.01102152472093</x:v>
      </x:c>
      <x:c r="I540" s="31" t="n">
        <x:v>2147</x:v>
      </x:c>
      <x:c r="J540" s="31" t="n">
        <x:v>41240.78746440808</x:v>
      </x:c>
      <x:c r="K540" s="31"/>
      <x:c r="L540" s="40"/>
      <x:c r="M540" s="40"/>
      <x:c r="N540" s="31" t="n">
        <x:v>455</x:v>
      </x:c>
      <x:c r="O540" s="31" t="n">
        <x:v>735</x:v>
      </x:c>
      <x:c r="P540" s="31" t="n">
        <x:v>2.092517006802721</x:v>
      </x:c>
      <x:c r="Q540" s="40" t="n">
        <x:v>0</x:v>
      </x:c>
      <x:c r="R540" s="40" t="n">
        <x:v>0.0653061224489796</x:v>
      </x:c>
      <x:c r="S540" s="40" t="n">
        <x:v>0.0013605442176870747</x:v>
      </x:c>
      <x:c r="T540" s="31" t="n">
        <x:v>28.19593184529412</x:v>
      </x:c>
      <x:c r="U540" s="31" t="n">
        <x:v>36.83</x:v>
      </x:c>
      <x:c r="V540" s="31" t="n">
        <x:v>1</x:v>
      </x:c>
      <x:c r="W540" s="31" t="n">
        <x:v>0.4657661853749418</x:v>
      </x:c>
      <x:c r="X540" s="31" t="n">
        <x:v>3</x:v>
      </x:c>
      <x:c r="Y540" s="40" t="n">
        <x:v>0</x:v>
      </x:c>
      <x:c r="Z540" s="40" t="n">
        <x:v>1</x:v>
      </x:c>
      <x:c r="AA540" s="40" t="n">
        <x:v>0.9945578231292517</x:v>
      </x:c>
      <x:c r="AB540" s="31" t="n">
        <x:v>0.2536991695285899</x:v>
      </x:c>
      <x:c r="AC540" s="31" t="n">
        <x:v>6</x:v>
      </x:c>
      <x:c r="AD540" s="44" t="b">
        <x:v>1</x:v>
      </x:c>
    </x:row>
    <x:row r="541">
      <x:c r="A541" s="31" t="str">
        <x:v>36047020300</x:v>
      </x:c>
      <x:c r="B541" s="31" t="str">
        <x:v>Brooklyn</x:v>
      </x:c>
      <x:c r="C541" s="31" t="str">
        <x:v>020300</x:v>
      </x:c>
      <x:c r="D541" s="31" t="str">
        <x:v>BK0801</x:v>
      </x:c>
      <x:c r="E541" s="31" t="str">
        <x:v>Prospect Heights</x:v>
      </x:c>
      <x:c r="F541" s="31" t="n">
        <x:v>0.05423952269929408</x:v>
      </x:c>
      <x:c r="G541" s="31" t="n">
        <x:v>40.67995524085935</x:v>
      </x:c>
      <x:c r="H541" s="31" t="n">
        <x:v>-73.96481762996395</x:v>
      </x:c>
      <x:c r="I541" s="31" t="n">
        <x:v>2132</x:v>
      </x:c>
      <x:c r="J541" s="31" t="n">
        <x:v>39307.130555331154</x:v>
      </x:c>
      <x:c r="K541" s="31"/>
      <x:c r="L541" s="40"/>
      <x:c r="M541" s="40"/>
      <x:c r="N541" s="31" t="n">
        <x:v>265</x:v>
      </x:c>
      <x:c r="O541" s="31" t="n">
        <x:v>1212</x:v>
      </x:c>
      <x:c r="P541" s="31" t="n">
        <x:v>6.018348623853211</x:v>
      </x:c>
      <x:c r="Q541" s="40" t="n">
        <x:v>0.15594059405940594</x:v>
      </x:c>
      <x:c r="R541" s="40" t="n">
        <x:v>0.7483498349834984</x:v>
      </x:c>
      <x:c r="S541" s="40" t="n">
        <x:v>0.0016501650165016502</x:v>
      </x:c>
      <x:c r="T541" s="31" t="n">
        <x:v>69.01304146134291</x:v>
      </x:c>
      <x:c r="U541" s="31" t="n">
        <x:v>196</x:v>
      </x:c>
      <x:c r="V541" s="31" t="n">
        <x:v>28</x:v>
      </x:c>
      <x:c r="W541" s="31" t="n">
        <x:v>13.133208255159476</x:v>
      </x:c>
      <x:c r="X541" s="31" t="n">
        <x:v>2</x:v>
      </x:c>
      <x:c r="Y541" s="40" t="n">
        <x:v>0</x:v>
      </x:c>
      <x:c r="Z541" s="40" t="n">
        <x:v>1</x:v>
      </x:c>
      <x:c r="AA541" s="40" t="n">
        <x:v>0.976897689768977</x:v>
      </x:c>
      <x:c r="AB541" s="31" t="n">
        <x:v>0.11705601425273687</x:v>
      </x:c>
      <x:c r="AC541" s="31" t="n">
        <x:v>6</x:v>
      </x:c>
      <x:c r="AD541" s="44" t="b">
        <x:v>1</x:v>
      </x:c>
    </x:row>
    <x:row r="542">
      <x:c r="A542" s="31" t="str">
        <x:v>36047020400</x:v>
      </x:c>
      <x:c r="B542" s="31" t="str">
        <x:v>Brooklyn</x:v>
      </x:c>
      <x:c r="C542" s="31" t="str">
        <x:v>020400</x:v>
      </x:c>
      <x:c r="D542" s="31" t="str">
        <x:v>BK1002</x:v>
      </x:c>
      <x:c r="E542" s="31" t="str">
        <x:v>Dyker Heights</x:v>
      </x:c>
      <x:c r="F542" s="31" t="n">
        <x:v>0.05204551334725092</x:v>
      </x:c>
      <x:c r="G542" s="31" t="n">
        <x:v>40.6233501258994</x:v>
      </x:c>
      <x:c r="H542" s="31" t="n">
        <x:v>-74.01322386750941</x:v>
      </x:c>
      <x:c r="I542" s="31" t="n">
        <x:v>2040</x:v>
      </x:c>
      <x:c r="J542" s="31" t="n">
        <x:v>39196.46226542128</x:v>
      </x:c>
      <x:c r="K542" s="31"/>
      <x:c r="L542" s="40"/>
      <x:c r="M542" s="40"/>
      <x:c r="N542" s="31" t="n">
        <x:v>462</x:v>
      </x:c>
      <x:c r="O542" s="31" t="n">
        <x:v>706</x:v>
      </x:c>
      <x:c r="P542" s="31" t="n">
        <x:v>2.1260623229461757</x:v>
      </x:c>
      <x:c r="Q542" s="40" t="n">
        <x:v>0</x:v>
      </x:c>
      <x:c r="R542" s="40" t="n">
        <x:v>0.03824362606232295</x:v>
      </x:c>
      <x:c r="S542" s="40" t="n">
        <x:v>0.0169971671388102</x:v>
      </x:c>
      <x:c r="T542" s="31" t="n">
        <x:v>29.09520094094901</x:v>
      </x:c>
      <x:c r="U542" s="31" t="n">
        <x:v>40.01</x:v>
      </x:c>
      <x:c r="V542" s="31" t="n">
        <x:v>0</x:v>
      </x:c>
      <x:c r="W542" s="31" t="n">
        <x:v>0</x:v>
      </x:c>
      <x:c r="X542" s="31" t="n">
        <x:v>3</x:v>
      </x:c>
      <x:c r="Y542" s="40" t="n">
        <x:v>0</x:v>
      </x:c>
      <x:c r="Z542" s="40" t="n">
        <x:v>1</x:v>
      </x:c>
      <x:c r="AA542" s="40" t="n">
        <x:v>1</x:v>
      </x:c>
      <x:c r="AB542" s="31" t="n">
        <x:v>0.21434114987921962</x:v>
      </x:c>
      <x:c r="AC542" s="31" t="n">
        <x:v>5</x:v>
      </x:c>
      <x:c r="AD542" s="44" t="b">
        <x:v>1</x:v>
      </x:c>
    </x:row>
    <x:row r="543">
      <x:c r="A543" s="31" t="str">
        <x:v>36047020500</x:v>
      </x:c>
      <x:c r="B543" s="31" t="str">
        <x:v>Brooklyn</x:v>
      </x:c>
      <x:c r="C543" s="31" t="str">
        <x:v>020500</x:v>
      </x:c>
      <x:c r="D543" s="31" t="str">
        <x:v>BK0801</x:v>
      </x:c>
      <x:c r="E543" s="31" t="str">
        <x:v>Prospect Heights</x:v>
      </x:c>
      <x:c r="F543" s="31" t="n">
        <x:v>0.06165956547542183</x:v>
      </x:c>
      <x:c r="G543" s="31" t="n">
        <x:v>40.67747507533224</x:v>
      </x:c>
      <x:c r="H543" s="31" t="n">
        <x:v>-73.96570300921228</x:v>
      </x:c>
      <x:c r="I543" s="31" t="n">
        <x:v>3405</x:v>
      </x:c>
      <x:c r="J543" s="31" t="n">
        <x:v>55222.57534165189</x:v>
      </x:c>
      <x:c r="K543" s="31"/>
      <x:c r="L543" s="40"/>
      <x:c r="M543" s="40"/>
      <x:c r="N543" s="31" t="n">
        <x:v>324</x:v>
      </x:c>
      <x:c r="O543" s="31" t="n">
        <x:v>1660</x:v>
      </x:c>
      <x:c r="P543" s="31" t="n">
        <x:v>3.9644578313253014</x:v>
      </x:c>
      <x:c r="Q543" s="40" t="n">
        <x:v>0</x:v>
      </x:c>
      <x:c r="R543" s="40" t="n">
        <x:v>0.9295180722891566</x:v>
      </x:c>
      <x:c r="S543" s="40" t="n">
        <x:v>0.02289156626506024</x:v>
      </x:c>
      <x:c r="T543" s="31" t="n">
        <x:v>45.80815188622455</x:v>
      </x:c>
      <x:c r="U543" s="31" t="n">
        <x:v>91.34346517</x:v>
      </x:c>
      <x:c r="V543" s="31" t="n">
        <x:v>27</x:v>
      </x:c>
      <x:c r="W543" s="31" t="n">
        <x:v>7.929515418502203</x:v>
      </x:c>
      <x:c r="X543" s="31" t="n">
        <x:v>2</x:v>
      </x:c>
      <x:c r="Y543" s="40" t="n">
        <x:v>0</x:v>
      </x:c>
      <x:c r="Z543" s="40" t="n">
        <x:v>1</x:v>
      </x:c>
      <x:c r="AA543" s="40" t="n">
        <x:v>0.9765060240963855</x:v>
      </x:c>
      <x:c r="AB543" s="31" t="n">
        <x:v>0.08263489469878187</x:v>
      </x:c>
      <x:c r="AC543" s="31" t="n">
        <x:v>5</x:v>
      </x:c>
      <x:c r="AD543" s="44" t="b">
        <x:v>1</x:v>
      </x:c>
    </x:row>
    <x:row r="544">
      <x:c r="A544" s="31" t="str">
        <x:v>36047020600</x:v>
      </x:c>
      <x:c r="B544" s="31" t="str">
        <x:v>Brooklyn</x:v>
      </x:c>
      <x:c r="C544" s="31" t="str">
        <x:v>020600</x:v>
      </x:c>
      <x:c r="D544" s="31" t="str">
        <x:v>BK1002</x:v>
      </x:c>
      <x:c r="E544" s="31" t="str">
        <x:v>Dyker Heights</x:v>
      </x:c>
      <x:c r="F544" s="31" t="n">
        <x:v>0.06593044196008378</x:v>
      </x:c>
      <x:c r="G544" s="31" t="n">
        <x:v>40.62488031974073</x:v>
      </x:c>
      <x:c r="H544" s="31" t="n">
        <x:v>-74.01544805012684</x:v>
      </x:c>
      <x:c r="I544" s="31" t="n">
        <x:v>2505</x:v>
      </x:c>
      <x:c r="J544" s="31" t="n">
        <x:v>37994.58831955958</x:v>
      </x:c>
      <x:c r="K544" s="31"/>
      <x:c r="L544" s="40"/>
      <x:c r="M544" s="40"/>
      <x:c r="N544" s="31" t="n">
        <x:v>438</x:v>
      </x:c>
      <x:c r="O544" s="31" t="n">
        <x:v>822</x:v>
      </x:c>
      <x:c r="P544" s="31" t="n">
        <x:v>2.463675213675214</x:v>
      </x:c>
      <x:c r="Q544" s="40" t="n">
        <x:v>0</x:v>
      </x:c>
      <x:c r="R544" s="40" t="n">
        <x:v>0.2712895377128954</x:v>
      </x:c>
      <x:c r="S544" s="40" t="n">
        <x:v>0.0024330900243309003</x:v>
      </x:c>
      <x:c r="T544" s="31" t="n">
        <x:v>31.954852185973238</x:v>
      </x:c>
      <x:c r="U544" s="31" t="n">
        <x:v>50.18</x:v>
      </x:c>
      <x:c r="V544" s="31" t="n">
        <x:v>0</x:v>
      </x:c>
      <x:c r="W544" s="31" t="n">
        <x:v>0</x:v>
      </x:c>
      <x:c r="X544" s="31" t="n">
        <x:v>3</x:v>
      </x:c>
      <x:c r="Y544" s="40" t="n">
        <x:v>0</x:v>
      </x:c>
      <x:c r="Z544" s="40" t="n">
        <x:v>1</x:v>
      </x:c>
      <x:c r="AA544" s="40" t="n">
        <x:v>1</x:v>
      </x:c>
      <x:c r="AB544" s="31" t="n">
        <x:v>0.09897766213249683</x:v>
      </x:c>
      <x:c r="AC544" s="31" t="n">
        <x:v>7</x:v>
      </x:c>
      <x:c r="AD544" s="44" t="b">
        <x:v>1</x:v>
      </x:c>
    </x:row>
    <x:row r="545">
      <x:c r="A545" s="31" t="str">
        <x:v>36047020700</x:v>
      </x:c>
      <x:c r="B545" s="31" t="str">
        <x:v>Brooklyn</x:v>
      </x:c>
      <x:c r="C545" s="31" t="str">
        <x:v>020700</x:v>
      </x:c>
      <x:c r="D545" s="31" t="str">
        <x:v>BK0801</x:v>
      </x:c>
      <x:c r="E545" s="31" t="str">
        <x:v>Prospect Heights</x:v>
      </x:c>
      <x:c r="F545" s="31" t="n">
        <x:v>0.05308909550081784</x:v>
      </x:c>
      <x:c r="G545" s="31" t="n">
        <x:v>40.674956077569206</x:v>
      </x:c>
      <x:c r="H545" s="31" t="n">
        <x:v>-73.96661354855314</x:v>
      </x:c>
      <x:c r="I545" s="31" t="n">
        <x:v>4871</x:v>
      </x:c>
      <x:c r="J545" s="31" t="n">
        <x:v>91751.42190781838</x:v>
      </x:c>
      <x:c r="K545" s="31"/>
      <x:c r="L545" s="40"/>
      <x:c r="M545" s="40"/>
      <x:c r="N545" s="31" t="n">
        <x:v>275</x:v>
      </x:c>
      <x:c r="O545" s="31" t="n">
        <x:v>2266</x:v>
      </x:c>
      <x:c r="P545" s="31" t="n">
        <x:v>5.559062218214608</x:v>
      </x:c>
      <x:c r="Q545" s="40" t="n">
        <x:v>0.14916151809355693</x:v>
      </x:c>
      <x:c r="R545" s="40" t="n">
        <x:v>0.7899382171226832</x:v>
      </x:c>
      <x:c r="S545" s="40" t="n">
        <x:v>0</x:v>
      </x:c>
      <x:c r="T545" s="31" t="n">
        <x:v>64.24189507963813</x:v>
      </x:c>
      <x:c r="U545" s="31" t="n">
        <x:v>154</x:v>
      </x:c>
      <x:c r="V545" s="31" t="n">
        <x:v>26</x:v>
      </x:c>
      <x:c r="W545" s="31" t="n">
        <x:v>5.337712995278177</x:v>
      </x:c>
      <x:c r="X545" s="31" t="n">
        <x:v>2</x:v>
      </x:c>
      <x:c r="Y545" s="40" t="n">
        <x:v>0</x:v>
      </x:c>
      <x:c r="Z545" s="40" t="n">
        <x:v>1</x:v>
      </x:c>
      <x:c r="AA545" s="40" t="n">
        <x:v>1</x:v>
      </x:c>
      <x:c r="AB545" s="31" t="n">
        <x:v>0.19000816728051872</x:v>
      </x:c>
      <x:c r="AC545" s="31" t="n">
        <x:v>5</x:v>
      </x:c>
      <x:c r="AD545" s="44" t="b">
        <x:v>1</x:v>
      </x:c>
    </x:row>
    <x:row r="546">
      <x:c r="A546" s="31" t="str">
        <x:v>36047020800</x:v>
      </x:c>
      <x:c r="B546" s="31" t="str">
        <x:v>Brooklyn</x:v>
      </x:c>
      <x:c r="C546" s="31" t="str">
        <x:v>020800</x:v>
      </x:c>
      <x:c r="D546" s="31" t="str">
        <x:v>BK1002</x:v>
      </x:c>
      <x:c r="E546" s="31" t="str">
        <x:v>Dyker Heights</x:v>
      </x:c>
      <x:c r="F546" s="31" t="n">
        <x:v>0.055336356298783286</x:v>
      </x:c>
      <x:c r="G546" s="31" t="n">
        <x:v>40.62597626187554</x:v>
      </x:c>
      <x:c r="H546" s="31" t="n">
        <x:v>-74.00976753436967</x:v>
      </x:c>
      <x:c r="I546" s="31" t="n">
        <x:v>3782</x:v>
      </x:c>
      <x:c r="J546" s="31" t="n">
        <x:v>68345.66373650369</x:v>
      </x:c>
      <x:c r="K546" s="31"/>
      <x:c r="L546" s="40"/>
      <x:c r="M546" s="40"/>
      <x:c r="N546" s="31" t="n">
        <x:v>446</x:v>
      </x:c>
      <x:c r="O546" s="31" t="n">
        <x:v>1069</x:v>
      </x:c>
      <x:c r="P546" s="31" t="n">
        <x:v>2.188026192703461</x:v>
      </x:c>
      <x:c r="Q546" s="40" t="n">
        <x:v>0</x:v>
      </x:c>
      <x:c r="R546" s="40" t="n">
        <x:v>0.16931711880261927</x:v>
      </x:c>
      <x:c r="S546" s="40" t="n">
        <x:v>0.02245088868101029</x:v>
      </x:c>
      <x:c r="T546" s="31" t="n">
        <x:v>28.7012487227783</x:v>
      </x:c>
      <x:c r="U546" s="31" t="n">
        <x:v>46.88</x:v>
      </x:c>
      <x:c r="V546" s="31" t="n">
        <x:v>0</x:v>
      </x:c>
      <x:c r="W546" s="31" t="n">
        <x:v>0</x:v>
      </x:c>
      <x:c r="X546" s="31" t="n">
        <x:v>3.124415341440599</x:v>
      </x:c>
      <x:c r="Y546" s="40" t="n">
        <x:v>0.1244153414405987</x:v>
      </x:c>
      <x:c r="Z546" s="40" t="n">
        <x:v>1</x:v>
      </x:c>
      <x:c r="AA546" s="40" t="n">
        <x:v>1</x:v>
      </x:c>
      <x:c r="AB546" s="31" t="n">
        <x:v>0.24726730292956192</x:v>
      </x:c>
      <x:c r="AC546" s="31" t="n">
        <x:v>8</x:v>
      </x:c>
      <x:c r="AD546" s="44" t="b">
        <x:v>1</x:v>
      </x:c>
    </x:row>
    <x:row r="547">
      <x:c r="A547" s="31" t="str">
        <x:v>36047021000</x:v>
      </x:c>
      <x:c r="B547" s="31" t="str">
        <x:v>Brooklyn</x:v>
      </x:c>
      <x:c r="C547" s="31" t="str">
        <x:v>021000</x:v>
      </x:c>
      <x:c r="D547" s="31" t="str">
        <x:v>BK1002</x:v>
      </x:c>
      <x:c r="E547" s="31" t="str">
        <x:v>Dyker Heights</x:v>
      </x:c>
      <x:c r="F547" s="31" t="n">
        <x:v>0.057913653230816695</x:v>
      </x:c>
      <x:c r="G547" s="31" t="n">
        <x:v>40.627626234770716</x:v>
      </x:c>
      <x:c r="H547" s="31" t="n">
        <x:v>-74.00815622031065</x:v>
      </x:c>
      <x:c r="I547" s="31" t="n">
        <x:v>4488</x:v>
      </x:c>
      <x:c r="J547" s="31" t="n">
        <x:v>77494.679572586</x:v>
      </x:c>
      <x:c r="K547" s="31"/>
      <x:c r="L547" s="40"/>
      <x:c r="M547" s="40"/>
      <x:c r="N547" s="31" t="n">
        <x:v>425</x:v>
      </x:c>
      <x:c r="O547" s="31" t="n">
        <x:v>1335</x:v>
      </x:c>
      <x:c r="P547" s="31" t="n">
        <x:v>2.6666666666666665</x:v>
      </x:c>
      <x:c r="Q547" s="40" t="n">
        <x:v>0</x:v>
      </x:c>
      <x:c r="R547" s="40" t="n">
        <x:v>0.448689138576779</x:v>
      </x:c>
      <x:c r="S547" s="40" t="n">
        <x:v>0.011235955056179775</x:v>
      </x:c>
      <x:c r="T547" s="31" t="n">
        <x:v>32.503048746606744</x:v>
      </x:c>
      <x:c r="U547" s="31" t="n">
        <x:v>58.22</x:v>
      </x:c>
      <x:c r="V547" s="31" t="n">
        <x:v>0</x:v>
      </x:c>
      <x:c r="W547" s="31" t="n">
        <x:v>0</x:v>
      </x:c>
      <x:c r="X547" s="31" t="n">
        <x:v>4</x:v>
      </x:c>
      <x:c r="Y547" s="40" t="n">
        <x:v>1</x:v>
      </x:c>
      <x:c r="Z547" s="40" t="n">
        <x:v>1</x:v>
      </x:c>
      <x:c r="AA547" s="40" t="n">
        <x:v>1</x:v>
      </x:c>
      <x:c r="AB547" s="31" t="n">
        <x:v>0.22229926631345098</x:v>
      </x:c>
      <x:c r="AC547" s="31" t="n">
        <x:v>7</x:v>
      </x:c>
      <x:c r="AD547" s="44" t="b">
        <x:v>1</x:v>
      </x:c>
    </x:row>
    <x:row r="548">
      <x:c r="A548" s="31" t="str">
        <x:v>36047021100</x:v>
      </x:c>
      <x:c r="B548" s="31" t="str">
        <x:v>Brooklyn</x:v>
      </x:c>
      <x:c r="C548" s="31" t="str">
        <x:v>021100</x:v>
      </x:c>
      <x:c r="D548" s="31" t="str">
        <x:v>BK0203</x:v>
      </x:c>
      <x:c r="E548" s="31" t="str">
        <x:v>Fort Greene</x:v>
      </x:c>
      <x:c r="F548" s="31" t="n">
        <x:v>0.10616689584624656</x:v>
      </x:c>
      <x:c r="G548" s="31" t="n">
        <x:v>40.6970750780499</x:v>
      </x:c>
      <x:c r="H548" s="31" t="n">
        <x:v>-73.97193328301046</x:v>
      </x:c>
      <x:c r="I548" s="31" t="n">
        <x:v>2505</x:v>
      </x:c>
      <x:c r="J548" s="31" t="n">
        <x:v>23594.925518287746</x:v>
      </x:c>
      <x:c r="K548" s="31"/>
      <x:c r="L548" s="40"/>
      <x:c r="M548" s="40"/>
      <x:c r="N548" s="31" t="n">
        <x:v>169</x:v>
      </x:c>
      <x:c r="O548" s="31" t="n">
        <x:v>1710</x:v>
      </x:c>
      <x:c r="P548" s="31" t="n">
        <x:v>8.438452520515826</x:v>
      </x:c>
      <x:c r="Q548" s="40" t="n">
        <x:v>0.4865497076023392</x:v>
      </x:c>
      <x:c r="R548" s="40" t="n">
        <x:v>0.4678362573099415</x:v>
      </x:c>
      <x:c r="S548" s="40" t="n">
        <x:v>0.049707602339181284</x:v>
      </x:c>
      <x:c r="T548" s="31" t="n">
        <x:v>89.82619246542204</x:v>
      </x:c>
      <x:c r="U548" s="31" t="n">
        <x:v>137</x:v>
      </x:c>
      <x:c r="V548" s="31" t="n">
        <x:v>20</x:v>
      </x:c>
      <x:c r="W548" s="31" t="n">
        <x:v>7.984031936127744</x:v>
      </x:c>
      <x:c r="X548" s="31" t="n">
        <x:v>4</x:v>
      </x:c>
      <x:c r="Y548" s="40" t="n">
        <x:v>1</x:v>
      </x:c>
      <x:c r="Z548" s="40" t="n">
        <x:v>1</x:v>
      </x:c>
      <x:c r="AA548" s="40" t="n">
        <x:v>0.9976608187134502</x:v>
      </x:c>
      <x:c r="AB548" s="31" t="n">
        <x:v>0.1785690368578151</x:v>
      </x:c>
      <x:c r="AC548" s="31" t="n">
        <x:v>8</x:v>
      </x:c>
      <x:c r="AD548" s="44" t="b">
        <x:v>1</x:v>
      </x:c>
    </x:row>
    <x:row r="549">
      <x:c r="A549" s="31" t="str">
        <x:v>36047021200</x:v>
      </x:c>
      <x:c r="B549" s="31" t="str">
        <x:v>Brooklyn</x:v>
      </x:c>
      <x:c r="C549" s="31" t="str">
        <x:v>021200</x:v>
      </x:c>
      <x:c r="D549" s="31" t="str">
        <x:v>BK1002</x:v>
      </x:c>
      <x:c r="E549" s="31" t="str">
        <x:v>Dyker Heights</x:v>
      </x:c>
      <x:c r="F549" s="31" t="n">
        <x:v>0.07368874455707644</x:v>
      </x:c>
      <x:c r="G549" s="31" t="n">
        <x:v>40.62947426708886</x:v>
      </x:c>
      <x:c r="H549" s="31" t="n">
        <x:v>-74.00584975165094</x:v>
      </x:c>
      <x:c r="I549" s="31" t="n">
        <x:v>5278</x:v>
      </x:c>
      <x:c r="J549" s="31" t="n">
        <x:v>71625.59264273889</x:v>
      </x:c>
      <x:c r="K549" s="31"/>
      <x:c r="L549" s="40"/>
      <x:c r="M549" s="40"/>
      <x:c r="N549" s="31" t="n">
        <x:v>447</x:v>
      </x:c>
      <x:c r="O549" s="31" t="n">
        <x:v>1399</x:v>
      </x:c>
      <x:c r="P549" s="31" t="n">
        <x:v>2.5662973552537527</x:v>
      </x:c>
      <x:c r="Q549" s="40" t="n">
        <x:v>0.0014295925661186562</x:v>
      </x:c>
      <x:c r="R549" s="40" t="n">
        <x:v>0.3759828448892066</x:v>
      </x:c>
      <x:c r="S549" s="40" t="n">
        <x:v>0.01501072194424589</x:v>
      </x:c>
      <x:c r="T549" s="31" t="n">
        <x:v>31.148848306783666</x:v>
      </x:c>
      <x:c r="U549" s="31" t="n">
        <x:v>52</x:v>
      </x:c>
      <x:c r="V549" s="31" t="n">
        <x:v>11</x:v>
      </x:c>
      <x:c r="W549" s="31" t="n">
        <x:v>2.084122773777946</x:v>
      </x:c>
      <x:c r="X549" s="31" t="n">
        <x:v>4</x:v>
      </x:c>
      <x:c r="Y549" s="40" t="n">
        <x:v>1</x:v>
      </x:c>
      <x:c r="Z549" s="40" t="n">
        <x:v>1</x:v>
      </x:c>
      <x:c r="AA549" s="40" t="n">
        <x:v>0.997855611150822</x:v>
      </x:c>
      <x:c r="AB549" s="31" t="n">
        <x:v>0.1487907260319932</x:v>
      </x:c>
      <x:c r="AC549" s="31" t="n">
        <x:v>7</x:v>
      </x:c>
      <x:c r="AD549" s="44" t="b">
        <x:v>1</x:v>
      </x:c>
    </x:row>
    <x:row r="550">
      <x:c r="A550" s="31" t="str">
        <x:v>36047021300</x:v>
      </x:c>
      <x:c r="B550" s="31" t="str">
        <x:v>Brooklyn</x:v>
      </x:c>
      <x:c r="C550" s="31" t="str">
        <x:v>021300</x:v>
      </x:c>
      <x:c r="D550" s="31" t="str">
        <x:v>BK0901</x:v>
      </x:c>
      <x:c r="E550" s="31" t="str">
        <x:v>Crown Heights (South)</x:v>
      </x:c>
      <x:c r="F550" s="31" t="n">
        <x:v>0.07096970306115129</x:v>
      </x:c>
      <x:c r="G550" s="31" t="n">
        <x:v>40.66835006586856</x:v>
      </x:c>
      <x:c r="H550" s="31" t="n">
        <x:v>-73.96046271335855</x:v>
      </x:c>
      <x:c r="I550" s="31" t="n">
        <x:v>3880</x:v>
      </x:c>
      <x:c r="J550" s="31" t="n">
        <x:v>54671.21648595295</x:v>
      </x:c>
      <x:c r="K550" s="31"/>
      <x:c r="L550" s="40"/>
      <x:c r="M550" s="40"/>
      <x:c r="N550" s="31" t="n">
        <x:v>53</x:v>
      </x:c>
      <x:c r="O550" s="31" t="n">
        <x:v>3179</x:v>
      </x:c>
      <x:c r="P550" s="31" t="n">
        <x:v>12.174079221681723</x:v>
      </x:c>
      <x:c r="Q550" s="40" t="n">
        <x:v>0.4149103491664045</x:v>
      </x:c>
      <x:c r="R550" s="40" t="n">
        <x:v>0.4847436300723498</x:v>
      </x:c>
      <x:c r="S550" s="40" t="n">
        <x:v>0</x:v>
      </x:c>
      <x:c r="T550" s="31" t="n">
        <x:v>126.03197959394024</x:v>
      </x:c>
      <x:c r="U550" s="31" t="n">
        <x:v>314.59</x:v>
      </x:c>
      <x:c r="V550" s="31" t="n">
        <x:v>51</x:v>
      </x:c>
      <x:c r="W550" s="31" t="n">
        <x:v>13.144329896907216</x:v>
      </x:c>
      <x:c r="X550" s="31" t="n">
        <x:v>5</x:v>
      </x:c>
      <x:c r="Y550" s="40" t="n">
        <x:v>1</x:v>
      </x:c>
      <x:c r="Z550" s="40" t="n">
        <x:v>1</x:v>
      </x:c>
      <x:c r="AA550" s="40" t="n">
        <x:v>0.9053161371500472</x:v>
      </x:c>
      <x:c r="AB550" s="31" t="n">
        <x:v>0.03979013964588812</x:v>
      </x:c>
      <x:c r="AC550" s="31" t="n">
        <x:v>6</x:v>
      </x:c>
      <x:c r="AD550" s="44" t="b">
        <x:v>1</x:v>
      </x:c>
    </x:row>
    <x:row r="551">
      <x:c r="A551" s="31" t="str">
        <x:v>36047021400</x:v>
      </x:c>
      <x:c r="B551" s="31" t="str">
        <x:v>Brooklyn</x:v>
      </x:c>
      <x:c r="C551" s="31" t="str">
        <x:v>021400</x:v>
      </x:c>
      <x:c r="D551" s="31" t="str">
        <x:v>BK1202</x:v>
      </x:c>
      <x:c r="E551" s="31" t="str">
        <x:v>Borough Park</x:v>
      </x:c>
      <x:c r="F551" s="31" t="n">
        <x:v>0.06485437841769973</x:v>
      </x:c>
      <x:c r="G551" s="31" t="n">
        <x:v>40.63161011510746</x:v>
      </x:c>
      <x:c r="H551" s="31" t="n">
        <x:v>-74.00318124080587</x:v>
      </x:c>
      <x:c r="I551" s="31" t="n">
        <x:v>2502</x:v>
      </x:c>
      <x:c r="J551" s="31" t="n">
        <x:v>38578.73687240778</x:v>
      </x:c>
      <x:c r="K551" s="31"/>
      <x:c r="L551" s="40"/>
      <x:c r="M551" s="40"/>
      <x:c r="N551" s="31" t="n">
        <x:v>209</x:v>
      </x:c>
      <x:c r="O551" s="31" t="n">
        <x:v>605</x:v>
      </x:c>
      <x:c r="P551" s="31" t="n">
        <x:v>2.459090909090909</x:v>
      </x:c>
      <x:c r="Q551" s="40" t="n">
        <x:v>0</x:v>
      </x:c>
      <x:c r="R551" s="40" t="n">
        <x:v>0.3851239669421488</x:v>
      </x:c>
      <x:c r="S551" s="40" t="n">
        <x:v>0.023140495867768594</x:v>
      </x:c>
      <x:c r="T551" s="31" t="n">
        <x:v>30.350768678304792</x:v>
      </x:c>
      <x:c r="U551" s="31" t="n">
        <x:v>50</x:v>
      </x:c>
      <x:c r="V551" s="31" t="n">
        <x:v>2</x:v>
      </x:c>
      <x:c r="W551" s="31" t="n">
        <x:v>0.7993605115907274</x:v>
      </x:c>
      <x:c r="X551" s="31" t="n">
        <x:v>4</x:v>
      </x:c>
      <x:c r="Y551" s="40" t="n">
        <x:v>1</x:v>
      </x:c>
      <x:c r="Z551" s="40" t="n">
        <x:v>1</x:v>
      </x:c>
      <x:c r="AA551" s="40" t="n">
        <x:v>0.9652892561983472</x:v>
      </x:c>
      <x:c r="AB551" s="31" t="n">
        <x:v>0.11436688490496996</x:v>
      </x:c>
      <x:c r="AC551" s="31" t="n">
        <x:v>6</x:v>
      </x:c>
      <x:c r="AD551" s="44" t="b">
        <x:v>1</x:v>
      </x:c>
    </x:row>
    <x:row r="552">
      <x:c r="A552" s="31" t="str">
        <x:v>36047021500</x:v>
      </x:c>
      <x:c r="B552" s="31" t="str">
        <x:v>Brooklyn</x:v>
      </x:c>
      <x:c r="C552" s="31" t="str">
        <x:v>021500</x:v>
      </x:c>
      <x:c r="D552" s="31" t="str">
        <x:v>BK0801</x:v>
      </x:c>
      <x:c r="E552" s="31" t="str">
        <x:v>Prospect Heights</x:v>
      </x:c>
      <x:c r="F552" s="31" t="n">
        <x:v>0.05930500557636019</x:v>
      </x:c>
      <x:c r="G552" s="31" t="n">
        <x:v>40.67336902853681</x:v>
      </x:c>
      <x:c r="H552" s="31" t="n">
        <x:v>-73.96331774048825</x:v>
      </x:c>
      <x:c r="I552" s="31" t="n">
        <x:v>5569</x:v>
      </x:c>
      <x:c r="J552" s="31" t="n">
        <x:v>93904.38371731444</x:v>
      </x:c>
      <x:c r="K552" s="31"/>
      <x:c r="L552" s="40"/>
      <x:c r="M552" s="40"/>
      <x:c r="N552" s="31" t="n">
        <x:v>141</x:v>
      </x:c>
      <x:c r="O552" s="31" t="n">
        <x:v>2824</x:v>
      </x:c>
      <x:c r="P552" s="31" t="n">
        <x:v>6.015226628895184</x:v>
      </x:c>
      <x:c r="Q552" s="40" t="n">
        <x:v>0.10941926345609065</x:v>
      </x:c>
      <x:c r="R552" s="40" t="n">
        <x:v>0.8796033994334278</x:v>
      </x:c>
      <x:c r="S552" s="40" t="n">
        <x:v>0</x:v>
      </x:c>
      <x:c r="T552" s="31" t="n">
        <x:v>70.04341950979448</x:v>
      </x:c>
      <x:c r="U552" s="31" t="n">
        <x:v>177</x:v>
      </x:c>
      <x:c r="V552" s="31" t="n">
        <x:v>51</x:v>
      </x:c>
      <x:c r="W552" s="31" t="n">
        <x:v>9.157838031962651</x:v>
      </x:c>
      <x:c r="X552" s="31" t="n">
        <x:v>2</x:v>
      </x:c>
      <x:c r="Y552" s="40" t="n">
        <x:v>0</x:v>
      </x:c>
      <x:c r="Z552" s="40" t="n">
        <x:v>1</x:v>
      </x:c>
      <x:c r="AA552" s="40" t="n">
        <x:v>0.9992917847025495</x:v>
      </x:c>
      <x:c r="AB552" s="31" t="n">
        <x:v>0.151529391043802</x:v>
      </x:c>
      <x:c r="AC552" s="31" t="n">
        <x:v>6</x:v>
      </x:c>
      <x:c r="AD552" s="44" t="b">
        <x:v>1</x:v>
      </x:c>
    </x:row>
    <x:row r="553">
      <x:c r="A553" s="31" t="str">
        <x:v>36047021600</x:v>
      </x:c>
      <x:c r="B553" s="31" t="str">
        <x:v>Brooklyn</x:v>
      </x:c>
      <x:c r="C553" s="31" t="str">
        <x:v>021600</x:v>
      </x:c>
      <x:c r="D553" s="31" t="str">
        <x:v>BK1202</x:v>
      </x:c>
      <x:c r="E553" s="31" t="str">
        <x:v>Borough Park</x:v>
      </x:c>
      <x:c r="F553" s="31" t="n">
        <x:v>0.0649335671928805</x:v>
      </x:c>
      <x:c r="G553" s="31" t="n">
        <x:v>40.63279515466267</x:v>
      </x:c>
      <x:c r="H553" s="31" t="n">
        <x:v>-73.99976974821993</x:v>
      </x:c>
      <x:c r="I553" s="31" t="n">
        <x:v>4280</x:v>
      </x:c>
      <x:c r="J553" s="31" t="n">
        <x:v>65913.52031048236</x:v>
      </x:c>
      <x:c r="K553" s="31"/>
      <x:c r="L553" s="40"/>
      <x:c r="M553" s="40"/>
      <x:c r="N553" s="31" t="n">
        <x:v>407</x:v>
      </x:c>
      <x:c r="O553" s="31" t="n">
        <x:v>1069</x:v>
      </x:c>
      <x:c r="P553" s="31" t="n">
        <x:v>2.7682637571157493</x:v>
      </x:c>
      <x:c r="Q553" s="40" t="n">
        <x:v>0</x:v>
      </x:c>
      <x:c r="R553" s="40" t="n">
        <x:v>0.509822263797942</x:v>
      </x:c>
      <x:c r="S553" s="40" t="n">
        <x:v>0.002806361085126286</x:v>
      </x:c>
      <x:c r="T553" s="31" t="n">
        <x:v>34.49880003413989</x:v>
      </x:c>
      <x:c r="U553" s="31" t="n">
        <x:v>88</x:v>
      </x:c>
      <x:c r="V553" s="31" t="n">
        <x:v>14</x:v>
      </x:c>
      <x:c r="W553" s="31" t="n">
        <x:v>3.2710280373831777</x:v>
      </x:c>
      <x:c r="X553" s="31" t="n">
        <x:v>4</x:v>
      </x:c>
      <x:c r="Y553" s="40" t="n">
        <x:v>1</x:v>
      </x:c>
      <x:c r="Z553" s="40" t="n">
        <x:v>1</x:v>
      </x:c>
      <x:c r="AA553" s="40" t="n">
        <x:v>0.9897100093545369</x:v>
      </x:c>
      <x:c r="AB553" s="31" t="n">
        <x:v>0.20009976879953806</x:v>
      </x:c>
      <x:c r="AC553" s="31" t="n">
        <x:v>6</x:v>
      </x:c>
      <x:c r="AD553" s="44" t="b">
        <x:v>1</x:v>
      </x:c>
    </x:row>
    <x:row r="554">
      <x:c r="A554" s="31" t="str">
        <x:v>36047021700</x:v>
      </x:c>
      <x:c r="B554" s="31" t="str">
        <x:v>Brooklyn</x:v>
      </x:c>
      <x:c r="C554" s="31" t="str">
        <x:v>021700</x:v>
      </x:c>
      <x:c r="D554" s="31" t="str">
        <x:v>BK0802</x:v>
      </x:c>
      <x:c r="E554" s="31" t="str">
        <x:v>Crown Heights (North)</x:v>
      </x:c>
      <x:c r="F554" s="31" t="n">
        <x:v>0.046121767848943986</x:v>
      </x:c>
      <x:c r="G554" s="31" t="n">
        <x:v>40.672763727914415</x:v>
      </x:c>
      <x:c r="H554" s="31" t="n">
        <x:v>-73.95902424741294</x:v>
      </x:c>
      <x:c r="I554" s="31" t="n">
        <x:v>4351</x:v>
      </x:c>
      <x:c r="J554" s="31" t="n">
        <x:v>94337.2338686194</x:v>
      </x:c>
      <x:c r="K554" s="31"/>
      <x:c r="L554" s="40"/>
      <x:c r="M554" s="40"/>
      <x:c r="N554" s="31" t="n">
        <x:v>160</x:v>
      </x:c>
      <x:c r="O554" s="31" t="n">
        <x:v>1968</x:v>
      </x:c>
      <x:c r="P554" s="31" t="n">
        <x:v>5.516284987277354</x:v>
      </x:c>
      <x:c r="Q554" s="40" t="n">
        <x:v>0.10213414634146341</x:v>
      </x:c>
      <x:c r="R554" s="40" t="n">
        <x:v>0.8648373983739838</x:v>
      </x:c>
      <x:c r="S554" s="40" t="n">
        <x:v>0.003556910569105691</x:v>
      </x:c>
      <x:c r="T554" s="31" t="n">
        <x:v>59.646447308589025</x:v>
      </x:c>
      <x:c r="U554" s="31" t="n">
        <x:v>116.42</x:v>
      </x:c>
      <x:c r="V554" s="31" t="n">
        <x:v>32</x:v>
      </x:c>
      <x:c r="W554" s="31" t="n">
        <x:v>7.3546311192829235</x:v>
      </x:c>
      <x:c r="X554" s="31" t="n">
        <x:v>2</x:v>
      </x:c>
      <x:c r="Y554" s="40" t="n">
        <x:v>0</x:v>
      </x:c>
      <x:c r="Z554" s="40" t="n">
        <x:v>1</x:v>
      </x:c>
      <x:c r="AA554" s="40" t="n">
        <x:v>0.9903455284552846</x:v>
      </x:c>
      <x:c r="AB554" s="31" t="n">
        <x:v>0.15987214427736288</x:v>
      </x:c>
      <x:c r="AC554" s="31" t="n">
        <x:v>6</x:v>
      </x:c>
      <x:c r="AD554" s="44" t="b">
        <x:v>1</x:v>
      </x:c>
    </x:row>
    <x:row r="555">
      <x:c r="A555" s="31" t="str">
        <x:v>36047021800</x:v>
      </x:c>
      <x:c r="B555" s="31" t="str">
        <x:v>Brooklyn</x:v>
      </x:c>
      <x:c r="C555" s="31" t="str">
        <x:v>021800</x:v>
      </x:c>
      <x:c r="D555" s="31" t="str">
        <x:v>BK1202</x:v>
      </x:c>
      <x:c r="E555" s="31" t="str">
        <x:v>Borough Park</x:v>
      </x:c>
      <x:c r="F555" s="31" t="n">
        <x:v>0.060938114040619266</x:v>
      </x:c>
      <x:c r="G555" s="31" t="n">
        <x:v>40.63435410534905</x:v>
      </x:c>
      <x:c r="H555" s="31" t="n">
        <x:v>-73.99782306637168</x:v>
      </x:c>
      <x:c r="I555" s="31" t="n">
        <x:v>4191</x:v>
      </x:c>
      <x:c r="J555" s="31" t="n">
        <x:v>68774.69160280252</x:v>
      </x:c>
      <x:c r="K555" s="31"/>
      <x:c r="L555" s="40"/>
      <x:c r="M555" s="40"/>
      <x:c r="N555" s="31" t="n">
        <x:v>441</x:v>
      </x:c>
      <x:c r="O555" s="31" t="n">
        <x:v>1176</x:v>
      </x:c>
      <x:c r="P555" s="31" t="n">
        <x:v>2.605017006802721</x:v>
      </x:c>
      <x:c r="Q555" s="40" t="n">
        <x:v>0</x:v>
      </x:c>
      <x:c r="R555" s="40" t="n">
        <x:v>0.445578231292517</x:v>
      </x:c>
      <x:c r="S555" s="40" t="n">
        <x:v>0.0008503401360544217</x:v>
      </x:c>
      <x:c r="T555" s="31" t="n">
        <x:v>32.70347280745299</x:v>
      </x:c>
      <x:c r="U555" s="31" t="n">
        <x:v>57.29939178</x:v>
      </x:c>
      <x:c r="V555" s="31" t="n">
        <x:v>4</x:v>
      </x:c>
      <x:c r="W555" s="31" t="n">
        <x:v>0.954426151276545</x:v>
      </x:c>
      <x:c r="X555" s="31" t="n">
        <x:v>4</x:v>
      </x:c>
      <x:c r="Y555" s="40" t="n">
        <x:v>1</x:v>
      </x:c>
      <x:c r="Z555" s="40" t="n">
        <x:v>1</x:v>
      </x:c>
      <x:c r="AA555" s="40" t="n">
        <x:v>0.9948979591836735</x:v>
      </x:c>
      <x:c r="AB555" s="31" t="n">
        <x:v>0.1892744378360774</x:v>
      </x:c>
      <x:c r="AC555" s="31" t="n">
        <x:v>7</x:v>
      </x:c>
      <x:c r="AD555" s="44" t="b">
        <x:v>1</x:v>
      </x:c>
    </x:row>
    <x:row r="556">
      <x:c r="A556" s="31" t="str">
        <x:v>36047021900</x:v>
      </x:c>
      <x:c r="B556" s="31" t="str">
        <x:v>Brooklyn</x:v>
      </x:c>
      <x:c r="C556" s="31" t="str">
        <x:v>021900</x:v>
      </x:c>
      <x:c r="D556" s="31" t="str">
        <x:v>BK0802</x:v>
      </x:c>
      <x:c r="E556" s="31" t="str">
        <x:v>Crown Heights (North)</x:v>
      </x:c>
      <x:c r="F556" s="31" t="n">
        <x:v>0.05677306470313935</x:v>
      </x:c>
      <x:c r="G556" s="31" t="n">
        <x:v>40.671973961772636</x:v>
      </x:c>
      <x:c r="H556" s="31" t="n">
        <x:v>-73.95525892296119</x:v>
      </x:c>
      <x:c r="I556" s="31" t="n">
        <x:v>4225</x:v>
      </x:c>
      <x:c r="J556" s="31" t="n">
        <x:v>74419.0933163834</x:v>
      </x:c>
      <x:c r="K556" s="31"/>
      <x:c r="L556" s="40"/>
      <x:c r="M556" s="40"/>
      <x:c r="N556" s="31" t="n">
        <x:v>336</x:v>
      </x:c>
      <x:c r="O556" s="31" t="n">
        <x:v>2135</x:v>
      </x:c>
      <x:c r="P556" s="31" t="n">
        <x:v>5.0285714285714285</x:v>
      </x:c>
      <x:c r="Q556" s="40" t="n">
        <x:v>0.19953161592505855</x:v>
      </x:c>
      <x:c r="R556" s="40" t="n">
        <x:v>0.6374707259953162</x:v>
      </x:c>
      <x:c r="S556" s="40" t="n">
        <x:v>0.011241217798594848</x:v>
      </x:c>
      <x:c r="T556" s="31" t="n">
        <x:v>57.43825918762089</x:v>
      </x:c>
      <x:c r="U556" s="31" t="n">
        <x:v>121</x:v>
      </x:c>
      <x:c r="V556" s="31" t="n">
        <x:v>16</x:v>
      </x:c>
      <x:c r="W556" s="31" t="n">
        <x:v>3.78698224852071</x:v>
      </x:c>
      <x:c r="X556" s="31" t="n">
        <x:v>3.873536299765808</x:v>
      </x:c>
      <x:c r="Y556" s="40" t="n">
        <x:v>0.936768149882904</x:v>
      </x:c>
      <x:c r="Z556" s="40" t="n">
        <x:v>1</x:v>
      </x:c>
      <x:c r="AA556" s="40" t="n">
        <x:v>0.9686182669789227</x:v>
      </x:c>
      <x:c r="AB556" s="31" t="n">
        <x:v>0.2458904963974055</x:v>
      </x:c>
      <x:c r="AC556" s="31" t="n">
        <x:v>9</x:v>
      </x:c>
      <x:c r="AD556" s="44" t="b">
        <x:v>1</x:v>
      </x:c>
    </x:row>
    <x:row r="557">
      <x:c r="A557" s="31" t="str">
        <x:v>36047022000</x:v>
      </x:c>
      <x:c r="B557" s="31" t="str">
        <x:v>Brooklyn</x:v>
      </x:c>
      <x:c r="C557" s="31" t="str">
        <x:v>022000</x:v>
      </x:c>
      <x:c r="D557" s="31" t="str">
        <x:v>BK1202</x:v>
      </x:c>
      <x:c r="E557" s="31" t="str">
        <x:v>Borough Park</x:v>
      </x:c>
      <x:c r="F557" s="31" t="n">
        <x:v>0.07501051175246785</x:v>
      </x:c>
      <x:c r="G557" s="31" t="n">
        <x:v>40.63616344875242</x:v>
      </x:c>
      <x:c r="H557" s="31" t="n">
        <x:v>-73.99555959743195</x:v>
      </x:c>
      <x:c r="I557" s="31" t="n">
        <x:v>5660</x:v>
      </x:c>
      <x:c r="J557" s="31" t="n">
        <x:v>75456.09098999095</x:v>
      </x:c>
      <x:c r="K557" s="31"/>
      <x:c r="L557" s="40"/>
      <x:c r="M557" s="40"/>
      <x:c r="N557" s="31" t="n">
        <x:v>436</x:v>
      </x:c>
      <x:c r="O557" s="31" t="n">
        <x:v>1462</x:v>
      </x:c>
      <x:c r="P557" s="31" t="n">
        <x:v>3.364010989010989</x:v>
      </x:c>
      <x:c r="Q557" s="40" t="n">
        <x:v>0</x:v>
      </x:c>
      <x:c r="R557" s="40" t="n">
        <x:v>0.6347469220246238</x:v>
      </x:c>
      <x:c r="S557" s="40" t="n">
        <x:v>0.004103967168262654</x:v>
      </x:c>
      <x:c r="T557" s="31" t="n">
        <x:v>39.91128066254996</x:v>
      </x:c>
      <x:c r="U557" s="31" t="n">
        <x:v>66.25</x:v>
      </x:c>
      <x:c r="V557" s="31" t="n">
        <x:v>17</x:v>
      </x:c>
      <x:c r="W557" s="31" t="n">
        <x:v>3.0035335689045937</x:v>
      </x:c>
      <x:c r="X557" s="31" t="n">
        <x:v>4</x:v>
      </x:c>
      <x:c r="Y557" s="40" t="n">
        <x:v>1</x:v>
      </x:c>
      <x:c r="Z557" s="40" t="n">
        <x:v>1</x:v>
      </x:c>
      <x:c r="AA557" s="40" t="n">
        <x:v>0.9924760601915185</x:v>
      </x:c>
      <x:c r="AB557" s="31" t="n">
        <x:v>0.19051091116624289</x:v>
      </x:c>
      <x:c r="AC557" s="31" t="n">
        <x:v>7</x:v>
      </x:c>
      <x:c r="AD557" s="44" t="b">
        <x:v>1</x:v>
      </x:c>
    </x:row>
    <x:row r="558">
      <x:c r="A558" s="31" t="str">
        <x:v>36047022100</x:v>
      </x:c>
      <x:c r="B558" s="31" t="str">
        <x:v>Brooklyn</x:v>
      </x:c>
      <x:c r="C558" s="31" t="str">
        <x:v>022100</x:v>
      </x:c>
      <x:c r="D558" s="31" t="str">
        <x:v>BK0802</x:v>
      </x:c>
      <x:c r="E558" s="31" t="str">
        <x:v>Crown Heights (North)</x:v>
      </x:c>
      <x:c r="F558" s="31" t="n">
        <x:v>0.05867964597466139</x:v>
      </x:c>
      <x:c r="G558" s="31" t="n">
        <x:v>40.67616686903008</x:v>
      </x:c>
      <x:c r="H558" s="31" t="n">
        <x:v>-73.95435666958525</x:v>
      </x:c>
      <x:c r="I558" s="31" t="n">
        <x:v>3897</x:v>
      </x:c>
      <x:c r="J558" s="31" t="n">
        <x:v>66411.44361509566</x:v>
      </x:c>
      <x:c r="K558" s="31"/>
      <x:c r="L558" s="40"/>
      <x:c r="M558" s="40"/>
      <x:c r="N558" s="31" t="n">
        <x:v>330</x:v>
      </x:c>
      <x:c r="O558" s="31" t="n">
        <x:v>1950</x:v>
      </x:c>
      <x:c r="P558" s="31" t="n">
        <x:v>4.3088386433710175</x:v>
      </x:c>
      <x:c r="Q558" s="40" t="n">
        <x:v>0.048205128205128206</x:v>
      </x:c>
      <x:c r="R558" s="40" t="n">
        <x:v>0.8446153846153847</x:v>
      </x:c>
      <x:c r="S558" s="40" t="n">
        <x:v>0.02</x:v>
      </x:c>
      <x:c r="T558" s="31" t="n">
        <x:v>50.646202544633766</x:v>
      </x:c>
      <x:c r="U558" s="31" t="n">
        <x:v>110</x:v>
      </x:c>
      <x:c r="V558" s="31" t="n">
        <x:v>22</x:v>
      </x:c>
      <x:c r="W558" s="31" t="n">
        <x:v>5.645368231973313</x:v>
      </x:c>
      <x:c r="X558" s="31" t="n">
        <x:v>3.715897435897436</x:v>
      </x:c>
      <x:c r="Y558" s="40" t="n">
        <x:v>0.857948717948718</x:v>
      </x:c>
      <x:c r="Z558" s="40" t="n">
        <x:v>1</x:v>
      </x:c>
      <x:c r="AA558" s="40" t="n">
        <x:v>0.9871794871794872</x:v>
      </x:c>
      <x:c r="AB558" s="31" t="n">
        <x:v>0.21964104586102054</x:v>
      </x:c>
      <x:c r="AC558" s="31" t="n">
        <x:v>7</x:v>
      </x:c>
      <x:c r="AD558" s="44" t="b">
        <x:v>1</x:v>
      </x:c>
    </x:row>
    <x:row r="559">
      <x:c r="A559" s="31" t="str">
        <x:v>36047022200</x:v>
      </x:c>
      <x:c r="B559" s="31" t="str">
        <x:v>Brooklyn</x:v>
      </x:c>
      <x:c r="C559" s="31" t="str">
        <x:v>022200</x:v>
      </x:c>
      <x:c r="D559" s="31" t="str">
        <x:v>BK1202</x:v>
      </x:c>
      <x:c r="E559" s="31" t="str">
        <x:v>Borough Park</x:v>
      </x:c>
      <x:c r="F559" s="31" t="n">
        <x:v>0.06802664805548381</x:v>
      </x:c>
      <x:c r="G559" s="31" t="n">
        <x:v>40.638239426387955</x:v>
      </x:c>
      <x:c r="H559" s="31" t="n">
        <x:v>-73.9929636439511</x:v>
      </x:c>
      <x:c r="I559" s="31" t="n">
        <x:v>5633</x:v>
      </x:c>
      <x:c r="J559" s="31" t="n">
        <x:v>82805.78510065084</x:v>
      </x:c>
      <x:c r="K559" s="31"/>
      <x:c r="L559" s="40"/>
      <x:c r="M559" s="40"/>
      <x:c r="N559" s="31" t="n">
        <x:v>386</x:v>
      </x:c>
      <x:c r="O559" s="31" t="n">
        <x:v>1537</x:v>
      </x:c>
      <x:c r="P559" s="31" t="n">
        <x:v>4.022121014964216</x:v>
      </x:c>
      <x:c r="Q559" s="40" t="n">
        <x:v>0</x:v>
      </x:c>
      <x:c r="R559" s="40" t="n">
        <x:v>0.7918022121014964</x:v>
      </x:c>
      <x:c r="S559" s="40" t="n">
        <x:v>0</x:v>
      </x:c>
      <x:c r="T559" s="31" t="n">
        <x:v>49.79326739510499</x:v>
      </x:c>
      <x:c r="U559" s="31" t="n">
        <x:v>103.1</x:v>
      </x:c>
      <x:c r="V559" s="31" t="n">
        <x:v>27</x:v>
      </x:c>
      <x:c r="W559" s="31" t="n">
        <x:v>4.7931830285815735</x:v>
      </x:c>
      <x:c r="X559" s="31" t="n">
        <x:v>4</x:v>
      </x:c>
      <x:c r="Y559" s="40" t="n">
        <x:v>1</x:v>
      </x:c>
      <x:c r="Z559" s="40" t="n">
        <x:v>1</x:v>
      </x:c>
      <x:c r="AA559" s="40" t="n">
        <x:v>0.9915419648666233</x:v>
      </x:c>
      <x:c r="AB559" s="31" t="n">
        <x:v>0.1642606067715121</x:v>
      </x:c>
      <x:c r="AC559" s="31" t="n">
        <x:v>6</x:v>
      </x:c>
      <x:c r="AD559" s="44" t="b">
        <x:v>1</x:v>
      </x:c>
    </x:row>
    <x:row r="560">
      <x:c r="A560" s="31" t="str">
        <x:v>36047022400</x:v>
      </x:c>
      <x:c r="B560" s="31" t="str">
        <x:v>Brooklyn</x:v>
      </x:c>
      <x:c r="C560" s="31" t="str">
        <x:v>022400</x:v>
      </x:c>
      <x:c r="D560" s="31" t="str">
        <x:v>BK1202</x:v>
      </x:c>
      <x:c r="E560" s="31" t="str">
        <x:v>Borough Park</x:v>
      </x:c>
      <x:c r="F560" s="31" t="n">
        <x:v>0.06780126580076332</x:v>
      </x:c>
      <x:c r="G560" s="31" t="n">
        <x:v>40.64051587967363</x:v>
      </x:c>
      <x:c r="H560" s="31" t="n">
        <x:v>-73.99031154079051</x:v>
      </x:c>
      <x:c r="I560" s="31" t="n">
        <x:v>6117</x:v>
      </x:c>
      <x:c r="J560" s="31" t="n">
        <x:v>90219.55457255097</x:v>
      </x:c>
      <x:c r="K560" s="31"/>
      <x:c r="L560" s="40"/>
      <x:c r="M560" s="40"/>
      <x:c r="N560" s="31" t="n">
        <x:v>447</x:v>
      </x:c>
      <x:c r="O560" s="31" t="n">
        <x:v>1604</x:v>
      </x:c>
      <x:c r="P560" s="31" t="n">
        <x:v>3.3623666038920277</x:v>
      </x:c>
      <x:c r="Q560" s="40" t="n">
        <x:v>0</x:v>
      </x:c>
      <x:c r="R560" s="40" t="n">
        <x:v>0.8397755610972568</x:v>
      </x:c>
      <x:c r="S560" s="40" t="n">
        <x:v>0.012468827930174564</x:v>
      </x:c>
      <x:c r="T560" s="31" t="n">
        <x:v>40.1634067046346</x:v>
      </x:c>
      <x:c r="U560" s="31" t="n">
        <x:v>84.3560983</x:v>
      </x:c>
      <x:c r="V560" s="31" t="n">
        <x:v>16</x:v>
      </x:c>
      <x:c r="W560" s="31" t="n">
        <x:v>2.615661271865293</x:v>
      </x:c>
      <x:c r="X560" s="31" t="n">
        <x:v>3.6751870324189526</x:v>
      </x:c>
      <x:c r="Y560" s="40" t="n">
        <x:v>0.6751870324189526</x:v>
      </x:c>
      <x:c r="Z560" s="40" t="n">
        <x:v>1</x:v>
      </x:c>
      <x:c r="AA560" s="40" t="n">
        <x:v>0.9981296758104738</x:v>
      </x:c>
      <x:c r="AB560" s="31" t="n">
        <x:v>0.1331951762937633</x:v>
      </x:c>
      <x:c r="AC560" s="31" t="n">
        <x:v>6</x:v>
      </x:c>
      <x:c r="AD560" s="44" t="b">
        <x:v>1</x:v>
      </x:c>
    </x:row>
    <x:row r="561">
      <x:c r="A561" s="31" t="str">
        <x:v>36047022600</x:v>
      </x:c>
      <x:c r="B561" s="31" t="str">
        <x:v>Brooklyn</x:v>
      </x:c>
      <x:c r="C561" s="31" t="str">
        <x:v>022600</x:v>
      </x:c>
      <x:c r="D561" s="31" t="str">
        <x:v>BK1202</x:v>
      </x:c>
      <x:c r="E561" s="31" t="str">
        <x:v>Borough Park</x:v>
      </x:c>
      <x:c r="F561" s="31" t="n">
        <x:v>0.06029472036092459</x:v>
      </x:c>
      <x:c r="G561" s="31" t="n">
        <x:v>40.64198426772339</x:v>
      </x:c>
      <x:c r="H561" s="31" t="n">
        <x:v>-73.98634765545441</x:v>
      </x:c>
      <x:c r="I561" s="31" t="n">
        <x:v>2664</x:v>
      </x:c>
      <x:c r="J561" s="31" t="n">
        <x:v>44182.972970987816</x:v>
      </x:c>
      <x:c r="K561" s="31"/>
      <x:c r="L561" s="40"/>
      <x:c r="M561" s="40"/>
      <x:c r="N561" s="31" t="n">
        <x:v>208</x:v>
      </x:c>
      <x:c r="O561" s="31" t="n">
        <x:v>709</x:v>
      </x:c>
      <x:c r="P561" s="31" t="n">
        <x:v>2.8673323823109844</x:v>
      </x:c>
      <x:c r="Q561" s="40" t="n">
        <x:v>0</x:v>
      </x:c>
      <x:c r="R561" s="40" t="n">
        <x:v>0.6572637517630465</x:v>
      </x:c>
      <x:c r="S561" s="40" t="n">
        <x:v>0.1311706629055007</x:v>
      </x:c>
      <x:c r="T561" s="31" t="n">
        <x:v>34.967589681329564</x:v>
      </x:c>
      <x:c r="U561" s="31" t="n">
        <x:v>55</x:v>
      </x:c>
      <x:c r="V561" s="31" t="n">
        <x:v>2</x:v>
      </x:c>
      <x:c r="W561" s="31" t="n">
        <x:v>0.7507507507507507</x:v>
      </x:c>
      <x:c r="X561" s="31" t="n">
        <x:v>3</x:v>
      </x:c>
      <x:c r="Y561" s="40" t="n">
        <x:v>0</x:v>
      </x:c>
      <x:c r="Z561" s="40" t="n">
        <x:v>1</x:v>
      </x:c>
      <x:c r="AA561" s="40" t="n">
        <x:v>0.997179125528914</x:v>
      </x:c>
      <x:c r="AB561" s="31" t="n">
        <x:v>0.2574761859701072</x:v>
      </x:c>
      <x:c r="AC561" s="31" t="n">
        <x:v>7</x:v>
      </x:c>
      <x:c r="AD561" s="44" t="b">
        <x:v>1</x:v>
      </x:c>
    </x:row>
    <x:row r="562">
      <x:c r="A562" s="31" t="str">
        <x:v>36047022700</x:v>
      </x:c>
      <x:c r="B562" s="31" t="str">
        <x:v>Brooklyn</x:v>
      </x:c>
      <x:c r="C562" s="31" t="str">
        <x:v>022700</x:v>
      </x:c>
      <x:c r="D562" s="31" t="str">
        <x:v>BK0301</x:v>
      </x:c>
      <x:c r="E562" s="31" t="str">
        <x:v>Bedford-Stuyvesant (West)</x:v>
      </x:c>
      <x:c r="F562" s="31" t="n">
        <x:v>0.09284313954746326</x:v>
      </x:c>
      <x:c r="G562" s="31" t="n">
        <x:v>40.68150871201937</x:v>
      </x:c>
      <x:c r="H562" s="31" t="n">
        <x:v>-73.95724853603885</x:v>
      </x:c>
      <x:c r="I562" s="31" t="n">
        <x:v>4515</x:v>
      </x:c>
      <x:c r="J562" s="31" t="n">
        <x:v>48630.410625998295</x:v>
      </x:c>
      <x:c r="K562" s="31"/>
      <x:c r="L562" s="40"/>
      <x:c r="M562" s="40"/>
      <x:c r="N562" s="31" t="n">
        <x:v>408</x:v>
      </x:c>
      <x:c r="O562" s="31" t="n">
        <x:v>3312</x:v>
      </x:c>
      <x:c r="P562" s="31" t="n">
        <x:v>7.045125766871166</x:v>
      </x:c>
      <x:c r="Q562" s="40" t="n">
        <x:v>0.23399758454106281</x:v>
      </x:c>
      <x:c r="R562" s="40" t="n">
        <x:v>0.7210144927536232</x:v>
      </x:c>
      <x:c r="S562" s="40" t="n">
        <x:v>0.010265700483091788</x:v>
      </x:c>
      <x:c r="T562" s="31" t="n">
        <x:v>60.303904416981055</x:v>
      </x:c>
      <x:c r="U562" s="31" t="n">
        <x:v>112</x:v>
      </x:c>
      <x:c r="V562" s="31" t="n">
        <x:v>41</x:v>
      </x:c>
      <x:c r="W562" s="31" t="n">
        <x:v>9.080841638981175</x:v>
      </x:c>
      <x:c r="X562" s="31" t="n">
        <x:v>2.361111111111111</x:v>
      </x:c>
      <x:c r="Y562" s="40" t="n">
        <x:v>0.18055555555555555</x:v>
      </x:c>
      <x:c r="Z562" s="40" t="n">
        <x:v>1</x:v>
      </x:c>
      <x:c r="AA562" s="40" t="n">
        <x:v>0.8131038647342995</x:v>
      </x:c>
      <x:c r="AB562" s="31" t="n">
        <x:v>0.03532824707018139</x:v>
      </x:c>
      <x:c r="AC562" s="31" t="n">
        <x:v>8</x:v>
      </x:c>
      <x:c r="AD562" s="44" t="b">
        <x:v>1</x:v>
      </x:c>
    </x:row>
    <x:row r="563">
      <x:c r="A563" s="31" t="str">
        <x:v>36047022800</x:v>
      </x:c>
      <x:c r="B563" s="31" t="str">
        <x:v>Brooklyn</x:v>
      </x:c>
      <x:c r="C563" s="31" t="str">
        <x:v>022800</x:v>
      </x:c>
      <x:c r="D563" s="31" t="str">
        <x:v>BK1202</x:v>
      </x:c>
      <x:c r="E563" s="31" t="str">
        <x:v>Borough Park</x:v>
      </x:c>
      <x:c r="F563" s="31" t="n">
        <x:v>0.06462068533452422</x:v>
      </x:c>
      <x:c r="G563" s="31" t="n">
        <x:v>40.639124363645266</x:v>
      </x:c>
      <x:c r="H563" s="31" t="n">
        <x:v>-73.98152986903831</x:v>
      </x:c>
      <x:c r="I563" s="31" t="n">
        <x:v>3638</x:v>
      </x:c>
      <x:c r="J563" s="31" t="n">
        <x:v>56297.7625688591</x:v>
      </x:c>
      <x:c r="K563" s="31"/>
      <x:c r="L563" s="40"/>
      <x:c r="M563" s="40"/>
      <x:c r="N563" s="31" t="n">
        <x:v>264</x:v>
      </x:c>
      <x:c r="O563" s="31" t="n">
        <x:v>881</x:v>
      </x:c>
      <x:c r="P563" s="31" t="n">
        <x:v>2.8688668224299065</x:v>
      </x:c>
      <x:c r="Q563" s="40" t="n">
        <x:v>0</x:v>
      </x:c>
      <x:c r="R563" s="40" t="n">
        <x:v>0.44948921679909193</x:v>
      </x:c>
      <x:c r="S563" s="40" t="n">
        <x:v>0.0510783200908059</x:v>
      </x:c>
      <x:c r="T563" s="31" t="n">
        <x:v>35.25993296998855</x:v>
      </x:c>
      <x:c r="U563" s="31" t="n">
        <x:v>69.68447252</x:v>
      </x:c>
      <x:c r="V563" s="31" t="n">
        <x:v>4</x:v>
      </x:c>
      <x:c r="W563" s="31" t="n">
        <x:v>1.0995052226498077</x:v>
      </x:c>
      <x:c r="X563" s="31" t="n">
        <x:v>3</x:v>
      </x:c>
      <x:c r="Y563" s="40" t="n">
        <x:v>0</x:v>
      </x:c>
      <x:c r="Z563" s="40" t="n">
        <x:v>1</x:v>
      </x:c>
      <x:c r="AA563" s="40" t="n">
        <x:v>0.9909194097616345</x:v>
      </x:c>
      <x:c r="AB563" s="31" t="n">
        <x:v>0.23643483349881486</x:v>
      </x:c>
      <x:c r="AC563" s="31" t="n">
        <x:v>5</x:v>
      </x:c>
      <x:c r="AD563" s="44" t="b">
        <x:v>1</x:v>
      </x:c>
    </x:row>
    <x:row r="564">
      <x:c r="A564" s="31" t="str">
        <x:v>36047022900</x:v>
      </x:c>
      <x:c r="B564" s="31" t="str">
        <x:v>Brooklyn</x:v>
      </x:c>
      <x:c r="C564" s="31" t="str">
        <x:v>022900</x:v>
      </x:c>
      <x:c r="D564" s="31" t="str">
        <x:v>BK0301</x:v>
      </x:c>
      <x:c r="E564" s="31" t="str">
        <x:v>Bedford-Stuyvesant (West)</x:v>
      </x:c>
      <x:c r="F564" s="31" t="n">
        <x:v>0.06634413782031967</x:v>
      </x:c>
      <x:c r="G564" s="31" t="n">
        <x:v>40.685131532657664</x:v>
      </x:c>
      <x:c r="H564" s="31" t="n">
        <x:v>-73.95676155186395</x:v>
      </x:c>
      <x:c r="I564" s="31" t="n">
        <x:v>3923</x:v>
      </x:c>
      <x:c r="J564" s="31" t="n">
        <x:v>59131.07214724367</x:v>
      </x:c>
      <x:c r="K564" s="31"/>
      <x:c r="L564" s="40"/>
      <x:c r="M564" s="40"/>
      <x:c r="N564" s="31" t="n">
        <x:v>461</x:v>
      </x:c>
      <x:c r="O564" s="31" t="n">
        <x:v>1901</x:v>
      </x:c>
      <x:c r="P564" s="31" t="n">
        <x:v>3.7087816455696205</x:v>
      </x:c>
      <x:c r="Q564" s="40" t="n">
        <x:v>0</x:v>
      </x:c>
      <x:c r="R564" s="40" t="n">
        <x:v>0.882167280378748</x:v>
      </x:c>
      <x:c r="S564" s="40" t="n">
        <x:v>0.0194634402945818</x:v>
      </x:c>
      <x:c r="T564" s="31" t="n">
        <x:v>44.62324435515054</x:v>
      </x:c>
      <x:c r="U564" s="31" t="n">
        <x:v>79</x:v>
      </x:c>
      <x:c r="V564" s="31" t="n">
        <x:v>15</x:v>
      </x:c>
      <x:c r="W564" s="31" t="n">
        <x:v>3.823604384399694</x:v>
      </x:c>
      <x:c r="X564" s="31" t="n">
        <x:v>2.7301420305102577</x:v>
      </x:c>
      <x:c r="Y564" s="40" t="n">
        <x:v>0.36507101525512886</x:v>
      </x:c>
      <x:c r="Z564" s="40" t="n">
        <x:v>1</x:v>
      </x:c>
      <x:c r="AA564" s="40" t="n">
        <x:v>0.9784324039978959</x:v>
      </x:c>
      <x:c r="AB564" s="31" t="n">
        <x:v>0.14623247257086888</x:v>
      </x:c>
      <x:c r="AC564" s="31" t="n">
        <x:v>5</x:v>
      </x:c>
      <x:c r="AD564" s="44" t="b">
        <x:v>1</x:v>
      </x:c>
    </x:row>
    <x:row r="565">
      <x:c r="A565" s="31" t="str">
        <x:v>36047023000</x:v>
      </x:c>
      <x:c r="B565" s="31" t="str">
        <x:v>Brooklyn</x:v>
      </x:c>
      <x:c r="C565" s="31" t="str">
        <x:v>023000</x:v>
      </x:c>
      <x:c r="D565" s="31" t="str">
        <x:v>BK1202</x:v>
      </x:c>
      <x:c r="E565" s="31" t="str">
        <x:v>Borough Park</x:v>
      </x:c>
      <x:c r="F565" s="31" t="n">
        <x:v>0.05828615240831612</x:v>
      </x:c>
      <x:c r="G565" s="31" t="n">
        <x:v>40.63781463077858</x:v>
      </x:c>
      <x:c r="H565" s="31" t="n">
        <x:v>-73.98427910979221</x:v>
      </x:c>
      <x:c r="I565" s="31" t="n">
        <x:v>4442</x:v>
      </x:c>
      <x:c r="J565" s="31" t="n">
        <x:v>76210.21145609581</x:v>
      </x:c>
      <x:c r="K565" s="31"/>
      <x:c r="L565" s="40"/>
      <x:c r="M565" s="40"/>
      <x:c r="N565" s="31" t="n">
        <x:v>372</x:v>
      </x:c>
      <x:c r="O565" s="31" t="n">
        <x:v>1172</x:v>
      </x:c>
      <x:c r="P565" s="31" t="n">
        <x:v>2.755774165953807</x:v>
      </x:c>
      <x:c r="Q565" s="40" t="n">
        <x:v>0</x:v>
      </x:c>
      <x:c r="R565" s="40" t="n">
        <x:v>0.5290102389078498</x:v>
      </x:c>
      <x:c r="S565" s="40" t="n">
        <x:v>0</x:v>
      </x:c>
      <x:c r="T565" s="31" t="n">
        <x:v>32.74164247246587</x:v>
      </x:c>
      <x:c r="U565" s="31" t="n">
        <x:v>55</x:v>
      </x:c>
      <x:c r="V565" s="31" t="n">
        <x:v>8</x:v>
      </x:c>
      <x:c r="W565" s="31" t="n">
        <x:v>1.8009905447996397</x:v>
      </x:c>
      <x:c r="X565" s="31" t="n">
        <x:v>3.302047781569966</x:v>
      </x:c>
      <x:c r="Y565" s="40" t="n">
        <x:v>0.30204778156996587</x:v>
      </x:c>
      <x:c r="Z565" s="40" t="n">
        <x:v>1</x:v>
      </x:c>
      <x:c r="AA565" s="40" t="n">
        <x:v>1</x:v>
      </x:c>
      <x:c r="AB565" s="31" t="n">
        <x:v>0.09293156622374207</x:v>
      </x:c>
      <x:c r="AC565" s="31" t="n">
        <x:v>5</x:v>
      </x:c>
      <x:c r="AD565" s="44" t="b">
        <x:v>1</x:v>
      </x:c>
    </x:row>
    <x:row r="566">
      <x:c r="A566" s="31" t="str">
        <x:v>36047023100</x:v>
      </x:c>
      <x:c r="B566" s="31" t="str">
        <x:v>Brooklyn</x:v>
      </x:c>
      <x:c r="C566" s="31" t="str">
        <x:v>023100</x:v>
      </x:c>
      <x:c r="D566" s="31" t="str">
        <x:v>BK0204</x:v>
      </x:c>
      <x:c r="E566" s="31" t="str">
        <x:v>Clinton Hill</x:v>
      </x:c>
      <x:c r="F566" s="31" t="n">
        <x:v>0.06155410537656394</x:v>
      </x:c>
      <x:c r="G566" s="31" t="n">
        <x:v>40.68578654044547</x:v>
      </x:c>
      <x:c r="H566" s="31" t="n">
        <x:v>-73.96083809828191</x:v>
      </x:c>
      <x:c r="I566" s="31" t="n">
        <x:v>3832</x:v>
      </x:c>
      <x:c r="J566" s="31" t="n">
        <x:v>62254.17421888147</x:v>
      </x:c>
      <x:c r="K566" s="31"/>
      <x:c r="L566" s="40"/>
      <x:c r="M566" s="40"/>
      <x:c r="N566" s="31" t="n">
        <x:v>341</x:v>
      </x:c>
      <x:c r="O566" s="31" t="n">
        <x:v>1812</x:v>
      </x:c>
      <x:c r="P566" s="31" t="n">
        <x:v>3.9205555555555556</x:v>
      </x:c>
      <x:c r="Q566" s="40" t="n">
        <x:v>0</x:v>
      </x:c>
      <x:c r="R566" s="40" t="n">
        <x:v>0.923289183222958</x:v>
      </x:c>
      <x:c r="S566" s="40" t="n">
        <x:v>0.05739514348785872</x:v>
      </x:c>
      <x:c r="T566" s="31" t="n">
        <x:v>46.1486404433065</x:v>
      </x:c>
      <x:c r="U566" s="31" t="n">
        <x:v>75.71753976</x:v>
      </x:c>
      <x:c r="V566" s="31" t="n">
        <x:v>25</x:v>
      </x:c>
      <x:c r="W566" s="31" t="n">
        <x:v>6.524008350730689</x:v>
      </x:c>
      <x:c r="X566" s="31" t="n">
        <x:v>2</x:v>
      </x:c>
      <x:c r="Y566" s="40" t="n">
        <x:v>0</x:v>
      </x:c>
      <x:c r="Z566" s="40" t="n">
        <x:v>1</x:v>
      </x:c>
      <x:c r="AA566" s="40" t="n">
        <x:v>0.9597130242825607</x:v>
      </x:c>
      <x:c r="AB566" s="31" t="n">
        <x:v>0.09207043415749917</x:v>
      </x:c>
      <x:c r="AC566" s="31" t="n">
        <x:v>6</x:v>
      </x:c>
      <x:c r="AD566" s="44" t="b">
        <x:v>1</x:v>
      </x:c>
    </x:row>
    <x:row r="567">
      <x:c r="A567" s="31" t="str">
        <x:v>36047023200</x:v>
      </x:c>
      <x:c r="B567" s="31" t="str">
        <x:v>Brooklyn</x:v>
      </x:c>
      <x:c r="C567" s="31" t="str">
        <x:v>023200</x:v>
      </x:c>
      <x:c r="D567" s="31" t="str">
        <x:v>BK1202</x:v>
      </x:c>
      <x:c r="E567" s="31" t="str">
        <x:v>Borough Park</x:v>
      </x:c>
      <x:c r="F567" s="31" t="n">
        <x:v>0.08740893618285123</x:v>
      </x:c>
      <x:c r="G567" s="31" t="n">
        <x:v>40.63609960377905</x:v>
      </x:c>
      <x:c r="H567" s="31" t="n">
        <x:v>-73.9862206334225</x:v>
      </x:c>
      <x:c r="I567" s="31" t="n">
        <x:v>6382</x:v>
      </x:c>
      <x:c r="J567" s="31" t="n">
        <x:v>73013.12976340839</x:v>
      </x:c>
      <x:c r="K567" s="31"/>
      <x:c r="L567" s="40"/>
      <x:c r="M567" s="40"/>
      <x:c r="N567" s="31" t="n">
        <x:v>568</x:v>
      </x:c>
      <x:c r="O567" s="31" t="n">
        <x:v>1761</x:v>
      </x:c>
      <x:c r="P567" s="31" t="n">
        <x:v>3.1536127167630057</x:v>
      </x:c>
      <x:c r="Q567" s="40" t="n">
        <x:v>0</x:v>
      </x:c>
      <x:c r="R567" s="40" t="n">
        <x:v>0.6956274843838728</x:v>
      </x:c>
      <x:c r="S567" s="40" t="n">
        <x:v>0.0073821692220329355</x:v>
      </x:c>
      <x:c r="T567" s="31" t="n">
        <x:v>37.35393910894044</x:v>
      </x:c>
      <x:c r="U567" s="31" t="n">
        <x:v>80</x:v>
      </x:c>
      <x:c r="V567" s="31" t="n">
        <x:v>16</x:v>
      </x:c>
      <x:c r="W567" s="31" t="n">
        <x:v>2.5070510811657787</x:v>
      </x:c>
      <x:c r="X567" s="31" t="n">
        <x:v>3.951731970471323</x:v>
      </x:c>
      <x:c r="Y567" s="40" t="n">
        <x:v>0.9517319704713231</x:v>
      </x:c>
      <x:c r="Z567" s="40" t="n">
        <x:v>1</x:v>
      </x:c>
      <x:c r="AA567" s="40" t="n">
        <x:v>0.9914821124361158</x:v>
      </x:c>
      <x:c r="AB567" s="31" t="n">
        <x:v>0.07630286108736349</x:v>
      </x:c>
      <x:c r="AC567" s="31" t="n">
        <x:v>6</x:v>
      </x:c>
      <x:c r="AD567" s="44" t="b">
        <x:v>1</x:v>
      </x:c>
    </x:row>
    <x:row r="568">
      <x:c r="A568" s="31" t="str">
        <x:v>36047023300</x:v>
      </x:c>
      <x:c r="B568" s="31" t="str">
        <x:v>Brooklyn</x:v>
      </x:c>
      <x:c r="C568" s="31" t="str">
        <x:v>023300</x:v>
      </x:c>
      <x:c r="D568" s="31" t="str">
        <x:v>BK0301</x:v>
      </x:c>
      <x:c r="E568" s="31" t="str">
        <x:v>Bedford-Stuyvesant (West)</x:v>
      </x:c>
      <x:c r="F568" s="31" t="n">
        <x:v>0.06633960506915748</x:v>
      </x:c>
      <x:c r="G568" s="31" t="n">
        <x:v>40.688795492547044</x:v>
      </x:c>
      <x:c r="H568" s="31" t="n">
        <x:v>-73.95748987577014</x:v>
      </x:c>
      <x:c r="I568" s="31" t="n">
        <x:v>5961</x:v>
      </x:c>
      <x:c r="J568" s="31" t="n">
        <x:v>89855.82584921627</x:v>
      </x:c>
      <x:c r="K568" s="31"/>
      <x:c r="L568" s="40"/>
      <x:c r="M568" s="40"/>
      <x:c r="N568" s="31" t="n">
        <x:v>338</x:v>
      </x:c>
      <x:c r="O568" s="31" t="n">
        <x:v>2348</x:v>
      </x:c>
      <x:c r="P568" s="31" t="n">
        <x:v>10.16545996592845</x:v>
      </x:c>
      <x:c r="Q568" s="40" t="n">
        <x:v>0.39991482112436116</x:v>
      </x:c>
      <x:c r="R568" s="40" t="n">
        <x:v>0.547274275979557</x:v>
      </x:c>
      <x:c r="S568" s="40" t="n">
        <x:v>0.41141396933560476</x:v>
      </x:c>
      <x:c r="T568" s="31" t="n">
        <x:v>99.3878749821681</x:v>
      </x:c>
      <x:c r="U568" s="31" t="n">
        <x:v>175.26</x:v>
      </x:c>
      <x:c r="V568" s="31" t="n">
        <x:v>39</x:v>
      </x:c>
      <x:c r="W568" s="31" t="n">
        <x:v>6.542526421741319</x:v>
      </x:c>
      <x:c r="X568" s="31" t="n">
        <x:v>3.3432708688245314</x:v>
      </x:c>
      <x:c r="Y568" s="40" t="n">
        <x:v>0.6716354344122658</x:v>
      </x:c>
      <x:c r="Z568" s="40" t="n">
        <x:v>1</x:v>
      </x:c>
      <x:c r="AA568" s="40" t="n">
        <x:v>0.9880749574105622</x:v>
      </x:c>
      <x:c r="AB568" s="31" t="n">
        <x:v>0.14766829418348765</x:v>
      </x:c>
      <x:c r="AC568" s="31" t="n">
        <x:v>6</x:v>
      </x:c>
      <x:c r="AD568" s="44" t="b">
        <x:v>1</x:v>
      </x:c>
    </x:row>
    <x:row r="569">
      <x:c r="A569" s="31" t="str">
        <x:v>36047023400</x:v>
      </x:c>
      <x:c r="B569" s="31" t="str">
        <x:v>Brooklyn</x:v>
      </x:c>
      <x:c r="C569" s="31" t="str">
        <x:v>023400</x:v>
      </x:c>
      <x:c r="D569" s="31" t="str">
        <x:v>BK1202</x:v>
      </x:c>
      <x:c r="E569" s="31" t="str">
        <x:v>Borough Park</x:v>
      </x:c>
      <x:c r="F569" s="31" t="n">
        <x:v>0.06554288185046488</x:v>
      </x:c>
      <x:c r="G569" s="31" t="n">
        <x:v>40.63387113704343</x:v>
      </x:c>
      <x:c r="H569" s="31" t="n">
        <x:v>-73.98794061604056</x:v>
      </x:c>
      <x:c r="I569" s="31" t="n">
        <x:v>5923</x:v>
      </x:c>
      <x:c r="J569" s="31" t="n">
        <x:v>90368.31815716064</x:v>
      </x:c>
      <x:c r="K569" s="31"/>
      <x:c r="L569" s="40"/>
      <x:c r="M569" s="40"/>
      <x:c r="N569" s="31" t="n">
        <x:v>336</x:v>
      </x:c>
      <x:c r="O569" s="31" t="n">
        <x:v>1640</x:v>
      </x:c>
      <x:c r="P569" s="31" t="n">
        <x:v>4.479268292682927</x:v>
      </x:c>
      <x:c r="Q569" s="40" t="n">
        <x:v>0</x:v>
      </x:c>
      <x:c r="R569" s="40" t="n">
        <x:v>0.9097560975609756</x:v>
      </x:c>
      <x:c r="S569" s="40" t="n">
        <x:v>0</x:v>
      </x:c>
      <x:c r="T569" s="31" t="n">
        <x:v>51.74010962855466</x:v>
      </x:c>
      <x:c r="U569" s="31" t="n">
        <x:v>78.91</x:v>
      </x:c>
      <x:c r="V569" s="31" t="n">
        <x:v>44</x:v>
      </x:c>
      <x:c r="W569" s="31" t="n">
        <x:v>7.428667904777984</x:v>
      </x:c>
      <x:c r="X569" s="31" t="n">
        <x:v>4</x:v>
      </x:c>
      <x:c r="Y569" s="40" t="n">
        <x:v>1</x:v>
      </x:c>
      <x:c r="Z569" s="40" t="n">
        <x:v>1</x:v>
      </x:c>
      <x:c r="AA569" s="40" t="n">
        <x:v>0.9871951219512195</x:v>
      </x:c>
      <x:c r="AB569" s="31" t="n">
        <x:v>0.25292023514878625</x:v>
      </x:c>
      <x:c r="AC569" s="31" t="n">
        <x:v>6</x:v>
      </x:c>
      <x:c r="AD569" s="44" t="b">
        <x:v>1</x:v>
      </x:c>
    </x:row>
    <x:row r="570">
      <x:c r="A570" s="31" t="str">
        <x:v>36047023500</x:v>
      </x:c>
      <x:c r="B570" s="31" t="str">
        <x:v>Brooklyn</x:v>
      </x:c>
      <x:c r="C570" s="31" t="str">
        <x:v>023500</x:v>
      </x:c>
      <x:c r="D570" s="31" t="str">
        <x:v>BK0301</x:v>
      </x:c>
      <x:c r="E570" s="31" t="str">
        <x:v>Bedford-Stuyvesant (West)</x:v>
      </x:c>
      <x:c r="F570" s="31" t="n">
        <x:v>0.0546561554081296</x:v>
      </x:c>
      <x:c r="G570" s="31" t="n">
        <x:v>40.6925128798626</x:v>
      </x:c>
      <x:c r="H570" s="31" t="n">
        <x:v>-73.95778505159643</x:v>
      </x:c>
      <x:c r="I570" s="31" t="n">
        <x:v>5921</x:v>
      </x:c>
      <x:c r="J570" s="31" t="n">
        <x:v>108331.80555395059</x:v>
      </x:c>
      <x:c r="K570" s="31"/>
      <x:c r="L570" s="40"/>
      <x:c r="M570" s="40"/>
      <x:c r="N570" s="31" t="n">
        <x:v>257</x:v>
      </x:c>
      <x:c r="O570" s="31" t="n">
        <x:v>1797</x:v>
      </x:c>
      <x:c r="P570" s="31" t="n">
        <x:v>5.107887323943662</x:v>
      </x:c>
      <x:c r="Q570" s="40" t="n">
        <x:v>0.11908736783528102</x:v>
      </x:c>
      <x:c r="R570" s="40" t="n">
        <x:v>0.8397328881469115</x:v>
      </x:c>
      <x:c r="S570" s="40" t="n">
        <x:v>0.035058430717863104</x:v>
      </x:c>
      <x:c r="T570" s="31" t="n">
        <x:v>62.019347134075204</x:v>
      </x:c>
      <x:c r="U570" s="31" t="n">
        <x:v>139</x:v>
      </x:c>
      <x:c r="V570" s="31" t="n">
        <x:v>59</x:v>
      </x:c>
      <x:c r="W570" s="31" t="n">
        <x:v>9.964533018071272</x:v>
      </x:c>
      <x:c r="X570" s="31" t="n">
        <x:v>4</x:v>
      </x:c>
      <x:c r="Y570" s="40" t="n">
        <x:v>1</x:v>
      </x:c>
      <x:c r="Z570" s="40" t="n">
        <x:v>1</x:v>
      </x:c>
      <x:c r="AA570" s="40" t="n">
        <x:v>0.9176405119643851</x:v>
      </x:c>
      <x:c r="AB570" s="31" t="n">
        <x:v>0.0467040286070738</x:v>
      </x:c>
      <x:c r="AC570" s="31" t="n">
        <x:v>5</x:v>
      </x:c>
      <x:c r="AD570" s="44" t="b">
        <x:v>1</x:v>
      </x:c>
    </x:row>
    <x:row r="571">
      <x:c r="A571" s="31" t="str">
        <x:v>36047023600</x:v>
      </x:c>
      <x:c r="B571" s="31" t="str">
        <x:v>Brooklyn</x:v>
      </x:c>
      <x:c r="C571" s="31" t="str">
        <x:v>023600</x:v>
      </x:c>
      <x:c r="D571" s="31" t="str">
        <x:v>BK1202</x:v>
      </x:c>
      <x:c r="E571" s="31" t="str">
        <x:v>Borough Park</x:v>
      </x:c>
      <x:c r="F571" s="31" t="n">
        <x:v>0.06557792940089818</x:v>
      </x:c>
      <x:c r="G571" s="31" t="n">
        <x:v>40.63219050663782</x:v>
      </x:c>
      <x:c r="H571" s="31" t="n">
        <x:v>-73.98968734946781</x:v>
      </x:c>
      <x:c r="I571" s="31" t="n">
        <x:v>6548</x:v>
      </x:c>
      <x:c r="J571" s="31" t="n">
        <x:v>99850.66713482288</x:v>
      </x:c>
      <x:c r="K571" s="31"/>
      <x:c r="L571" s="40"/>
      <x:c r="M571" s="40"/>
      <x:c r="N571" s="31" t="n">
        <x:v>290</x:v>
      </x:c>
      <x:c r="O571" s="31" t="n">
        <x:v>1830</x:v>
      </x:c>
      <x:c r="P571" s="31" t="n">
        <x:v>4.823304157549234</x:v>
      </x:c>
      <x:c r="Q571" s="40" t="n">
        <x:v>0</x:v>
      </x:c>
      <x:c r="R571" s="40" t="n">
        <x:v>0.9617486338797814</x:v>
      </x:c>
      <x:c r="S571" s="40" t="n">
        <x:v>0</x:v>
      </x:c>
      <x:c r="T571" s="31" t="n">
        <x:v>53.95180720386188</x:v>
      </x:c>
      <x:c r="U571" s="31" t="n">
        <x:v>95</x:v>
      </x:c>
      <x:c r="V571" s="31" t="n">
        <x:v>42</x:v>
      </x:c>
      <x:c r="W571" s="31" t="n">
        <x:v>6.414172266340868</x:v>
      </x:c>
      <x:c r="X571" s="31" t="n">
        <x:v>4</x:v>
      </x:c>
      <x:c r="Y571" s="40" t="n">
        <x:v>1</x:v>
      </x:c>
      <x:c r="Z571" s="40" t="n">
        <x:v>1</x:v>
      </x:c>
      <x:c r="AA571" s="40" t="n">
        <x:v>0.9890710382513661</x:v>
      </x:c>
      <x:c r="AB571" s="31" t="n">
        <x:v>0.3848490837957431</x:v>
      </x:c>
      <x:c r="AC571" s="31" t="n">
        <x:v>6</x:v>
      </x:c>
      <x:c r="AD571" s="44" t="b">
        <x:v>1</x:v>
      </x:c>
    </x:row>
    <x:row r="572">
      <x:c r="A572" s="31" t="str">
        <x:v>36047023800</x:v>
      </x:c>
      <x:c r="B572" s="31" t="str">
        <x:v>Brooklyn</x:v>
      </x:c>
      <x:c r="C572" s="31" t="str">
        <x:v>023800</x:v>
      </x:c>
      <x:c r="D572" s="31" t="str">
        <x:v>BK1202</x:v>
      </x:c>
      <x:c r="E572" s="31" t="str">
        <x:v>Borough Park</x:v>
      </x:c>
      <x:c r="F572" s="31" t="n">
        <x:v>0.06559794826747589</x:v>
      </x:c>
      <x:c r="G572" s="31" t="n">
        <x:v>40.630511573963645</x:v>
      </x:c>
      <x:c r="H572" s="31" t="n">
        <x:v>-73.9914379715969</x:v>
      </x:c>
      <x:c r="I572" s="31" t="n">
        <x:v>5414</x:v>
      </x:c>
      <x:c r="J572" s="31" t="n">
        <x:v>82533.06914302248</x:v>
      </x:c>
      <x:c r="K572" s="31"/>
      <x:c r="L572" s="40"/>
      <x:c r="M572" s="40"/>
      <x:c r="N572" s="31" t="n">
        <x:v>354</x:v>
      </x:c>
      <x:c r="O572" s="31" t="n">
        <x:v>1553</x:v>
      </x:c>
      <x:c r="P572" s="31" t="n">
        <x:v>4.092520954223082</x:v>
      </x:c>
      <x:c r="Q572" s="40" t="n">
        <x:v>0</x:v>
      </x:c>
      <x:c r="R572" s="40" t="n">
        <x:v>0.8763683193818416</x:v>
      </x:c>
      <x:c r="S572" s="40" t="n">
        <x:v>0</x:v>
      </x:c>
      <x:c r="T572" s="31" t="n">
        <x:v>46.45301926330944</x:v>
      </x:c>
      <x:c r="U572" s="31" t="n">
        <x:v>78.23</x:v>
      </x:c>
      <x:c r="V572" s="31" t="n">
        <x:v>36</x:v>
      </x:c>
      <x:c r="W572" s="31" t="n">
        <x:v>6.649427410417436</x:v>
      </x:c>
      <x:c r="X572" s="31" t="n">
        <x:v>4</x:v>
      </x:c>
      <x:c r="Y572" s="40" t="n">
        <x:v>1</x:v>
      </x:c>
      <x:c r="Z572" s="40" t="n">
        <x:v>1</x:v>
      </x:c>
      <x:c r="AA572" s="40" t="n">
        <x:v>0.9884095299420477</x:v>
      </x:c>
      <x:c r="AB572" s="31" t="n">
        <x:v>0.2875149213029325</x:v>
      </x:c>
      <x:c r="AC572" s="31" t="n">
        <x:v>7</x:v>
      </x:c>
      <x:c r="AD572" s="44" t="b">
        <x:v>1</x:v>
      </x:c>
    </x:row>
    <x:row r="573">
      <x:c r="A573" s="31" t="str">
        <x:v>36047024000</x:v>
      </x:c>
      <x:c r="B573" s="31" t="str">
        <x:v>Brooklyn</x:v>
      </x:c>
      <x:c r="C573" s="31" t="str">
        <x:v>024000</x:v>
      </x:c>
      <x:c r="D573" s="31" t="str">
        <x:v>BK1202</x:v>
      </x:c>
      <x:c r="E573" s="31" t="str">
        <x:v>Borough Park</x:v>
      </x:c>
      <x:c r="F573" s="31" t="n">
        <x:v>0.06554200809408</x:v>
      </x:c>
      <x:c r="G573" s="31" t="n">
        <x:v>40.628831539085475</x:v>
      </x:c>
      <x:c r="H573" s="31" t="n">
        <x:v>-73.99318584937159</x:v>
      </x:c>
      <x:c r="I573" s="31" t="n">
        <x:v>5165</x:v>
      </x:c>
      <x:c r="J573" s="31" t="n">
        <x:v>78804.42101478</x:v>
      </x:c>
      <x:c r="K573" s="31"/>
      <x:c r="L573" s="40"/>
      <x:c r="M573" s="40"/>
      <x:c r="N573" s="31" t="n">
        <x:v>372</x:v>
      </x:c>
      <x:c r="O573" s="31" t="n">
        <x:v>1491</x:v>
      </x:c>
      <x:c r="P573" s="31" t="n">
        <x:v>4.069845533915379</x:v>
      </x:c>
      <x:c r="Q573" s="40" t="n">
        <x:v>0</x:v>
      </x:c>
      <x:c r="R573" s="40" t="n">
        <x:v>0.8215962441314554</x:v>
      </x:c>
      <x:c r="S573" s="40" t="n">
        <x:v>0.0013413816230717639</x:v>
      </x:c>
      <x:c r="T573" s="31" t="n">
        <x:v>45.3712011700338</x:v>
      </x:c>
      <x:c r="U573" s="31" t="n">
        <x:v>76</x:v>
      </x:c>
      <x:c r="V573" s="31" t="n">
        <x:v>24</x:v>
      </x:c>
      <x:c r="W573" s="31" t="n">
        <x:v>4.646660212971926</x:v>
      </x:c>
      <x:c r="X573" s="31" t="n">
        <x:v>4</x:v>
      </x:c>
      <x:c r="Y573" s="40" t="n">
        <x:v>1</x:v>
      </x:c>
      <x:c r="Z573" s="40" t="n">
        <x:v>1</x:v>
      </x:c>
      <x:c r="AA573" s="40" t="n">
        <x:v>0.9919517102615694</x:v>
      </x:c>
      <x:c r="AB573" s="31" t="n">
        <x:v>0.2468288726530754</x:v>
      </x:c>
      <x:c r="AC573" s="31" t="n">
        <x:v>6</x:v>
      </x:c>
      <x:c r="AD573" s="44" t="b">
        <x:v>1</x:v>
      </x:c>
    </x:row>
    <x:row r="574">
      <x:c r="A574" s="31" t="str">
        <x:v>36047024100</x:v>
      </x:c>
      <x:c r="B574" s="31" t="str">
        <x:v>Brooklyn</x:v>
      </x:c>
      <x:c r="C574" s="31" t="str">
        <x:v>024100</x:v>
      </x:c>
      <x:c r="D574" s="31" t="str">
        <x:v>BK0301</x:v>
      </x:c>
      <x:c r="E574" s="31" t="str">
        <x:v>Bedford-Stuyvesant (West)</x:v>
      </x:c>
      <x:c r="F574" s="31" t="n">
        <x:v>0.06956446743787305</x:v>
      </x:c>
      <x:c r="G574" s="31" t="n">
        <x:v>40.692222562781886</x:v>
      </x:c>
      <x:c r="H574" s="31" t="n">
        <x:v>-73.95380398290486</x:v>
      </x:c>
      <x:c r="I574" s="31" t="n">
        <x:v>3175</x:v>
      </x:c>
      <x:c r="J574" s="31" t="n">
        <x:v>45641.11703773976</x:v>
      </x:c>
      <x:c r="K574" s="31"/>
      <x:c r="L574" s="40"/>
      <x:c r="M574" s="40"/>
      <x:c r="N574" s="31" t="n">
        <x:v>195</x:v>
      </x:c>
      <x:c r="O574" s="31" t="n">
        <x:v>1442</x:v>
      </x:c>
      <x:c r="P574" s="31" t="n">
        <x:v>5.231597222222222</x:v>
      </x:c>
      <x:c r="Q574" s="40" t="n">
        <x:v>0.12690707350901526</x:v>
      </x:c>
      <x:c r="R574" s="40" t="n">
        <x:v>0.8224687933425797</x:v>
      </x:c>
      <x:c r="S574" s="40" t="n">
        <x:v>0.0013869625520110957</x:v>
      </x:c>
      <x:c r="T574" s="31" t="n">
        <x:v>58.29405083670641</x:v>
      </x:c>
      <x:c r="U574" s="31" t="n">
        <x:v>135.9832856</x:v>
      </x:c>
      <x:c r="V574" s="31" t="n">
        <x:v>39</x:v>
      </x:c>
      <x:c r="W574" s="31" t="n">
        <x:v>12.283464566929133</x:v>
      </x:c>
      <x:c r="X574" s="31" t="n">
        <x:v>4</x:v>
      </x:c>
      <x:c r="Y574" s="40" t="n">
        <x:v>1</x:v>
      </x:c>
      <x:c r="Z574" s="40" t="n">
        <x:v>1</x:v>
      </x:c>
      <x:c r="AA574" s="40" t="n">
        <x:v>0.9306518723994452</x:v>
      </x:c>
      <x:c r="AB574" s="31" t="n">
        <x:v>0.06341883617536069</x:v>
      </x:c>
      <x:c r="AC574" s="31" t="n">
        <x:v>7</x:v>
      </x:c>
      <x:c r="AD574" s="44" t="b">
        <x:v>1</x:v>
      </x:c>
    </x:row>
    <x:row r="575">
      <x:c r="A575" s="31" t="str">
        <x:v>36047024200</x:v>
      </x:c>
      <x:c r="B575" s="31" t="str">
        <x:v>Brooklyn</x:v>
      </x:c>
      <x:c r="C575" s="31" t="str">
        <x:v>024200</x:v>
      </x:c>
      <x:c r="D575" s="31" t="str">
        <x:v>BK1202</x:v>
      </x:c>
      <x:c r="E575" s="31" t="str">
        <x:v>Borough Park</x:v>
      </x:c>
      <x:c r="F575" s="31" t="n">
        <x:v>0.07393269136033631</x:v>
      </x:c>
      <x:c r="G575" s="31" t="n">
        <x:v>40.625867773541216</x:v>
      </x:c>
      <x:c r="H575" s="31" t="n">
        <x:v>-73.99280952704548</x:v>
      </x:c>
      <x:c r="I575" s="31" t="n">
        <x:v>3289</x:v>
      </x:c>
      <x:c r="J575" s="31" t="n">
        <x:v>44486.40972597536</x:v>
      </x:c>
      <x:c r="K575" s="31"/>
      <x:c r="L575" s="40"/>
      <x:c r="M575" s="40"/>
      <x:c r="N575" s="31" t="n">
        <x:v>361</x:v>
      </x:c>
      <x:c r="O575" s="31" t="n">
        <x:v>1009</x:v>
      </x:c>
      <x:c r="P575" s="31" t="n">
        <x:v>3.041289023162135</x:v>
      </x:c>
      <x:c r="Q575" s="40" t="n">
        <x:v>0</x:v>
      </x:c>
      <x:c r="R575" s="40" t="n">
        <x:v>0.5569871159563925</x:v>
      </x:c>
      <x:c r="S575" s="40" t="n">
        <x:v>0.015857284440039643</x:v>
      </x:c>
      <x:c r="T575" s="31" t="n">
        <x:v>37.71279318161647</x:v>
      </x:c>
      <x:c r="U575" s="31" t="n">
        <x:v>74</x:v>
      </x:c>
      <x:c r="V575" s="31" t="n">
        <x:v>33</x:v>
      </x:c>
      <x:c r="W575" s="31" t="n">
        <x:v>10.033444816053512</x:v>
      </x:c>
      <x:c r="X575" s="31" t="n">
        <x:v>4</x:v>
      </x:c>
      <x:c r="Y575" s="40" t="n">
        <x:v>1</x:v>
      </x:c>
      <x:c r="Z575" s="40" t="n">
        <x:v>1</x:v>
      </x:c>
      <x:c r="AA575" s="40" t="n">
        <x:v>0.9871159563924677</x:v>
      </x:c>
      <x:c r="AB575" s="31" t="n">
        <x:v>0.18142597923708428</x:v>
      </x:c>
      <x:c r="AC575" s="31" t="n">
        <x:v>6</x:v>
      </x:c>
      <x:c r="AD575" s="44" t="b">
        <x:v>1</x:v>
      </x:c>
    </x:row>
    <x:row r="576">
      <x:c r="A576" s="31" t="str">
        <x:v>36047024300</x:v>
      </x:c>
      <x:c r="B576" s="31" t="str">
        <x:v>Brooklyn</x:v>
      </x:c>
      <x:c r="C576" s="31" t="str">
        <x:v>024300</x:v>
      </x:c>
      <x:c r="D576" s="31" t="str">
        <x:v>BK0301</x:v>
      </x:c>
      <x:c r="E576" s="31" t="str">
        <x:v>Bedford-Stuyvesant (West)</x:v>
      </x:c>
      <x:c r="F576" s="31" t="n">
        <x:v>0.05962092189759814</x:v>
      </x:c>
      <x:c r="G576" s="31" t="n">
        <x:v>40.68745572165661</x:v>
      </x:c>
      <x:c r="H576" s="31" t="n">
        <x:v>-73.95285580822724</x:v>
      </x:c>
      <x:c r="I576" s="31" t="n">
        <x:v>4347</x:v>
      </x:c>
      <x:c r="J576" s="31" t="n">
        <x:v>72910.64716285645</x:v>
      </x:c>
      <x:c r="K576" s="31"/>
      <x:c r="L576" s="40"/>
      <x:c r="M576" s="40"/>
      <x:c r="N576" s="31" t="n">
        <x:v>450</x:v>
      </x:c>
      <x:c r="O576" s="31" t="n">
        <x:v>2034</x:v>
      </x:c>
      <x:c r="P576" s="31" t="n">
        <x:v>4.199925816023739</x:v>
      </x:c>
      <x:c r="Q576" s="40" t="n">
        <x:v>0.10521140609636184</x:v>
      </x:c>
      <x:c r="R576" s="40" t="n">
        <x:v>0.7586037364798427</x:v>
      </x:c>
      <x:c r="S576" s="40" t="n">
        <x:v>0.05260570304818092</x:v>
      </x:c>
      <x:c r="T576" s="31" t="n">
        <x:v>50.378712208663025</x:v>
      </x:c>
      <x:c r="U576" s="31" t="n">
        <x:v>100.78</x:v>
      </x:c>
      <x:c r="V576" s="31" t="n">
        <x:v>11</x:v>
      </x:c>
      <x:c r="W576" s="31" t="n">
        <x:v>2.5304807913503566</x:v>
      </x:c>
      <x:c r="X576" s="31" t="n">
        <x:v>4</x:v>
      </x:c>
      <x:c r="Y576" s="40" t="n">
        <x:v>1</x:v>
      </x:c>
      <x:c r="Z576" s="40" t="n">
        <x:v>1</x:v>
      </x:c>
      <x:c r="AA576" s="40" t="n">
        <x:v>0.9891838741396264</x:v>
      </x:c>
      <x:c r="AB576" s="31" t="n">
        <x:v>0.1486456397527468</x:v>
      </x:c>
      <x:c r="AC576" s="31" t="n">
        <x:v>7</x:v>
      </x:c>
      <x:c r="AD576" s="44" t="b">
        <x:v>1</x:v>
      </x:c>
    </x:row>
    <x:row r="577">
      <x:c r="A577" s="31" t="str">
        <x:v>36047024400</x:v>
      </x:c>
      <x:c r="B577" s="31" t="str">
        <x:v>Brooklyn</x:v>
      </x:c>
      <x:c r="C577" s="31" t="str">
        <x:v>024400</x:v>
      </x:c>
      <x:c r="D577" s="31" t="str">
        <x:v>BK1204</x:v>
      </x:c>
      <x:c r="E577" s="31" t="str">
        <x:v>Mapleton-Midwood (West)</x:v>
      </x:c>
      <x:c r="F577" s="31" t="n">
        <x:v>0.059937027850952715</x:v>
      </x:c>
      <x:c r="G577" s="31" t="n">
        <x:v>40.621747592063706</x:v>
      </x:c>
      <x:c r="H577" s="31" t="n">
        <x:v>-73.98623669476305</x:v>
      </x:c>
      <x:c r="I577" s="31" t="n">
        <x:v>3651</x:v>
      </x:c>
      <x:c r="J577" s="31" t="n">
        <x:v>60913.931352736676</x:v>
      </x:c>
      <x:c r="K577" s="31"/>
      <x:c r="L577" s="40"/>
      <x:c r="M577" s="40"/>
      <x:c r="N577" s="31" t="n">
        <x:v>452</x:v>
      </x:c>
      <x:c r="O577" s="31" t="n">
        <x:v>1000</x:v>
      </x:c>
      <x:c r="P577" s="31" t="n">
        <x:v>2.19275</x:v>
      </x:c>
      <x:c r="Q577" s="40" t="n">
        <x:v>0</x:v>
      </x:c>
      <x:c r="R577" s="40" t="n">
        <x:v>0.168</x:v>
      </x:c>
      <x:c r="S577" s="40" t="n">
        <x:v>0.033</x:v>
      </x:c>
      <x:c r="T577" s="31" t="n">
        <x:v>28.11574714534068</x:v>
      </x:c>
      <x:c r="U577" s="31" t="n">
        <x:v>46.45845264</x:v>
      </x:c>
      <x:c r="V577" s="31" t="n">
        <x:v>1</x:v>
      </x:c>
      <x:c r="W577" s="31" t="n">
        <x:v>0.27389756231169543</x:v>
      </x:c>
      <x:c r="X577" s="31" t="n">
        <x:v>4</x:v>
      </x:c>
      <x:c r="Y577" s="40" t="n">
        <x:v>1</x:v>
      </x:c>
      <x:c r="Z577" s="40" t="n">
        <x:v>1</x:v>
      </x:c>
      <x:c r="AA577" s="40" t="n">
        <x:v>0.998</x:v>
      </x:c>
      <x:c r="AB577" s="31" t="n">
        <x:v>0.05566226318558257</x:v>
      </x:c>
      <x:c r="AC577" s="31" t="n">
        <x:v>5</x:v>
      </x:c>
      <x:c r="AD577" s="44" t="b">
        <x:v>1</x:v>
      </x:c>
    </x:row>
    <x:row r="578">
      <x:c r="A578" s="31" t="str">
        <x:v>36047024500</x:v>
      </x:c>
      <x:c r="B578" s="31" t="str">
        <x:v>Brooklyn</x:v>
      </x:c>
      <x:c r="C578" s="31" t="str">
        <x:v>024500</x:v>
      </x:c>
      <x:c r="D578" s="31" t="str">
        <x:v>BK0301</x:v>
      </x:c>
      <x:c r="E578" s="31" t="str">
        <x:v>Bedford-Stuyvesant (West)</x:v>
      </x:c>
      <x:c r="F578" s="31" t="n">
        <x:v>0.06441421798991334</x:v>
      </x:c>
      <x:c r="G578" s="31" t="n">
        <x:v>40.68288076970657</x:v>
      </x:c>
      <x:c r="H578" s="31" t="n">
        <x:v>-73.95190121150881</x:v>
      </x:c>
      <x:c r="I578" s="31" t="n">
        <x:v>4257</x:v>
      </x:c>
      <x:c r="J578" s="31" t="n">
        <x:v>66087.89383528037</x:v>
      </x:c>
      <x:c r="K578" s="31"/>
      <x:c r="L578" s="40"/>
      <x:c r="M578" s="40"/>
      <x:c r="N578" s="31" t="n">
        <x:v>506</x:v>
      </x:c>
      <x:c r="O578" s="31" t="n">
        <x:v>2100</x:v>
      </x:c>
      <x:c r="P578" s="31" t="n">
        <x:v>4.297613365155131</x:v>
      </x:c>
      <x:c r="Q578" s="40" t="n">
        <x:v>0.13238095238095238</x:v>
      </x:c>
      <x:c r="R578" s="40" t="n">
        <x:v>0.7895238095238095</x:v>
      </x:c>
      <x:c r="S578" s="40" t="n">
        <x:v>0.006666666666666667</x:v>
      </x:c>
      <x:c r="T578" s="31" t="n">
        <x:v>54.84077719762021</x:v>
      </x:c>
      <x:c r="U578" s="31" t="n">
        <x:v>140</x:v>
      </x:c>
      <x:c r="V578" s="31" t="n">
        <x:v>8</x:v>
      </x:c>
      <x:c r="W578" s="31" t="n">
        <x:v>1.8792576932111817</x:v>
      </x:c>
      <x:c r="X578" s="31" t="n">
        <x:v>4</x:v>
      </x:c>
      <x:c r="Y578" s="40" t="n">
        <x:v>1</x:v>
      </x:c>
      <x:c r="Z578" s="40" t="n">
        <x:v>1</x:v>
      </x:c>
      <x:c r="AA578" s="40" t="n">
        <x:v>0.9704761904761905</x:v>
      </x:c>
      <x:c r="AB578" s="31" t="n">
        <x:v>0.18172564132647281</x:v>
      </x:c>
      <x:c r="AC578" s="31" t="n">
        <x:v>6</x:v>
      </x:c>
      <x:c r="AD578" s="44" t="b">
        <x:v>1</x:v>
      </x:c>
    </x:row>
    <x:row r="579">
      <x:c r="A579" s="31" t="str">
        <x:v>36047024600</x:v>
      </x:c>
      <x:c r="B579" s="31" t="str">
        <x:v>Brooklyn</x:v>
      </x:c>
      <x:c r="C579" s="31" t="str">
        <x:v>024600</x:v>
      </x:c>
      <x:c r="D579" s="31" t="str">
        <x:v>BK1204</x:v>
      </x:c>
      <x:c r="E579" s="31" t="str">
        <x:v>Mapleton-Midwood (West)</x:v>
      </x:c>
      <x:c r="F579" s="31" t="n">
        <x:v>0.06620117097645489</x:v>
      </x:c>
      <x:c r="G579" s="31" t="n">
        <x:v>40.61817184459484</x:v>
      </x:c>
      <x:c r="H579" s="31" t="n">
        <x:v>-73.98116863877951</x:v>
      </x:c>
      <x:c r="I579" s="31" t="n">
        <x:v>3436</x:v>
      </x:c>
      <x:c r="J579" s="31" t="n">
        <x:v>51902.40518890591</x:v>
      </x:c>
      <x:c r="K579" s="31"/>
      <x:c r="L579" s="40"/>
      <x:c r="M579" s="40"/>
      <x:c r="N579" s="31" t="n">
        <x:v>501</x:v>
      </x:c>
      <x:c r="O579" s="31" t="n">
        <x:v>1061</x:v>
      </x:c>
      <x:c r="P579" s="31" t="n">
        <x:v>2.329915014164306</x:v>
      </x:c>
      <x:c r="Q579" s="40" t="n">
        <x:v>0</x:v>
      </x:c>
      <x:c r="R579" s="40" t="n">
        <x:v>0.10933081998114987</x:v>
      </x:c>
      <x:c r="S579" s="40" t="n">
        <x:v>0.003770028275212064</x:v>
      </x:c>
      <x:c r="T579" s="31" t="n">
        <x:v>28.89523210175024</x:v>
      </x:c>
      <x:c r="U579" s="31" t="n">
        <x:v>85</x:v>
      </x:c>
      <x:c r="V579" s="31" t="n">
        <x:v>6</x:v>
      </x:c>
      <x:c r="W579" s="31" t="n">
        <x:v>1.7462165308498254</x:v>
      </x:c>
      <x:c r="X579" s="31" t="n">
        <x:v>4</x:v>
      </x:c>
      <x:c r="Y579" s="40" t="n">
        <x:v>1</x:v>
      </x:c>
      <x:c r="Z579" s="40" t="n">
        <x:v>1</x:v>
      </x:c>
      <x:c r="AA579" s="40" t="n">
        <x:v>0.9962299717247879</x:v>
      </x:c>
      <x:c r="AB579" s="31" t="n">
        <x:v>0.20789489636724648</x:v>
      </x:c>
      <x:c r="AC579" s="31" t="n">
        <x:v>7</x:v>
      </x:c>
      <x:c r="AD579" s="44" t="b">
        <x:v>1</x:v>
      </x:c>
    </x:row>
    <x:row r="580">
      <x:c r="A580" s="31" t="str">
        <x:v>36047024700</x:v>
      </x:c>
      <x:c r="B580" s="31" t="str">
        <x:v>Brooklyn</x:v>
      </x:c>
      <x:c r="C580" s="31" t="str">
        <x:v>024700</x:v>
      </x:c>
      <x:c r="D580" s="31" t="str">
        <x:v>BK0301</x:v>
      </x:c>
      <x:c r="E580" s="31" t="str">
        <x:v>Bedford-Stuyvesant (West)</x:v>
      </x:c>
      <x:c r="F580" s="31" t="n">
        <x:v>0.06940198552499426</x:v>
      </x:c>
      <x:c r="G580" s="31" t="n">
        <x:v>40.679443236690055</x:v>
      </x:c>
      <x:c r="H580" s="31" t="n">
        <x:v>-73.94926996961591</x:v>
      </x:c>
      <x:c r="I580" s="31" t="n">
        <x:v>2820</x:v>
      </x:c>
      <x:c r="J580" s="31" t="n">
        <x:v>40632.84326331575</x:v>
      </x:c>
      <x:c r="K580" s="31"/>
      <x:c r="L580" s="40"/>
      <x:c r="M580" s="40"/>
      <x:c r="N580" s="31" t="n">
        <x:v>190</x:v>
      </x:c>
      <x:c r="O580" s="31" t="n">
        <x:v>1231</x:v>
      </x:c>
      <x:c r="P580" s="31" t="n">
        <x:v>4.723395613322502</x:v>
      </x:c>
      <x:c r="Q580" s="40" t="n">
        <x:v>0.03574329813160033</x:v>
      </x:c>
      <x:c r="R580" s="40" t="n">
        <x:v>0.9098294069861901</x:v>
      </x:c>
      <x:c r="S580" s="40" t="n">
        <x:v>0.03168155970755483</x:v>
      </x:c>
      <x:c r="T580" s="31" t="n">
        <x:v>50.01258960014622</x:v>
      </x:c>
      <x:c r="U580" s="31" t="n">
        <x:v>118</x:v>
      </x:c>
      <x:c r="V580" s="31" t="n">
        <x:v>13</x:v>
      </x:c>
      <x:c r="W580" s="31" t="n">
        <x:v>4.609929078014184</x:v>
      </x:c>
      <x:c r="X580" s="31" t="n">
        <x:v>3.9707554833468723</x:v>
      </x:c>
      <x:c r="Y580" s="40" t="n">
        <x:v>0.9853777416734363</x:v>
      </x:c>
      <x:c r="Z580" s="40" t="n">
        <x:v>1</x:v>
      </x:c>
      <x:c r="AA580" s="40" t="n">
        <x:v>1</x:v>
      </x:c>
      <x:c r="AB580" s="31" t="n">
        <x:v>0.14954132825072677</x:v>
      </x:c>
      <x:c r="AC580" s="31" t="n">
        <x:v>8</x:v>
      </x:c>
      <x:c r="AD580" s="44" t="b">
        <x:v>1</x:v>
      </x:c>
    </x:row>
    <x:row r="581">
      <x:c r="A581" s="31" t="str">
        <x:v>36047024800</x:v>
      </x:c>
      <x:c r="B581" s="31" t="str">
        <x:v>Brooklyn</x:v>
      </x:c>
      <x:c r="C581" s="31" t="str">
        <x:v>024800</x:v>
      </x:c>
      <x:c r="D581" s="31" t="str">
        <x:v>BK1101</x:v>
      </x:c>
      <x:c r="E581" s="31" t="str">
        <x:v>Bensonhurst</x:v>
      </x:c>
      <x:c r="F581" s="31" t="n">
        <x:v>0.06797869639254764</x:v>
      </x:c>
      <x:c r="G581" s="31" t="n">
        <x:v>40.621362972933525</x:v>
      </x:c>
      <x:c r="H581" s="31" t="n">
        <x:v>-73.9899931754036</x:v>
      </x:c>
      <x:c r="I581" s="31" t="n">
        <x:v>2647</x:v>
      </x:c>
      <x:c r="J581" s="31" t="n">
        <x:v>38938.66961959255</x:v>
      </x:c>
      <x:c r="K581" s="31"/>
      <x:c r="L581" s="40"/>
      <x:c r="M581" s="40"/>
      <x:c r="N581" s="31" t="n">
        <x:v>366</x:v>
      </x:c>
      <x:c r="O581" s="31" t="n">
        <x:v>858</x:v>
      </x:c>
      <x:c r="P581" s="31" t="n">
        <x:v>2.2872960372960374</x:v>
      </x:c>
      <x:c r="Q581" s="40" t="n">
        <x:v>0</x:v>
      </x:c>
      <x:c r="R581" s="40" t="n">
        <x:v>0.2540792540792541</x:v>
      </x:c>
      <x:c r="S581" s="40" t="n">
        <x:v>0.0034965034965034965</x:v>
      </x:c>
      <x:c r="T581" s="31" t="n">
        <x:v>28.625429825384614</x:v>
      </x:c>
      <x:c r="U581" s="31" t="n">
        <x:v>46.37</x:v>
      </x:c>
      <x:c r="V581" s="31" t="n">
        <x:v>1</x:v>
      </x:c>
      <x:c r="W581" s="31" t="n">
        <x:v>0.3777861730260672</x:v>
      </x:c>
      <x:c r="X581" s="31" t="n">
        <x:v>4</x:v>
      </x:c>
      <x:c r="Y581" s="40" t="n">
        <x:v>1</x:v>
      </x:c>
      <x:c r="Z581" s="40" t="n">
        <x:v>1</x:v>
      </x:c>
      <x:c r="AA581" s="40" t="n">
        <x:v>1</x:v>
      </x:c>
      <x:c r="AB581" s="31" t="n">
        <x:v>0.1213521640832879</x:v>
      </x:c>
      <x:c r="AC581" s="31" t="n">
        <x:v>6</x:v>
      </x:c>
      <x:c r="AD581" s="44" t="b">
        <x:v>1</x:v>
      </x:c>
    </x:row>
    <x:row r="582">
      <x:c r="A582" s="31" t="str">
        <x:v>36047024900</x:v>
      </x:c>
      <x:c r="B582" s="31" t="str">
        <x:v>Brooklyn</x:v>
      </x:c>
      <x:c r="C582" s="31" t="str">
        <x:v>024900</x:v>
      </x:c>
      <x:c r="D582" s="31" t="str">
        <x:v>BK0301</x:v>
      </x:c>
      <x:c r="E582" s="31" t="str">
        <x:v>Bedford-Stuyvesant (West)</x:v>
      </x:c>
      <x:c r="F582" s="31" t="n">
        <x:v>0.06504507358958907</x:v>
      </x:c>
      <x:c r="G582" s="31" t="n">
        <x:v>40.682983320268136</x:v>
      </x:c>
      <x:c r="H582" s="31" t="n">
        <x:v>-73.94839042013852</x:v>
      </x:c>
      <x:c r="I582" s="31" t="n">
        <x:v>4264</x:v>
      </x:c>
      <x:c r="J582" s="31" t="n">
        <x:v>65554.54186898613</x:v>
      </x:c>
      <x:c r="K582" s="31"/>
      <x:c r="L582" s="40"/>
      <x:c r="M582" s="40"/>
      <x:c r="N582" s="31" t="n">
        <x:v>483</x:v>
      </x:c>
      <x:c r="O582" s="31" t="n">
        <x:v>1813</x:v>
      </x:c>
      <x:c r="P582" s="31" t="n">
        <x:v>3.374792703150912</x:v>
      </x:c>
      <x:c r="Q582" s="40" t="n">
        <x:v>0</x:v>
      </x:c>
      <x:c r="R582" s="40" t="n">
        <x:v>0.9056811913954771</x:v>
      </x:c>
      <x:c r="S582" s="40" t="n">
        <x:v>0.004964147821290678</x:v>
      </x:c>
      <x:c r="T582" s="31" t="n">
        <x:v>44.44966871065145</x:v>
      </x:c>
      <x:c r="U582" s="31" t="n">
        <x:v>67.27</x:v>
      </x:c>
      <x:c r="V582" s="31" t="n">
        <x:v>2</x:v>
      </x:c>
      <x:c r="W582" s="31" t="n">
        <x:v>0.46904315196998125</x:v>
      </x:c>
      <x:c r="X582" s="31" t="n">
        <x:v>4</x:v>
      </x:c>
      <x:c r="Y582" s="40" t="n">
        <x:v>1</x:v>
      </x:c>
      <x:c r="Z582" s="40" t="n">
        <x:v>1</x:v>
      </x:c>
      <x:c r="AA582" s="40" t="n">
        <x:v>0.9906232763375621</x:v>
      </x:c>
      <x:c r="AB582" s="31" t="n">
        <x:v>0.1150436118352364</x:v>
      </x:c>
      <x:c r="AC582" s="31" t="n">
        <x:v>7</x:v>
      </x:c>
      <x:c r="AD582" s="44" t="b">
        <x:v>1</x:v>
      </x:c>
    </x:row>
    <x:row r="583">
      <x:c r="A583" s="31" t="str">
        <x:v>36047025000</x:v>
      </x:c>
      <x:c r="B583" s="31" t="str">
        <x:v>Brooklyn</x:v>
      </x:c>
      <x:c r="C583" s="31" t="str">
        <x:v>025000</x:v>
      </x:c>
      <x:c r="D583" s="31" t="str">
        <x:v>BK1101</x:v>
      </x:c>
      <x:c r="E583" s="31" t="str">
        <x:v>Bensonhurst</x:v>
      </x:c>
      <x:c r="F583" s="31" t="n">
        <x:v>0.06698238367158804</x:v>
      </x:c>
      <x:c r="G583" s="31" t="n">
        <x:v>40.62362577632778</x:v>
      </x:c>
      <x:c r="H583" s="31" t="n">
        <x:v>-73.99583841828539</x:v>
      </x:c>
      <x:c r="I583" s="31" t="n">
        <x:v>1748</x:v>
      </x:c>
      <x:c r="J583" s="31" t="n">
        <x:v>26096.41377605154</x:v>
      </x:c>
      <x:c r="K583" s="31"/>
      <x:c r="L583" s="40"/>
      <x:c r="M583" s="40"/>
      <x:c r="N583" s="31" t="n">
        <x:v>231</x:v>
      </x:c>
      <x:c r="O583" s="31" t="n">
        <x:v>524</x:v>
      </x:c>
      <x:c r="P583" s="31" t="n">
        <x:v>2.135496183206107</x:v>
      </x:c>
      <x:c r="Q583" s="40" t="n">
        <x:v>0</x:v>
      </x:c>
      <x:c r="R583" s="40" t="n">
        <x:v>0.1183206106870229</x:v>
      </x:c>
      <x:c r="S583" s="40" t="n">
        <x:v>0.003816793893129771</x:v>
      </x:c>
      <x:c r="T583" s="31" t="n">
        <x:v>27.410130275190838</x:v>
      </x:c>
      <x:c r="U583" s="31" t="n">
        <x:v>46.86</x:v>
      </x:c>
      <x:c r="V583" s="31" t="n">
        <x:v>1</x:v>
      </x:c>
      <x:c r="W583" s="31" t="n">
        <x:v>0.5720823798627003</x:v>
      </x:c>
      <x:c r="X583" s="31" t="n">
        <x:v>4</x:v>
      </x:c>
      <x:c r="Y583" s="40" t="n">
        <x:v>1</x:v>
      </x:c>
      <x:c r="Z583" s="40" t="n">
        <x:v>1</x:v>
      </x:c>
      <x:c r="AA583" s="40" t="n">
        <x:v>1</x:v>
      </x:c>
      <x:c r="AB583" s="31" t="n">
        <x:v>0.11477582586622012</x:v>
      </x:c>
      <x:c r="AC583" s="31" t="n">
        <x:v>7</x:v>
      </x:c>
      <x:c r="AD583" s="44" t="b">
        <x:v>1</x:v>
      </x:c>
    </x:row>
    <x:row r="584">
      <x:c r="A584" s="31" t="str">
        <x:v>36047025100</x:v>
      </x:c>
      <x:c r="B584" s="31" t="str">
        <x:v>Brooklyn</x:v>
      </x:c>
      <x:c r="C584" s="31" t="str">
        <x:v>025100</x:v>
      </x:c>
      <x:c r="D584" s="31" t="str">
        <x:v>BK0301</x:v>
      </x:c>
      <x:c r="E584" s="31" t="str">
        <x:v>Bedford-Stuyvesant (West)</x:v>
      </x:c>
      <x:c r="F584" s="31" t="n">
        <x:v>0.05347112460112489</x:v>
      </x:c>
      <x:c r="G584" s="31" t="n">
        <x:v>40.68785473833113</x:v>
      </x:c>
      <x:c r="H584" s="31" t="n">
        <x:v>-73.94938807942934</x:v>
      </x:c>
      <x:c r="I584" s="31" t="n">
        <x:v>4209</x:v>
      </x:c>
      <x:c r="J584" s="31" t="n">
        <x:v>78715.3820196902</x:v>
      </x:c>
      <x:c r="K584" s="31"/>
      <x:c r="L584" s="40"/>
      <x:c r="M584" s="40"/>
      <x:c r="N584" s="31" t="n">
        <x:v>291</x:v>
      </x:c>
      <x:c r="O584" s="31" t="n">
        <x:v>1639</x:v>
      </x:c>
      <x:c r="P584" s="31" t="n">
        <x:v>4.022992029429798</x:v>
      </x:c>
      <x:c r="Q584" s="40" t="n">
        <x:v>0</x:v>
      </x:c>
      <x:c r="R584" s="40" t="n">
        <x:v>0.9237339841366687</x:v>
      </x:c>
      <x:c r="S584" s="40" t="n">
        <x:v>0.09090909090909091</x:v>
      </x:c>
      <x:c r="T584" s="31" t="n">
        <x:v>46.462735941926155</x:v>
      </x:c>
      <x:c r="U584" s="31" t="n">
        <x:v>91</x:v>
      </x:c>
      <x:c r="V584" s="31" t="n">
        <x:v>5</x:v>
      </x:c>
      <x:c r="W584" s="31" t="n">
        <x:v>1.1879306248515087</x:v>
      </x:c>
      <x:c r="X584" s="31" t="n">
        <x:v>4</x:v>
      </x:c>
      <x:c r="Y584" s="40" t="n">
        <x:v>1</x:v>
      </x:c>
      <x:c r="Z584" s="40" t="n">
        <x:v>1</x:v>
      </x:c>
      <x:c r="AA584" s="40" t="n">
        <x:v>0.9914582062233069</x:v>
      </x:c>
      <x:c r="AB584" s="31" t="n">
        <x:v>0.18569811310537612</x:v>
      </x:c>
      <x:c r="AC584" s="31" t="n">
        <x:v>8</x:v>
      </x:c>
      <x:c r="AD584" s="44" t="b">
        <x:v>1</x:v>
      </x:c>
    </x:row>
    <x:row r="585">
      <x:c r="A585" s="31" t="str">
        <x:v>36047025200</x:v>
      </x:c>
      <x:c r="B585" s="31" t="str">
        <x:v>Brooklyn</x:v>
      </x:c>
      <x:c r="C585" s="31" t="str">
        <x:v>025200</x:v>
      </x:c>
      <x:c r="D585" s="31" t="str">
        <x:v>BK1101</x:v>
      </x:c>
      <x:c r="E585" s="31" t="str">
        <x:v>Bensonhurst</x:v>
      </x:c>
      <x:c r="F585" s="31" t="n">
        <x:v>0.06998174794177571</x:v>
      </x:c>
      <x:c r="G585" s="31" t="n">
        <x:v>40.619829099145186</x:v>
      </x:c>
      <x:c r="H585" s="31" t="n">
        <x:v>-73.99213921865567</x:v>
      </x:c>
      <x:c r="I585" s="31" t="n">
        <x:v>5300</x:v>
      </x:c>
      <x:c r="J585" s="31" t="n">
        <x:v>75734.03288539693</x:v>
      </x:c>
      <x:c r="K585" s="31"/>
      <x:c r="L585" s="40"/>
      <x:c r="M585" s="40"/>
      <x:c r="N585" s="31" t="n">
        <x:v>465</x:v>
      </x:c>
      <x:c r="O585" s="31" t="n">
        <x:v>1852</x:v>
      </x:c>
      <x:c r="P585" s="31" t="n">
        <x:v>3.1592872570194386</x:v>
      </x:c>
      <x:c r="Q585" s="40" t="n">
        <x:v>0</x:v>
      </x:c>
      <x:c r="R585" s="40" t="n">
        <x:v>0.4897408207343413</x:v>
      </x:c>
      <x:c r="S585" s="40" t="n">
        <x:v>0</x:v>
      </x:c>
      <x:c r="T585" s="31" t="n">
        <x:v>37.184706733693886</x:v>
      </x:c>
      <x:c r="U585" s="31" t="n">
        <x:v>87.28849876</x:v>
      </x:c>
      <x:c r="V585" s="31" t="n">
        <x:v>7</x:v>
      </x:c>
      <x:c r="W585" s="31" t="n">
        <x:v>1.3207547169811322</x:v>
      </x:c>
      <x:c r="X585" s="31" t="n">
        <x:v>4</x:v>
      </x:c>
      <x:c r="Y585" s="40" t="n">
        <x:v>1</x:v>
      </x:c>
      <x:c r="Z585" s="40" t="n">
        <x:v>1</x:v>
      </x:c>
      <x:c r="AA585" s="40" t="n">
        <x:v>0.9983801295896328</x:v>
      </x:c>
      <x:c r="AB585" s="31" t="n">
        <x:v>0.2404171945299499</x:v>
      </x:c>
      <x:c r="AC585" s="31" t="n">
        <x:v>6</x:v>
      </x:c>
      <x:c r="AD585" s="44" t="b">
        <x:v>1</x:v>
      </x:c>
    </x:row>
    <x:row r="586">
      <x:c r="A586" s="31" t="str">
        <x:v>36047025300</x:v>
      </x:c>
      <x:c r="B586" s="31" t="str">
        <x:v>Brooklyn</x:v>
      </x:c>
      <x:c r="C586" s="31" t="str">
        <x:v>025300</x:v>
      </x:c>
      <x:c r="D586" s="31" t="str">
        <x:v>BK0301</x:v>
      </x:c>
      <x:c r="E586" s="31" t="str">
        <x:v>Bedford-Stuyvesant (West)</x:v>
      </x:c>
      <x:c r="F586" s="31" t="n">
        <x:v>0.06247561080119376</x:v>
      </x:c>
      <x:c r="G586" s="31" t="n">
        <x:v>40.69262201255325</x:v>
      </x:c>
      <x:c r="H586" s="31" t="n">
        <x:v>-73.95033671765266</x:v>
      </x:c>
      <x:c r="I586" s="31" t="n">
        <x:v>3517</x:v>
      </x:c>
      <x:c r="J586" s="31" t="n">
        <x:v>56293.967436214305</x:v>
      </x:c>
      <x:c r="K586" s="31"/>
      <x:c r="L586" s="40"/>
      <x:c r="M586" s="40"/>
      <x:c r="N586" s="31" t="n">
        <x:v>364</x:v>
      </x:c>
      <x:c r="O586" s="31" t="n">
        <x:v>1608</x:v>
      </x:c>
      <x:c r="P586" s="31" t="n">
        <x:v>4.246134020618556</x:v>
      </x:c>
      <x:c r="Q586" s="40" t="n">
        <x:v>0.06467661691542288</x:v>
      </x:c>
      <x:c r="R586" s="40" t="n">
        <x:v>0.7686567164179104</x:v>
      </x:c>
      <x:c r="S586" s="40" t="n">
        <x:v>0</x:v>
      </x:c>
      <x:c r="T586" s="31" t="n">
        <x:v>50.65699146140527</x:v>
      </x:c>
      <x:c r="U586" s="31" t="n">
        <x:v>99</x:v>
      </x:c>
      <x:c r="V586" s="31" t="n">
        <x:v>22</x:v>
      </x:c>
      <x:c r="W586" s="31" t="n">
        <x:v>6.255331248222918</x:v>
      </x:c>
      <x:c r="X586" s="31" t="n">
        <x:v>4</x:v>
      </x:c>
      <x:c r="Y586" s="40" t="n">
        <x:v>1</x:v>
      </x:c>
      <x:c r="Z586" s="40" t="n">
        <x:v>1</x:v>
      </x:c>
      <x:c r="AA586" s="40" t="n">
        <x:v>0.9912935323383084</x:v>
      </x:c>
      <x:c r="AB586" s="31" t="n">
        <x:v>0.08397297262997191</x:v>
      </x:c>
      <x:c r="AC586" s="31" t="n">
        <x:v>9</x:v>
      </x:c>
      <x:c r="AD586" s="44" t="b">
        <x:v>1</x:v>
      </x:c>
    </x:row>
    <x:row r="587">
      <x:c r="A587" s="31" t="str">
        <x:v>36047025400</x:v>
      </x:c>
      <x:c r="B587" s="31" t="str">
        <x:v>Brooklyn</x:v>
      </x:c>
      <x:c r="C587" s="31" t="str">
        <x:v>025400</x:v>
      </x:c>
      <x:c r="D587" s="31" t="str">
        <x:v>BK1101</x:v>
      </x:c>
      <x:c r="E587" s="31" t="str">
        <x:v>Bensonhurst</x:v>
      </x:c>
      <x:c r="F587" s="31" t="n">
        <x:v>0.06774462288761192</x:v>
      </x:c>
      <x:c r="G587" s="31" t="n">
        <x:v>40.61669711992489</x:v>
      </x:c>
      <x:c r="H587" s="31" t="n">
        <x:v>-73.9838446711993</x:v>
      </x:c>
      <x:c r="I587" s="31" t="n">
        <x:v>3650</x:v>
      </x:c>
      <x:c r="J587" s="31" t="n">
        <x:v>53878.814943812395</x:v>
      </x:c>
      <x:c r="K587" s="31"/>
      <x:c r="L587" s="40"/>
      <x:c r="M587" s="40"/>
      <x:c r="N587" s="31" t="n">
        <x:v>463</x:v>
      </x:c>
      <x:c r="O587" s="31" t="n">
        <x:v>1164</x:v>
      </x:c>
      <x:c r="P587" s="31" t="n">
        <x:v>2.6176975945017182</x:v>
      </x:c>
      <x:c r="Q587" s="40" t="n">
        <x:v>0</x:v>
      </x:c>
      <x:c r="R587" s="40" t="n">
        <x:v>0.27233676975945015</x:v>
      </x:c>
      <x:c r="S587" s="40" t="n">
        <x:v>0.002577319587628866</x:v>
      </x:c>
      <x:c r="T587" s="31" t="n">
        <x:v>31.643210212560554</x:v>
      </x:c>
      <x:c r="U587" s="31" t="n">
        <x:v>63.58</x:v>
      </x:c>
      <x:c r="V587" s="31" t="n">
        <x:v>5</x:v>
      </x:c>
      <x:c r="W587" s="31" t="n">
        <x:v>1.36986301369863</x:v>
      </x:c>
      <x:c r="X587" s="31" t="n">
        <x:v>4</x:v>
      </x:c>
      <x:c r="Y587" s="40" t="n">
        <x:v>1</x:v>
      </x:c>
      <x:c r="Z587" s="40" t="n">
        <x:v>1</x:v>
      </x:c>
      <x:c r="AA587" s="40" t="n">
        <x:v>0.993127147766323</x:v>
      </x:c>
      <x:c r="AB587" s="31" t="n">
        <x:v>0.208452139397287</x:v>
      </x:c>
      <x:c r="AC587" s="31" t="n">
        <x:v>7</x:v>
      </x:c>
      <x:c r="AD587" s="44" t="b">
        <x:v>1</x:v>
      </x:c>
    </x:row>
    <x:row r="588">
      <x:c r="A588" s="31" t="str">
        <x:v>36047025500</x:v>
      </x:c>
      <x:c r="B588" s="31" t="str">
        <x:v>Brooklyn</x:v>
      </x:c>
      <x:c r="C588" s="31" t="str">
        <x:v>025500</x:v>
      </x:c>
      <x:c r="D588" s="31" t="str">
        <x:v>BK0301</x:v>
      </x:c>
      <x:c r="E588" s="31" t="str">
        <x:v>Bedford-Stuyvesant (West)</x:v>
      </x:c>
      <x:c r="F588" s="31" t="n">
        <x:v>0.05352604312514348</x:v>
      </x:c>
      <x:c r="G588" s="31" t="n">
        <x:v>40.69739219087693</x:v>
      </x:c>
      <x:c r="H588" s="31" t="n">
        <x:v>-73.9512860328881</x:v>
      </x:c>
      <x:c r="I588" s="31" t="n">
        <x:v>4799</x:v>
      </x:c>
      <x:c r="J588" s="31" t="n">
        <x:v>89657.29054135339</x:v>
      </x:c>
      <x:c r="K588" s="31"/>
      <x:c r="L588" s="40"/>
      <x:c r="M588" s="40"/>
      <x:c r="N588" s="31" t="n">
        <x:v>2</x:v>
      </x:c>
      <x:c r="O588" s="31" t="n">
        <x:v>1372</x:v>
      </x:c>
      <x:c r="P588" s="31" t="n">
        <x:v>6</x:v>
      </x:c>
      <x:c r="Q588" s="40" t="n">
        <x:v>0</x:v>
      </x:c>
      <x:c r="R588" s="40" t="n">
        <x:v>1</x:v>
      </x:c>
      <x:c r="S588" s="40" t="n">
        <x:v>1</x:v>
      </x:c>
      <x:c r="T588" s="31" t="n">
        <x:v>69.93793002915451</x:v>
      </x:c>
      <x:c r="U588" s="31" t="n">
        <x:v>69.95</x:v>
      </x:c>
      <x:c r="V588" s="31" t="n">
        <x:v>70</x:v>
      </x:c>
      <x:c r="W588" s="31" t="n">
        <x:v>14.586372160866848</x:v>
      </x:c>
      <x:c r="X588" s="31" t="n">
        <x:v>4</x:v>
      </x:c>
      <x:c r="Y588" s="40" t="n">
        <x:v>1</x:v>
      </x:c>
      <x:c r="Z588" s="40" t="n">
        <x:v>1</x:v>
      </x:c>
      <x:c r="AA588" s="40" t="n">
        <x:v>1</x:v>
      </x:c>
      <x:c r="AB588" s="31" t="n">
        <x:v>0.035551619294702026</x:v>
      </x:c>
      <x:c r="AC588" s="31" t="n">
        <x:v>7</x:v>
      </x:c>
      <x:c r="AD588" s="44" t="b">
        <x:v>1</x:v>
      </x:c>
    </x:row>
    <x:row r="589">
      <x:c r="A589" s="31" t="str">
        <x:v>36047025600</x:v>
      </x:c>
      <x:c r="B589" s="31" t="str">
        <x:v>Brooklyn</x:v>
      </x:c>
      <x:c r="C589" s="31" t="str">
        <x:v>025600</x:v>
      </x:c>
      <x:c r="D589" s="31" t="str">
        <x:v>BK1101</x:v>
      </x:c>
      <x:c r="E589" s="31" t="str">
        <x:v>Bensonhurst</x:v>
      </x:c>
      <x:c r="F589" s="31" t="n">
        <x:v>0.0670155765090536</x:v>
      </x:c>
      <x:c r="G589" s="31" t="n">
        <x:v>40.61499214886981</x:v>
      </x:c>
      <x:c r="H589" s="31" t="n">
        <x:v>-73.98566088188929</x:v>
      </x:c>
      <x:c r="I589" s="31" t="n">
        <x:v>3366</x:v>
      </x:c>
      <x:c r="J589" s="31" t="n">
        <x:v>50227.12890555024</x:v>
      </x:c>
      <x:c r="K589" s="31"/>
      <x:c r="L589" s="40"/>
      <x:c r="M589" s="40"/>
      <x:c r="N589" s="31" t="n">
        <x:v>456</x:v>
      </x:c>
      <x:c r="O589" s="31" t="n">
        <x:v>1045</x:v>
      </x:c>
      <x:c r="P589" s="31" t="n">
        <x:v>2.323444976076555</x:v>
      </x:c>
      <x:c r="Q589" s="40" t="n">
        <x:v>0</x:v>
      </x:c>
      <x:c r="R589" s="40" t="n">
        <x:v>0.18851674641148325</x:v>
      </x:c>
      <x:c r="S589" s="40" t="n">
        <x:v>0.013397129186602871</x:v>
      </x:c>
      <x:c r="T589" s="31" t="n">
        <x:v>28.45827787062201</x:v>
      </x:c>
      <x:c r="U589" s="31" t="n">
        <x:v>66.82807496</x:v>
      </x:c>
      <x:c r="V589" s="31" t="n">
        <x:v>2</x:v>
      </x:c>
      <x:c r="W589" s="31" t="n">
        <x:v>0.5941770647653001</x:v>
      </x:c>
      <x:c r="X589" s="31" t="n">
        <x:v>4</x:v>
      </x:c>
      <x:c r="Y589" s="40" t="n">
        <x:v>1</x:v>
      </x:c>
      <x:c r="Z589" s="40" t="n">
        <x:v>1</x:v>
      </x:c>
      <x:c r="AA589" s="40" t="n">
        <x:v>1</x:v>
      </x:c>
      <x:c r="AB589" s="31" t="n">
        <x:v>0.07007994758823323</x:v>
      </x:c>
      <x:c r="AC589" s="31" t="n">
        <x:v>7</x:v>
      </x:c>
      <x:c r="AD589" s="44" t="b">
        <x:v>1</x:v>
      </x:c>
    </x:row>
    <x:row r="590">
      <x:c r="A590" s="31" t="str">
        <x:v>36047025700</x:v>
      </x:c>
      <x:c r="B590" s="31" t="str">
        <x:v>Brooklyn</x:v>
      </x:c>
      <x:c r="C590" s="31" t="str">
        <x:v>025700</x:v>
      </x:c>
      <x:c r="D590" s="31" t="str">
        <x:v>BK0301</x:v>
      </x:c>
      <x:c r="E590" s="31" t="str">
        <x:v>Bedford-Stuyvesant (West)</x:v>
      </x:c>
      <x:c r="F590" s="31" t="n">
        <x:v>0.06991388558704947</x:v>
      </x:c>
      <x:c r="G590" s="31" t="n">
        <x:v>40.69821796200292</x:v>
      </x:c>
      <x:c r="H590" s="31" t="n">
        <x:v>-73.94734505090757</x:v>
      </x:c>
      <x:c r="I590" s="31" t="n">
        <x:v>2822</x:v>
      </x:c>
      <x:c r="J590" s="31" t="n">
        <x:v>40363.941673451125</x:v>
      </x:c>
      <x:c r="K590" s="31"/>
      <x:c r="L590" s="40"/>
      <x:c r="M590" s="40"/>
      <x:c r="N590" s="31" t="n">
        <x:v>242</x:v>
      </x:c>
      <x:c r="O590" s="31" t="n">
        <x:v>1215</x:v>
      </x:c>
      <x:c r="P590" s="31" t="n">
        <x:v>4.840699588477366</x:v>
      </x:c>
      <x:c r="Q590" s="40" t="n">
        <x:v>0.16378600823045267</x:v>
      </x:c>
      <x:c r="R590" s="40" t="n">
        <x:v>0.5991769547325103</x:v>
      </x:c>
      <x:c r="S590" s="40" t="n">
        <x:v>0.0032921810699588477</x:v>
      </x:c>
      <x:c r="T590" s="31" t="n">
        <x:v>51.27979112271541</x:v>
      </x:c>
      <x:c r="U590" s="31" t="n">
        <x:v>114.93</x:v>
      </x:c>
      <x:c r="V590" s="31" t="n">
        <x:v>21</x:v>
      </x:c>
      <x:c r="W590" s="31" t="n">
        <x:v>7.4415308291991495</x:v>
      </x:c>
      <x:c r="X590" s="31" t="n">
        <x:v>4</x:v>
      </x:c>
      <x:c r="Y590" s="40" t="n">
        <x:v>1</x:v>
      </x:c>
      <x:c r="Z590" s="40" t="n">
        <x:v>1</x:v>
      </x:c>
      <x:c r="AA590" s="40" t="n">
        <x:v>0.945679012345679</x:v>
      </x:c>
      <x:c r="AB590" s="31" t="n">
        <x:v>0.05901102438554465</x:v>
      </x:c>
      <x:c r="AC590" s="31" t="n">
        <x:v>8</x:v>
      </x:c>
      <x:c r="AD590" s="44" t="b">
        <x:v>1</x:v>
      </x:c>
    </x:row>
    <x:row r="591">
      <x:c r="A591" s="31" t="str">
        <x:v>36047025800</x:v>
      </x:c>
      <x:c r="B591" s="31" t="str">
        <x:v>Brooklyn</x:v>
      </x:c>
      <x:c r="C591" s="31" t="str">
        <x:v>025800</x:v>
      </x:c>
      <x:c r="D591" s="31" t="str">
        <x:v>BK1101</x:v>
      </x:c>
      <x:c r="E591" s="31" t="str">
        <x:v>Bensonhurst</x:v>
      </x:c>
      <x:c r="F591" s="31" t="n">
        <x:v>0.06571809863657886</x:v>
      </x:c>
      <x:c r="G591" s="31" t="n">
        <x:v>40.61328832233488</x:v>
      </x:c>
      <x:c r="H591" s="31" t="n">
        <x:v>-73.9874098044958</x:v>
      </x:c>
      <x:c r="I591" s="31" t="n">
        <x:v>5073</x:v>
      </x:c>
      <x:c r="J591" s="31" t="n">
        <x:v>77193.34711817659</x:v>
      </x:c>
      <x:c r="K591" s="31"/>
      <x:c r="L591" s="40"/>
      <x:c r="M591" s="40"/>
      <x:c r="N591" s="31" t="n">
        <x:v>445</x:v>
      </x:c>
      <x:c r="O591" s="31" t="n">
        <x:v>1630</x:v>
      </x:c>
      <x:c r="P591" s="31" t="n">
        <x:v>3.088650306748466</x:v>
      </x:c>
      <x:c r="Q591" s="40" t="n">
        <x:v>0</x:v>
      </x:c>
      <x:c r="R591" s="40" t="n">
        <x:v>0.4404907975460123</x:v>
      </x:c>
      <x:c r="S591" s="40" t="n">
        <x:v>0</x:v>
      </x:c>
      <x:c r="T591" s="31" t="n">
        <x:v>36.200108031914105</x:v>
      </x:c>
      <x:c r="U591" s="31" t="n">
        <x:v>67.89</x:v>
      </x:c>
      <x:c r="V591" s="31" t="n">
        <x:v>6</x:v>
      </x:c>
      <x:c r="W591" s="31" t="n">
        <x:v>1.1827321111768185</x:v>
      </x:c>
      <x:c r="X591" s="31" t="n">
        <x:v>4</x:v>
      </x:c>
      <x:c r="Y591" s="40" t="n">
        <x:v>1</x:v>
      </x:c>
      <x:c r="Z591" s="40" t="n">
        <x:v>1</x:v>
      </x:c>
      <x:c r="AA591" s="40" t="n">
        <x:v>1</x:v>
      </x:c>
      <x:c r="AB591" s="31" t="n">
        <x:v>0.07166207640099427</x:v>
      </x:c>
      <x:c r="AC591" s="31" t="n">
        <x:v>4</x:v>
      </x:c>
      <x:c r="AD591" s="44" t="b">
        <x:v>1</x:v>
      </x:c>
    </x:row>
    <x:row r="592">
      <x:c r="A592" s="31" t="str">
        <x:v>36047025901</x:v>
      </x:c>
      <x:c r="B592" s="31" t="str">
        <x:v>Brooklyn</x:v>
      </x:c>
      <x:c r="C592" s="31" t="str">
        <x:v>025901</x:v>
      </x:c>
      <x:c r="D592" s="31" t="str">
        <x:v>BK0301</x:v>
      </x:c>
      <x:c r="E592" s="31" t="str">
        <x:v>Bedford-Stuyvesant (West)</x:v>
      </x:c>
      <x:c r="F592" s="31" t="n">
        <x:v>0.030978661314135677</x:v>
      </x:c>
      <x:c r="G592" s="31" t="n">
        <x:v>40.69496747791066</x:v>
      </x:c>
      <x:c r="H592" s="31" t="n">
        <x:v>-73.94622372243897</x:v>
      </x:c>
      <x:c r="I592" s="31" t="n">
        <x:v>2328</x:v>
      </x:c>
      <x:c r="J592" s="31" t="n">
        <x:v>75148.50226719529</x:v>
      </x:c>
      <x:c r="K592" s="31"/>
      <x:c r="L592" s="40"/>
      <x:c r="M592" s="40"/>
      <x:c r="N592" s="31" t="n">
        <x:v>131</x:v>
      </x:c>
      <x:c r="O592" s="31" t="n">
        <x:v>942</x:v>
      </x:c>
      <x:c r="P592" s="31" t="n">
        <x:v>4.447805139186295</x:v>
      </x:c>
      <x:c r="Q592" s="40" t="n">
        <x:v>0</x:v>
      </x:c>
      <x:c r="R592" s="40" t="n">
        <x:v>0.8789808917197452</x:v>
      </x:c>
      <x:c r="S592" s="40" t="n">
        <x:v>0.15180467091295116</x:v>
      </x:c>
      <x:c r="T592" s="31" t="n">
        <x:v>56.32159599470524</x:v>
      </x:c>
      <x:c r="U592" s="31" t="n">
        <x:v>115</x:v>
      </x:c>
      <x:c r="V592" s="31" t="n">
        <x:v>10</x:v>
      </x:c>
      <x:c r="W592" s="31" t="n">
        <x:v>4.295532646048111</x:v>
      </x:c>
      <x:c r="X592" s="31" t="n">
        <x:v>4</x:v>
      </x:c>
      <x:c r="Y592" s="40" t="n">
        <x:v>1</x:v>
      </x:c>
      <x:c r="Z592" s="40" t="n">
        <x:v>1</x:v>
      </x:c>
      <x:c r="AA592" s="40" t="n">
        <x:v>0.9723991507430998</x:v>
      </x:c>
      <x:c r="AB592" s="31" t="n">
        <x:v>0.08478775085120664</x:v>
      </x:c>
      <x:c r="AC592" s="31" t="n">
        <x:v>7</x:v>
      </x:c>
      <x:c r="AD592" s="44" t="b">
        <x:v>1</x:v>
      </x:c>
    </x:row>
    <x:row r="593">
      <x:c r="A593" s="31" t="str">
        <x:v>36047025902</x:v>
      </x:c>
      <x:c r="B593" s="31" t="str">
        <x:v>Brooklyn</x:v>
      </x:c>
      <x:c r="C593" s="31" t="str">
        <x:v>025902</x:v>
      </x:c>
      <x:c r="D593" s="31" t="str">
        <x:v>BK0301</x:v>
      </x:c>
      <x:c r="E593" s="31" t="str">
        <x:v>Bedford-Stuyvesant (West)</x:v>
      </x:c>
      <x:c r="F593" s="31" t="n">
        <x:v>0.02302908448515697</x:v>
      </x:c>
      <x:c r="G593" s="31" t="n">
        <x:v>40.696966612995254</x:v>
      </x:c>
      <x:c r="H593" s="31" t="n">
        <x:v>-73.94515405659612</x:v>
      </x:c>
      <x:c r="I593" s="31" t="n">
        <x:v>3560</x:v>
      </x:c>
      <x:c r="J593" s="31" t="n">
        <x:v>154587.12665258325</x:v>
      </x:c>
      <x:c r="K593" s="31"/>
      <x:c r="L593" s="40"/>
      <x:c r="M593" s="40"/>
      <x:c r="N593" s="31" t="n">
        <x:v>1</x:v>
      </x:c>
      <x:c r="O593" s="31" t="n">
        <x:v>1046</x:v>
      </x:c>
      <x:c r="P593" s="31" t="n">
        <x:v>16</x:v>
      </x:c>
      <x:c r="Q593" s="40" t="n">
        <x:v>1</x:v>
      </x:c>
      <x:c r="R593" s="40" t="n">
        <x:v>0</x:v>
      </x:c>
      <x:c r="S593" s="40" t="n">
        <x:v>1</x:v>
      </x:c>
      <x:c r="T593" s="31" t="n">
        <x:v>160.72</x:v>
      </x:c>
      <x:c r="U593" s="31" t="n">
        <x:v>160.72</x:v>
      </x:c>
      <x:c r="V593" s="31" t="n">
        <x:v>24</x:v>
      </x:c>
      <x:c r="W593" s="31" t="n">
        <x:v>6.741573033707866</x:v>
      </x:c>
      <x:c r="X593" s="31" t="n">
        <x:v>4</x:v>
      </x:c>
      <x:c r="Y593" s="40" t="n">
        <x:v>1</x:v>
      </x:c>
      <x:c r="Z593" s="40" t="n">
        <x:v>1</x:v>
      </x:c>
      <x:c r="AA593" s="40" t="n">
        <x:v>1</x:v>
      </x:c>
      <x:c r="AB593" s="31" t="n">
        <x:v>0.06777541201896663</x:v>
      </x:c>
      <x:c r="AC593" s="31" t="n">
        <x:v>5</x:v>
      </x:c>
      <x:c r="AD593" s="44" t="b">
        <x:v>1</x:v>
      </x:c>
    </x:row>
    <x:row r="594">
      <x:c r="A594" s="31" t="str">
        <x:v>36047026000</x:v>
      </x:c>
      <x:c r="B594" s="31" t="str">
        <x:v>Brooklyn</x:v>
      </x:c>
      <x:c r="C594" s="31" t="str">
        <x:v>026000</x:v>
      </x:c>
      <x:c r="D594" s="31" t="str">
        <x:v>BK1101</x:v>
      </x:c>
      <x:c r="E594" s="31" t="str">
        <x:v>Bensonhurst</x:v>
      </x:c>
      <x:c r="F594" s="31" t="n">
        <x:v>0.06289048382582932</x:v>
      </x:c>
      <x:c r="G594" s="31" t="n">
        <x:v>40.61691716880822</x:v>
      </x:c>
      <x:c r="H594" s="31" t="n">
        <x:v>-73.99234556502124</x:v>
      </x:c>
      <x:c r="I594" s="31" t="n">
        <x:v>3656</x:v>
      </x:c>
      <x:c r="J594" s="31" t="n">
        <x:v>58132.80130146605</x:v>
      </x:c>
      <x:c r="K594" s="31"/>
      <x:c r="L594" s="40"/>
      <x:c r="M594" s="40"/>
      <x:c r="N594" s="31" t="n">
        <x:v>480</x:v>
      </x:c>
      <x:c r="O594" s="31" t="n">
        <x:v>1201</x:v>
      </x:c>
      <x:c r="P594" s="31" t="n">
        <x:v>2.276436303080766</x:v>
      </x:c>
      <x:c r="Q594" s="40" t="n">
        <x:v>0</x:v>
      </x:c>
      <x:c r="R594" s="40" t="n">
        <x:v>0.18984179850124897</x:v>
      </x:c>
      <x:c r="S594" s="40" t="n">
        <x:v>0.014154870940882597</x:v>
      </x:c>
      <x:c r="T594" s="31" t="n">
        <x:v>28.035878434637798</x:v>
      </x:c>
      <x:c r="U594" s="31" t="n">
        <x:v>45.57</x:v>
      </x:c>
      <x:c r="V594" s="31" t="n">
        <x:v>2</x:v>
      </x:c>
      <x:c r="W594" s="31" t="n">
        <x:v>0.5470459518599562</x:v>
      </x:c>
      <x:c r="X594" s="31" t="n">
        <x:v>4</x:v>
      </x:c>
      <x:c r="Y594" s="40" t="n">
        <x:v>1</x:v>
      </x:c>
      <x:c r="Z594" s="40" t="n">
        <x:v>1</x:v>
      </x:c>
      <x:c r="AA594" s="40" t="n">
        <x:v>1</x:v>
      </x:c>
      <x:c r="AB594" s="31" t="n">
        <x:v>0.31616667396628545</x:v>
      </x:c>
      <x:c r="AC594" s="31" t="n">
        <x:v>6</x:v>
      </x:c>
      <x:c r="AD594" s="44" t="b">
        <x:v>1</x:v>
      </x:c>
    </x:row>
    <x:row r="595">
      <x:c r="A595" s="31" t="str">
        <x:v>36047026100</x:v>
      </x:c>
      <x:c r="B595" s="31" t="str">
        <x:v>Brooklyn</x:v>
      </x:c>
      <x:c r="C595" s="31" t="str">
        <x:v>026100</x:v>
      </x:c>
      <x:c r="D595" s="31" t="str">
        <x:v>BK0301</x:v>
      </x:c>
      <x:c r="E595" s="31" t="str">
        <x:v>Bedford-Stuyvesant (West)</x:v>
      </x:c>
      <x:c r="F595" s="31" t="n">
        <x:v>0.07699480745953856</x:v>
      </x:c>
      <x:c r="G595" s="31" t="n">
        <x:v>40.69239885173798</x:v>
      </x:c>
      <x:c r="H595" s="31" t="n">
        <x:v>-73.94571465702762</x:v>
      </x:c>
      <x:c r="I595" s="31" t="n">
        <x:v>6479</x:v>
      </x:c>
      <x:c r="J595" s="31" t="n">
        <x:v>84148.53174877762</x:v>
      </x:c>
      <x:c r="K595" s="31"/>
      <x:c r="L595" s="40"/>
      <x:c r="M595" s="40"/>
      <x:c r="N595" s="31" t="n">
        <x:v>528</x:v>
      </x:c>
      <x:c r="O595" s="31" t="n">
        <x:v>2756</x:v>
      </x:c>
      <x:c r="P595" s="31" t="n">
        <x:v>4.058154740283327</x:v>
      </x:c>
      <x:c r="Q595" s="40" t="n">
        <x:v>0</x:v>
      </x:c>
      <x:c r="R595" s="40" t="n">
        <x:v>0.839622641509434</x:v>
      </x:c>
      <x:c r="S595" s="40" t="n">
        <x:v>0.0660377358490566</x:v>
      </x:c>
      <x:c r="T595" s="31" t="n">
        <x:v>48.75315176904692</x:v>
      </x:c>
      <x:c r="U595" s="31" t="n">
        <x:v>85</x:v>
      </x:c>
      <x:c r="V595" s="31" t="n">
        <x:v>23</x:v>
      </x:c>
      <x:c r="W595" s="31" t="n">
        <x:v>3.549930544837166</x:v>
      </x:c>
      <x:c r="X595" s="31" t="n">
        <x:v>4</x:v>
      </x:c>
      <x:c r="Y595" s="40" t="n">
        <x:v>1</x:v>
      </x:c>
      <x:c r="Z595" s="40" t="n">
        <x:v>1</x:v>
      </x:c>
      <x:c r="AA595" s="40" t="n">
        <x:v>0.9822206095791002</x:v>
      </x:c>
      <x:c r="AB595" s="31" t="n">
        <x:v>0.17437129563638534</x:v>
      </x:c>
      <x:c r="AC595" s="31" t="n">
        <x:v>7</x:v>
      </x:c>
      <x:c r="AD595" s="44" t="b">
        <x:v>1</x:v>
      </x:c>
    </x:row>
    <x:row r="596">
      <x:c r="A596" s="31" t="str">
        <x:v>36047026200</x:v>
      </x:c>
      <x:c r="B596" s="31" t="str">
        <x:v>Brooklyn</x:v>
      </x:c>
      <x:c r="C596" s="31" t="str">
        <x:v>026200</x:v>
      </x:c>
      <x:c r="D596" s="31" t="str">
        <x:v>BK1101</x:v>
      </x:c>
      <x:c r="E596" s="31" t="str">
        <x:v>Bensonhurst</x:v>
      </x:c>
      <x:c r="F596" s="31" t="n">
        <x:v>0.06096127998701504</x:v>
      </x:c>
      <x:c r="G596" s="31" t="n">
        <x:v>40.61872852462959</x:v>
      </x:c>
      <x:c r="H596" s="31" t="n">
        <x:v>-73.99707867553664</x:v>
      </x:c>
      <x:c r="I596" s="31" t="n">
        <x:v>2726</x:v>
      </x:c>
      <x:c r="J596" s="31" t="n">
        <x:v>44716.90884083548</x:v>
      </x:c>
      <x:c r="K596" s="31"/>
      <x:c r="L596" s="40"/>
      <x:c r="M596" s="40"/>
      <x:c r="N596" s="31" t="n">
        <x:v>437</x:v>
      </x:c>
      <x:c r="O596" s="31" t="n">
        <x:v>853</x:v>
      </x:c>
      <x:c r="P596" s="31" t="n">
        <x:v>2.471100591715976</x:v>
      </x:c>
      <x:c r="Q596" s="40" t="n">
        <x:v>0</x:v>
      </x:c>
      <x:c r="R596" s="40" t="n">
        <x:v>0.28722157092614303</x:v>
      </x:c>
      <x:c r="S596" s="40" t="n">
        <x:v>0.08440797186400938</x:v>
      </x:c>
      <x:c r="T596" s="31" t="n">
        <x:v>30.88511423028136</x:v>
      </x:c>
      <x:c r="U596" s="31" t="n">
        <x:v>46.01</x:v>
      </x:c>
      <x:c r="V596" s="31" t="n">
        <x:v>1</x:v>
      </x:c>
      <x:c r="W596" s="31" t="n">
        <x:v>0.36683785766691124</x:v>
      </x:c>
      <x:c r="X596" s="31" t="n">
        <x:v>3.9566236811254396</x:v>
      </x:c>
      <x:c r="Y596" s="40" t="n">
        <x:v>0.9566236811254396</x:v>
      </x:c>
      <x:c r="Z596" s="40" t="n">
        <x:v>1</x:v>
      </x:c>
      <x:c r="AA596" s="40" t="n">
        <x:v>1</x:v>
      </x:c>
      <x:c r="AB596" s="31" t="n">
        <x:v>0.18922791147339232</x:v>
      </x:c>
      <x:c r="AC596" s="31" t="n">
        <x:v>6</x:v>
      </x:c>
      <x:c r="AD596" s="44" t="b">
        <x:v>1</x:v>
      </x:c>
    </x:row>
    <x:row r="597">
      <x:c r="A597" s="31" t="str">
        <x:v>36047026300</x:v>
      </x:c>
      <x:c r="B597" s="31" t="str">
        <x:v>Brooklyn</x:v>
      </x:c>
      <x:c r="C597" s="31" t="str">
        <x:v>026300</x:v>
      </x:c>
      <x:c r="D597" s="31" t="str">
        <x:v>BK0301</x:v>
      </x:c>
      <x:c r="E597" s="31" t="str">
        <x:v>Bedford-Stuyvesant (West)</x:v>
      </x:c>
      <x:c r="F597" s="31" t="n">
        <x:v>0.04617933360809803</x:v>
      </x:c>
      <x:c r="G597" s="31" t="n">
        <x:v>40.68946844736753</x:v>
      </x:c>
      <x:c r="H597" s="31" t="n">
        <x:v>-73.94513174592252</x:v>
      </x:c>
      <x:c r="I597" s="31" t="n">
        <x:v>2088</x:v>
      </x:c>
      <x:c r="J597" s="31" t="n">
        <x:v>45215.03098593539</x:v>
      </x:c>
      <x:c r="K597" s="31"/>
      <x:c r="L597" s="40"/>
      <x:c r="M597" s="40"/>
      <x:c r="N597" s="31" t="n">
        <x:v>216</x:v>
      </x:c>
      <x:c r="O597" s="31" t="n">
        <x:v>1053</x:v>
      </x:c>
      <x:c r="P597" s="31" t="n">
        <x:v>3.5678534571723426</x:v>
      </x:c>
      <x:c r="Q597" s="40" t="n">
        <x:v>0</x:v>
      </x:c>
      <x:c r="R597" s="40" t="n">
        <x:v>0.7492877492877493</x:v>
      </x:c>
      <x:c r="S597" s="40" t="n">
        <x:v>0.1291547958214625</x:v>
      </x:c>
      <x:c r="T597" s="31" t="n">
        <x:v>41.67640007836046</x:v>
      </x:c>
      <x:c r="U597" s="31" t="n">
        <x:v>70</x:v>
      </x:c>
      <x:c r="V597" s="31" t="n">
        <x:v>4</x:v>
      </x:c>
      <x:c r="W597" s="31" t="n">
        <x:v>1.9157088122605364</x:v>
      </x:c>
      <x:c r="X597" s="31" t="n">
        <x:v>4</x:v>
      </x:c>
      <x:c r="Y597" s="40" t="n">
        <x:v>1</x:v>
      </x:c>
      <x:c r="Z597" s="40" t="n">
        <x:v>1</x:v>
      </x:c>
      <x:c r="AA597" s="40" t="n">
        <x:v>0.8167141500474834</x:v>
      </x:c>
      <x:c r="AB597" s="31" t="n">
        <x:v>0.2569048321122778</x:v>
      </x:c>
      <x:c r="AC597" s="31" t="n">
        <x:v>6</x:v>
      </x:c>
      <x:c r="AD597" s="44" t="b">
        <x:v>1</x:v>
      </x:c>
    </x:row>
    <x:row r="598">
      <x:c r="A598" s="31" t="str">
        <x:v>36047026400</x:v>
      </x:c>
      <x:c r="B598" s="31" t="str">
        <x:v>Brooklyn</x:v>
      </x:c>
      <x:c r="C598" s="31" t="str">
        <x:v>026400</x:v>
      </x:c>
      <x:c r="D598" s="31" t="str">
        <x:v>BK1101</x:v>
      </x:c>
      <x:c r="E598" s="31" t="str">
        <x:v>Bensonhurst</x:v>
      </x:c>
      <x:c r="F598" s="31" t="n">
        <x:v>0.07313821451374541</x:v>
      </x:c>
      <x:c r="G598" s="31" t="n">
        <x:v>40.61486775527896</x:v>
      </x:c>
      <x:c r="H598" s="31" t="n">
        <x:v>-73.99748143123851</x:v>
      </x:c>
      <x:c r="I598" s="31" t="n">
        <x:v>5103</x:v>
      </x:c>
      <x:c r="J598" s="31" t="n">
        <x:v>69772.00679462793</x:v>
      </x:c>
      <x:c r="K598" s="31"/>
      <x:c r="L598" s="40"/>
      <x:c r="M598" s="40"/>
      <x:c r="N598" s="31" t="n">
        <x:v>533</x:v>
      </x:c>
      <x:c r="O598" s="31" t="n">
        <x:v>1640</x:v>
      </x:c>
      <x:c r="P598" s="31" t="n">
        <x:v>2.6190548780487806</x:v>
      </x:c>
      <x:c r="Q598" s="40" t="n">
        <x:v>0</x:v>
      </x:c>
      <x:c r="R598" s="40" t="n">
        <x:v>0.3884146341463415</x:v>
      </x:c>
      <x:c r="S598" s="40" t="n">
        <x:v>0.06707317073170732</x:v>
      </x:c>
      <x:c r="T598" s="31" t="n">
        <x:v>31.99606597434331</x:v>
      </x:c>
      <x:c r="U598" s="31" t="n">
        <x:v>54</x:v>
      </x:c>
      <x:c r="V598" s="31" t="n">
        <x:v>2</x:v>
      </x:c>
      <x:c r="W598" s="31" t="n">
        <x:v>0.3919263178522438</x:v>
      </x:c>
      <x:c r="X598" s="31" t="n">
        <x:v>4</x:v>
      </x:c>
      <x:c r="Y598" s="40" t="n">
        <x:v>1</x:v>
      </x:c>
      <x:c r="Z598" s="40" t="n">
        <x:v>1</x:v>
      </x:c>
      <x:c r="AA598" s="40" t="n">
        <x:v>0.9981707317073171</x:v>
      </x:c>
      <x:c r="AB598" s="31" t="n">
        <x:v>0.29780903838682854</x:v>
      </x:c>
      <x:c r="AC598" s="31" t="n">
        <x:v>8</x:v>
      </x:c>
      <x:c r="AD598" s="44" t="b">
        <x:v>1</x:v>
      </x:c>
    </x:row>
    <x:row r="599">
      <x:c r="A599" s="31" t="str">
        <x:v>36047026500</x:v>
      </x:c>
      <x:c r="B599" s="31" t="str">
        <x:v>Brooklyn</x:v>
      </x:c>
      <x:c r="C599" s="31" t="str">
        <x:v>026500</x:v>
      </x:c>
      <x:c r="D599" s="31" t="str">
        <x:v>BK0301</x:v>
      </x:c>
      <x:c r="E599" s="31" t="str">
        <x:v>Bedford-Stuyvesant (West)</x:v>
      </x:c>
      <x:c r="F599" s="31" t="n">
        <x:v>0.0616349581471677</x:v>
      </x:c>
      <x:c r="G599" s="31" t="n">
        <x:v>40.68690427528099</x:v>
      </x:c>
      <x:c r="H599" s="31" t="n">
        <x:v>-73.94462090553229</x:v>
      </x:c>
      <x:c r="I599" s="31" t="n">
        <x:v>4385</x:v>
      </x:c>
      <x:c r="J599" s="31" t="n">
        <x:v>71144.69015343208</x:v>
      </x:c>
      <x:c r="K599" s="31"/>
      <x:c r="L599" s="40"/>
      <x:c r="M599" s="40"/>
      <x:c r="N599" s="31" t="n">
        <x:v>415</x:v>
      </x:c>
      <x:c r="O599" s="31" t="n">
        <x:v>1692</x:v>
      </x:c>
      <x:c r="P599" s="31" t="n">
        <x:v>3.5773630343166767</x:v>
      </x:c>
      <x:c r="Q599" s="40" t="n">
        <x:v>0</x:v>
      </x:c>
      <x:c r="R599" s="40" t="n">
        <x:v>0.8114657210401891</x:v>
      </x:c>
      <x:c r="S599" s="40" t="n">
        <x:v>0.10047281323877069</x:v>
      </x:c>
      <x:c r="T599" s="31" t="n">
        <x:v>43.03881294196942</x:v>
      </x:c>
      <x:c r="U599" s="31" t="n">
        <x:v>90</x:v>
      </x:c>
      <x:c r="V599" s="31" t="n">
        <x:v>12</x:v>
      </x:c>
      <x:c r="W599" s="31" t="n">
        <x:v>2.7366020524515395</x:v>
      </x:c>
      <x:c r="X599" s="31" t="n">
        <x:v>4</x:v>
      </x:c>
      <x:c r="Y599" s="40" t="n">
        <x:v>1</x:v>
      </x:c>
      <x:c r="Z599" s="40" t="n">
        <x:v>1</x:v>
      </x:c>
      <x:c r="AA599" s="40" t="n">
        <x:v>0.9663120567375887</x:v>
      </x:c>
      <x:c r="AB599" s="31" t="n">
        <x:v>0.08670985538486917</x:v>
      </x:c>
      <x:c r="AC599" s="31" t="n">
        <x:v>6</x:v>
      </x:c>
      <x:c r="AD599" s="44" t="b">
        <x:v>1</x:v>
      </x:c>
    </x:row>
    <x:row r="600">
      <x:c r="A600" s="31" t="str">
        <x:v>36047026600</x:v>
      </x:c>
      <x:c r="B600" s="31" t="str">
        <x:v>Brooklyn</x:v>
      </x:c>
      <x:c r="C600" s="31" t="str">
        <x:v>026600</x:v>
      </x:c>
      <x:c r="D600" s="31" t="str">
        <x:v>BK1101</x:v>
      </x:c>
      <x:c r="E600" s="31" t="str">
        <x:v>Bensonhurst</x:v>
      </x:c>
      <x:c r="F600" s="31" t="n">
        <x:v>0.06404611042993859</x:v>
      </x:c>
      <x:c r="G600" s="31" t="n">
        <x:v>40.61263017531927</x:v>
      </x:c>
      <x:c r="H600" s="31" t="n">
        <x:v>-73.99032521710082</x:v>
      </x:c>
      <x:c r="I600" s="31" t="n">
        <x:v>3961</x:v>
      </x:c>
      <x:c r="J600" s="31" t="n">
        <x:v>61846.06642636047</x:v>
      </x:c>
      <x:c r="K600" s="31"/>
      <x:c r="L600" s="40"/>
      <x:c r="M600" s="40"/>
      <x:c r="N600" s="31" t="n">
        <x:v>480</x:v>
      </x:c>
      <x:c r="O600" s="31" t="n">
        <x:v>1182</x:v>
      </x:c>
      <x:c r="P600" s="31" t="n">
        <x:v>2.297377326565144</x:v>
      </x:c>
      <x:c r="Q600" s="40" t="n">
        <x:v>0</x:v>
      </x:c>
      <x:c r="R600" s="40" t="n">
        <x:v>0.17766497461928935</x:v>
      </x:c>
      <x:c r="S600" s="40" t="n">
        <x:v>0.011844331641285956</x:v>
      </x:c>
      <x:c r="T600" s="31" t="n">
        <x:v>29.184782386624367</x:v>
      </x:c>
      <x:c r="U600" s="31" t="n">
        <x:v>71.84</x:v>
      </x:c>
      <x:c r="V600" s="31" t="n">
        <x:v>3</x:v>
      </x:c>
      <x:c r="W600" s="31" t="n">
        <x:v>0.7573844988639232</x:v>
      </x:c>
      <x:c r="X600" s="31" t="n">
        <x:v>4</x:v>
      </x:c>
      <x:c r="Y600" s="40" t="n">
        <x:v>1</x:v>
      </x:c>
      <x:c r="Z600" s="40" t="n">
        <x:v>1</x:v>
      </x:c>
      <x:c r="AA600" s="40" t="n">
        <x:v>1</x:v>
      </x:c>
      <x:c r="AB600" s="31" t="n">
        <x:v>0.16626866173836596</x:v>
      </x:c>
      <x:c r="AC600" s="31" t="n">
        <x:v>6</x:v>
      </x:c>
      <x:c r="AD600" s="44" t="b">
        <x:v>1</x:v>
      </x:c>
    </x:row>
    <x:row r="601">
      <x:c r="A601" s="31" t="str">
        <x:v>36047026700</x:v>
      </x:c>
      <x:c r="B601" s="31" t="str">
        <x:v>Brooklyn</x:v>
      </x:c>
      <x:c r="C601" s="31" t="str">
        <x:v>026700</x:v>
      </x:c>
      <x:c r="D601" s="31" t="str">
        <x:v>BK0301</x:v>
      </x:c>
      <x:c r="E601" s="31" t="str">
        <x:v>Bedford-Stuyvesant (West)</x:v>
      </x:c>
      <x:c r="F601" s="31" t="n">
        <x:v>0.0616021090385388</x:v>
      </x:c>
      <x:c r="G601" s="31" t="n">
        <x:v>40.68397284512991</x:v>
      </x:c>
      <x:c r="H601" s="31" t="n">
        <x:v>-73.94403811537418</x:v>
      </x:c>
      <x:c r="I601" s="31" t="n">
        <x:v>4228</x:v>
      </x:c>
      <x:c r="J601" s="31" t="n">
        <x:v>68634.01376980336</x:v>
      </x:c>
      <x:c r="K601" s="31"/>
      <x:c r="L601" s="40"/>
      <x:c r="M601" s="40"/>
      <x:c r="N601" s="31" t="n">
        <x:v>552</x:v>
      </x:c>
      <x:c r="O601" s="31" t="n">
        <x:v>1851</x:v>
      </x:c>
      <x:c r="P601" s="31" t="n">
        <x:v>3.3126706717640633</x:v>
      </x:c>
      <x:c r="Q601" s="40" t="n">
        <x:v>0</x:v>
      </x:c>
      <x:c r="R601" s="40" t="n">
        <x:v>0.8211777417612102</x:v>
      </x:c>
      <x:c r="S601" s="40" t="n">
        <x:v>0.004321988114532685</x:v>
      </x:c>
      <x:c r="T601" s="31" t="n">
        <x:v>42.46119178266853</x:v>
      </x:c>
      <x:c r="U601" s="31" t="n">
        <x:v>98</x:v>
      </x:c>
      <x:c r="V601" s="31" t="n">
        <x:v>6</x:v>
      </x:c>
      <x:c r="W601" s="31" t="n">
        <x:v>1.4191106906338695</x:v>
      </x:c>
      <x:c r="X601" s="31" t="n">
        <x:v>4</x:v>
      </x:c>
      <x:c r="Y601" s="40" t="n">
        <x:v>1</x:v>
      </x:c>
      <x:c r="Z601" s="40" t="n">
        <x:v>1</x:v>
      </x:c>
      <x:c r="AA601" s="40" t="n">
        <x:v>0.9697460831982712</x:v>
      </x:c>
      <x:c r="AB601" s="31" t="n">
        <x:v>0.13827681379135326</x:v>
      </x:c>
      <x:c r="AC601" s="31" t="n">
        <x:v>5</x:v>
      </x:c>
      <x:c r="AD601" s="44" t="b">
        <x:v>1</x:v>
      </x:c>
    </x:row>
    <x:row r="602">
      <x:c r="A602" s="31" t="str">
        <x:v>36047026800</x:v>
      </x:c>
      <x:c r="B602" s="31" t="str">
        <x:v>Brooklyn</x:v>
      </x:c>
      <x:c r="C602" s="31" t="str">
        <x:v>026800</x:v>
      </x:c>
      <x:c r="D602" s="31" t="str">
        <x:v>BK1101</x:v>
      </x:c>
      <x:c r="E602" s="31" t="str">
        <x:v>Bensonhurst</x:v>
      </x:c>
      <x:c r="F602" s="31" t="n">
        <x:v>0.06910329964775597</x:v>
      </x:c>
      <x:c r="G602" s="31" t="n">
        <x:v>40.61044970365111</x:v>
      </x:c>
      <x:c r="H602" s="31" t="n">
        <x:v>-73.99036207178449</x:v>
      </x:c>
      <x:c r="I602" s="31" t="n">
        <x:v>4686</x:v>
      </x:c>
      <x:c r="J602" s="31" t="n">
        <x:v>67811.52309493475</x:v>
      </x:c>
      <x:c r="K602" s="31"/>
      <x:c r="L602" s="40"/>
      <x:c r="M602" s="40"/>
      <x:c r="N602" s="31" t="n">
        <x:v>457</x:v>
      </x:c>
      <x:c r="O602" s="31" t="n">
        <x:v>1509</x:v>
      </x:c>
      <x:c r="P602" s="31" t="n">
        <x:v>2.9476474486414843</x:v>
      </x:c>
      <x:c r="Q602" s="40" t="n">
        <x:v>0</x:v>
      </x:c>
      <x:c r="R602" s="40" t="n">
        <x:v>0.415506958250497</x:v>
      </x:c>
      <x:c r="S602" s="40" t="n">
        <x:v>0.0013253810470510272</x:v>
      </x:c>
      <x:c r="T602" s="31" t="n">
        <x:v>35.17743152750165</x:v>
      </x:c>
      <x:c r="U602" s="31" t="n">
        <x:v>70</x:v>
      </x:c>
      <x:c r="V602" s="31" t="n">
        <x:v>7</x:v>
      </x:c>
      <x:c r="W602" s="31" t="n">
        <x:v>1.4938113529662826</x:v>
      </x:c>
      <x:c r="X602" s="31" t="n">
        <x:v>4</x:v>
      </x:c>
      <x:c r="Y602" s="40" t="n">
        <x:v>1</x:v>
      </x:c>
      <x:c r="Z602" s="40" t="n">
        <x:v>1</x:v>
      </x:c>
      <x:c r="AA602" s="40" t="n">
        <x:v>1</x:v>
      </x:c>
      <x:c r="AB602" s="31" t="n">
        <x:v>0.20804093375026733</x:v>
      </x:c>
      <x:c r="AC602" s="31" t="n">
        <x:v>4</x:v>
      </x:c>
      <x:c r="AD602" s="44" t="b">
        <x:v>1</x:v>
      </x:c>
    </x:row>
    <x:row r="603">
      <x:c r="A603" s="31" t="str">
        <x:v>36047026900</x:v>
      </x:c>
      <x:c r="B603" s="31" t="str">
        <x:v>Brooklyn</x:v>
      </x:c>
      <x:c r="C603" s="31" t="str">
        <x:v>026900</x:v>
      </x:c>
      <x:c r="D603" s="31" t="str">
        <x:v>BK0301</x:v>
      </x:c>
      <x:c r="E603" s="31" t="str">
        <x:v>Bedford-Stuyvesant (West)</x:v>
      </x:c>
      <x:c r="F603" s="31" t="n">
        <x:v>0.05171920432306015</x:v>
      </x:c>
      <x:c r="G603" s="31" t="n">
        <x:v>40.68128263546217</x:v>
      </x:c>
      <x:c r="H603" s="31" t="n">
        <x:v>-73.94331715761606</x:v>
      </x:c>
      <x:c r="I603" s="31" t="n">
        <x:v>3005</x:v>
      </x:c>
      <x:c r="J603" s="31" t="n">
        <x:v>58102.20863471703</x:v>
      </x:c>
      <x:c r="K603" s="31"/>
      <x:c r="L603" s="40"/>
      <x:c r="M603" s="40"/>
      <x:c r="N603" s="31" t="n">
        <x:v>329</x:v>
      </x:c>
      <x:c r="O603" s="31" t="n">
        <x:v>1331</x:v>
      </x:c>
      <x:c r="P603" s="31" t="n">
        <x:v>3.74305033809166</x:v>
      </x:c>
      <x:c r="Q603" s="40" t="n">
        <x:v>0.019534184823441023</x:v>
      </x:c>
      <x:c r="R603" s="40" t="n">
        <x:v>0.927122464312547</x:v>
      </x:c>
      <x:c r="S603" s="40" t="n">
        <x:v>0.007513148009015778</x:v>
      </x:c>
      <x:c r="T603" s="31" t="n">
        <x:v>44.93546653638491</x:v>
      </x:c>
      <x:c r="U603" s="31" t="n">
        <x:v>97</x:v>
      </x:c>
      <x:c r="V603" s="31" t="n">
        <x:v>6</x:v>
      </x:c>
      <x:c r="W603" s="31" t="n">
        <x:v>1.9966722129783694</x:v>
      </x:c>
      <x:c r="X603" s="31" t="n">
        <x:v>4</x:v>
      </x:c>
      <x:c r="Y603" s="40" t="n">
        <x:v>1</x:v>
      </x:c>
      <x:c r="Z603" s="40" t="n">
        <x:v>1</x:v>
      </x:c>
      <x:c r="AA603" s="40" t="n">
        <x:v>0.9954921111945906</x:v>
      </x:c>
      <x:c r="AB603" s="31" t="n">
        <x:v>0.12635767690835742</x:v>
      </x:c>
      <x:c r="AC603" s="31" t="n">
        <x:v>6</x:v>
      </x:c>
      <x:c r="AD603" s="44" t="b">
        <x:v>1</x:v>
      </x:c>
    </x:row>
    <x:row r="604">
      <x:c r="A604" s="31" t="str">
        <x:v>36047027000</x:v>
      </x:c>
      <x:c r="B604" s="31" t="str">
        <x:v>Brooklyn</x:v>
      </x:c>
      <x:c r="C604" s="31" t="str">
        <x:v>027000</x:v>
      </x:c>
      <x:c r="D604" s="31" t="str">
        <x:v>BK1101</x:v>
      </x:c>
      <x:c r="E604" s="31" t="str">
        <x:v>Bensonhurst</x:v>
      </x:c>
      <x:c r="F604" s="31" t="n">
        <x:v>0.05179657460184229</x:v>
      </x:c>
      <x:c r="G604" s="31" t="n">
        <x:v>40.60585961492418</x:v>
      </x:c>
      <x:c r="H604" s="31" t="n">
        <x:v>-73.98998578775033</x:v>
      </x:c>
      <x:c r="I604" s="31" t="n">
        <x:v>2719</x:v>
      </x:c>
      <x:c r="J604" s="31" t="n">
        <x:v>52493.81876892089</x:v>
      </x:c>
      <x:c r="K604" s="31"/>
      <x:c r="L604" s="40"/>
      <x:c r="M604" s="40"/>
      <x:c r="N604" s="31" t="n">
        <x:v>250</x:v>
      </x:c>
      <x:c r="O604" s="31" t="n">
        <x:v>929</x:v>
      </x:c>
      <x:c r="P604" s="31" t="n">
        <x:v>3.632131324004306</x:v>
      </x:c>
      <x:c r="Q604" s="40" t="n">
        <x:v>0.05597416576964478</x:v>
      </x:c>
      <x:c r="R604" s="40" t="n">
        <x:v>0.5005382131324004</x:v>
      </x:c>
      <x:c r="S604" s="40" t="n">
        <x:v>0.016146393972012917</x:v>
      </x:c>
      <x:c r="T604" s="31" t="n">
        <x:v>42.642276207104416</x:v>
      </x:c>
      <x:c r="U604" s="31" t="n">
        <x:v>80.17</x:v>
      </x:c>
      <x:c r="V604" s="31" t="n">
        <x:v>7</x:v>
      </x:c>
      <x:c r="W604" s="31" t="n">
        <x:v>2.574475910261125</x:v>
      </x:c>
      <x:c r="X604" s="31" t="n">
        <x:v>4</x:v>
      </x:c>
      <x:c r="Y604" s="40" t="n">
        <x:v>1</x:v>
      </x:c>
      <x:c r="Z604" s="40" t="n">
        <x:v>1</x:v>
      </x:c>
      <x:c r="AA604" s="40" t="n">
        <x:v>1</x:v>
      </x:c>
      <x:c r="AB604" s="31" t="n">
        <x:v>0.1881903847818885</x:v>
      </x:c>
      <x:c r="AC604" s="31" t="n">
        <x:v>7</x:v>
      </x:c>
      <x:c r="AD604" s="44" t="b">
        <x:v>1</x:v>
      </x:c>
    </x:row>
    <x:row r="605">
      <x:c r="A605" s="31" t="str">
        <x:v>36047027100</x:v>
      </x:c>
      <x:c r="B605" s="31" t="str">
        <x:v>Brooklyn</x:v>
      </x:c>
      <x:c r="C605" s="31" t="str">
        <x:v>027100</x:v>
      </x:c>
      <x:c r="D605" s="31" t="str">
        <x:v>BK0302</x:v>
      </x:c>
      <x:c r="E605" s="31" t="str">
        <x:v>Bedford-Stuyvesant (East)</x:v>
      </x:c>
      <x:c r="F605" s="31" t="n">
        <x:v>0.09569803172958276</x:v>
      </x:c>
      <x:c r="G605" s="31" t="n">
        <x:v>40.6787903070739</x:v>
      </x:c>
      <x:c r="H605" s="31" t="n">
        <x:v>-73.93694761212845</x:v>
      </x:c>
      <x:c r="I605" s="31" t="n">
        <x:v>3493</x:v>
      </x:c>
      <x:c r="J605" s="31" t="n">
        <x:v>36500.22823740295</x:v>
      </x:c>
      <x:c r="K605" s="31"/>
      <x:c r="L605" s="40"/>
      <x:c r="M605" s="40"/>
      <x:c r="N605" s="31" t="n">
        <x:v>310</x:v>
      </x:c>
      <x:c r="O605" s="31" t="n">
        <x:v>1825</x:v>
      </x:c>
      <x:c r="P605" s="31" t="n">
        <x:v>5.6476712328767125</x:v>
      </x:c>
      <x:c r="Q605" s="40" t="n">
        <x:v>0.2191780821917808</x:v>
      </x:c>
      <x:c r="R605" s="40" t="n">
        <x:v>0.6482191780821918</x:v>
      </x:c>
      <x:c r="S605" s="40" t="n">
        <x:v>0.056438356164383564</x:v>
      </x:c>
      <x:c r="T605" s="31" t="n">
        <x:v>57.5400556079502</x:v>
      </x:c>
      <x:c r="U605" s="31" t="n">
        <x:v>115</x:v>
      </x:c>
      <x:c r="V605" s="31" t="n">
        <x:v>33</x:v>
      </x:c>
      <x:c r="W605" s="31" t="n">
        <x:v>9.447466361294017</x:v>
      </x:c>
      <x:c r="X605" s="31" t="n">
        <x:v>4.707945205479452</x:v>
      </x:c>
      <x:c r="Y605" s="40" t="n">
        <x:v>1</x:v>
      </x:c>
      <x:c r="Z605" s="40" t="n">
        <x:v>1</x:v>
      </x:c>
      <x:c r="AA605" s="40" t="n">
        <x:v>0.9463013698630137</x:v>
      </x:c>
      <x:c r="AB605" s="31" t="n">
        <x:v>0.2076498162707923</x:v>
      </x:c>
      <x:c r="AC605" s="31" t="n">
        <x:v>10</x:v>
      </x:c>
      <x:c r="AD605" s="44" t="b">
        <x:v>1</x:v>
      </x:c>
    </x:row>
    <x:row r="606">
      <x:c r="A606" s="31" t="str">
        <x:v>36047027200</x:v>
      </x:c>
      <x:c r="B606" s="31" t="str">
        <x:v>Brooklyn</x:v>
      </x:c>
      <x:c r="C606" s="31" t="str">
        <x:v>027200</x:v>
      </x:c>
      <x:c r="D606" s="31" t="str">
        <x:v>BK1101</x:v>
      </x:c>
      <x:c r="E606" s="31" t="str">
        <x:v>Bensonhurst</x:v>
      </x:c>
      <x:c r="F606" s="31" t="n">
        <x:v>0.05102026480070592</x:v>
      </x:c>
      <x:c r="G606" s="31" t="n">
        <x:v>40.60817650621055</x:v>
      </x:c>
      <x:c r="H606" s="31" t="n">
        <x:v>-73.99273820293696</x:v>
      </x:c>
      <x:c r="I606" s="31" t="n">
        <x:v>3633</x:v>
      </x:c>
      <x:c r="J606" s="31" t="n">
        <x:v>71207.00008498845</x:v>
      </x:c>
      <x:c r="K606" s="31"/>
      <x:c r="L606" s="40"/>
      <x:c r="M606" s="40"/>
      <x:c r="N606" s="31" t="n">
        <x:v>318</x:v>
      </x:c>
      <x:c r="O606" s="31" t="n">
        <x:v>1225</x:v>
      </x:c>
      <x:c r="P606" s="31" t="n">
        <x:v>3.47</x:v>
      </x:c>
      <x:c r="Q606" s="40" t="n">
        <x:v>0</x:v>
      </x:c>
      <x:c r="R606" s="40" t="n">
        <x:v>0.5444897959183673</x:v>
      </x:c>
      <x:c r="S606" s="40" t="n">
        <x:v>0.0024489795918367346</x:v>
      </x:c>
      <x:c r="T606" s="31" t="n">
        <x:v>40.367151020408166</x:v>
      </x:c>
      <x:c r="U606" s="31" t="n">
        <x:v>70</x:v>
      </x:c>
      <x:c r="V606" s="31" t="n">
        <x:v>8</x:v>
      </x:c>
      <x:c r="W606" s="31" t="n">
        <x:v>2.202036884117809</x:v>
      </x:c>
      <x:c r="X606" s="31" t="n">
        <x:v>4</x:v>
      </x:c>
      <x:c r="Y606" s="40" t="n">
        <x:v>1</x:v>
      </x:c>
      <x:c r="Z606" s="40" t="n">
        <x:v>1</x:v>
      </x:c>
      <x:c r="AA606" s="40" t="n">
        <x:v>1</x:v>
      </x:c>
      <x:c r="AB606" s="31" t="n">
        <x:v>0.22360676593257137</x:v>
      </x:c>
      <x:c r="AC606" s="31" t="n">
        <x:v>10</x:v>
      </x:c>
      <x:c r="AD606" s="44" t="b">
        <x:v>1</x:v>
      </x:c>
    </x:row>
    <x:row r="607">
      <x:c r="A607" s="31" t="str">
        <x:v>36047027300</x:v>
      </x:c>
      <x:c r="B607" s="31" t="str">
        <x:v>Brooklyn</x:v>
      </x:c>
      <x:c r="C607" s="31" t="str">
        <x:v>027300</x:v>
      </x:c>
      <x:c r="D607" s="31" t="str">
        <x:v>BK0302</x:v>
      </x:c>
      <x:c r="E607" s="31" t="str">
        <x:v>Bedford-Stuyvesant (East)</x:v>
      </x:c>
      <x:c r="F607" s="31" t="n">
        <x:v>0.05780285184766701</x:v>
      </x:c>
      <x:c r="G607" s="31" t="n">
        <x:v>40.681084165839806</x:v>
      </x:c>
      <x:c r="H607" s="31" t="n">
        <x:v>-73.93743841534231</x:v>
      </x:c>
      <x:c r="I607" s="31" t="n">
        <x:v>3131</x:v>
      </x:c>
      <x:c r="J607" s="31" t="n">
        <x:v>54166.87758333105</x:v>
      </x:c>
      <x:c r="K607" s="31"/>
      <x:c r="L607" s="40"/>
      <x:c r="M607" s="40"/>
      <x:c r="N607" s="31" t="n">
        <x:v>303</x:v>
      </x:c>
      <x:c r="O607" s="31" t="n">
        <x:v>1406</x:v>
      </x:c>
      <x:c r="P607" s="31" t="n">
        <x:v>4.246088193456615</x:v>
      </x:c>
      <x:c r="Q607" s="40" t="n">
        <x:v>0.03556187766714083</x:v>
      </x:c>
      <x:c r="R607" s="40" t="n">
        <x:v>0.8968705547652916</x:v>
      </x:c>
      <x:c r="S607" s="40" t="n">
        <x:v>0.020625889046941678</x:v>
      </x:c>
      <x:c r="T607" s="31" t="n">
        <x:v>50.15227949644381</x:v>
      </x:c>
      <x:c r="U607" s="31" t="n">
        <x:v>100</x:v>
      </x:c>
      <x:c r="V607" s="31" t="n">
        <x:v>17</x:v>
      </x:c>
      <x:c r="W607" s="31" t="n">
        <x:v>5.429575215586075</x:v>
      </x:c>
      <x:c r="X607" s="31" t="n">
        <x:v>4.517069701280228</x:v>
      </x:c>
      <x:c r="Y607" s="40" t="n">
        <x:v>1</x:v>
      </x:c>
      <x:c r="Z607" s="40" t="n">
        <x:v>1</x:v>
      </x:c>
      <x:c r="AA607" s="40" t="n">
        <x:v>1</x:v>
      </x:c>
      <x:c r="AB607" s="31" t="n">
        <x:v>0.09717998229202017</x:v>
      </x:c>
      <x:c r="AC607" s="31" t="n">
        <x:v>5</x:v>
      </x:c>
      <x:c r="AD607" s="44" t="b">
        <x:v>1</x:v>
      </x:c>
    </x:row>
    <x:row r="608">
      <x:c r="A608" s="31" t="str">
        <x:v>36047027400</x:v>
      </x:c>
      <x:c r="B608" s="31" t="str">
        <x:v>Brooklyn</x:v>
      </x:c>
      <x:c r="C608" s="31" t="str">
        <x:v>027400</x:v>
      </x:c>
      <x:c r="D608" s="31" t="str">
        <x:v>BK1101</x:v>
      </x:c>
      <x:c r="E608" s="31" t="str">
        <x:v>Bensonhurst</x:v>
      </x:c>
      <x:c r="F608" s="31" t="n">
        <x:v>0.063082069305986</x:v>
      </x:c>
      <x:c r="G608" s="31" t="n">
        <x:v>40.61094928210374</x:v>
      </x:c>
      <x:c r="H608" s="31" t="n">
        <x:v>-73.99529224406534</x:v>
      </x:c>
      <x:c r="I608" s="31" t="n">
        <x:v>3272</x:v>
      </x:c>
      <x:c r="J608" s="31" t="n">
        <x:v>51868.93892349711</x:v>
      </x:c>
      <x:c r="K608" s="31"/>
      <x:c r="L608" s="40"/>
      <x:c r="M608" s="40"/>
      <x:c r="N608" s="31" t="n">
        <x:v>401</x:v>
      </x:c>
      <x:c r="O608" s="31" t="n">
        <x:v>1038</x:v>
      </x:c>
      <x:c r="P608" s="31" t="n">
        <x:v>2.3823121387283237</x:v>
      </x:c>
      <x:c r="Q608" s="40" t="n">
        <x:v>0</x:v>
      </x:c>
      <x:c r="R608" s="40" t="n">
        <x:v>0.23603082851637766</x:v>
      </x:c>
      <x:c r="S608" s="40" t="n">
        <x:v>0.007707129094412331</x:v>
      </x:c>
      <x:c r="T608" s="31" t="n">
        <x:v>29.848368725868724</x:v>
      </x:c>
      <x:c r="U608" s="31" t="n">
        <x:v>46.53</x:v>
      </x:c>
      <x:c r="V608" s="31" t="n">
        <x:v>1</x:v>
      </x:c>
      <x:c r="W608" s="31" t="n">
        <x:v>0.3056234718826406</x:v>
      </x:c>
      <x:c r="X608" s="31" t="n">
        <x:v>4</x:v>
      </x:c>
      <x:c r="Y608" s="40" t="n">
        <x:v>1</x:v>
      </x:c>
      <x:c r="Z608" s="40" t="n">
        <x:v>1</x:v>
      </x:c>
      <x:c r="AA608" s="40" t="n">
        <x:v>0.9980732177263969</x:v>
      </x:c>
      <x:c r="AB608" s="31" t="n">
        <x:v>0.04015747171140794</x:v>
      </x:c>
      <x:c r="AC608" s="31" t="n">
        <x:v>5</x:v>
      </x:c>
      <x:c r="AD608" s="44" t="b">
        <x:v>1</x:v>
      </x:c>
    </x:row>
    <x:row r="609">
      <x:c r="A609" s="31" t="str">
        <x:v>36047027500</x:v>
      </x:c>
      <x:c r="B609" s="31" t="str">
        <x:v>Brooklyn</x:v>
      </x:c>
      <x:c r="C609" s="31" t="str">
        <x:v>027500</x:v>
      </x:c>
      <x:c r="D609" s="31" t="str">
        <x:v>BK0302</x:v>
      </x:c>
      <x:c r="E609" s="31" t="str">
        <x:v>Bedford-Stuyvesant (East)</x:v>
      </x:c>
      <x:c r="F609" s="31" t="n">
        <x:v>0.06254212805577078</x:v>
      </x:c>
      <x:c r="G609" s="31" t="n">
        <x:v>40.68389702935734</x:v>
      </x:c>
      <x:c r="H609" s="31" t="n">
        <x:v>-73.93817849253797</x:v>
      </x:c>
      <x:c r="I609" s="31" t="n">
        <x:v>4071</x:v>
      </x:c>
      <x:c r="J609" s="31" t="n">
        <x:v>65092.12472542926</x:v>
      </x:c>
      <x:c r="K609" s="31"/>
      <x:c r="L609" s="40"/>
      <x:c r="M609" s="40"/>
      <x:c r="N609" s="31" t="n">
        <x:v>514</x:v>
      </x:c>
      <x:c r="O609" s="31" t="n">
        <x:v>1640</x:v>
      </x:c>
      <x:c r="P609" s="31" t="n">
        <x:v>3.053702570379437</x:v>
      </x:c>
      <x:c r="Q609" s="40" t="n">
        <x:v>0</x:v>
      </x:c>
      <x:c r="R609" s="40" t="n">
        <x:v>0.7548780487804878</x:v>
      </x:c>
      <x:c r="S609" s="40" t="n">
        <x:v>0.012195121951219513</x:v>
      </x:c>
      <x:c r="T609" s="31" t="n">
        <x:v>39.06082998457772</x:v>
      </x:c>
      <x:c r="U609" s="31" t="n">
        <x:v>51.92</x:v>
      </x:c>
      <x:c r="V609" s="31" t="n">
        <x:v>0</x:v>
      </x:c>
      <x:c r="W609" s="31" t="n">
        <x:v>0</x:v>
      </x:c>
      <x:c r="X609" s="31" t="n">
        <x:v>4.309756097560975</x:v>
      </x:c>
      <x:c r="Y609" s="40" t="n">
        <x:v>1</x:v>
      </x:c>
      <x:c r="Z609" s="40" t="n">
        <x:v>1</x:v>
      </x:c>
      <x:c r="AA609" s="40" t="n">
        <x:v>0.9963414634146341</x:v>
      </x:c>
      <x:c r="AB609" s="31" t="n">
        <x:v>0.16190604388161972</x:v>
      </x:c>
      <x:c r="AC609" s="31" t="n">
        <x:v>7</x:v>
      </x:c>
      <x:c r="AD609" s="44" t="b">
        <x:v>1</x:v>
      </x:c>
    </x:row>
    <x:row r="610">
      <x:c r="A610" s="31" t="str">
        <x:v>36047027600</x:v>
      </x:c>
      <x:c r="B610" s="31" t="str">
        <x:v>Brooklyn</x:v>
      </x:c>
      <x:c r="C610" s="31" t="str">
        <x:v>027600</x:v>
      </x:c>
      <x:c r="D610" s="31" t="str">
        <x:v>BK1101</x:v>
      </x:c>
      <x:c r="E610" s="31" t="str">
        <x:v>Bensonhurst</x:v>
      </x:c>
      <x:c r="F610" s="31" t="n">
        <x:v>0.057674204547248045</x:v>
      </x:c>
      <x:c r="G610" s="31" t="n">
        <x:v>40.61089666145088</x:v>
      </x:c>
      <x:c r="H610" s="31" t="n">
        <x:v>-73.99948905065953</x:v>
      </x:c>
      <x:c r="I610" s="31" t="n">
        <x:v>3886</x:v>
      </x:c>
      <x:c r="J610" s="31" t="n">
        <x:v>67378.47588026115</x:v>
      </x:c>
      <x:c r="K610" s="31"/>
      <x:c r="L610" s="40"/>
      <x:c r="M610" s="40"/>
      <x:c r="N610" s="31" t="n">
        <x:v>310</x:v>
      </x:c>
      <x:c r="O610" s="31" t="n">
        <x:v>1226</x:v>
      </x:c>
      <x:c r="P610" s="31" t="n">
        <x:v>2.9247553017944536</x:v>
      </x:c>
      <x:c r="Q610" s="40" t="n">
        <x:v>0</x:v>
      </x:c>
      <x:c r="R610" s="40" t="n">
        <x:v>0.5734094616639478</x:v>
      </x:c>
      <x:c r="S610" s="40" t="n">
        <x:v>0.008156606851549755</x:v>
      </x:c>
      <x:c r="T610" s="31" t="n">
        <x:v>35.63376739835236</x:v>
      </x:c>
      <x:c r="U610" s="31" t="n">
        <x:v>63.28</x:v>
      </x:c>
      <x:c r="V610" s="31" t="n">
        <x:v>2</x:v>
      </x:c>
      <x:c r="W610" s="31" t="n">
        <x:v>0.514668039114771</x:v>
      </x:c>
      <x:c r="X610" s="31" t="n">
        <x:v>4</x:v>
      </x:c>
      <x:c r="Y610" s="40" t="n">
        <x:v>1</x:v>
      </x:c>
      <x:c r="Z610" s="40" t="n">
        <x:v>1</x:v>
      </x:c>
      <x:c r="AA610" s="40" t="n">
        <x:v>1</x:v>
      </x:c>
      <x:c r="AB610" s="31" t="n">
        <x:v>0.24184212552800888</x:v>
      </x:c>
      <x:c r="AC610" s="31" t="n">
        <x:v>7</x:v>
      </x:c>
      <x:c r="AD610" s="44" t="b">
        <x:v>1</x:v>
      </x:c>
    </x:row>
    <x:row r="611">
      <x:c r="A611" s="31" t="str">
        <x:v>36047027700</x:v>
      </x:c>
      <x:c r="B611" s="31" t="str">
        <x:v>Brooklyn</x:v>
      </x:c>
      <x:c r="C611" s="31" t="str">
        <x:v>027700</x:v>
      </x:c>
      <x:c r="D611" s="31" t="str">
        <x:v>BK0302</x:v>
      </x:c>
      <x:c r="E611" s="31" t="str">
        <x:v>Bedford-Stuyvesant (East)</x:v>
      </x:c>
      <x:c r="F611" s="31" t="n">
        <x:v>0.06261794132912936</x:v>
      </x:c>
      <x:c r="G611" s="31" t="n">
        <x:v>40.686828108558046</x:v>
      </x:c>
      <x:c r="H611" s="31" t="n">
        <x:v>-73.93876035016035</x:v>
      </x:c>
      <x:c r="I611" s="31" t="n">
        <x:v>4351</x:v>
      </x:c>
      <x:c r="J611" s="31" t="n">
        <x:v>69484.87777856647</x:v>
      </x:c>
      <x:c r="K611" s="31"/>
      <x:c r="L611" s="40"/>
      <x:c r="M611" s="40"/>
      <x:c r="N611" s="31" t="n">
        <x:v>330</x:v>
      </x:c>
      <x:c r="O611" s="31" t="n">
        <x:v>1741</x:v>
      </x:c>
      <x:c r="P611" s="31" t="n">
        <x:v>3.9640796306982113</x:v>
      </x:c>
      <x:c r="Q611" s="40" t="n">
        <x:v>0</x:v>
      </x:c>
      <x:c r="R611" s="40" t="n">
        <x:v>0.8213670304422745</x:v>
      </x:c>
      <x:c r="S611" s="40" t="n">
        <x:v>0.27972429638139</x:v>
      </x:c>
      <x:c r="T611" s="31" t="n">
        <x:v>50.07259240883641</x:v>
      </x:c>
      <x:c r="U611" s="31" t="n">
        <x:v>70</x:v>
      </x:c>
      <x:c r="V611" s="31" t="n">
        <x:v>20</x:v>
      </x:c>
      <x:c r="W611" s="31" t="n">
        <x:v>4.596644449551826</x:v>
      </x:c>
      <x:c r="X611" s="31" t="n">
        <x:v>4</x:v>
      </x:c>
      <x:c r="Y611" s="40" t="n">
        <x:v>1</x:v>
      </x:c>
      <x:c r="Z611" s="40" t="n">
        <x:v>1</x:v>
      </x:c>
      <x:c r="AA611" s="40" t="n">
        <x:v>0.9971280873061459</x:v>
      </x:c>
      <x:c r="AB611" s="31" t="n">
        <x:v>0.12145761246518946</x:v>
      </x:c>
      <x:c r="AC611" s="31" t="n">
        <x:v>7</x:v>
      </x:c>
      <x:c r="AD611" s="44" t="b">
        <x:v>1</x:v>
      </x:c>
    </x:row>
    <x:row r="612">
      <x:c r="A612" s="31" t="str">
        <x:v>36047027800</x:v>
      </x:c>
      <x:c r="B612" s="31" t="str">
        <x:v>Brooklyn</x:v>
      </x:c>
      <x:c r="C612" s="31" t="str">
        <x:v>027800</x:v>
      </x:c>
      <x:c r="D612" s="31" t="str">
        <x:v>BK1101</x:v>
      </x:c>
      <x:c r="E612" s="31" t="str">
        <x:v>Bensonhurst</x:v>
      </x:c>
      <x:c r="F612" s="31" t="n">
        <x:v>0.06197422263723887</x:v>
      </x:c>
      <x:c r="G612" s="31" t="n">
        <x:v>40.606859000616026</x:v>
      </x:c>
      <x:c r="H612" s="31" t="n">
        <x:v>-74.00122095529073</x:v>
      </x:c>
      <x:c r="I612" s="31" t="n">
        <x:v>3542</x:v>
      </x:c>
      <x:c r="J612" s="31" t="n">
        <x:v>57152.79432761605</x:v>
      </x:c>
      <x:c r="K612" s="31"/>
      <x:c r="L612" s="40"/>
      <x:c r="M612" s="40"/>
      <x:c r="N612" s="31" t="n">
        <x:v>247</x:v>
      </x:c>
      <x:c r="O612" s="31" t="n">
        <x:v>1257</x:v>
      </x:c>
      <x:c r="P612" s="31" t="n">
        <x:v>4.074383452665075</x:v>
      </x:c>
      <x:c r="Q612" s="40" t="n">
        <x:v>0</x:v>
      </x:c>
      <x:c r="R612" s="40" t="n">
        <x:v>0.7271280827366746</x:v>
      </x:c>
      <x:c r="S612" s="40" t="n">
        <x:v>0.027048528241845664</x:v>
      </x:c>
      <x:c r="T612" s="31" t="n">
        <x:v>47.479002836741934</x:v>
      </x:c>
      <x:c r="U612" s="31" t="n">
        <x:v>67.37</x:v>
      </x:c>
      <x:c r="V612" s="31" t="n">
        <x:v>8</x:v>
      </x:c>
      <x:c r="W612" s="31" t="n">
        <x:v>2.258610954263128</x:v>
      </x:c>
      <x:c r="X612" s="31" t="n">
        <x:v>4</x:v>
      </x:c>
      <x:c r="Y612" s="40" t="n">
        <x:v>1</x:v>
      </x:c>
      <x:c r="Z612" s="40" t="n">
        <x:v>1</x:v>
      </x:c>
      <x:c r="AA612" s="40" t="n">
        <x:v>0.9864757358790772</x:v>
      </x:c>
      <x:c r="AB612" s="31" t="n">
        <x:v>0.13723826870878725</x:v>
      </x:c>
      <x:c r="AC612" s="31" t="n">
        <x:v>6</x:v>
      </x:c>
      <x:c r="AD612" s="44" t="b">
        <x:v>1</x:v>
      </x:c>
    </x:row>
    <x:row r="613">
      <x:c r="A613" s="31" t="str">
        <x:v>36047027900</x:v>
      </x:c>
      <x:c r="B613" s="31" t="str">
        <x:v>Brooklyn</x:v>
      </x:c>
      <x:c r="C613" s="31" t="str">
        <x:v>027900</x:v>
      </x:c>
      <x:c r="D613" s="31" t="str">
        <x:v>BK0302</x:v>
      </x:c>
      <x:c r="E613" s="31" t="str">
        <x:v>Bedford-Stuyvesant (East)</x:v>
      </x:c>
      <x:c r="F613" s="31" t="n">
        <x:v>0.06252468051502238</x:v>
      </x:c>
      <x:c r="G613" s="31" t="n">
        <x:v>40.689759157903104</x:v>
      </x:c>
      <x:c r="H613" s="31" t="n">
        <x:v>-73.93934454392055</x:v>
      </x:c>
      <x:c r="I613" s="31" t="n">
        <x:v>3674</x:v>
      </x:c>
      <x:c r="J613" s="31" t="n">
        <x:v>58760.79605264473</x:v>
      </x:c>
      <x:c r="K613" s="31"/>
      <x:c r="L613" s="40"/>
      <x:c r="M613" s="40"/>
      <x:c r="N613" s="31" t="n">
        <x:v>505</x:v>
      </x:c>
      <x:c r="O613" s="31" t="n">
        <x:v>1603</x:v>
      </x:c>
      <x:c r="P613" s="31" t="n">
        <x:v>2.962249373433584</x:v>
      </x:c>
      <x:c r="Q613" s="40" t="n">
        <x:v>0</x:v>
      </x:c>
      <x:c r="R613" s="40" t="n">
        <x:v>0.6537741734248285</x:v>
      </x:c>
      <x:c r="S613" s="40" t="n">
        <x:v>0.002495321272613849</x:v>
      </x:c>
      <x:c r="T613" s="31" t="n">
        <x:v>38.7163839961833</x:v>
      </x:c>
      <x:c r="U613" s="31" t="n">
        <x:v>79.25</x:v>
      </x:c>
      <x:c r="V613" s="31" t="n">
        <x:v>6</x:v>
      </x:c>
      <x:c r="W613" s="31" t="n">
        <x:v>1.633097441480675</x:v>
      </x:c>
      <x:c r="X613" s="31" t="n">
        <x:v>4</x:v>
      </x:c>
      <x:c r="Y613" s="40" t="n">
        <x:v>1</x:v>
      </x:c>
      <x:c r="Z613" s="40" t="n">
        <x:v>1</x:v>
      </x:c>
      <x:c r="AA613" s="40" t="n">
        <x:v>0.9937616968184654</x:v>
      </x:c>
      <x:c r="AB613" s="31" t="n">
        <x:v>0.23242018301524522</x:v>
      </x:c>
      <x:c r="AC613" s="31" t="n">
        <x:v>8</x:v>
      </x:c>
      <x:c r="AD613" s="44" t="b">
        <x:v>1</x:v>
      </x:c>
    </x:row>
    <x:row r="614">
      <x:c r="A614" s="31" t="str">
        <x:v>36047028000</x:v>
      </x:c>
      <x:c r="B614" s="31" t="str">
        <x:v>Brooklyn</x:v>
      </x:c>
      <x:c r="C614" s="31" t="str">
        <x:v>028000</x:v>
      </x:c>
      <x:c r="D614" s="31" t="str">
        <x:v>BK1102</x:v>
      </x:c>
      <x:c r="E614" s="31" t="str">
        <x:v>Bath Beach</x:v>
      </x:c>
      <x:c r="F614" s="31" t="n">
        <x:v>0.05359892387009298</x:v>
      </x:c>
      <x:c r="G614" s="31" t="n">
        <x:v>40.60216665976963</x:v>
      </x:c>
      <x:c r="H614" s="31" t="n">
        <x:v>-74.0059372754585</x:v>
      </x:c>
      <x:c r="I614" s="31" t="n">
        <x:v>1862</x:v>
      </x:c>
      <x:c r="J614" s="31" t="n">
        <x:v>34739.503436914245</x:v>
      </x:c>
      <x:c r="K614" s="31"/>
      <x:c r="L614" s="40"/>
      <x:c r="M614" s="40"/>
      <x:c r="N614" s="31" t="n">
        <x:v>237</x:v>
      </x:c>
      <x:c r="O614" s="31" t="n">
        <x:v>683</x:v>
      </x:c>
      <x:c r="P614" s="31" t="n">
        <x:v>2.0819912152269398</x:v>
      </x:c>
      <x:c r="Q614" s="40" t="n">
        <x:v>0</x:v>
      </x:c>
      <x:c r="R614" s="40" t="n">
        <x:v>0.24011713030746706</x:v>
      </x:c>
      <x:c r="S614" s="40" t="n">
        <x:v>0.11859443631039532</x:v>
      </x:c>
      <x:c r="T614" s="31" t="n">
        <x:v>28.249941191874086</x:v>
      </x:c>
      <x:c r="U614" s="31" t="n">
        <x:v>50.95</x:v>
      </x:c>
      <x:c r="V614" s="31" t="n">
        <x:v>1</x:v>
      </x:c>
      <x:c r="W614" s="31" t="n">
        <x:v>0.5370569280343717</x:v>
      </x:c>
      <x:c r="X614" s="31" t="n">
        <x:v>4</x:v>
      </x:c>
      <x:c r="Y614" s="40" t="n">
        <x:v>1</x:v>
      </x:c>
      <x:c r="Z614" s="40" t="n">
        <x:v>1</x:v>
      </x:c>
      <x:c r="AA614" s="40" t="n">
        <x:v>1</x:v>
      </x:c>
      <x:c r="AB614" s="31" t="n">
        <x:v>0.22384503363195113</x:v>
      </x:c>
      <x:c r="AC614" s="31" t="n">
        <x:v>5</x:v>
      </x:c>
      <x:c r="AD614" s="44" t="b">
        <x:v>1</x:v>
      </x:c>
    </x:row>
    <x:row r="615">
      <x:c r="A615" s="31" t="str">
        <x:v>36047028100</x:v>
      </x:c>
      <x:c r="B615" s="31" t="str">
        <x:v>Brooklyn</x:v>
      </x:c>
      <x:c r="C615" s="31" t="str">
        <x:v>028100</x:v>
      </x:c>
      <x:c r="D615" s="31" t="str">
        <x:v>BK0302</x:v>
      </x:c>
      <x:c r="E615" s="31" t="str">
        <x:v>Bedford-Stuyvesant (East)</x:v>
      </x:c>
      <x:c r="F615" s="31" t="n">
        <x:v>0.06253831426516586</x:v>
      </x:c>
      <x:c r="G615" s="31" t="n">
        <x:v>40.6926888208768</x:v>
      </x:c>
      <x:c r="H615" s="31" t="n">
        <x:v>-73.93992870633295</x:v>
      </x:c>
      <x:c r="I615" s="31" t="n">
        <x:v>4800</x:v>
      </x:c>
      <x:c r="J615" s="31" t="n">
        <x:v>76752.94827500048</x:v>
      </x:c>
      <x:c r="K615" s="31"/>
      <x:c r="L615" s="40"/>
      <x:c r="M615" s="40"/>
      <x:c r="N615" s="31" t="n">
        <x:v>252</x:v>
      </x:c>
      <x:c r="O615" s="31" t="n">
        <x:v>2022</x:v>
      </x:c>
      <x:c r="P615" s="31" t="n">
        <x:v>7.22082096933729</x:v>
      </x:c>
      <x:c r="Q615" s="40" t="n">
        <x:v>0.2972304648862512</x:v>
      </x:c>
      <x:c r="R615" s="40" t="n">
        <x:v>0.6305637982195845</x:v>
      </x:c>
      <x:c r="S615" s="40" t="n">
        <x:v>0.15974282888229477</x:v>
      </x:c>
      <x:c r="T615" s="31" t="n">
        <x:v>73.91021013875451</x:v>
      </x:c>
      <x:c r="U615" s="31" t="n">
        <x:v>153.85156922</x:v>
      </x:c>
      <x:c r="V615" s="31" t="n">
        <x:v>28</x:v>
      </x:c>
      <x:c r="W615" s="31" t="n">
        <x:v>5.833333333333334</x:v>
      </x:c>
      <x:c r="X615" s="31" t="n">
        <x:v>4</x:v>
      </x:c>
      <x:c r="Y615" s="40" t="n">
        <x:v>1</x:v>
      </x:c>
      <x:c r="Z615" s="40" t="n">
        <x:v>1</x:v>
      </x:c>
      <x:c r="AA615" s="40" t="n">
        <x:v>0.9609297725024728</x:v>
      </x:c>
      <x:c r="AB615" s="31" t="n">
        <x:v>0.08572503971510245</x:v>
      </x:c>
      <x:c r="AC615" s="31" t="n">
        <x:v>7</x:v>
      </x:c>
      <x:c r="AD615" s="44" t="b">
        <x:v>1</x:v>
      </x:c>
    </x:row>
    <x:row r="616">
      <x:c r="A616" s="31" t="str">
        <x:v>36047028200</x:v>
      </x:c>
      <x:c r="B616" s="31" t="str">
        <x:v>Brooklyn</x:v>
      </x:c>
      <x:c r="C616" s="31" t="str">
        <x:v>028200</x:v>
      </x:c>
      <x:c r="D616" s="31" t="str">
        <x:v>BK1102</x:v>
      </x:c>
      <x:c r="E616" s="31" t="str">
        <x:v>Bath Beach</x:v>
      </x:c>
      <x:c r="F616" s="31" t="n">
        <x:v>0.06497789433755165</x:v>
      </x:c>
      <x:c r="G616" s="31" t="n">
        <x:v>40.60073433817308</x:v>
      </x:c>
      <x:c r="H616" s="31" t="n">
        <x:v>-74.00405903265067</x:v>
      </x:c>
      <x:c r="I616" s="31" t="n">
        <x:v>3282</x:v>
      </x:c>
      <x:c r="J616" s="31" t="n">
        <x:v>50509.48531742873</x:v>
      </x:c>
      <x:c r="K616" s="31"/>
      <x:c r="L616" s="40"/>
      <x:c r="M616" s="40"/>
      <x:c r="N616" s="31" t="n">
        <x:v>343</x:v>
      </x:c>
      <x:c r="O616" s="31" t="n">
        <x:v>1303</x:v>
      </x:c>
      <x:c r="P616" s="31" t="n">
        <x:v>3.783153430994603</x:v>
      </x:c>
      <x:c r="Q616" s="40" t="n">
        <x:v>0.09363008442056792</x:v>
      </x:c>
      <x:c r="R616" s="40" t="n">
        <x:v>0.44973138910207217</x:v>
      </x:c>
      <x:c r="S616" s="40" t="n">
        <x:v>0.21028396009209516</x:v>
      </x:c>
      <x:c r="T616" s="31" t="n">
        <x:v>43.67015770586472</x:v>
      </x:c>
      <x:c r="U616" s="31" t="n">
        <x:v>97.25</x:v>
      </x:c>
      <x:c r="V616" s="31" t="n">
        <x:v>7</x:v>
      </x:c>
      <x:c r="W616" s="31" t="n">
        <x:v>2.1328458257160268</x:v>
      </x:c>
      <x:c r="X616" s="31" t="n">
        <x:v>4</x:v>
      </x:c>
      <x:c r="Y616" s="40" t="n">
        <x:v>1</x:v>
      </x:c>
      <x:c r="Z616" s="40" t="n">
        <x:v>1</x:v>
      </x:c>
      <x:c r="AA616" s="40" t="n">
        <x:v>0.9984650805832693</x:v>
      </x:c>
      <x:c r="AB616" s="31" t="n">
        <x:v>0.19274677714598823</x:v>
      </x:c>
      <x:c r="AC616" s="31" t="n">
        <x:v>4</x:v>
      </x:c>
      <x:c r="AD616" s="44" t="b">
        <x:v>1</x:v>
      </x:c>
    </x:row>
    <x:row r="617">
      <x:c r="A617" s="31" t="str">
        <x:v>36047028300</x:v>
      </x:c>
      <x:c r="B617" s="31" t="str">
        <x:v>Brooklyn</x:v>
      </x:c>
      <x:c r="C617" s="31" t="str">
        <x:v>028300</x:v>
      </x:c>
      <x:c r="D617" s="31" t="str">
        <x:v>BK0302</x:v>
      </x:c>
      <x:c r="E617" s="31" t="str">
        <x:v>Bedford-Stuyvesant (East)</x:v>
      </x:c>
      <x:c r="F617" s="31" t="n">
        <x:v>0.047050072053274224</x:v>
      </x:c>
      <x:c r="G617" s="31" t="n">
        <x:v>40.69525639127767</x:v>
      </x:c>
      <x:c r="H617" s="31" t="n">
        <x:v>-73.94043770993247</x:v>
      </x:c>
      <x:c r="I617" s="31" t="n">
        <x:v>3933</x:v>
      </x:c>
      <x:c r="J617" s="31" t="n">
        <x:v>83591.79547157147</x:v>
      </x:c>
      <x:c r="K617" s="31"/>
      <x:c r="L617" s="40"/>
      <x:c r="M617" s="40"/>
      <x:c r="N617" s="31" t="n">
        <x:v>225</x:v>
      </x:c>
      <x:c r="O617" s="31" t="n">
        <x:v>1900</x:v>
      </x:c>
      <x:c r="P617" s="31" t="n">
        <x:v>6.476312939902544</x:v>
      </x:c>
      <x:c r="Q617" s="40" t="n">
        <x:v>0.1231578947368421</x:v>
      </x:c>
      <x:c r="R617" s="40" t="n">
        <x:v>0.7573684210526316</x:v>
      </x:c>
      <x:c r="S617" s="40" t="n">
        <x:v>0.14157894736842105</x:v>
      </x:c>
      <x:c r="T617" s="31" t="n">
        <x:v>80.39247767239411</x:v>
      </x:c>
      <x:c r="U617" s="31" t="n">
        <x:v>213.11</x:v>
      </x:c>
      <x:c r="V617" s="31" t="n">
        <x:v>15</x:v>
      </x:c>
      <x:c r="W617" s="31" t="n">
        <x:v>3.8138825324180012</x:v>
      </x:c>
      <x:c r="X617" s="31" t="n">
        <x:v>4</x:v>
      </x:c>
      <x:c r="Y617" s="40" t="n">
        <x:v>1</x:v>
      </x:c>
      <x:c r="Z617" s="40" t="n">
        <x:v>1</x:v>
      </x:c>
      <x:c r="AA617" s="40" t="n">
        <x:v>0.8573684210526316</x:v>
      </x:c>
      <x:c r="AB617" s="31" t="n">
        <x:v>0.06818949447385465</x:v>
      </x:c>
      <x:c r="AC617" s="31" t="n">
        <x:v>6</x:v>
      </x:c>
      <x:c r="AD617" s="44" t="b">
        <x:v>1</x:v>
      </x:c>
    </x:row>
    <x:row r="618">
      <x:c r="A618" s="31" t="str">
        <x:v>36047028400</x:v>
      </x:c>
      <x:c r="B618" s="31" t="str">
        <x:v>Brooklyn</x:v>
      </x:c>
      <x:c r="C618" s="31" t="str">
        <x:v>028400</x:v>
      </x:c>
      <x:c r="D618" s="31" t="str">
        <x:v>BK1101</x:v>
      </x:c>
      <x:c r="E618" s="31" t="str">
        <x:v>Bensonhurst</x:v>
      </x:c>
      <x:c r="F618" s="31" t="n">
        <x:v>0.06341870965909091</x:v>
      </x:c>
      <x:c r="G618" s="31" t="n">
        <x:v>40.60567454592306</x:v>
      </x:c>
      <x:c r="H618" s="31" t="n">
        <x:v>-73.998942744629</x:v>
      </x:c>
      <x:c r="I618" s="31" t="n">
        <x:v>4396</x:v>
      </x:c>
      <x:c r="J618" s="31" t="n">
        <x:v>69317.0836119313</x:v>
      </x:c>
      <x:c r="K618" s="31"/>
      <x:c r="L618" s="40"/>
      <x:c r="M618" s="40"/>
      <x:c r="N618" s="31" t="n">
        <x:v>334</x:v>
      </x:c>
      <x:c r="O618" s="31" t="n">
        <x:v>1433</x:v>
      </x:c>
      <x:c r="P618" s="31" t="n">
        <x:v>3.3811933007676203</x:v>
      </x:c>
      <x:c r="Q618" s="40" t="n">
        <x:v>0</x:v>
      </x:c>
      <x:c r="R618" s="40" t="n">
        <x:v>0.5757152826238661</x:v>
      </x:c>
      <x:c r="S618" s="40" t="n">
        <x:v>0.00837404047452896</x:v>
      </x:c>
      <x:c r="T618" s="31" t="n">
        <x:v>40.34028174773427</x:v>
      </x:c>
      <x:c r="U618" s="31" t="n">
        <x:v>67.68</x:v>
      </x:c>
      <x:c r="V618" s="31" t="n">
        <x:v>4</x:v>
      </x:c>
      <x:c r="W618" s="31" t="n">
        <x:v>0.9099181073703367</x:v>
      </x:c>
      <x:c r="X618" s="31" t="n">
        <x:v>4</x:v>
      </x:c>
      <x:c r="Y618" s="40" t="n">
        <x:v>1</x:v>
      </x:c>
      <x:c r="Z618" s="40" t="n">
        <x:v>1</x:v>
      </x:c>
      <x:c r="AA618" s="40" t="n">
        <x:v>0.9979064898813678</x:v>
      </x:c>
      <x:c r="AB618" s="31" t="n">
        <x:v>0.20825366574488685</x:v>
      </x:c>
      <x:c r="AC618" s="31" t="n">
        <x:v>7</x:v>
      </x:c>
      <x:c r="AD618" s="44" t="b">
        <x:v>1</x:v>
      </x:c>
    </x:row>
    <x:row r="619">
      <x:c r="A619" s="31" t="str">
        <x:v>36047028501</x:v>
      </x:c>
      <x:c r="B619" s="31" t="str">
        <x:v>Brooklyn</x:v>
      </x:c>
      <x:c r="C619" s="31" t="str">
        <x:v>028501</x:v>
      </x:c>
      <x:c r="D619" s="31" t="str">
        <x:v>BK0302</x:v>
      </x:c>
      <x:c r="E619" s="31" t="str">
        <x:v>Bedford-Stuyvesant (East)</x:v>
      </x:c>
      <x:c r="F619" s="31" t="n">
        <x:v>0.032130238480472334</x:v>
      </x:c>
      <x:c r="G619" s="31" t="n">
        <x:v>40.69942647316818</x:v>
      </x:c>
      <x:c r="H619" s="31" t="n">
        <x:v>-73.94209149710483</x:v>
      </x:c>
      <x:c r="I619" s="31" t="n">
        <x:v>636</x:v>
      </x:c>
      <x:c r="J619" s="31" t="n">
        <x:v>19794.43757899709</x:v>
      </x:c>
      <x:c r="K619" s="31"/>
      <x:c r="L619" s="40"/>
      <x:c r="M619" s="40"/>
      <x:c r="N619" s="31" t="n">
        <x:v>35</x:v>
      </x:c>
      <x:c r="O619" s="31" t="n">
        <x:v>373</x:v>
      </x:c>
      <x:c r="P619" s="31" t="n">
        <x:v>5.587131367292225</x:v>
      </x:c>
      <x:c r="Q619" s="40" t="n">
        <x:v>0</x:v>
      </x:c>
      <x:c r="R619" s="40" t="n">
        <x:v>0.9705093833780161</x:v>
      </x:c>
      <x:c r="S619" s="40" t="n">
        <x:v>0</x:v>
      </x:c>
      <x:c r="T619" s="31" t="n">
        <x:v>61.09129530353888</x:v>
      </x:c>
      <x:c r="U619" s="31" t="n">
        <x:v>80</x:v>
      </x:c>
      <x:c r="V619" s="31" t="n">
        <x:v>7</x:v>
      </x:c>
      <x:c r="W619" s="31" t="n">
        <x:v>11.0062893081761</x:v>
      </x:c>
      <x:c r="X619" s="31" t="n">
        <x:v>4</x:v>
      </x:c>
      <x:c r="Y619" s="40" t="n">
        <x:v>1</x:v>
      </x:c>
      <x:c r="Z619" s="40" t="n">
        <x:v>1</x:v>
      </x:c>
      <x:c r="AA619" s="40" t="n">
        <x:v>1</x:v>
      </x:c>
      <x:c r="AB619" s="31" t="n">
        <x:v>0.019072951909880186</x:v>
      </x:c>
      <x:c r="AC619" s="31" t="n">
        <x:v>6</x:v>
      </x:c>
      <x:c r="AD619" s="44" t="b">
        <x:v>1</x:v>
      </x:c>
    </x:row>
    <x:row r="620">
      <x:c r="A620" s="31" t="str">
        <x:v>36047028502</x:v>
      </x:c>
      <x:c r="B620" s="31" t="str">
        <x:v>Brooklyn</x:v>
      </x:c>
      <x:c r="C620" s="31" t="str">
        <x:v>028502</x:v>
      </x:c>
      <x:c r="D620" s="31" t="str">
        <x:v>BK0302</x:v>
      </x:c>
      <x:c r="E620" s="31" t="str">
        <x:v>Bedford-Stuyvesant (East)</x:v>
      </x:c>
      <x:c r="F620" s="31" t="n">
        <x:v>0.046285278882217055</x:v>
      </x:c>
      <x:c r="G620" s="31" t="n">
        <x:v>40.69745070931675</x:v>
      </x:c>
      <x:c r="H620" s="31" t="n">
        <x:v>-73.94088483947634</x:v>
      </x:c>
      <x:c r="I620" s="31" t="n">
        <x:v>2658</x:v>
      </x:c>
      <x:c r="J620" s="31" t="n">
        <x:v>57426.46612897933</x:v>
      </x:c>
      <x:c r="K620" s="31"/>
      <x:c r="L620" s="40"/>
      <x:c r="M620" s="40"/>
      <x:c r="N620" s="31" t="n">
        <x:v>3</x:v>
      </x:c>
      <x:c r="O620" s="31" t="n">
        <x:v>1803</x:v>
      </x:c>
      <x:c r="P620" s="31" t="n">
        <x:v>8.741541874653356</x:v>
      </x:c>
      <x:c r="Q620" s="40" t="n">
        <x:v>0.39046034387132555</x:v>
      </x:c>
      <x:c r="R620" s="40" t="n">
        <x:v>0.6095396561286744</x:v>
      </x:c>
      <x:c r="S620" s="40" t="n">
        <x:v>0.8946200776483638</x:v>
      </x:c>
      <x:c r="T620" s="31" t="n">
        <x:v>107.87501941209096</x:v>
      </x:c>
      <x:c r="U620" s="31" t="n">
        <x:v>108.86</x:v>
      </x:c>
      <x:c r="V620" s="31" t="n">
        <x:v>29</x:v>
      </x:c>
      <x:c r="W620" s="31" t="n">
        <x:v>10.9104589917231</x:v>
      </x:c>
      <x:c r="X620" s="31" t="n">
        <x:v>4</x:v>
      </x:c>
      <x:c r="Y620" s="40" t="n">
        <x:v>1</x:v>
      </x:c>
      <x:c r="Z620" s="40" t="n">
        <x:v>1</x:v>
      </x:c>
      <x:c r="AA620" s="40" t="n">
        <x:v>1</x:v>
      </x:c>
      <x:c r="AB620" s="31" t="n">
        <x:v>0.054405443347623865</x:v>
      </x:c>
      <x:c r="AC620" s="31" t="n">
        <x:v>7</x:v>
      </x:c>
      <x:c r="AD620" s="44" t="b">
        <x:v>1</x:v>
      </x:c>
    </x:row>
    <x:row r="621">
      <x:c r="A621" s="31" t="str">
        <x:v>36047028600</x:v>
      </x:c>
      <x:c r="B621" s="31" t="str">
        <x:v>Brooklyn</x:v>
      </x:c>
      <x:c r="C621" s="31" t="str">
        <x:v>028600</x:v>
      </x:c>
      <x:c r="D621" s="31" t="str">
        <x:v>BK1102</x:v>
      </x:c>
      <x:c r="E621" s="31" t="str">
        <x:v>Bath Beach</x:v>
      </x:c>
      <x:c r="F621" s="31" t="n">
        <x:v>0.06833005923869376</x:v>
      </x:c>
      <x:c r="G621" s="31" t="n">
        <x:v>40.599617603102224</x:v>
      </x:c>
      <x:c r="H621" s="31" t="n">
        <x:v>-74.00167949295398</x:v>
      </x:c>
      <x:c r="I621" s="31" t="n">
        <x:v>6094</x:v>
      </x:c>
      <x:c r="J621" s="31" t="n">
        <x:v>89184.76096606553</x:v>
      </x:c>
      <x:c r="K621" s="31"/>
      <x:c r="L621" s="40"/>
      <x:c r="M621" s="40"/>
      <x:c r="N621" s="31" t="n">
        <x:v>207</x:v>
      </x:c>
      <x:c r="O621" s="31" t="n">
        <x:v>2147</x:v>
      </x:c>
      <x:c r="P621" s="31" t="n">
        <x:v>4.958430367955287</x:v>
      </x:c>
      <x:c r="Q621" s="40" t="n">
        <x:v>0</x:v>
      </x:c>
      <x:c r="R621" s="40" t="n">
        <x:v>0.8649278062412669</x:v>
      </x:c>
      <x:c r="S621" s="40" t="n">
        <x:v>0.6269212855146716</x:v>
      </x:c>
      <x:c r="T621" s="31" t="n">
        <x:v>55.64793665579879</x:v>
      </x:c>
      <x:c r="U621" s="31" t="n">
        <x:v>66.2</x:v>
      </x:c>
      <x:c r="V621" s="31" t="n">
        <x:v>36</x:v>
      </x:c>
      <x:c r="W621" s="31" t="n">
        <x:v>5.90744995077125</x:v>
      </x:c>
      <x:c r="X621" s="31" t="n">
        <x:v>4</x:v>
      </x:c>
      <x:c r="Y621" s="40" t="n">
        <x:v>1</x:v>
      </x:c>
      <x:c r="Z621" s="40" t="n">
        <x:v>1</x:v>
      </x:c>
      <x:c r="AA621" s="40" t="n">
        <x:v>1</x:v>
      </x:c>
      <x:c r="AB621" s="31" t="n">
        <x:v>0.22901353884010012</x:v>
      </x:c>
      <x:c r="AC621" s="31" t="n">
        <x:v>5</x:v>
      </x:c>
      <x:c r="AD621" s="44" t="b">
        <x:v>1</x:v>
      </x:c>
    </x:row>
    <x:row r="622">
      <x:c r="A622" s="31" t="str">
        <x:v>36047028700</x:v>
      </x:c>
      <x:c r="B622" s="31" t="str">
        <x:v>Brooklyn</x:v>
      </x:c>
      <x:c r="C622" s="31" t="str">
        <x:v>028700</x:v>
      </x:c>
      <x:c r="D622" s="31" t="str">
        <x:v>BK0302</x:v>
      </x:c>
      <x:c r="E622" s="31" t="str">
        <x:v>Bedford-Stuyvesant (East)</x:v>
      </x:c>
      <x:c r="F622" s="31" t="n">
        <x:v>0.05743211024018595</x:v>
      </x:c>
      <x:c r="G622" s="31" t="n">
        <x:v>40.69563531010053</x:v>
      </x:c>
      <x:c r="H622" s="31" t="n">
        <x:v>-73.93542788911557</x:v>
      </x:c>
      <x:c r="I622" s="31" t="n">
        <x:v>3103</x:v>
      </x:c>
      <x:c r="J622" s="31" t="n">
        <x:v>54029.00898161309</x:v>
      </x:c>
      <x:c r="K622" s="31"/>
      <x:c r="L622" s="40"/>
      <x:c r="M622" s="40"/>
      <x:c r="N622" s="31" t="n">
        <x:v>262</x:v>
      </x:c>
      <x:c r="O622" s="31" t="n">
        <x:v>3385</x:v>
      </x:c>
      <x:c r="P622" s="31" t="n">
        <x:v>10.62851643470536</x:v>
      </x:c>
      <x:c r="Q622" s="40" t="n">
        <x:v>0.6277695716395865</x:v>
      </x:c>
      <x:c r="R622" s="40" t="n">
        <x:v>0.2921713441654357</x:v>
      </x:c>
      <x:c r="S622" s="40" t="n">
        <x:v>0.0005908419497784342</x:v>
      </x:c>
      <x:c r="T622" s="31" t="n">
        <x:v>101.36535429436083</x:v>
      </x:c>
      <x:c r="U622" s="31" t="n">
        <x:v>134.51962422</x:v>
      </x:c>
      <x:c r="V622" s="31" t="n">
        <x:v>25</x:v>
      </x:c>
      <x:c r="W622" s="31" t="n">
        <x:v>8.056719303899452</x:v>
      </x:c>
      <x:c r="X622" s="31" t="n">
        <x:v>4</x:v>
      </x:c>
      <x:c r="Y622" s="40" t="n">
        <x:v>1</x:v>
      </x:c>
      <x:c r="Z622" s="40" t="n">
        <x:v>1</x:v>
      </x:c>
      <x:c r="AA622" s="40" t="n">
        <x:v>0.9382570162481536</x:v>
      </x:c>
      <x:c r="AB622" s="31" t="n">
        <x:v>0.09250470474420774</x:v>
      </x:c>
      <x:c r="AC622" s="31" t="n">
        <x:v>6</x:v>
      </x:c>
      <x:c r="AD622" s="44" t="b">
        <x:v>1</x:v>
      </x:c>
    </x:row>
    <x:row r="623">
      <x:c r="A623" s="31" t="str">
        <x:v>36047028800</x:v>
      </x:c>
      <x:c r="B623" s="31" t="str">
        <x:v>Brooklyn</x:v>
      </x:c>
      <x:c r="C623" s="31" t="str">
        <x:v>028800</x:v>
      </x:c>
      <x:c r="D623" s="31" t="str">
        <x:v>BK1101</x:v>
      </x:c>
      <x:c r="E623" s="31" t="str">
        <x:v>Bensonhurst</x:v>
      </x:c>
      <x:c r="F623" s="31" t="n">
        <x:v>0.059003893393451565</x:v>
      </x:c>
      <x:c r="G623" s="31" t="n">
        <x:v>40.604511103248555</x:v>
      </x:c>
      <x:c r="H623" s="31" t="n">
        <x:v>-73.99656257240552</x:v>
      </x:c>
      <x:c r="I623" s="31" t="n">
        <x:v>3900</x:v>
      </x:c>
      <x:c r="J623" s="31" t="n">
        <x:v>66097.3331707774</x:v>
      </x:c>
      <x:c r="K623" s="31"/>
      <x:c r="L623" s="40"/>
      <x:c r="M623" s="40"/>
      <x:c r="N623" s="31" t="n">
        <x:v>297</x:v>
      </x:c>
      <x:c r="O623" s="31" t="n">
        <x:v>1266</x:v>
      </x:c>
      <x:c r="P623" s="31" t="n">
        <x:v>3.631516587677725</x:v>
      </x:c>
      <x:c r="Q623" s="40" t="n">
        <x:v>0</x:v>
      </x:c>
      <x:c r="R623" s="40" t="n">
        <x:v>0.590047393364929</x:v>
      </x:c>
      <x:c r="S623" s="40" t="n">
        <x:v>0.015007898894154818</x:v>
      </x:c>
      <x:c r="T623" s="31" t="n">
        <x:v>42.15025389025389</x:v>
      </x:c>
      <x:c r="U623" s="31" t="n">
        <x:v>69.85</x:v>
      </x:c>
      <x:c r="V623" s="31" t="n">
        <x:v>11</x:v>
      </x:c>
      <x:c r="W623" s="31" t="n">
        <x:v>2.8205128205128207</x:v>
      </x:c>
      <x:c r="X623" s="31" t="n">
        <x:v>4</x:v>
      </x:c>
      <x:c r="Y623" s="40" t="n">
        <x:v>1</x:v>
      </x:c>
      <x:c r="Z623" s="40" t="n">
        <x:v>1</x:v>
      </x:c>
      <x:c r="AA623" s="40" t="n">
        <x:v>0.9644549763033176</x:v>
      </x:c>
      <x:c r="AB623" s="31" t="n">
        <x:v>0.08493921935507566</x:v>
      </x:c>
      <x:c r="AC623" s="31" t="n">
        <x:v>6</x:v>
      </x:c>
      <x:c r="AD623" s="44" t="b">
        <x:v>1</x:v>
      </x:c>
    </x:row>
    <x:row r="624">
      <x:c r="A624" s="31" t="str">
        <x:v>36047028900</x:v>
      </x:c>
      <x:c r="B624" s="31" t="str">
        <x:v>Brooklyn</x:v>
      </x:c>
      <x:c r="C624" s="31" t="str">
        <x:v>028900</x:v>
      </x:c>
      <x:c r="D624" s="31" t="str">
        <x:v>BK0302</x:v>
      </x:c>
      <x:c r="E624" s="31" t="str">
        <x:v>Bedford-Stuyvesant (East)</x:v>
      </x:c>
      <x:c r="F624" s="31" t="n">
        <x:v>0.0640042549113292</x:v>
      </x:c>
      <x:c r="G624" s="31" t="n">
        <x:v>40.69305162733424</x:v>
      </x:c>
      <x:c r="H624" s="31" t="n">
        <x:v>-73.93300366690994</x:v>
      </x:c>
      <x:c r="I624" s="31" t="n">
        <x:v>3933</x:v>
      </x:c>
      <x:c r="J624" s="31" t="n">
        <x:v>61449.03968413874</x:v>
      </x:c>
      <x:c r="K624" s="31"/>
      <x:c r="L624" s="40"/>
      <x:c r="M624" s="40"/>
      <x:c r="N624" s="31" t="n">
        <x:v>361</x:v>
      </x:c>
      <x:c r="O624" s="31" t="n">
        <x:v>1606</x:v>
      </x:c>
      <x:c r="P624" s="31" t="n">
        <x:v>4.944791016843419</x:v>
      </x:c>
      <x:c r="Q624" s="40" t="n">
        <x:v>0.11643835616438356</x:v>
      </x:c>
      <x:c r="R624" s="40" t="n">
        <x:v>0.6687422166874222</x:v>
      </x:c>
      <x:c r="S624" s="40" t="n">
        <x:v>0.014943960149439602</x:v>
      </x:c>
      <x:c r="T624" s="31" t="n">
        <x:v>52.20556061262828</x:v>
      </x:c>
      <x:c r="U624" s="31" t="n">
        <x:v>130.1628178</x:v>
      </x:c>
      <x:c r="V624" s="31" t="n">
        <x:v>15</x:v>
      </x:c>
      <x:c r="W624" s="31" t="n">
        <x:v>3.8138825324180012</x:v>
      </x:c>
      <x:c r="X624" s="31" t="n">
        <x:v>4</x:v>
      </x:c>
      <x:c r="Y624" s="40" t="n">
        <x:v>1</x:v>
      </x:c>
      <x:c r="Z624" s="40" t="n">
        <x:v>1</x:v>
      </x:c>
      <x:c r="AA624" s="40" t="n">
        <x:v>0.9950186799501868</x:v>
      </x:c>
      <x:c r="AB624" s="31" t="n">
        <x:v>0.08901166519786848</x:v>
      </x:c>
      <x:c r="AC624" s="31" t="n">
        <x:v>7</x:v>
      </x:c>
      <x:c r="AD624" s="44" t="b">
        <x:v>1</x:v>
      </x:c>
    </x:row>
    <x:row r="625">
      <x:c r="A625" s="31" t="str">
        <x:v>36047029000</x:v>
      </x:c>
      <x:c r="B625" s="31" t="str">
        <x:v>Brooklyn</x:v>
      </x:c>
      <x:c r="C625" s="31" t="str">
        <x:v>029000</x:v>
      </x:c>
      <x:c r="D625" s="31" t="str">
        <x:v>BK1101</x:v>
      </x:c>
      <x:c r="E625" s="31" t="str">
        <x:v>Bensonhurst</x:v>
      </x:c>
      <x:c r="F625" s="31" t="n">
        <x:v>0.05972628915360997</x:v>
      </x:c>
      <x:c r="G625" s="31" t="n">
        <x:v>40.60317375081357</x:v>
      </x:c>
      <x:c r="H625" s="31" t="n">
        <x:v>-73.99434795480369</x:v>
      </x:c>
      <x:c r="I625" s="31" t="n">
        <x:v>4377</x:v>
      </x:c>
      <x:c r="J625" s="31" t="n">
        <x:v>73284.3118503947</x:v>
      </x:c>
      <x:c r="K625" s="31"/>
      <x:c r="L625" s="40"/>
      <x:c r="M625" s="40"/>
      <x:c r="N625" s="31" t="n">
        <x:v>239</x:v>
      </x:c>
      <x:c r="O625" s="31" t="n">
        <x:v>1600</x:v>
      </x:c>
      <x:c r="P625" s="31" t="n">
        <x:v>4.413587977457733</x:v>
      </x:c>
      <x:c r="Q625" s="40" t="n">
        <x:v>0</x:v>
      </x:c>
      <x:c r="R625" s="40" t="n">
        <x:v>0.8025</x:v>
      </x:c>
      <x:c r="S625" s="40" t="n">
        <x:v>0.001875</x:v>
      </x:c>
      <x:c r="T625" s="31" t="n">
        <x:v>50.17423767515743</x:v>
      </x:c>
      <x:c r="U625" s="31" t="n">
        <x:v>75.98</x:v>
      </x:c>
      <x:c r="V625" s="31" t="n">
        <x:v>19</x:v>
      </x:c>
      <x:c r="W625" s="31" t="n">
        <x:v>4.340872743888508</x:v>
      </x:c>
      <x:c r="X625" s="31" t="n">
        <x:v>4</x:v>
      </x:c>
      <x:c r="Y625" s="40" t="n">
        <x:v>1</x:v>
      </x:c>
      <x:c r="Z625" s="40" t="n">
        <x:v>1</x:v>
      </x:c>
      <x:c r="AA625" s="40" t="n">
        <x:v>0.9925</x:v>
      </x:c>
      <x:c r="AB625" s="31" t="n">
        <x:v>0.13199555770430907</x:v>
      </x:c>
      <x:c r="AC625" s="31" t="n">
        <x:v>6</x:v>
      </x:c>
      <x:c r="AD625" s="44" t="b">
        <x:v>1</x:v>
      </x:c>
    </x:row>
    <x:row r="626">
      <x:c r="A626" s="31" t="str">
        <x:v>36047029100</x:v>
      </x:c>
      <x:c r="B626" s="31" t="str">
        <x:v>Brooklyn</x:v>
      </x:c>
      <x:c r="C626" s="31" t="str">
        <x:v>029100</x:v>
      </x:c>
      <x:c r="D626" s="31" t="str">
        <x:v>BK0302</x:v>
      </x:c>
      <x:c r="E626" s="31" t="str">
        <x:v>Bedford-Stuyvesant (East)</x:v>
      </x:c>
      <x:c r="F626" s="31" t="n">
        <x:v>0.06356389064544593</x:v>
      </x:c>
      <x:c r="G626" s="31" t="n">
        <x:v>40.69042697641818</x:v>
      </x:c>
      <x:c r="H626" s="31" t="n">
        <x:v>-73.93354111239054</x:v>
      </x:c>
      <x:c r="I626" s="31" t="n">
        <x:v>3042</x:v>
      </x:c>
      <x:c r="J626" s="31" t="n">
        <x:v>47857.36003744676</x:v>
      </x:c>
      <x:c r="K626" s="31"/>
      <x:c r="L626" s="40"/>
      <x:c r="M626" s="40"/>
      <x:c r="N626" s="31" t="n">
        <x:v>407</x:v>
      </x:c>
      <x:c r="O626" s="31" t="n">
        <x:v>1470</x:v>
      </x:c>
      <x:c r="P626" s="31" t="n">
        <x:v>3.2182284541723667</x:v>
      </x:c>
      <x:c r="Q626" s="40" t="n">
        <x:v>0</x:v>
      </x:c>
      <x:c r="R626" s="40" t="n">
        <x:v>0.6700680272108843</x:v>
      </x:c>
      <x:c r="S626" s="40" t="n">
        <x:v>0.012244897959183673</x:v>
      </x:c>
      <x:c r="T626" s="31" t="n">
        <x:v>39.69328817495225</x:v>
      </x:c>
      <x:c r="U626" s="31" t="n">
        <x:v>57</x:v>
      </x:c>
      <x:c r="V626" s="31" t="n">
        <x:v>2</x:v>
      </x:c>
      <x:c r="W626" s="31" t="n">
        <x:v>0.6574621959237344</x:v>
      </x:c>
      <x:c r="X626" s="31" t="n">
        <x:v>4</x:v>
      </x:c>
      <x:c r="Y626" s="40" t="n">
        <x:v>1</x:v>
      </x:c>
      <x:c r="Z626" s="40" t="n">
        <x:v>1</x:v>
      </x:c>
      <x:c r="AA626" s="40" t="n">
        <x:v>0.9972789115646259</x:v>
      </x:c>
      <x:c r="AB626" s="31" t="n">
        <x:v>0.07921611377853317</x:v>
      </x:c>
      <x:c r="AC626" s="31" t="n">
        <x:v>6</x:v>
      </x:c>
      <x:c r="AD626" s="44" t="b">
        <x:v>1</x:v>
      </x:c>
    </x:row>
    <x:row r="627">
      <x:c r="A627" s="31" t="str">
        <x:v>36047029200</x:v>
      </x:c>
      <x:c r="B627" s="31" t="str">
        <x:v>Brooklyn</x:v>
      </x:c>
      <x:c r="C627" s="31" t="str">
        <x:v>029200</x:v>
      </x:c>
      <x:c r="D627" s="31" t="str">
        <x:v>BK1102</x:v>
      </x:c>
      <x:c r="E627" s="31" t="str">
        <x:v>Bath Beach</x:v>
      </x:c>
      <x:c r="F627" s="31" t="n">
        <x:v>0.07946402491283575</x:v>
      </x:c>
      <x:c r="G627" s="31" t="n">
        <x:v>40.59791770660901</x:v>
      </x:c>
      <x:c r="H627" s="31" t="n">
        <x:v>-73.99983954058257</x:v>
      </x:c>
      <x:c r="I627" s="31" t="n">
        <x:v>2781</x:v>
      </x:c>
      <x:c r="J627" s="31" t="n">
        <x:v>34996.96879248798</x:v>
      </x:c>
      <x:c r="K627" s="31"/>
      <x:c r="L627" s="40"/>
      <x:c r="M627" s="40"/>
      <x:c r="N627" s="31" t="n">
        <x:v>181</x:v>
      </x:c>
      <x:c r="O627" s="31" t="n">
        <x:v>1099</x:v>
      </x:c>
      <x:c r="P627" s="31" t="n">
        <x:v>4.12902483900644</x:v>
      </x:c>
      <x:c r="Q627" s="40" t="n">
        <x:v>0</x:v>
      </x:c>
      <x:c r="R627" s="40" t="n">
        <x:v>0.7461328480436761</x:v>
      </x:c>
      <x:c r="S627" s="40" t="n">
        <x:v>0.03275705186533212</x:v>
      </x:c>
      <x:c r="T627" s="31" t="n">
        <x:v>48.83282350884404</x:v>
      </x:c>
      <x:c r="U627" s="31" t="n">
        <x:v>81.24922002</x:v>
      </x:c>
      <x:c r="V627" s="31" t="n">
        <x:v>10</x:v>
      </x:c>
      <x:c r="W627" s="31" t="n">
        <x:v>3.595828838547285</x:v>
      </x:c>
      <x:c r="X627" s="31" t="n">
        <x:v>4</x:v>
      </x:c>
      <x:c r="Y627" s="40" t="n">
        <x:v>1</x:v>
      </x:c>
      <x:c r="Z627" s="40" t="n">
        <x:v>1</x:v>
      </x:c>
      <x:c r="AA627" s="40" t="n">
        <x:v>0.991810737033667</x:v>
      </x:c>
      <x:c r="AB627" s="31" t="n">
        <x:v>0.3612777352284844</x:v>
      </x:c>
      <x:c r="AC627" s="31" t="n">
        <x:v>5</x:v>
      </x:c>
      <x:c r="AD627" s="44" t="b">
        <x:v>1</x:v>
      </x:c>
    </x:row>
    <x:row r="628">
      <x:c r="A628" s="31" t="str">
        <x:v>36047029300</x:v>
      </x:c>
      <x:c r="B628" s="31" t="str">
        <x:v>Brooklyn</x:v>
      </x:c>
      <x:c r="C628" s="31" t="str">
        <x:v>029300</x:v>
      </x:c>
      <x:c r="D628" s="31" t="str">
        <x:v>BK0302</x:v>
      </x:c>
      <x:c r="E628" s="31" t="str">
        <x:v>Bedford-Stuyvesant (East)</x:v>
      </x:c>
      <x:c r="F628" s="31" t="n">
        <x:v>0.06349219082085056</x:v>
      </x:c>
      <x:c r="G628" s="31" t="n">
        <x:v>40.68749667247172</x:v>
      </x:c>
      <x:c r="H628" s="31" t="n">
        <x:v>-73.93295826027033</x:v>
      </x:c>
      <x:c r="I628" s="31" t="n">
        <x:v>3402</x:v>
      </x:c>
      <x:c r="J628" s="31" t="n">
        <x:v>53581.392546353876</x:v>
      </x:c>
      <x:c r="K628" s="31"/>
      <x:c r="L628" s="40"/>
      <x:c r="M628" s="40"/>
      <x:c r="N628" s="31" t="n">
        <x:v>319</x:v>
      </x:c>
      <x:c r="O628" s="31" t="n">
        <x:v>1495</x:v>
      </x:c>
      <x:c r="P628" s="31" t="n">
        <x:v>3.7136608344549127</x:v>
      </x:c>
      <x:c r="Q628" s="40" t="n">
        <x:v>0</x:v>
      </x:c>
      <x:c r="R628" s="40" t="n">
        <x:v>0.8140468227424749</x:v>
      </x:c>
      <x:c r="S628" s="40" t="n">
        <x:v>0.1491638795986622</x:v>
      </x:c>
      <x:c r="T628" s="31" t="n">
        <x:v>44.1979740939049</x:v>
      </x:c>
      <x:c r="U628" s="31" t="n">
        <x:v>73.87</x:v>
      </x:c>
      <x:c r="V628" s="31" t="n">
        <x:v>5</x:v>
      </x:c>
      <x:c r="W628" s="31" t="n">
        <x:v>1.4697236919459142</x:v>
      </x:c>
      <x:c r="X628" s="31" t="n">
        <x:v>4</x:v>
      </x:c>
      <x:c r="Y628" s="40" t="n">
        <x:v>1</x:v>
      </x:c>
      <x:c r="Z628" s="40" t="n">
        <x:v>1</x:v>
      </x:c>
      <x:c r="AA628" s="40" t="n">
        <x:v>0.9986622073578595</x:v>
      </x:c>
      <x:c r="AB628" s="31" t="n">
        <x:v>0.03191544724401207</x:v>
      </x:c>
      <x:c r="AC628" s="31" t="n">
        <x:v>7</x:v>
      </x:c>
      <x:c r="AD628" s="44" t="b">
        <x:v>1</x:v>
      </x:c>
    </x:row>
    <x:row r="629">
      <x:c r="A629" s="31" t="str">
        <x:v>36047029400</x:v>
      </x:c>
      <x:c r="B629" s="31" t="str">
        <x:v>Brooklyn</x:v>
      </x:c>
      <x:c r="C629" s="31" t="str">
        <x:v>029400</x:v>
      </x:c>
      <x:c r="D629" s="31" t="str">
        <x:v>BK1103</x:v>
      </x:c>
      <x:c r="E629" s="31" t="str">
        <x:v>Gravesend (West)</x:v>
      </x:c>
      <x:c r="F629" s="31" t="n">
        <x:v>0.07289154387482782</x:v>
      </x:c>
      <x:c r="G629" s="31" t="n">
        <x:v>40.595322709837035</x:v>
      </x:c>
      <x:c r="H629" s="31" t="n">
        <x:v>-73.99845782213612</x:v>
      </x:c>
      <x:c r="I629" s="31" t="n">
        <x:v>2298</x:v>
      </x:c>
      <x:c r="J629" s="31" t="n">
        <x:v>31526.290675722474</x:v>
      </x:c>
      <x:c r="K629" s="31"/>
      <x:c r="L629" s="40"/>
      <x:c r="M629" s="40"/>
      <x:c r="N629" s="31" t="n">
        <x:v>109</x:v>
      </x:c>
      <x:c r="O629" s="31" t="n">
        <x:v>1111</x:v>
      </x:c>
      <x:c r="P629" s="31" t="n">
        <x:v>14.024752475247524</x:v>
      </x:c>
      <x:c r="Q629" s="40" t="n">
        <x:v>0.603060306030603</x:v>
      </x:c>
      <x:c r="R629" s="40" t="n">
        <x:v>0.23402340234023403</x:v>
      </x:c>
      <x:c r="S629" s="40" t="n">
        <x:v>0</x:v>
      </x:c>
      <x:c r="T629" s="31" t="n">
        <x:v>154.30666966696668</x:v>
      </x:c>
      <x:c r="U629" s="31" t="n">
        <x:v>365</x:v>
      </x:c>
      <x:c r="V629" s="31" t="n">
        <x:v>11</x:v>
      </x:c>
      <x:c r="W629" s="31" t="n">
        <x:v>4.786771105308964</x:v>
      </x:c>
      <x:c r="X629" s="31" t="n">
        <x:v>4</x:v>
      </x:c>
      <x:c r="Y629" s="40" t="n">
        <x:v>1</x:v>
      </x:c>
      <x:c r="Z629" s="40" t="n">
        <x:v>1</x:v>
      </x:c>
      <x:c r="AA629" s="40" t="n">
        <x:v>1</x:v>
      </x:c>
      <x:c r="AB629" s="31" t="n">
        <x:v>0.24994674905172404</x:v>
      </x:c>
      <x:c r="AC629" s="31" t="n">
        <x:v>4</x:v>
      </x:c>
      <x:c r="AD629" s="44" t="b">
        <x:v>1</x:v>
      </x:c>
    </x:row>
    <x:row r="630">
      <x:c r="A630" s="31" t="str">
        <x:v>36047029500</x:v>
      </x:c>
      <x:c r="B630" s="31" t="str">
        <x:v>Brooklyn</x:v>
      </x:c>
      <x:c r="C630" s="31" t="str">
        <x:v>029500</x:v>
      </x:c>
      <x:c r="D630" s="31" t="str">
        <x:v>BK0302</x:v>
      </x:c>
      <x:c r="E630" s="31" t="str">
        <x:v>Bedford-Stuyvesant (East)</x:v>
      </x:c>
      <x:c r="F630" s="31" t="n">
        <x:v>0.06354409971303948</x:v>
      </x:c>
      <x:c r="G630" s="31" t="n">
        <x:v>40.68456605343898</x:v>
      </x:c>
      <x:c r="H630" s="31" t="n">
        <x:v>-73.932375762434</x:v>
      </x:c>
      <x:c r="I630" s="31" t="n">
        <x:v>3851</x:v>
      </x:c>
      <x:c r="J630" s="31" t="n">
        <x:v>60603.581093930596</x:v>
      </x:c>
      <x:c r="K630" s="31"/>
      <x:c r="L630" s="40"/>
      <x:c r="M630" s="40"/>
      <x:c r="N630" s="31" t="n">
        <x:v>579</x:v>
      </x:c>
      <x:c r="O630" s="31" t="n">
        <x:v>1795</x:v>
      </x:c>
      <x:c r="P630" s="31" t="n">
        <x:v>2.994568245125348</x:v>
      </x:c>
      <x:c r="Q630" s="40" t="n">
        <x:v>0</x:v>
      </x:c>
      <x:c r="R630" s="40" t="n">
        <x:v>0.7353760445682451</x:v>
      </x:c>
      <x:c r="S630" s="40" t="n">
        <x:v>0.0011142061281337048</x:v>
      </x:c>
      <x:c r="T630" s="31" t="n">
        <x:v>39.77046471906302</x:v>
      </x:c>
      <x:c r="U630" s="31" t="n">
        <x:v>60</x:v>
      </x:c>
      <x:c r="V630" s="31" t="n">
        <x:v>3</x:v>
      </x:c>
      <x:c r="W630" s="31" t="n">
        <x:v>0.7790184367696703</x:v>
      </x:c>
      <x:c r="X630" s="31" t="n">
        <x:v>4.600557103064067</x:v>
      </x:c>
      <x:c r="Y630" s="40" t="n">
        <x:v>1</x:v>
      </x:c>
      <x:c r="Z630" s="40" t="n">
        <x:v>1</x:v>
      </x:c>
      <x:c r="AA630" s="40" t="n">
        <x:v>0.9988857938718663</x:v>
      </x:c>
      <x:c r="AB630" s="31" t="n">
        <x:v>0.1669004550636962</x:v>
      </x:c>
      <x:c r="AC630" s="31" t="n">
        <x:v>7</x:v>
      </x:c>
      <x:c r="AD630" s="44" t="b">
        <x:v>1</x:v>
      </x:c>
    </x:row>
    <x:row r="631">
      <x:c r="A631" s="31" t="str">
        <x:v>36047029600</x:v>
      </x:c>
      <x:c r="B631" s="31" t="str">
        <x:v>Brooklyn</x:v>
      </x:c>
      <x:c r="C631" s="31" t="str">
        <x:v>029600</x:v>
      </x:c>
      <x:c r="D631" s="31" t="str">
        <x:v>BK1103</x:v>
      </x:c>
      <x:c r="E631" s="31" t="str">
        <x:v>Gravesend (West)</x:v>
      </x:c>
      <x:c r="F631" s="31" t="n">
        <x:v>0.08251896530575643</x:v>
      </x:c>
      <x:c r="G631" s="31" t="n">
        <x:v>40.600952407312185</x:v>
      </x:c>
      <x:c r="H631" s="31" t="n">
        <x:v>-73.99302534652378</x:v>
      </x:c>
      <x:c r="I631" s="31" t="n">
        <x:v>5993</x:v>
      </x:c>
      <x:c r="J631" s="31" t="n">
        <x:v>72625.72885874436</x:v>
      </x:c>
      <x:c r="K631" s="31"/>
      <x:c r="L631" s="40"/>
      <x:c r="M631" s="40"/>
      <x:c r="N631" s="31" t="n">
        <x:v>376</x:v>
      </x:c>
      <x:c r="O631" s="31" t="n">
        <x:v>2271</x:v>
      </x:c>
      <x:c r="P631" s="31" t="n">
        <x:v>4.131549977983267</x:v>
      </x:c>
      <x:c r="Q631" s="40" t="n">
        <x:v>0</x:v>
      </x:c>
      <x:c r="R631" s="40" t="n">
        <x:v>0.7137824746807574</x:v>
      </x:c>
      <x:c r="S631" s="40" t="n">
        <x:v>0.03302509907529723</x:v>
      </x:c>
      <x:c r="T631" s="31" t="n">
        <x:v>47.756407253328916</x:v>
      </x:c>
      <x:c r="U631" s="31" t="n">
        <x:v>79.09</x:v>
      </x:c>
      <x:c r="V631" s="31" t="n">
        <x:v>26</x:v>
      </x:c>
      <x:c r="W631" s="31" t="n">
        <x:v>4.3383947939262475</x:v>
      </x:c>
      <x:c r="X631" s="31" t="n">
        <x:v>4</x:v>
      </x:c>
      <x:c r="Y631" s="40" t="n">
        <x:v>1</x:v>
      </x:c>
      <x:c r="Z631" s="40" t="n">
        <x:v>1</x:v>
      </x:c>
      <x:c r="AA631" s="40" t="n">
        <x:v>0.9973579920739762</x:v>
      </x:c>
      <x:c r="AB631" s="31" t="n">
        <x:v>0.2593270547985477</x:v>
      </x:c>
      <x:c r="AC631" s="31" t="n">
        <x:v>8</x:v>
      </x:c>
      <x:c r="AD631" s="44" t="b">
        <x:v>1</x:v>
      </x:c>
    </x:row>
    <x:row r="632">
      <x:c r="A632" s="31" t="str">
        <x:v>36047029700</x:v>
      </x:c>
      <x:c r="B632" s="31" t="str">
        <x:v>Brooklyn</x:v>
      </x:c>
      <x:c r="C632" s="31" t="str">
        <x:v>029700</x:v>
      </x:c>
      <x:c r="D632" s="31" t="str">
        <x:v>BK0302</x:v>
      </x:c>
      <x:c r="E632" s="31" t="str">
        <x:v>Bedford-Stuyvesant (East)</x:v>
      </x:c>
      <x:c r="F632" s="31" t="n">
        <x:v>0.07906363858219984</x:v>
      </x:c>
      <x:c r="G632" s="31" t="n">
        <x:v>40.6812796228908</x:v>
      </x:c>
      <x:c r="H632" s="31" t="n">
        <x:v>-73.93162046222388</x:v>
      </x:c>
      <x:c r="I632" s="31" t="n">
        <x:v>3921</x:v>
      </x:c>
      <x:c r="J632" s="31" t="n">
        <x:v>49592.9616991187</x:v>
      </x:c>
      <x:c r="K632" s="31"/>
      <x:c r="L632" s="40"/>
      <x:c r="M632" s="40"/>
      <x:c r="N632" s="31" t="n">
        <x:v>513</x:v>
      </x:c>
      <x:c r="O632" s="31" t="n">
        <x:v>1756</x:v>
      </x:c>
      <x:c r="P632" s="31" t="n">
        <x:v>3.4310933940774486</x:v>
      </x:c>
      <x:c r="Q632" s="40" t="n">
        <x:v>0</x:v>
      </x:c>
      <x:c r="R632" s="40" t="n">
        <x:v>0.7403189066059226</x:v>
      </x:c>
      <x:c r="S632" s="40" t="n">
        <x:v>0.16343963553530752</x:v>
      </x:c>
      <x:c r="T632" s="31" t="n">
        <x:v>43.28830989828471</x:v>
      </x:c>
      <x:c r="U632" s="31" t="n">
        <x:v>63.74</x:v>
      </x:c>
      <x:c r="V632" s="31" t="n">
        <x:v>9</x:v>
      </x:c>
      <x:c r="W632" s="31" t="n">
        <x:v>2.295332823259373</x:v>
      </x:c>
      <x:c r="X632" s="31" t="n">
        <x:v>5</x:v>
      </x:c>
      <x:c r="Y632" s="40" t="n">
        <x:v>1</x:v>
      </x:c>
      <x:c r="Z632" s="40" t="n">
        <x:v>1</x:v>
      </x:c>
      <x:c r="AA632" s="40" t="n">
        <x:v>0.9760820045558086</x:v>
      </x:c>
      <x:c r="AB632" s="31" t="n">
        <x:v>0.15553429996531062</x:v>
      </x:c>
      <x:c r="AC632" s="31" t="n">
        <x:v>7</x:v>
      </x:c>
      <x:c r="AD632" s="44" t="b">
        <x:v>1</x:v>
      </x:c>
    </x:row>
    <x:row r="633">
      <x:c r="A633" s="31" t="str">
        <x:v>36047029800</x:v>
      </x:c>
      <x:c r="B633" s="31" t="str">
        <x:v>Brooklyn</x:v>
      </x:c>
      <x:c r="C633" s="31" t="str">
        <x:v>029800</x:v>
      </x:c>
      <x:c r="D633" s="31" t="str">
        <x:v>BK1103</x:v>
      </x:c>
      <x:c r="E633" s="31" t="str">
        <x:v>Gravesend (West)</x:v>
      </x:c>
      <x:c r="F633" s="31" t="n">
        <x:v>0.08536623191431358</x:v>
      </x:c>
      <x:c r="G633" s="31" t="n">
        <x:v>40.600826307918716</x:v>
      </x:c>
      <x:c r="H633" s="31" t="n">
        <x:v>-73.98790815776384</x:v>
      </x:c>
      <x:c r="I633" s="31" t="n">
        <x:v>3955</x:v>
      </x:c>
      <x:c r="J633" s="31" t="n">
        <x:v>46329.7947128536</x:v>
      </x:c>
      <x:c r="K633" s="31"/>
      <x:c r="L633" s="40"/>
      <x:c r="M633" s="40"/>
      <x:c r="N633" s="31" t="n">
        <x:v>443</x:v>
      </x:c>
      <x:c r="O633" s="31" t="n">
        <x:v>1307</x:v>
      </x:c>
      <x:c r="P633" s="31" t="n">
        <x:v>2.550497322111706</x:v>
      </x:c>
      <x:c r="Q633" s="40" t="n">
        <x:v>0</x:v>
      </x:c>
      <x:c r="R633" s="40" t="n">
        <x:v>0.342769701606733</x:v>
      </x:c>
      <x:c r="S633" s="40" t="n">
        <x:v>0.008416220351951033</x:v>
      </x:c>
      <x:c r="T633" s="31" t="n">
        <x:v>31.767658282041605</x:v>
      </x:c>
      <x:c r="U633" s="31" t="n">
        <x:v>65.69</x:v>
      </x:c>
      <x:c r="V633" s="31" t="n">
        <x:v>4</x:v>
      </x:c>
      <x:c r="W633" s="31" t="n">
        <x:v>1.011378002528445</x:v>
      </x:c>
      <x:c r="X633" s="31" t="n">
        <x:v>4</x:v>
      </x:c>
      <x:c r="Y633" s="40" t="n">
        <x:v>1</x:v>
      </x:c>
      <x:c r="Z633" s="40" t="n">
        <x:v>1</x:v>
      </x:c>
      <x:c r="AA633" s="40" t="n">
        <x:v>0.9931140015302219</x:v>
      </x:c>
      <x:c r="AB633" s="31" t="n">
        <x:v>0.11897421615573127</x:v>
      </x:c>
      <x:c r="AC633" s="31" t="n">
        <x:v>5</x:v>
      </x:c>
      <x:c r="AD633" s="44" t="b">
        <x:v>1</x:v>
      </x:c>
    </x:row>
    <x:row r="634">
      <x:c r="A634" s="31" t="str">
        <x:v>36047029900</x:v>
      </x:c>
      <x:c r="B634" s="31" t="str">
        <x:v>Brooklyn</x:v>
      </x:c>
      <x:c r="C634" s="31" t="str">
        <x:v>029900</x:v>
      </x:c>
      <x:c r="D634" s="31" t="str">
        <x:v>BK0302</x:v>
      </x:c>
      <x:c r="E634" s="31" t="str">
        <x:v>Bedford-Stuyvesant (East)</x:v>
      </x:c>
      <x:c r="F634" s="31" t="n">
        <x:v>0.05508297110200011</x:v>
      </x:c>
      <x:c r="G634" s="31" t="n">
        <x:v>40.67814192761004</x:v>
      </x:c>
      <x:c r="H634" s="31" t="n">
        <x:v>-73.92580155913042</x:v>
      </x:c>
      <x:c r="I634" s="31" t="n">
        <x:v>2496</x:v>
      </x:c>
      <x:c r="J634" s="31" t="n">
        <x:v>45313.4598599996</x:v>
      </x:c>
      <x:c r="K634" s="31"/>
      <x:c r="L634" s="40"/>
      <x:c r="M634" s="40"/>
      <x:c r="N634" s="31" t="n">
        <x:v>243</x:v>
      </x:c>
      <x:c r="O634" s="31" t="n">
        <x:v>1348</x:v>
      </x:c>
      <x:c r="P634" s="31" t="n">
        <x:v>5.372408293460925</x:v>
      </x:c>
      <x:c r="Q634" s="40" t="n">
        <x:v>0.24554896142433236</x:v>
      </x:c>
      <x:c r="R634" s="40" t="n">
        <x:v>0.5111275964391692</x:v>
      </x:c>
      <x:c r="S634" s="40" t="n">
        <x:v>0.08531157270029674</x:v>
      </x:c>
      <x:c r="T634" s="31" t="n">
        <x:v>48.39773137716797</x:v>
      </x:c>
      <x:c r="U634" s="31" t="n">
        <x:v>110</x:v>
      </x:c>
      <x:c r="V634" s="31" t="n">
        <x:v>10</x:v>
      </x:c>
      <x:c r="W634" s="31" t="n">
        <x:v>4.006410256410256</x:v>
      </x:c>
      <x:c r="X634" s="31" t="n">
        <x:v>5</x:v>
      </x:c>
      <x:c r="Y634" s="40" t="n">
        <x:v>1</x:v>
      </x:c>
      <x:c r="Z634" s="40" t="n">
        <x:v>1</x:v>
      </x:c>
      <x:c r="AA634" s="40" t="n">
        <x:v>0.7596439169139466</x:v>
      </x:c>
      <x:c r="AB634" s="31" t="n">
        <x:v>0.1587277981960714</x:v>
      </x:c>
      <x:c r="AC634" s="31" t="n">
        <x:v>8</x:v>
      </x:c>
      <x:c r="AD634" s="44" t="b">
        <x:v>1</x:v>
      </x:c>
    </x:row>
    <x:row r="635">
      <x:c r="A635" s="31" t="str">
        <x:v>36047030000</x:v>
      </x:c>
      <x:c r="B635" s="31" t="str">
        <x:v>Brooklyn</x:v>
      </x:c>
      <x:c r="C635" s="31" t="str">
        <x:v>030000</x:v>
      </x:c>
      <x:c r="D635" s="31" t="str">
        <x:v>BK1103</x:v>
      </x:c>
      <x:c r="E635" s="31" t="str">
        <x:v>Gravesend (West)</x:v>
      </x:c>
      <x:c r="F635" s="31" t="n">
        <x:v>0.07530744270402892</x:v>
      </x:c>
      <x:c r="G635" s="31" t="n">
        <x:v>40.597402824724576</x:v>
      </x:c>
      <x:c r="H635" s="31" t="n">
        <x:v>-73.9887441564288</x:v>
      </x:c>
      <x:c r="I635" s="31" t="n">
        <x:v>4224</x:v>
      </x:c>
      <x:c r="J635" s="31" t="n">
        <x:v>56090.07354825525</x:v>
      </x:c>
      <x:c r="K635" s="31"/>
      <x:c r="L635" s="40"/>
      <x:c r="M635" s="40"/>
      <x:c r="N635" s="31" t="n">
        <x:v>464</x:v>
      </x:c>
      <x:c r="O635" s="31" t="n">
        <x:v>1358</x:v>
      </x:c>
      <x:c r="P635" s="31" t="n">
        <x:v>2.506259204712813</x:v>
      </x:c>
      <x:c r="Q635" s="40" t="n">
        <x:v>0</x:v>
      </x:c>
      <x:c r="R635" s="40" t="n">
        <x:v>0.33431516936671574</x:v>
      </x:c>
      <x:c r="S635" s="40" t="n">
        <x:v>0.016200294550810016</x:v>
      </x:c>
      <x:c r="T635" s="31" t="n">
        <x:v>32.32943486570376</x:v>
      </x:c>
      <x:c r="U635" s="31" t="n">
        <x:v>66.55</x:v>
      </x:c>
      <x:c r="V635" s="31" t="n">
        <x:v>2</x:v>
      </x:c>
      <x:c r="W635" s="31" t="n">
        <x:v>0.4734848484848485</x:v>
      </x:c>
      <x:c r="X635" s="31" t="n">
        <x:v>4</x:v>
      </x:c>
      <x:c r="Y635" s="40" t="n">
        <x:v>1</x:v>
      </x:c>
      <x:c r="Z635" s="40" t="n">
        <x:v>1</x:v>
      </x:c>
      <x:c r="AA635" s="40" t="n">
        <x:v>0.9992636229749632</x:v>
      </x:c>
      <x:c r="AB635" s="31" t="n">
        <x:v>0.16578549178409455</x:v>
      </x:c>
      <x:c r="AC635" s="31" t="n">
        <x:v>5</x:v>
      </x:c>
      <x:c r="AD635" s="44" t="b">
        <x:v>1</x:v>
      </x:c>
    </x:row>
    <x:row r="636">
      <x:c r="A636" s="31" t="str">
        <x:v>36047030100</x:v>
      </x:c>
      <x:c r="B636" s="31" t="str">
        <x:v>Brooklyn</x:v>
      </x:c>
      <x:c r="C636" s="31" t="str">
        <x:v>030100</x:v>
      </x:c>
      <x:c r="D636" s="31" t="str">
        <x:v>BK1601</x:v>
      </x:c>
      <x:c r="E636" s="31" t="str">
        <x:v>Ocean Hill</x:v>
      </x:c>
      <x:c r="F636" s="31" t="n">
        <x:v>0.07528420487653524</x:v>
      </x:c>
      <x:c r="G636" s="31" t="n">
        <x:v>40.67762124105861</x:v>
      </x:c>
      <x:c r="H636" s="31" t="n">
        <x:v>-73.91622288505886</x:v>
      </x:c>
      <x:c r="I636" s="31" t="n">
        <x:v>2970</x:v>
      </x:c>
      <x:c r="J636" s="31" t="n">
        <x:v>39450.50631630828</x:v>
      </x:c>
      <x:c r="K636" s="31"/>
      <x:c r="L636" s="40"/>
      <x:c r="M636" s="40"/>
      <x:c r="N636" s="31" t="n">
        <x:v>419</x:v>
      </x:c>
      <x:c r="O636" s="31" t="n">
        <x:v>1456</x:v>
      </x:c>
      <x:c r="P636" s="31" t="n">
        <x:v>4.882578397212543</x:v>
      </x:c>
      <x:c r="Q636" s="40" t="n">
        <x:v>0.1614010989010989</x:v>
      </x:c>
      <x:c r="R636" s="40" t="n">
        <x:v>0.4835164835164835</x:v>
      </x:c>
      <x:c r="S636" s="40" t="n">
        <x:v>0.01098901098901099</x:v>
      </x:c>
      <x:c r="T636" s="31" t="n">
        <x:v>55.46612355699171</x:v>
      </x:c>
      <x:c r="U636" s="31" t="n">
        <x:v>145</x:v>
      </x:c>
      <x:c r="V636" s="31" t="n">
        <x:v>2</x:v>
      </x:c>
      <x:c r="W636" s="31" t="n">
        <x:v>0.6734006734006734</x:v>
      </x:c>
      <x:c r="X636" s="31" t="n">
        <x:v>5</x:v>
      </x:c>
      <x:c r="Y636" s="40" t="n">
        <x:v>1</x:v>
      </x:c>
      <x:c r="Z636" s="40" t="n">
        <x:v>1</x:v>
      </x:c>
      <x:c r="AA636" s="40" t="n">
        <x:v>0.9931318681318682</x:v>
      </x:c>
      <x:c r="AB636" s="31" t="n">
        <x:v>0.033236500399188885</x:v>
      </x:c>
      <x:c r="AC636" s="31" t="n">
        <x:v>8</x:v>
      </x:c>
      <x:c r="AD636" s="44" t="b">
        <x:v>1</x:v>
      </x:c>
    </x:row>
    <x:row r="637">
      <x:c r="A637" s="31" t="str">
        <x:v>36047030200</x:v>
      </x:c>
      <x:c r="B637" s="31" t="str">
        <x:v>Brooklyn</x:v>
      </x:c>
      <x:c r="C637" s="31" t="str">
        <x:v>030200</x:v>
      </x:c>
      <x:c r="D637" s="31" t="str">
        <x:v>BK1103</x:v>
      </x:c>
      <x:c r="E637" s="31" t="str">
        <x:v>Gravesend (West)</x:v>
      </x:c>
      <x:c r="F637" s="31" t="n">
        <x:v>0.08153695602904042</x:v>
      </x:c>
      <x:c r="G637" s="31" t="n">
        <x:v>40.595712028274235</x:v>
      </x:c>
      <x:c r="H637" s="31" t="n">
        <x:v>-73.9906471360142</x:v>
      </x:c>
      <x:c r="I637" s="31" t="n">
        <x:v>4391</x:v>
      </x:c>
      <x:c r="J637" s="31" t="n">
        <x:v>53852.88112099856</x:v>
      </x:c>
      <x:c r="K637" s="31"/>
      <x:c r="L637" s="40"/>
      <x:c r="M637" s="40"/>
      <x:c r="N637" s="31" t="n">
        <x:v>589</x:v>
      </x:c>
      <x:c r="O637" s="31" t="n">
        <x:v>1531</x:v>
      </x:c>
      <x:c r="P637" s="31" t="n">
        <x:v>2.509634225996081</x:v>
      </x:c>
      <x:c r="Q637" s="40" t="n">
        <x:v>0</x:v>
      </x:c>
      <x:c r="R637" s="40" t="n">
        <x:v>0.2122795558458524</x:v>
      </x:c>
      <x:c r="S637" s="40" t="n">
        <x:v>0.0013063357282821686</x:v>
      </x:c>
      <x:c r="T637" s="31" t="n">
        <x:v>32.15321119253831</x:v>
      </x:c>
      <x:c r="U637" s="31" t="n">
        <x:v>79.07</x:v>
      </x:c>
      <x:c r="V637" s="31" t="n">
        <x:v>4</x:v>
      </x:c>
      <x:c r="W637" s="31" t="n">
        <x:v>0.9109542245502164</x:v>
      </x:c>
      <x:c r="X637" s="31" t="n">
        <x:v>4</x:v>
      </x:c>
      <x:c r="Y637" s="40" t="n">
        <x:v>1</x:v>
      </x:c>
      <x:c r="Z637" s="40" t="n">
        <x:v>1</x:v>
      </x:c>
      <x:c r="AA637" s="40" t="n">
        <x:v>0.9804049640757675</x:v>
      </x:c>
      <x:c r="AB637" s="31" t="n">
        <x:v>0.12734877333433003</x:v>
      </x:c>
      <x:c r="AC637" s="31" t="n">
        <x:v>5</x:v>
      </x:c>
      <x:c r="AD637" s="44" t="b">
        <x:v>1</x:v>
      </x:c>
    </x:row>
    <x:row r="638">
      <x:c r="A638" s="31" t="str">
        <x:v>36047030300</x:v>
      </x:c>
      <x:c r="B638" s="31" t="str">
        <x:v>Brooklyn</x:v>
      </x:c>
      <x:c r="C638" s="31" t="str">
        <x:v>030300</x:v>
      </x:c>
      <x:c r="D638" s="31" t="str">
        <x:v>BK1601</x:v>
      </x:c>
      <x:c r="E638" s="31" t="str">
        <x:v>Ocean Hill</x:v>
      </x:c>
      <x:c r="F638" s="31" t="n">
        <x:v>0.0977926340937787</x:v>
      </x:c>
      <x:c r="G638" s="31" t="n">
        <x:v>40.67511452185454</x:v>
      </x:c>
      <x:c r="H638" s="31" t="n">
        <x:v>-73.91793817259554</x:v>
      </x:c>
      <x:c r="I638" s="31" t="n">
        <x:v>4952</x:v>
      </x:c>
      <x:c r="J638" s="31" t="n">
        <x:v>50637.76066458397</x:v>
      </x:c>
      <x:c r="K638" s="31"/>
      <x:c r="L638" s="40"/>
      <x:c r="M638" s="40"/>
      <x:c r="N638" s="31" t="n">
        <x:v>372</x:v>
      </x:c>
      <x:c r="O638" s="31" t="n">
        <x:v>2015</x:v>
      </x:c>
      <x:c r="P638" s="31" t="n">
        <x:v>3.937062937062937</x:v>
      </x:c>
      <x:c r="Q638" s="40" t="n">
        <x:v>0</x:v>
      </x:c>
      <x:c r="R638" s="40" t="n">
        <x:v>0.8332506203473945</x:v>
      </x:c>
      <x:c r="S638" s="40" t="n">
        <x:v>0.01488833746898263</x:v>
      </x:c>
      <x:c r="T638" s="31" t="n">
        <x:v>44.24321854947526</x:v>
      </x:c>
      <x:c r="U638" s="31" t="n">
        <x:v>85</x:v>
      </x:c>
      <x:c r="V638" s="31" t="n">
        <x:v>13</x:v>
      </x:c>
      <x:c r="W638" s="31" t="n">
        <x:v>2.6252019386106626</x:v>
      </x:c>
      <x:c r="X638" s="31" t="n">
        <x:v>5</x:v>
      </x:c>
      <x:c r="Y638" s="40" t="n">
        <x:v>1</x:v>
      </x:c>
      <x:c r="Z638" s="40" t="n">
        <x:v>1</x:v>
      </x:c>
      <x:c r="AA638" s="40" t="n">
        <x:v>0.9930521091811414</x:v>
      </x:c>
      <x:c r="AB638" s="31" t="n">
        <x:v>0.10380380582258045</x:v>
      </x:c>
      <x:c r="AC638" s="31" t="n">
        <x:v>6</x:v>
      </x:c>
      <x:c r="AD638" s="44" t="b">
        <x:v>1</x:v>
      </x:c>
    </x:row>
    <x:row r="639">
      <x:c r="A639" s="31" t="str">
        <x:v>36047030400</x:v>
      </x:c>
      <x:c r="B639" s="31" t="str">
        <x:v>Brooklyn</x:v>
      </x:c>
      <x:c r="C639" s="31" t="str">
        <x:v>030400</x:v>
      </x:c>
      <x:c r="D639" s="31" t="str">
        <x:v>BK1103</x:v>
      </x:c>
      <x:c r="E639" s="31" t="str">
        <x:v>Gravesend (West)</x:v>
      </x:c>
      <x:c r="F639" s="31" t="n">
        <x:v>0.1801043042961576</x:v>
      </x:c>
      <x:c r="G639" s="31" t="n">
        <x:v>40.592476964454924</x:v>
      </x:c>
      <x:c r="H639" s="31" t="n">
        <x:v>-73.99439589378207</x:v>
      </x:c>
      <x:c r="I639" s="31" t="n">
        <x:v>4686</x:v>
      </x:c>
      <x:c r="J639" s="31" t="n">
        <x:v>26018.256578113178</x:v>
      </x:c>
      <x:c r="K639" s="31"/>
      <x:c r="L639" s="40"/>
      <x:c r="M639" s="40"/>
      <x:c r="N639" s="31" t="n">
        <x:v>462</x:v>
      </x:c>
      <x:c r="O639" s="31" t="n">
        <x:v>1624</x:v>
      </x:c>
      <x:c r="P639" s="31" t="n">
        <x:v>4.952917951881555</x:v>
      </x:c>
      <x:c r="Q639" s="40" t="n">
        <x:v>0.1022167487684729</x:v>
      </x:c>
      <x:c r="R639" s="40" t="n">
        <x:v>0.5153940886699507</x:v>
      </x:c>
      <x:c r="S639" s="40" t="n">
        <x:v>0.02586206896551724</x:v>
      </x:c>
      <x:c r="T639" s="31" t="n">
        <x:v>53.11070334178108</x:v>
      </x:c>
      <x:c r="U639" s="31" t="n">
        <x:v>162.62</x:v>
      </x:c>
      <x:c r="V639" s="31" t="n">
        <x:v>10</x:v>
      </x:c>
      <x:c r="W639" s="31" t="n">
        <x:v>2.134016218523261</x:v>
      </x:c>
      <x:c r="X639" s="31" t="n">
        <x:v>4</x:v>
      </x:c>
      <x:c r="Y639" s="40" t="n">
        <x:v>1</x:v>
      </x:c>
      <x:c r="Z639" s="40" t="n">
        <x:v>1</x:v>
      </x:c>
      <x:c r="AA639" s="40" t="n">
        <x:v>0.9956896551724138</x:v>
      </x:c>
      <x:c r="AB639" s="31" t="n">
        <x:v>0.13633779748790273</x:v>
      </x:c>
      <x:c r="AC639" s="31" t="n">
        <x:v>5</x:v>
      </x:c>
      <x:c r="AD639" s="44" t="b">
        <x:v>1</x:v>
      </x:c>
    </x:row>
    <x:row r="640">
      <x:c r="A640" s="31" t="str">
        <x:v>36047030500</x:v>
      </x:c>
      <x:c r="B640" s="31" t="str">
        <x:v>Brooklyn</x:v>
      </x:c>
      <x:c r="C640" s="31" t="str">
        <x:v>030500</x:v>
      </x:c>
      <x:c r="D640" s="31" t="str">
        <x:v>BK0802</x:v>
      </x:c>
      <x:c r="E640" s="31" t="str">
        <x:v>Crown Heights (North)</x:v>
      </x:c>
      <x:c r="F640" s="31" t="n">
        <x:v>0.12475768123027146</x:v>
      </x:c>
      <x:c r="G640" s="31" t="n">
        <x:v>40.67731636691814</x:v>
      </x:c>
      <x:c r="H640" s="31" t="n">
        <x:v>-73.95906387934387</x:v>
      </x:c>
      <x:c r="I640" s="31" t="n">
        <x:v>7249</x:v>
      </x:c>
      <x:c r="J640" s="31" t="n">
        <x:v>58104.63875663222</x:v>
      </x:c>
      <x:c r="K640" s="31"/>
      <x:c r="L640" s="40"/>
      <x:c r="M640" s="40"/>
      <x:c r="N640" s="31" t="n">
        <x:v>356</x:v>
      </x:c>
      <x:c r="O640" s="31" t="n">
        <x:v>4075</x:v>
      </x:c>
      <x:c r="P640" s="31" t="n">
        <x:v>6.7098674521354935</x:v>
      </x:c>
      <x:c r="Q640" s="40" t="n">
        <x:v>0.26429447852760735</x:v>
      </x:c>
      <x:c r="R640" s="40" t="n">
        <x:v>0.7106748466257669</x:v>
      </x:c>
      <x:c r="S640" s="40" t="n">
        <x:v>0.018895705521472392</x:v>
      </x:c>
      <x:c r="T640" s="31" t="n">
        <x:v>68.99201406925033</x:v>
      </x:c>
      <x:c r="U640" s="31" t="n">
        <x:v>161</x:v>
      </x:c>
      <x:c r="V640" s="31" t="n">
        <x:v>59</x:v>
      </x:c>
      <x:c r="W640" s="31" t="n">
        <x:v>8.139053662574149</x:v>
      </x:c>
      <x:c r="X640" s="31" t="n">
        <x:v>2</x:v>
      </x:c>
      <x:c r="Y640" s="40" t="n">
        <x:v>0</x:v>
      </x:c>
      <x:c r="Z640" s="40" t="n">
        <x:v>1</x:v>
      </x:c>
      <x:c r="AA640" s="40" t="n">
        <x:v>0.9263803680981595</x:v>
      </x:c>
      <x:c r="AB640" s="31" t="n">
        <x:v>0.05571133020883169</x:v>
      </x:c>
      <x:c r="AC640" s="31" t="n">
        <x:v>8</x:v>
      </x:c>
      <x:c r="AD640" s="44" t="b">
        <x:v>1</x:v>
      </x:c>
    </x:row>
    <x:row r="641">
      <x:c r="A641" s="31" t="str">
        <x:v>36047030600</x:v>
      </x:c>
      <x:c r="B641" s="31" t="str">
        <x:v>Brooklyn</x:v>
      </x:c>
      <x:c r="C641" s="31" t="str">
        <x:v>030600</x:v>
      </x:c>
      <x:c r="D641" s="31" t="str">
        <x:v>BK1301</x:v>
      </x:c>
      <x:c r="E641" s="31" t="str">
        <x:v>Gravesend (South)</x:v>
      </x:c>
      <x:c r="F641" s="31" t="n">
        <x:v>0.07477866925612661</x:v>
      </x:c>
      <x:c r="G641" s="31" t="n">
        <x:v>40.591155608079056</x:v>
      </x:c>
      <x:c r="H641" s="31" t="n">
        <x:v>-73.98613396071777</x:v>
      </x:c>
      <x:c r="I641" s="31" t="n">
        <x:v>2215</x:v>
      </x:c>
      <x:c r="J641" s="31" t="n">
        <x:v>29620.74642453637</x:v>
      </x:c>
      <x:c r="K641" s="31"/>
      <x:c r="L641" s="40"/>
      <x:c r="M641" s="40"/>
      <x:c r="N641" s="31" t="n">
        <x:v>297</x:v>
      </x:c>
      <x:c r="O641" s="31" t="n">
        <x:v>746</x:v>
      </x:c>
      <x:c r="P641" s="31" t="n">
        <x:v>2.37701072386059</x:v>
      </x:c>
      <x:c r="Q641" s="40" t="n">
        <x:v>0</x:v>
      </x:c>
      <x:c r="R641" s="40" t="n">
        <x:v>0.3726541554959786</x:v>
      </x:c>
      <x:c r="S641" s="40" t="n">
        <x:v>0.014745308310991957</x:v>
      </x:c>
      <x:c r="T641" s="31" t="n">
        <x:v>28.557701651870794</x:v>
      </x:c>
      <x:c r="U641" s="31" t="n">
        <x:v>46</x:v>
      </x:c>
      <x:c r="V641" s="31" t="n">
        <x:v>4</x:v>
      </x:c>
      <x:c r="W641" s="31" t="n">
        <x:v>1.8058690744920993</x:v>
      </x:c>
      <x:c r="X641" s="31" t="n">
        <x:v>4</x:v>
      </x:c>
      <x:c r="Y641" s="40" t="n">
        <x:v>1</x:v>
      </x:c>
      <x:c r="Z641" s="40" t="n">
        <x:v>1</x:v>
      </x:c>
      <x:c r="AA641" s="40" t="n">
        <x:v>0.9959785522788204</x:v>
      </x:c>
      <x:c r="AB641" s="31" t="n">
        <x:v>0.06747370869312871</x:v>
      </x:c>
      <x:c r="AC641" s="31" t="n">
        <x:v>7</x:v>
      </x:c>
      <x:c r="AD641" s="44" t="b">
        <x:v>1</x:v>
      </x:c>
    </x:row>
    <x:row r="642">
      <x:c r="A642" s="31" t="str">
        <x:v>36047030700</x:v>
      </x:c>
      <x:c r="B642" s="31" t="str">
        <x:v>Brooklyn</x:v>
      </x:c>
      <x:c r="C642" s="31" t="str">
        <x:v>030700</x:v>
      </x:c>
      <x:c r="D642" s="31" t="str">
        <x:v>BK0802</x:v>
      </x:c>
      <x:c r="E642" s="31" t="str">
        <x:v>Crown Heights (North)</x:v>
      </x:c>
      <x:c r="F642" s="31" t="n">
        <x:v>0.10287737048288281</x:v>
      </x:c>
      <x:c r="G642" s="31" t="n">
        <x:v>40.67557986536209</x:v>
      </x:c>
      <x:c r="H642" s="31" t="n">
        <x:v>-73.92621745499567</x:v>
      </x:c>
      <x:c r="I642" s="31" t="n">
        <x:v>5625</x:v>
      </x:c>
      <x:c r="J642" s="31" t="n">
        <x:v>54676.74740905156</x:v>
      </x:c>
      <x:c r="K642" s="31"/>
      <x:c r="L642" s="40"/>
      <x:c r="M642" s="40"/>
      <x:c r="N642" s="31" t="n">
        <x:v>289</x:v>
      </x:c>
      <x:c r="O642" s="31" t="n">
        <x:v>2295</x:v>
      </x:c>
      <x:c r="P642" s="31" t="n">
        <x:v>6.3542483660130715</x:v>
      </x:c>
      <x:c r="Q642" s="40" t="n">
        <x:v>0.08017429193899782</x:v>
      </x:c>
      <x:c r="R642" s="40" t="n">
        <x:v>0.7925925925925926</x:v>
      </x:c>
      <x:c r="S642" s="40" t="n">
        <x:v>0.5281045751633987</x:v>
      </x:c>
      <x:c r="T642" s="31" t="n">
        <x:v>62.37002455490393</x:v>
      </x:c>
      <x:c r="U642" s="31" t="n">
        <x:v>212.96</x:v>
      </x:c>
      <x:c r="V642" s="31" t="n">
        <x:v>34</x:v>
      </x:c>
      <x:c r="W642" s="31" t="n">
        <x:v>6.044444444444444</x:v>
      </x:c>
      <x:c r="X642" s="31" t="n">
        <x:v>5</x:v>
      </x:c>
      <x:c r="Y642" s="40" t="n">
        <x:v>1</x:v>
      </x:c>
      <x:c r="Z642" s="40" t="n">
        <x:v>1</x:v>
      </x:c>
      <x:c r="AA642" s="40" t="n">
        <x:v>0.9978213507625272</x:v>
      </x:c>
      <x:c r="AB642" s="31" t="n">
        <x:v>0.0412314904627253</x:v>
      </x:c>
      <x:c r="AC642" s="31" t="n">
        <x:v>9</x:v>
      </x:c>
      <x:c r="AD642" s="44" t="b">
        <x:v>1</x:v>
      </x:c>
    </x:row>
    <x:row r="643">
      <x:c r="A643" s="31" t="str">
        <x:v>36047030800</x:v>
      </x:c>
      <x:c r="B643" s="31" t="str">
        <x:v>Brooklyn</x:v>
      </x:c>
      <x:c r="C643" s="31" t="str">
        <x:v>030800</x:v>
      </x:c>
      <x:c r="D643" s="31" t="str">
        <x:v>BK1301</x:v>
      </x:c>
      <x:c r="E643" s="31" t="str">
        <x:v>Gravesend (South)</x:v>
      </x:c>
      <x:c r="F643" s="31" t="n">
        <x:v>0.2581348075330722</x:v>
      </x:c>
      <x:c r="G643" s="31" t="n">
        <x:v>40.58659077022975</x:v>
      </x:c>
      <x:c r="H643" s="31" t="n">
        <x:v>-73.97954459296142</x:v>
      </x:c>
      <x:c r="I643" s="31" t="n">
        <x:v>2314</x:v>
      </x:c>
      <x:c r="J643" s="31" t="n">
        <x:v>8964.308308958025</x:v>
      </x:c>
      <x:c r="K643" s="31"/>
      <x:c r="L643" s="40"/>
      <x:c r="M643" s="40"/>
      <x:c r="N643" s="31" t="n">
        <x:v>168</x:v>
      </x:c>
      <x:c r="O643" s="31" t="n">
        <x:v>876</x:v>
      </x:c>
      <x:c r="P643" s="31" t="n">
        <x:v>9.507505773672056</x:v>
      </x:c>
      <x:c r="Q643" s="40" t="n">
        <x:v>0.4155251141552511</x:v>
      </x:c>
      <x:c r="R643" s="40" t="n">
        <x:v>0.3904109589041096</x:v>
      </x:c>
      <x:c r="S643" s="40" t="n">
        <x:v>0.0730593607305936</x:v>
      </x:c>
      <x:c r="T643" s="31" t="n">
        <x:v>89.93695446845443</x:v>
      </x:c>
      <x:c r="U643" s="31" t="n">
        <x:v>170.38</x:v>
      </x:c>
      <x:c r="V643" s="31" t="n">
        <x:v>4</x:v>
      </x:c>
      <x:c r="W643" s="31" t="n">
        <x:v>1.7286084701815039</x:v>
      </x:c>
      <x:c r="X643" s="31" t="n">
        <x:v>4</x:v>
      </x:c>
      <x:c r="Y643" s="40" t="n">
        <x:v>1</x:v>
      </x:c>
      <x:c r="Z643" s="40" t="n">
        <x:v>1</x:v>
      </x:c>
      <x:c r="AA643" s="40" t="n">
        <x:v>0.9897260273972602</x:v>
      </x:c>
      <x:c r="AB643" s="31" t="n">
        <x:v>0.1253411726162143</x:v>
      </x:c>
      <x:c r="AC643" s="31" t="n">
        <x:v>7</x:v>
      </x:c>
      <x:c r="AD643" s="44" t="b">
        <x:v>1</x:v>
      </x:c>
    </x:row>
    <x:row r="644">
      <x:c r="A644" s="31" t="str">
        <x:v>36047030900</x:v>
      </x:c>
      <x:c r="B644" s="31" t="str">
        <x:v>Brooklyn</x:v>
      </x:c>
      <x:c r="C644" s="31" t="str">
        <x:v>030900</x:v>
      </x:c>
      <x:c r="D644" s="31" t="str">
        <x:v>BK0802</x:v>
      </x:c>
      <x:c r="E644" s="31" t="str">
        <x:v>Crown Heights (North)</x:v>
      </x:c>
      <x:c r="F644" s="31" t="n">
        <x:v>0.058376910332730715</x:v>
      </x:c>
      <x:c r="G644" s="31" t="n">
        <x:v>40.67614370672808</x:v>
      </x:c>
      <x:c r="H644" s="31" t="n">
        <x:v>-73.93299959592392</x:v>
      </x:c>
      <x:c r="I644" s="31" t="n">
        <x:v>2209</x:v>
      </x:c>
      <x:c r="J644" s="31" t="n">
        <x:v>37840.303424922095</x:v>
      </x:c>
      <x:c r="K644" s="31"/>
      <x:c r="L644" s="40"/>
      <x:c r="M644" s="40"/>
      <x:c r="N644" s="31" t="n">
        <x:v>163</x:v>
      </x:c>
      <x:c r="O644" s="31" t="n">
        <x:v>888</x:v>
      </x:c>
      <x:c r="P644" s="31" t="n">
        <x:v>3.819977426636569</x:v>
      </x:c>
      <x:c r="Q644" s="40" t="n">
        <x:v>0</x:v>
      </x:c>
      <x:c r="R644" s="40" t="n">
        <x:v>0.8355855855855856</x:v>
      </x:c>
      <x:c r="S644" s="40" t="n">
        <x:v>0.21058558558558557</x:v>
      </x:c>
      <x:c r="T644" s="31" t="n">
        <x:v>44.94971156294185</x:v>
      </x:c>
      <x:c r="U644" s="31" t="n">
        <x:v>120</x:v>
      </x:c>
      <x:c r="V644" s="31" t="n">
        <x:v>4</x:v>
      </x:c>
      <x:c r="W644" s="31" t="n">
        <x:v>1.810774105930285</x:v>
      </x:c>
      <x:c r="X644" s="31" t="n">
        <x:v>5</x:v>
      </x:c>
      <x:c r="Y644" s="40" t="n">
        <x:v>1</x:v>
      </x:c>
      <x:c r="Z644" s="40" t="n">
        <x:v>1</x:v>
      </x:c>
      <x:c r="AA644" s="40" t="n">
        <x:v>0.9876126126126126</x:v>
      </x:c>
      <x:c r="AB644" s="31" t="n">
        <x:v>0.11945739828537257</x:v>
      </x:c>
      <x:c r="AC644" s="31" t="n">
        <x:v>7</x:v>
      </x:c>
      <x:c r="AD644" s="44" t="b">
        <x:v>1</x:v>
      </x:c>
    </x:row>
    <x:row r="645">
      <x:c r="A645" s="31" t="str">
        <x:v>36047031100</x:v>
      </x:c>
      <x:c r="B645" s="31" t="str">
        <x:v>Brooklyn</x:v>
      </x:c>
      <x:c r="C645" s="31" t="str">
        <x:v>031100</x:v>
      </x:c>
      <x:c r="D645" s="31" t="str">
        <x:v>BK0802</x:v>
      </x:c>
      <x:c r="E645" s="31" t="str">
        <x:v>Crown Heights (North)</x:v>
      </x:c>
      <x:c r="F645" s="31" t="n">
        <x:v>0.05854587802348772</x:v>
      </x:c>
      <x:c r="G645" s="31" t="n">
        <x:v>40.67646741814479</x:v>
      </x:c>
      <x:c r="H645" s="31" t="n">
        <x:v>-73.93896111914442</x:v>
      </x:c>
      <x:c r="I645" s="31" t="n">
        <x:v>3191</x:v>
      </x:c>
      <x:c r="J645" s="31" t="n">
        <x:v>54504.26413828517</x:v>
      </x:c>
      <x:c r="K645" s="31"/>
      <x:c r="L645" s="40"/>
      <x:c r="M645" s="40"/>
      <x:c r="N645" s="31" t="n">
        <x:v>328</x:v>
      </x:c>
      <x:c r="O645" s="31" t="n">
        <x:v>1323</x:v>
      </x:c>
      <x:c r="P645" s="31" t="n">
        <x:v>3.366078280890253</x:v>
      </x:c>
      <x:c r="Q645" s="40" t="n">
        <x:v>0</x:v>
      </x:c>
      <x:c r="R645" s="40" t="n">
        <x:v>0.7611489040060468</x:v>
      </x:c>
      <x:c r="S645" s="40" t="n">
        <x:v>0.0022675736961451248</x:v>
      </x:c>
      <x:c r="T645" s="31" t="n">
        <x:v>42.56856813681577</x:v>
      </x:c>
      <x:c r="U645" s="31" t="n">
        <x:v>108</x:v>
      </x:c>
      <x:c r="V645" s="31" t="n">
        <x:v>3</x:v>
      </x:c>
      <x:c r="W645" s="31" t="n">
        <x:v>0.940144155437167</x:v>
      </x:c>
      <x:c r="X645" s="31" t="n">
        <x:v>5</x:v>
      </x:c>
      <x:c r="Y645" s="40" t="n">
        <x:v>1</x:v>
      </x:c>
      <x:c r="Z645" s="40" t="n">
        <x:v>1</x:v>
      </x:c>
      <x:c r="AA645" s="40" t="n">
        <x:v>0.9969765684051398</x:v>
      </x:c>
      <x:c r="AB645" s="31" t="n">
        <x:v>0.04216870214316867</x:v>
      </x:c>
      <x:c r="AC645" s="31" t="n">
        <x:v>6</x:v>
      </x:c>
      <x:c r="AD645" s="44" t="b">
        <x:v>1</x:v>
      </x:c>
    </x:row>
    <x:row r="646">
      <x:c r="A646" s="31" t="str">
        <x:v>36047031300</x:v>
      </x:c>
      <x:c r="B646" s="31" t="str">
        <x:v>Brooklyn</x:v>
      </x:c>
      <x:c r="C646" s="31" t="str">
        <x:v>031300</x:v>
      </x:c>
      <x:c r="D646" s="31" t="str">
        <x:v>BK0802</x:v>
      </x:c>
      <x:c r="E646" s="31" t="str">
        <x:v>Crown Heights (North)</x:v>
      </x:c>
      <x:c r="F646" s="31" t="n">
        <x:v>0.0672996113270489</x:v>
      </x:c>
      <x:c r="G646" s="31" t="n">
        <x:v>40.67657141147187</x:v>
      </x:c>
      <x:c r="H646" s="31" t="n">
        <x:v>-73.94430303754783</x:v>
      </x:c>
      <x:c r="I646" s="31" t="n">
        <x:v>5109</x:v>
      </x:c>
      <x:c r="J646" s="31" t="n">
        <x:v>75914.2571444035</x:v>
      </x:c>
      <x:c r="K646" s="31"/>
      <x:c r="L646" s="40"/>
      <x:c r="M646" s="40"/>
      <x:c r="N646" s="31" t="n">
        <x:v>350</x:v>
      </x:c>
      <x:c r="O646" s="31" t="n">
        <x:v>2284</x:v>
      </x:c>
      <x:c r="P646" s="31" t="n">
        <x:v>4.518388791593695</x:v>
      </x:c>
      <x:c r="Q646" s="40" t="n">
        <x:v>0.04509632224168126</x:v>
      </x:c>
      <x:c r="R646" s="40" t="n">
        <x:v>0.9154991243432574</x:v>
      </x:c>
      <x:c r="S646" s="40" t="n">
        <x:v>0</x:v>
      </x:c>
      <x:c r="T646" s="31" t="n">
        <x:v>55.10963435318652</x:v>
      </x:c>
      <x:c r="U646" s="31" t="n">
        <x:v>100.29</x:v>
      </x:c>
      <x:c r="V646" s="31" t="n">
        <x:v>20</x:v>
      </x:c>
      <x:c r="W646" s="31" t="n">
        <x:v>3.9146604032100214</x:v>
      </x:c>
      <x:c r="X646" s="31" t="n">
        <x:v>4.471978984238179</x:v>
      </x:c>
      <x:c r="Y646" s="40" t="n">
        <x:v>1</x:v>
      </x:c>
      <x:c r="Z646" s="40" t="n">
        <x:v>1</x:v>
      </x:c>
      <x:c r="AA646" s="40" t="n">
        <x:v>0.9741681260945709</x:v>
      </x:c>
      <x:c r="AB646" s="31" t="n">
        <x:v>0.1282569839161538</x:v>
      </x:c>
      <x:c r="AC646" s="31" t="n">
        <x:v>7</x:v>
      </x:c>
      <x:c r="AD646" s="44" t="b">
        <x:v>1</x:v>
      </x:c>
    </x:row>
    <x:row r="647">
      <x:c r="A647" s="31" t="str">
        <x:v>36047031401</x:v>
      </x:c>
      <x:c r="B647" s="31" t="str">
        <x:v>Brooklyn</x:v>
      </x:c>
      <x:c r="C647" s="31" t="str">
        <x:v>031401</x:v>
      </x:c>
      <x:c r="D647" s="31" t="str">
        <x:v>BK1301</x:v>
      </x:c>
      <x:c r="E647" s="31" t="str">
        <x:v>Gravesend (South)</x:v>
      </x:c>
      <x:c r="F647" s="31" t="n">
        <x:v>0.1692841516876865</x:v>
      </x:c>
      <x:c r="G647" s="31" t="n">
        <x:v>40.5877006188378</x:v>
      </x:c>
      <x:c r="H647" s="31" t="n">
        <x:v>-73.9907515109172</x:v>
      </x:c>
      <x:c r="I647" s="31" t="n">
        <x:v>5142</x:v>
      </x:c>
      <x:c r="J647" s="31" t="n">
        <x:v>30374.963921528288</x:v>
      </x:c>
      <x:c r="K647" s="31"/>
      <x:c r="L647" s="40"/>
      <x:c r="M647" s="40"/>
      <x:c r="N647" s="31" t="n">
        <x:v>447</x:v>
      </x:c>
      <x:c r="O647" s="31" t="n">
        <x:v>2090</x:v>
      </x:c>
      <x:c r="P647" s="31" t="n">
        <x:v>8.544617224880383</x:v>
      </x:c>
      <x:c r="Q647" s="40" t="n">
        <x:v>0.38564593301435407</x:v>
      </x:c>
      <x:c r="R647" s="40" t="n">
        <x:v>0.369377990430622</x:v>
      </x:c>
      <x:c r="S647" s="40" t="n">
        <x:v>0.01291866028708134</x:v>
      </x:c>
      <x:c r="T647" s="31" t="n">
        <x:v>82.67878775829092</x:v>
      </x:c>
      <x:c r="U647" s="31" t="n">
        <x:v>155.68</x:v>
      </x:c>
      <x:c r="V647" s="31" t="n">
        <x:v>18</x:v>
      </x:c>
      <x:c r="W647" s="31" t="n">
        <x:v>3.500583430571762</x:v>
      </x:c>
      <x:c r="X647" s="31" t="n">
        <x:v>4</x:v>
      </x:c>
      <x:c r="Y647" s="40" t="n">
        <x:v>1</x:v>
      </x:c>
      <x:c r="Z647" s="40" t="n">
        <x:v>1</x:v>
      </x:c>
      <x:c r="AA647" s="40" t="n">
        <x:v>0.9966507177033492</x:v>
      </x:c>
      <x:c r="AB647" s="31" t="n">
        <x:v>0.2727435643022747</x:v>
      </x:c>
      <x:c r="AC647" s="31" t="n">
        <x:v>5</x:v>
      </x:c>
      <x:c r="AD647" s="44" t="b">
        <x:v>1</x:v>
      </x:c>
    </x:row>
    <x:row r="648">
      <x:c r="A648" s="31" t="str">
        <x:v>36047031402</x:v>
      </x:c>
      <x:c r="B648" s="31" t="str">
        <x:v>Brooklyn</x:v>
      </x:c>
      <x:c r="C648" s="31" t="str">
        <x:v>031402</x:v>
      </x:c>
      <x:c r="D648" s="31" t="str">
        <x:v>BK1391</x:v>
      </x:c>
      <x:c r="E648" s="31" t="str">
        <x:v>Calvert Vaux Park</x:v>
      </x:c>
      <x:c r="F648" s="31" t="n">
        <x:v>0.15145671317937903</x:v>
      </x:c>
      <x:c r="G648" s="31" t="n">
        <x:v>40.584353273307606</x:v>
      </x:c>
      <x:c r="H648" s="31" t="n">
        <x:v>-73.99408637075514</x:v>
      </x:c>
      <x:c r="I648" s="31" t="n">
        <x:v>0</x:v>
      </x:c>
      <x:c r="J648" s="31" t="n">
        <x:v>0</x:v>
      </x:c>
      <x:c r="K648" s="31"/>
      <x:c r="L648" s="40"/>
      <x:c r="M648" s="40"/>
      <x:c r="N648" s="31" t="n">
        <x:v>0</x:v>
      </x:c>
      <x:c r="O648" s="31"/>
      <x:c r="P648" s="31"/>
      <x:c r="Q648" s="40"/>
      <x:c r="R648" s="40"/>
      <x:c r="S648" s="40"/>
      <x:c r="T648" s="31"/>
      <x:c r="U648" s="31"/>
      <x:c r="V648" s="31" t="n">
        <x:v>0</x:v>
      </x:c>
      <x:c r="W648" s="31"/>
      <x:c r="X648" s="31"/>
      <x:c r="Y648" s="40"/>
      <x:c r="Z648" s="40"/>
      <x:c r="AA648" s="40"/>
      <x:c r="AB648" s="31" t="n">
        <x:v>0.40216793270788614</x:v>
      </x:c>
      <x:c r="AC648" s="31" t="n">
        <x:v>2</x:v>
      </x:c>
      <x:c r="AD648" s="44" t="b">
        <x:v>0</x:v>
      </x:c>
    </x:row>
    <x:row r="649">
      <x:c r="A649" s="31" t="str">
        <x:v>36047031500</x:v>
      </x:c>
      <x:c r="B649" s="31" t="str">
        <x:v>Brooklyn</x:v>
      </x:c>
      <x:c r="C649" s="31" t="str">
        <x:v>031500</x:v>
      </x:c>
      <x:c r="D649" s="31" t="str">
        <x:v>BK0802</x:v>
      </x:c>
      <x:c r="E649" s="31" t="str">
        <x:v>Crown Heights (North)</x:v>
      </x:c>
      <x:c r="F649" s="31" t="n">
        <x:v>0.06960101540906222</x:v>
      </x:c>
      <x:c r="G649" s="31" t="n">
        <x:v>40.676913029312864</x:v>
      </x:c>
      <x:c r="H649" s="31" t="n">
        <x:v>-73.94992549883791</x:v>
      </x:c>
      <x:c r="I649" s="31" t="n">
        <x:v>5613</x:v>
      </x:c>
      <x:c r="J649" s="31" t="n">
        <x:v>80645.37517177047</x:v>
      </x:c>
      <x:c r="K649" s="31"/>
      <x:c r="L649" s="40"/>
      <x:c r="M649" s="40"/>
      <x:c r="N649" s="31" t="n">
        <x:v>347</x:v>
      </x:c>
      <x:c r="O649" s="31" t="n">
        <x:v>2673</x:v>
      </x:c>
      <x:c r="P649" s="31" t="n">
        <x:v>4.195566778900112</x:v>
      </x:c>
      <x:c r="Q649" s="40" t="n">
        <x:v>0</x:v>
      </x:c>
      <x:c r="R649" s="40" t="n">
        <x:v>0.9771791994014216</x:v>
      </x:c>
      <x:c r="S649" s="40" t="n">
        <x:v>0</x:v>
      </x:c>
      <x:c r="T649" s="31" t="n">
        <x:v>51.995615762005244</x:v>
      </x:c>
      <x:c r="U649" s="31" t="n">
        <x:v>73.31</x:v>
      </x:c>
      <x:c r="V649" s="31" t="n">
        <x:v>24</x:v>
      </x:c>
      <x:c r="W649" s="31" t="n">
        <x:v>4.27578834847675</x:v>
      </x:c>
      <x:c r="X649" s="31" t="n">
        <x:v>4</x:v>
      </x:c>
      <x:c r="Y649" s="40" t="n">
        <x:v>1</x:v>
      </x:c>
      <x:c r="Z649" s="40" t="n">
        <x:v>1</x:v>
      </x:c>
      <x:c r="AA649" s="40" t="n">
        <x:v>1</x:v>
      </x:c>
      <x:c r="AB649" s="31" t="n">
        <x:v>0.21814686121525328</x:v>
      </x:c>
      <x:c r="AC649" s="31" t="n">
        <x:v>5</x:v>
      </x:c>
      <x:c r="AD649" s="44" t="b">
        <x:v>1</x:v>
      </x:c>
    </x:row>
    <x:row r="650">
      <x:c r="A650" s="31" t="str">
        <x:v>36047031701</x:v>
      </x:c>
      <x:c r="B650" s="31" t="str">
        <x:v>Brooklyn</x:v>
      </x:c>
      <x:c r="C650" s="31" t="str">
        <x:v>031701</x:v>
      </x:c>
      <x:c r="D650" s="31" t="str">
        <x:v>BK0802</x:v>
      </x:c>
      <x:c r="E650" s="31" t="str">
        <x:v>Crown Heights (North)</x:v>
      </x:c>
      <x:c r="F650" s="31" t="n">
        <x:v>0.053959123647339874</x:v>
      </x:c>
      <x:c r="G650" s="31" t="n">
        <x:v>40.673866850613685</x:v>
      </x:c>
      <x:c r="H650" s="31" t="n">
        <x:v>-73.9501237683218</x:v>
      </x:c>
      <x:c r="I650" s="31" t="n">
        <x:v>3999</x:v>
      </x:c>
      <x:c r="J650" s="31" t="n">
        <x:v>74111.65581813792</x:v>
      </x:c>
      <x:c r="K650" s="31"/>
      <x:c r="L650" s="40"/>
      <x:c r="M650" s="40"/>
      <x:c r="N650" s="31" t="n">
        <x:v>292</x:v>
      </x:c>
      <x:c r="O650" s="31" t="n">
        <x:v>1775</x:v>
      </x:c>
      <x:c r="P650" s="31" t="n">
        <x:v>4.1856168277430355</x:v>
      </x:c>
      <x:c r="Q650" s="40" t="n">
        <x:v>0</x:v>
      </x:c>
      <x:c r="R650" s="40" t="n">
        <x:v>0.9543661971830986</x:v>
      </x:c>
      <x:c r="S650" s="40" t="n">
        <x:v>0.005633802816901409</x:v>
      </x:c>
      <x:c r="T650" s="31" t="n">
        <x:v>49.06921149141638</x:v>
      </x:c>
      <x:c r="U650" s="31" t="n">
        <x:v>71.67</x:v>
      </x:c>
      <x:c r="V650" s="31" t="n">
        <x:v>21</x:v>
      </x:c>
      <x:c r="W650" s="31" t="n">
        <x:v>5.251312828207052</x:v>
      </x:c>
      <x:c r="X650" s="31" t="n">
        <x:v>4</x:v>
      </x:c>
      <x:c r="Y650" s="40" t="n">
        <x:v>1</x:v>
      </x:c>
      <x:c r="Z650" s="40" t="n">
        <x:v>1</x:v>
      </x:c>
      <x:c r="AA650" s="40" t="n">
        <x:v>0.9904225352112676</x:v>
      </x:c>
      <x:c r="AB650" s="31" t="n">
        <x:v>0.06522833792999087</x:v>
      </x:c>
      <x:c r="AC650" s="31" t="n">
        <x:v>7</x:v>
      </x:c>
      <x:c r="AD650" s="44" t="b">
        <x:v>1</x:v>
      </x:c>
    </x:row>
    <x:row r="651">
      <x:c r="A651" s="31" t="str">
        <x:v>36047031702</x:v>
      </x:c>
      <x:c r="B651" s="31" t="str">
        <x:v>Brooklyn</x:v>
      </x:c>
      <x:c r="C651" s="31" t="str">
        <x:v>031702</x:v>
      </x:c>
      <x:c r="D651" s="31" t="str">
        <x:v>BK0802</x:v>
      </x:c>
      <x:c r="E651" s="31" t="str">
        <x:v>Crown Heights (North)</x:v>
      </x:c>
      <x:c r="F651" s="31" t="n">
        <x:v>0.05381717394577881</x:v>
      </x:c>
      <x:c r="G651" s="31" t="n">
        <x:v>40.67119680593911</x:v>
      </x:c>
      <x:c r="H651" s="31" t="n">
        <x:v>-73.95037582236918</x:v>
      </x:c>
      <x:c r="I651" s="31" t="n">
        <x:v>3714</x:v>
      </x:c>
      <x:c r="J651" s="31" t="n">
        <x:v>69011.42753690266</x:v>
      </x:c>
      <x:c r="K651" s="31"/>
      <x:c r="L651" s="40"/>
      <x:c r="M651" s="40"/>
      <x:c r="N651" s="31" t="n">
        <x:v>356</x:v>
      </x:c>
      <x:c r="O651" s="31" t="n">
        <x:v>1610</x:v>
      </x:c>
      <x:c r="P651" s="31" t="n">
        <x:v>3.508229813664596</x:v>
      </x:c>
      <x:c r="Q651" s="40" t="n">
        <x:v>0</x:v>
      </x:c>
      <x:c r="R651" s="40" t="n">
        <x:v>0.7763975155279503</x:v>
      </x:c>
      <x:c r="S651" s="40" t="n">
        <x:v>0</x:v>
      </x:c>
      <x:c r="T651" s="31" t="n">
        <x:v>42.85029304154037</x:v>
      </x:c>
      <x:c r="U651" s="31" t="n">
        <x:v>71</x:v>
      </x:c>
      <x:c r="V651" s="31" t="n">
        <x:v>7</x:v>
      </x:c>
      <x:c r="W651" s="31" t="n">
        <x:v>1.884760366182014</x:v>
      </x:c>
      <x:c r="X651" s="31" t="n">
        <x:v>4</x:v>
      </x:c>
      <x:c r="Y651" s="40" t="n">
        <x:v>1</x:v>
      </x:c>
      <x:c r="Z651" s="40" t="n">
        <x:v>1</x:v>
      </x:c>
      <x:c r="AA651" s="40" t="n">
        <x:v>1</x:v>
      </x:c>
      <x:c r="AB651" s="31" t="n">
        <x:v>0.19666327756663504</x:v>
      </x:c>
      <x:c r="AC651" s="31" t="n">
        <x:v>9</x:v>
      </x:c>
      <x:c r="AD651" s="44" t="b">
        <x:v>1</x:v>
      </x:c>
    </x:row>
    <x:row r="652">
      <x:c r="A652" s="31" t="str">
        <x:v>36047031900</x:v>
      </x:c>
      <x:c r="B652" s="31" t="str">
        <x:v>Brooklyn</x:v>
      </x:c>
      <x:c r="C652" s="31" t="str">
        <x:v>031900</x:v>
      </x:c>
      <x:c r="D652" s="31" t="str">
        <x:v>BK0901</x:v>
      </x:c>
      <x:c r="E652" s="31" t="str">
        <x:v>Crown Heights (South)</x:v>
      </x:c>
      <x:c r="F652" s="31" t="n">
        <x:v>0.05852598383443813</x:v>
      </x:c>
      <x:c r="G652" s="31" t="n">
        <x:v>40.666889727586934</x:v>
      </x:c>
      <x:c r="H652" s="31" t="n">
        <x:v>-73.94939742679175</x:v>
      </x:c>
      <x:c r="I652" s="31" t="n">
        <x:v>3452</x:v>
      </x:c>
      <x:c r="J652" s="31" t="n">
        <x:v>58982.34893009621</x:v>
      </x:c>
      <x:c r="K652" s="31"/>
      <x:c r="L652" s="40"/>
      <x:c r="M652" s="40"/>
      <x:c r="N652" s="31" t="n">
        <x:v>220</x:v>
      </x:c>
      <x:c r="O652" s="31" t="n">
        <x:v>1675</x:v>
      </x:c>
      <x:c r="P652" s="31" t="n">
        <x:v>5.550746268656717</x:v>
      </x:c>
      <x:c r="Q652" s="40" t="n">
        <x:v>0.14388059701492537</x:v>
      </x:c>
      <x:c r="R652" s="40" t="n">
        <x:v>0.6764179104477612</x:v>
      </x:c>
      <x:c r="S652" s="40" t="n">
        <x:v>0.04059701492537313</x:v>
      </x:c>
      <x:c r="T652" s="31" t="n">
        <x:v>66.4872656716418</x:v>
      </x:c>
      <x:c r="U652" s="31" t="n">
        <x:v>142.07</x:v>
      </x:c>
      <x:c r="V652" s="31" t="n">
        <x:v>13</x:v>
      </x:c>
      <x:c r="W652" s="31" t="n">
        <x:v>3.7659327925840094</x:v>
      </x:c>
      <x:c r="X652" s="31" t="n">
        <x:v>5</x:v>
      </x:c>
      <x:c r="Y652" s="40" t="n">
        <x:v>1</x:v>
      </x:c>
      <x:c r="Z652" s="40" t="n">
        <x:v>1</x:v>
      </x:c>
      <x:c r="AA652" s="40" t="n">
        <x:v>1</x:v>
      </x:c>
      <x:c r="AB652" s="31" t="n">
        <x:v>0.06730730912602655</x:v>
      </x:c>
      <x:c r="AC652" s="31" t="n">
        <x:v>8</x:v>
      </x:c>
      <x:c r="AD652" s="44" t="b">
        <x:v>1</x:v>
      </x:c>
    </x:row>
    <x:row r="653">
      <x:c r="A653" s="31" t="str">
        <x:v>36047032100</x:v>
      </x:c>
      <x:c r="B653" s="31" t="str">
        <x:v>Brooklyn</x:v>
      </x:c>
      <x:c r="C653" s="31" t="str">
        <x:v>032100</x:v>
      </x:c>
      <x:c r="D653" s="31" t="str">
        <x:v>BK0901</x:v>
      </x:c>
      <x:c r="E653" s="31" t="str">
        <x:v>Crown Heights (South)</x:v>
      </x:c>
      <x:c r="F653" s="31" t="n">
        <x:v>0.06187019919113005</x:v>
      </x:c>
      <x:c r="G653" s="31" t="n">
        <x:v>40.66687210752133</x:v>
      </x:c>
      <x:c r="H653" s="31" t="n">
        <x:v>-73.95218262357729</x:v>
      </x:c>
      <x:c r="I653" s="31" t="n">
        <x:v>5488</x:v>
      </x:c>
      <x:c r="J653" s="31" t="n">
        <x:v>88701.83176631475</x:v>
      </x:c>
      <x:c r="K653" s="31"/>
      <x:c r="L653" s="40"/>
      <x:c r="M653" s="40"/>
      <x:c r="N653" s="31" t="n">
        <x:v>219</x:v>
      </x:c>
      <x:c r="O653" s="31" t="n">
        <x:v>2378</x:v>
      </x:c>
      <x:c r="P653" s="31" t="n">
        <x:v>4.761984861227923</x:v>
      </x:c>
      <x:c r="Q653" s="40" t="n">
        <x:v>0</x:v>
      </x:c>
      <x:c r="R653" s="40" t="n">
        <x:v>0.936080740117746</x:v>
      </x:c>
      <x:c r="S653" s="40" t="n">
        <x:v>0</x:v>
      </x:c>
      <x:c r="T653" s="31" t="n">
        <x:v>56.54186070795627</x:v>
      </x:c>
      <x:c r="U653" s="31" t="n">
        <x:v>110</x:v>
      </x:c>
      <x:c r="V653" s="31" t="n">
        <x:v>31</x:v>
      </x:c>
      <x:c r="W653" s="31" t="n">
        <x:v>5.64868804664723</x:v>
      </x:c>
      <x:c r="X653" s="31" t="n">
        <x:v>5</x:v>
      </x:c>
      <x:c r="Y653" s="40" t="n">
        <x:v>1</x:v>
      </x:c>
      <x:c r="Z653" s="40" t="n">
        <x:v>1</x:v>
      </x:c>
      <x:c r="AA653" s="40" t="n">
        <x:v>1</x:v>
      </x:c>
      <x:c r="AB653" s="31" t="n">
        <x:v>0.05006271330397258</x:v>
      </x:c>
      <x:c r="AC653" s="31" t="n">
        <x:v>6</x:v>
      </x:c>
      <x:c r="AD653" s="44" t="b">
        <x:v>1</x:v>
      </x:c>
    </x:row>
    <x:row r="654">
      <x:c r="A654" s="31" t="str">
        <x:v>36047032300</x:v>
      </x:c>
      <x:c r="B654" s="31" t="str">
        <x:v>Brooklyn</x:v>
      </x:c>
      <x:c r="C654" s="31" t="str">
        <x:v>032300</x:v>
      </x:c>
      <x:c r="D654" s="31" t="str">
        <x:v>BK0901</x:v>
      </x:c>
      <x:c r="E654" s="31" t="str">
        <x:v>Crown Heights (South)</x:v>
      </x:c>
      <x:c r="F654" s="31" t="n">
        <x:v>0.06682456003285697</x:v>
      </x:c>
      <x:c r="G654" s="31" t="n">
        <x:v>40.666547330249585</x:v>
      </x:c>
      <x:c r="H654" s="31" t="n">
        <x:v>-73.95507451381421</x:v>
      </x:c>
      <x:c r="I654" s="31" t="n">
        <x:v>3509</x:v>
      </x:c>
      <x:c r="J654" s="31" t="n">
        <x:v>52510.6337890539</x:v>
      </x:c>
      <x:c r="K654" s="31"/>
      <x:c r="L654" s="40"/>
      <x:c r="M654" s="40"/>
      <x:c r="N654" s="31" t="n">
        <x:v>273</x:v>
      </x:c>
      <x:c r="O654" s="31" t="n">
        <x:v>1872</x:v>
      </x:c>
      <x:c r="P654" s="31" t="n">
        <x:v>5.038194444444445</x:v>
      </x:c>
      <x:c r="Q654" s="40" t="n">
        <x:v>0</x:v>
      </x:c>
      <x:c r="R654" s="40" t="n">
        <x:v>0.8194444444444444</x:v>
      </x:c>
      <x:c r="S654" s="40" t="n">
        <x:v>0.042735042735042736</x:v>
      </x:c>
      <x:c r="T654" s="31" t="n">
        <x:v>79.41269840877672</x:v>
      </x:c>
      <x:c r="U654" s="31" t="n">
        <x:v>180</x:v>
      </x:c>
      <x:c r="V654" s="31" t="n">
        <x:v>24</x:v>
      </x:c>
      <x:c r="W654" s="31" t="n">
        <x:v>6.839555428897121</x:v>
      </x:c>
      <x:c r="X654" s="31" t="n">
        <x:v>5</x:v>
      </x:c>
      <x:c r="Y654" s="40" t="n">
        <x:v>1</x:v>
      </x:c>
      <x:c r="Z654" s="40" t="n">
        <x:v>1</x:v>
      </x:c>
      <x:c r="AA654" s="40" t="n">
        <x:v>1</x:v>
      </x:c>
      <x:c r="AB654" s="31" t="n">
        <x:v>0.13560968464149045</x:v>
      </x:c>
      <x:c r="AC654" s="31" t="n">
        <x:v>6</x:v>
      </x:c>
      <x:c r="AD654" s="44" t="b">
        <x:v>1</x:v>
      </x:c>
    </x:row>
    <x:row r="655">
      <x:c r="A655" s="31" t="str">
        <x:v>36047032500</x:v>
      </x:c>
      <x:c r="B655" s="31" t="str">
        <x:v>Brooklyn</x:v>
      </x:c>
      <x:c r="C655" s="31" t="str">
        <x:v>032500</x:v>
      </x:c>
      <x:c r="D655" s="31" t="str">
        <x:v>BK0901</x:v>
      </x:c>
      <x:c r="E655" s="31" t="str">
        <x:v>Crown Heights (South)</x:v>
      </x:c>
      <x:c r="F655" s="31" t="n">
        <x:v>0.06499906709387913</x:v>
      </x:c>
      <x:c r="G655" s="31" t="n">
        <x:v>40.66729917525673</x:v>
      </x:c>
      <x:c r="H655" s="31" t="n">
        <x:v>-73.95776559523233</x:v>
      </x:c>
      <x:c r="I655" s="31" t="n">
        <x:v>6218</x:v>
      </x:c>
      <x:c r="J655" s="31" t="n">
        <x:v>95662.9114540867</x:v>
      </x:c>
      <x:c r="K655" s="31"/>
      <x:c r="L655" s="40"/>
      <x:c r="M655" s="40"/>
      <x:c r="N655" s="31" t="n">
        <x:v>109</x:v>
      </x:c>
      <x:c r="O655" s="31" t="n">
        <x:v>2606</x:v>
      </x:c>
      <x:c r="P655" s="31" t="n">
        <x:v>14.886032233307752</x:v>
      </x:c>
      <x:c r="Q655" s="40" t="n">
        <x:v>0.5069071373752878</x:v>
      </x:c>
      <x:c r="R655" s="40" t="n">
        <x:v>0.4474290099769762</x:v>
      </x:c>
      <x:c r="S655" s="40" t="n">
        <x:v>0.5069071373752878</x:v>
      </x:c>
      <x:c r="T655" s="31" t="n">
        <x:v>51.14857301533853</x:v>
      </x:c>
      <x:c r="U655" s="31" t="n">
        <x:v>80</x:v>
      </x:c>
      <x:c r="V655" s="31" t="n">
        <x:v>34</x:v>
      </x:c>
      <x:c r="W655" s="31" t="n">
        <x:v>5.467996140238018</x:v>
      </x:c>
      <x:c r="X655" s="31" t="n">
        <x:v>5</x:v>
      </x:c>
      <x:c r="Y655" s="40" t="n">
        <x:v>1</x:v>
      </x:c>
      <x:c r="Z655" s="40" t="n">
        <x:v>1</x:v>
      </x:c>
      <x:c r="AA655" s="40" t="n">
        <x:v>0.4930928626247122</x:v>
      </x:c>
      <x:c r="AB655" s="31" t="n">
        <x:v>0.06604932667844193</x:v>
      </x:c>
      <x:c r="AC655" s="31" t="n">
        <x:v>5</x:v>
      </x:c>
      <x:c r="AD655" s="44" t="b">
        <x:v>1</x:v>
      </x:c>
    </x:row>
    <x:row r="656">
      <x:c r="A656" s="31" t="str">
        <x:v>36047032600</x:v>
      </x:c>
      <x:c r="B656" s="31" t="str">
        <x:v>Brooklyn</x:v>
      </x:c>
      <x:c r="C656" s="31" t="str">
        <x:v>032600</x:v>
      </x:c>
      <x:c r="D656" s="31" t="str">
        <x:v>BK1302</x:v>
      </x:c>
      <x:c r="E656" s="31" t="str">
        <x:v>Coney Island-Sea Gate</x:v>
      </x:c>
      <x:c r="F656" s="31" t="n">
        <x:v>0.12707504226031624</x:v>
      </x:c>
      <x:c r="G656" s="31" t="n">
        <x:v>40.576528784535284</x:v>
      </x:c>
      <x:c r="H656" s="31" t="n">
        <x:v>-73.98820829218518</x:v>
      </x:c>
      <x:c r="I656" s="31" t="n">
        <x:v>7075</x:v>
      </x:c>
      <x:c r="J656" s="31" t="n">
        <x:v>55675.76350284972</x:v>
      </x:c>
      <x:c r="K656" s="31"/>
      <x:c r="L656" s="40"/>
      <x:c r="M656" s="40"/>
      <x:c r="N656" s="31" t="n">
        <x:v>402</x:v>
      </x:c>
      <x:c r="O656" s="31" t="n">
        <x:v>3812</x:v>
      </x:c>
      <x:c r="P656" s="31" t="n">
        <x:v>12.075242718446601</x:v>
      </x:c>
      <x:c r="Q656" s="40" t="n">
        <x:v>0.7541972717733473</x:v>
      </x:c>
      <x:c r="R656" s="40" t="n">
        <x:v>0.13352570828961174</x:v>
      </x:c>
      <x:c r="S656" s="40" t="n">
        <x:v>0.11306400839454354</x:v>
      </x:c>
      <x:c r="T656" s="31" t="n">
        <x:v>117.90468217193502</x:v>
      </x:c>
      <x:c r="U656" s="31" t="n">
        <x:v>177.83</x:v>
      </x:c>
      <x:c r="V656" s="31" t="n">
        <x:v>43</x:v>
      </x:c>
      <x:c r="W656" s="31" t="n">
        <x:v>6.07773851590106</x:v>
      </x:c>
      <x:c r="X656" s="31" t="n">
        <x:v>5</x:v>
      </x:c>
      <x:c r="Y656" s="40" t="n">
        <x:v>1</x:v>
      </x:c>
      <x:c r="Z656" s="40" t="n">
        <x:v>1</x:v>
      </x:c>
      <x:c r="AA656" s="40" t="n">
        <x:v>0.8879853095487933</x:v>
      </x:c>
      <x:c r="AB656" s="31" t="n">
        <x:v>0.11320260307217998</x:v>
      </x:c>
      <x:c r="AC656" s="31" t="n">
        <x:v>6</x:v>
      </x:c>
      <x:c r="AD656" s="44" t="b">
        <x:v>1</x:v>
      </x:c>
    </x:row>
    <x:row r="657">
      <x:c r="A657" s="31" t="str">
        <x:v>36047032700</x:v>
      </x:c>
      <x:c r="B657" s="31" t="str">
        <x:v>Brooklyn</x:v>
      </x:c>
      <x:c r="C657" s="31" t="str">
        <x:v>032700</x:v>
      </x:c>
      <x:c r="D657" s="31" t="str">
        <x:v>BK0902</x:v>
      </x:c>
      <x:c r="E657" s="31" t="str">
        <x:v>Prospect Lefferts Gardens-Wingate</x:v>
      </x:c>
      <x:c r="F657" s="31" t="n">
        <x:v>0.06832933456008954</x:v>
      </x:c>
      <x:c r="G657" s="31" t="n">
        <x:v>40.6626474476062</x:v>
      </x:c>
      <x:c r="H657" s="31" t="n">
        <x:v>-73.95879302755779</x:v>
      </x:c>
      <x:c r="I657" s="31" t="n">
        <x:v>3074</x:v>
      </x:c>
      <x:c r="J657" s="31" t="n">
        <x:v>44987.99848982419</x:v>
      </x:c>
      <x:c r="K657" s="31"/>
      <x:c r="L657" s="40"/>
      <x:c r="M657" s="40"/>
      <x:c r="N657" s="31" t="n">
        <x:v>232</x:v>
      </x:c>
      <x:c r="O657" s="31" t="n">
        <x:v>1422</x:v>
      </x:c>
      <x:c r="P657" s="31" t="n">
        <x:v>4.661040787623066</x:v>
      </x:c>
      <x:c r="Q657" s="40" t="n">
        <x:v>0.035864978902953586</x:v>
      </x:c>
      <x:c r="R657" s="40" t="n">
        <x:v>0.7566807313642757</x:v>
      </x:c>
      <x:c r="S657" s="40" t="n">
        <x:v>0.0014064697609001407</x:v>
      </x:c>
      <x:c r="T657" s="31" t="n">
        <x:v>54.82734230933849</x:v>
      </x:c>
      <x:c r="U657" s="31" t="n">
        <x:v>94</x:v>
      </x:c>
      <x:c r="V657" s="31" t="n">
        <x:v>20</x:v>
      </x:c>
      <x:c r="W657" s="31" t="n">
        <x:v>6.506180871828237</x:v>
      </x:c>
      <x:c r="X657" s="31" t="n">
        <x:v>5</x:v>
      </x:c>
      <x:c r="Y657" s="40" t="n">
        <x:v>1</x:v>
      </x:c>
      <x:c r="Z657" s="40" t="n">
        <x:v>1</x:v>
      </x:c>
      <x:c r="AA657" s="40" t="n">
        <x:v>0.9992967651195499</x:v>
      </x:c>
      <x:c r="AB657" s="31" t="n">
        <x:v>0.16247087501125482</x:v>
      </x:c>
      <x:c r="AC657" s="31" t="n">
        <x:v>9</x:v>
      </x:c>
      <x:c r="AD657" s="44" t="b">
        <x:v>1</x:v>
      </x:c>
    </x:row>
    <x:row r="658">
      <x:c r="A658" s="31" t="str">
        <x:v>36047032800</x:v>
      </x:c>
      <x:c r="B658" s="31" t="str">
        <x:v>Brooklyn</x:v>
      </x:c>
      <x:c r="C658" s="31" t="str">
        <x:v>032800</x:v>
      </x:c>
      <x:c r="D658" s="31" t="str">
        <x:v>BK1302</x:v>
      </x:c>
      <x:c r="E658" s="31" t="str">
        <x:v>Coney Island-Sea Gate</x:v>
      </x:c>
      <x:c r="F658" s="31" t="n">
        <x:v>0.08993949114403983</x:v>
      </x:c>
      <x:c r="G658" s="31" t="n">
        <x:v>40.57636763427442</x:v>
      </x:c>
      <x:c r="H658" s="31" t="n">
        <x:v>-73.99768392760156</x:v>
      </x:c>
      <x:c r="I658" s="31" t="n">
        <x:v>3090</x:v>
      </x:c>
      <x:c r="J658" s="31" t="n">
        <x:v>34356.431870970955</x:v>
      </x:c>
      <x:c r="K658" s="31"/>
      <x:c r="L658" s="40"/>
      <x:c r="M658" s="40"/>
      <x:c r="N658" s="31" t="n">
        <x:v>557</x:v>
      </x:c>
      <x:c r="O658" s="31" t="n">
        <x:v>1080</x:v>
      </x:c>
      <x:c r="P658" s="31" t="n">
        <x:v>6.375925925925926</x:v>
      </x:c>
      <x:c r="Q658" s="40" t="n">
        <x:v>0.34629629629629627</x:v>
      </x:c>
      <x:c r="R658" s="40" t="n">
        <x:v>0.08796296296296297</x:v>
      </x:c>
      <x:c r="S658" s="40" t="n">
        <x:v>0</x:v>
      </x:c>
      <x:c r="T658" s="31" t="n">
        <x:v>60.295478816842596</x:v>
      </x:c>
      <x:c r="U658" s="31" t="n">
        <x:v>133.41</x:v>
      </x:c>
      <x:c r="V658" s="31" t="n">
        <x:v>7</x:v>
      </x:c>
      <x:c r="W658" s="31" t="n">
        <x:v>2.26537216828479</x:v>
      </x:c>
      <x:c r="X658" s="31" t="n">
        <x:v>5</x:v>
      </x:c>
      <x:c r="Y658" s="40" t="n">
        <x:v>1</x:v>
      </x:c>
      <x:c r="Z658" s="40" t="n">
        <x:v>1</x:v>
      </x:c>
      <x:c r="AA658" s="40" t="n">
        <x:v>1</x:v>
      </x:c>
      <x:c r="AB658" s="31" t="n">
        <x:v>0.14402415731864562</x:v>
      </x:c>
      <x:c r="AC658" s="31" t="n">
        <x:v>4</x:v>
      </x:c>
      <x:c r="AD658" s="44" t="b">
        <x:v>1</x:v>
      </x:c>
    </x:row>
    <x:row r="659">
      <x:c r="A659" s="31" t="str">
        <x:v>36047032900</x:v>
      </x:c>
      <x:c r="B659" s="31" t="str">
        <x:v>Brooklyn</x:v>
      </x:c>
      <x:c r="C659" s="31" t="str">
        <x:v>032900</x:v>
      </x:c>
      <x:c r="D659" s="31" t="str">
        <x:v>BK0902</x:v>
      </x:c>
      <x:c r="E659" s="31" t="str">
        <x:v>Prospect Lefferts Gardens-Wingate</x:v>
      </x:c>
      <x:c r="F659" s="31" t="n">
        <x:v>0.0603887812456956</x:v>
      </x:c>
      <x:c r="G659" s="31" t="n">
        <x:v>40.66326355579619</x:v>
      </x:c>
      <x:c r="H659" s="31" t="n">
        <x:v>-73.94841939923077</x:v>
      </x:c>
      <x:c r="I659" s="31" t="n">
        <x:v>5707</x:v>
      </x:c>
      <x:c r="J659" s="31" t="n">
        <x:v>94504.30828833434</x:v>
      </x:c>
      <x:c r="K659" s="31"/>
      <x:c r="L659" s="40"/>
      <x:c r="M659" s="40"/>
      <x:c r="N659" s="31" t="n">
        <x:v>256</x:v>
      </x:c>
      <x:c r="O659" s="31" t="n">
        <x:v>2407</x:v>
      </x:c>
      <x:c r="P659" s="31" t="n">
        <x:v>5.280847528043207</x:v>
      </x:c>
      <x:c r="Q659" s="40" t="n">
        <x:v>0.006647278770253427</x:v>
      </x:c>
      <x:c r="R659" s="40" t="n">
        <x:v>0.8504362276692978</x:v>
      </x:c>
      <x:c r="S659" s="40" t="n">
        <x:v>0</x:v>
      </x:c>
      <x:c r="T659" s="31" t="n">
        <x:v>58.674018820934776</x:v>
      </x:c>
      <x:c r="U659" s="31" t="n">
        <x:v>99</x:v>
      </x:c>
      <x:c r="V659" s="31" t="n">
        <x:v>41</x:v>
      </x:c>
      <x:c r="W659" s="31" t="n">
        <x:v>7.184159803749781</x:v>
      </x:c>
      <x:c r="X659" s="31" t="n">
        <x:v>5</x:v>
      </x:c>
      <x:c r="Y659" s="40" t="n">
        <x:v>1</x:v>
      </x:c>
      <x:c r="Z659" s="40" t="n">
        <x:v>1</x:v>
      </x:c>
      <x:c r="AA659" s="40" t="n">
        <x:v>1</x:v>
      </x:c>
      <x:c r="AB659" s="31" t="n">
        <x:v>0.037664716826591275</x:v>
      </x:c>
      <x:c r="AC659" s="31" t="n">
        <x:v>8</x:v>
      </x:c>
      <x:c r="AD659" s="44" t="b">
        <x:v>1</x:v>
      </x:c>
    </x:row>
    <x:row r="660">
      <x:c r="A660" s="31" t="str">
        <x:v>36047033000</x:v>
      </x:c>
      <x:c r="B660" s="31" t="str">
        <x:v>Brooklyn</x:v>
      </x:c>
      <x:c r="C660" s="31" t="str">
        <x:v>033000</x:v>
      </x:c>
      <x:c r="D660" s="31" t="str">
        <x:v>BK1302</x:v>
      </x:c>
      <x:c r="E660" s="31" t="str">
        <x:v>Coney Island-Sea Gate</x:v>
      </x:c>
      <x:c r="F660" s="31" t="n">
        <x:v>0.1415250222060807</x:v>
      </x:c>
      <x:c r="G660" s="31" t="n">
        <x:v>40.57922707616866</x:v>
      </x:c>
      <x:c r="H660" s="31" t="n">
        <x:v>-73.99871841501968</x:v>
      </x:c>
      <x:c r="I660" s="31" t="n">
        <x:v>4423</x:v>
      </x:c>
      <x:c r="J660" s="31" t="n">
        <x:v>31252.423995803925</x:v>
      </x:c>
      <x:c r="K660" s="31"/>
      <x:c r="L660" s="40"/>
      <x:c r="M660" s="40"/>
      <x:c r="N660" s="31" t="n">
        <x:v>107</x:v>
      </x:c>
      <x:c r="O660" s="31" t="n">
        <x:v>2008</x:v>
      </x:c>
      <x:c r="P660" s="31" t="n">
        <x:v>14.050049800796813</x:v>
      </x:c>
      <x:c r="Q660" s="40" t="n">
        <x:v>0.5871513944223108</x:v>
      </x:c>
      <x:c r="R660" s="40" t="n">
        <x:v>0.32270916334661354</x:v>
      </x:c>
      <x:c r="S660" s="40" t="n">
        <x:v>0.43774900398406374</x:v>
      </x:c>
      <x:c r="T660" s="31" t="n">
        <x:v>129.75426893715638</x:v>
      </x:c>
      <x:c r="U660" s="31" t="n">
        <x:v>215.44</x:v>
      </x:c>
      <x:c r="V660" s="31" t="n">
        <x:v>34</x:v>
      </x:c>
      <x:c r="W660" s="31" t="n">
        <x:v>7.687090210264526</x:v>
      </x:c>
      <x:c r="X660" s="31" t="n">
        <x:v>5</x:v>
      </x:c>
      <x:c r="Y660" s="40" t="n">
        <x:v>1</x:v>
      </x:c>
      <x:c r="Z660" s="40" t="n">
        <x:v>1</x:v>
      </x:c>
      <x:c r="AA660" s="40" t="n">
        <x:v>1</x:v>
      </x:c>
      <x:c r="AB660" s="31" t="n">
        <x:v>0.059696298962284504</x:v>
      </x:c>
      <x:c r="AC660" s="31" t="n">
        <x:v>4</x:v>
      </x:c>
      <x:c r="AD660" s="44" t="b">
        <x:v>1</x:v>
      </x:c>
    </x:row>
    <x:row r="661">
      <x:c r="A661" s="31" t="str">
        <x:v>36047033100</x:v>
      </x:c>
      <x:c r="B661" s="31" t="str">
        <x:v>Brooklyn</x:v>
      </x:c>
      <x:c r="C661" s="31" t="str">
        <x:v>033100</x:v>
      </x:c>
      <x:c r="D661" s="31" t="str">
        <x:v>BK0901</x:v>
      </x:c>
      <x:c r="E661" s="31" t="str">
        <x:v>Crown Heights (South)</x:v>
      </x:c>
      <x:c r="F661" s="31" t="n">
        <x:v>0.05500842336719468</x:v>
      </x:c>
      <x:c r="G661" s="31" t="n">
        <x:v>40.66415837899199</x:v>
      </x:c>
      <x:c r="H661" s="31" t="n">
        <x:v>-73.94200776498428</x:v>
      </x:c>
      <x:c r="I661" s="31" t="n">
        <x:v>4217</x:v>
      </x:c>
      <x:c r="J661" s="31" t="n">
        <x:v>76660.98647929779</x:v>
      </x:c>
      <x:c r="K661" s="31"/>
      <x:c r="L661" s="40"/>
      <x:c r="M661" s="40"/>
      <x:c r="N661" s="31" t="n">
        <x:v>256</x:v>
      </x:c>
      <x:c r="O661" s="31" t="n">
        <x:v>1561</x:v>
      </x:c>
      <x:c r="P661" s="31" t="n">
        <x:v>4.498078155028828</x:v>
      </x:c>
      <x:c r="Q661" s="40" t="n">
        <x:v>0</x:v>
      </x:c>
      <x:c r="R661" s="40" t="n">
        <x:v>0.737988468930173</x:v>
      </x:c>
      <x:c r="S661" s="40" t="n">
        <x:v>0.004484304932735426</x:v>
      </x:c>
      <x:c r="T661" s="31" t="n">
        <x:v>50.81987406918002</x:v>
      </x:c>
      <x:c r="U661" s="31" t="n">
        <x:v>104</x:v>
      </x:c>
      <x:c r="V661" s="31" t="n">
        <x:v>20</x:v>
      </x:c>
      <x:c r="W661" s="31" t="n">
        <x:v>4.742708086317288</x:v>
      </x:c>
      <x:c r="X661" s="31" t="n">
        <x:v>5</x:v>
      </x:c>
      <x:c r="Y661" s="40" t="n">
        <x:v>1</x:v>
      </x:c>
      <x:c r="Z661" s="40" t="n">
        <x:v>1</x:v>
      </x:c>
      <x:c r="AA661" s="40" t="n">
        <x:v>1</x:v>
      </x:c>
      <x:c r="AB661" s="31" t="n">
        <x:v>0.18746183277086578</x:v>
      </x:c>
      <x:c r="AC661" s="31" t="n">
        <x:v>7</x:v>
      </x:c>
      <x:c r="AD661" s="44" t="b">
        <x:v>1</x:v>
      </x:c>
    </x:row>
    <x:row r="662">
      <x:c r="A662" s="31" t="str">
        <x:v>36047033300</x:v>
      </x:c>
      <x:c r="B662" s="31" t="str">
        <x:v>Brooklyn</x:v>
      </x:c>
      <x:c r="C662" s="31" t="str">
        <x:v>033300</x:v>
      </x:c>
      <x:c r="D662" s="31" t="str">
        <x:v>BK0901</x:v>
      </x:c>
      <x:c r="E662" s="31" t="str">
        <x:v>Crown Heights (South)</x:v>
      </x:c>
      <x:c r="F662" s="31" t="n">
        <x:v>0.07194326229984505</x:v>
      </x:c>
      <x:c r="G662" s="31" t="n">
        <x:v>40.66583751548169</x:v>
      </x:c>
      <x:c r="H662" s="31" t="n">
        <x:v>-73.94252558723498</x:v>
      </x:c>
      <x:c r="I662" s="31" t="n">
        <x:v>4503</x:v>
      </x:c>
      <x:c r="J662" s="31" t="n">
        <x:v>62590.989844641765</x:v>
      </x:c>
      <x:c r="K662" s="31"/>
      <x:c r="L662" s="40"/>
      <x:c r="M662" s="40"/>
      <x:c r="N662" s="31" t="n">
        <x:v>379</x:v>
      </x:c>
      <x:c r="O662" s="31" t="n">
        <x:v>1435</x:v>
      </x:c>
      <x:c r="P662" s="31" t="n">
        <x:v>3.8369337979094076</x:v>
      </x:c>
      <x:c r="Q662" s="40" t="n">
        <x:v>0</x:v>
      </x:c>
      <x:c r="R662" s="40" t="n">
        <x:v>0.6724738675958188</x:v>
      </x:c>
      <x:c r="S662" s="40" t="n">
        <x:v>0</x:v>
      </x:c>
      <x:c r="T662" s="31" t="n">
        <x:v>43.457469364666665</x:v>
      </x:c>
      <x:c r="U662" s="31" t="n">
        <x:v>84</x:v>
      </x:c>
      <x:c r="V662" s="31" t="n">
        <x:v>17</x:v>
      </x:c>
      <x:c r="W662" s="31" t="n">
        <x:v>3.7752609371530093</x:v>
      </x:c>
      <x:c r="X662" s="31" t="n">
        <x:v>5</x:v>
      </x:c>
      <x:c r="Y662" s="40" t="n">
        <x:v>1</x:v>
      </x:c>
      <x:c r="Z662" s="40" t="n">
        <x:v>1</x:v>
      </x:c>
      <x:c r="AA662" s="40" t="n">
        <x:v>0.9303135888501742</x:v>
      </x:c>
      <x:c r="AB662" s="31" t="n">
        <x:v>0.3043635516673367</x:v>
      </x:c>
      <x:c r="AC662" s="31" t="n">
        <x:v>5</x:v>
      </x:c>
      <x:c r="AD662" s="44" t="b">
        <x:v>1</x:v>
      </x:c>
    </x:row>
    <x:row r="663">
      <x:c r="A663" s="31" t="str">
        <x:v>36047033500</x:v>
      </x:c>
      <x:c r="B663" s="31" t="str">
        <x:v>Brooklyn</x:v>
      </x:c>
      <x:c r="C663" s="31" t="str">
        <x:v>033500</x:v>
      </x:c>
      <x:c r="D663" s="31" t="str">
        <x:v>BK0901</x:v>
      </x:c>
      <x:c r="E663" s="31" t="str">
        <x:v>Crown Heights (South)</x:v>
      </x:c>
      <x:c r="F663" s="31" t="n">
        <x:v>0.06974493377812213</x:v>
      </x:c>
      <x:c r="G663" s="31" t="n">
        <x:v>40.667594109302925</x:v>
      </x:c>
      <x:c r="H663" s="31" t="n">
        <x:v>-73.94238906159065</x:v>
      </x:c>
      <x:c r="I663" s="31" t="n">
        <x:v>3231</x:v>
      </x:c>
      <x:c r="J663" s="31" t="n">
        <x:v>46325.94548413655</x:v>
      </x:c>
      <x:c r="K663" s="31"/>
      <x:c r="L663" s="40"/>
      <x:c r="M663" s="40"/>
      <x:c r="N663" s="31" t="n">
        <x:v>426</x:v>
      </x:c>
      <x:c r="O663" s="31" t="n">
        <x:v>905</x:v>
      </x:c>
      <x:c r="P663" s="31" t="n">
        <x:v>2.986740331491713</x:v>
      </x:c>
      <x:c r="Q663" s="40" t="n">
        <x:v>0</x:v>
      </x:c>
      <x:c r="R663" s="40" t="n">
        <x:v>0.512707182320442</x:v>
      </x:c>
      <x:c r="S663" s="40" t="n">
        <x:v>0.0077348066298342545</x:v>
      </x:c>
      <x:c r="T663" s="31" t="n">
        <x:v>37.27922957353267</x:v>
      </x:c>
      <x:c r="U663" s="31" t="n">
        <x:v>62.4</x:v>
      </x:c>
      <x:c r="V663" s="31" t="n">
        <x:v>8</x:v>
      </x:c>
      <x:c r="W663" s="31" t="n">
        <x:v>2.4760136180748993</x:v>
      </x:c>
      <x:c r="X663" s="31" t="n">
        <x:v>5</x:v>
      </x:c>
      <x:c r="Y663" s="40" t="n">
        <x:v>1</x:v>
      </x:c>
      <x:c r="Z663" s="40" t="n">
        <x:v>1</x:v>
      </x:c>
      <x:c r="AA663" s="40" t="n">
        <x:v>0.9977900552486187</x:v>
      </x:c>
      <x:c r="AB663" s="31" t="n">
        <x:v>0.377318385393053</x:v>
      </x:c>
      <x:c r="AC663" s="31" t="n">
        <x:v>4</x:v>
      </x:c>
      <x:c r="AD663" s="44" t="b">
        <x:v>1</x:v>
      </x:c>
    </x:row>
    <x:row r="664">
      <x:c r="A664" s="31" t="str">
        <x:v>36047033600</x:v>
      </x:c>
      <x:c r="B664" s="31" t="str">
        <x:v>Brooklyn</x:v>
      </x:c>
      <x:c r="C664" s="31" t="str">
        <x:v>033600</x:v>
      </x:c>
      <x:c r="D664" s="31" t="str">
        <x:v>BK1302</x:v>
      </x:c>
      <x:c r="E664" s="31" t="str">
        <x:v>Coney Island-Sea Gate</x:v>
      </x:c>
      <x:c r="F664" s="31" t="n">
        <x:v>0.26228234512346477</x:v>
      </x:c>
      <x:c r="G664" s="31" t="n">
        <x:v>40.57716307910989</x:v>
      </x:c>
      <x:c r="H664" s="31" t="n">
        <x:v>-74.00734792911608</x:v>
      </x:c>
      <x:c r="I664" s="31" t="n">
        <x:v>4765</x:v>
      </x:c>
      <x:c r="J664" s="31" t="n">
        <x:v>18167.444696885566</x:v>
      </x:c>
      <x:c r="K664" s="31"/>
      <x:c r="L664" s="40"/>
      <x:c r="M664" s="40"/>
      <x:c r="N664" s="31" t="n">
        <x:v>917</x:v>
      </x:c>
      <x:c r="O664" s="31" t="n">
        <x:v>1967</x:v>
      </x:c>
      <x:c r="P664" s="31" t="n">
        <x:v>2.2541122448979594</x:v>
      </x:c>
      <x:c r="Q664" s="40" t="n">
        <x:v>0</x:v>
      </x:c>
      <x:c r="R664" s="40" t="n">
        <x:v>0.1682765632943569</x:v>
      </x:c>
      <x:c r="S664" s="40" t="n">
        <x:v>0.010167768174885612</x:v>
      </x:c>
      <x:c r="T664" s="31" t="n">
        <x:v>30.776293769796126</x:v>
      </x:c>
      <x:c r="U664" s="31" t="n">
        <x:v>44.36</x:v>
      </x:c>
      <x:c r="V664" s="31" t="n">
        <x:v>12</x:v>
      </x:c>
      <x:c r="W664" s="31" t="n">
        <x:v>2.5183630640083945</x:v>
      </x:c>
      <x:c r="X664" s="31" t="n">
        <x:v>5</x:v>
      </x:c>
      <x:c r="Y664" s="40" t="n">
        <x:v>1</x:v>
      </x:c>
      <x:c r="Z664" s="40" t="n">
        <x:v>1</x:v>
      </x:c>
      <x:c r="AA664" s="40" t="n">
        <x:v>0.9974580579562786</x:v>
      </x:c>
      <x:c r="AB664" s="31" t="n">
        <x:v>0.3607154286964251</x:v>
      </x:c>
      <x:c r="AC664" s="31" t="n">
        <x:v>5</x:v>
      </x:c>
      <x:c r="AD664" s="44" t="b">
        <x:v>1</x:v>
      </x:c>
    </x:row>
    <x:row r="665">
      <x:c r="A665" s="31" t="str">
        <x:v>36047033701</x:v>
      </x:c>
      <x:c r="B665" s="31" t="str">
        <x:v>Brooklyn</x:v>
      </x:c>
      <x:c r="C665" s="31" t="str">
        <x:v>033701</x:v>
      </x:c>
      <x:c r="D665" s="31" t="str">
        <x:v>BK0802</x:v>
      </x:c>
      <x:c r="E665" s="31" t="str">
        <x:v>Crown Heights (North)</x:v>
      </x:c>
      <x:c r="F665" s="31" t="n">
        <x:v>0.038086067988478536</x:v>
      </x:c>
      <x:c r="G665" s="31" t="n">
        <x:v>40.66987616123385</x:v>
      </x:c>
      <x:c r="H665" s="31" t="n">
        <x:v>-73.94215986068635</x:v>
      </x:c>
      <x:c r="I665" s="31" t="n">
        <x:v>2510</x:v>
      </x:c>
      <x:c r="J665" s="31" t="n">
        <x:v>65903.3639481845</x:v>
      </x:c>
      <x:c r="K665" s="31"/>
      <x:c r="L665" s="40"/>
      <x:c r="M665" s="40"/>
      <x:c r="N665" s="31" t="n">
        <x:v>191</x:v>
      </x:c>
      <x:c r="O665" s="31" t="n">
        <x:v>904</x:v>
      </x:c>
      <x:c r="P665" s="31" t="n">
        <x:v>3.6526548672566372</x:v>
      </x:c>
      <x:c r="Q665" s="40" t="n">
        <x:v>0</x:v>
      </x:c>
      <x:c r="R665" s="40" t="n">
        <x:v>0.7002212389380531</x:v>
      </x:c>
      <x:c r="S665" s="40" t="n">
        <x:v>0</x:v>
      </x:c>
      <x:c r="T665" s="31" t="n">
        <x:v>46.89766786855023</x:v>
      </x:c>
      <x:c r="U665" s="31" t="n">
        <x:v>79.63</x:v>
      </x:c>
      <x:c r="V665" s="31" t="n">
        <x:v>8</x:v>
      </x:c>
      <x:c r="W665" s="31" t="n">
        <x:v>3.1872509960159365</x:v>
      </x:c>
      <x:c r="X665" s="31" t="n">
        <x:v>4.974557522123894</x:v>
      </x:c>
      <x:c r="Y665" s="40" t="n">
        <x:v>1</x:v>
      </x:c>
      <x:c r="Z665" s="40" t="n">
        <x:v>1</x:v>
      </x:c>
      <x:c r="AA665" s="40" t="n">
        <x:v>0.9690265486725663</x:v>
      </x:c>
      <x:c r="AB665" s="31" t="n">
        <x:v>0.3036788348138732</x:v>
      </x:c>
      <x:c r="AC665" s="31" t="n">
        <x:v>6</x:v>
      </x:c>
      <x:c r="AD665" s="44" t="b">
        <x:v>1</x:v>
      </x:c>
    </x:row>
    <x:row r="666">
      <x:c r="A666" s="31" t="str">
        <x:v>36047033702</x:v>
      </x:c>
      <x:c r="B666" s="31" t="str">
        <x:v>Brooklyn</x:v>
      </x:c>
      <x:c r="C666" s="31" t="str">
        <x:v>033702</x:v>
      </x:c>
      <x:c r="D666" s="31" t="str">
        <x:v>BK0901</x:v>
      </x:c>
      <x:c r="E666" s="31" t="str">
        <x:v>Crown Heights (South)</x:v>
      </x:c>
      <x:c r="F666" s="31" t="n">
        <x:v>0.03820533950226698</x:v>
      </x:c>
      <x:c r="G666" s="31" t="n">
        <x:v>40.66892827513922</x:v>
      </x:c>
      <x:c r="H666" s="31" t="n">
        <x:v>-73.94220346663823</x:v>
      </x:c>
      <x:c r="I666" s="31" t="n">
        <x:v>2116</x:v>
      </x:c>
      <x:c r="J666" s="31" t="n">
        <x:v>55384.92858765051</x:v>
      </x:c>
      <x:c r="K666" s="31"/>
      <x:c r="L666" s="40"/>
      <x:c r="M666" s="40"/>
      <x:c r="N666" s="31" t="n">
        <x:v>196</x:v>
      </x:c>
      <x:c r="O666" s="31" t="n">
        <x:v>647</x:v>
      </x:c>
      <x:c r="P666" s="31" t="n">
        <x:v>3.5694227769110762</x:v>
      </x:c>
      <x:c r="Q666" s="40" t="n">
        <x:v>0</x:v>
      </x:c>
      <x:c r="R666" s="40" t="n">
        <x:v>0.6970633693972179</x:v>
      </x:c>
      <x:c r="S666" s="40" t="n">
        <x:v>0.0015455950540958269</x:v>
      </x:c>
      <x:c r="T666" s="31" t="n">
        <x:v>44.09746835753555</x:v>
      </x:c>
      <x:c r="U666" s="31" t="n">
        <x:v>98</x:v>
      </x:c>
      <x:c r="V666" s="31" t="n">
        <x:v>9</x:v>
      </x:c>
      <x:c r="W666" s="31" t="n">
        <x:v>4.253308128544424</x:v>
      </x:c>
      <x:c r="X666" s="31" t="n">
        <x:v>5</x:v>
      </x:c>
      <x:c r="Y666" s="40" t="n">
        <x:v>1</x:v>
      </x:c>
      <x:c r="Z666" s="40" t="n">
        <x:v>1</x:v>
      </x:c>
      <x:c r="AA666" s="40" t="n">
        <x:v>0.9783616692426584</x:v>
      </x:c>
      <x:c r="AB666" s="31" t="n">
        <x:v>0.34755866256009477</x:v>
      </x:c>
      <x:c r="AC666" s="31" t="n">
        <x:v>6</x:v>
      </x:c>
      <x:c r="AD666" s="44" t="b">
        <x:v>1</x:v>
      </x:c>
    </x:row>
    <x:row r="667">
      <x:c r="A667" s="31" t="str">
        <x:v>36047033900</x:v>
      </x:c>
      <x:c r="B667" s="31" t="str">
        <x:v>Brooklyn</x:v>
      </x:c>
      <x:c r="C667" s="31" t="str">
        <x:v>033900</x:v>
      </x:c>
      <x:c r="D667" s="31" t="str">
        <x:v>BK0802</x:v>
      </x:c>
      <x:c r="E667" s="31" t="str">
        <x:v>Crown Heights (North)</x:v>
      </x:c>
      <x:c r="F667" s="31" t="n">
        <x:v>0.0697908713760474</x:v>
      </x:c>
      <x:c r="G667" s="31" t="n">
        <x:v>40.67121177125859</x:v>
      </x:c>
      <x:c r="H667" s="31" t="n">
        <x:v>-73.942014599842</x:v>
      </x:c>
      <x:c r="I667" s="31" t="n">
        <x:v>4676</x:v>
      </x:c>
      <x:c r="J667" s="31" t="n">
        <x:v>67000.16646596603</x:v>
      </x:c>
      <x:c r="K667" s="31"/>
      <x:c r="L667" s="40"/>
      <x:c r="M667" s="40"/>
      <x:c r="N667" s="31" t="n">
        <x:v>444</x:v>
      </x:c>
      <x:c r="O667" s="31" t="n">
        <x:v>2057</x:v>
      </x:c>
      <x:c r="P667" s="31" t="n">
        <x:v>4.477637335926106</x:v>
      </x:c>
      <x:c r="Q667" s="40" t="n">
        <x:v>0</x:v>
      </x:c>
      <x:c r="R667" s="40" t="n">
        <x:v>0.8011667476908119</x:v>
      </x:c>
      <x:c r="S667" s="40" t="n">
        <x:v>0.0009722897423432182</x:v>
      </x:c>
      <x:c r="T667" s="31" t="n">
        <x:v>48.441698824861454</x:v>
      </x:c>
      <x:c r="U667" s="31" t="n">
        <x:v>75.83</x:v>
      </x:c>
      <x:c r="V667" s="31" t="n">
        <x:v>18</x:v>
      </x:c>
      <x:c r="W667" s="31" t="n">
        <x:v>3.849443969204448</x:v>
      </x:c>
      <x:c r="X667" s="31" t="n">
        <x:v>4.939231891103549</x:v>
      </x:c>
      <x:c r="Y667" s="40" t="n">
        <x:v>1</x:v>
      </x:c>
      <x:c r="Z667" s="40" t="n">
        <x:v>1</x:v>
      </x:c>
      <x:c r="AA667" s="40" t="n">
        <x:v>1</x:v>
      </x:c>
      <x:c r="AB667" s="31" t="n">
        <x:v>0.21219723499857396</x:v>
      </x:c>
      <x:c r="AC667" s="31" t="n">
        <x:v>7</x:v>
      </x:c>
      <x:c r="AD667" s="44" t="b">
        <x:v>1</x:v>
      </x:c>
    </x:row>
    <x:row r="668">
      <x:c r="A668" s="31" t="str">
        <x:v>36047034000</x:v>
      </x:c>
      <x:c r="B668" s="31" t="str">
        <x:v>Brooklyn</x:v>
      </x:c>
      <x:c r="C668" s="31" t="str">
        <x:v>034000</x:v>
      </x:c>
      <x:c r="D668" s="31" t="str">
        <x:v>BK1302</x:v>
      </x:c>
      <x:c r="E668" s="31" t="str">
        <x:v>Coney Island-Sea Gate</x:v>
      </x:c>
      <x:c r="F668" s="31" t="n">
        <x:v>0.05090778305605774</x:v>
      </x:c>
      <x:c r="G668" s="31" t="n">
        <x:v>40.572308957918956</x:v>
      </x:c>
      <x:c r="H668" s="31" t="n">
        <x:v>-73.99647455840672</x:v>
      </x:c>
      <x:c r="I668" s="31" t="n">
        <x:v>1958</x:v>
      </x:c>
      <x:c r="J668" s="31" t="n">
        <x:v>38461.70236570553</x:v>
      </x:c>
      <x:c r="K668" s="31"/>
      <x:c r="L668" s="40"/>
      <x:c r="M668" s="40"/>
      <x:c r="N668" s="31" t="n">
        <x:v>3</x:v>
      </x:c>
      <x:c r="O668" s="31" t="n">
        <x:v>970</x:v>
      </x:c>
      <x:c r="P668" s="31" t="n">
        <x:v>16.95360824742268</x:v>
      </x:c>
      <x:c r="Q668" s="40" t="n">
        <x:v>0.988659793814433</x:v>
      </x:c>
      <x:c r="R668" s="40" t="n">
        <x:v>0.01134020618556701</x:v>
      </x:c>
      <x:c r="S668" s="40" t="n">
        <x:v>0.5505154639175258</x:v>
      </x:c>
      <x:c r="T668" s="31" t="n">
        <x:v>165.4340824742268</x:v>
      </x:c>
      <x:c r="U668" s="31" t="n">
        <x:v>220</x:v>
      </x:c>
      <x:c r="V668" s="31" t="n">
        <x:v>17</x:v>
      </x:c>
      <x:c r="W668" s="31" t="n">
        <x:v>8.682328907048008</x:v>
      </x:c>
      <x:c r="X668" s="31" t="n">
        <x:v>5</x:v>
      </x:c>
      <x:c r="Y668" s="40" t="n">
        <x:v>1</x:v>
      </x:c>
      <x:c r="Z668" s="40" t="n">
        <x:v>1</x:v>
      </x:c>
      <x:c r="AA668" s="40" t="n">
        <x:v>1</x:v>
      </x:c>
      <x:c r="AB668" s="31" t="n">
        <x:v>0.1547854929598735</x:v>
      </x:c>
      <x:c r="AC668" s="31" t="n">
        <x:v>4</x:v>
      </x:c>
      <x:c r="AD668" s="44" t="b">
        <x:v>1</x:v>
      </x:c>
    </x:row>
    <x:row r="669">
      <x:c r="A669" s="31" t="str">
        <x:v>36047034100</x:v>
      </x:c>
      <x:c r="B669" s="31" t="str">
        <x:v>Brooklyn</x:v>
      </x:c>
      <x:c r="C669" s="31" t="str">
        <x:v>034100</x:v>
      </x:c>
      <x:c r="D669" s="31" t="str">
        <x:v>BK0802</x:v>
      </x:c>
      <x:c r="E669" s="31" t="str">
        <x:v>Crown Heights (North)</x:v>
      </x:c>
      <x:c r="F669" s="31" t="n">
        <x:v>0.05395962690792872</x:v>
      </x:c>
      <x:c r="G669" s="31" t="n">
        <x:v>40.67356602771247</x:v>
      </x:c>
      <x:c r="H669" s="31" t="n">
        <x:v>-73.94458663490634</x:v>
      </x:c>
      <x:c r="I669" s="31" t="n">
        <x:v>2685</x:v>
      </x:c>
      <x:c r="J669" s="31" t="n">
        <x:v>49759.42484890442</x:v>
      </x:c>
      <x:c r="K669" s="31"/>
      <x:c r="L669" s="40"/>
      <x:c r="M669" s="40"/>
      <x:c r="N669" s="31" t="n">
        <x:v>143</x:v>
      </x:c>
      <x:c r="O669" s="31" t="n">
        <x:v>1047</x:v>
      </x:c>
      <x:c r="P669" s="31" t="n">
        <x:v>4.53080229226361</x:v>
      </x:c>
      <x:c r="Q669" s="40" t="n">
        <x:v>0</x:v>
      </x:c>
      <x:c r="R669" s="40" t="n">
        <x:v>0.9188156638013372</x:v>
      </x:c>
      <x:c r="S669" s="40" t="n">
        <x:v>0</x:v>
      </x:c>
      <x:c r="T669" s="31" t="n">
        <x:v>55.04336198662846</x:v>
      </x:c>
      <x:c r="U669" s="31" t="n">
        <x:v>80.43</x:v>
      </x:c>
      <x:c r="V669" s="31" t="n">
        <x:v>15</x:v>
      </x:c>
      <x:c r="W669" s="31" t="n">
        <x:v>5.58659217877095</x:v>
      </x:c>
      <x:c r="X669" s="31" t="n">
        <x:v>4.833810888252149</x:v>
      </x:c>
      <x:c r="Y669" s="40" t="n">
        <x:v>1</x:v>
      </x:c>
      <x:c r="Z669" s="40" t="n">
        <x:v>1</x:v>
      </x:c>
      <x:c r="AA669" s="40" t="n">
        <x:v>1</x:v>
      </x:c>
      <x:c r="AB669" s="31" t="n">
        <x:v>0.07076208498907692</x:v>
      </x:c>
      <x:c r="AC669" s="31" t="n">
        <x:v>7</x:v>
      </x:c>
      <x:c r="AD669" s="44" t="b">
        <x:v>1</x:v>
      </x:c>
    </x:row>
    <x:row r="670">
      <x:c r="A670" s="31" t="str">
        <x:v>36047034200</x:v>
      </x:c>
      <x:c r="B670" s="31" t="str">
        <x:v>Brooklyn</x:v>
      </x:c>
      <x:c r="C670" s="31" t="str">
        <x:v>034200</x:v>
      </x:c>
      <x:c r="D670" s="31" t="str">
        <x:v>BK1302</x:v>
      </x:c>
      <x:c r="E670" s="31" t="str">
        <x:v>Coney Island-Sea Gate</x:v>
      </x:c>
      <x:c r="F670" s="31" t="n">
        <x:v>0.08878492278968664</x:v>
      </x:c>
      <x:c r="G670" s="31" t="n">
        <x:v>40.57410780321054</x:v>
      </x:c>
      <x:c r="H670" s="31" t="n">
        <x:v>-73.99686305678186</x:v>
      </x:c>
      <x:c r="I670" s="31" t="n">
        <x:v>7060</x:v>
      </x:c>
      <x:c r="J670" s="31" t="n">
        <x:v>79518.0057398225</x:v>
      </x:c>
      <x:c r="K670" s="31"/>
      <x:c r="L670" s="40"/>
      <x:c r="M670" s="40"/>
      <x:c r="N670" s="31" t="n">
        <x:v>50</x:v>
      </x:c>
      <x:c r="O670" s="31" t="n">
        <x:v>3341</x:v>
      </x:c>
      <x:c r="P670" s="31" t="n">
        <x:v>16.23076923076923</x:v>
      </x:c>
      <x:c r="Q670" s="40" t="n">
        <x:v>0.9102065249925172</x:v>
      </x:c>
      <x:c r="R670" s="40" t="n">
        <x:v>0.030529781502544148</x:v>
      </x:c>
      <x:c r="S670" s="40" t="n">
        <x:v>0.4393894043699491</x:v>
      </x:c>
      <x:c r="T670" s="31" t="n">
        <x:v>130.33638738039733</x:v>
      </x:c>
      <x:c r="U670" s="31" t="n">
        <x:v>213.18</x:v>
      </x:c>
      <x:c r="V670" s="31" t="n">
        <x:v>48</x:v>
      </x:c>
      <x:c r="W670" s="31" t="n">
        <x:v>6.798866855524079</x:v>
      </x:c>
      <x:c r="X670" s="31" t="n">
        <x:v>5</x:v>
      </x:c>
      <x:c r="Y670" s="40" t="n">
        <x:v>1</x:v>
      </x:c>
      <x:c r="Z670" s="40" t="n">
        <x:v>1</x:v>
      </x:c>
      <x:c r="AA670" s="40" t="n">
        <x:v>0.9416342412451362</x:v>
      </x:c>
      <x:c r="AB670" s="31" t="n">
        <x:v>0.07587729843906904</x:v>
      </x:c>
      <x:c r="AC670" s="31" t="n">
        <x:v>5</x:v>
      </x:c>
      <x:c r="AD670" s="44" t="b">
        <x:v>1</x:v>
      </x:c>
    </x:row>
    <x:row r="671">
      <x:c r="A671" s="31" t="str">
        <x:v>36047034300</x:v>
      </x:c>
      <x:c r="B671" s="31" t="str">
        <x:v>Brooklyn</x:v>
      </x:c>
      <x:c r="C671" s="31" t="str">
        <x:v>034300</x:v>
      </x:c>
      <x:c r="D671" s="31" t="str">
        <x:v>BK0802</x:v>
      </x:c>
      <x:c r="E671" s="31" t="str">
        <x:v>Crown Heights (North)</x:v>
      </x:c>
      <x:c r="F671" s="31" t="n">
        <x:v>0.06259921319587924</x:v>
      </x:c>
      <x:c r="G671" s="31" t="n">
        <x:v>40.67350281231343</x:v>
      </x:c>
      <x:c r="H671" s="31" t="n">
        <x:v>-73.93883791162462</x:v>
      </x:c>
      <x:c r="I671" s="31" t="n">
        <x:v>5024</x:v>
      </x:c>
      <x:c r="J671" s="31" t="n">
        <x:v>80256.59977992691</x:v>
      </x:c>
      <x:c r="K671" s="31"/>
      <x:c r="L671" s="40"/>
      <x:c r="M671" s="40"/>
      <x:c r="N671" s="31" t="n">
        <x:v>241</x:v>
      </x:c>
      <x:c r="O671" s="31" t="n">
        <x:v>2030</x:v>
      </x:c>
      <x:c r="P671" s="31" t="n">
        <x:v>9.693103448275862</x:v>
      </x:c>
      <x:c r="Q671" s="40" t="n">
        <x:v>0.6054187192118227</x:v>
      </x:c>
      <x:c r="R671" s="40" t="n">
        <x:v>0.23793103448275862</x:v>
      </x:c>
      <x:c r="S671" s="40" t="n">
        <x:v>0.6054187192118227</x:v>
      </x:c>
      <x:c r="T671" s="31" t="n">
        <x:v>107.40306364865026</x:v>
      </x:c>
      <x:c r="U671" s="31" t="n">
        <x:v>172.25</x:v>
      </x:c>
      <x:c r="V671" s="31" t="n">
        <x:v>18</x:v>
      </x:c>
      <x:c r="W671" s="31" t="n">
        <x:v>3.582802547770701</x:v>
      </x:c>
      <x:c r="X671" s="31" t="n">
        <x:v>5</x:v>
      </x:c>
      <x:c r="Y671" s="40" t="n">
        <x:v>1</x:v>
      </x:c>
      <x:c r="Z671" s="40" t="n">
        <x:v>1</x:v>
      </x:c>
      <x:c r="AA671" s="40" t="n">
        <x:v>1</x:v>
      </x:c>
      <x:c r="AB671" s="31" t="n">
        <x:v>0.11331195451986245</x:v>
      </x:c>
      <x:c r="AC671" s="31" t="n">
        <x:v>7</x:v>
      </x:c>
      <x:c r="AD671" s="44" t="b">
        <x:v>1</x:v>
      </x:c>
    </x:row>
    <x:row r="672">
      <x:c r="A672" s="31" t="str">
        <x:v>36047034500</x:v>
      </x:c>
      <x:c r="B672" s="31" t="str">
        <x:v>Brooklyn</x:v>
      </x:c>
      <x:c r="C672" s="31" t="str">
        <x:v>034500</x:v>
      </x:c>
      <x:c r="D672" s="31" t="str">
        <x:v>BK0802</x:v>
      </x:c>
      <x:c r="E672" s="31" t="str">
        <x:v>Crown Heights (North)</x:v>
      </x:c>
      <x:c r="F672" s="31" t="n">
        <x:v>0.06312900221210686</x:v>
      </x:c>
      <x:c r="G672" s="31" t="n">
        <x:v>40.6732283491238</x:v>
      </x:c>
      <x:c r="H672" s="31" t="n">
        <x:v>-73.93369380640384</x:v>
      </x:c>
      <x:c r="I672" s="31" t="n">
        <x:v>2738</x:v>
      </x:c>
      <x:c r="J672" s="31" t="n">
        <x:v>43371.50761231114</x:v>
      </x:c>
      <x:c r="K672" s="31"/>
      <x:c r="L672" s="40"/>
      <x:c r="M672" s="40"/>
      <x:c r="N672" s="31" t="n">
        <x:v>338</x:v>
      </x:c>
      <x:c r="O672" s="31" t="n">
        <x:v>1096</x:v>
      </x:c>
      <x:c r="P672" s="31" t="n">
        <x:v>2.8567518248175183</x:v>
      </x:c>
      <x:c r="Q672" s="40" t="n">
        <x:v>0</x:v>
      </x:c>
      <x:c r="R672" s="40" t="n">
        <x:v>0.5</x:v>
      </x:c>
      <x:c r="S672" s="40" t="n">
        <x:v>0.002737226277372263</x:v>
      </x:c>
      <x:c r="T672" s="31" t="n">
        <x:v>32.59942800105119</x:v>
      </x:c>
      <x:c r="U672" s="31" t="n">
        <x:v>55</x:v>
      </x:c>
      <x:c r="V672" s="31" t="n">
        <x:v>4</x:v>
      </x:c>
      <x:c r="W672" s="31" t="n">
        <x:v>1.4609203798392987</x:v>
      </x:c>
      <x:c r="X672" s="31" t="n">
        <x:v>5</x:v>
      </x:c>
      <x:c r="Y672" s="40" t="n">
        <x:v>1</x:v>
      </x:c>
      <x:c r="Z672" s="40" t="n">
        <x:v>1</x:v>
      </x:c>
      <x:c r="AA672" s="40" t="n">
        <x:v>0.9981751824817519</x:v>
      </x:c>
      <x:c r="AB672" s="31" t="n">
        <x:v>0.11292717948333418</x:v>
      </x:c>
      <x:c r="AC672" s="31" t="n">
        <x:v>9</x:v>
      </x:c>
      <x:c r="AD672" s="44" t="b">
        <x:v>1</x:v>
      </x:c>
    </x:row>
    <x:row r="673">
      <x:c r="A673" s="31" t="str">
        <x:v>36047034700</x:v>
      </x:c>
      <x:c r="B673" s="31" t="str">
        <x:v>Brooklyn</x:v>
      </x:c>
      <x:c r="C673" s="31" t="str">
        <x:v>034700</x:v>
      </x:c>
      <x:c r="D673" s="31" t="str">
        <x:v>BK0802</x:v>
      </x:c>
      <x:c r="E673" s="31" t="str">
        <x:v>Crown Heights (North)</x:v>
      </x:c>
      <x:c r="F673" s="31" t="n">
        <x:v>0.05398648127654385</x:v>
      </x:c>
      <x:c r="G673" s="31" t="n">
        <x:v>40.672658364225626</x:v>
      </x:c>
      <x:c r="H673" s="31" t="n">
        <x:v>-73.92797377147654</x:v>
      </x:c>
      <x:c r="I673" s="31" t="n">
        <x:v>3645</x:v>
      </x:c>
      <x:c r="J673" s="31" t="n">
        <x:v>67516.90263583981</x:v>
      </x:c>
      <x:c r="K673" s="31"/>
      <x:c r="L673" s="40"/>
      <x:c r="M673" s="40"/>
      <x:c r="N673" s="31" t="n">
        <x:v>204</x:v>
      </x:c>
      <x:c r="O673" s="31" t="n">
        <x:v>1678</x:v>
      </x:c>
      <x:c r="P673" s="31" t="n">
        <x:v>3.9475566150178785</x:v>
      </x:c>
      <x:c r="Q673" s="40" t="n">
        <x:v>0</x:v>
      </x:c>
      <x:c r="R673" s="40" t="n">
        <x:v>0.8682955899880811</x:v>
      </x:c>
      <x:c r="S673" s="40" t="n">
        <x:v>0.04707985697258641</x:v>
      </x:c>
      <x:c r="T673" s="31" t="n">
        <x:v>43.04828080465444</x:v>
      </x:c>
      <x:c r="U673" s="31" t="n">
        <x:v>94</x:v>
      </x:c>
      <x:c r="V673" s="31" t="n">
        <x:v>9</x:v>
      </x:c>
      <x:c r="W673" s="31" t="n">
        <x:v>2.4691358024691357</x:v>
      </x:c>
      <x:c r="X673" s="31" t="n">
        <x:v>5</x:v>
      </x:c>
      <x:c r="Y673" s="40" t="n">
        <x:v>1</x:v>
      </x:c>
      <x:c r="Z673" s="40" t="n">
        <x:v>1</x:v>
      </x:c>
      <x:c r="AA673" s="40" t="n">
        <x:v>0.9743742550655542</x:v>
      </x:c>
      <x:c r="AB673" s="31" t="n">
        <x:v>0.026410247840830594</x:v>
      </x:c>
      <x:c r="AC673" s="31" t="n">
        <x:v>7</x:v>
      </x:c>
      <x:c r="AD673" s="44" t="b">
        <x:v>1</x:v>
      </x:c>
    </x:row>
    <x:row r="674">
      <x:c r="A674" s="31" t="str">
        <x:v>36047034800</x:v>
      </x:c>
      <x:c r="B674" s="31" t="str">
        <x:v>Brooklyn</x:v>
      </x:c>
      <x:c r="C674" s="31" t="str">
        <x:v>034800</x:v>
      </x:c>
      <x:c r="D674" s="31" t="str">
        <x:v>BK1302</x:v>
      </x:c>
      <x:c r="E674" s="31" t="str">
        <x:v>Coney Island-Sea Gate</x:v>
      </x:c>
      <x:c r="F674" s="31" t="n">
        <x:v>0.25057142222867884</x:v>
      </x:c>
      <x:c r="G674" s="31" t="n">
        <x:v>40.580940939365234</x:v>
      </x:c>
      <x:c r="H674" s="31" t="n">
        <x:v>-73.98252969505664</x:v>
      </x:c>
      <x:c r="I674" s="31" t="n">
        <x:v>2828</x:v>
      </x:c>
      <x:c r="J674" s="31" t="n">
        <x:v>11286.20325034147</x:v>
      </x:c>
      <x:c r="K674" s="31"/>
      <x:c r="L674" s="40"/>
      <x:c r="M674" s="40"/>
      <x:c r="N674" s="31" t="n">
        <x:v>204</x:v>
      </x:c>
      <x:c r="O674" s="31" t="n">
        <x:v>1418</x:v>
      </x:c>
      <x:c r="P674" s="31" t="n">
        <x:v>10.438562322946176</x:v>
      </x:c>
      <x:c r="Q674" s="40" t="n">
        <x:v>0.3455571227080395</x:v>
      </x:c>
      <x:c r="R674" s="40" t="n">
        <x:v>0.4513399153737659</x:v>
      </x:c>
      <x:c r="S674" s="40" t="n">
        <x:v>0.04231311706629055</x:v>
      </x:c>
      <x:c r="T674" s="31" t="n">
        <x:v>82.78550355545303</x:v>
      </x:c>
      <x:c r="U674" s="31" t="n">
        <x:v>162.3</x:v>
      </x:c>
      <x:c r="V674" s="31" t="n">
        <x:v>31</x:v>
      </x:c>
      <x:c r="W674" s="31" t="n">
        <x:v>10.961810466760962</x:v>
      </x:c>
      <x:c r="X674" s="31" t="n">
        <x:v>4.96262341325811</x:v>
      </x:c>
      <x:c r="Y674" s="40" t="n">
        <x:v>1</x:v>
      </x:c>
      <x:c r="Z674" s="40" t="n">
        <x:v>1</x:v>
      </x:c>
      <x:c r="AA674" s="40" t="n">
        <x:v>0.8483779971791255</x:v>
      </x:c>
      <x:c r="AB674" s="31" t="n">
        <x:v>0.23087715042160295</x:v>
      </x:c>
      <x:c r="AC674" s="31" t="n">
        <x:v>9</x:v>
      </x:c>
      <x:c r="AD674" s="44" t="b">
        <x:v>1</x:v>
      </x:c>
    </x:row>
    <x:row r="675">
      <x:c r="A675" s="31" t="str">
        <x:v>36047034901</x:v>
      </x:c>
      <x:c r="B675" s="31" t="str">
        <x:v>Brooklyn</x:v>
      </x:c>
      <x:c r="C675" s="31" t="str">
        <x:v>034901</x:v>
      </x:c>
      <x:c r="D675" s="31" t="str">
        <x:v>BK0802</x:v>
      </x:c>
      <x:c r="E675" s="31" t="str">
        <x:v>Crown Heights (North)</x:v>
      </x:c>
      <x:c r="F675" s="31" t="n">
        <x:v>0.027008871518774392</x:v>
      </x:c>
      <x:c r="G675" s="31" t="n">
        <x:v>40.67006033447916</x:v>
      </x:c>
      <x:c r="H675" s="31" t="n">
        <x:v>-73.92960876976383</x:v>
      </x:c>
      <x:c r="I675" s="31" t="n">
        <x:v>2067</x:v>
      </x:c>
      <x:c r="J675" s="31" t="n">
        <x:v>76530.40959386948</x:v>
      </x:c>
      <x:c r="K675" s="31"/>
      <x:c r="L675" s="40"/>
      <x:c r="M675" s="40"/>
      <x:c r="N675" s="31" t="n">
        <x:v>112</x:v>
      </x:c>
      <x:c r="O675" s="31" t="n">
        <x:v>877</x:v>
      </x:c>
      <x:c r="P675" s="31" t="n">
        <x:v>3.7297605473204105</x:v>
      </x:c>
      <x:c r="Q675" s="40" t="n">
        <x:v>0</x:v>
      </x:c>
      <x:c r="R675" s="40" t="n">
        <x:v>0.8734321550741163</x:v>
      </x:c>
      <x:c r="S675" s="40" t="n">
        <x:v>0</x:v>
      </x:c>
      <x:c r="T675" s="31" t="n">
        <x:v>40.61836616122007</x:v>
      </x:c>
      <x:c r="U675" s="31" t="n">
        <x:v>62</x:v>
      </x:c>
      <x:c r="V675" s="31" t="n">
        <x:v>1</x:v>
      </x:c>
      <x:c r="W675" s="31" t="n">
        <x:v>0.4837929366231253</x:v>
      </x:c>
      <x:c r="X675" s="31" t="n">
        <x:v>5</x:v>
      </x:c>
      <x:c r="Y675" s="40" t="n">
        <x:v>1</x:v>
      </x:c>
      <x:c r="Z675" s="40" t="n">
        <x:v>1</x:v>
      </x:c>
      <x:c r="AA675" s="40" t="n">
        <x:v>1</x:v>
      </x:c>
      <x:c r="AB675" s="31" t="n">
        <x:v>0.19171567100368114</x:v>
      </x:c>
      <x:c r="AC675" s="31" t="n">
        <x:v>7</x:v>
      </x:c>
      <x:c r="AD675" s="44" t="b">
        <x:v>1</x:v>
      </x:c>
    </x:row>
    <x:row r="676">
      <x:c r="A676" s="31" t="str">
        <x:v>36047034902</x:v>
      </x:c>
      <x:c r="B676" s="31" t="str">
        <x:v>Brooklyn</x:v>
      </x:c>
      <x:c r="C676" s="31" t="str">
        <x:v>034902</x:v>
      </x:c>
      <x:c r="D676" s="31" t="str">
        <x:v>BK0901</x:v>
      </x:c>
      <x:c r="E676" s="31" t="str">
        <x:v>Crown Heights (South)</x:v>
      </x:c>
      <x:c r="F676" s="31" t="n">
        <x:v>0.036010263423654154</x:v>
      </x:c>
      <x:c r="G676" s="31" t="n">
        <x:v>40.66693994917916</x:v>
      </x:c>
      <x:c r="H676" s="31" t="n">
        <x:v>-73.92990505283346</x:v>
      </x:c>
      <x:c r="I676" s="31" t="n">
        <x:v>3347</x:v>
      </x:c>
      <x:c r="J676" s="31" t="n">
        <x:v>92945.72385164635</x:v>
      </x:c>
      <x:c r="K676" s="31"/>
      <x:c r="L676" s="40"/>
      <x:c r="M676" s="40"/>
      <x:c r="N676" s="31" t="n">
        <x:v>150</x:v>
      </x:c>
      <x:c r="O676" s="31" t="n">
        <x:v>1383</x:v>
      </x:c>
      <x:c r="P676" s="31" t="n">
        <x:v>4.792118582791034</x:v>
      </x:c>
      <x:c r="Q676" s="40" t="n">
        <x:v>0.033261026753434564</x:v>
      </x:c>
      <x:c r="R676" s="40" t="n">
        <x:v>0.7729573391178597</x:v>
      </x:c>
      <x:c r="S676" s="40" t="n">
        <x:v>0.0014461315979754157</x:v>
      </x:c>
      <x:c r="T676" s="31" t="n">
        <x:v>55.05109009038828</x:v>
      </x:c>
      <x:c r="U676" s="31" t="n">
        <x:v>95</x:v>
      </x:c>
      <x:c r="V676" s="31" t="n">
        <x:v>13</x:v>
      </x:c>
      <x:c r="W676" s="31" t="n">
        <x:v>3.884075291305647</x:v>
      </x:c>
      <x:c r="X676" s="31" t="n">
        <x:v>5</x:v>
      </x:c>
      <x:c r="Y676" s="40" t="n">
        <x:v>1</x:v>
      </x:c>
      <x:c r="Z676" s="40" t="n">
        <x:v>1</x:v>
      </x:c>
      <x:c r="AA676" s="40" t="n">
        <x:v>0.9869848156182213</x:v>
      </x:c>
      <x:c r="AB676" s="31" t="n">
        <x:v>0.22336293001279073</x:v>
      </x:c>
      <x:c r="AC676" s="31" t="n">
        <x:v>6</x:v>
      </x:c>
      <x:c r="AD676" s="44" t="b">
        <x:v>1</x:v>
      </x:c>
    </x:row>
    <x:row r="677">
      <x:c r="A677" s="31" t="str">
        <x:v>36047035000</x:v>
      </x:c>
      <x:c r="B677" s="31" t="str">
        <x:v>Brooklyn</x:v>
      </x:c>
      <x:c r="C677" s="31" t="str">
        <x:v>035000</x:v>
      </x:c>
      <x:c r="D677" s="31" t="str">
        <x:v>BK1302</x:v>
      </x:c>
      <x:c r="E677" s="31" t="str">
        <x:v>Coney Island-Sea Gate</x:v>
      </x:c>
      <x:c r="F677" s="31" t="n">
        <x:v>0.07616095048639808</x:v>
      </x:c>
      <x:c r="G677" s="31" t="n">
        <x:v>40.57756501622018</x:v>
      </x:c>
      <x:c r="H677" s="31" t="n">
        <x:v>-73.97892079557171</x:v>
      </x:c>
      <x:c r="I677" s="31" t="n">
        <x:v>3082</x:v>
      </x:c>
      <x:c r="J677" s="31" t="n">
        <x:v>40466.93194237942</x:v>
      </x:c>
      <x:c r="K677" s="31"/>
      <x:c r="L677" s="40"/>
      <x:c r="M677" s="40"/>
      <x:c r="N677" s="31" t="n">
        <x:v>2</x:v>
      </x:c>
      <x:c r="O677" s="31" t="n">
        <x:v>1586</x:v>
      </x:c>
      <x:c r="P677" s="31" t="n">
        <x:v>19.904161412358135</x:v>
      </x:c>
      <x:c r="Q677" s="40" t="n">
        <x:v>0.9949558638083228</x:v>
      </x:c>
      <x:c r="R677" s="40" t="n">
        <x:v>0</x:v>
      </x:c>
      <x:c r="S677" s="40" t="n">
        <x:v>0.9949558638083228</x:v>
      </x:c>
      <x:c r="T677" s="31" t="n">
        <x:v>177.54502160319043</x:v>
      </x:c>
      <x:c r="U677" s="31" t="n">
        <x:v>178.38489497</x:v>
      </x:c>
      <x:c r="V677" s="31" t="n">
        <x:v>15</x:v>
      </x:c>
      <x:c r="W677" s="31" t="n">
        <x:v>4.866969500324465</x:v>
      </x:c>
      <x:c r="X677" s="31" t="n">
        <x:v>5</x:v>
      </x:c>
      <x:c r="Y677" s="40" t="n">
        <x:v>1</x:v>
      </x:c>
      <x:c r="Z677" s="40" t="n">
        <x:v>1</x:v>
      </x:c>
      <x:c r="AA677" s="40" t="n">
        <x:v>1</x:v>
      </x:c>
      <x:c r="AB677" s="31" t="n">
        <x:v>0.0748093975319158</x:v>
      </x:c>
      <x:c r="AC677" s="31" t="n">
        <x:v>3</x:v>
      </x:c>
      <x:c r="AD677" s="44" t="b">
        <x:v>1</x:v>
      </x:c>
    </x:row>
    <x:row r="678">
      <x:c r="A678" s="31" t="str">
        <x:v>36047035101</x:v>
      </x:c>
      <x:c r="B678" s="31" t="str">
        <x:v>Brooklyn</x:v>
      </x:c>
      <x:c r="C678" s="31" t="str">
        <x:v>035101</x:v>
      </x:c>
      <x:c r="D678" s="31" t="str">
        <x:v>BK0802</x:v>
      </x:c>
      <x:c r="E678" s="31" t="str">
        <x:v>Crown Heights (North)</x:v>
      </x:c>
      <x:c r="F678" s="31" t="n">
        <x:v>0.026997006223671374</x:v>
      </x:c>
      <x:c r="G678" s="31" t="n">
        <x:v>40.6702127827801</x:v>
      </x:c>
      <x:c r="H678" s="31" t="n">
        <x:v>-73.9323785775798</x:v>
      </x:c>
      <x:c r="I678" s="31" t="n">
        <x:v>2243</x:v>
      </x:c>
      <x:c r="J678" s="31" t="n">
        <x:v>83083.28639911578</x:v>
      </x:c>
      <x:c r="K678" s="31"/>
      <x:c r="L678" s="40"/>
      <x:c r="M678" s="40"/>
      <x:c r="N678" s="31" t="n">
        <x:v>124</x:v>
      </x:c>
      <x:c r="O678" s="31" t="n">
        <x:v>776</x:v>
      </x:c>
      <x:c r="P678" s="31" t="n">
        <x:v>4.675257731958763</x:v>
      </x:c>
      <x:c r="Q678" s="40" t="n">
        <x:v>0.11211340206185567</x:v>
      </x:c>
      <x:c r="R678" s="40" t="n">
        <x:v>0.7757731958762887</x:v>
      </x:c>
      <x:c r="S678" s="40" t="n">
        <x:v>0</x:v>
      </x:c>
      <x:c r="T678" s="31" t="n">
        <x:v>50.77595360824742</x:v>
      </x:c>
      <x:c r="U678" s="31" t="n">
        <x:v>121</x:v>
      </x:c>
      <x:c r="V678" s="31" t="n">
        <x:v>6</x:v>
      </x:c>
      <x:c r="W678" s="31" t="n">
        <x:v>2.6749888542131073</x:v>
      </x:c>
      <x:c r="X678" s="31" t="n">
        <x:v>5</x:v>
      </x:c>
      <x:c r="Y678" s="40" t="n">
        <x:v>1</x:v>
      </x:c>
      <x:c r="Z678" s="40" t="n">
        <x:v>1</x:v>
      </x:c>
      <x:c r="AA678" s="40" t="n">
        <x:v>1</x:v>
      </x:c>
      <x:c r="AB678" s="31" t="n">
        <x:v>0.11349778013458155</x:v>
      </x:c>
      <x:c r="AC678" s="31" t="n">
        <x:v>7</x:v>
      </x:c>
      <x:c r="AD678" s="44" t="b">
        <x:v>1</x:v>
      </x:c>
    </x:row>
    <x:row r="679">
      <x:c r="A679" s="31" t="str">
        <x:v>36047035102</x:v>
      </x:c>
      <x:c r="B679" s="31" t="str">
        <x:v>Brooklyn</x:v>
      </x:c>
      <x:c r="C679" s="31" t="str">
        <x:v>035102</x:v>
      </x:c>
      <x:c r="D679" s="31" t="str">
        <x:v>BK0901</x:v>
      </x:c>
      <x:c r="E679" s="31" t="str">
        <x:v>Crown Heights (South)</x:v>
      </x:c>
      <x:c r="F679" s="31" t="n">
        <x:v>0.035960327472882234</x:v>
      </x:c>
      <x:c r="G679" s="31" t="n">
        <x:v>40.667091243373214</x:v>
      </x:c>
      <x:c r="H679" s="31" t="n">
        <x:v>-73.93267431555309</x:v>
      </x:c>
      <x:c r="I679" s="31" t="n">
        <x:v>2626</x:v>
      </x:c>
      <x:c r="J679" s="31" t="n">
        <x:v>73024.91897439679</x:v>
      </x:c>
      <x:c r="K679" s="31"/>
      <x:c r="L679" s="40"/>
      <x:c r="M679" s="40"/>
      <x:c r="N679" s="31" t="n">
        <x:v>141</x:v>
      </x:c>
      <x:c r="O679" s="31" t="n">
        <x:v>1046</x:v>
      </x:c>
      <x:c r="P679" s="31" t="n">
        <x:v>3.5697896749521987</x:v>
      </x:c>
      <x:c r="Q679" s="40" t="n">
        <x:v>0</x:v>
      </x:c>
      <x:c r="R679" s="40" t="n">
        <x:v>0.762906309751434</x:v>
      </x:c>
      <x:c r="S679" s="40" t="n">
        <x:v>0.0057361376673040155</x:v>
      </x:c>
      <x:c r="T679" s="31" t="n">
        <x:v>43.232476099426385</x:v>
      </x:c>
      <x:c r="U679" s="31" t="n">
        <x:v>60.93</x:v>
      </x:c>
      <x:c r="V679" s="31" t="n">
        <x:v>11</x:v>
      </x:c>
      <x:c r="W679" s="31" t="n">
        <x:v>4.188880426504189</x:v>
      </x:c>
      <x:c r="X679" s="31" t="n">
        <x:v>5</x:v>
      </x:c>
      <x:c r="Y679" s="40" t="n">
        <x:v>1</x:v>
      </x:c>
      <x:c r="Z679" s="40" t="n">
        <x:v>1</x:v>
      </x:c>
      <x:c r="AA679" s="40" t="n">
        <x:v>1</x:v>
      </x:c>
      <x:c r="AB679" s="31" t="n">
        <x:v>0.10880192290581119</x:v>
      </x:c>
      <x:c r="AC679" s="31" t="n">
        <x:v>6</x:v>
      </x:c>
      <x:c r="AD679" s="44" t="b">
        <x:v>1</x:v>
      </x:c>
    </x:row>
    <x:row r="680">
      <x:c r="A680" s="31" t="str">
        <x:v>36047035200</x:v>
      </x:c>
      <x:c r="B680" s="31" t="str">
        <x:v>Brooklyn</x:v>
      </x:c>
      <x:c r="C680" s="31" t="str">
        <x:v>035200</x:v>
      </x:c>
      <x:c r="D680" s="31" t="str">
        <x:v>BK1302</x:v>
      </x:c>
      <x:c r="E680" s="31" t="str">
        <x:v>Coney Island-Sea Gate</x:v>
      </x:c>
      <x:c r="F680" s="31" t="n">
        <x:v>0.38245016670971077</x:v>
      </x:c>
      <x:c r="G680" s="31" t="n">
        <x:v>40.57321580198415</x:v>
      </x:c>
      <x:c r="H680" s="31" t="n">
        <x:v>-73.98063995900641</x:v>
      </x:c>
      <x:c r="I680" s="31" t="n">
        <x:v>1367</x:v>
      </x:c>
      <x:c r="J680" s="31" t="n">
        <x:v>3574.32188292805</x:v>
      </x:c>
      <x:c r="K680" s="31"/>
      <x:c r="L680" s="40"/>
      <x:c r="M680" s="40"/>
      <x:c r="N680" s="31" t="n">
        <x:v>16</x:v>
      </x:c>
      <x:c r="O680" s="31" t="n">
        <x:v>888</x:v>
      </x:c>
      <x:c r="P680" s="31" t="n">
        <x:v>13.110982658959538</x:v>
      </x:c>
      <x:c r="Q680" s="40" t="n">
        <x:v>0.8220720720720721</x:v>
      </x:c>
      <x:c r="R680" s="40" t="n">
        <x:v>0.13513513513513514</x:v>
      </x:c>
      <x:c r="S680" s="40" t="n">
        <x:v>0.42792792792792794</x:v>
      </x:c>
      <x:c r="T680" s="31" t="n">
        <x:v>130.70554391463583</x:v>
      </x:c>
      <x:c r="U680" s="31" t="n">
        <x:v>220</x:v>
      </x:c>
      <x:c r="V680" s="31" t="n">
        <x:v>14</x:v>
      </x:c>
      <x:c r="W680" s="31" t="n">
        <x:v>10.241404535479152</x:v>
      </x:c>
      <x:c r="X680" s="31" t="n">
        <x:v>5</x:v>
      </x:c>
      <x:c r="Y680" s="40" t="n">
        <x:v>1</x:v>
      </x:c>
      <x:c r="Z680" s="40" t="n">
        <x:v>1</x:v>
      </x:c>
      <x:c r="AA680" s="40" t="n">
        <x:v>0.9740990990990991</x:v>
      </x:c>
      <x:c r="AB680" s="31" t="n">
        <x:v>0.21788751770297562</x:v>
      </x:c>
      <x:c r="AC680" s="31" t="n">
        <x:v>11</x:v>
      </x:c>
      <x:c r="AD680" s="44" t="b">
        <x:v>1</x:v>
      </x:c>
    </x:row>
    <x:row r="681">
      <x:c r="A681" s="31" t="str">
        <x:v>36047035301</x:v>
      </x:c>
      <x:c r="B681" s="31" t="str">
        <x:v>Brooklyn</x:v>
      </x:c>
      <x:c r="C681" s="31" t="str">
        <x:v>035301</x:v>
      </x:c>
      <x:c r="D681" s="31" t="str">
        <x:v>BK0802</x:v>
      </x:c>
      <x:c r="E681" s="31" t="str">
        <x:v>Crown Heights (North)</x:v>
      </x:c>
      <x:c r="F681" s="31" t="n">
        <x:v>0.026983789885682105</x:v>
      </x:c>
      <x:c r="G681" s="31" t="n">
        <x:v>40.670362704341926</x:v>
      </x:c>
      <x:c r="H681" s="31" t="n">
        <x:v>-73.93514712330946</x:v>
      </x:c>
      <x:c r="I681" s="31" t="n">
        <x:v>2566</x:v>
      </x:c>
      <x:c r="J681" s="31" t="n">
        <x:v>95094.12913719536</x:v>
      </x:c>
      <x:c r="K681" s="31"/>
      <x:c r="L681" s="40"/>
      <x:c r="M681" s="40"/>
      <x:c r="N681" s="31" t="n">
        <x:v>129</x:v>
      </x:c>
      <x:c r="O681" s="31" t="n">
        <x:v>1050</x:v>
      </x:c>
      <x:c r="P681" s="31" t="n">
        <x:v>3.6952380952380954</x:v>
      </x:c>
      <x:c r="Q681" s="40" t="n">
        <x:v>0</x:v>
      </x:c>
      <x:c r="R681" s="40" t="n">
        <x:v>0.9628571428571429</x:v>
      </x:c>
      <x:c r="S681" s="40" t="n">
        <x:v>0.07238095238095238</x:v>
      </x:c>
      <x:c r="T681" s="31" t="n">
        <x:v>44.438961538461534</x:v>
      </x:c>
      <x:c r="U681" s="31" t="n">
        <x:v>69.22</x:v>
      </x:c>
      <x:c r="V681" s="31" t="n">
        <x:v>5</x:v>
      </x:c>
      <x:c r="W681" s="31" t="n">
        <x:v>1.9485580670303975</x:v>
      </x:c>
      <x:c r="X681" s="31" t="n">
        <x:v>5</x:v>
      </x:c>
      <x:c r="Y681" s="40" t="n">
        <x:v>1</x:v>
      </x:c>
      <x:c r="Z681" s="40" t="n">
        <x:v>1</x:v>
      </x:c>
      <x:c r="AA681" s="40" t="n">
        <x:v>0.9904761904761905</x:v>
      </x:c>
      <x:c r="AB681" s="31" t="n">
        <x:v>0.07382952187977342</x:v>
      </x:c>
      <x:c r="AC681" s="31" t="n">
        <x:v>8</x:v>
      </x:c>
      <x:c r="AD681" s="44" t="b">
        <x:v>1</x:v>
      </x:c>
    </x:row>
    <x:row r="682">
      <x:c r="A682" s="31" t="str">
        <x:v>36047035302</x:v>
      </x:c>
      <x:c r="B682" s="31" t="str">
        <x:v>Brooklyn</x:v>
      </x:c>
      <x:c r="C682" s="31" t="str">
        <x:v>035302</x:v>
      </x:c>
      <x:c r="D682" s="31" t="str">
        <x:v>BK0901</x:v>
      </x:c>
      <x:c r="E682" s="31" t="str">
        <x:v>Crown Heights (South)</x:v>
      </x:c>
      <x:c r="F682" s="31" t="n">
        <x:v>0.03598451892468721</x:v>
      </x:c>
      <x:c r="G682" s="31" t="n">
        <x:v>40.667241702062356</x:v>
      </x:c>
      <x:c r="H682" s="31" t="n">
        <x:v>-73.93543947789941</x:v>
      </x:c>
      <x:c r="I682" s="31" t="n">
        <x:v>2811</x:v>
      </x:c>
      <x:c r="J682" s="31" t="n">
        <x:v>78116.92594482655</x:v>
      </x:c>
      <x:c r="K682" s="31"/>
      <x:c r="L682" s="40"/>
      <x:c r="M682" s="40"/>
      <x:c r="N682" s="31" t="n">
        <x:v>184</x:v>
      </x:c>
      <x:c r="O682" s="31" t="n">
        <x:v>915</x:v>
      </x:c>
      <x:c r="P682" s="31" t="n">
        <x:v>3.380327868852459</x:v>
      </x:c>
      <x:c r="Q682" s="40" t="n">
        <x:v>0</x:v>
      </x:c>
      <x:c r="R682" s="40" t="n">
        <x:v>0.6950819672131148</x:v>
      </x:c>
      <x:c r="S682" s="40" t="n">
        <x:v>0.00546448087431694</x:v>
      </x:c>
      <x:c r="T682" s="31" t="n">
        <x:v>40.0336740395847</x:v>
      </x:c>
      <x:c r="U682" s="31" t="n">
        <x:v>50.83</x:v>
      </x:c>
      <x:c r="V682" s="31" t="n">
        <x:v>7</x:v>
      </x:c>
      <x:c r="W682" s="31" t="n">
        <x:v>2.4902170046246885</x:v>
      </x:c>
      <x:c r="X682" s="31" t="n">
        <x:v>5</x:v>
      </x:c>
      <x:c r="Y682" s="40" t="n">
        <x:v>1</x:v>
      </x:c>
      <x:c r="Z682" s="40" t="n">
        <x:v>1</x:v>
      </x:c>
      <x:c r="AA682" s="40" t="n">
        <x:v>1</x:v>
      </x:c>
      <x:c r="AB682" s="31" t="n">
        <x:v>0.12642943745036755</x:v>
      </x:c>
      <x:c r="AC682" s="31" t="n">
        <x:v>8</x:v>
      </x:c>
      <x:c r="AD682" s="44" t="b">
        <x:v>1</x:v>
      </x:c>
    </x:row>
    <x:row r="683">
      <x:c r="A683" s="31" t="str">
        <x:v>36047035400</x:v>
      </x:c>
      <x:c r="B683" s="31" t="str">
        <x:v>Brooklyn</x:v>
      </x:c>
      <x:c r="C683" s="31" t="str">
        <x:v>035400</x:v>
      </x:c>
      <x:c r="D683" s="31" t="str">
        <x:v>BK1302</x:v>
      </x:c>
      <x:c r="E683" s="31" t="str">
        <x:v>Coney Island-Sea Gate</x:v>
      </x:c>
      <x:c r="F683" s="31" t="n">
        <x:v>0.14536171257712063</x:v>
      </x:c>
      <x:c r="G683" s="31" t="n">
        <x:v>40.580141800996024</x:v>
      </x:c>
      <x:c r="H683" s="31" t="n">
        <x:v>-73.97259950037555</x:v>
      </x:c>
      <x:c r="I683" s="31" t="n">
        <x:v>5493</x:v>
      </x:c>
      <x:c r="J683" s="31" t="n">
        <x:v>37788.49259969834</x:v>
      </x:c>
      <x:c r="K683" s="31"/>
      <x:c r="L683" s="40"/>
      <x:c r="M683" s="40"/>
      <x:c r="N683" s="31" t="n">
        <x:v>5</x:v>
      </x:c>
      <x:c r="O683" s="31" t="n">
        <x:v>3416</x:v>
      </x:c>
      <x:c r="P683" s="31" t="n">
        <x:v>23.37295081967213</x:v>
      </x:c>
      <x:c r="Q683" s="40" t="n">
        <x:v>1</x:v>
      </x:c>
      <x:c r="R683" s="40" t="n">
        <x:v>0</x:v>
      </x:c>
      <x:c r="S683" s="40" t="n">
        <x:v>0.5190281030444965</x:v>
      </x:c>
      <x:c r="T683" s="31" t="n">
        <x:v>186.43106244429157</x:v>
      </x:c>
      <x:c r="U683" s="31" t="n">
        <x:v>216</x:v>
      </x:c>
      <x:c r="V683" s="31" t="n">
        <x:v>46</x:v>
      </x:c>
      <x:c r="W683" s="31" t="n">
        <x:v>8.374294556708538</x:v>
      </x:c>
      <x:c r="X683" s="31" t="n">
        <x:v>5</x:v>
      </x:c>
      <x:c r="Y683" s="40" t="n">
        <x:v>1</x:v>
      </x:c>
      <x:c r="Z683" s="40" t="n">
        <x:v>1</x:v>
      </x:c>
      <x:c r="AA683" s="40" t="n">
        <x:v>1</x:v>
      </x:c>
      <x:c r="AB683" s="31" t="n">
        <x:v>0.16394233934098262</x:v>
      </x:c>
      <x:c r="AC683" s="31" t="n">
        <x:v>10</x:v>
      </x:c>
      <x:c r="AD683" s="44" t="b">
        <x:v>1</x:v>
      </x:c>
    </x:row>
    <x:row r="684">
      <x:c r="A684" s="31" t="str">
        <x:v>36047035500</x:v>
      </x:c>
      <x:c r="B684" s="31" t="str">
        <x:v>Brooklyn</x:v>
      </x:c>
      <x:c r="C684" s="31" t="str">
        <x:v>035500</x:v>
      </x:c>
      <x:c r="D684" s="31" t="str">
        <x:v>BK0901</x:v>
      </x:c>
      <x:c r="E684" s="31" t="str">
        <x:v>Crown Heights (South)</x:v>
      </x:c>
      <x:c r="F684" s="31" t="n">
        <x:v>0.05328563981505395</x:v>
      </x:c>
      <x:c r="G684" s="31" t="n">
        <x:v>40.66440307888278</x:v>
      </x:c>
      <x:c r="H684" s="31" t="n">
        <x:v>-73.93348889616418</x:v>
      </x:c>
      <x:c r="I684" s="31" t="n">
        <x:v>5192</x:v>
      </x:c>
      <x:c r="J684" s="31" t="n">
        <x:v>97437.13349451397</x:v>
      </x:c>
      <x:c r="K684" s="31"/>
      <x:c r="L684" s="40"/>
      <x:c r="M684" s="40"/>
      <x:c r="N684" s="31" t="n">
        <x:v>158</x:v>
      </x:c>
      <x:c r="O684" s="31" t="n">
        <x:v>1930</x:v>
      </x:c>
      <x:c r="P684" s="31" t="n">
        <x:v>5.007253886010362</x:v>
      </x:c>
      <x:c r="Q684" s="40" t="n">
        <x:v>0</x:v>
      </x:c>
      <x:c r="R684" s="40" t="n">
        <x:v>0.8020725388601037</x:v>
      </x:c>
      <x:c r="S684" s="40" t="n">
        <x:v>0.0025906735751295338</x:v>
      </x:c>
      <x:c r="T684" s="31" t="n">
        <x:v>58.37105068637804</x:v>
      </x:c>
      <x:c r="U684" s="31" t="n">
        <x:v>80.18</x:v>
      </x:c>
      <x:c r="V684" s="31" t="n">
        <x:v>28</x:v>
      </x:c>
      <x:c r="W684" s="31" t="n">
        <x:v>5.3929121725731894</x:v>
      </x:c>
      <x:c r="X684" s="31" t="n">
        <x:v>5</x:v>
      </x:c>
      <x:c r="Y684" s="40" t="n">
        <x:v>1</x:v>
      </x:c>
      <x:c r="Z684" s="40" t="n">
        <x:v>1</x:v>
      </x:c>
      <x:c r="AA684" s="40" t="n">
        <x:v>0.9813471502590674</x:v>
      </x:c>
      <x:c r="AB684" s="31" t="n">
        <x:v>0.13869947379944506</x:v>
      </x:c>
      <x:c r="AC684" s="31" t="n">
        <x:v>11</x:v>
      </x:c>
      <x:c r="AD684" s="44" t="b">
        <x:v>1</x:v>
      </x:c>
    </x:row>
    <x:row r="685">
      <x:c r="A685" s="31" t="str">
        <x:v>36047035601</x:v>
      </x:c>
      <x:c r="B685" s="31" t="str">
        <x:v>Brooklyn</x:v>
      </x:c>
      <x:c r="C685" s="31" t="str">
        <x:v>035601</x:v>
      </x:c>
      <x:c r="D685" s="31" t="str">
        <x:v>BK1302</x:v>
      </x:c>
      <x:c r="E685" s="31" t="str">
        <x:v>Coney Island-Sea Gate</x:v>
      </x:c>
      <x:c r="F685" s="31" t="n">
        <x:v>0.02580922477107725</x:v>
      </x:c>
      <x:c r="G685" s="31" t="n">
        <x:v>40.580873837343674</x:v>
      </x:c>
      <x:c r="H685" s="31" t="n">
        <x:v>-73.96970923327814</x:v>
      </x:c>
      <x:c r="I685" s="31" t="n">
        <x:v>2902</x:v>
      </x:c>
      <x:c r="J685" s="31" t="n">
        <x:v>112440.41716634923</x:v>
      </x:c>
      <x:c r="K685" s="31"/>
      <x:c r="L685" s="40"/>
      <x:c r="M685" s="40"/>
      <x:c r="N685" s="31" t="n">
        <x:v>1</x:v>
      </x:c>
      <x:c r="O685" s="31" t="n">
        <x:v>1547</x:v>
      </x:c>
      <x:c r="P685" s="31" t="n">
        <x:v>24</x:v>
      </x:c>
      <x:c r="Q685" s="40" t="n">
        <x:v>1</x:v>
      </x:c>
      <x:c r="R685" s="40" t="n">
        <x:v>0</x:v>
      </x:c>
      <x:c r="S685" s="40" t="n">
        <x:v>1</x:v>
      </x:c>
      <x:c r="T685" s="31" t="n">
        <x:v>216.24</x:v>
      </x:c>
      <x:c r="U685" s="31" t="n">
        <x:v>216.24</x:v>
      </x:c>
      <x:c r="V685" s="31" t="n">
        <x:v>18</x:v>
      </x:c>
      <x:c r="W685" s="31" t="n">
        <x:v>6.202618883528601</x:v>
      </x:c>
      <x:c r="X685" s="31" t="n">
        <x:v>5</x:v>
      </x:c>
      <x:c r="Y685" s="40" t="n">
        <x:v>1</x:v>
      </x:c>
      <x:c r="Z685" s="40" t="n">
        <x:v>1</x:v>
      </x:c>
      <x:c r="AA685" s="40" t="n">
        <x:v>1</x:v>
      </x:c>
      <x:c r="AB685" s="31" t="n">
        <x:v>0.12736402959359325</x:v>
      </x:c>
      <x:c r="AC685" s="31" t="n">
        <x:v>4</x:v>
      </x:c>
      <x:c r="AD685" s="44" t="b">
        <x:v>1</x:v>
      </x:c>
    </x:row>
    <x:row r="686">
      <x:c r="A686" s="31" t="str">
        <x:v>36047035602</x:v>
      </x:c>
      <x:c r="B686" s="31" t="str">
        <x:v>Brooklyn</x:v>
      </x:c>
      <x:c r="C686" s="31" t="str">
        <x:v>035602</x:v>
      </x:c>
      <x:c r="D686" s="31" t="str">
        <x:v>BK1302</x:v>
      </x:c>
      <x:c r="E686" s="31" t="str">
        <x:v>Coney Island-Sea Gate</x:v>
      </x:c>
      <x:c r="F686" s="31" t="n">
        <x:v>0.06614322025080349</x:v>
      </x:c>
      <x:c r="G686" s="31" t="n">
        <x:v>40.57783263174487</x:v>
      </x:c>
      <x:c r="H686" s="31" t="n">
        <x:v>-73.97020034423363</x:v>
      </x:c>
      <x:c r="I686" s="31" t="n">
        <x:v>5474</x:v>
      </x:c>
      <x:c r="J686" s="31" t="n">
        <x:v>82759.80484838132</x:v>
      </x:c>
      <x:c r="K686" s="31"/>
      <x:c r="L686" s="40"/>
      <x:c r="M686" s="40"/>
      <x:c r="N686" s="31" t="n">
        <x:v>11</x:v>
      </x:c>
      <x:c r="O686" s="31" t="n">
        <x:v>3002</x:v>
      </x:c>
      <x:c r="P686" s="31" t="n">
        <x:v>20.943037974683545</x:v>
      </x:c>
      <x:c r="Q686" s="40" t="n">
        <x:v>0.8880746169220519</x:v>
      </x:c>
      <x:c r="R686" s="40" t="n">
        <x:v>0.11192538307794804</x:v>
      </x:c>
      <x:c r="S686" s="40" t="n">
        <x:v>0</x:v>
      </x:c>
      <x:c r="T686" s="31" t="n">
        <x:v>191.8894712497535</x:v>
      </x:c>
      <x:c r="U686" s="31" t="n">
        <x:v>220</x:v>
      </x:c>
      <x:c r="V686" s="31" t="n">
        <x:v>37</x:v>
      </x:c>
      <x:c r="W686" s="31" t="n">
        <x:v>6.759225429302155</x:v>
      </x:c>
      <x:c r="X686" s="31" t="n">
        <x:v>4.304463690872751</x:v>
      </x:c>
      <x:c r="Y686" s="40" t="n">
        <x:v>0.6522318454363758</x:v>
      </x:c>
      <x:c r="Z686" s="40" t="n">
        <x:v>1</x:v>
      </x:c>
      <x:c r="AA686" s="40" t="n">
        <x:v>1</x:v>
      </x:c>
      <x:c r="AB686" s="31" t="n">
        <x:v>0.02068028518482975</x:v>
      </x:c>
      <x:c r="AC686" s="31" t="n">
        <x:v>7</x:v>
      </x:c>
      <x:c r="AD686" s="44" t="b">
        <x:v>1</x:v>
      </x:c>
    </x:row>
    <x:row r="687">
      <x:c r="A687" s="31" t="str">
        <x:v>36047035701</x:v>
      </x:c>
      <x:c r="B687" s="31" t="str">
        <x:v>Brooklyn</x:v>
      </x:c>
      <x:c r="C687" s="31" t="str">
        <x:v>035701</x:v>
      </x:c>
      <x:c r="D687" s="31" t="str">
        <x:v>BK0802</x:v>
      </x:c>
      <x:c r="E687" s="31" t="str">
        <x:v>Crown Heights (North)</x:v>
      </x:c>
      <x:c r="F687" s="31" t="n">
        <x:v>0.02690272406748594</x:v>
      </x:c>
      <x:c r="G687" s="31" t="n">
        <x:v>40.6699116408069</x:v>
      </x:c>
      <x:c r="H687" s="31" t="n">
        <x:v>-73.92684119514702</x:v>
      </x:c>
      <x:c r="I687" s="31" t="n">
        <x:v>2322</x:v>
      </x:c>
      <x:c r="J687" s="31" t="n">
        <x:v>86310.9621975538</x:v>
      </x:c>
      <x:c r="K687" s="31"/>
      <x:c r="L687" s="40"/>
      <x:c r="M687" s="40"/>
      <x:c r="N687" s="31" t="n">
        <x:v>96</x:v>
      </x:c>
      <x:c r="O687" s="31" t="n">
        <x:v>1050</x:v>
      </x:c>
      <x:c r="P687" s="31" t="n">
        <x:v>4.303333333333334</x:v>
      </x:c>
      <x:c r="Q687" s="40" t="n">
        <x:v>0</x:v>
      </x:c>
      <x:c r="R687" s="40" t="n">
        <x:v>0.9285714285714286</x:v>
      </x:c>
      <x:c r="S687" s="40" t="n">
        <x:v>0</x:v>
      </x:c>
      <x:c r="T687" s="31" t="n">
        <x:v>48.2994922478311</x:v>
      </x:c>
      <x:c r="U687" s="31" t="n">
        <x:v>70</x:v>
      </x:c>
      <x:c r="V687" s="31" t="n">
        <x:v>12</x:v>
      </x:c>
      <x:c r="W687" s="31" t="n">
        <x:v>5.167958656330749</x:v>
      </x:c>
      <x:c r="X687" s="31" t="n">
        <x:v>5</x:v>
      </x:c>
      <x:c r="Y687" s="40" t="n">
        <x:v>1</x:v>
      </x:c>
      <x:c r="Z687" s="40" t="n">
        <x:v>1</x:v>
      </x:c>
      <x:c r="AA687" s="40" t="n">
        <x:v>0.9923809523809524</x:v>
      </x:c>
      <x:c r="AB687" s="31" t="n">
        <x:v>0.10820776512473994</x:v>
      </x:c>
      <x:c r="AC687" s="31" t="n">
        <x:v>5</x:v>
      </x:c>
      <x:c r="AD687" s="44" t="b">
        <x:v>1</x:v>
      </x:c>
    </x:row>
    <x:row r="688">
      <x:c r="A688" s="31" t="str">
        <x:v>36047035702</x:v>
      </x:c>
      <x:c r="B688" s="31" t="str">
        <x:v>Brooklyn</x:v>
      </x:c>
      <x:c r="C688" s="31" t="str">
        <x:v>035702</x:v>
      </x:c>
      <x:c r="D688" s="31" t="str">
        <x:v>BK0891</x:v>
      </x:c>
      <x:c r="E688" s="31" t="str">
        <x:v>Lincoln Terrace Park</x:v>
      </x:c>
      <x:c r="F688" s="31" t="n">
        <x:v>0.04356839612854396</x:v>
      </x:c>
      <x:c r="G688" s="31" t="n">
        <x:v>40.6668609734396</x:v>
      </x:c>
      <x:c r="H688" s="31" t="n">
        <x:v>-73.92681582198652</x:v>
      </x:c>
      <x:c r="I688" s="31" t="n">
        <x:v>15</x:v>
      </x:c>
      <x:c r="J688" s="31" t="n">
        <x:v>344.2862563897023</x:v>
      </x:c>
      <x:c r="K688" s="31"/>
      <x:c r="L688" s="40"/>
      <x:c r="M688" s="40"/>
      <x:c r="N688" s="31" t="n">
        <x:v>0</x:v>
      </x:c>
      <x:c r="O688" s="31"/>
      <x:c r="P688" s="31"/>
      <x:c r="Q688" s="40"/>
      <x:c r="R688" s="40"/>
      <x:c r="S688" s="40"/>
      <x:c r="T688" s="31"/>
      <x:c r="U688" s="31"/>
      <x:c r="V688" s="31" t="n">
        <x:v>0</x:v>
      </x:c>
      <x:c r="W688" s="31" t="n">
        <x:v>0</x:v>
      </x:c>
      <x:c r="X688" s="31"/>
      <x:c r="Y688" s="40"/>
      <x:c r="Z688" s="40"/>
      <x:c r="AA688" s="40"/>
      <x:c r="AB688" s="31" t="n">
        <x:v>0.11537578890156812</x:v>
      </x:c>
      <x:c r="AC688" s="31" t="n">
        <x:v>9</x:v>
      </x:c>
      <x:c r="AD688" s="44" t="b">
        <x:v>0</x:v>
      </x:c>
    </x:row>
    <x:row r="689">
      <x:c r="A689" s="31" t="str">
        <x:v>36047035900</x:v>
      </x:c>
      <x:c r="B689" s="31" t="str">
        <x:v>Brooklyn</x:v>
      </x:c>
      <x:c r="C689" s="31" t="str">
        <x:v>035900</x:v>
      </x:c>
      <x:c r="D689" s="31" t="str">
        <x:v>BK0802</x:v>
      </x:c>
      <x:c r="E689" s="31" t="str">
        <x:v>Crown Heights (North)</x:v>
      </x:c>
      <x:c r="F689" s="31" t="n">
        <x:v>0.07013204604711892</x:v>
      </x:c>
      <x:c r="G689" s="31" t="n">
        <x:v>40.67046804426353</x:v>
      </x:c>
      <x:c r="H689" s="31" t="n">
        <x:v>-73.92385578611749</x:v>
      </x:c>
      <x:c r="I689" s="31" t="n">
        <x:v>5617</x:v>
      </x:c>
      <x:c r="J689" s="31" t="n">
        <x:v>80091.77425432821</x:v>
      </x:c>
      <x:c r="K689" s="31"/>
      <x:c r="L689" s="40"/>
      <x:c r="M689" s="40"/>
      <x:c r="N689" s="31" t="n">
        <x:v>283</x:v>
      </x:c>
      <x:c r="O689" s="31" t="n">
        <x:v>2440</x:v>
      </x:c>
      <x:c r="P689" s="31" t="n">
        <x:v>3.856791136643414</x:v>
      </x:c>
      <x:c r="Q689" s="40" t="n">
        <x:v>0</x:v>
      </x:c>
      <x:c r="R689" s="40" t="n">
        <x:v>0.8483606557377049</x:v>
      </x:c>
      <x:c r="S689" s="40" t="n">
        <x:v>0.0012295081967213116</x:v>
      </x:c>
      <x:c r="T689" s="31" t="n">
        <x:v>44.69664438460246</x:v>
      </x:c>
      <x:c r="U689" s="31" t="n">
        <x:v>82</x:v>
      </x:c>
      <x:c r="V689" s="31" t="n">
        <x:v>15</x:v>
      </x:c>
      <x:c r="W689" s="31" t="n">
        <x:v>2.670464660850988</x:v>
      </x:c>
      <x:c r="X689" s="31" t="n">
        <x:v>5</x:v>
      </x:c>
      <x:c r="Y689" s="40" t="n">
        <x:v>1</x:v>
      </x:c>
      <x:c r="Z689" s="40" t="n">
        <x:v>1</x:v>
      </x:c>
      <x:c r="AA689" s="40" t="n">
        <x:v>1</x:v>
      </x:c>
      <x:c r="AB689" s="31" t="n">
        <x:v>0.06035755596415132</x:v>
      </x:c>
      <x:c r="AC689" s="31" t="n">
        <x:v>8</x:v>
      </x:c>
      <x:c r="AD689" s="44" t="b">
        <x:v>1</x:v>
      </x:c>
    </x:row>
    <x:row r="690">
      <x:c r="A690" s="31" t="str">
        <x:v>36047036001</x:v>
      </x:c>
      <x:c r="B690" s="31" t="str">
        <x:v>Brooklyn</x:v>
      </x:c>
      <x:c r="C690" s="31" t="str">
        <x:v>036001</x:v>
      </x:c>
      <x:c r="D690" s="31" t="str">
        <x:v>BK1303</x:v>
      </x:c>
      <x:c r="E690" s="31" t="str">
        <x:v>Brighton Beach</x:v>
      </x:c>
      <x:c r="F690" s="31" t="n">
        <x:v>0.036555078283904384</x:v>
      </x:c>
      <x:c r="G690" s="31" t="n">
        <x:v>40.57578843605175</x:v>
      </x:c>
      <x:c r="H690" s="31" t="n">
        <x:v>-73.96555881777341</x:v>
      </x:c>
      <x:c r="I690" s="31" t="n">
        <x:v>3387</x:v>
      </x:c>
      <x:c r="J690" s="31" t="n">
        <x:v>92654.70514643473</x:v>
      </x:c>
      <x:c r="K690" s="31"/>
      <x:c r="L690" s="40"/>
      <x:c r="M690" s="40"/>
      <x:c r="N690" s="31" t="n">
        <x:v>45</x:v>
      </x:c>
      <x:c r="O690" s="31" t="n">
        <x:v>1856</x:v>
      </x:c>
      <x:c r="P690" s="31" t="n">
        <x:v>8.952586206896552</x:v>
      </x:c>
      <x:c r="Q690" s="40" t="n">
        <x:v>0.30387931034482757</x:v>
      </x:c>
      <x:c r="R690" s="40" t="n">
        <x:v>0.6799568965517241</x:v>
      </x:c>
      <x:c r="S690" s="40" t="n">
        <x:v>0</x:v>
      </x:c>
      <x:c r="T690" s="31" t="n">
        <x:v>72.73986505681818</x:v>
      </x:c>
      <x:c r="U690" s="31" t="n">
        <x:v>159</x:v>
      </x:c>
      <x:c r="V690" s="31" t="n">
        <x:v>32</x:v>
      </x:c>
      <x:c r="W690" s="31" t="n">
        <x:v>9.447888987304399</x:v>
      </x:c>
      <x:c r="X690" s="31" t="n">
        <x:v>3</x:v>
      </x:c>
      <x:c r="Y690" s="40" t="n">
        <x:v>0</x:v>
      </x:c>
      <x:c r="Z690" s="40" t="n">
        <x:v>1</x:v>
      </x:c>
      <x:c r="AA690" s="40" t="n">
        <x:v>0.7586206896551724</x:v>
      </x:c>
      <x:c r="AB690" s="31" t="n">
        <x:v>0.06793008954132525</x:v>
      </x:c>
      <x:c r="AC690" s="31" t="n">
        <x:v>4</x:v>
      </x:c>
      <x:c r="AD690" s="44" t="b">
        <x:v>1</x:v>
      </x:c>
    </x:row>
    <x:row r="691">
      <x:c r="A691" s="31" t="str">
        <x:v>36047036002</x:v>
      </x:c>
      <x:c r="B691" s="31" t="str">
        <x:v>Brooklyn</x:v>
      </x:c>
      <x:c r="C691" s="31" t="str">
        <x:v>036002</x:v>
      </x:c>
      <x:c r="D691" s="31" t="str">
        <x:v>BK1303</x:v>
      </x:c>
      <x:c r="E691" s="31" t="str">
        <x:v>Brighton Beach</x:v>
      </x:c>
      <x:c r="F691" s="31" t="n">
        <x:v>0.03315236753429178</x:v>
      </x:c>
      <x:c r="G691" s="31" t="n">
        <x:v>40.57636488653807</x:v>
      </x:c>
      <x:c r="H691" s="31" t="n">
        <x:v>-73.96123869497873</x:v>
      </x:c>
      <x:c r="I691" s="31" t="n">
        <x:v>4203</x:v>
      </x:c>
      <x:c r="J691" s="31" t="n">
        <x:v>126778.27596030803</x:v>
      </x:c>
      <x:c r="K691" s="31"/>
      <x:c r="L691" s="40"/>
      <x:c r="M691" s="40"/>
      <x:c r="N691" s="31" t="n">
        <x:v>48</x:v>
      </x:c>
      <x:c r="O691" s="31" t="n">
        <x:v>2235</x:v>
      </x:c>
      <x:c r="P691" s="31" t="n">
        <x:v>7.522674146797569</x:v>
      </x:c>
      <x:c r="Q691" s="40" t="n">
        <x:v>0.15615212527964206</x:v>
      </x:c>
      <x:c r="R691" s="40" t="n">
        <x:v>0.8008948545861297</x:v>
      </x:c>
      <x:c r="S691" s="40" t="n">
        <x:v>0</x:v>
      </x:c>
      <x:c r="T691" s="31" t="n">
        <x:v>79.39706935123043</x:v>
      </x:c>
      <x:c r="U691" s="31" t="n">
        <x:v>166.96</x:v>
      </x:c>
      <x:c r="V691" s="31" t="n">
        <x:v>43</x:v>
      </x:c>
      <x:c r="W691" s="31" t="n">
        <x:v>10.230787532714729</x:v>
      </x:c>
      <x:c r="X691" s="31" t="n">
        <x:v>3</x:v>
      </x:c>
      <x:c r="Y691" s="40" t="n">
        <x:v>0</x:v>
      </x:c>
      <x:c r="Z691" s="40" t="n">
        <x:v>1</x:v>
      </x:c>
      <x:c r="AA691" s="40" t="n">
        <x:v>1</x:v>
      </x:c>
      <x:c r="AB691" s="31" t="n">
        <x:v>0.2736319107001829</x:v>
      </x:c>
      <x:c r="AC691" s="31" t="n">
        <x:v>5</x:v>
      </x:c>
      <x:c r="AD691" s="44" t="b">
        <x:v>1</x:v>
      </x:c>
    </x:row>
    <x:row r="692">
      <x:c r="A692" s="31" t="str">
        <x:v>36047036100</x:v>
      </x:c>
      <x:c r="B692" s="31" t="str">
        <x:v>Brooklyn</x:v>
      </x:c>
      <x:c r="C692" s="31" t="str">
        <x:v>036100</x:v>
      </x:c>
      <x:c r="D692" s="31" t="str">
        <x:v>BK1601</x:v>
      </x:c>
      <x:c r="E692" s="31" t="str">
        <x:v>Ocean Hill</x:v>
      </x:c>
      <x:c r="F692" s="31" t="n">
        <x:v>0.05468106134964704</x:v>
      </x:c>
      <x:c r="G692" s="31" t="n">
        <x:v>40.66956157608442</x:v>
      </x:c>
      <x:c r="H692" s="31" t="n">
        <x:v>-73.91995814606929</x:v>
      </x:c>
      <x:c r="I692" s="31" t="n">
        <x:v>2964</x:v>
      </x:c>
      <x:c r="J692" s="31" t="n">
        <x:v>54205.23901405824</x:v>
      </x:c>
      <x:c r="K692" s="31"/>
      <x:c r="L692" s="40"/>
      <x:c r="M692" s="40"/>
      <x:c r="N692" s="31" t="n">
        <x:v>174</x:v>
      </x:c>
      <x:c r="O692" s="31" t="n">
        <x:v>1029</x:v>
      </x:c>
      <x:c r="P692" s="31" t="n">
        <x:v>4.017492711370262</x:v>
      </x:c>
      <x:c r="Q692" s="40" t="n">
        <x:v>0</x:v>
      </x:c>
      <x:c r="R692" s="40" t="n">
        <x:v>0.8931000971817298</x:v>
      </x:c>
      <x:c r="S692" s="40" t="n">
        <x:v>0.0058309037900874635</x:v>
      </x:c>
      <x:c r="T692" s="31" t="n">
        <x:v>45.852900226194336</x:v>
      </x:c>
      <x:c r="U692" s="31" t="n">
        <x:v>70</x:v>
      </x:c>
      <x:c r="V692" s="31" t="n">
        <x:v>4</x:v>
      </x:c>
      <x:c r="W692" s="31" t="n">
        <x:v>1.3495276653171389</x:v>
      </x:c>
      <x:c r="X692" s="31" t="n">
        <x:v>5</x:v>
      </x:c>
      <x:c r="Y692" s="40" t="n">
        <x:v>1</x:v>
      </x:c>
      <x:c r="Z692" s="40" t="n">
        <x:v>1</x:v>
      </x:c>
      <x:c r="AA692" s="40" t="n">
        <x:v>0.9601554907677357</x:v>
      </x:c>
      <x:c r="AB692" s="31" t="n">
        <x:v>0.11869147630291889</x:v>
      </x:c>
      <x:c r="AC692" s="31" t="n">
        <x:v>4</x:v>
      </x:c>
      <x:c r="AD692" s="44" t="b">
        <x:v>1</x:v>
      </x:c>
    </x:row>
    <x:row r="693">
      <x:c r="A693" s="31" t="str">
        <x:v>36047036200</x:v>
      </x:c>
      <x:c r="B693" s="31" t="str">
        <x:v>Brooklyn</x:v>
      </x:c>
      <x:c r="C693" s="31" t="str">
        <x:v>036200</x:v>
      </x:c>
      <x:c r="D693" s="31" t="str">
        <x:v>BK1303</x:v>
      </x:c>
      <x:c r="E693" s="31" t="str">
        <x:v>Brighton Beach</x:v>
      </x:c>
      <x:c r="F693" s="31" t="n">
        <x:v>0.06618642544694099</x:v>
      </x:c>
      <x:c r="G693" s="31" t="n">
        <x:v>40.57811692319413</x:v>
      </x:c>
      <x:c r="H693" s="31" t="n">
        <x:v>-73.96400871178406</x:v>
      </x:c>
      <x:c r="I693" s="31" t="n">
        <x:v>4140</x:v>
      </x:c>
      <x:c r="J693" s="31" t="n">
        <x:v>62550.59057871123</x:v>
      </x:c>
      <x:c r="K693" s="31"/>
      <x:c r="L693" s="40"/>
      <x:c r="M693" s="40"/>
      <x:c r="N693" s="31" t="n">
        <x:v>351</x:v>
      </x:c>
      <x:c r="O693" s="31" t="n">
        <x:v>1595</x:v>
      </x:c>
      <x:c r="P693" s="31" t="n">
        <x:v>3.5282691092861653</x:v>
      </x:c>
      <x:c r="Q693" s="40" t="n">
        <x:v>0.064576802507837</x:v>
      </x:c>
      <x:c r="R693" s="40" t="n">
        <x:v>0.374294670846395</x:v>
      </x:c>
      <x:c r="S693" s="40" t="n">
        <x:v>0.0012539184952978057</x:v>
      </x:c>
      <x:c r="T693" s="31" t="n">
        <x:v>43.598608894700966</x:v>
      </x:c>
      <x:c r="U693" s="31" t="n">
        <x:v>156.97457064</x:v>
      </x:c>
      <x:c r="V693" s="31" t="n">
        <x:v>38</x:v>
      </x:c>
      <x:c r="W693" s="31" t="n">
        <x:v>9.178743961352657</x:v>
      </x:c>
      <x:c r="X693" s="31" t="n">
        <x:v>3</x:v>
      </x:c>
      <x:c r="Y693" s="40" t="n">
        <x:v>0</x:v>
      </x:c>
      <x:c r="Z693" s="40" t="n">
        <x:v>1</x:v>
      </x:c>
      <x:c r="AA693" s="40" t="n">
        <x:v>0.9749216300940439</x:v>
      </x:c>
      <x:c r="AB693" s="31" t="n">
        <x:v>0.17647088100556754</x:v>
      </x:c>
      <x:c r="AC693" s="31" t="n">
        <x:v>7</x:v>
      </x:c>
      <x:c r="AD693" s="44" t="b">
        <x:v>1</x:v>
      </x:c>
    </x:row>
    <x:row r="694">
      <x:c r="A694" s="31" t="str">
        <x:v>36047036300</x:v>
      </x:c>
      <x:c r="B694" s="31" t="str">
        <x:v>Brooklyn</x:v>
      </x:c>
      <x:c r="C694" s="31" t="str">
        <x:v>036300</x:v>
      </x:c>
      <x:c r="D694" s="31" t="str">
        <x:v>BK1601</x:v>
      </x:c>
      <x:c r="E694" s="31" t="str">
        <x:v>Ocean Hill</x:v>
      </x:c>
      <x:c r="F694" s="31" t="n">
        <x:v>0.09996736983112374</x:v>
      </x:c>
      <x:c r="G694" s="31" t="n">
        <x:v>40.672172640204224</x:v>
      </x:c>
      <x:c r="H694" s="31" t="n">
        <x:v>-73.91700653257438</x:v>
      </x:c>
      <x:c r="I694" s="31" t="n">
        <x:v>5385</x:v>
      </x:c>
      <x:c r="J694" s="31" t="n">
        <x:v>53867.5770813712</x:v>
      </x:c>
      <x:c r="K694" s="31"/>
      <x:c r="L694" s="40"/>
      <x:c r="M694" s="40"/>
      <x:c r="N694" s="31" t="n">
        <x:v>424</x:v>
      </x:c>
      <x:c r="O694" s="31" t="n">
        <x:v>2191</x:v>
      </x:c>
      <x:c r="P694" s="31" t="n">
        <x:v>3.910999543587403</x:v>
      </x:c>
      <x:c r="Q694" s="40" t="n">
        <x:v>0</x:v>
      </x:c>
      <x:c r="R694" s="40" t="n">
        <x:v>0.9082610680054769</x:v>
      </x:c>
      <x:c r="S694" s="40" t="n">
        <x:v>0.051574623459607484</x:v>
      </x:c>
      <x:c r="T694" s="31" t="n">
        <x:v>43.62520225238052</x:v>
      </x:c>
      <x:c r="U694" s="31" t="n">
        <x:v>70</x:v>
      </x:c>
      <x:c r="V694" s="31" t="n">
        <x:v>11</x:v>
      </x:c>
      <x:c r="W694" s="31" t="n">
        <x:v>2.042711234911792</x:v>
      </x:c>
      <x:c r="X694" s="31" t="n">
        <x:v>5</x:v>
      </x:c>
      <x:c r="Y694" s="40" t="n">
        <x:v>1</x:v>
      </x:c>
      <x:c r="Z694" s="40" t="n">
        <x:v>1</x:v>
      </x:c>
      <x:c r="AA694" s="40" t="n">
        <x:v>0.9931538110451849</x:v>
      </x:c>
      <x:c r="AB694" s="31" t="n">
        <x:v>0.16827705861514736</x:v>
      </x:c>
      <x:c r="AC694" s="31" t="n">
        <x:v>9</x:v>
      </x:c>
      <x:c r="AD694" s="44" t="b">
        <x:v>1</x:v>
      </x:c>
    </x:row>
    <x:row r="695">
      <x:c r="A695" s="31" t="str">
        <x:v>36047036400</x:v>
      </x:c>
      <x:c r="B695" s="31" t="str">
        <x:v>Brooklyn</x:v>
      </x:c>
      <x:c r="C695" s="31" t="str">
        <x:v>036400</x:v>
      </x:c>
      <x:c r="D695" s="31" t="str">
        <x:v>BK1303</x:v>
      </x:c>
      <x:c r="E695" s="31" t="str">
        <x:v>Brighton Beach</x:v>
      </x:c>
      <x:c r="F695" s="31" t="n">
        <x:v>0.055224849277218206</x:v>
      </x:c>
      <x:c r="G695" s="31" t="n">
        <x:v>40.58016572027366</x:v>
      </x:c>
      <x:c r="H695" s="31" t="n">
        <x:v>-73.96385426395615</x:v>
      </x:c>
      <x:c r="I695" s="31" t="n">
        <x:v>3006</x:v>
      </x:c>
      <x:c r="J695" s="31" t="n">
        <x:v>54432.01818280125</x:v>
      </x:c>
      <x:c r="K695" s="31"/>
      <x:c r="L695" s="40"/>
      <x:c r="M695" s="40"/>
      <x:c r="N695" s="31" t="n">
        <x:v>256</x:v>
      </x:c>
      <x:c r="O695" s="31" t="n">
        <x:v>1159</x:v>
      </x:c>
      <x:c r="P695" s="31" t="n">
        <x:v>4.466521739130434</x:v>
      </x:c>
      <x:c r="Q695" s="40" t="n">
        <x:v>0.031061259706643658</x:v>
      </x:c>
      <x:c r="R695" s="40" t="n">
        <x:v>0.6695427092320967</x:v>
      </x:c>
      <x:c r="S695" s="40" t="n">
        <x:v>0.0008628127696289905</x:v>
      </x:c>
      <x:c r="T695" s="31" t="n">
        <x:v>48.01941158918018</x:v>
      </x:c>
      <x:c r="U695" s="31" t="n">
        <x:v>108</x:v>
      </x:c>
      <x:c r="V695" s="31" t="n">
        <x:v>46</x:v>
      </x:c>
      <x:c r="W695" s="31" t="n">
        <x:v>15.302727877578176</x:v>
      </x:c>
      <x:c r="X695" s="31" t="n">
        <x:v>3</x:v>
      </x:c>
      <x:c r="Y695" s="40" t="n">
        <x:v>0</x:v>
      </x:c>
      <x:c r="Z695" s="40" t="n">
        <x:v>1</x:v>
      </x:c>
      <x:c r="AA695" s="40" t="n">
        <x:v>0.9577221742881795</x:v>
      </x:c>
      <x:c r="AB695" s="31" t="n">
        <x:v>0.08800547204530378</x:v>
      </x:c>
      <x:c r="AC695" s="31" t="n">
        <x:v>5</x:v>
      </x:c>
      <x:c r="AD695" s="44" t="b">
        <x:v>1</x:v>
      </x:c>
    </x:row>
    <x:row r="696">
      <x:c r="A696" s="31" t="str">
        <x:v>36047036501</x:v>
      </x:c>
      <x:c r="B696" s="31" t="str">
        <x:v>Brooklyn</x:v>
      </x:c>
      <x:c r="C696" s="31" t="str">
        <x:v>036501</x:v>
      </x:c>
      <x:c r="D696" s="31" t="str">
        <x:v>BK1601</x:v>
      </x:c>
      <x:c r="E696" s="31" t="str">
        <x:v>Ocean Hill</x:v>
      </x:c>
      <x:c r="F696" s="31" t="n">
        <x:v>0.04904671602136421</x:v>
      </x:c>
      <x:c r="G696" s="31" t="n">
        <x:v>40.67501830523851</x:v>
      </x:c>
      <x:c r="H696" s="31" t="n">
        <x:v>-73.91152343054424</x:v>
      </x:c>
      <x:c r="I696" s="31" t="n">
        <x:v>2959</x:v>
      </x:c>
      <x:c r="J696" s="31" t="n">
        <x:v>60330.236966550256</x:v>
      </x:c>
      <x:c r="K696" s="31"/>
      <x:c r="L696" s="40"/>
      <x:c r="M696" s="40"/>
      <x:c r="N696" s="31" t="n">
        <x:v>169</x:v>
      </x:c>
      <x:c r="O696" s="31" t="n">
        <x:v>1679</x:v>
      </x:c>
      <x:c r="P696" s="31" t="n">
        <x:v>16.282310899344846</x:v>
      </x:c>
      <x:c r="Q696" s="40" t="n">
        <x:v>0.6593210244192972</x:v>
      </x:c>
      <x:c r="R696" s="40" t="n">
        <x:v>0.2662298987492555</x:v>
      </x:c>
      <x:c r="S696" s="40" t="n">
        <x:v>0.6605122096486004</x:v>
      </x:c>
      <x:c r="T696" s="31" t="n">
        <x:v>146.9106265587969</x:v>
      </x:c>
      <x:c r="U696" s="31" t="n">
        <x:v>203.03</x:v>
      </x:c>
      <x:c r="V696" s="31" t="n">
        <x:v>9</x:v>
      </x:c>
      <x:c r="W696" s="31" t="n">
        <x:v>3.0415680973301793</x:v>
      </x:c>
      <x:c r="X696" s="31" t="n">
        <x:v>5</x:v>
      </x:c>
      <x:c r="Y696" s="40" t="n">
        <x:v>1</x:v>
      </x:c>
      <x:c r="Z696" s="40" t="n">
        <x:v>1</x:v>
      </x:c>
      <x:c r="AA696" s="40" t="n">
        <x:v>1</x:v>
      </x:c>
      <x:c r="AB696" s="31" t="n">
        <x:v>0.09808223233825716</x:v>
      </x:c>
      <x:c r="AC696" s="31" t="n">
        <x:v>5</x:v>
      </x:c>
      <x:c r="AD696" s="44" t="b">
        <x:v>1</x:v>
      </x:c>
    </x:row>
    <x:row r="697">
      <x:c r="A697" s="31" t="str">
        <x:v>36047036502</x:v>
      </x:c>
      <x:c r="B697" s="31" t="str">
        <x:v>Brooklyn</x:v>
      </x:c>
      <x:c r="C697" s="31" t="str">
        <x:v>036502</x:v>
      </x:c>
      <x:c r="D697" s="31" t="str">
        <x:v>BK1601</x:v>
      </x:c>
      <x:c r="E697" s="31" t="str">
        <x:v>Ocean Hill</x:v>
      </x:c>
      <x:c r="F697" s="31" t="n">
        <x:v>0.04723612879971591</x:v>
      </x:c>
      <x:c r="G697" s="31" t="n">
        <x:v>40.67473086378694</x:v>
      </x:c>
      <x:c r="H697" s="31" t="n">
        <x:v>-73.90753822921889</x:v>
      </x:c>
      <x:c r="I697" s="31" t="n">
        <x:v>1902</x:v>
      </x:c>
      <x:c r="J697" s="31" t="n">
        <x:v>40265.78909682877</x:v>
      </x:c>
      <x:c r="K697" s="31"/>
      <x:c r="L697" s="40"/>
      <x:c r="M697" s="40"/>
      <x:c r="N697" s="31" t="n">
        <x:v>160</x:v>
      </x:c>
      <x:c r="O697" s="31" t="n">
        <x:v>1134</x:v>
      </x:c>
      <x:c r="P697" s="31" t="n">
        <x:v>6.0147968197879855</x:v>
      </x:c>
      <x:c r="Q697" s="40" t="n">
        <x:v>0.2671957671957672</x:v>
      </x:c>
      <x:c r="R697" s="40" t="n">
        <x:v>0.644620811287478</x:v>
      </x:c>
      <x:c r="S697" s="40" t="n">
        <x:v>0.06790123456790123</x:v>
      </x:c>
      <x:c r="T697" s="31" t="n">
        <x:v>54.40257421161403</x:v>
      </x:c>
      <x:c r="U697" s="31" t="n">
        <x:v>145</x:v>
      </x:c>
      <x:c r="V697" s="31" t="n">
        <x:v>13</x:v>
      </x:c>
      <x:c r="W697" s="31" t="n">
        <x:v>6.8349106203995795</x:v>
      </x:c>
      <x:c r="X697" s="31" t="n">
        <x:v>5</x:v>
      </x:c>
      <x:c r="Y697" s="40" t="n">
        <x:v>1</x:v>
      </x:c>
      <x:c r="Z697" s="40" t="n">
        <x:v>1</x:v>
      </x:c>
      <x:c r="AA697" s="40" t="n">
        <x:v>0.753968253968254</x:v>
      </x:c>
      <x:c r="AB697" s="31" t="n">
        <x:v>0.18529754078310312</x:v>
      </x:c>
      <x:c r="AC697" s="31" t="n">
        <x:v>7</x:v>
      </x:c>
      <x:c r="AD697" s="44" t="b">
        <x:v>1</x:v>
      </x:c>
    </x:row>
    <x:row r="698">
      <x:c r="A698" s="31" t="str">
        <x:v>36047036600</x:v>
      </x:c>
      <x:c r="B698" s="31" t="str">
        <x:v>Brooklyn</x:v>
      </x:c>
      <x:c r="C698" s="31" t="str">
        <x:v>036600</x:v>
      </x:c>
      <x:c r="D698" s="31" t="str">
        <x:v>BK1303</x:v>
      </x:c>
      <x:c r="E698" s="31" t="str">
        <x:v>Brighton Beach</x:v>
      </x:c>
      <x:c r="F698" s="31" t="n">
        <x:v>0.09026551922850665</x:v>
      </x:c>
      <x:c r="G698" s="31" t="n">
        <x:v>40.58286747262494</x:v>
      </x:c>
      <x:c r="H698" s="31" t="n">
        <x:v>-73.96377543227807</x:v>
      </x:c>
      <x:c r="I698" s="31" t="n">
        <x:v>4681</x:v>
      </x:c>
      <x:c r="J698" s="31" t="n">
        <x:v>51858.11858180392</x:v>
      </x:c>
      <x:c r="K698" s="31"/>
      <x:c r="L698" s="40"/>
      <x:c r="M698" s="40"/>
      <x:c r="N698" s="31" t="n">
        <x:v>285</x:v>
      </x:c>
      <x:c r="O698" s="31" t="n">
        <x:v>1533</x:v>
      </x:c>
      <x:c r="P698" s="31" t="n">
        <x:v>4.243639921722114</x:v>
      </x:c>
      <x:c r="Q698" s="40" t="n">
        <x:v>0.03261578604044357</x:v>
      </x:c>
      <x:c r="R698" s="40" t="n">
        <x:v>0.5857795172863666</x:v>
      </x:c>
      <x:c r="S698" s="40" t="n">
        <x:v>0.005870841487279843</x:v>
      </x:c>
      <x:c r="T698" s="31" t="n">
        <x:v>49.65276526537854</x:v>
      </x:c>
      <x:c r="U698" s="31" t="n">
        <x:v>131.71174446</x:v>
      </x:c>
      <x:c r="V698" s="31" t="n">
        <x:v>18</x:v>
      </x:c>
      <x:c r="W698" s="31" t="n">
        <x:v>3.845332193975646</x:v>
      </x:c>
      <x:c r="X698" s="31" t="n">
        <x:v>3</x:v>
      </x:c>
      <x:c r="Y698" s="40" t="n">
        <x:v>0</x:v>
      </x:c>
      <x:c r="Z698" s="40" t="n">
        <x:v>1</x:v>
      </x:c>
      <x:c r="AA698" s="40" t="n">
        <x:v>0.9908675799086758</x:v>
      </x:c>
      <x:c r="AB698" s="31" t="n">
        <x:v>0.027847273322813074</x:v>
      </x:c>
      <x:c r="AC698" s="31" t="n">
        <x:v>9</x:v>
      </x:c>
      <x:c r="AD698" s="44" t="b">
        <x:v>1</x:v>
      </x:c>
    </x:row>
    <x:row r="699">
      <x:c r="A699" s="31" t="str">
        <x:v>36047036700</x:v>
      </x:c>
      <x:c r="B699" s="31" t="str">
        <x:v>Brooklyn</x:v>
      </x:c>
      <x:c r="C699" s="31" t="str">
        <x:v>036700</x:v>
      </x:c>
      <x:c r="D699" s="31" t="str">
        <x:v>BK1601</x:v>
      </x:c>
      <x:c r="E699" s="31" t="str">
        <x:v>Ocean Hill</x:v>
      </x:c>
      <x:c r="F699" s="31" t="n">
        <x:v>0.0703447038510101</x:v>
      </x:c>
      <x:c r="G699" s="31" t="n">
        <x:v>40.6775685663941</x:v>
      </x:c>
      <x:c r="H699" s="31" t="n">
        <x:v>-73.90463773093835</x:v>
      </x:c>
      <x:c r="I699" s="31" t="n">
        <x:v>1796</x:v>
      </x:c>
      <x:c r="J699" s="31" t="n">
        <x:v>25531.417458291147</x:v>
      </x:c>
      <x:c r="K699" s="31"/>
      <x:c r="L699" s="40"/>
      <x:c r="M699" s="40"/>
      <x:c r="N699" s="31" t="n">
        <x:v>170</x:v>
      </x:c>
      <x:c r="O699" s="31" t="n">
        <x:v>689</x:v>
      </x:c>
      <x:c r="P699" s="31" t="n">
        <x:v>3.104385964912281</x:v>
      </x:c>
      <x:c r="Q699" s="40" t="n">
        <x:v>0</x:v>
      </x:c>
      <x:c r="R699" s="40" t="n">
        <x:v>0.5703918722786647</x:v>
      </x:c>
      <x:c r="S699" s="40" t="n">
        <x:v>0.059506531204644414</x:v>
      </x:c>
      <x:c r="T699" s="31" t="n">
        <x:v>35.65901435503636</x:v>
      </x:c>
      <x:c r="U699" s="31" t="n">
        <x:v>54.27</x:v>
      </x:c>
      <x:c r="V699" s="31" t="n">
        <x:v>2</x:v>
      </x:c>
      <x:c r="W699" s="31" t="n">
        <x:v>1.1135857461024499</x:v>
      </x:c>
      <x:c r="X699" s="31" t="n">
        <x:v>5</x:v>
      </x:c>
      <x:c r="Y699" s="40" t="n">
        <x:v>1</x:v>
      </x:c>
      <x:c r="Z699" s="40" t="n">
        <x:v>1</x:v>
      </x:c>
      <x:c r="AA699" s="40" t="n">
        <x:v>0.7982583454281568</x:v>
      </x:c>
      <x:c r="AB699" s="31" t="n">
        <x:v>0.029219310203603265</x:v>
      </x:c>
      <x:c r="AC699" s="31" t="n">
        <x:v>6</x:v>
      </x:c>
      <x:c r="AD699" s="44" t="b">
        <x:v>1</x:v>
      </x:c>
    </x:row>
    <x:row r="700">
      <x:c r="A700" s="31" t="str">
        <x:v>36047036900</x:v>
      </x:c>
      <x:c r="B700" s="31" t="str">
        <x:v>Brooklyn</x:v>
      </x:c>
      <x:c r="C700" s="31" t="str">
        <x:v>036900</x:v>
      </x:c>
      <x:c r="D700" s="31" t="str">
        <x:v>BK1601</x:v>
      </x:c>
      <x:c r="E700" s="31" t="str">
        <x:v>Ocean Hill</x:v>
      </x:c>
      <x:c r="F700" s="31" t="n">
        <x:v>0.08729897465134298</x:v>
      </x:c>
      <x:c r="G700" s="31" t="n">
        <x:v>40.67965212156489</x:v>
      </x:c>
      <x:c r="H700" s="31" t="n">
        <x:v>-73.90923343583886</x:v>
      </x:c>
      <x:c r="I700" s="31" t="n">
        <x:v>6136</x:v>
      </x:c>
      <x:c r="J700" s="31" t="n">
        <x:v>70287.19437434545</x:v>
      </x:c>
      <x:c r="K700" s="31"/>
      <x:c r="L700" s="40"/>
      <x:c r="M700" s="40"/>
      <x:c r="N700" s="31" t="n">
        <x:v>537</x:v>
      </x:c>
      <x:c r="O700" s="31" t="n">
        <x:v>2313</x:v>
      </x:c>
      <x:c r="P700" s="31" t="n">
        <x:v>4.480089485458613</x:v>
      </x:c>
      <x:c r="Q700" s="40" t="n">
        <x:v>0.1028966709900562</x:v>
      </x:c>
      <x:c r="R700" s="40" t="n">
        <x:v>0.6969303934284479</x:v>
      </x:c>
      <x:c r="S700" s="40" t="n">
        <x:v>0.04582792909641158</x:v>
      </x:c>
      <x:c r="T700" s="31" t="n">
        <x:v>52.627382508873424</x:v>
      </x:c>
      <x:c r="U700" s="31" t="n">
        <x:v>165</x:v>
      </x:c>
      <x:c r="V700" s="31" t="n">
        <x:v>13</x:v>
      </x:c>
      <x:c r="W700" s="31" t="n">
        <x:v>2.1186440677966103</x:v>
      </x:c>
      <x:c r="X700" s="31" t="n">
        <x:v>5</x:v>
      </x:c>
      <x:c r="Y700" s="40" t="n">
        <x:v>1</x:v>
      </x:c>
      <x:c r="Z700" s="40" t="n">
        <x:v>1</x:v>
      </x:c>
      <x:c r="AA700" s="40" t="n">
        <x:v>0.9939472546476438</x:v>
      </x:c>
      <x:c r="AB700" s="31" t="n">
        <x:v>0.10213783646370778</x:v>
      </x:c>
      <x:c r="AC700" s="31" t="n">
        <x:v>8</x:v>
      </x:c>
      <x:c r="AD700" s="44" t="b">
        <x:v>1</x:v>
      </x:c>
    </x:row>
    <x:row r="701">
      <x:c r="A701" s="31" t="str">
        <x:v>36047037000</x:v>
      </x:c>
      <x:c r="B701" s="31" t="str">
        <x:v>Brooklyn</x:v>
      </x:c>
      <x:c r="C701" s="31" t="str">
        <x:v>037000</x:v>
      </x:c>
      <x:c r="D701" s="31" t="str">
        <x:v>BK1301</x:v>
      </x:c>
      <x:c r="E701" s="31" t="str">
        <x:v>Gravesend (South)</x:v>
      </x:c>
      <x:c r="F701" s="31" t="n">
        <x:v>0.12977380285848542</x:v>
      </x:c>
      <x:c r="G701" s="31" t="n">
        <x:v>40.58784893150197</x:v>
      </x:c>
      <x:c r="H701" s="31" t="n">
        <x:v>-73.96317048867836</x:v>
      </x:c>
      <x:c r="I701" s="31" t="n">
        <x:v>4750</x:v>
      </x:c>
      <x:c r="J701" s="31" t="n">
        <x:v>36602.14847198196</x:v>
      </x:c>
      <x:c r="K701" s="31"/>
      <x:c r="L701" s="40"/>
      <x:c r="M701" s="40"/>
      <x:c r="N701" s="31" t="n">
        <x:v>556</x:v>
      </x:c>
      <x:c r="O701" s="31" t="n">
        <x:v>1645</x:v>
      </x:c>
      <x:c r="P701" s="31" t="n">
        <x:v>2.8726990881458967</x:v>
      </x:c>
      <x:c r="Q701" s="40" t="n">
        <x:v>0</x:v>
      </x:c>
      <x:c r="R701" s="40" t="n">
        <x:v>0.2978723404255319</x:v>
      </x:c>
      <x:c r="S701" s="40" t="n">
        <x:v>0.11550151975683891</x:v>
      </x:c>
      <x:c r="T701" s="31" t="n">
        <x:v>34.17171565640635</x:v>
      </x:c>
      <x:c r="U701" s="31" t="n">
        <x:v>65.84</x:v>
      </x:c>
      <x:c r="V701" s="31" t="n">
        <x:v>10</x:v>
      </x:c>
      <x:c r="W701" s="31" t="n">
        <x:v>2.1052631578947367</x:v>
      </x:c>
      <x:c r="X701" s="31" t="n">
        <x:v>3</x:v>
      </x:c>
      <x:c r="Y701" s="40" t="n">
        <x:v>0</x:v>
      </x:c>
      <x:c r="Z701" s="40" t="n">
        <x:v>1</x:v>
      </x:c>
      <x:c r="AA701" s="40" t="n">
        <x:v>0.9963525835866262</x:v>
      </x:c>
      <x:c r="AB701" s="31" t="n">
        <x:v>0.11894649393415295</x:v>
      </x:c>
      <x:c r="AC701" s="31" t="n">
        <x:v>8</x:v>
      </x:c>
      <x:c r="AD701" s="44" t="b">
        <x:v>1</x:v>
      </x:c>
    </x:row>
    <x:row r="702">
      <x:c r="A702" s="31" t="str">
        <x:v>36047037100</x:v>
      </x:c>
      <x:c r="B702" s="31" t="str">
        <x:v>Brooklyn</x:v>
      </x:c>
      <x:c r="C702" s="31" t="str">
        <x:v>037100</x:v>
      </x:c>
      <x:c r="D702" s="31" t="str">
        <x:v>BK1601</x:v>
      </x:c>
      <x:c r="E702" s="31" t="str">
        <x:v>Ocean Hill</x:v>
      </x:c>
      <x:c r="F702" s="31" t="n">
        <x:v>0.07303386200427571</x:v>
      </x:c>
      <x:c r="G702" s="31" t="n">
        <x:v>40.68028905592579</x:v>
      </x:c>
      <x:c r="H702" s="31" t="n">
        <x:v>-73.91384121799003</x:v>
      </x:c>
      <x:c r="I702" s="31" t="n">
        <x:v>4503</x:v>
      </x:c>
      <x:c r="J702" s="31" t="n">
        <x:v>61656.331411535866</x:v>
      </x:c>
      <x:c r="K702" s="31"/>
      <x:c r="L702" s="40"/>
      <x:c r="M702" s="40"/>
      <x:c r="N702" s="31" t="n">
        <x:v>546</x:v>
      </x:c>
      <x:c r="O702" s="31" t="n">
        <x:v>1779</x:v>
      </x:c>
      <x:c r="P702" s="31" t="n">
        <x:v>3.0108200455580865</x:v>
      </x:c>
      <x:c r="Q702" s="40" t="n">
        <x:v>0</x:v>
      </x:c>
      <x:c r="R702" s="40" t="n">
        <x:v>0.6627318718381113</x:v>
      </x:c>
      <x:c r="S702" s="40" t="n">
        <x:v>0.012366498032602586</x:v>
      </x:c>
      <x:c r="T702" s="31" t="n">
        <x:v>36.98421626400114</x:v>
      </x:c>
      <x:c r="U702" s="31" t="n">
        <x:v>77</x:v>
      </x:c>
      <x:c r="V702" s="31" t="n">
        <x:v>2</x:v>
      </x:c>
      <x:c r="W702" s="31" t="n">
        <x:v>0.44414834554741284</x:v>
      </x:c>
      <x:c r="X702" s="31" t="n">
        <x:v>5</x:v>
      </x:c>
      <x:c r="Y702" s="40" t="n">
        <x:v>1</x:v>
      </x:c>
      <x:c r="Z702" s="40" t="n">
        <x:v>1</x:v>
      </x:c>
      <x:c r="AA702" s="40" t="n">
        <x:v>0.984822934232715</x:v>
      </x:c>
      <x:c r="AB702" s="31" t="n">
        <x:v>0.16602724513050407</x:v>
      </x:c>
      <x:c r="AC702" s="31" t="n">
        <x:v>4</x:v>
      </x:c>
      <x:c r="AD702" s="44" t="b">
        <x:v>1</x:v>
      </x:c>
    </x:row>
    <x:row r="703">
      <x:c r="A703" s="31" t="str">
        <x:v>36047037300</x:v>
      </x:c>
      <x:c r="B703" s="31" t="str">
        <x:v>Brooklyn</x:v>
      </x:c>
      <x:c r="C703" s="31" t="str">
        <x:v>037300</x:v>
      </x:c>
      <x:c r="D703" s="31" t="str">
        <x:v>BK1601</x:v>
      </x:c>
      <x:c r="E703" s="31" t="str">
        <x:v>Ocean Hill</x:v>
      </x:c>
      <x:c r="F703" s="31" t="n">
        <x:v>0.06593267456023301</x:v>
      </x:c>
      <x:c r="G703" s="31" t="n">
        <x:v>40.6839485654225</x:v>
      </x:c>
      <x:c r="H703" s="31" t="n">
        <x:v>-73.91521505719892</x:v>
      </x:c>
      <x:c r="I703" s="31" t="n">
        <x:v>4385</x:v>
      </x:c>
      <x:c r="J703" s="31" t="n">
        <x:v>66507.2368025063</x:v>
      </x:c>
      <x:c r="K703" s="31"/>
      <x:c r="L703" s="40"/>
      <x:c r="M703" s="40"/>
      <x:c r="N703" s="31" t="n">
        <x:v>408</x:v>
      </x:c>
      <x:c r="O703" s="31" t="n">
        <x:v>2027</x:v>
      </x:c>
      <x:c r="P703" s="31" t="n">
        <x:v>5.369813278008299</x:v>
      </x:c>
      <x:c r="Q703" s="40" t="n">
        <x:v>0.18549580661075482</x:v>
      </x:c>
      <x:c r="R703" s="40" t="n">
        <x:v>0.5056734089787864</x:v>
      </x:c>
      <x:c r="S703" s="40" t="n">
        <x:v>0.013813517513566848</x:v>
      </x:c>
      <x:c r="T703" s="31" t="n">
        <x:v>56.47122066575614</x:v>
      </x:c>
      <x:c r="U703" s="31" t="n">
        <x:v>139.91086307</x:v>
      </x:c>
      <x:c r="V703" s="31" t="n">
        <x:v>14</x:v>
      </x:c>
      <x:c r="W703" s="31" t="n">
        <x:v>3.192702394526796</x:v>
      </x:c>
      <x:c r="X703" s="31" t="n">
        <x:v>4.944745929945733</x:v>
      </x:c>
      <x:c r="Y703" s="40" t="n">
        <x:v>1</x:v>
      </x:c>
      <x:c r="Z703" s="40" t="n">
        <x:v>1</x:v>
      </x:c>
      <x:c r="AA703" s="40" t="n">
        <x:v>0.9427725703009373</x:v>
      </x:c>
      <x:c r="AB703" s="31" t="n">
        <x:v>0.05802586694366823</x:v>
      </x:c>
      <x:c r="AC703" s="31" t="n">
        <x:v>8</x:v>
      </x:c>
      <x:c r="AD703" s="44" t="b">
        <x:v>1</x:v>
      </x:c>
    </x:row>
    <x:row r="704">
      <x:c r="A704" s="31" t="str">
        <x:v>36047037401</x:v>
      </x:c>
      <x:c r="B704" s="31" t="str">
        <x:v>Brooklyn</x:v>
      </x:c>
      <x:c r="C704" s="31" t="str">
        <x:v>037401</x:v>
      </x:c>
      <x:c r="D704" s="31" t="str">
        <x:v>BK1301</x:v>
      </x:c>
      <x:c r="E704" s="31" t="str">
        <x:v>Gravesend (South)</x:v>
      </x:c>
      <x:c r="F704" s="31" t="n">
        <x:v>0.08690824453304351</x:v>
      </x:c>
      <x:c r="G704" s="31" t="n">
        <x:v>40.58800312862775</x:v>
      </x:c>
      <x:c r="H704" s="31" t="n">
        <x:v>-73.96775332908813</x:v>
      </x:c>
      <x:c r="I704" s="31" t="n">
        <x:v>4696</x:v>
      </x:c>
      <x:c r="J704" s="31" t="n">
        <x:v>54033.99902082393</x:v>
      </x:c>
      <x:c r="K704" s="31"/>
      <x:c r="L704" s="40"/>
      <x:c r="M704" s="40"/>
      <x:c r="N704" s="31" t="n">
        <x:v>390</x:v>
      </x:c>
      <x:c r="O704" s="31" t="n">
        <x:v>1962</x:v>
      </x:c>
      <x:c r="P704" s="31" t="n">
        <x:v>4.973241590214068</x:v>
      </x:c>
      <x:c r="Q704" s="40" t="n">
        <x:v>0.09683995922528033</x:v>
      </x:c>
      <x:c r="R704" s="40" t="n">
        <x:v>0.5448521916411825</x:v>
      </x:c>
      <x:c r="S704" s="40" t="n">
        <x:v>0.10397553516819572</x:v>
      </x:c>
      <x:c r="T704" s="31" t="n">
        <x:v>53.45283352785423</x:v>
      </x:c>
      <x:c r="U704" s="31" t="n">
        <x:v>108.32</x:v>
      </x:c>
      <x:c r="V704" s="31" t="n">
        <x:v>21</x:v>
      </x:c>
      <x:c r="W704" s="31" t="n">
        <x:v>4.4718909710391825</x:v>
      </x:c>
      <x:c r="X704" s="31" t="n">
        <x:v>3.8374108053007134</x:v>
      </x:c>
      <x:c r="Y704" s="40" t="n">
        <x:v>0.8374108053007135</x:v>
      </x:c>
      <x:c r="Z704" s="40" t="n">
        <x:v>1</x:v>
      </x:c>
      <x:c r="AA704" s="40" t="n">
        <x:v>1</x:v>
      </x:c>
      <x:c r="AB704" s="31" t="n">
        <x:v>0.18743740433482825</x:v>
      </x:c>
      <x:c r="AC704" s="31" t="n">
        <x:v>6</x:v>
      </x:c>
      <x:c r="AD704" s="44" t="b">
        <x:v>1</x:v>
      </x:c>
    </x:row>
    <x:row r="705">
      <x:c r="A705" s="31" t="str">
        <x:v>36047037402</x:v>
      </x:c>
      <x:c r="B705" s="31" t="str">
        <x:v>Brooklyn</x:v>
      </x:c>
      <x:c r="C705" s="31" t="str">
        <x:v>037402</x:v>
      </x:c>
      <x:c r="D705" s="31" t="str">
        <x:v>BK1301</x:v>
      </x:c>
      <x:c r="E705" s="31" t="str">
        <x:v>Gravesend (South)</x:v>
      </x:c>
      <x:c r="F705" s="31" t="n">
        <x:v>0.11729568717716943</x:v>
      </x:c>
      <x:c r="G705" s="31" t="n">
        <x:v>40.586790785844684</x:v>
      </x:c>
      <x:c r="H705" s="31" t="n">
        <x:v>-73.97201583823994</x:v>
      </x:c>
      <x:c r="I705" s="31" t="n">
        <x:v>5367</x:v>
      </x:c>
      <x:c r="J705" s="31" t="n">
        <x:v>45756.15804094662</x:v>
      </x:c>
      <x:c r="K705" s="31"/>
      <x:c r="L705" s="40"/>
      <x:c r="M705" s="40"/>
      <x:c r="N705" s="31" t="n">
        <x:v>264</x:v>
      </x:c>
      <x:c r="O705" s="31" t="n">
        <x:v>2260</x:v>
      </x:c>
      <x:c r="P705" s="31" t="n">
        <x:v>4.940486725663717</x:v>
      </x:c>
      <x:c r="Q705" s="40" t="n">
        <x:v>0</x:v>
      </x:c>
      <x:c r="R705" s="40" t="n">
        <x:v>0.7915929203539823</x:v>
      </x:c>
      <x:c r="S705" s="40" t="n">
        <x:v>0.0035398230088495575</x:v>
      </x:c>
      <x:c r="T705" s="31" t="n">
        <x:v>54.704142733757195</x:v>
      </x:c>
      <x:c r="U705" s="31" t="n">
        <x:v>67.51694354</x:v>
      </x:c>
      <x:c r="V705" s="31" t="n">
        <x:v>26</x:v>
      </x:c>
      <x:c r="W705" s="31" t="n">
        <x:v>4.844419601267003</x:v>
      </x:c>
      <x:c r="X705" s="31" t="n">
        <x:v>4</x:v>
      </x:c>
      <x:c r="Y705" s="40" t="n">
        <x:v>1</x:v>
      </x:c>
      <x:c r="Z705" s="40" t="n">
        <x:v>1</x:v>
      </x:c>
      <x:c r="AA705" s="40" t="n">
        <x:v>0.9986725663716814</x:v>
      </x:c>
      <x:c r="AB705" s="31" t="n">
        <x:v>0.2633727208444895</x:v>
      </x:c>
      <x:c r="AC705" s="31" t="n">
        <x:v>6</x:v>
      </x:c>
      <x:c r="AD705" s="44" t="b">
        <x:v>1</x:v>
      </x:c>
    </x:row>
    <x:row r="706">
      <x:c r="A706" s="31" t="str">
        <x:v>36047037500</x:v>
      </x:c>
      <x:c r="B706" s="31" t="str">
        <x:v>Brooklyn</x:v>
      </x:c>
      <x:c r="C706" s="31" t="str">
        <x:v>037500</x:v>
      </x:c>
      <x:c r="D706" s="31" t="str">
        <x:v>BK0302</x:v>
      </x:c>
      <x:c r="E706" s="31" t="str">
        <x:v>Bedford-Stuyvesant (East)</x:v>
      </x:c>
      <x:c r="F706" s="31" t="n">
        <x:v>0.061289736308755165</x:v>
      </x:c>
      <x:c r="G706" s="31" t="n">
        <x:v>40.68761913941119</x:v>
      </x:c>
      <x:c r="H706" s="31" t="n">
        <x:v>-73.9215158991574</x:v>
      </x:c>
      <x:c r="I706" s="31" t="n">
        <x:v>3809</x:v>
      </x:c>
      <x:c r="J706" s="31" t="n">
        <x:v>62147.43657586742</x:v>
      </x:c>
      <x:c r="K706" s="31"/>
      <x:c r="L706" s="40"/>
      <x:c r="M706" s="40"/>
      <x:c r="N706" s="31" t="n">
        <x:v>373</x:v>
      </x:c>
      <x:c r="O706" s="31" t="n">
        <x:v>1670</x:v>
      </x:c>
      <x:c r="P706" s="31" t="n">
        <x:v>3.7873044524669073</x:v>
      </x:c>
      <x:c r="Q706" s="40" t="n">
        <x:v>0</x:v>
      </x:c>
      <x:c r="R706" s="40" t="n">
        <x:v>0.8658682634730539</x:v>
      </x:c>
      <x:c r="S706" s="40" t="n">
        <x:v>0</x:v>
      </x:c>
      <x:c r="T706" s="31" t="n">
        <x:v>41.53502385626123</x:v>
      </x:c>
      <x:c r="U706" s="31" t="n">
        <x:v>75</x:v>
      </x:c>
      <x:c r="V706" s="31" t="n">
        <x:v>12</x:v>
      </x:c>
      <x:c r="W706" s="31" t="n">
        <x:v>3.1504331845628775</x:v>
      </x:c>
      <x:c r="X706" s="31" t="n">
        <x:v>4.087425149700599</x:v>
      </x:c>
      <x:c r="Y706" s="40" t="n">
        <x:v>1</x:v>
      </x:c>
      <x:c r="Z706" s="40" t="n">
        <x:v>1</x:v>
      </x:c>
      <x:c r="AA706" s="40" t="n">
        <x:v>0.9994011976047904</x:v>
      </x:c>
      <x:c r="AB706" s="31" t="n">
        <x:v>0.06884656343155283</x:v>
      </x:c>
      <x:c r="AC706" s="31" t="n">
        <x:v>7</x:v>
      </x:c>
      <x:c r="AD706" s="44" t="b">
        <x:v>1</x:v>
      </x:c>
    </x:row>
    <x:row r="707">
      <x:c r="A707" s="31" t="str">
        <x:v>36047037700</x:v>
      </x:c>
      <x:c r="B707" s="31" t="str">
        <x:v>Brooklyn</x:v>
      </x:c>
      <x:c r="C707" s="31" t="str">
        <x:v>037700</x:v>
      </x:c>
      <x:c r="D707" s="31" t="str">
        <x:v>BK0302</x:v>
      </x:c>
      <x:c r="E707" s="31" t="str">
        <x:v>Bedford-Stuyvesant (East)</x:v>
      </x:c>
      <x:c r="F707" s="31" t="n">
        <x:v>0.07344588452744777</x:v>
      </x:c>
      <x:c r="G707" s="31" t="n">
        <x:v>40.684088297167634</x:v>
      </x:c>
      <x:c r="H707" s="31" t="n">
        <x:v>-73.92018759006291</x:v>
      </x:c>
      <x:c r="I707" s="31" t="n">
        <x:v>3970</x:v>
      </x:c>
      <x:c r="J707" s="31" t="n">
        <x:v>54053.403067347565</x:v>
      </x:c>
      <x:c r="K707" s="31"/>
      <x:c r="L707" s="40"/>
      <x:c r="M707" s="40"/>
      <x:c r="N707" s="31" t="n">
        <x:v>550</x:v>
      </x:c>
      <x:c r="O707" s="31" t="n">
        <x:v>1684</x:v>
      </x:c>
      <x:c r="P707" s="31" t="n">
        <x:v>2.8209399167162403</x:v>
      </x:c>
      <x:c r="Q707" s="40" t="n">
        <x:v>0</x:v>
      </x:c>
      <x:c r="R707" s="40" t="n">
        <x:v>0.6027315914489311</x:v>
      </x:c>
      <x:c r="S707" s="40" t="n">
        <x:v>0</x:v>
      </x:c>
      <x:c r="T707" s="31" t="n">
        <x:v>38.225673209599044</x:v>
      </x:c>
      <x:c r="U707" s="31" t="n">
        <x:v>64</x:v>
      </x:c>
      <x:c r="V707" s="31" t="n">
        <x:v>5</x:v>
      </x:c>
      <x:c r="W707" s="31" t="n">
        <x:v>1.2594458438287153</x:v>
      </x:c>
      <x:c r="X707" s="31" t="n">
        <x:v>5</x:v>
      </x:c>
      <x:c r="Y707" s="40" t="n">
        <x:v>1</x:v>
      </x:c>
      <x:c r="Z707" s="40" t="n">
        <x:v>1</x:v>
      </x:c>
      <x:c r="AA707" s="40" t="n">
        <x:v>0.9922802850356295</x:v>
      </x:c>
      <x:c r="AB707" s="31" t="n">
        <x:v>0.15382383464032945</x:v>
      </x:c>
      <x:c r="AC707" s="31" t="n">
        <x:v>5</x:v>
      </x:c>
      <x:c r="AD707" s="44" t="b">
        <x:v>1</x:v>
      </x:c>
    </x:row>
    <x:row r="708">
      <x:c r="A708" s="31" t="str">
        <x:v>36047037900</x:v>
      </x:c>
      <x:c r="B708" s="31" t="str">
        <x:v>Brooklyn</x:v>
      </x:c>
      <x:c r="C708" s="31" t="str">
        <x:v>037900</x:v>
      </x:c>
      <x:c r="D708" s="31" t="str">
        <x:v>BK0302</x:v>
      </x:c>
      <x:c r="E708" s="31" t="str">
        <x:v>Bedford-Stuyvesant (East)</x:v>
      </x:c>
      <x:c r="F708" s="31" t="n">
        <x:v>0.07095928569322486</x:v>
      </x:c>
      <x:c r="G708" s="31" t="n">
        <x:v>40.680498867847476</x:v>
      </x:c>
      <x:c r="H708" s="31" t="n">
        <x:v>-73.9193654563535</x:v>
      </x:c>
      <x:c r="I708" s="31" t="n">
        <x:v>3851</x:v>
      </x:c>
      <x:c r="J708" s="31" t="n">
        <x:v>54270.55757929776</x:v>
      </x:c>
      <x:c r="K708" s="31"/>
      <x:c r="L708" s="40"/>
      <x:c r="M708" s="40"/>
      <x:c r="N708" s="31" t="n">
        <x:v>483</x:v>
      </x:c>
      <x:c r="O708" s="31" t="n">
        <x:v>1595</x:v>
      </x:c>
      <x:c r="P708" s="31" t="n">
        <x:v>2.8476190476190477</x:v>
      </x:c>
      <x:c r="Q708" s="40" t="n">
        <x:v>0</x:v>
      </x:c>
      <x:c r="R708" s="40" t="n">
        <x:v>0.6394984326018809</x:v>
      </x:c>
      <x:c r="S708" s="40" t="n">
        <x:v>0.03761755485893417</x:v>
      </x:c>
      <x:c r="T708" s="31" t="n">
        <x:v>34.50765660325142</x:v>
      </x:c>
      <x:c r="U708" s="31" t="n">
        <x:v>56.76</x:v>
      </x:c>
      <x:c r="V708" s="31" t="n">
        <x:v>3</x:v>
      </x:c>
      <x:c r="W708" s="31" t="n">
        <x:v>0.7790184367696703</x:v>
      </x:c>
      <x:c r="X708" s="31" t="n">
        <x:v>5</x:v>
      </x:c>
      <x:c r="Y708" s="40" t="n">
        <x:v>1</x:v>
      </x:c>
      <x:c r="Z708" s="40" t="n">
        <x:v>1</x:v>
      </x:c>
      <x:c r="AA708" s="40" t="n">
        <x:v>0.9949843260188088</x:v>
      </x:c>
      <x:c r="AB708" s="31" t="n">
        <x:v>0.11269182582040026</x:v>
      </x:c>
      <x:c r="AC708" s="31" t="n">
        <x:v>6</x:v>
      </x:c>
      <x:c r="AD708" s="44" t="b">
        <x:v>1</x:v>
      </x:c>
    </x:row>
    <x:row r="709">
      <x:c r="A709" s="31" t="str">
        <x:v>36047038100</x:v>
      </x:c>
      <x:c r="B709" s="31" t="str">
        <x:v>Brooklyn</x:v>
      </x:c>
      <x:c r="C709" s="31" t="str">
        <x:v>038100</x:v>
      </x:c>
      <x:c r="D709" s="31" t="str">
        <x:v>BK0302</x:v>
      </x:c>
      <x:c r="E709" s="31" t="str">
        <x:v>Bedford-Stuyvesant (East)</x:v>
      </x:c>
      <x:c r="F709" s="31" t="n">
        <x:v>0.09251413639556072</x:v>
      </x:c>
      <x:c r="G709" s="31" t="n">
        <x:v>40.68104763275653</x:v>
      </x:c>
      <x:c r="H709" s="31" t="n">
        <x:v>-73.92542781007045</x:v>
      </x:c>
      <x:c r="I709" s="31" t="n">
        <x:v>5313</x:v>
      </x:c>
      <x:c r="J709" s="31" t="n">
        <x:v>57429.06118999284</x:v>
      </x:c>
      <x:c r="K709" s="31"/>
      <x:c r="L709" s="40"/>
      <x:c r="M709" s="40"/>
      <x:c r="N709" s="31" t="n">
        <x:v>413</x:v>
      </x:c>
      <x:c r="O709" s="31" t="n">
        <x:v>2221</x:v>
      </x:c>
      <x:c r="P709" s="31" t="n">
        <x:v>4.615713642503377</x:v>
      </x:c>
      <x:c r="Q709" s="40" t="n">
        <x:v>0</x:v>
      </x:c>
      <x:c r="R709" s="40" t="n">
        <x:v>0.7528140477262495</x:v>
      </x:c>
      <x:c r="S709" s="40" t="n">
        <x:v>0.4034218820351193</x:v>
      </x:c>
      <x:c r="T709" s="31" t="n">
        <x:v>49.76650565156407</x:v>
      </x:c>
      <x:c r="U709" s="31" t="n">
        <x:v>66.06153635</x:v>
      </x:c>
      <x:c r="V709" s="31" t="n">
        <x:v>28</x:v>
      </x:c>
      <x:c r="W709" s="31" t="n">
        <x:v>5.270092226613966</x:v>
      </x:c>
      <x:c r="X709" s="31" t="n">
        <x:v>5</x:v>
      </x:c>
      <x:c r="Y709" s="40" t="n">
        <x:v>1</x:v>
      </x:c>
      <x:c r="Z709" s="40" t="n">
        <x:v>1</x:v>
      </x:c>
      <x:c r="AA709" s="40" t="n">
        <x:v>0.9873930661864025</x:v>
      </x:c>
      <x:c r="AB709" s="31" t="n">
        <x:v>0.0646800144605107</x:v>
      </x:c>
      <x:c r="AC709" s="31" t="n">
        <x:v>7</x:v>
      </x:c>
      <x:c r="AD709" s="44" t="b">
        <x:v>1</x:v>
      </x:c>
    </x:row>
    <x:row r="710">
      <x:c r="A710" s="31" t="str">
        <x:v>36047038200</x:v>
      </x:c>
      <x:c r="B710" s="31" t="str">
        <x:v>Brooklyn</x:v>
      </x:c>
      <x:c r="C710" s="31" t="str">
        <x:v>038200</x:v>
      </x:c>
      <x:c r="D710" s="31" t="str">
        <x:v>BK1301</x:v>
      </x:c>
      <x:c r="E710" s="31" t="str">
        <x:v>Gravesend (South)</x:v>
      </x:c>
      <x:c r="F710" s="31" t="n">
        <x:v>0.09055524437521521</x:v>
      </x:c>
      <x:c r="G710" s="31" t="n">
        <x:v>40.59152528804151</x:v>
      </x:c>
      <x:c r="H710" s="31" t="n">
        <x:v>-73.98146939853979</x:v>
      </x:c>
      <x:c r="I710" s="31" t="n">
        <x:v>5882</x:v>
      </x:c>
      <x:c r="J710" s="31" t="n">
        <x:v>64954.82443433051</x:v>
      </x:c>
      <x:c r="K710" s="31"/>
      <x:c r="L710" s="40"/>
      <x:c r="M710" s="40"/>
      <x:c r="N710" s="31" t="n">
        <x:v>128</x:v>
      </x:c>
      <x:c r="O710" s="31" t="n">
        <x:v>2118</x:v>
      </x:c>
      <x:c r="P710" s="31" t="n">
        <x:v>6.246619452313503</x:v>
      </x:c>
      <x:c r="Q710" s="40" t="n">
        <x:v>0</x:v>
      </x:c>
      <x:c r="R710" s="40" t="n">
        <x:v>0.9121813031161473</x:v>
      </x:c>
      <x:c r="S710" s="40" t="n">
        <x:v>0.8593012275731823</x:v>
      </x:c>
      <x:c r="T710" s="31" t="n">
        <x:v>107.6060502695461</x:v>
      </x:c>
      <x:c r="U710" s="31" t="n">
        <x:v>179.55</x:v>
      </x:c>
      <x:c r="V710" s="31" t="n">
        <x:v>33</x:v>
      </x:c>
      <x:c r="W710" s="31" t="n">
        <x:v>5.610336620197212</x:v>
      </x:c>
      <x:c r="X710" s="31" t="n">
        <x:v>4</x:v>
      </x:c>
      <x:c r="Y710" s="40" t="n">
        <x:v>1</x:v>
      </x:c>
      <x:c r="Z710" s="40" t="n">
        <x:v>1</x:v>
      </x:c>
      <x:c r="AA710" s="40" t="n">
        <x:v>0.9985835694050992</x:v>
      </x:c>
      <x:c r="AB710" s="31" t="n">
        <x:v>0.14539880984360204</x:v>
      </x:c>
      <x:c r="AC710" s="31" t="n">
        <x:v>4</x:v>
      </x:c>
      <x:c r="AD710" s="44" t="b">
        <x:v>1</x:v>
      </x:c>
    </x:row>
    <x:row r="711">
      <x:c r="A711" s="31" t="str">
        <x:v>36047038300</x:v>
      </x:c>
      <x:c r="B711" s="31" t="str">
        <x:v>Brooklyn</x:v>
      </x:c>
      <x:c r="C711" s="31" t="str">
        <x:v>038300</x:v>
      </x:c>
      <x:c r="D711" s="31" t="str">
        <x:v>BK0302</x:v>
      </x:c>
      <x:c r="E711" s="31" t="str">
        <x:v>Bedford-Stuyvesant (East)</x:v>
      </x:c>
      <x:c r="F711" s="31" t="n">
        <x:v>0.06738180497481921</x:v>
      </x:c>
      <x:c r="G711" s="31" t="n">
        <x:v>40.684524483326534</x:v>
      </x:c>
      <x:c r="H711" s="31" t="n">
        <x:v>-73.92620568108481</x:v>
      </x:c>
      <x:c r="I711" s="31" t="n">
        <x:v>4338</x:v>
      </x:c>
      <x:c r="J711" s="31" t="n">
        <x:v>64379.39739995276</x:v>
      </x:c>
      <x:c r="K711" s="31"/>
      <x:c r="L711" s="40"/>
      <x:c r="M711" s="40"/>
      <x:c r="N711" s="31" t="n">
        <x:v>613</x:v>
      </x:c>
      <x:c r="O711" s="31" t="n">
        <x:v>1892</x:v>
      </x:c>
      <x:c r="P711" s="31" t="n">
        <x:v>2.841173361522199</x:v>
      </x:c>
      <x:c r="Q711" s="40" t="n">
        <x:v>0</x:v>
      </x:c>
      <x:c r="R711" s="40" t="n">
        <x:v>0.5190274841437632</x:v>
      </x:c>
      <x:c r="S711" s="40" t="n">
        <x:v>0.015856236786469344</x:v>
      </x:c>
      <x:c r="T711" s="31" t="n">
        <x:v>37.90443746982521</x:v>
      </x:c>
      <x:c r="U711" s="31" t="n">
        <x:v>92</x:v>
      </x:c>
      <x:c r="V711" s="31" t="n">
        <x:v>1</x:v>
      </x:c>
      <x:c r="W711" s="31" t="n">
        <x:v>0.2305209774089442</x:v>
      </x:c>
      <x:c r="X711" s="31" t="n">
        <x:v>4.8451374207188165</x:v>
      </x:c>
      <x:c r="Y711" s="40" t="n">
        <x:v>1</x:v>
      </x:c>
      <x:c r="Z711" s="40" t="n">
        <x:v>1</x:v>
      </x:c>
      <x:c r="AA711" s="40" t="n">
        <x:v>0.9978858350951374</x:v>
      </x:c>
      <x:c r="AB711" s="31" t="n">
        <x:v>0.19733741275866107</x:v>
      </x:c>
      <x:c r="AC711" s="31" t="n">
        <x:v>6</x:v>
      </x:c>
      <x:c r="AD711" s="44" t="b">
        <x:v>1</x:v>
      </x:c>
    </x:row>
    <x:row r="712">
      <x:c r="A712" s="31" t="str">
        <x:v>36047038500</x:v>
      </x:c>
      <x:c r="B712" s="31" t="str">
        <x:v>Brooklyn</x:v>
      </x:c>
      <x:c r="C712" s="31" t="str">
        <x:v>038500</x:v>
      </x:c>
      <x:c r="D712" s="31" t="str">
        <x:v>BK0302</x:v>
      </x:c>
      <x:c r="E712" s="31" t="str">
        <x:v>Bedford-Stuyvesant (East)</x:v>
      </x:c>
      <x:c r="F712" s="31" t="n">
        <x:v>0.0673566067023215</x:v>
      </x:c>
      <x:c r="G712" s="31" t="n">
        <x:v>40.68745528141843</x:v>
      </x:c>
      <x:c r="H712" s="31" t="n">
        <x:v>-73.9267890015368</x:v>
      </x:c>
      <x:c r="I712" s="31" t="n">
        <x:v>3969</x:v>
      </x:c>
      <x:c r="J712" s="31" t="n">
        <x:v>58925.177414900936</x:v>
      </x:c>
      <x:c r="K712" s="31"/>
      <x:c r="L712" s="40"/>
      <x:c r="M712" s="40"/>
      <x:c r="N712" s="31" t="n">
        <x:v>456</x:v>
      </x:c>
      <x:c r="O712" s="31" t="n">
        <x:v>1624</x:v>
      </x:c>
      <x:c r="P712" s="31" t="n">
        <x:v>3.4223181257706536</x:v>
      </x:c>
      <x:c r="Q712" s="40" t="n">
        <x:v>0</x:v>
      </x:c>
      <x:c r="R712" s="40" t="n">
        <x:v>0.6496305418719212</x:v>
      </x:c>
      <x:c r="S712" s="40" t="n">
        <x:v>0.012315270935960592</x:v>
      </x:c>
      <x:c r="T712" s="31" t="n">
        <x:v>41.2451148227107</x:v>
      </x:c>
      <x:c r="U712" s="31" t="n">
        <x:v>75.34</x:v>
      </x:c>
      <x:c r="V712" s="31" t="n">
        <x:v>6</x:v>
      </x:c>
      <x:c r="W712" s="31" t="n">
        <x:v>1.5117157974300832</x:v>
      </x:c>
      <x:c r="X712" s="31" t="n">
        <x:v>4</x:v>
      </x:c>
      <x:c r="Y712" s="40" t="n">
        <x:v>1</x:v>
      </x:c>
      <x:c r="Z712" s="40" t="n">
        <x:v>1</x:v>
      </x:c>
      <x:c r="AA712" s="40" t="n">
        <x:v>0.979064039408867</x:v>
      </x:c>
      <x:c r="AB712" s="31" t="n">
        <x:v>0.13397413520605722</x:v>
      </x:c>
      <x:c r="AC712" s="31" t="n">
        <x:v>5</x:v>
      </x:c>
      <x:c r="AD712" s="44" t="b">
        <x:v>1</x:v>
      </x:c>
    </x:row>
    <x:row r="713">
      <x:c r="A713" s="31" t="str">
        <x:v>36047038600</x:v>
      </x:c>
      <x:c r="B713" s="31" t="str">
        <x:v>Brooklyn</x:v>
      </x:c>
      <x:c r="C713" s="31" t="str">
        <x:v>038600</x:v>
      </x:c>
      <x:c r="D713" s="31" t="str">
        <x:v>BK1501</x:v>
      </x:c>
      <x:c r="E713" s="31" t="str">
        <x:v>Gravesend (East)-Homecrest</x:v>
      </x:c>
      <x:c r="F713" s="31" t="n">
        <x:v>0.09701672195893594</x:v>
      </x:c>
      <x:c r="G713" s="31" t="n">
        <x:v>40.59234874762058</x:v>
      </x:c>
      <x:c r="H713" s="31" t="n">
        <x:v>-73.97510782693396</x:v>
      </x:c>
      <x:c r="I713" s="31" t="n">
        <x:v>3812</x:v>
      </x:c>
      <x:c r="J713" s="31" t="n">
        <x:v>39292.19543836471</x:v>
      </x:c>
      <x:c r="K713" s="31"/>
      <x:c r="L713" s="40"/>
      <x:c r="M713" s="40"/>
      <x:c r="N713" s="31" t="n">
        <x:v>553</x:v>
      </x:c>
      <x:c r="O713" s="31" t="n">
        <x:v>1230</x:v>
      </x:c>
      <x:c r="P713" s="31" t="n">
        <x:v>2.3333333333333335</x:v>
      </x:c>
      <x:c r="Q713" s="40" t="n">
        <x:v>0</x:v>
      </x:c>
      <x:c r="R713" s="40" t="n">
        <x:v>0.21138211382113822</x:v>
      </x:c>
      <x:c r="S713" s="40" t="n">
        <x:v>0.016260162601626018</x:v>
      </x:c>
      <x:c r="T713" s="31" t="n">
        <x:v>29.45049500404723</x:v>
      </x:c>
      <x:c r="U713" s="31" t="n">
        <x:v>63.7</x:v>
      </x:c>
      <x:c r="V713" s="31" t="n">
        <x:v>2</x:v>
      </x:c>
      <x:c r="W713" s="31" t="n">
        <x:v>0.5246589716684156</x:v>
      </x:c>
      <x:c r="X713" s="31" t="n">
        <x:v>4</x:v>
      </x:c>
      <x:c r="Y713" s="40" t="n">
        <x:v>1</x:v>
      </x:c>
      <x:c r="Z713" s="40" t="n">
        <x:v>1</x:v>
      </x:c>
      <x:c r="AA713" s="40" t="n">
        <x:v>0.9983739837398374</x:v>
      </x:c>
      <x:c r="AB713" s="31" t="n">
        <x:v>0.19402197044767858</x:v>
      </x:c>
      <x:c r="AC713" s="31" t="n">
        <x:v>6</x:v>
      </x:c>
      <x:c r="AD713" s="44" t="b">
        <x:v>1</x:v>
      </x:c>
    </x:row>
    <x:row r="714">
      <x:c r="A714" s="31" t="str">
        <x:v>36047038700</x:v>
      </x:c>
      <x:c r="B714" s="31" t="str">
        <x:v>Brooklyn</x:v>
      </x:c>
      <x:c r="C714" s="31" t="str">
        <x:v>038700</x:v>
      </x:c>
      <x:c r="D714" s="31" t="str">
        <x:v>BK0302</x:v>
      </x:c>
      <x:c r="E714" s="31" t="str">
        <x:v>Bedford-Stuyvesant (East)</x:v>
      </x:c>
      <x:c r="F714" s="31" t="n">
        <x:v>0.07274406656551309</x:v>
      </x:c>
      <x:c r="G714" s="31" t="n">
        <x:v>40.690539575604994</x:v>
      </x:c>
      <x:c r="H714" s="31" t="n">
        <x:v>-73.92774789128804</x:v>
      </x:c>
      <x:c r="I714" s="31" t="n">
        <x:v>4908</x:v>
      </x:c>
      <x:c r="J714" s="31" t="n">
        <x:v>67469.42028020759</x:v>
      </x:c>
      <x:c r="K714" s="31"/>
      <x:c r="L714" s="40"/>
      <x:c r="M714" s="40"/>
      <x:c r="N714" s="31" t="n">
        <x:v>429</x:v>
      </x:c>
      <x:c r="O714" s="31" t="n">
        <x:v>2096</x:v>
      </x:c>
      <x:c r="P714" s="31" t="n">
        <x:v>4.114104406130268</x:v>
      </x:c>
      <x:c r="Q714" s="40" t="n">
        <x:v>0</x:v>
      </x:c>
      <x:c r="R714" s="40" t="n">
        <x:v>0.7810114503816794</x:v>
      </x:c>
      <x:c r="S714" s="40" t="n">
        <x:v>0</x:v>
      </x:c>
      <x:c r="T714" s="31" t="n">
        <x:v>45.990214043338185</x:v>
      </x:c>
      <x:c r="U714" s="31" t="n">
        <x:v>87</x:v>
      </x:c>
      <x:c r="V714" s="31" t="n">
        <x:v>21</x:v>
      </x:c>
      <x:c r="W714" s="31" t="n">
        <x:v>4.278728606356968</x:v>
      </x:c>
      <x:c r="X714" s="31" t="n">
        <x:v>4</x:v>
      </x:c>
      <x:c r="Y714" s="40" t="n">
        <x:v>1</x:v>
      </x:c>
      <x:c r="Z714" s="40" t="n">
        <x:v>1</x:v>
      </x:c>
      <x:c r="AA714" s="40" t="n">
        <x:v>0.9833015267175572</x:v>
      </x:c>
      <x:c r="AB714" s="31" t="n">
        <x:v>0.2052413779374549</x:v>
      </x:c>
      <x:c r="AC714" s="31" t="n">
        <x:v>6</x:v>
      </x:c>
      <x:c r="AD714" s="44" t="b">
        <x:v>1</x:v>
      </x:c>
    </x:row>
    <x:row r="715">
      <x:c r="A715" s="31" t="str">
        <x:v>36047038800</x:v>
      </x:c>
      <x:c r="B715" s="31" t="str">
        <x:v>Brooklyn</x:v>
      </x:c>
      <x:c r="C715" s="31" t="str">
        <x:v>038800</x:v>
      </x:c>
      <x:c r="D715" s="31" t="str">
        <x:v>BK1501</x:v>
      </x:c>
      <x:c r="E715" s="31" t="str">
        <x:v>Gravesend (East)-Homecrest</x:v>
      </x:c>
      <x:c r="F715" s="31" t="n">
        <x:v>0.07642352847867882</x:v>
      </x:c>
      <x:c r="G715" s="31" t="n">
        <x:v>40.59292487289439</x:v>
      </x:c>
      <x:c r="H715" s="31" t="n">
        <x:v>-73.9692515501774</x:v>
      </x:c>
      <x:c r="I715" s="31" t="n">
        <x:v>4047</x:v>
      </x:c>
      <x:c r="J715" s="31" t="n">
        <x:v>52954.89596674486</x:v>
      </x:c>
      <x:c r="K715" s="31"/>
      <x:c r="L715" s="40"/>
      <x:c r="M715" s="40"/>
      <x:c r="N715" s="31" t="n">
        <x:v>471</x:v>
      </x:c>
      <x:c r="O715" s="31" t="n">
        <x:v>1493</x:v>
      </x:c>
      <x:c r="P715" s="31" t="n">
        <x:v>3.3640321500334895</x:v>
      </x:c>
      <x:c r="Q715" s="40" t="n">
        <x:v>0</x:v>
      </x:c>
      <x:c r="R715" s="40" t="n">
        <x:v>0.3804420629604823</x:v>
      </x:c>
      <x:c r="S715" s="40" t="n">
        <x:v>0.011386470194239785</x:v>
      </x:c>
      <x:c r="T715" s="31" t="n">
        <x:v>40.43080822199059</x:v>
      </x:c>
      <x:c r="U715" s="31" t="n">
        <x:v>67.34</x:v>
      </x:c>
      <x:c r="V715" s="31" t="n">
        <x:v>13</x:v>
      </x:c>
      <x:c r="W715" s="31" t="n">
        <x:v>3.2122559920929086</x:v>
      </x:c>
      <x:c r="X715" s="31" t="n">
        <x:v>4</x:v>
      </x:c>
      <x:c r="Y715" s="40" t="n">
        <x:v>1</x:v>
      </x:c>
      <x:c r="Z715" s="40" t="n">
        <x:v>1</x:v>
      </x:c>
      <x:c r="AA715" s="40" t="n">
        <x:v>0.9959812458137978</x:v>
      </x:c>
      <x:c r="AB715" s="31" t="n">
        <x:v>0.18750087887508698</x:v>
      </x:c>
      <x:c r="AC715" s="31" t="n">
        <x:v>7</x:v>
      </x:c>
      <x:c r="AD715" s="44" t="b">
        <x:v>1</x:v>
      </x:c>
    </x:row>
    <x:row r="716">
      <x:c r="A716" s="31" t="str">
        <x:v>36047038900</x:v>
      </x:c>
      <x:c r="B716" s="31" t="str">
        <x:v>Brooklyn</x:v>
      </x:c>
      <x:c r="C716" s="31" t="str">
        <x:v>038900</x:v>
      </x:c>
      <x:c r="D716" s="31" t="str">
        <x:v>BK0401</x:v>
      </x:c>
      <x:c r="E716" s="31" t="str">
        <x:v>Bushwick (West)</x:v>
      </x:c>
      <x:c r="F716" s="31" t="n">
        <x:v>0.06289943425017218</x:v>
      </x:c>
      <x:c r="G716" s="31" t="n">
        <x:v>40.69943826255392</x:v>
      </x:c>
      <x:c r="H716" s="31" t="n">
        <x:v>-73.937235067968</x:v>
      </x:c>
      <x:c r="I716" s="31" t="n">
        <x:v>3570</x:v>
      </x:c>
      <x:c r="J716" s="31" t="n">
        <x:v>56757.267256187246</x:v>
      </x:c>
      <x:c r="K716" s="31"/>
      <x:c r="L716" s="40"/>
      <x:c r="M716" s="40"/>
      <x:c r="N716" s="31" t="n">
        <x:v>233</x:v>
      </x:c>
      <x:c r="O716" s="31" t="n">
        <x:v>1506</x:v>
      </x:c>
      <x:c r="P716" s="31" t="n">
        <x:v>4.354569713142094</x:v>
      </x:c>
      <x:c r="Q716" s="40" t="n">
        <x:v>0</x:v>
      </x:c>
      <x:c r="R716" s="40" t="n">
        <x:v>0.899070385126162</x:v>
      </x:c>
      <x:c r="S716" s="40" t="n">
        <x:v>0.06905710491367861</x:v>
      </x:c>
      <x:c r="T716" s="31" t="n">
        <x:v>45.074274668279244</x:v>
      </x:c>
      <x:c r="U716" s="31" t="n">
        <x:v>75.66</x:v>
      </x:c>
      <x:c r="V716" s="31" t="n">
        <x:v>19</x:v>
      </x:c>
      <x:c r="W716" s="31" t="n">
        <x:v>5.322128851540616</x:v>
      </x:c>
      <x:c r="X716" s="31" t="n">
        <x:v>4</x:v>
      </x:c>
      <x:c r="Y716" s="40" t="n">
        <x:v>1</x:v>
      </x:c>
      <x:c r="Z716" s="40" t="n">
        <x:v>1</x:v>
      </x:c>
      <x:c r="AA716" s="40" t="n">
        <x:v>0.8798140770252324</x:v>
      </x:c>
      <x:c r="AB716" s="31" t="n">
        <x:v>0.08948491154483482</x:v>
      </x:c>
      <x:c r="AC716" s="31" t="n">
        <x:v>8</x:v>
      </x:c>
      <x:c r="AD716" s="44" t="b">
        <x:v>1</x:v>
      </x:c>
    </x:row>
    <x:row r="717">
      <x:c r="A717" s="31" t="str">
        <x:v>36047039000</x:v>
      </x:c>
      <x:c r="B717" s="31" t="str">
        <x:v>Brooklyn</x:v>
      </x:c>
      <x:c r="C717" s="31" t="str">
        <x:v>039000</x:v>
      </x:c>
      <x:c r="D717" s="31" t="str">
        <x:v>BK1501</x:v>
      </x:c>
      <x:c r="E717" s="31" t="str">
        <x:v>Gravesend (East)-Homecrest</x:v>
      </x:c>
      <x:c r="F717" s="31" t="n">
        <x:v>0.06714157643408517</x:v>
      </x:c>
      <x:c r="G717" s="31" t="n">
        <x:v>40.59296924762659</x:v>
      </x:c>
      <x:c r="H717" s="31" t="n">
        <x:v>-73.96442693983289</x:v>
      </x:c>
      <x:c r="I717" s="31" t="n">
        <x:v>2321</x:v>
      </x:c>
      <x:c r="J717" s="31" t="n">
        <x:v>34568.74448395761</x:v>
      </x:c>
      <x:c r="K717" s="31"/>
      <x:c r="L717" s="40"/>
      <x:c r="M717" s="40"/>
      <x:c r="N717" s="31" t="n">
        <x:v>371</x:v>
      </x:c>
      <x:c r="O717" s="31" t="n">
        <x:v>834</x:v>
      </x:c>
      <x:c r="P717" s="31" t="n">
        <x:v>2.7421103117506</x:v>
      </x:c>
      <x:c r="Q717" s="40" t="n">
        <x:v>0</x:v>
      </x:c>
      <x:c r="R717" s="40" t="n">
        <x:v>0.23381294964028776</x:v>
      </x:c>
      <x:c r="S717" s="40" t="n">
        <x:v>0.007194244604316547</x:v>
      </x:c>
      <x:c r="T717" s="31" t="n">
        <x:v>34.00988258856796</x:v>
      </x:c>
      <x:c r="U717" s="31" t="n">
        <x:v>65.64</x:v>
      </x:c>
      <x:c r="V717" s="31" t="n">
        <x:v>4</x:v>
      </x:c>
      <x:c r="W717" s="31" t="n">
        <x:v>1.7233950883239983</x:v>
      </x:c>
      <x:c r="X717" s="31" t="n">
        <x:v>3.8992805755395685</x:v>
      </x:c>
      <x:c r="Y717" s="40" t="n">
        <x:v>0.8992805755395683</x:v>
      </x:c>
      <x:c r="Z717" s="40" t="n">
        <x:v>1</x:v>
      </x:c>
      <x:c r="AA717" s="40" t="n">
        <x:v>0.988009592326139</x:v>
      </x:c>
      <x:c r="AB717" s="31" t="n">
        <x:v>0.254984406410293</x:v>
      </x:c>
      <x:c r="AC717" s="31" t="n">
        <x:v>8</x:v>
      </x:c>
      <x:c r="AD717" s="44" t="b">
        <x:v>1</x:v>
      </x:c>
    </x:row>
    <x:row r="718">
      <x:c r="A718" s="31" t="str">
        <x:v>36047039100</x:v>
      </x:c>
      <x:c r="B718" s="31" t="str">
        <x:v>Brooklyn</x:v>
      </x:c>
      <x:c r="C718" s="31" t="str">
        <x:v>039100</x:v>
      </x:c>
      <x:c r="D718" s="31" t="str">
        <x:v>BK0401</x:v>
      </x:c>
      <x:c r="E718" s="31" t="str">
        <x:v>Bushwick (West)</x:v>
      </x:c>
      <x:c r="F718" s="31" t="n">
        <x:v>0.06416728283438074</x:v>
      </x:c>
      <x:c r="G718" s="31" t="n">
        <x:v>40.69979558146339</x:v>
      </x:c>
      <x:c r="H718" s="31" t="n">
        <x:v>-73.93365550195357</x:v>
      </x:c>
      <x:c r="I718" s="31" t="n">
        <x:v>5776</x:v>
      </x:c>
      <x:c r="J718" s="31" t="n">
        <x:v>90014.72003899825</x:v>
      </x:c>
      <x:c r="K718" s="31"/>
      <x:c r="L718" s="40"/>
      <x:c r="M718" s="40"/>
      <x:c r="N718" s="31" t="n">
        <x:v>194</x:v>
      </x:c>
      <x:c r="O718" s="31" t="n">
        <x:v>3039</x:v>
      </x:c>
      <x:c r="P718" s="31" t="n">
        <x:v>6.536786539096008</x:v>
      </x:c>
      <x:c r="Q718" s="40" t="n">
        <x:v>0.1539980256663376</x:v>
      </x:c>
      <x:c r="R718" s="40" t="n">
        <x:v>0.7894044093451793</x:v>
      </x:c>
      <x:c r="S718" s="40" t="n">
        <x:v>0.009871668311944718</x:v>
      </x:c>
      <x:c r="T718" s="31" t="n">
        <x:v>69.19625338698054</x:v>
      </x:c>
      <x:c r="U718" s="31" t="n">
        <x:v>95</x:v>
      </x:c>
      <x:c r="V718" s="31" t="n">
        <x:v>45</x:v>
      </x:c>
      <x:c r="W718" s="31" t="n">
        <x:v>7.790858725761773</x:v>
      </x:c>
      <x:c r="X718" s="31" t="n">
        <x:v>4</x:v>
      </x:c>
      <x:c r="Y718" s="40" t="n">
        <x:v>1</x:v>
      </x:c>
      <x:c r="Z718" s="40" t="n">
        <x:v>1</x:v>
      </x:c>
      <x:c r="AA718" s="40" t="n">
        <x:v>0.9470220467258966</x:v>
      </x:c>
      <x:c r="AB718" s="31" t="n">
        <x:v>0.07970473209929002</x:v>
      </x:c>
      <x:c r="AC718" s="31" t="n">
        <x:v>6</x:v>
      </x:c>
      <x:c r="AD718" s="44" t="b">
        <x:v>1</x:v>
      </x:c>
    </x:row>
    <x:row r="719">
      <x:c r="A719" s="31" t="str">
        <x:v>36047039200</x:v>
      </x:c>
      <x:c r="B719" s="31" t="str">
        <x:v>Brooklyn</x:v>
      </x:c>
      <x:c r="C719" s="31" t="str">
        <x:v>039200</x:v>
      </x:c>
      <x:c r="D719" s="31" t="str">
        <x:v>BK1501</x:v>
      </x:c>
      <x:c r="E719" s="31" t="str">
        <x:v>Gravesend (East)-Homecrest</x:v>
      </x:c>
      <x:c r="F719" s="31" t="n">
        <x:v>0.06728028170626722</x:v>
      </x:c>
      <x:c r="G719" s="31" t="n">
        <x:v>40.59585108823989</x:v>
      </x:c>
      <x:c r="H719" s="31" t="n">
        <x:v>-73.96304157779775</x:v>
      </x:c>
      <x:c r="I719" s="31" t="n">
        <x:v>2908</x:v>
      </x:c>
      <x:c r="J719" s="31" t="n">
        <x:v>43222.17336567895</x:v>
      </x:c>
      <x:c r="K719" s="31"/>
      <x:c r="L719" s="40"/>
      <x:c r="M719" s="40"/>
      <x:c r="N719" s="31" t="n">
        <x:v>333</x:v>
      </x:c>
      <x:c r="O719" s="31" t="n">
        <x:v>1089</x:v>
      </x:c>
      <x:c r="P719" s="31" t="n">
        <x:v>3.514848484848485</x:v>
      </x:c>
      <x:c r="Q719" s="40" t="n">
        <x:v>0</x:v>
      </x:c>
      <x:c r="R719" s="40" t="n">
        <x:v>0.4508723599632691</x:v>
      </x:c>
      <x:c r="S719" s="40" t="n">
        <x:v>0.005509641873278237</x:v>
      </x:c>
      <x:c r="T719" s="31" t="n">
        <x:v>41.63917328404959</x:v>
      </x:c>
      <x:c r="U719" s="31" t="n">
        <x:v>65.88</x:v>
      </x:c>
      <x:c r="V719" s="31" t="n">
        <x:v>11</x:v>
      </x:c>
      <x:c r="W719" s="31" t="n">
        <x:v>3.782668500687758</x:v>
      </x:c>
      <x:c r="X719" s="31" t="n">
        <x:v>4</x:v>
      </x:c>
      <x:c r="Y719" s="40" t="n">
        <x:v>1</x:v>
      </x:c>
      <x:c r="Z719" s="40" t="n">
        <x:v>1</x:v>
      </x:c>
      <x:c r="AA719" s="40" t="n">
        <x:v>1</x:v>
      </x:c>
      <x:c r="AB719" s="31" t="n">
        <x:v>0.13497838317323366</x:v>
      </x:c>
      <x:c r="AC719" s="31" t="n">
        <x:v>4</x:v>
      </x:c>
      <x:c r="AD719" s="44" t="b">
        <x:v>1</x:v>
      </x:c>
    </x:row>
    <x:row r="720">
      <x:c r="A720" s="31" t="str">
        <x:v>36047039300</x:v>
      </x:c>
      <x:c r="B720" s="31" t="str">
        <x:v>Brooklyn</x:v>
      </x:c>
      <x:c r="C720" s="31" t="str">
        <x:v>039300</x:v>
      </x:c>
      <x:c r="D720" s="31" t="str">
        <x:v>BK0401</x:v>
      </x:c>
      <x:c r="E720" s="31" t="str">
        <x:v>Bushwick (West)</x:v>
      </x:c>
      <x:c r="F720" s="31" t="n">
        <x:v>0.07331513698454718</x:v>
      </x:c>
      <x:c r="G720" s="31" t="n">
        <x:v>40.6956248390249</x:v>
      </x:c>
      <x:c r="H720" s="31" t="n">
        <x:v>-73.93000159931621</x:v>
      </x:c>
      <x:c r="I720" s="31" t="n">
        <x:v>4141</x:v>
      </x:c>
      <x:c r="J720" s="31" t="n">
        <x:v>56482.19686028561</x:v>
      </x:c>
      <x:c r="K720" s="31"/>
      <x:c r="L720" s="40"/>
      <x:c r="M720" s="40"/>
      <x:c r="N720" s="31" t="n">
        <x:v>385</x:v>
      </x:c>
      <x:c r="O720" s="31" t="n">
        <x:v>1906</x:v>
      </x:c>
      <x:c r="P720" s="31" t="n">
        <x:v>3.684365162644281</x:v>
      </x:c>
      <x:c r="Q720" s="40" t="n">
        <x:v>0</x:v>
      </x:c>
      <x:c r="R720" s="40" t="n">
        <x:v>0.8441762854144806</x:v>
      </x:c>
      <x:c r="S720" s="40" t="n">
        <x:v>0.02570828961175236</x:v>
      </x:c>
      <x:c r="T720" s="31" t="n">
        <x:v>44.19682741224533</x:v>
      </x:c>
      <x:c r="U720" s="31" t="n">
        <x:v>70.02</x:v>
      </x:c>
      <x:c r="V720" s="31" t="n">
        <x:v>23</x:v>
      </x:c>
      <x:c r="W720" s="31" t="n">
        <x:v>5.554213957981164</x:v>
      </x:c>
      <x:c r="X720" s="31" t="n">
        <x:v>4</x:v>
      </x:c>
      <x:c r="Y720" s="40" t="n">
        <x:v>1</x:v>
      </x:c>
      <x:c r="Z720" s="40" t="n">
        <x:v>1</x:v>
      </x:c>
      <x:c r="AA720" s="40" t="n">
        <x:v>0.9837355718782791</x:v>
      </x:c>
      <x:c r="AB720" s="31" t="n">
        <x:v>0.07256347145298482</x:v>
      </x:c>
      <x:c r="AC720" s="31" t="n">
        <x:v>7</x:v>
      </x:c>
      <x:c r="AD720" s="44" t="b">
        <x:v>1</x:v>
      </x:c>
    </x:row>
    <x:row r="721">
      <x:c r="A721" s="31" t="str">
        <x:v>36047039400</x:v>
      </x:c>
      <x:c r="B721" s="31" t="str">
        <x:v>Brooklyn</x:v>
      </x:c>
      <x:c r="C721" s="31" t="str">
        <x:v>039400</x:v>
      </x:c>
      <x:c r="D721" s="31" t="str">
        <x:v>BK1501</x:v>
      </x:c>
      <x:c r="E721" s="31" t="str">
        <x:v>Gravesend (East)-Homecrest</x:v>
      </x:c>
      <x:c r="F721" s="31" t="n">
        <x:v>0.07416823150109045</x:v>
      </x:c>
      <x:c r="G721" s="31" t="n">
        <x:v>40.598491096402235</x:v>
      </x:c>
      <x:c r="H721" s="31" t="n">
        <x:v>-73.9650681352336</x:v>
      </x:c>
      <x:c r="I721" s="31" t="n">
        <x:v>2187</x:v>
      </x:c>
      <x:c r="J721" s="31" t="n">
        <x:v>29487.01830604989</x:v>
      </x:c>
      <x:c r="K721" s="31"/>
      <x:c r="L721" s="40"/>
      <x:c r="M721" s="40"/>
      <x:c r="N721" s="31" t="n">
        <x:v>383</x:v>
      </x:c>
      <x:c r="O721" s="31" t="n">
        <x:v>811</x:v>
      </x:c>
      <x:c r="P721" s="31" t="n">
        <x:v>2.892283950617284</x:v>
      </x:c>
      <x:c r="Q721" s="40" t="n">
        <x:v>0</x:v>
      </x:c>
      <x:c r="R721" s="40" t="n">
        <x:v>0.33415536374845867</x:v>
      </x:c>
      <x:c r="S721" s="40" t="n">
        <x:v>0.002466091245376079</x:v>
      </x:c>
      <x:c r="T721" s="31" t="n">
        <x:v>35.87933917457862</x:v>
      </x:c>
      <x:c r="U721" s="31" t="n">
        <x:v>66.76</x:v>
      </x:c>
      <x:c r="V721" s="31" t="n">
        <x:v>10</x:v>
      </x:c>
      <x:c r="W721" s="31" t="n">
        <x:v>4.572473708276178</x:v>
      </x:c>
      <x:c r="X721" s="31" t="n">
        <x:v>4</x:v>
      </x:c>
      <x:c r="Y721" s="40" t="n">
        <x:v>1</x:v>
      </x:c>
      <x:c r="Z721" s="40" t="n">
        <x:v>1</x:v>
      </x:c>
      <x:c r="AA721" s="40" t="n">
        <x:v>0.9802712700369913</x:v>
      </x:c>
      <x:c r="AB721" s="31" t="n">
        <x:v>0.32385147469202513</x:v>
      </x:c>
      <x:c r="AC721" s="31" t="n">
        <x:v>8</x:v>
      </x:c>
      <x:c r="AD721" s="44" t="b">
        <x:v>1</x:v>
      </x:c>
    </x:row>
    <x:row r="722">
      <x:c r="A722" s="31" t="str">
        <x:v>36047039500</x:v>
      </x:c>
      <x:c r="B722" s="31" t="str">
        <x:v>Brooklyn</x:v>
      </x:c>
      <x:c r="C722" s="31" t="str">
        <x:v>039500</x:v>
      </x:c>
      <x:c r="D722" s="31" t="str">
        <x:v>BK0402</x:v>
      </x:c>
      <x:c r="E722" s="31" t="str">
        <x:v>Bushwick (East)</x:v>
      </x:c>
      <x:c r="F722" s="31" t="n">
        <x:v>0.06153432737854396</x:v>
      </x:c>
      <x:c r="G722" s="31" t="n">
        <x:v>40.69296835426214</x:v>
      </x:c>
      <x:c r="H722" s="31" t="n">
        <x:v>-73.92473307549113</x:v>
      </x:c>
      <x:c r="I722" s="31" t="n">
        <x:v>4030</x:v>
      </x:c>
      <x:c r="J722" s="31" t="n">
        <x:v>65491.89975228683</x:v>
      </x:c>
      <x:c r="K722" s="31"/>
      <x:c r="L722" s="40"/>
      <x:c r="M722" s="40"/>
      <x:c r="N722" s="31" t="n">
        <x:v>379</x:v>
      </x:c>
      <x:c r="O722" s="31" t="n">
        <x:v>1976</x:v>
      </x:c>
      <x:c r="P722" s="31" t="n">
        <x:v>4.183621566632757</x:v>
      </x:c>
      <x:c r="Q722" s="40" t="n">
        <x:v>0.020242914979757085</x:v>
      </x:c>
      <x:c r="R722" s="40" t="n">
        <x:v>0.8294534412955465</x:v>
      </x:c>
      <x:c r="S722" s="40" t="n">
        <x:v>0.05566801619433198</x:v>
      </x:c>
      <x:c r="T722" s="31" t="n">
        <x:v>45.81815188061763</x:v>
      </x:c>
      <x:c r="U722" s="31" t="n">
        <x:v>75</x:v>
      </x:c>
      <x:c r="V722" s="31" t="n">
        <x:v>21</x:v>
      </x:c>
      <x:c r="W722" s="31" t="n">
        <x:v>5.210918114143921</x:v>
      </x:c>
      <x:c r="X722" s="31" t="n">
        <x:v>4</x:v>
      </x:c>
      <x:c r="Y722" s="40" t="n">
        <x:v>1</x:v>
      </x:c>
      <x:c r="Z722" s="40" t="n">
        <x:v>1</x:v>
      </x:c>
      <x:c r="AA722" s="40" t="n">
        <x:v>0.9013157894736842</x:v>
      </x:c>
      <x:c r="AB722" s="31" t="n">
        <x:v>0.18901956265451533</x:v>
      </x:c>
      <x:c r="AC722" s="31" t="n">
        <x:v>9</x:v>
      </x:c>
      <x:c r="AD722" s="44" t="b">
        <x:v>1</x:v>
      </x:c>
    </x:row>
    <x:row r="723">
      <x:c r="A723" s="31" t="str">
        <x:v>36047039600</x:v>
      </x:c>
      <x:c r="B723" s="31" t="str">
        <x:v>Brooklyn</x:v>
      </x:c>
      <x:c r="C723" s="31" t="str">
        <x:v>039600</x:v>
      </x:c>
      <x:c r="D723" s="31" t="str">
        <x:v>BK1501</x:v>
      </x:c>
      <x:c r="E723" s="31" t="str">
        <x:v>Gravesend (East)-Homecrest</x:v>
      </x:c>
      <x:c r="F723" s="31" t="n">
        <x:v>0.06305308960126836</x:v>
      </x:c>
      <x:c r="G723" s="31" t="n">
        <x:v>40.597349655998286</x:v>
      </x:c>
      <x:c r="H723" s="31" t="n">
        <x:v>-73.96970671133171</x:v>
      </x:c>
      <x:c r="I723" s="31" t="n">
        <x:v>1948</x:v>
      </x:c>
      <x:c r="J723" s="31" t="n">
        <x:v>30894.600285547538</x:v>
      </x:c>
      <x:c r="K723" s="31"/>
      <x:c r="L723" s="40"/>
      <x:c r="M723" s="40"/>
      <x:c r="N723" s="31" t="n">
        <x:v>364</x:v>
      </x:c>
      <x:c r="O723" s="31" t="n">
        <x:v>756</x:v>
      </x:c>
      <x:c r="P723" s="31" t="n">
        <x:v>2.7757615894039733</x:v>
      </x:c>
      <x:c r="Q723" s="40" t="n">
        <x:v>0</x:v>
      </x:c>
      <x:c r="R723" s="40" t="n">
        <x:v>0.25793650793650796</x:v>
      </x:c>
      <x:c r="S723" s="40" t="n">
        <x:v>0.0026455026455026454</x:v>
      </x:c>
      <x:c r="T723" s="31" t="n">
        <x:v>33.94668124906418</x:v>
      </x:c>
      <x:c r="U723" s="31" t="n">
        <x:v>73.42235216</x:v>
      </x:c>
      <x:c r="V723" s="31" t="n">
        <x:v>11</x:v>
      </x:c>
      <x:c r="W723" s="31" t="n">
        <x:v>5.64681724845996</x:v>
      </x:c>
      <x:c r="X723" s="31" t="n">
        <x:v>4</x:v>
      </x:c>
      <x:c r="Y723" s="40" t="n">
        <x:v>1</x:v>
      </x:c>
      <x:c r="Z723" s="40" t="n">
        <x:v>1</x:v>
      </x:c>
      <x:c r="AA723" s="40" t="n">
        <x:v>0.9894179894179894</x:v>
      </x:c>
      <x:c r="AB723" s="31" t="n">
        <x:v>0.260946139853535</x:v>
      </x:c>
      <x:c r="AC723" s="31" t="n">
        <x:v>7</x:v>
      </x:c>
      <x:c r="AD723" s="44" t="b">
        <x:v>1</x:v>
      </x:c>
    </x:row>
    <x:row r="724">
      <x:c r="A724" s="31" t="str">
        <x:v>36047039700</x:v>
      </x:c>
      <x:c r="B724" s="31" t="str">
        <x:v>Brooklyn</x:v>
      </x:c>
      <x:c r="C724" s="31" t="str">
        <x:v>039700</x:v>
      </x:c>
      <x:c r="D724" s="31" t="str">
        <x:v>BK0402</x:v>
      </x:c>
      <x:c r="E724" s="31" t="str">
        <x:v>Bushwick (East)</x:v>
      </x:c>
      <x:c r="F724" s="31" t="n">
        <x:v>0.06145376570534894</x:v>
      </x:c>
      <x:c r="G724" s="31" t="n">
        <x:v>40.688948321181435</x:v>
      </x:c>
      <x:c r="H724" s="31" t="n">
        <x:v>-73.91914015510268</x:v>
      </x:c>
      <x:c r="I724" s="31" t="n">
        <x:v>3868</x:v>
      </x:c>
      <x:c r="J724" s="31" t="n">
        <x:v>62941.62701999121</x:v>
      </x:c>
      <x:c r="K724" s="31"/>
      <x:c r="L724" s="40"/>
      <x:c r="M724" s="40"/>
      <x:c r="N724" s="31" t="n">
        <x:v>391</x:v>
      </x:c>
      <x:c r="O724" s="31" t="n">
        <x:v>1873</x:v>
      </x:c>
      <x:c r="P724" s="31" t="n">
        <x:v>4.6167560321715815</x:v>
      </x:c>
      <x:c r="Q724" s="40" t="n">
        <x:v>0.057127602776294716</x:v>
      </x:c>
      <x:c r="R724" s="40" t="n">
        <x:v>0.7335824879871863</x:v>
      </x:c>
      <x:c r="S724" s="40" t="n">
        <x:v>0</x:v>
      </x:c>
      <x:c r="T724" s="31" t="n">
        <x:v>42.04678429248853</x:v>
      </x:c>
      <x:c r="U724" s="31" t="n">
        <x:v>84</x:v>
      </x:c>
      <x:c r="V724" s="31" t="n">
        <x:v>15</x:v>
      </x:c>
      <x:c r="W724" s="31" t="n">
        <x:v>3.8779731127197516</x:v>
      </x:c>
      <x:c r="X724" s="31" t="n">
        <x:v>4</x:v>
      </x:c>
      <x:c r="Y724" s="40" t="n">
        <x:v>1</x:v>
      </x:c>
      <x:c r="Z724" s="40" t="n">
        <x:v>1</x:v>
      </x:c>
      <x:c r="AA724" s="40" t="n">
        <x:v>0.9311265349706354</x:v>
      </x:c>
      <x:c r="AB724" s="31" t="n">
        <x:v>0.09408947395820613</x:v>
      </x:c>
      <x:c r="AC724" s="31" t="n">
        <x:v>5</x:v>
      </x:c>
      <x:c r="AD724" s="44" t="b">
        <x:v>1</x:v>
      </x:c>
    </x:row>
    <x:row r="725">
      <x:c r="A725" s="31" t="str">
        <x:v>36047039800</x:v>
      </x:c>
      <x:c r="B725" s="31" t="str">
        <x:v>Brooklyn</x:v>
      </x:c>
      <x:c r="C725" s="31" t="str">
        <x:v>039800</x:v>
      </x:c>
      <x:c r="D725" s="31" t="str">
        <x:v>BK1501</x:v>
      </x:c>
      <x:c r="E725" s="31" t="str">
        <x:v>Gravesend (East)-Homecrest</x:v>
      </x:c>
      <x:c r="F725" s="31" t="n">
        <x:v>0.07834500734762397</x:v>
      </x:c>
      <x:c r="G725" s="31" t="n">
        <x:v>40.59544704968124</x:v>
      </x:c>
      <x:c r="H725" s="31" t="n">
        <x:v>-73.97551306712408</x:v>
      </x:c>
      <x:c r="I725" s="31" t="n">
        <x:v>2841</x:v>
      </x:c>
      <x:c r="J725" s="31" t="n">
        <x:v>36262.68088015134</x:v>
      </x:c>
      <x:c r="K725" s="31"/>
      <x:c r="L725" s="40"/>
      <x:c r="M725" s="40"/>
      <x:c r="N725" s="31" t="n">
        <x:v>409</x:v>
      </x:c>
      <x:c r="O725" s="31" t="n">
        <x:v>908</x:v>
      </x:c>
      <x:c r="P725" s="31" t="n">
        <x:v>2.446035242290749</x:v>
      </x:c>
      <x:c r="Q725" s="40" t="n">
        <x:v>0</x:v>
      </x:c>
      <x:c r="R725" s="40" t="n">
        <x:v>0.2599118942731278</x:v>
      </x:c>
      <x:c r="S725" s="40" t="n">
        <x:v>0.003303964757709251</x:v>
      </x:c>
      <x:c r="T725" s="31" t="n">
        <x:v>30.828264005679557</x:v>
      </x:c>
      <x:c r="U725" s="31" t="n">
        <x:v>83</x:v>
      </x:c>
      <x:c r="V725" s="31" t="n">
        <x:v>8</x:v>
      </x:c>
      <x:c r="W725" s="31" t="n">
        <x:v>2.815909890883492</x:v>
      </x:c>
      <x:c r="X725" s="31" t="n">
        <x:v>4</x:v>
      </x:c>
      <x:c r="Y725" s="40" t="n">
        <x:v>1</x:v>
      </x:c>
      <x:c r="Z725" s="40" t="n">
        <x:v>1</x:v>
      </x:c>
      <x:c r="AA725" s="40" t="n">
        <x:v>0.9966960352422908</x:v>
      </x:c>
      <x:c r="AB725" s="31" t="n">
        <x:v>0.04745121317853656</x:v>
      </x:c>
      <x:c r="AC725" s="31" t="n">
        <x:v>5</x:v>
      </x:c>
      <x:c r="AD725" s="44" t="b">
        <x:v>1</x:v>
      </x:c>
    </x:row>
    <x:row r="726">
      <x:c r="A726" s="31" t="str">
        <x:v>36047039900</x:v>
      </x:c>
      <x:c r="B726" s="31" t="str">
        <x:v>Brooklyn</x:v>
      </x:c>
      <x:c r="C726" s="31" t="str">
        <x:v>039900</x:v>
      </x:c>
      <x:c r="D726" s="31" t="str">
        <x:v>BK0402</x:v>
      </x:c>
      <x:c r="E726" s="31" t="str">
        <x:v>Bushwick (East)</x:v>
      </x:c>
      <x:c r="F726" s="31" t="n">
        <x:v>0.05838961990071167</x:v>
      </x:c>
      <x:c r="G726" s="31" t="n">
        <x:v>40.690235670327674</x:v>
      </x:c>
      <x:c r="H726" s="31" t="n">
        <x:v>-73.9175534106696</x:v>
      </x:c>
      <x:c r="I726" s="31" t="n">
        <x:v>4378</x:v>
      </x:c>
      <x:c r="J726" s="31" t="n">
        <x:v>74979.08031332535</x:v>
      </x:c>
      <x:c r="K726" s="31"/>
      <x:c r="L726" s="40"/>
      <x:c r="M726" s="40"/>
      <x:c r="N726" s="31" t="n">
        <x:v>363</x:v>
      </x:c>
      <x:c r="O726" s="31" t="n">
        <x:v>1467</x:v>
      </x:c>
      <x:c r="P726" s="31" t="n">
        <x:v>3.5120904729266624</x:v>
      </x:c>
      <x:c r="Q726" s="40" t="n">
        <x:v>0</x:v>
      </x:c>
      <x:c r="R726" s="40" t="n">
        <x:v>0.7464212678936605</x:v>
      </x:c>
      <x:c r="S726" s="40" t="n">
        <x:v>0</x:v>
      </x:c>
      <x:c r="T726" s="31" t="n">
        <x:v>41.34015574955632</x:v>
      </x:c>
      <x:c r="U726" s="31" t="n">
        <x:v>70</x:v>
      </x:c>
      <x:c r="V726" s="31" t="n">
        <x:v>5</x:v>
      </x:c>
      <x:c r="W726" s="31" t="n">
        <x:v>1.1420740063956143</x:v>
      </x:c>
      <x:c r="X726" s="31" t="n">
        <x:v>4</x:v>
      </x:c>
      <x:c r="Y726" s="40" t="n">
        <x:v>1</x:v>
      </x:c>
      <x:c r="Z726" s="40" t="n">
        <x:v>1</x:v>
      </x:c>
      <x:c r="AA726" s="40" t="n">
        <x:v>0.9986366734832992</x:v>
      </x:c>
      <x:c r="AB726" s="31" t="n">
        <x:v>0.05199032455050958</x:v>
      </x:c>
      <x:c r="AC726" s="31" t="n">
        <x:v>7</x:v>
      </x:c>
      <x:c r="AD726" s="44" t="b">
        <x:v>1</x:v>
      </x:c>
    </x:row>
    <x:row r="727">
      <x:c r="A727" s="31" t="str">
        <x:v>36047040000</x:v>
      </x:c>
      <x:c r="B727" s="31" t="str">
        <x:v>Brooklyn</x:v>
      </x:c>
      <x:c r="C727" s="31" t="str">
        <x:v>040000</x:v>
      </x:c>
      <x:c r="D727" s="31" t="str">
        <x:v>BK1103</x:v>
      </x:c>
      <x:c r="E727" s="31" t="str">
        <x:v>Gravesend (West)</x:v>
      </x:c>
      <x:c r="F727" s="31" t="n">
        <x:v>0.07383397590141472</x:v>
      </x:c>
      <x:c r="G727" s="31" t="n">
        <x:v>40.59780605101387</x:v>
      </x:c>
      <x:c r="H727" s="31" t="n">
        <x:v>-73.97612225541978</x:v>
      </x:c>
      <x:c r="I727" s="31" t="n">
        <x:v>3281</x:v>
      </x:c>
      <x:c r="J727" s="31" t="n">
        <x:v>44437.5365127416</x:v>
      </x:c>
      <x:c r="K727" s="31"/>
      <x:c r="L727" s="40"/>
      <x:c r="M727" s="40"/>
      <x:c r="N727" s="31" t="n">
        <x:v>462</x:v>
      </x:c>
      <x:c r="O727" s="31" t="n">
        <x:v>1116</x:v>
      </x:c>
      <x:c r="P727" s="31" t="n">
        <x:v>2.335125448028674</x:v>
      </x:c>
      <x:c r="Q727" s="40" t="n">
        <x:v>0</x:v>
      </x:c>
      <x:c r="R727" s="40" t="n">
        <x:v>0.28046594982078854</x:v>
      </x:c>
      <x:c r="S727" s="40" t="n">
        <x:v>0.11738351254480286</x:v>
      </x:c>
      <x:c r="T727" s="31" t="n">
        <x:v>28.946634895287254</x:v>
      </x:c>
      <x:c r="U727" s="31" t="n">
        <x:v>45</x:v>
      </x:c>
      <x:c r="V727" s="31" t="n">
        <x:v>1</x:v>
      </x:c>
      <x:c r="W727" s="31" t="n">
        <x:v>0.30478512648582745</x:v>
      </x:c>
      <x:c r="X727" s="31" t="n">
        <x:v>4</x:v>
      </x:c>
      <x:c r="Y727" s="40" t="n">
        <x:v>1</x:v>
      </x:c>
      <x:c r="Z727" s="40" t="n">
        <x:v>1</x:v>
      </x:c>
      <x:c r="AA727" s="40" t="n">
        <x:v>0.9982078853046595</x:v>
      </x:c>
      <x:c r="AB727" s="31" t="n">
        <x:v>0.12559929334800055</x:v>
      </x:c>
      <x:c r="AC727" s="31" t="n">
        <x:v>7</x:v>
      </x:c>
      <x:c r="AD727" s="44" t="b">
        <x:v>1</x:v>
      </x:c>
    </x:row>
    <x:row r="728">
      <x:c r="A728" s="31" t="str">
        <x:v>36047040100</x:v>
      </x:c>
      <x:c r="B728" s="31" t="str">
        <x:v>Brooklyn</x:v>
      </x:c>
      <x:c r="C728" s="31" t="str">
        <x:v>040100</x:v>
      </x:c>
      <x:c r="D728" s="31" t="str">
        <x:v>BK0402</x:v>
      </x:c>
      <x:c r="E728" s="31" t="str">
        <x:v>Bushwick (East)</x:v>
      </x:c>
      <x:c r="F728" s="31" t="n">
        <x:v>0.06163621660066575</x:v>
      </x:c>
      <x:c r="G728" s="31" t="n">
        <x:v>40.68645941413526</x:v>
      </x:c>
      <x:c r="H728" s="31" t="n">
        <x:v>-73.91274085368256</x:v>
      </x:c>
      <x:c r="I728" s="31" t="n">
        <x:v>3778</x:v>
      </x:c>
      <x:c r="J728" s="31" t="n">
        <x:v>61295.13147241411</x:v>
      </x:c>
      <x:c r="K728" s="31"/>
      <x:c r="L728" s="40"/>
      <x:c r="M728" s="40"/>
      <x:c r="N728" s="31" t="n">
        <x:v>412</x:v>
      </x:c>
      <x:c r="O728" s="31" t="n">
        <x:v>1473</x:v>
      </x:c>
      <x:c r="P728" s="31" t="n">
        <x:v>3.370600414078675</x:v>
      </x:c>
      <x:c r="Q728" s="40" t="n">
        <x:v>0</x:v>
      </x:c>
      <x:c r="R728" s="40" t="n">
        <x:v>0.6897488119484046</x:v>
      </x:c>
      <x:c r="S728" s="40" t="n">
        <x:v>0.026476578411405296</x:v>
      </x:c>
      <x:c r="T728" s="31" t="n">
        <x:v>38.57874051693265</x:v>
      </x:c>
      <x:c r="U728" s="31" t="n">
        <x:v>75</x:v>
      </x:c>
      <x:c r="V728" s="31" t="n">
        <x:v>5</x:v>
      </x:c>
      <x:c r="W728" s="31" t="n">
        <x:v>1.3234515616728428</x:v>
      </x:c>
      <x:c r="X728" s="31" t="n">
        <x:v>4.940257976917855</x:v>
      </x:c>
      <x:c r="Y728" s="40" t="n">
        <x:v>1</x:v>
      </x:c>
      <x:c r="Z728" s="40" t="n">
        <x:v>1</x:v>
      </x:c>
      <x:c r="AA728" s="40" t="n">
        <x:v>0.9273591310251188</x:v>
      </x:c>
      <x:c r="AB728" s="31" t="n">
        <x:v>0.13334152866354734</x:v>
      </x:c>
      <x:c r="AC728" s="31" t="n">
        <x:v>6</x:v>
      </x:c>
      <x:c r="AD728" s="44" t="b">
        <x:v>1</x:v>
      </x:c>
    </x:row>
    <x:row r="729">
      <x:c r="A729" s="31" t="str">
        <x:v>36047040200</x:v>
      </x:c>
      <x:c r="B729" s="31" t="str">
        <x:v>Brooklyn</x:v>
      </x:c>
      <x:c r="C729" s="31" t="str">
        <x:v>040200</x:v>
      </x:c>
      <x:c r="D729" s="31" t="str">
        <x:v>BK1103</x:v>
      </x:c>
      <x:c r="E729" s="31" t="str">
        <x:v>Gravesend (West)</x:v>
      </x:c>
      <x:c r="F729" s="31" t="n">
        <x:v>0.0762662090927026</x:v>
      </x:c>
      <x:c r="G729" s="31" t="n">
        <x:v>40.59600092663637</x:v>
      </x:c>
      <x:c r="H729" s="31" t="n">
        <x:v>-73.98272328425486</x:v>
      </x:c>
      <x:c r="I729" s="31" t="n">
        <x:v>3025</x:v>
      </x:c>
      <x:c r="J729" s="31" t="n">
        <x:v>39663.69950711818</x:v>
      </x:c>
      <x:c r="K729" s="31"/>
      <x:c r="L729" s="40"/>
      <x:c r="M729" s="40"/>
      <x:c r="N729" s="31" t="n">
        <x:v>398</x:v>
      </x:c>
      <x:c r="O729" s="31" t="n">
        <x:v>911</x:v>
      </x:c>
      <x:c r="P729" s="31" t="n">
        <x:v>2.255543237250554</x:v>
      </x:c>
      <x:c r="Q729" s="40" t="n">
        <x:v>0</x:v>
      </x:c>
      <x:c r="R729" s="40" t="n">
        <x:v>0.2074643249176729</x:v>
      </x:c>
      <x:c r="S729" s="40" t="n">
        <x:v>0.0010976948408342481</x:v>
      </x:c>
      <x:c r="T729" s="31" t="n">
        <x:v>27.95999075714917</x:v>
      </x:c>
      <x:c r="U729" s="31" t="n">
        <x:v>55</x:v>
      </x:c>
      <x:c r="V729" s="31" t="n">
        <x:v>2</x:v>
      </x:c>
      <x:c r="W729" s="31" t="n">
        <x:v>0.6611570247933884</x:v>
      </x:c>
      <x:c r="X729" s="31" t="n">
        <x:v>4</x:v>
      </x:c>
      <x:c r="Y729" s="40" t="n">
        <x:v>1</x:v>
      </x:c>
      <x:c r="Z729" s="40" t="n">
        <x:v>1</x:v>
      </x:c>
      <x:c r="AA729" s="40" t="n">
        <x:v>0.9934138309549945</x:v>
      </x:c>
      <x:c r="AB729" s="31" t="n">
        <x:v>0.2451599673333252</x:v>
      </x:c>
      <x:c r="AC729" s="31" t="n">
        <x:v>9</x:v>
      </x:c>
      <x:c r="AD729" s="44" t="b">
        <x:v>1</x:v>
      </x:c>
    </x:row>
    <x:row r="730">
      <x:c r="A730" s="31" t="str">
        <x:v>36047040300</x:v>
      </x:c>
      <x:c r="B730" s="31" t="str">
        <x:v>Brooklyn</x:v>
      </x:c>
      <x:c r="C730" s="31" t="str">
        <x:v>040300</x:v>
      </x:c>
      <x:c r="D730" s="31" t="str">
        <x:v>BK0402</x:v>
      </x:c>
      <x:c r="E730" s="31" t="str">
        <x:v>Bushwick (East)</x:v>
      </x:c>
      <x:c r="F730" s="31" t="n">
        <x:v>0.07920368475486397</x:v>
      </x:c>
      <x:c r="G730" s="31" t="n">
        <x:v>40.684517551815624</x:v>
      </x:c>
      <x:c r="H730" s="31" t="n">
        <x:v>-73.90828473660578</x:v>
      </x:c>
      <x:c r="I730" s="31" t="n">
        <x:v>3892</x:v>
      </x:c>
      <x:c r="J730" s="31" t="n">
        <x:v>49139.12795908133</x:v>
      </x:c>
      <x:c r="K730" s="31"/>
      <x:c r="L730" s="40"/>
      <x:c r="M730" s="40"/>
      <x:c r="N730" s="31" t="n">
        <x:v>459</x:v>
      </x:c>
      <x:c r="O730" s="31" t="n">
        <x:v>1475</x:v>
      </x:c>
      <x:c r="P730" s="31" t="n">
        <x:v>3.159248956884562</x:v>
      </x:c>
      <x:c r="Q730" s="40" t="n">
        <x:v>0</x:v>
      </x:c>
      <x:c r="R730" s="40" t="n">
        <x:v>0.7572881355932204</x:v>
      </x:c>
      <x:c r="S730" s="40" t="n">
        <x:v>0</x:v>
      </x:c>
      <x:c r="T730" s="31" t="n">
        <x:v>38.83651811548164</x:v>
      </x:c>
      <x:c r="U730" s="31" t="n">
        <x:v>75</x:v>
      </x:c>
      <x:c r="V730" s="31" t="n">
        <x:v>8</x:v>
      </x:c>
      <x:c r="W730" s="31" t="n">
        <x:v>2.055498458376156</x:v>
      </x:c>
      <x:c r="X730" s="31" t="n">
        <x:v>5</x:v>
      </x:c>
      <x:c r="Y730" s="40" t="n">
        <x:v>1</x:v>
      </x:c>
      <x:c r="Z730" s="40" t="n">
        <x:v>1</x:v>
      </x:c>
      <x:c r="AA730" s="40" t="n">
        <x:v>0.9783050847457627</x:v>
      </x:c>
      <x:c r="AB730" s="31" t="n">
        <x:v>0.06192085289064239</x:v>
      </x:c>
      <x:c r="AC730" s="31" t="n">
        <x:v>6</x:v>
      </x:c>
      <x:c r="AD730" s="44" t="b">
        <x:v>1</x:v>
      </x:c>
    </x:row>
    <x:row r="731">
      <x:c r="A731" s="31" t="str">
        <x:v>36047040400</x:v>
      </x:c>
      <x:c r="B731" s="31" t="str">
        <x:v>Brooklyn</x:v>
      </x:c>
      <x:c r="C731" s="31" t="str">
        <x:v>040400</x:v>
      </x:c>
      <x:c r="D731" s="31" t="str">
        <x:v>BK1103</x:v>
      </x:c>
      <x:c r="E731" s="31" t="str">
        <x:v>Gravesend (West)</x:v>
      </x:c>
      <x:c r="F731" s="31" t="n">
        <x:v>0.05932333959122475</x:v>
      </x:c>
      <x:c r="G731" s="31" t="n">
        <x:v>40.60218507390975</x:v>
      </x:c>
      <x:c r="H731" s="31" t="n">
        <x:v>-73.98541930064468</x:v>
      </x:c>
      <x:c r="I731" s="31" t="n">
        <x:v>2812</x:v>
      </x:c>
      <x:c r="J731" s="31" t="n">
        <x:v>47401.24240099183</x:v>
      </x:c>
      <x:c r="K731" s="31"/>
      <x:c r="L731" s="40"/>
      <x:c r="M731" s="40"/>
      <x:c r="N731" s="31" t="n">
        <x:v>358</x:v>
      </x:c>
      <x:c r="O731" s="31" t="n">
        <x:v>886</x:v>
      </x:c>
      <x:c r="P731" s="31" t="n">
        <x:v>2.254232505643341</x:v>
      </x:c>
      <x:c r="Q731" s="40" t="n">
        <x:v>0</x:v>
      </x:c>
      <x:c r="R731" s="40" t="n">
        <x:v>0.1873589164785553</x:v>
      </x:c>
      <x:c r="S731" s="40" t="n">
        <x:v>0.007900677200902935</x:v>
      </x:c>
      <x:c r="T731" s="31" t="n">
        <x:v>28.446397622358916</x:v>
      </x:c>
      <x:c r="U731" s="31" t="n">
        <x:v>68</x:v>
      </x:c>
      <x:c r="V731" s="31" t="n">
        <x:v>1</x:v>
      </x:c>
      <x:c r="W731" s="31" t="n">
        <x:v>0.3556187766714083</x:v>
      </x:c>
      <x:c r="X731" s="31" t="n">
        <x:v>4</x:v>
      </x:c>
      <x:c r="Y731" s="40" t="n">
        <x:v>1</x:v>
      </x:c>
      <x:c r="Z731" s="40" t="n">
        <x:v>1</x:v>
      </x:c>
      <x:c r="AA731" s="40" t="n">
        <x:v>1</x:v>
      </x:c>
      <x:c r="AB731" s="31" t="n">
        <x:v>0.07150158917935834</x:v>
      </x:c>
      <x:c r="AC731" s="31" t="n">
        <x:v>5</x:v>
      </x:c>
      <x:c r="AD731" s="44" t="b">
        <x:v>1</x:v>
      </x:c>
    </x:row>
    <x:row r="732">
      <x:c r="A732" s="31" t="str">
        <x:v>36047040500</x:v>
      </x:c>
      <x:c r="B732" s="31" t="str">
        <x:v>Brooklyn</x:v>
      </x:c>
      <x:c r="C732" s="31" t="str">
        <x:v>040500</x:v>
      </x:c>
      <x:c r="D732" s="31" t="str">
        <x:v>BK0402</x:v>
      </x:c>
      <x:c r="E732" s="31" t="str">
        <x:v>Bushwick (East)</x:v>
      </x:c>
      <x:c r="F732" s="31" t="n">
        <x:v>0.05367741035783976</x:v>
      </x:c>
      <x:c r="G732" s="31" t="n">
        <x:v>40.68159744660289</x:v>
      </x:c>
      <x:c r="H732" s="31" t="n">
        <x:v>-73.90518503787168</x:v>
      </x:c>
      <x:c r="I732" s="31" t="n">
        <x:v>1829</x:v>
      </x:c>
      <x:c r="J732" s="31" t="n">
        <x:v>34073.92398044159</x:v>
      </x:c>
      <x:c r="K732" s="31"/>
      <x:c r="L732" s="40"/>
      <x:c r="M732" s="40"/>
      <x:c r="N732" s="31" t="n">
        <x:v>175</x:v>
      </x:c>
      <x:c r="O732" s="31" t="n">
        <x:v>681</x:v>
      </x:c>
      <x:c r="P732" s="31" t="n">
        <x:v>3.4992548435171384</x:v>
      </x:c>
      <x:c r="Q732" s="40" t="n">
        <x:v>0</x:v>
      </x:c>
      <x:c r="R732" s="40" t="n">
        <x:v>0.6299559471365639</x:v>
      </x:c>
      <x:c r="S732" s="40" t="n">
        <x:v>0.05286343612334802</x:v>
      </x:c>
      <x:c r="T732" s="31" t="n">
        <x:v>39.47363425415798</x:v>
      </x:c>
      <x:c r="U732" s="31" t="n">
        <x:v>75</x:v>
      </x:c>
      <x:c r="V732" s="31" t="n">
        <x:v>20</x:v>
      </x:c>
      <x:c r="W732" s="31" t="n">
        <x:v>10.934937124111535</x:v>
      </x:c>
      <x:c r="X732" s="31" t="n">
        <x:v>5</x:v>
      </x:c>
      <x:c r="Y732" s="40" t="n">
        <x:v>1</x:v>
      </x:c>
      <x:c r="Z732" s="40" t="n">
        <x:v>1</x:v>
      </x:c>
      <x:c r="AA732" s="40" t="n">
        <x:v>0.9853157121879589</x:v>
      </x:c>
      <x:c r="AB732" s="31" t="n">
        <x:v>0.07964209361511647</x:v>
      </x:c>
      <x:c r="AC732" s="31" t="n">
        <x:v>5</x:v>
      </x:c>
      <x:c r="AD732" s="44" t="b">
        <x:v>1</x:v>
      </x:c>
    </x:row>
    <x:row r="733">
      <x:c r="A733" s="31" t="str">
        <x:v>36047040600</x:v>
      </x:c>
      <x:c r="B733" s="31" t="str">
        <x:v>Brooklyn</x:v>
      </x:c>
      <x:c r="C733" s="31" t="str">
        <x:v>040600</x:v>
      </x:c>
      <x:c r="D733" s="31" t="str">
        <x:v>BK1103</x:v>
      </x:c>
      <x:c r="E733" s="31" t="str">
        <x:v>Gravesend (West)</x:v>
      </x:c>
      <x:c r="F733" s="31" t="n">
        <x:v>0.0568339583143222</x:v>
      </x:c>
      <x:c r="G733" s="31" t="n">
        <x:v>40.60050969231421</x:v>
      </x:c>
      <x:c r="H733" s="31" t="n">
        <x:v>-73.98231912028791</x:v>
      </x:c>
      <x:c r="I733" s="31" t="n">
        <x:v>3599</x:v>
      </x:c>
      <x:c r="J733" s="31" t="n">
        <x:v>63324.816830381664</x:v>
      </x:c>
      <x:c r="K733" s="31"/>
      <x:c r="L733" s="40"/>
      <x:c r="M733" s="40"/>
      <x:c r="N733" s="31" t="n">
        <x:v>452</x:v>
      </x:c>
      <x:c r="O733" s="31" t="n">
        <x:v>1151</x:v>
      </x:c>
      <x:c r="P733" s="31" t="n">
        <x:v>2.333188531711555</x:v>
      </x:c>
      <x:c r="Q733" s="40" t="n">
        <x:v>0</x:v>
      </x:c>
      <x:c r="R733" s="40" t="n">
        <x:v>0.17723718505647262</x:v>
      </x:c>
      <x:c r="S733" s="40" t="n">
        <x:v>0.0026064291920069507</x:v>
      </x:c>
      <x:c r="T733" s="31" t="n">
        <x:v>29.147732406602955</x:v>
      </x:c>
      <x:c r="U733" s="31" t="n">
        <x:v>48.78</x:v>
      </x:c>
      <x:c r="V733" s="31" t="n">
        <x:v>0</x:v>
      </x:c>
      <x:c r="W733" s="31" t="n">
        <x:v>0</x:v>
      </x:c>
      <x:c r="X733" s="31" t="n">
        <x:v>4</x:v>
      </x:c>
      <x:c r="Y733" s="40" t="n">
        <x:v>1</x:v>
      </x:c>
      <x:c r="Z733" s="40" t="n">
        <x:v>1</x:v>
      </x:c>
      <x:c r="AA733" s="40" t="n">
        <x:v>1</x:v>
      </x:c>
      <x:c r="AB733" s="31" t="n">
        <x:v>0.18311194871379222</x:v>
      </x:c>
      <x:c r="AC733" s="31" t="n">
        <x:v>6</x:v>
      </x:c>
      <x:c r="AD733" s="44" t="b">
        <x:v>1</x:v>
      </x:c>
    </x:row>
    <x:row r="734">
      <x:c r="A734" s="31" t="str">
        <x:v>36047040700</x:v>
      </x:c>
      <x:c r="B734" s="31" t="str">
        <x:v>Brooklyn</x:v>
      </x:c>
      <x:c r="C734" s="31" t="str">
        <x:v>040700</x:v>
      </x:c>
      <x:c r="D734" s="31" t="str">
        <x:v>BK0471</x:v>
      </x:c>
      <x:c r="E734" s="31" t="str">
        <x:v>The Evergreens Cemetery</x:v>
      </x:c>
      <x:c r="F734" s="31" t="n">
        <x:v>0.20035486844295225</x:v>
      </x:c>
      <x:c r="G734" s="31" t="n">
        <x:v>40.68438731715408</x:v>
      </x:c>
      <x:c r="H734" s="31" t="n">
        <x:v>-73.90127399606627</x:v>
      </x:c>
      <x:c r="I734" s="31" t="n">
        <x:v>6</x:v>
      </x:c>
      <x:c r="J734" s="31" t="n">
        <x:v>29.94686401497851</x:v>
      </x:c>
      <x:c r="K734" s="31"/>
      <x:c r="L734" s="40"/>
      <x:c r="M734" s="40"/>
      <x:c r="N734" s="31" t="n">
        <x:v>0</x:v>
      </x:c>
      <x:c r="O734" s="31"/>
      <x:c r="P734" s="31"/>
      <x:c r="Q734" s="40"/>
      <x:c r="R734" s="40"/>
      <x:c r="S734" s="40"/>
      <x:c r="T734" s="31"/>
      <x:c r="U734" s="31"/>
      <x:c r="V734" s="31" t="n">
        <x:v>0</x:v>
      </x:c>
      <x:c r="W734" s="31" t="n">
        <x:v>0</x:v>
      </x:c>
      <x:c r="X734" s="31"/>
      <x:c r="Y734" s="40"/>
      <x:c r="Z734" s="40"/>
      <x:c r="AA734" s="40"/>
      <x:c r="AB734" s="31" t="n">
        <x:v>0.35815104095282335</x:v>
      </x:c>
      <x:c r="AC734" s="31" t="n">
        <x:v>6</x:v>
      </x:c>
      <x:c r="AD734" s="44" t="b">
        <x:v>0</x:v>
      </x:c>
    </x:row>
    <x:row r="735">
      <x:c r="A735" s="31" t="str">
        <x:v>36047040800</x:v>
      </x:c>
      <x:c r="B735" s="31" t="str">
        <x:v>Brooklyn</x:v>
      </x:c>
      <x:c r="C735" s="31" t="str">
        <x:v>040800</x:v>
      </x:c>
      <x:c r="D735" s="31" t="str">
        <x:v>BK1103</x:v>
      </x:c>
      <x:c r="E735" s="31" t="str">
        <x:v>Gravesend (West)</x:v>
      </x:c>
      <x:c r="F735" s="31" t="n">
        <x:v>0.059264789218893485</x:v>
      </x:c>
      <x:c r="G735" s="31" t="n">
        <x:v>40.6011916005678</x:v>
      </x:c>
      <x:c r="H735" s="31" t="n">
        <x:v>-73.97913375422412</x:v>
      </x:c>
      <x:c r="I735" s="31" t="n">
        <x:v>3933</x:v>
      </x:c>
      <x:c r="J735" s="31" t="n">
        <x:v>66363.18211600368</x:v>
      </x:c>
      <x:c r="K735" s="31"/>
      <x:c r="L735" s="40"/>
      <x:c r="M735" s="40"/>
      <x:c r="N735" s="31" t="n">
        <x:v>471</x:v>
      </x:c>
      <x:c r="O735" s="31" t="n">
        <x:v>1080</x:v>
      </x:c>
      <x:c r="P735" s="31" t="n">
        <x:v>2.1091111111111114</x:v>
      </x:c>
      <x:c r="Q735" s="40" t="n">
        <x:v>0</x:v>
      </x:c>
      <x:c r="R735" s="40" t="n">
        <x:v>0.09259259259259259</x:v>
      </x:c>
      <x:c r="S735" s="40" t="n">
        <x:v>0.003703703703703704</x:v>
      </x:c>
      <x:c r="T735" s="31" t="n">
        <x:v>26.431064609333333</x:v>
      </x:c>
      <x:c r="U735" s="31" t="n">
        <x:v>42.7</x:v>
      </x:c>
      <x:c r="V735" s="31" t="n">
        <x:v>1</x:v>
      </x:c>
      <x:c r="W735" s="31" t="n">
        <x:v>0.25425883549453343</x:v>
      </x:c>
      <x:c r="X735" s="31" t="n">
        <x:v>4</x:v>
      </x:c>
      <x:c r="Y735" s="40" t="n">
        <x:v>1</x:v>
      </x:c>
      <x:c r="Z735" s="40" t="n">
        <x:v>1</x:v>
      </x:c>
      <x:c r="AA735" s="40" t="n">
        <x:v>1</x:v>
      </x:c>
      <x:c r="AB735" s="31" t="n">
        <x:v>0.12379265406955191</x:v>
      </x:c>
      <x:c r="AC735" s="31" t="n">
        <x:v>6</x:v>
      </x:c>
      <x:c r="AD735" s="44" t="b">
        <x:v>1</x:v>
      </x:c>
    </x:row>
    <x:row r="736">
      <x:c r="A736" s="31" t="str">
        <x:v>36047040900</x:v>
      </x:c>
      <x:c r="B736" s="31" t="str">
        <x:v>Brooklyn</x:v>
      </x:c>
      <x:c r="C736" s="31" t="str">
        <x:v>040900</x:v>
      </x:c>
      <x:c r="D736" s="31" t="str">
        <x:v>BK0402</x:v>
      </x:c>
      <x:c r="E736" s="31" t="str">
        <x:v>Bushwick (East)</x:v>
      </x:c>
      <x:c r="F736" s="31" t="n">
        <x:v>0.06361939680146636</x:v>
      </x:c>
      <x:c r="G736" s="31" t="n">
        <x:v>40.691120264052344</x:v>
      </x:c>
      <x:c r="H736" s="31" t="n">
        <x:v>-73.90470797847475</x:v>
      </x:c>
      <x:c r="I736" s="31" t="n">
        <x:v>3800</x:v>
      </x:c>
      <x:c r="J736" s="31" t="n">
        <x:v>59730.21108418328</x:v>
      </x:c>
      <x:c r="K736" s="31"/>
      <x:c r="L736" s="40"/>
      <x:c r="M736" s="40"/>
      <x:c r="N736" s="31" t="n">
        <x:v>344</x:v>
      </x:c>
      <x:c r="O736" s="31" t="n">
        <x:v>1338</x:v>
      </x:c>
      <x:c r="P736" s="31" t="n">
        <x:v>2.883408071748879</x:v>
      </x:c>
      <x:c r="Q736" s="40" t="n">
        <x:v>0</x:v>
      </x:c>
      <x:c r="R736" s="40" t="n">
        <x:v>0.7608370702541106</x:v>
      </x:c>
      <x:c r="S736" s="40" t="n">
        <x:v>0</x:v>
      </x:c>
      <x:c r="T736" s="31" t="n">
        <x:v>33.588182071938164</x:v>
      </x:c>
      <x:c r="U736" s="31" t="n">
        <x:v>55.11747485</x:v>
      </x:c>
      <x:c r="V736" s="31" t="n">
        <x:v>1</x:v>
      </x:c>
      <x:c r="W736" s="31" t="n">
        <x:v>0.2631578947368421</x:v>
      </x:c>
      <x:c r="X736" s="31" t="n">
        <x:v>4.5142002989536625</x:v>
      </x:c>
      <x:c r="Y736" s="40" t="n">
        <x:v>1</x:v>
      </x:c>
      <x:c r="Z736" s="40" t="n">
        <x:v>1</x:v>
      </x:c>
      <x:c r="AA736" s="40" t="n">
        <x:v>0.9910313901345291</x:v>
      </x:c>
      <x:c r="AB736" s="31" t="n">
        <x:v>0.09418796394878455</x:v>
      </x:c>
      <x:c r="AC736" s="31" t="n">
        <x:v>7</x:v>
      </x:c>
      <x:c r="AD736" s="44" t="b">
        <x:v>1</x:v>
      </x:c>
    </x:row>
    <x:row r="737">
      <x:c r="A737" s="31" t="str">
        <x:v>36047041000</x:v>
      </x:c>
      <x:c r="B737" s="31" t="str">
        <x:v>Brooklyn</x:v>
      </x:c>
      <x:c r="C737" s="31" t="str">
        <x:v>041000</x:v>
      </x:c>
      <x:c r="D737" s="31" t="str">
        <x:v>BK1103</x:v>
      </x:c>
      <x:c r="E737" s="31" t="str">
        <x:v>Gravesend (West)</x:v>
      </x:c>
      <x:c r="F737" s="31" t="n">
        <x:v>0.05513981486419594</x:v>
      </x:c>
      <x:c r="G737" s="31" t="n">
        <x:v>40.600978856189265</x:v>
      </x:c>
      <x:c r="H737" s="31" t="n">
        <x:v>-73.97545132175388</x:v>
      </x:c>
      <x:c r="I737" s="31" t="n">
        <x:v>2136</x:v>
      </x:c>
      <x:c r="J737" s="31" t="n">
        <x:v>38737.88849782616</x:v>
      </x:c>
      <x:c r="K737" s="31"/>
      <x:c r="L737" s="40"/>
      <x:c r="M737" s="40"/>
      <x:c r="N737" s="31" t="n">
        <x:v>320</x:v>
      </x:c>
      <x:c r="O737" s="31" t="n">
        <x:v>713</x:v>
      </x:c>
      <x:c r="P737" s="31" t="n">
        <x:v>3.091068917018284</x:v>
      </x:c>
      <x:c r="Q737" s="40" t="n">
        <x:v>0</x:v>
      </x:c>
      <x:c r="R737" s="40" t="n">
        <x:v>0.2061711079943899</x:v>
      </x:c>
      <x:c r="S737" s="40" t="n">
        <x:v>0.004207573632538569</x:v>
      </x:c>
      <x:c r="T737" s="31" t="n">
        <x:v>34.7395762136119</x:v>
      </x:c>
      <x:c r="U737" s="31" t="n">
        <x:v>74.78</x:v>
      </x:c>
      <x:c r="V737" s="31" t="n">
        <x:v>4</x:v>
      </x:c>
      <x:c r="W737" s="31" t="n">
        <x:v>1.8726591760299625</x:v>
      </x:c>
      <x:c r="X737" s="31" t="n">
        <x:v>4</x:v>
      </x:c>
      <x:c r="Y737" s="40" t="n">
        <x:v>1</x:v>
      </x:c>
      <x:c r="Z737" s="40" t="n">
        <x:v>1</x:v>
      </x:c>
      <x:c r="AA737" s="40" t="n">
        <x:v>0.9901823281907434</x:v>
      </x:c>
      <x:c r="AB737" s="31" t="n">
        <x:v>0.07263735810777366</x:v>
      </x:c>
      <x:c r="AC737" s="31" t="n">
        <x:v>6</x:v>
      </x:c>
      <x:c r="AD737" s="44" t="b">
        <x:v>1</x:v>
      </x:c>
    </x:row>
    <x:row r="738">
      <x:c r="A738" s="31" t="str">
        <x:v>36047041100</x:v>
      </x:c>
      <x:c r="B738" s="31" t="str">
        <x:v>Brooklyn</x:v>
      </x:c>
      <x:c r="C738" s="31" t="str">
        <x:v>041100</x:v>
      </x:c>
      <x:c r="D738" s="31" t="str">
        <x:v>BK0402</x:v>
      </x:c>
      <x:c r="E738" s="31" t="str">
        <x:v>Bushwick (East)</x:v>
      </x:c>
      <x:c r="F738" s="31" t="n">
        <x:v>0.05142358070907943</x:v>
      </x:c>
      <x:c r="G738" s="31" t="n">
        <x:v>40.68788062654955</x:v>
      </x:c>
      <x:c r="H738" s="31" t="n">
        <x:v>-73.90718111757022</x:v>
      </x:c>
      <x:c r="I738" s="31" t="n">
        <x:v>3332</x:v>
      </x:c>
      <x:c r="J738" s="31" t="n">
        <x:v>64795.1767273899</x:v>
      </x:c>
      <x:c r="K738" s="31"/>
      <x:c r="L738" s="40"/>
      <x:c r="M738" s="40"/>
      <x:c r="N738" s="31" t="n">
        <x:v>378</x:v>
      </x:c>
      <x:c r="O738" s="31" t="n">
        <x:v>1254</x:v>
      </x:c>
      <x:c r="P738" s="31" t="n">
        <x:v>3.103035143769968</x:v>
      </x:c>
      <x:c r="Q738" s="40" t="n">
        <x:v>0</x:v>
      </x:c>
      <x:c r="R738" s="40" t="n">
        <x:v>0.6172248803827751</x:v>
      </x:c>
      <x:c r="S738" s="40" t="n">
        <x:v>0</x:v>
      </x:c>
      <x:c r="T738" s="31" t="n">
        <x:v>36.677484232733114</x:v>
      </x:c>
      <x:c r="U738" s="31" t="n">
        <x:v>65.7</x:v>
      </x:c>
      <x:c r="V738" s="31" t="n">
        <x:v>7</x:v>
      </x:c>
      <x:c r="W738" s="31" t="n">
        <x:v>2.100840336134454</x:v>
      </x:c>
      <x:c r="X738" s="31" t="n">
        <x:v>5</x:v>
      </x:c>
      <x:c r="Y738" s="40" t="n">
        <x:v>1</x:v>
      </x:c>
      <x:c r="Z738" s="40" t="n">
        <x:v>1</x:v>
      </x:c>
      <x:c r="AA738" s="40" t="n">
        <x:v>0.9920255183413078</x:v>
      </x:c>
      <x:c r="AB738" s="31" t="n">
        <x:v>0.12664170649219267</x:v>
      </x:c>
      <x:c r="AC738" s="31" t="n">
        <x:v>5</x:v>
      </x:c>
      <x:c r="AD738" s="44" t="b">
        <x:v>1</x:v>
      </x:c>
    </x:row>
    <x:row r="739">
      <x:c r="A739" s="31" t="str">
        <x:v>36047041200</x:v>
      </x:c>
      <x:c r="B739" s="31" t="str">
        <x:v>Brooklyn</x:v>
      </x:c>
      <x:c r="C739" s="31" t="str">
        <x:v>041200</x:v>
      </x:c>
      <x:c r="D739" s="31" t="str">
        <x:v>BK1103</x:v>
      </x:c>
      <x:c r="E739" s="31" t="str">
        <x:v>Gravesend (West)</x:v>
      </x:c>
      <x:c r="F739" s="31" t="n">
        <x:v>0.06385320515703914</x:v>
      </x:c>
      <x:c r="G739" s="31" t="n">
        <x:v>40.60415715905258</x:v>
      </x:c>
      <x:c r="H739" s="31" t="n">
        <x:v>-73.97419168316642</x:v>
      </x:c>
      <x:c r="I739" s="31" t="n">
        <x:v>3375</x:v>
      </x:c>
      <x:c r="J739" s="31" t="n">
        <x:v>52855.60829248274</x:v>
      </x:c>
      <x:c r="K739" s="31"/>
      <x:c r="L739" s="40"/>
      <x:c r="M739" s="40"/>
      <x:c r="N739" s="31" t="n">
        <x:v>362</x:v>
      </x:c>
      <x:c r="O739" s="31" t="n">
        <x:v>1130</x:v>
      </x:c>
      <x:c r="P739" s="31" t="n">
        <x:v>3.2670353982300884</x:v>
      </x:c>
      <x:c r="Q739" s="40" t="n">
        <x:v>0</x:v>
      </x:c>
      <x:c r="R739" s="40" t="n">
        <x:v>0.4283185840707965</x:v>
      </x:c>
      <x:c r="S739" s="40" t="n">
        <x:v>0</x:v>
      </x:c>
      <x:c r="T739" s="31" t="n">
        <x:v>39.294064540124225</x:v>
      </x:c>
      <x:c r="U739" s="31" t="n">
        <x:v>90.11740842</x:v>
      </x:c>
      <x:c r="V739" s="31" t="n">
        <x:v>10</x:v>
      </x:c>
      <x:c r="W739" s="31" t="n">
        <x:v>2.962962962962963</x:v>
      </x:c>
      <x:c r="X739" s="31" t="n">
        <x:v>4</x:v>
      </x:c>
      <x:c r="Y739" s="40" t="n">
        <x:v>1</x:v>
      </x:c>
      <x:c r="Z739" s="40" t="n">
        <x:v>1</x:v>
      </x:c>
      <x:c r="AA739" s="40" t="n">
        <x:v>0.9973451327433628</x:v>
      </x:c>
      <x:c r="AB739" s="31" t="n">
        <x:v>0.2496524036600966</x:v>
      </x:c>
      <x:c r="AC739" s="31" t="n">
        <x:v>4</x:v>
      </x:c>
      <x:c r="AD739" s="44" t="b">
        <x:v>1</x:v>
      </x:c>
    </x:row>
    <x:row r="740">
      <x:c r="A740" s="31" t="str">
        <x:v>36047041300</x:v>
      </x:c>
      <x:c r="B740" s="31" t="str">
        <x:v>Brooklyn</x:v>
      </x:c>
      <x:c r="C740" s="31" t="str">
        <x:v>041300</x:v>
      </x:c>
      <x:c r="D740" s="31" t="str">
        <x:v>BK0402</x:v>
      </x:c>
      <x:c r="E740" s="31" t="str">
        <x:v>Bushwick (East)</x:v>
      </x:c>
      <x:c r="F740" s="31" t="n">
        <x:v>0.06259982149083161</x:v>
      </x:c>
      <x:c r="G740" s="31" t="n">
        <x:v>40.68981451912469</x:v>
      </x:c>
      <x:c r="H740" s="31" t="n">
        <x:v>-73.91061991556658</x:v>
      </x:c>
      <x:c r="I740" s="31" t="n">
        <x:v>3951</x:v>
      </x:c>
      <x:c r="J740" s="31" t="n">
        <x:v>63115.1959527339</x:v>
      </x:c>
      <x:c r="K740" s="31"/>
      <x:c r="L740" s="40"/>
      <x:c r="M740" s="40"/>
      <x:c r="N740" s="31" t="n">
        <x:v>466</x:v>
      </x:c>
      <x:c r="O740" s="31" t="n">
        <x:v>1397</x:v>
      </x:c>
      <x:c r="P740" s="31" t="n">
        <x:v>2.7959034381858086</x:v>
      </x:c>
      <x:c r="Q740" s="40" t="n">
        <x:v>0</x:v>
      </x:c>
      <x:c r="R740" s="40" t="n">
        <x:v>0.5905511811023622</x:v>
      </x:c>
      <x:c r="S740" s="40" t="n">
        <x:v>0.004294917680744453</x:v>
      </x:c>
      <x:c r="T740" s="31" t="n">
        <x:v>34.388668378612124</x:v>
      </x:c>
      <x:c r="U740" s="31" t="n">
        <x:v>95</x:v>
      </x:c>
      <x:c r="V740" s="31" t="n">
        <x:v>4</x:v>
      </x:c>
      <x:c r="W740" s="31" t="n">
        <x:v>1.0124019235636548</x:v>
      </x:c>
      <x:c r="X740" s="31" t="n">
        <x:v>4.6993557623478885</x:v>
      </x:c>
      <x:c r="Y740" s="40" t="n">
        <x:v>1</x:v>
      </x:c>
      <x:c r="Z740" s="40" t="n">
        <x:v>1</x:v>
      </x:c>
      <x:c r="AA740" s="40" t="n">
        <x:v>0.9799570508231925</x:v>
      </x:c>
      <x:c r="AB740" s="31" t="n">
        <x:v>0.06342279478588622</x:v>
      </x:c>
      <x:c r="AC740" s="31" t="n">
        <x:v>6</x:v>
      </x:c>
      <x:c r="AD740" s="44" t="b">
        <x:v>1</x:v>
      </x:c>
    </x:row>
    <x:row r="741">
      <x:c r="A741" s="31" t="str">
        <x:v>36047041401</x:v>
      </x:c>
      <x:c r="B741" s="31" t="str">
        <x:v>Brooklyn</x:v>
      </x:c>
      <x:c r="C741" s="31" t="str">
        <x:v>041401</x:v>
      </x:c>
      <x:c r="D741" s="31" t="str">
        <x:v>BK1501</x:v>
      </x:c>
      <x:c r="E741" s="31" t="str">
        <x:v>Gravesend (East)-Homecrest</x:v>
      </x:c>
      <x:c r="F741" s="31" t="n">
        <x:v>0.052161975486039375</x:v>
      </x:c>
      <x:c r="G741" s="31" t="n">
        <x:v>40.60170615217917</x:v>
      </x:c>
      <x:c r="H741" s="31" t="n">
        <x:v>-73.97106554606097</x:v>
      </x:c>
      <x:c r="I741" s="31" t="n">
        <x:v>1480</x:v>
      </x:c>
      <x:c r="J741" s="31" t="n">
        <x:v>28373.15853568673</x:v>
      </x:c>
      <x:c r="K741" s="31"/>
      <x:c r="L741" s="40"/>
      <x:c r="M741" s="40"/>
      <x:c r="N741" s="31" t="n">
        <x:v>184</x:v>
      </x:c>
      <x:c r="O741" s="31" t="n">
        <x:v>522</x:v>
      </x:c>
      <x:c r="P741" s="31" t="n">
        <x:v>4.046954022988507</x:v>
      </x:c>
      <x:c r="Q741" s="40" t="n">
        <x:v>0</x:v>
      </x:c>
      <x:c r="R741" s="40" t="n">
        <x:v>0.5632183908045977</x:v>
      </x:c>
      <x:c r="S741" s="40" t="n">
        <x:v>0.0019157088122605363</x:v>
      </x:c>
      <x:c r="T741" s="31" t="n">
        <x:v>45.42269024842004</x:v>
      </x:c>
      <x:c r="U741" s="31" t="n">
        <x:v>85.47402023</x:v>
      </x:c>
      <x:c r="V741" s="31" t="n">
        <x:v>13</x:v>
      </x:c>
      <x:c r="W741" s="31" t="n">
        <x:v>8.783783783783784</x:v>
      </x:c>
      <x:c r="X741" s="31" t="n">
        <x:v>4</x:v>
      </x:c>
      <x:c r="Y741" s="40" t="n">
        <x:v>1</x:v>
      </x:c>
      <x:c r="Z741" s="40" t="n">
        <x:v>1</x:v>
      </x:c>
      <x:c r="AA741" s="40" t="n">
        <x:v>0.9942528735632183</x:v>
      </x:c>
      <x:c r="AB741" s="31" t="n">
        <x:v>0.07414848065774692</x:v>
      </x:c>
      <x:c r="AC741" s="31" t="n">
        <x:v>6</x:v>
      </x:c>
      <x:c r="AD741" s="44" t="b">
        <x:v>1</x:v>
      </x:c>
    </x:row>
    <x:row r="742">
      <x:c r="A742" s="31" t="str">
        <x:v>36047041402</x:v>
      </x:c>
      <x:c r="B742" s="31" t="str">
        <x:v>Brooklyn</x:v>
      </x:c>
      <x:c r="C742" s="31" t="str">
        <x:v>041402</x:v>
      </x:c>
      <x:c r="D742" s="31" t="str">
        <x:v>BK1501</x:v>
      </x:c>
      <x:c r="E742" s="31" t="str">
        <x:v>Gravesend (East)-Homecrest</x:v>
      </x:c>
      <x:c r="F742" s="31" t="n">
        <x:v>0.05952573070441632</x:v>
      </x:c>
      <x:c r="G742" s="31" t="n">
        <x:v>40.602422486822974</x:v>
      </x:c>
      <x:c r="H742" s="31" t="n">
        <x:v>-73.96793846469771</x:v>
      </x:c>
      <x:c r="I742" s="31" t="n">
        <x:v>1855</x:v>
      </x:c>
      <x:c r="J742" s="31" t="n">
        <x:v>31162.99418836658</x:v>
      </x:c>
      <x:c r="K742" s="31"/>
      <x:c r="L742" s="40"/>
      <x:c r="M742" s="40"/>
      <x:c r="N742" s="31" t="n">
        <x:v>196</x:v>
      </x:c>
      <x:c r="O742" s="31" t="n">
        <x:v>732</x:v>
      </x:c>
      <x:c r="P742" s="31" t="n">
        <x:v>4.857581967213115</x:v>
      </x:c>
      <x:c r="Q742" s="40" t="n">
        <x:v>0</x:v>
      </x:c>
      <x:c r="R742" s="40" t="n">
        <x:v>0.75</x:v>
      </x:c>
      <x:c r="S742" s="40" t="n">
        <x:v>0.00273224043715847</x:v>
      </x:c>
      <x:c r="T742" s="31" t="n">
        <x:v>54.76865903224966</x:v>
      </x:c>
      <x:c r="U742" s="31" t="n">
        <x:v>68</x:v>
      </x:c>
      <x:c r="V742" s="31" t="n">
        <x:v>23</x:v>
      </x:c>
      <x:c r="W742" s="31" t="n">
        <x:v>12.398921832884097</x:v>
      </x:c>
      <x:c r="X742" s="31" t="n">
        <x:v>4</x:v>
      </x:c>
      <x:c r="Y742" s="40" t="n">
        <x:v>1</x:v>
      </x:c>
      <x:c r="Z742" s="40" t="n">
        <x:v>1</x:v>
      </x:c>
      <x:c r="AA742" s="40" t="n">
        <x:v>0.9959016393442623</x:v>
      </x:c>
      <x:c r="AB742" s="31" t="n">
        <x:v>0.10955767933416705</x:v>
      </x:c>
      <x:c r="AC742" s="31" t="n">
        <x:v>6</x:v>
      </x:c>
      <x:c r="AD742" s="44" t="b">
        <x:v>1</x:v>
      </x:c>
    </x:row>
    <x:row r="743">
      <x:c r="A743" s="31" t="str">
        <x:v>36047041500</x:v>
      </x:c>
      <x:c r="B743" s="31" t="str">
        <x:v>Brooklyn</x:v>
      </x:c>
      <x:c r="C743" s="31" t="str">
        <x:v>041500</x:v>
      </x:c>
      <x:c r="D743" s="31" t="str">
        <x:v>BK0402</x:v>
      </x:c>
      <x:c r="E743" s="31" t="str">
        <x:v>Bushwick (East)</x:v>
      </x:c>
      <x:c r="F743" s="31" t="n">
        <x:v>0.06278293387533</x:v>
      </x:c>
      <x:c r="G743" s="31" t="n">
        <x:v>40.69194907186603</x:v>
      </x:c>
      <x:c r="H743" s="31" t="n">
        <x:v>-73.914389954667</x:v>
      </x:c>
      <x:c r="I743" s="31" t="n">
        <x:v>4032</x:v>
      </x:c>
      <x:c r="J743" s="31" t="n">
        <x:v>64221.27401701976</x:v>
      </x:c>
      <x:c r="K743" s="31"/>
      <x:c r="L743" s="40"/>
      <x:c r="M743" s="40"/>
      <x:c r="N743" s="31" t="n">
        <x:v>500</x:v>
      </x:c>
      <x:c r="O743" s="31" t="n">
        <x:v>1508</x:v>
      </x:c>
      <x:c r="P743" s="31" t="n">
        <x:v>2.77369826435247</x:v>
      </x:c>
      <x:c r="Q743" s="40" t="n">
        <x:v>0</x:v>
      </x:c>
      <x:c r="R743" s="40" t="n">
        <x:v>0.490053050397878</x:v>
      </x:c>
      <x:c r="S743" s="40" t="n">
        <x:v>0</x:v>
      </x:c>
      <x:c r="T743" s="31" t="n">
        <x:v>33.29262799610692</x:v>
      </x:c>
      <x:c r="U743" s="31" t="n">
        <x:v>65</x:v>
      </x:c>
      <x:c r="V743" s="31" t="n">
        <x:v>9</x:v>
      </x:c>
      <x:c r="W743" s="31" t="n">
        <x:v>2.232142857142857</x:v>
      </x:c>
      <x:c r="X743" s="31" t="n">
        <x:v>4</x:v>
      </x:c>
      <x:c r="Y743" s="40" t="n">
        <x:v>1</x:v>
      </x:c>
      <x:c r="Z743" s="40" t="n">
        <x:v>1</x:v>
      </x:c>
      <x:c r="AA743" s="40" t="n">
        <x:v>0.9675066312997348</x:v>
      </x:c>
      <x:c r="AB743" s="31" t="n">
        <x:v>0.13176453052609616</x:v>
      </x:c>
      <x:c r="AC743" s="31" t="n">
        <x:v>5</x:v>
      </x:c>
      <x:c r="AD743" s="44" t="b">
        <x:v>1</x:v>
      </x:c>
    </x:row>
    <x:row r="744">
      <x:c r="A744" s="31" t="str">
        <x:v>36047041600</x:v>
      </x:c>
      <x:c r="B744" s="31" t="str">
        <x:v>Brooklyn</x:v>
      </x:c>
      <x:c r="C744" s="31" t="str">
        <x:v>041600</x:v>
      </x:c>
      <x:c r="D744" s="31" t="str">
        <x:v>BK1501</x:v>
      </x:c>
      <x:c r="E744" s="31" t="str">
        <x:v>Gravesend (East)-Homecrest</x:v>
      </x:c>
      <x:c r="F744" s="31" t="n">
        <x:v>0.06276488248213671</x:v>
      </x:c>
      <x:c r="G744" s="31" t="n">
        <x:v>40.60240920420075</x:v>
      </x:c>
      <x:c r="H744" s="31" t="n">
        <x:v>-73.96348765721926</x:v>
      </x:c>
      <x:c r="I744" s="31" t="n">
        <x:v>2112</x:v>
      </x:c>
      <x:c r="J744" s="31" t="n">
        <x:v>33649.389857474656</x:v>
      </x:c>
      <x:c r="K744" s="31"/>
      <x:c r="L744" s="40"/>
      <x:c r="M744" s="40"/>
      <x:c r="N744" s="31" t="n">
        <x:v>335</x:v>
      </x:c>
      <x:c r="O744" s="31" t="n">
        <x:v>809</x:v>
      </x:c>
      <x:c r="P744" s="31" t="n">
        <x:v>2.8600123609394315</x:v>
      </x:c>
      <x:c r="Q744" s="40" t="n">
        <x:v>0</x:v>
      </x:c>
      <x:c r="R744" s="40" t="n">
        <x:v>0.3992583436341162</x:v>
      </x:c>
      <x:c r="S744" s="40" t="n">
        <x:v>0.006180469715698393</x:v>
      </x:c>
      <x:c r="T744" s="31" t="n">
        <x:v>34.68696121863693</x:v>
      </x:c>
      <x:c r="U744" s="31" t="n">
        <x:v>67.14</x:v>
      </x:c>
      <x:c r="V744" s="31" t="n">
        <x:v>3</x:v>
      </x:c>
      <x:c r="W744" s="31" t="n">
        <x:v>1.4204545454545454</x:v>
      </x:c>
      <x:c r="X744" s="31" t="n">
        <x:v>4</x:v>
      </x:c>
      <x:c r="Y744" s="40" t="n">
        <x:v>1</x:v>
      </x:c>
      <x:c r="Z744" s="40" t="n">
        <x:v>1</x:v>
      </x:c>
      <x:c r="AA744" s="40" t="n">
        <x:v>0.9975278121137207</x:v>
      </x:c>
      <x:c r="AB744" s="31" t="n">
        <x:v>0.20067454504717425</x:v>
      </x:c>
      <x:c r="AC744" s="31" t="n">
        <x:v>6</x:v>
      </x:c>
      <x:c r="AD744" s="44" t="b">
        <x:v>1</x:v>
      </x:c>
    </x:row>
    <x:row r="745">
      <x:c r="A745" s="31" t="str">
        <x:v>36047041700</x:v>
      </x:c>
      <x:c r="B745" s="31" t="str">
        <x:v>Brooklyn</x:v>
      </x:c>
      <x:c r="C745" s="31" t="str">
        <x:v>041700</x:v>
      </x:c>
      <x:c r="D745" s="31" t="str">
        <x:v>BK0402</x:v>
      </x:c>
      <x:c r="E745" s="31" t="str">
        <x:v>Bushwick (East)</x:v>
      </x:c>
      <x:c r="F745" s="31" t="n">
        <x:v>0.054500997001621324</x:v>
      </x:c>
      <x:c r="G745" s="31" t="n">
        <x:v>40.69376227787143</x:v>
      </x:c>
      <x:c r="H745" s="31" t="n">
        <x:v>-73.91791779005312</x:v>
      </x:c>
      <x:c r="I745" s="31" t="n">
        <x:v>3348</x:v>
      </x:c>
      <x:c r="J745" s="31" t="n">
        <x:v>61430.06888296744</x:v>
      </x:c>
      <x:c r="K745" s="31"/>
      <x:c r="L745" s="40"/>
      <x:c r="M745" s="40"/>
      <x:c r="N745" s="31" t="n">
        <x:v>203</x:v>
      </x:c>
      <x:c r="O745" s="31" t="n">
        <x:v>1504</x:v>
      </x:c>
      <x:c r="P745" s="31" t="n">
        <x:v>4.505685618729097</x:v>
      </x:c>
      <x:c r="Q745" s="40" t="n">
        <x:v>0.08643617021276596</x:v>
      </x:c>
      <x:c r="R745" s="40" t="n">
        <x:v>0.807845744680851</x:v>
      </x:c>
      <x:c r="S745" s="40" t="n">
        <x:v>0.17553191489361702</x:v>
      </x:c>
      <x:c r="T745" s="31" t="n">
        <x:v>47.93702350259759</x:v>
      </x:c>
      <x:c r="U745" s="31" t="n">
        <x:v>126.04</x:v>
      </x:c>
      <x:c r="V745" s="31" t="n">
        <x:v>10</x:v>
      </x:c>
      <x:c r="W745" s="31" t="n">
        <x:v>2.9868578255675033</x:v>
      </x:c>
      <x:c r="X745" s="31" t="n">
        <x:v>4</x:v>
      </x:c>
      <x:c r="Y745" s="40" t="n">
        <x:v>1</x:v>
      </x:c>
      <x:c r="Z745" s="40" t="n">
        <x:v>1</x:v>
      </x:c>
      <x:c r="AA745" s="40" t="n">
        <x:v>0.9368351063829787</x:v>
      </x:c>
      <x:c r="AB745" s="31" t="n">
        <x:v>0.07663597239894335</x:v>
      </x:c>
      <x:c r="AC745" s="31" t="n">
        <x:v>6</x:v>
      </x:c>
      <x:c r="AD745" s="44" t="b">
        <x:v>1</x:v>
      </x:c>
    </x:row>
    <x:row r="746">
      <x:c r="A746" s="31" t="str">
        <x:v>36047041800</x:v>
      </x:c>
      <x:c r="B746" s="31" t="str">
        <x:v>Brooklyn</x:v>
      </x:c>
      <x:c r="C746" s="31" t="str">
        <x:v>041800</x:v>
      </x:c>
      <x:c r="D746" s="31" t="str">
        <x:v>BK1501</x:v>
      </x:c>
      <x:c r="E746" s="31" t="str">
        <x:v>Gravesend (East)-Homecrest</x:v>
      </x:c>
      <x:c r="F746" s="31" t="n">
        <x:v>0.06360373566990932</x:v>
      </x:c>
      <x:c r="G746" s="31" t="n">
        <x:v>40.60539627431462</x:v>
      </x:c>
      <x:c r="H746" s="31" t="n">
        <x:v>-73.96485444367903</x:v>
      </x:c>
      <x:c r="I746" s="31" t="n">
        <x:v>2645</x:v>
      </x:c>
      <x:c r="J746" s="31" t="n">
        <x:v>41585.60770277742</x:v>
      </x:c>
      <x:c r="K746" s="31"/>
      <x:c r="L746" s="40"/>
      <x:c r="M746" s="40"/>
      <x:c r="N746" s="31" t="n">
        <x:v>272</x:v>
      </x:c>
      <x:c r="O746" s="31" t="n">
        <x:v>968</x:v>
      </x:c>
      <x:c r="P746" s="31" t="n">
        <x:v>4.044514462809918</x:v>
      </x:c>
      <x:c r="Q746" s="40" t="n">
        <x:v>0.024793388429752067</x:v>
      </x:c>
      <x:c r="R746" s="40" t="n">
        <x:v>0.5816115702479339</x:v>
      </x:c>
      <x:c r="S746" s="40" t="n">
        <x:v>0.025826446280991736</x:v>
      </x:c>
      <x:c r="T746" s="31" t="n">
        <x:v>42.25072232149413</x:v>
      </x:c>
      <x:c r="U746" s="31" t="n">
        <x:v>65.21</x:v>
      </x:c>
      <x:c r="V746" s="31" t="n">
        <x:v>13</x:v>
      </x:c>
      <x:c r="W746" s="31" t="n">
        <x:v>4.914933837429111</x:v>
      </x:c>
      <x:c r="X746" s="31" t="n">
        <x:v>4</x:v>
      </x:c>
      <x:c r="Y746" s="40" t="n">
        <x:v>1</x:v>
      </x:c>
      <x:c r="Z746" s="40" t="n">
        <x:v>1</x:v>
      </x:c>
      <x:c r="AA746" s="40" t="n">
        <x:v>0.9679752066115702</x:v>
      </x:c>
      <x:c r="AB746" s="31" t="n">
        <x:v>0.23456813115387098</x:v>
      </x:c>
      <x:c r="AC746" s="31" t="n">
        <x:v>6</x:v>
      </x:c>
      <x:c r="AD746" s="44" t="b">
        <x:v>1</x:v>
      </x:c>
    </x:row>
    <x:row r="747">
      <x:c r="A747" s="31" t="str">
        <x:v>36047041900</x:v>
      </x:c>
      <x:c r="B747" s="31" t="str">
        <x:v>Brooklyn</x:v>
      </x:c>
      <x:c r="C747" s="31" t="str">
        <x:v>041900</x:v>
      </x:c>
      <x:c r="D747" s="31" t="str">
        <x:v>BK0402</x:v>
      </x:c>
      <x:c r="E747" s="31" t="str">
        <x:v>Bushwick (East)</x:v>
      </x:c>
      <x:c r="F747" s="31" t="n">
        <x:v>0.059073034616046835</x:v>
      </x:c>
      <x:c r="G747" s="31" t="n">
        <x:v>40.69532317661745</x:v>
      </x:c>
      <x:c r="H747" s="31" t="n">
        <x:v>-73.92103303870742</x:v>
      </x:c>
      <x:c r="I747" s="31" t="n">
        <x:v>3880</x:v>
      </x:c>
      <x:c r="J747" s="31" t="n">
        <x:v>65681.40650329857</x:v>
      </x:c>
      <x:c r="K747" s="31"/>
      <x:c r="L747" s="40"/>
      <x:c r="M747" s="40"/>
      <x:c r="N747" s="31" t="n">
        <x:v>315</x:v>
      </x:c>
      <x:c r="O747" s="31" t="n">
        <x:v>1482</x:v>
      </x:c>
      <x:c r="P747" s="31" t="n">
        <x:v>3.7735593220338983</x:v>
      </x:c>
      <x:c r="Q747" s="40" t="n">
        <x:v>0</x:v>
      </x:c>
      <x:c r="R747" s="40" t="n">
        <x:v>0.7840755735492577</x:v>
      </x:c>
      <x:c r="S747" s="40" t="n">
        <x:v>0.2968960863697706</x:v>
      </x:c>
      <x:c r="T747" s="31" t="n">
        <x:v>45.87682079923498</x:v>
      </x:c>
      <x:c r="U747" s="31" t="n">
        <x:v>85</x:v>
      </x:c>
      <x:c r="V747" s="31" t="n">
        <x:v>11</x:v>
      </x:c>
      <x:c r="W747" s="31" t="n">
        <x:v>2.8350515463917523</x:v>
      </x:c>
      <x:c r="X747" s="31" t="n">
        <x:v>4</x:v>
      </x:c>
      <x:c r="Y747" s="40" t="n">
        <x:v>1</x:v>
      </x:c>
      <x:c r="Z747" s="40" t="n">
        <x:v>1</x:v>
      </x:c>
      <x:c r="AA747" s="40" t="n">
        <x:v>0.9878542510121457</x:v>
      </x:c>
      <x:c r="AB747" s="31" t="n">
        <x:v>0.129424815142375</x:v>
      </x:c>
      <x:c r="AC747" s="31" t="n">
        <x:v>6</x:v>
      </x:c>
      <x:c r="AD747" s="44" t="b">
        <x:v>1</x:v>
      </x:c>
    </x:row>
    <x:row r="748">
      <x:c r="A748" s="31" t="str">
        <x:v>36047042000</x:v>
      </x:c>
      <x:c r="B748" s="31" t="str">
        <x:v>Brooklyn</x:v>
      </x:c>
      <x:c r="C748" s="31" t="str">
        <x:v>042000</x:v>
      </x:c>
      <x:c r="D748" s="31" t="str">
        <x:v>BK1501</x:v>
      </x:c>
      <x:c r="E748" s="31" t="str">
        <x:v>Gravesend (East)-Homecrest</x:v>
      </x:c>
      <x:c r="F748" s="31" t="n">
        <x:v>0.06528648916186008</x:v>
      </x:c>
      <x:c r="G748" s="31" t="n">
        <x:v>40.60923555124167</x:v>
      </x:c>
      <x:c r="H748" s="31" t="n">
        <x:v>-73.96434177355727</x:v>
      </x:c>
      <x:c r="I748" s="31" t="n">
        <x:v>1912</x:v>
      </x:c>
      <x:c r="J748" s="31" t="n">
        <x:v>29286.30447962543</x:v>
      </x:c>
      <x:c r="K748" s="31"/>
      <x:c r="L748" s="40"/>
      <x:c r="M748" s="40"/>
      <x:c r="N748" s="31" t="n">
        <x:v>301</x:v>
      </x:c>
      <x:c r="O748" s="31" t="n">
        <x:v>559</x:v>
      </x:c>
      <x:c r="P748" s="31" t="n">
        <x:v>2.7643112701252237</x:v>
      </x:c>
      <x:c r="Q748" s="40" t="n">
        <x:v>0</x:v>
      </x:c>
      <x:c r="R748" s="40" t="n">
        <x:v>0.3094812164579606</x:v>
      </x:c>
      <x:c r="S748" s="40" t="n">
        <x:v>0</x:v>
      </x:c>
      <x:c r="T748" s="31" t="n">
        <x:v>33.9548255675404</x:v>
      </x:c>
      <x:c r="U748" s="31" t="n">
        <x:v>64.52</x:v>
      </x:c>
      <x:c r="V748" s="31" t="n">
        <x:v>4</x:v>
      </x:c>
      <x:c r="W748" s="31" t="n">
        <x:v>2.092050209205021</x:v>
      </x:c>
      <x:c r="X748" s="31" t="n">
        <x:v>4</x:v>
      </x:c>
      <x:c r="Y748" s="40" t="n">
        <x:v>1</x:v>
      </x:c>
      <x:c r="Z748" s="40" t="n">
        <x:v>1</x:v>
      </x:c>
      <x:c r="AA748" s="40" t="n">
        <x:v>0.9964221824686941</x:v>
      </x:c>
      <x:c r="AB748" s="31" t="n">
        <x:v>0.03394304039131048</x:v>
      </x:c>
      <x:c r="AC748" s="31" t="n">
        <x:v>6</x:v>
      </x:c>
      <x:c r="AD748" s="44" t="b">
        <x:v>1</x:v>
      </x:c>
    </x:row>
    <x:row r="749">
      <x:c r="A749" s="31" t="str">
        <x:v>36047042100</x:v>
      </x:c>
      <x:c r="B749" s="31" t="str">
        <x:v>Brooklyn</x:v>
      </x:c>
      <x:c r="C749" s="31" t="str">
        <x:v>042100</x:v>
      </x:c>
      <x:c r="D749" s="31" t="str">
        <x:v>BK0401</x:v>
      </x:c>
      <x:c r="E749" s="31" t="str">
        <x:v>Bushwick (West)</x:v>
      </x:c>
      <x:c r="F749" s="31" t="n">
        <x:v>0.059236301420813244</x:v>
      </x:c>
      <x:c r="G749" s="31" t="n">
        <x:v>40.69702919104424</x:v>
      </x:c>
      <x:c r="H749" s="31" t="n">
        <x:v>-73.92403833863978</x:v>
      </x:c>
      <x:c r="I749" s="31" t="n">
        <x:v>4866</x:v>
      </x:c>
      <x:c r="J749" s="31" t="n">
        <x:v>82145.57430640468</x:v>
      </x:c>
      <x:c r="K749" s="31"/>
      <x:c r="L749" s="40"/>
      <x:c r="M749" s="40"/>
      <x:c r="N749" s="31" t="n">
        <x:v>380</x:v>
      </x:c>
      <x:c r="O749" s="31" t="n">
        <x:v>1621</x:v>
      </x:c>
      <x:c r="P749" s="31" t="n">
        <x:v>3.3676112852664577</x:v>
      </x:c>
      <x:c r="Q749" s="40" t="n">
        <x:v>0</x:v>
      </x:c>
      <x:c r="R749" s="40" t="n">
        <x:v>0.7594077729796422</x:v>
      </x:c>
      <x:c r="S749" s="40" t="n">
        <x:v>0.03269586674892042</x:v>
      </x:c>
      <x:c r="T749" s="31" t="n">
        <x:v>38.445631480742605</x:v>
      </x:c>
      <x:c r="U749" s="31" t="n">
        <x:v>59</x:v>
      </x:c>
      <x:c r="V749" s="31" t="n">
        <x:v>10</x:v>
      </x:c>
      <x:c r="W749" s="31" t="n">
        <x:v>2.0550760378133988</x:v>
      </x:c>
      <x:c r="X749" s="31" t="n">
        <x:v>4</x:v>
      </x:c>
      <x:c r="Y749" s="40" t="n">
        <x:v>1</x:v>
      </x:c>
      <x:c r="Z749" s="40" t="n">
        <x:v>1</x:v>
      </x:c>
      <x:c r="AA749" s="40" t="n">
        <x:v>0.9802590993214065</x:v>
      </x:c>
      <x:c r="AB749" s="31" t="n">
        <x:v>0.21214057945145673</x:v>
      </x:c>
      <x:c r="AC749" s="31" t="n">
        <x:v>6</x:v>
      </x:c>
      <x:c r="AD749" s="44" t="b">
        <x:v>1</x:v>
      </x:c>
    </x:row>
    <x:row r="750">
      <x:c r="A750" s="31" t="str">
        <x:v>36047042200</x:v>
      </x:c>
      <x:c r="B750" s="31" t="str">
        <x:v>Brooklyn</x:v>
      </x:c>
      <x:c r="C750" s="31" t="str">
        <x:v>042200</x:v>
      </x:c>
      <x:c r="D750" s="31" t="str">
        <x:v>BK1501</x:v>
      </x:c>
      <x:c r="E750" s="31" t="str">
        <x:v>Gravesend (East)-Homecrest</x:v>
      </x:c>
      <x:c r="F750" s="31" t="n">
        <x:v>0.08763722802671602</x:v>
      </x:c>
      <x:c r="G750" s="31" t="n">
        <x:v>40.60686952096489</x:v>
      </x:c>
      <x:c r="H750" s="31" t="n">
        <x:v>-73.96999621826347</x:v>
      </x:c>
      <x:c r="I750" s="31" t="n">
        <x:v>3663</x:v>
      </x:c>
      <x:c r="J750" s="31" t="n">
        <x:v>41797.30557980842</x:v>
      </x:c>
      <x:c r="K750" s="31"/>
      <x:c r="L750" s="40"/>
      <x:c r="M750" s="40"/>
      <x:c r="N750" s="31" t="n">
        <x:v>474</x:v>
      </x:c>
      <x:c r="O750" s="31" t="n">
        <x:v>1277</x:v>
      </x:c>
      <x:c r="P750" s="31" t="n">
        <x:v>3.628817541111981</x:v>
      </x:c>
      <x:c r="Q750" s="40" t="n">
        <x:v>0.03210649960845732</x:v>
      </x:c>
      <x:c r="R750" s="40" t="n">
        <x:v>0.48864526233359434</x:v>
      </x:c>
      <x:c r="S750" s="40" t="n">
        <x:v>0.0015661707126076742</x:v>
      </x:c>
      <x:c r="T750" s="31" t="n">
        <x:v>42.183352004707295</x:v>
      </x:c>
      <x:c r="U750" s="31" t="n">
        <x:v>94</x:v>
      </x:c>
      <x:c r="V750" s="31" t="n">
        <x:v>18</x:v>
      </x:c>
      <x:c r="W750" s="31" t="n">
        <x:v>4.914004914004914</x:v>
      </x:c>
      <x:c r="X750" s="31" t="n">
        <x:v>4</x:v>
      </x:c>
      <x:c r="Y750" s="40" t="n">
        <x:v>1</x:v>
      </x:c>
      <x:c r="Z750" s="40" t="n">
        <x:v>1</x:v>
      </x:c>
      <x:c r="AA750" s="40" t="n">
        <x:v>0.9765074393108849</x:v>
      </x:c>
      <x:c r="AB750" s="31" t="n">
        <x:v>0.25480651247998737</x:v>
      </x:c>
      <x:c r="AC750" s="31" t="n">
        <x:v>8</x:v>
      </x:c>
      <x:c r="AD750" s="44" t="b">
        <x:v>1</x:v>
      </x:c>
    </x:row>
    <x:row r="751">
      <x:c r="A751" s="31" t="str">
        <x:v>36047042300</x:v>
      </x:c>
      <x:c r="B751" s="31" t="str">
        <x:v>Brooklyn</x:v>
      </x:c>
      <x:c r="C751" s="31" t="str">
        <x:v>042300</x:v>
      </x:c>
      <x:c r="D751" s="31" t="str">
        <x:v>BK0401</x:v>
      </x:c>
      <x:c r="E751" s="31" t="str">
        <x:v>Bushwick (West)</x:v>
      </x:c>
      <x:c r="F751" s="31" t="n">
        <x:v>0.07035798869554924</x:v>
      </x:c>
      <x:c r="G751" s="31" t="n">
        <x:v>40.6990019447543</x:v>
      </x:c>
      <x:c r="H751" s="31" t="n">
        <x:v>-73.92728891129686</x:v>
      </x:c>
      <x:c r="I751" s="31" t="n">
        <x:v>4566</x:v>
      </x:c>
      <x:c r="J751" s="31" t="n">
        <x:v>64896.68173656646</x:v>
      </x:c>
      <x:c r="K751" s="31"/>
      <x:c r="L751" s="40"/>
      <x:c r="M751" s="40"/>
      <x:c r="N751" s="31" t="n">
        <x:v>368</x:v>
      </x:c>
      <x:c r="O751" s="31" t="n">
        <x:v>1866</x:v>
      </x:c>
      <x:c r="P751" s="31" t="n">
        <x:v>4.811488673139158</x:v>
      </x:c>
      <x:c r="Q751" s="40" t="n">
        <x:v>0.09378349410503752</x:v>
      </x:c>
      <x:c r="R751" s="40" t="n">
        <x:v>0.7406216505894962</x:v>
      </x:c>
      <x:c r="S751" s="40" t="n">
        <x:v>0.005894962486602358</x:v>
      </x:c>
      <x:c r="T751" s="31" t="n">
        <x:v>51.259599478266054</x:v>
      </x:c>
      <x:c r="U751" s="31" t="n">
        <x:v>170</x:v>
      </x:c>
      <x:c r="V751" s="31" t="n">
        <x:v>22</x:v>
      </x:c>
      <x:c r="W751" s="31" t="n">
        <x:v>4.818221638195357</x:v>
      </x:c>
      <x:c r="X751" s="31" t="n">
        <x:v>4</x:v>
      </x:c>
      <x:c r="Y751" s="40" t="n">
        <x:v>1</x:v>
      </x:c>
      <x:c r="Z751" s="40" t="n">
        <x:v>1</x:v>
      </x:c>
      <x:c r="AA751" s="40" t="n">
        <x:v>0.9426580921757771</x:v>
      </x:c>
      <x:c r="AB751" s="31" t="n">
        <x:v>0.13696238930484658</x:v>
      </x:c>
      <x:c r="AC751" s="31" t="n">
        <x:v>6</x:v>
      </x:c>
      <x:c r="AD751" s="44" t="b">
        <x:v>1</x:v>
      </x:c>
    </x:row>
    <x:row r="752">
      <x:c r="A752" s="31" t="str">
        <x:v>36047042400</x:v>
      </x:c>
      <x:c r="B752" s="31" t="str">
        <x:v>Brooklyn</x:v>
      </x:c>
      <x:c r="C752" s="31" t="str">
        <x:v>042400</x:v>
      </x:c>
      <x:c r="D752" s="31" t="str">
        <x:v>BK1103</x:v>
      </x:c>
      <x:c r="E752" s="31" t="str">
        <x:v>Gravesend (West)</x:v>
      </x:c>
      <x:c r="F752" s="31" t="n">
        <x:v>0.062184805957300276</x:v>
      </x:c>
      <x:c r="G752" s="31" t="n">
        <x:v>40.60674791897521</x:v>
      </x:c>
      <x:c r="H752" s="31" t="n">
        <x:v>-73.97604839037892</x:v>
      </x:c>
      <x:c r="I752" s="31" t="n">
        <x:v>4175</x:v>
      </x:c>
      <x:c r="J752" s="31" t="n">
        <x:v>67138.58692213013</x:v>
      </x:c>
      <x:c r="K752" s="31"/>
      <x:c r="L752" s="40"/>
      <x:c r="M752" s="40"/>
      <x:c r="N752" s="31" t="n">
        <x:v>390</x:v>
      </x:c>
      <x:c r="O752" s="31" t="n">
        <x:v>1383</x:v>
      </x:c>
      <x:c r="P752" s="31" t="n">
        <x:v>3.390817064352856</x:v>
      </x:c>
      <x:c r="Q752" s="40" t="n">
        <x:v>0</x:v>
      </x:c>
      <x:c r="R752" s="40" t="n">
        <x:v>0.5220535068691251</x:v>
      </x:c>
      <x:c r="S752" s="40" t="n">
        <x:v>0.004338394793926247</x:v>
      </x:c>
      <x:c r="T752" s="31" t="n">
        <x:v>40.10948240005793</x:v>
      </x:c>
      <x:c r="U752" s="31" t="n">
        <x:v>78</x:v>
      </x:c>
      <x:c r="V752" s="31" t="n">
        <x:v>7</x:v>
      </x:c>
      <x:c r="W752" s="31" t="n">
        <x:v>1.6766467065868262</x:v>
      </x:c>
      <x:c r="X752" s="31" t="n">
        <x:v>4</x:v>
      </x:c>
      <x:c r="Y752" s="40" t="n">
        <x:v>1</x:v>
      </x:c>
      <x:c r="Z752" s="40" t="n">
        <x:v>1</x:v>
      </x:c>
      <x:c r="AA752" s="40" t="n">
        <x:v>0.9985538684020245</x:v>
      </x:c>
      <x:c r="AB752" s="31" t="n">
        <x:v>0.13457045194346565</x:v>
      </x:c>
      <x:c r="AC752" s="31" t="n">
        <x:v>8</x:v>
      </x:c>
      <x:c r="AD752" s="44" t="b">
        <x:v>1</x:v>
      </x:c>
    </x:row>
    <x:row r="753">
      <x:c r="A753" s="31" t="str">
        <x:v>36047042500</x:v>
      </x:c>
      <x:c r="B753" s="31" t="str">
        <x:v>Brooklyn</x:v>
      </x:c>
      <x:c r="C753" s="31" t="str">
        <x:v>042500</x:v>
      </x:c>
      <x:c r="D753" s="31" t="str">
        <x:v>BK0401</x:v>
      </x:c>
      <x:c r="E753" s="31" t="str">
        <x:v>Bushwick (West)</x:v>
      </x:c>
      <x:c r="F753" s="31" t="n">
        <x:v>0.06479496496570822</x:v>
      </x:c>
      <x:c r="G753" s="31" t="n">
        <x:v>40.70144842268376</x:v>
      </x:c>
      <x:c r="H753" s="31" t="n">
        <x:v>-73.93095849994232</x:v>
      </x:c>
      <x:c r="I753" s="31" t="n">
        <x:v>3026</x:v>
      </x:c>
      <x:c r="J753" s="31" t="n">
        <x:v>46701.15959784014</x:v>
      </x:c>
      <x:c r="K753" s="31"/>
      <x:c r="L753" s="40"/>
      <x:c r="M753" s="40"/>
      <x:c r="N753" s="31" t="n">
        <x:v>206</x:v>
      </x:c>
      <x:c r="O753" s="31" t="n">
        <x:v>1468</x:v>
      </x:c>
      <x:c r="P753" s="31" t="n">
        <x:v>4.230245231607629</x:v>
      </x:c>
      <x:c r="Q753" s="40" t="n">
        <x:v>0</x:v>
      </x:c>
      <x:c r="R753" s="40" t="n">
        <x:v>0.9434604904632152</x:v>
      </x:c>
      <x:c r="S753" s="40" t="n">
        <x:v>0.0013623978201634877</x:v>
      </x:c>
      <x:c r="T753" s="31" t="n">
        <x:v>41.38733981315141</x:v>
      </x:c>
      <x:c r="U753" s="31" t="n">
        <x:v>62.57433715</x:v>
      </x:c>
      <x:c r="V753" s="31" t="n">
        <x:v>11</x:v>
      </x:c>
      <x:c r="W753" s="31" t="n">
        <x:v>3.635161929940516</x:v>
      </x:c>
      <x:c r="X753" s="31" t="n">
        <x:v>4</x:v>
      </x:c>
      <x:c r="Y753" s="40" t="n">
        <x:v>1</x:v>
      </x:c>
      <x:c r="Z753" s="40" t="n">
        <x:v>1</x:v>
      </x:c>
      <x:c r="AA753" s="40" t="n">
        <x:v>0.773841961852861</x:v>
      </x:c>
      <x:c r="AB753" s="31" t="n">
        <x:v>0.06973484127469044</x:v>
      </x:c>
      <x:c r="AC753" s="31" t="n">
        <x:v>4</x:v>
      </x:c>
      <x:c r="AD753" s="44" t="b">
        <x:v>1</x:v>
      </x:c>
    </x:row>
    <x:row r="754">
      <x:c r="A754" s="31" t="str">
        <x:v>36047042600</x:v>
      </x:c>
      <x:c r="B754" s="31" t="str">
        <x:v>Brooklyn</x:v>
      </x:c>
      <x:c r="C754" s="31" t="str">
        <x:v>042600</x:v>
      </x:c>
      <x:c r="D754" s="31" t="str">
        <x:v>BK1103</x:v>
      </x:c>
      <x:c r="E754" s="31" t="str">
        <x:v>Gravesend (West)</x:v>
      </x:c>
      <x:c r="F754" s="31" t="n">
        <x:v>0.06564110984095213</x:v>
      </x:c>
      <x:c r="G754" s="31" t="n">
        <x:v>40.605675156243784</x:v>
      </x:c>
      <x:c r="H754" s="31" t="n">
        <x:v>-73.98018901087102</x:v>
      </x:c>
      <x:c r="I754" s="31" t="n">
        <x:v>4350</x:v>
      </x:c>
      <x:c r="J754" s="31" t="n">
        <x:v>66269.44624397751</x:v>
      </x:c>
      <x:c r="K754" s="31"/>
      <x:c r="L754" s="40"/>
      <x:c r="M754" s="40"/>
      <x:c r="N754" s="31" t="n">
        <x:v>428</x:v>
      </x:c>
      <x:c r="O754" s="31" t="n">
        <x:v>1504</x:v>
      </x:c>
      <x:c r="P754" s="31" t="n">
        <x:v>3.4571143617021276</x:v>
      </x:c>
      <x:c r="Q754" s="40" t="n">
        <x:v>0</x:v>
      </x:c>
      <x:c r="R754" s="40" t="n">
        <x:v>0.5465425531914894</x:v>
      </x:c>
      <x:c r="S754" s="40" t="n">
        <x:v>0.0013297872340425532</x:v>
      </x:c>
      <x:c r="T754" s="31" t="n">
        <x:v>40.43573770025931</x:v>
      </x:c>
      <x:c r="U754" s="31" t="n">
        <x:v>82.18663619</x:v>
      </x:c>
      <x:c r="V754" s="31" t="n">
        <x:v>16</x:v>
      </x:c>
      <x:c r="W754" s="31" t="n">
        <x:v>3.67816091954023</x:v>
      </x:c>
      <x:c r="X754" s="31" t="n">
        <x:v>4</x:v>
      </x:c>
      <x:c r="Y754" s="40" t="n">
        <x:v>1</x:v>
      </x:c>
      <x:c r="Z754" s="40" t="n">
        <x:v>1</x:v>
      </x:c>
      <x:c r="AA754" s="40" t="n">
        <x:v>1</x:v>
      </x:c>
      <x:c r="AB754" s="31" t="n">
        <x:v>0.28523206385137995</x:v>
      </x:c>
      <x:c r="AC754" s="31" t="n">
        <x:v>8</x:v>
      </x:c>
      <x:c r="AD754" s="44" t="b">
        <x:v>1</x:v>
      </x:c>
    </x:row>
    <x:row r="755">
      <x:c r="A755" s="31" t="str">
        <x:v>36047042700</x:v>
      </x:c>
      <x:c r="B755" s="31" t="str">
        <x:v>Brooklyn</x:v>
      </x:c>
      <x:c r="C755" s="31" t="str">
        <x:v>042700</x:v>
      </x:c>
      <x:c r="D755" s="31" t="str">
        <x:v>BK0401</x:v>
      </x:c>
      <x:c r="E755" s="31" t="str">
        <x:v>Bushwick (West)</x:v>
      </x:c>
      <x:c r="F755" s="31" t="n">
        <x:v>0.057179235061194336</x:v>
      </x:c>
      <x:c r="G755" s="31" t="n">
        <x:v>40.70368185305077</x:v>
      </x:c>
      <x:c r="H755" s="31" t="n">
        <x:v>-73.92719113209034</x:v>
      </x:c>
      <x:c r="I755" s="31" t="n">
        <x:v>4920</x:v>
      </x:c>
      <x:c r="J755" s="31" t="n">
        <x:v>86045.22244368117</x:v>
      </x:c>
      <x:c r="K755" s="31"/>
      <x:c r="L755" s="40"/>
      <x:c r="M755" s="40"/>
      <x:c r="N755" s="31" t="n">
        <x:v>355</x:v>
      </x:c>
      <x:c r="O755" s="31" t="n">
        <x:v>1996</x:v>
      </x:c>
      <x:c r="P755" s="31" t="n">
        <x:v>3.4107142857142856</x:v>
      </x:c>
      <x:c r="Q755" s="40" t="n">
        <x:v>0</x:v>
      </x:c>
      <x:c r="R755" s="40" t="n">
        <x:v>0.9128256513026052</x:v>
      </x:c>
      <x:c r="S755" s="40" t="n">
        <x:v>0.002004008016032064</x:v>
      </x:c>
      <x:c r="T755" s="31" t="n">
        <x:v>41.36703461077078</x:v>
      </x:c>
      <x:c r="U755" s="31" t="n">
        <x:v>77.84055115</x:v>
      </x:c>
      <x:c r="V755" s="31" t="n">
        <x:v>5</x:v>
      </x:c>
      <x:c r="W755" s="31" t="n">
        <x:v>1.016260162601626</x:v>
      </x:c>
      <x:c r="X755" s="31" t="n">
        <x:v>4</x:v>
      </x:c>
      <x:c r="Y755" s="40" t="n">
        <x:v>1</x:v>
      </x:c>
      <x:c r="Z755" s="40" t="n">
        <x:v>1</x:v>
      </x:c>
      <x:c r="AA755" s="40" t="n">
        <x:v>0.9944889779559118</x:v>
      </x:c>
      <x:c r="AB755" s="31" t="n">
        <x:v>0.18913164864985701</x:v>
      </x:c>
      <x:c r="AC755" s="31" t="n">
        <x:v>5</x:v>
      </x:c>
      <x:c r="AD755" s="44" t="b">
        <x:v>1</x:v>
      </x:c>
    </x:row>
    <x:row r="756">
      <x:c r="A756" s="31" t="str">
        <x:v>36047042800</x:v>
      </x:c>
      <x:c r="B756" s="31" t="str">
        <x:v>Brooklyn</x:v>
      </x:c>
      <x:c r="C756" s="31" t="str">
        <x:v>042800</x:v>
      </x:c>
      <x:c r="D756" s="31" t="str">
        <x:v>BK1103</x:v>
      </x:c>
      <x:c r="E756" s="31" t="str">
        <x:v>Gravesend (West)</x:v>
      </x:c>
      <x:c r="F756" s="31" t="n">
        <x:v>0.06360414181983184</x:v>
      </x:c>
      <x:c r="G756" s="31" t="n">
        <x:v>40.6056456325383</x:v>
      </x:c>
      <x:c r="H756" s="31" t="n">
        <x:v>-73.98432666126895</x:v>
      </x:c>
      <x:c r="I756" s="31" t="n">
        <x:v>4290</x:v>
      </x:c>
      <x:c r="J756" s="31" t="n">
        <x:v>67448.43774721559</x:v>
      </x:c>
      <x:c r="K756" s="31"/>
      <x:c r="L756" s="40"/>
      <x:c r="M756" s="40"/>
      <x:c r="N756" s="31" t="n">
        <x:v>358</x:v>
      </x:c>
      <x:c r="O756" s="31" t="n">
        <x:v>1510</x:v>
      </x:c>
      <x:c r="P756" s="31" t="n">
        <x:v>4.433774834437086</x:v>
      </x:c>
      <x:c r="Q756" s="40" t="n">
        <x:v>0</x:v>
      </x:c>
      <x:c r="R756" s="40" t="n">
        <x:v>0.633774834437086</x:v>
      </x:c>
      <x:c r="S756" s="40" t="n">
        <x:v>0</x:v>
      </x:c>
      <x:c r="T756" s="31" t="n">
        <x:v>51.65191083855629</x:v>
      </x:c>
      <x:c r="U756" s="31" t="n">
        <x:v>94</x:v>
      </x:c>
      <x:c r="V756" s="31" t="n">
        <x:v>22</x:v>
      </x:c>
      <x:c r="W756" s="31" t="n">
        <x:v>5.128205128205129</x:v>
      </x:c>
      <x:c r="X756" s="31" t="n">
        <x:v>4</x:v>
      </x:c>
      <x:c r="Y756" s="40" t="n">
        <x:v>1</x:v>
      </x:c>
      <x:c r="Z756" s="40" t="n">
        <x:v>1</x:v>
      </x:c>
      <x:c r="AA756" s="40" t="n">
        <x:v>1</x:v>
      </x:c>
      <x:c r="AB756" s="31" t="n">
        <x:v>0.10025295339985017</x:v>
      </x:c>
      <x:c r="AC756" s="31" t="n">
        <x:v>7</x:v>
      </x:c>
      <x:c r="AD756" s="44" t="b">
        <x:v>1</x:v>
      </x:c>
    </x:row>
    <x:row r="757">
      <x:c r="A757" s="31" t="str">
        <x:v>36047042900</x:v>
      </x:c>
      <x:c r="B757" s="31" t="str">
        <x:v>Brooklyn</x:v>
      </x:c>
      <x:c r="C757" s="31" t="str">
        <x:v>042900</x:v>
      </x:c>
      <x:c r="D757" s="31" t="str">
        <x:v>BK0401</x:v>
      </x:c>
      <x:c r="E757" s="31" t="str">
        <x:v>Bushwick (West)</x:v>
      </x:c>
      <x:c r="F757" s="31" t="n">
        <x:v>0.06491895478363177</x:v>
      </x:c>
      <x:c r="G757" s="31" t="n">
        <x:v>40.701799222448706</x:v>
      </x:c>
      <x:c r="H757" s="31" t="n">
        <x:v>-73.92345587698405</x:v>
      </x:c>
      <x:c r="I757" s="31" t="n">
        <x:v>5556</x:v>
      </x:c>
      <x:c r="J757" s="31" t="n">
        <x:v>85583.63298542897</x:v>
      </x:c>
      <x:c r="K757" s="31"/>
      <x:c r="L757" s="40"/>
      <x:c r="M757" s="40"/>
      <x:c r="N757" s="31" t="n">
        <x:v>343</x:v>
      </x:c>
      <x:c r="O757" s="31" t="n">
        <x:v>2090</x:v>
      </x:c>
      <x:c r="P757" s="31" t="n">
        <x:v>3.5545454545454547</x:v>
      </x:c>
      <x:c r="Q757" s="40" t="n">
        <x:v>0.0430622009569378</x:v>
      </x:c>
      <x:c r="R757" s="40" t="n">
        <x:v>0.9416267942583733</x:v>
      </x:c>
      <x:c r="S757" s="40" t="n">
        <x:v>0.045933014354066985</x:v>
      </x:c>
      <x:c r="T757" s="31" t="n">
        <x:v>43.25596495109756</x:v>
      </x:c>
      <x:c r="U757" s="31" t="n">
        <x:v>128</x:v>
      </x:c>
      <x:c r="V757" s="31" t="n">
        <x:v>9</x:v>
      </x:c>
      <x:c r="W757" s="31" t="n">
        <x:v>1.6198704103671706</x:v>
      </x:c>
      <x:c r="X757" s="31" t="n">
        <x:v>4</x:v>
      </x:c>
      <x:c r="Y757" s="40" t="n">
        <x:v>1</x:v>
      </x:c>
      <x:c r="Z757" s="40" t="n">
        <x:v>1</x:v>
      </x:c>
      <x:c r="AA757" s="40" t="n">
        <x:v>0.9808612440191388</x:v>
      </x:c>
      <x:c r="AB757" s="31" t="n">
        <x:v>0.16721762250382494</x:v>
      </x:c>
      <x:c r="AC757" s="31" t="n">
        <x:v>7</x:v>
      </x:c>
      <x:c r="AD757" s="44" t="b">
        <x:v>1</x:v>
      </x:c>
    </x:row>
    <x:row r="758">
      <x:c r="A758" s="31" t="str">
        <x:v>36047043000</x:v>
      </x:c>
      <x:c r="B758" s="31" t="str">
        <x:v>Brooklyn</x:v>
      </x:c>
      <x:c r="C758" s="31" t="str">
        <x:v>043000</x:v>
      </x:c>
      <x:c r="D758" s="31" t="str">
        <x:v>BK1101</x:v>
      </x:c>
      <x:c r="E758" s="31" t="str">
        <x:v>Bensonhurst</x:v>
      </x:c>
      <x:c r="F758" s="31" t="n">
        <x:v>0.061743494472781796</x:v>
      </x:c>
      <x:c r="G758" s="31" t="n">
        <x:v>40.609247287893396</x:v>
      </x:c>
      <x:c r="H758" s="31" t="n">
        <x:v>-73.98420351629225</x:v>
      </x:c>
      <x:c r="I758" s="31" t="n">
        <x:v>3842</x:v>
      </x:c>
      <x:c r="J758" s="31" t="n">
        <x:v>62225.17907038219</x:v>
      </x:c>
      <x:c r="K758" s="31"/>
      <x:c r="L758" s="40"/>
      <x:c r="M758" s="40"/>
      <x:c r="N758" s="31" t="n">
        <x:v>251</x:v>
      </x:c>
      <x:c r="O758" s="31" t="n">
        <x:v>1348</x:v>
      </x:c>
      <x:c r="P758" s="31" t="n">
        <x:v>3.9465875370919883</x:v>
      </x:c>
      <x:c r="Q758" s="40" t="n">
        <x:v>0</x:v>
      </x:c>
      <x:c r="R758" s="40" t="n">
        <x:v>0.6275964391691394</x:v>
      </x:c>
      <x:c r="S758" s="40" t="n">
        <x:v>0.00370919881305638</x:v>
      </x:c>
      <x:c r="T758" s="31" t="n">
        <x:v>46.19844332923591</x:v>
      </x:c>
      <x:c r="U758" s="31" t="n">
        <x:v>76.99</x:v>
      </x:c>
      <x:c r="V758" s="31" t="n">
        <x:v>13</x:v>
      </x:c>
      <x:c r="W758" s="31" t="n">
        <x:v>3.38365434669443</x:v>
      </x:c>
      <x:c r="X758" s="31" t="n">
        <x:v>4</x:v>
      </x:c>
      <x:c r="Y758" s="40" t="n">
        <x:v>1</x:v>
      </x:c>
      <x:c r="Z758" s="40" t="n">
        <x:v>1</x:v>
      </x:c>
      <x:c r="AA758" s="40" t="n">
        <x:v>1</x:v>
      </x:c>
      <x:c r="AB758" s="31" t="n">
        <x:v>0.09527747380582541</x:v>
      </x:c>
      <x:c r="AC758" s="31" t="n">
        <x:v>8</x:v>
      </x:c>
      <x:c r="AD758" s="44" t="b">
        <x:v>1</x:v>
      </x:c>
    </x:row>
    <x:row r="759">
      <x:c r="A759" s="31" t="str">
        <x:v>36047043100</x:v>
      </x:c>
      <x:c r="B759" s="31" t="str">
        <x:v>Brooklyn</x:v>
      </x:c>
      <x:c r="C759" s="31" t="str">
        <x:v>043100</x:v>
      </x:c>
      <x:c r="D759" s="31" t="str">
        <x:v>BK0401</x:v>
      </x:c>
      <x:c r="E759" s="31" t="str">
        <x:v>Bushwick (West)</x:v>
      </x:c>
      <x:c r="F759" s="31" t="n">
        <x:v>0.06495303762375172</x:v>
      </x:c>
      <x:c r="G759" s="31" t="n">
        <x:v>40.69966047139515</x:v>
      </x:c>
      <x:c r="H759" s="31" t="n">
        <x:v>-73.919697964887</x:v>
      </x:c>
      <x:c r="I759" s="31" t="n">
        <x:v>4884</x:v>
      </x:c>
      <x:c r="J759" s="31" t="n">
        <x:v>75192.78818476755</x:v>
      </x:c>
      <x:c r="K759" s="31"/>
      <x:c r="L759" s="40"/>
      <x:c r="M759" s="40"/>
      <x:c r="N759" s="31" t="n">
        <x:v>354</x:v>
      </x:c>
      <x:c r="O759" s="31" t="n">
        <x:v>1867</x:v>
      </x:c>
      <x:c r="P759" s="31" t="n">
        <x:v>3.2791912158543117</x:v>
      </x:c>
      <x:c r="Q759" s="40" t="n">
        <x:v>0.026245313336904125</x:v>
      </x:c>
      <x:c r="R759" s="40" t="n">
        <x:v>0.9121585431173005</x:v>
      </x:c>
      <x:c r="S759" s="40" t="n">
        <x:v>0</x:v>
      </x:c>
      <x:c r="T759" s="31" t="n">
        <x:v>41.37319652851098</x:v>
      </x:c>
      <x:c r="U759" s="31" t="n">
        <x:v>96</x:v>
      </x:c>
      <x:c r="V759" s="31" t="n">
        <x:v>5</x:v>
      </x:c>
      <x:c r="W759" s="31" t="n">
        <x:v>1.0237510237510237</x:v>
      </x:c>
      <x:c r="X759" s="31" t="n">
        <x:v>4</x:v>
      </x:c>
      <x:c r="Y759" s="40" t="n">
        <x:v>1</x:v>
      </x:c>
      <x:c r="Z759" s="40" t="n">
        <x:v>1</x:v>
      </x:c>
      <x:c r="AA759" s="40" t="n">
        <x:v>1</x:v>
      </x:c>
      <x:c r="AB759" s="31" t="n">
        <x:v>0.11302516270134426</x:v>
      </x:c>
      <x:c r="AC759" s="31" t="n">
        <x:v>7</x:v>
      </x:c>
      <x:c r="AD759" s="44" t="b">
        <x:v>1</x:v>
      </x:c>
    </x:row>
    <x:row r="760">
      <x:c r="A760" s="31" t="str">
        <x:v>36047043200</x:v>
      </x:c>
      <x:c r="B760" s="31" t="str">
        <x:v>Brooklyn</x:v>
      </x:c>
      <x:c r="C760" s="31" t="str">
        <x:v>043200</x:v>
      </x:c>
      <x:c r="D760" s="31" t="str">
        <x:v>BK1101</x:v>
      </x:c>
      <x:c r="E760" s="31" t="str">
        <x:v>Bensonhurst</x:v>
      </x:c>
      <x:c r="F760" s="31" t="n">
        <x:v>0.057188256534808316</x:v>
      </x:c>
      <x:c r="G760" s="31" t="n">
        <x:v>40.610673003603566</x:v>
      </x:c>
      <x:c r="H760" s="31" t="n">
        <x:v>-73.98068809423552</x:v>
      </x:c>
      <x:c r="I760" s="31" t="n">
        <x:v>4514</x:v>
      </x:c>
      <x:c r="J760" s="31" t="n">
        <x:v>78932.2891361883</x:v>
      </x:c>
      <x:c r="K760" s="31"/>
      <x:c r="L760" s="40"/>
      <x:c r="M760" s="40"/>
      <x:c r="N760" s="31" t="n">
        <x:v>354</x:v>
      </x:c>
      <x:c r="O760" s="31" t="n">
        <x:v>1461</x:v>
      </x:c>
      <x:c r="P760" s="31" t="n">
        <x:v>3.75</x:v>
      </x:c>
      <x:c r="Q760" s="40" t="n">
        <x:v>0</x:v>
      </x:c>
      <x:c r="R760" s="40" t="n">
        <x:v>0.6652977412731006</x:v>
      </x:c>
      <x:c r="S760" s="40" t="n">
        <x:v>0.0034223134839151265</x:v>
      </x:c>
      <x:c r="T760" s="31" t="n">
        <x:v>42.805802539479096</x:v>
      </x:c>
      <x:c r="U760" s="31" t="n">
        <x:v>81</x:v>
      </x:c>
      <x:c r="V760" s="31" t="n">
        <x:v>17</x:v>
      </x:c>
      <x:c r="W760" s="31" t="n">
        <x:v>3.7660611431103233</x:v>
      </x:c>
      <x:c r="X760" s="31" t="n">
        <x:v>4</x:v>
      </x:c>
      <x:c r="Y760" s="40" t="n">
        <x:v>1</x:v>
      </x:c>
      <x:c r="Z760" s="40" t="n">
        <x:v>1</x:v>
      </x:c>
      <x:c r="AA760" s="40" t="n">
        <x:v>0.998631074606434</x:v>
      </x:c>
      <x:c r="AB760" s="31" t="n">
        <x:v>0.2913339561896653</x:v>
      </x:c>
      <x:c r="AC760" s="31" t="n">
        <x:v>7</x:v>
      </x:c>
      <x:c r="AD760" s="44" t="b">
        <x:v>1</x:v>
      </x:c>
    </x:row>
    <x:row r="761">
      <x:c r="A761" s="31" t="str">
        <x:v>36047043300</x:v>
      </x:c>
      <x:c r="B761" s="31" t="str">
        <x:v>Brooklyn</x:v>
      </x:c>
      <x:c r="C761" s="31" t="str">
        <x:v>043300</x:v>
      </x:c>
      <x:c r="D761" s="31" t="str">
        <x:v>BK0402</x:v>
      </x:c>
      <x:c r="E761" s="31" t="str">
        <x:v>Bushwick (East)</x:v>
      </x:c>
      <x:c r="F761" s="31" t="n">
        <x:v>0.0649599460392275</x:v>
      </x:c>
      <x:c r="G761" s="31" t="n">
        <x:v>40.69752206679469</x:v>
      </x:c>
      <x:c r="H761" s="31" t="n">
        <x:v>-73.91593860738271</x:v>
      </x:c>
      <x:c r="I761" s="31" t="n">
        <x:v>3843</x:v>
      </x:c>
      <x:c r="J761" s="31" t="n">
        <x:v>59159.53190107823</x:v>
      </x:c>
      <x:c r="K761" s="31"/>
      <x:c r="L761" s="40"/>
      <x:c r="M761" s="40"/>
      <x:c r="N761" s="31" t="n">
        <x:v>246</x:v>
      </x:c>
      <x:c r="O761" s="31" t="n">
        <x:v>1828</x:v>
      </x:c>
      <x:c r="P761" s="31" t="n">
        <x:v>5.398249452954048</x:v>
      </x:c>
      <x:c r="Q761" s="40" t="n">
        <x:v>0.19310722100656455</x:v>
      </x:c>
      <x:c r="R761" s="40" t="n">
        <x:v>0.75054704595186</x:v>
      </x:c>
      <x:c r="S761" s="40" t="n">
        <x:v>0.037199124726477024</x:v>
      </x:c>
      <x:c r="T761" s="31" t="n">
        <x:v>58.09435554015873</x:v>
      </x:c>
      <x:c r="U761" s="31" t="n">
        <x:v>136</x:v>
      </x:c>
      <x:c r="V761" s="31" t="n">
        <x:v>9</x:v>
      </x:c>
      <x:c r="W761" s="31" t="n">
        <x:v>2.34192037470726</x:v>
      </x:c>
      <x:c r="X761" s="31" t="n">
        <x:v>4</x:v>
      </x:c>
      <x:c r="Y761" s="40" t="n">
        <x:v>1</x:v>
      </x:c>
      <x:c r="Z761" s="40" t="n">
        <x:v>1</x:v>
      </x:c>
      <x:c r="AA761" s="40" t="n">
        <x:v>0.99945295404814</x:v>
      </x:c>
      <x:c r="AB761" s="31" t="n">
        <x:v>0.05055330474647644</x:v>
      </x:c>
      <x:c r="AC761" s="31" t="n">
        <x:v>6</x:v>
      </x:c>
      <x:c r="AD761" s="44" t="b">
        <x:v>1</x:v>
      </x:c>
    </x:row>
    <x:row r="762">
      <x:c r="A762" s="31" t="str">
        <x:v>36047043400</x:v>
      </x:c>
      <x:c r="B762" s="31" t="str">
        <x:v>Brooklyn</x:v>
      </x:c>
      <x:c r="C762" s="31" t="str">
        <x:v>043400</x:v>
      </x:c>
      <x:c r="D762" s="31" t="str">
        <x:v>BK1101</x:v>
      </x:c>
      <x:c r="E762" s="31" t="str">
        <x:v>Bensonhurst</x:v>
      </x:c>
      <x:c r="F762" s="31" t="n">
        <x:v>0.05413383522296832</x:v>
      </x:c>
      <x:c r="G762" s="31" t="n">
        <x:v>40.61005044201654</x:v>
      </x:c>
      <x:c r="H762" s="31" t="n">
        <x:v>-73.97693754066765</x:v>
      </x:c>
      <x:c r="I762" s="31" t="n">
        <x:v>3866</x:v>
      </x:c>
      <x:c r="J762" s="31" t="n">
        <x:v>71415.59403793552</x:v>
      </x:c>
      <x:c r="K762" s="31"/>
      <x:c r="L762" s="40"/>
      <x:c r="M762" s="40"/>
      <x:c r="N762" s="31" t="n">
        <x:v>319</x:v>
      </x:c>
      <x:c r="O762" s="31" t="n">
        <x:v>1373</x:v>
      </x:c>
      <x:c r="P762" s="31" t="n">
        <x:v>4.158048069919883</x:v>
      </x:c>
      <x:c r="Q762" s="40" t="n">
        <x:v>0</x:v>
      </x:c>
      <x:c r="R762" s="40" t="n">
        <x:v>0.7035688273852877</x:v>
      </x:c>
      <x:c r="S762" s="40" t="n">
        <x:v>0.031318281136198105</x:v>
      </x:c>
      <x:c r="T762" s="31" t="n">
        <x:v>46.18179182156134</x:v>
      </x:c>
      <x:c r="U762" s="31" t="n">
        <x:v>76</x:v>
      </x:c>
      <x:c r="V762" s="31" t="n">
        <x:v>23</x:v>
      </x:c>
      <x:c r="W762" s="31" t="n">
        <x:v>5.94930160372478</x:v>
      </x:c>
      <x:c r="X762" s="31" t="n">
        <x:v>4</x:v>
      </x:c>
      <x:c r="Y762" s="40" t="n">
        <x:v>1</x:v>
      </x:c>
      <x:c r="Z762" s="40" t="n">
        <x:v>1</x:v>
      </x:c>
      <x:c r="AA762" s="40" t="n">
        <x:v>0.9796067006554989</x:v>
      </x:c>
      <x:c r="AB762" s="31" t="n">
        <x:v>0.17794766380026744</x:v>
      </x:c>
      <x:c r="AC762" s="31" t="n">
        <x:v>5</x:v>
      </x:c>
      <x:c r="AD762" s="44" t="b">
        <x:v>1</x:v>
      </x:c>
    </x:row>
    <x:row r="763">
      <x:c r="A763" s="31" t="str">
        <x:v>36047043500</x:v>
      </x:c>
      <x:c r="B763" s="31" t="str">
        <x:v>Brooklyn</x:v>
      </x:c>
      <x:c r="C763" s="31" t="str">
        <x:v>043500</x:v>
      </x:c>
      <x:c r="D763" s="31" t="str">
        <x:v>BK0402</x:v>
      </x:c>
      <x:c r="E763" s="31" t="str">
        <x:v>Bushwick (East)</x:v>
      </x:c>
      <x:c r="F763" s="31" t="n">
        <x:v>0.06495692985537191</x:v>
      </x:c>
      <x:c r="G763" s="31" t="n">
        <x:v>40.69538321369754</x:v>
      </x:c>
      <x:c r="H763" s="31" t="n">
        <x:v>-73.91218077947232</x:v>
      </x:c>
      <x:c r="I763" s="31" t="n">
        <x:v>4709</x:v>
      </x:c>
      <x:c r="J763" s="31" t="n">
        <x:v>72494.18977289561</x:v>
      </x:c>
      <x:c r="K763" s="31"/>
      <x:c r="L763" s="40"/>
      <x:c r="M763" s="40"/>
      <x:c r="N763" s="31" t="n">
        <x:v>453</x:v>
      </x:c>
      <x:c r="O763" s="31" t="n">
        <x:v>1461</x:v>
      </x:c>
      <x:c r="P763" s="31" t="n">
        <x:v>2.8261464750171115</x:v>
      </x:c>
      <x:c r="Q763" s="40" t="n">
        <x:v>0</x:v>
      </x:c>
      <x:c r="R763" s="40" t="n">
        <x:v>0.6550308008213552</x:v>
      </x:c>
      <x:c r="S763" s="40" t="n">
        <x:v>0</x:v>
      </x:c>
      <x:c r="T763" s="31" t="n">
        <x:v>34.37122647352577</x:v>
      </x:c>
      <x:c r="U763" s="31" t="n">
        <x:v>59.04</x:v>
      </x:c>
      <x:c r="V763" s="31" t="n">
        <x:v>5</x:v>
      </x:c>
      <x:c r="W763" s="31" t="n">
        <x:v>1.0617965597791463</x:v>
      </x:c>
      <x:c r="X763" s="31" t="n">
        <x:v>4</x:v>
      </x:c>
      <x:c r="Y763" s="40" t="n">
        <x:v>1</x:v>
      </x:c>
      <x:c r="Z763" s="40" t="n">
        <x:v>1</x:v>
      </x:c>
      <x:c r="AA763" s="40" t="n">
        <x:v>0.9958932238193019</x:v>
      </x:c>
      <x:c r="AB763" s="31" t="n">
        <x:v>0.10075233059256913</x:v>
      </x:c>
      <x:c r="AC763" s="31" t="n">
        <x:v>5</x:v>
      </x:c>
      <x:c r="AD763" s="44" t="b">
        <x:v>1</x:v>
      </x:c>
    </x:row>
    <x:row r="764">
      <x:c r="A764" s="31" t="str">
        <x:v>36047043600</x:v>
      </x:c>
      <x:c r="B764" s="31" t="str">
        <x:v>Brooklyn</x:v>
      </x:c>
      <x:c r="C764" s="31" t="str">
        <x:v>043600</x:v>
      </x:c>
      <x:c r="D764" s="31" t="str">
        <x:v>BK1101</x:v>
      </x:c>
      <x:c r="E764" s="31" t="str">
        <x:v>Bensonhurst</x:v>
      </x:c>
      <x:c r="F764" s="31" t="n">
        <x:v>0.053098517029671714</x:v>
      </x:c>
      <x:c r="G764" s="31" t="n">
        <x:v>40.61312983817999</x:v>
      </x:c>
      <x:c r="H764" s="31" t="n">
        <x:v>-73.97785695116461</x:v>
      </x:c>
      <x:c r="I764" s="31" t="n">
        <x:v>4694</x:v>
      </x:c>
      <x:c r="J764" s="31" t="n">
        <x:v>88401.71557666987</x:v>
      </x:c>
      <x:c r="K764" s="31"/>
      <x:c r="L764" s="40"/>
      <x:c r="M764" s="40"/>
      <x:c r="N764" s="31" t="n">
        <x:v>328</x:v>
      </x:c>
      <x:c r="O764" s="31" t="n">
        <x:v>1580</x:v>
      </x:c>
      <x:c r="P764" s="31" t="n">
        <x:v>3.6681962025316457</x:v>
      </x:c>
      <x:c r="Q764" s="40" t="n">
        <x:v>0</x:v>
      </x:c>
      <x:c r="R764" s="40" t="n">
        <x:v>0.5373417721518987</x:v>
      </x:c>
      <x:c r="S764" s="40" t="n">
        <x:v>0.0006329113924050633</x:v>
      </x:c>
      <x:c r="T764" s="31" t="n">
        <x:v>41.74240506329114</x:v>
      </x:c>
      <x:c r="U764" s="31" t="n">
        <x:v>67.36</x:v>
      </x:c>
      <x:c r="V764" s="31" t="n">
        <x:v>12</x:v>
      </x:c>
      <x:c r="W764" s="31" t="n">
        <x:v>2.5564550489987217</x:v>
      </x:c>
      <x:c r="X764" s="31" t="n">
        <x:v>4</x:v>
      </x:c>
      <x:c r="Y764" s="40" t="n">
        <x:v>1</x:v>
      </x:c>
      <x:c r="Z764" s="40" t="n">
        <x:v>1</x:v>
      </x:c>
      <x:c r="AA764" s="40" t="n">
        <x:v>1</x:v>
      </x:c>
      <x:c r="AB764" s="31" t="n">
        <x:v>0.1583449669521237</x:v>
      </x:c>
      <x:c r="AC764" s="31" t="n">
        <x:v>8</x:v>
      </x:c>
      <x:c r="AD764" s="44" t="b">
        <x:v>1</x:v>
      </x:c>
    </x:row>
    <x:row r="765">
      <x:c r="A765" s="31" t="str">
        <x:v>36047043700</x:v>
      </x:c>
      <x:c r="B765" s="31" t="str">
        <x:v>Brooklyn</x:v>
      </x:c>
      <x:c r="C765" s="31" t="str">
        <x:v>043700</x:v>
      </x:c>
      <x:c r="D765" s="31" t="str">
        <x:v>BK0402</x:v>
      </x:c>
      <x:c r="E765" s="31" t="str">
        <x:v>Bushwick (East)</x:v>
      </x:c>
      <x:c r="F765" s="31" t="n">
        <x:v>0.06492423857072141</x:v>
      </x:c>
      <x:c r="G765" s="31" t="n">
        <x:v>40.69324509363821</x:v>
      </x:c>
      <x:c r="H765" s="31" t="n">
        <x:v>-73.9084241538322</x:v>
      </x:c>
      <x:c r="I765" s="31" t="n">
        <x:v>5282</x:v>
      </x:c>
      <x:c r="J765" s="31" t="n">
        <x:v>81356.36422206728</x:v>
      </x:c>
      <x:c r="K765" s="31"/>
      <x:c r="L765" s="40"/>
      <x:c r="M765" s="40"/>
      <x:c r="N765" s="31" t="n">
        <x:v>448</x:v>
      </x:c>
      <x:c r="O765" s="31" t="n">
        <x:v>1856</x:v>
      </x:c>
      <x:c r="P765" s="31" t="n">
        <x:v>2.990499457111835</x:v>
      </x:c>
      <x:c r="Q765" s="40" t="n">
        <x:v>0</x:v>
      </x:c>
      <x:c r="R765" s="40" t="n">
        <x:v>0.6681034482758621</x:v>
      </x:c>
      <x:c r="S765" s="40" t="n">
        <x:v>0</x:v>
      </x:c>
      <x:c r="T765" s="31" t="n">
        <x:v>38.77704775753529</x:v>
      </x:c>
      <x:c r="U765" s="31" t="n">
        <x:v>60</x:v>
      </x:c>
      <x:c r="V765" s="31" t="n">
        <x:v>8</x:v>
      </x:c>
      <x:c r="W765" s="31" t="n">
        <x:v>1.5145778114350623</x:v>
      </x:c>
      <x:c r="X765" s="31" t="n">
        <x:v>4.196120689655173</x:v>
      </x:c>
      <x:c r="Y765" s="40" t="n">
        <x:v>1</x:v>
      </x:c>
      <x:c r="Z765" s="40" t="n">
        <x:v>1</x:v>
      </x:c>
      <x:c r="AA765" s="40" t="n">
        <x:v>0.9924568965517241</x:v>
      </x:c>
      <x:c r="AB765" s="31" t="n">
        <x:v>0.012087329582453107</x:v>
      </x:c>
      <x:c r="AC765" s="31" t="n">
        <x:v>7</x:v>
      </x:c>
      <x:c r="AD765" s="44" t="b">
        <x:v>1</x:v>
      </x:c>
    </x:row>
    <x:row r="766">
      <x:c r="A766" s="31" t="str">
        <x:v>36047043800</x:v>
      </x:c>
      <x:c r="B766" s="31" t="str">
        <x:v>Brooklyn</x:v>
      </x:c>
      <x:c r="C766" s="31" t="str">
        <x:v>043800</x:v>
      </x:c>
      <x:c r="D766" s="31" t="str">
        <x:v>BK1204</x:v>
      </x:c>
      <x:c r="E766" s="31" t="str">
        <x:v>Mapleton-Midwood (West)</x:v>
      </x:c>
      <x:c r="F766" s="31" t="n">
        <x:v>0.059957909777820825</x:v>
      </x:c>
      <x:c r="G766" s="31" t="n">
        <x:v>40.610326817117354</x:v>
      </x:c>
      <x:c r="H766" s="31" t="n">
        <x:v>-73.97110681479386</x:v>
      </x:c>
      <x:c r="I766" s="31" t="n">
        <x:v>2905</x:v>
      </x:c>
      <x:c r="J766" s="31" t="n">
        <x:v>48450.65498054763</x:v>
      </x:c>
      <x:c r="K766" s="31"/>
      <x:c r="L766" s="40"/>
      <x:c r="M766" s="40"/>
      <x:c r="N766" s="31" t="n">
        <x:v>218</x:v>
      </x:c>
      <x:c r="O766" s="31" t="n">
        <x:v>1028</x:v>
      </x:c>
      <x:c r="P766" s="31" t="n">
        <x:v>4.4912451361867705</x:v>
      </x:c>
      <x:c r="Q766" s="40" t="n">
        <x:v>0</x:v>
      </x:c>
      <x:c r="R766" s="40" t="n">
        <x:v>0.6780155642023347</x:v>
      </x:c>
      <x:c r="S766" s="40" t="n">
        <x:v>0.0029182879377431907</x:v>
      </x:c>
      <x:c r="T766" s="31" t="n">
        <x:v>50.19319616333658</x:v>
      </x:c>
      <x:c r="U766" s="31" t="n">
        <x:v>79.50646728</x:v>
      </x:c>
      <x:c r="V766" s="31" t="n">
        <x:v>14</x:v>
      </x:c>
      <x:c r="W766" s="31" t="n">
        <x:v>4.819277108433735</x:v>
      </x:c>
      <x:c r="X766" s="31" t="n">
        <x:v>4</x:v>
      </x:c>
      <x:c r="Y766" s="40" t="n">
        <x:v>1</x:v>
      </x:c>
      <x:c r="Z766" s="40" t="n">
        <x:v>1</x:v>
      </x:c>
      <x:c r="AA766" s="40" t="n">
        <x:v>1</x:v>
      </x:c>
      <x:c r="AB766" s="31" t="n">
        <x:v>0.226232065291612</x:v>
      </x:c>
      <x:c r="AC766" s="31" t="n">
        <x:v>7</x:v>
      </x:c>
      <x:c r="AD766" s="44" t="b">
        <x:v>1</x:v>
      </x:c>
    </x:row>
    <x:row r="767">
      <x:c r="A767" s="31" t="str">
        <x:v>36047043900</x:v>
      </x:c>
      <x:c r="B767" s="31" t="str">
        <x:v>Brooklyn</x:v>
      </x:c>
      <x:c r="C767" s="31" t="str">
        <x:v>043900</x:v>
      </x:c>
      <x:c r="D767" s="31" t="str">
        <x:v>BK0402</x:v>
      </x:c>
      <x:c r="E767" s="31" t="str">
        <x:v>Bushwick (East)</x:v>
      </x:c>
      <x:c r="F767" s="31" t="n">
        <x:v>0.07725464395876377</x:v>
      </x:c>
      <x:c r="G767" s="31" t="n">
        <x:v>40.697471798844646</x:v>
      </x:c>
      <x:c r="H767" s="31" t="n">
        <x:v>-73.9093084505921</x:v>
      </x:c>
      <x:c r="I767" s="31" t="n">
        <x:v>4097</x:v>
      </x:c>
      <x:c r="J767" s="31" t="n">
        <x:v>53032.41061064052</x:v>
      </x:c>
      <x:c r="K767" s="31"/>
      <x:c r="L767" s="40"/>
      <x:c r="M767" s="40"/>
      <x:c r="N767" s="31" t="n">
        <x:v>417</x:v>
      </x:c>
      <x:c r="O767" s="31" t="n">
        <x:v>1494</x:v>
      </x:c>
      <x:c r="P767" s="31" t="n">
        <x:v>3.665994623655914</x:v>
      </x:c>
      <x:c r="Q767" s="40" t="n">
        <x:v>0.09103078982597054</x:v>
      </x:c>
      <x:c r="R767" s="40" t="n">
        <x:v>0.5562248995983936</x:v>
      </x:c>
      <x:c r="S767" s="40" t="n">
        <x:v>0.004016064257028112</x:v>
      </x:c>
      <x:c r="T767" s="31" t="n">
        <x:v>40.97943907289491</x:v>
      </x:c>
      <x:c r="U767" s="31" t="n">
        <x:v>120</x:v>
      </x:c>
      <x:c r="V767" s="31" t="n">
        <x:v>16</x:v>
      </x:c>
      <x:c r="W767" s="31" t="n">
        <x:v>3.9052965584574078</x:v>
      </x:c>
      <x:c r="X767" s="31" t="n">
        <x:v>4</x:v>
      </x:c>
      <x:c r="Y767" s="40" t="n">
        <x:v>1</x:v>
      </x:c>
      <x:c r="Z767" s="40" t="n">
        <x:v>1</x:v>
      </x:c>
      <x:c r="AA767" s="40" t="n">
        <x:v>0.9872824631860776</x:v>
      </x:c>
      <x:c r="AB767" s="31" t="n">
        <x:v>0.14072898618610516</x:v>
      </x:c>
      <x:c r="AC767" s="31" t="n">
        <x:v>8</x:v>
      </x:c>
      <x:c r="AD767" s="44" t="b">
        <x:v>1</x:v>
      </x:c>
    </x:row>
    <x:row r="768">
      <x:c r="A768" s="31" t="str">
        <x:v>36047044000</x:v>
      </x:c>
      <x:c r="B768" s="31" t="str">
        <x:v>Brooklyn</x:v>
      </x:c>
      <x:c r="C768" s="31" t="str">
        <x:v>044000</x:v>
      </x:c>
      <x:c r="D768" s="31" t="str">
        <x:v>BK1204</x:v>
      </x:c>
      <x:c r="E768" s="31" t="str">
        <x:v>Mapleton-Midwood (West)</x:v>
      </x:c>
      <x:c r="F768" s="31" t="n">
        <x:v>0.07796464667699725</x:v>
      </x:c>
      <x:c r="G768" s="31" t="n">
        <x:v>40.613036133578085</x:v>
      </x:c>
      <x:c r="H768" s="31" t="n">
        <x:v>-73.97097362926947</x:v>
      </x:c>
      <x:c r="I768" s="31" t="n">
        <x:v>2878</x:v>
      </x:c>
      <x:c r="J768" s="31" t="n">
        <x:v>36914.16715993568</x:v>
      </x:c>
      <x:c r="K768" s="31"/>
      <x:c r="L768" s="40"/>
      <x:c r="M768" s="40"/>
      <x:c r="N768" s="31" t="n">
        <x:v>381</x:v>
      </x:c>
      <x:c r="O768" s="31" t="n">
        <x:v>965</x:v>
      </x:c>
      <x:c r="P768" s="31" t="n">
        <x:v>3.3816062176165804</x:v>
      </x:c>
      <x:c r="Q768" s="40" t="n">
        <x:v>0</x:v>
      </x:c>
      <x:c r="R768" s="40" t="n">
        <x:v>0.41658031088082903</x:v>
      </x:c>
      <x:c r="S768" s="40" t="n">
        <x:v>0.014507772020725389</x:v>
      </x:c>
      <x:c r="T768" s="31" t="n">
        <x:v>40.4532092845464</x:v>
      </x:c>
      <x:c r="U768" s="31" t="n">
        <x:v>88</x:v>
      </x:c>
      <x:c r="V768" s="31" t="n">
        <x:v>8</x:v>
      </x:c>
      <x:c r="W768" s="31" t="n">
        <x:v>2.779708130646282</x:v>
      </x:c>
      <x:c r="X768" s="31" t="n">
        <x:v>4</x:v>
      </x:c>
      <x:c r="Y768" s="40" t="n">
        <x:v>1</x:v>
      </x:c>
      <x:c r="Z768" s="40" t="n">
        <x:v>1</x:v>
      </x:c>
      <x:c r="AA768" s="40" t="n">
        <x:v>0.9937823834196892</x:v>
      </x:c>
      <x:c r="AB768" s="31" t="n">
        <x:v>0.33264614586763125</x:v>
      </x:c>
      <x:c r="AC768" s="31" t="n">
        <x:v>5</x:v>
      </x:c>
      <x:c r="AD768" s="44" t="b">
        <x:v>1</x:v>
      </x:c>
    </x:row>
    <x:row r="769">
      <x:c r="A769" s="31" t="str">
        <x:v>36047044100</x:v>
      </x:c>
      <x:c r="B769" s="31" t="str">
        <x:v>Brooklyn</x:v>
      </x:c>
      <x:c r="C769" s="31" t="str">
        <x:v>044100</x:v>
      </x:c>
      <x:c r="D769" s="31" t="str">
        <x:v>BK0401</x:v>
      </x:c>
      <x:c r="E769" s="31" t="str">
        <x:v>Bushwick (West)</x:v>
      </x:c>
      <x:c r="F769" s="31" t="n">
        <x:v>0.05482999653208219</x:v>
      </x:c>
      <x:c r="G769" s="31" t="n">
        <x:v>40.701422713876774</x:v>
      </x:c>
      <x:c r="H769" s="31" t="n">
        <x:v>-73.91405197999363</x:v>
      </x:c>
      <x:c r="I769" s="31" t="n">
        <x:v>5526</x:v>
      </x:c>
      <x:c r="J769" s="31" t="n">
        <x:v>100784.24857763069</x:v>
      </x:c>
      <x:c r="K769" s="31"/>
      <x:c r="L769" s="40"/>
      <x:c r="M769" s="40"/>
      <x:c r="N769" s="31" t="n">
        <x:v>383</x:v>
      </x:c>
      <x:c r="O769" s="31" t="n">
        <x:v>1939</x:v>
      </x:c>
      <x:c r="P769" s="31" t="n">
        <x:v>3.779783393501805</x:v>
      </x:c>
      <x:c r="Q769" s="40" t="n">
        <x:v>0.030428055698813822</x:v>
      </x:c>
      <x:c r="R769" s="40" t="n">
        <x:v>0.9045899948427024</x:v>
      </x:c>
      <x:c r="S769" s="40" t="n">
        <x:v>0.0020629190304280558</x:v>
      </x:c>
      <x:c r="T769" s="31" t="n">
        <x:v>42.82453071309289</x:v>
      </x:c>
      <x:c r="U769" s="31" t="n">
        <x:v>140.21052007</x:v>
      </x:c>
      <x:c r="V769" s="31" t="n">
        <x:v>14</x:v>
      </x:c>
      <x:c r="W769" s="31" t="n">
        <x:v>2.5334781035106766</x:v>
      </x:c>
      <x:c r="X769" s="31" t="n">
        <x:v>4</x:v>
      </x:c>
      <x:c r="Y769" s="40" t="n">
        <x:v>1</x:v>
      </x:c>
      <x:c r="Z769" s="40" t="n">
        <x:v>1</x:v>
      </x:c>
      <x:c r="AA769" s="40" t="n">
        <x:v>0.9938112429087158</x:v>
      </x:c>
      <x:c r="AB769" s="31" t="n">
        <x:v>0.19889772005160067</x:v>
      </x:c>
      <x:c r="AC769" s="31" t="n">
        <x:v>6</x:v>
      </x:c>
      <x:c r="AD769" s="44" t="b">
        <x:v>1</x:v>
      </x:c>
    </x:row>
    <x:row r="770">
      <x:c r="A770" s="31" t="str">
        <x:v>36047044200</x:v>
      </x:c>
      <x:c r="B770" s="31" t="str">
        <x:v>Brooklyn</x:v>
      </x:c>
      <x:c r="C770" s="31" t="str">
        <x:v>044200</x:v>
      </x:c>
      <x:c r="D770" s="31" t="str">
        <x:v>BK1204</x:v>
      </x:c>
      <x:c r="E770" s="31" t="str">
        <x:v>Mapleton-Midwood (West)</x:v>
      </x:c>
      <x:c r="F770" s="31" t="n">
        <x:v>0.07062944924995695</x:v>
      </x:c>
      <x:c r="G770" s="31" t="n">
        <x:v>40.61239665322664</x:v>
      </x:c>
      <x:c r="H770" s="31" t="n">
        <x:v>-73.96559547662945</x:v>
      </x:c>
      <x:c r="I770" s="31" t="n">
        <x:v>2631</x:v>
      </x:c>
      <x:c r="J770" s="31" t="n">
        <x:v>37250.75061379731</x:v>
      </x:c>
      <x:c r="K770" s="31"/>
      <x:c r="L770" s="40"/>
      <x:c r="M770" s="40"/>
      <x:c r="N770" s="31" t="n">
        <x:v>345</x:v>
      </x:c>
      <x:c r="O770" s="31" t="n">
        <x:v>938</x:v>
      </x:c>
      <x:c r="P770" s="31" t="n">
        <x:v>3.366151385927505</x:v>
      </x:c>
      <x:c r="Q770" s="40" t="n">
        <x:v>0</x:v>
      </x:c>
      <x:c r="R770" s="40" t="n">
        <x:v>0.5287846481876333</x:v>
      </x:c>
      <x:c r="S770" s="40" t="n">
        <x:v>0.0031982942430703624</x:v>
      </x:c>
      <x:c r="T770" s="31" t="n">
        <x:v>39.818192422038415</x:v>
      </x:c>
      <x:c r="U770" s="31" t="n">
        <x:v>66.52</x:v>
      </x:c>
      <x:c r="V770" s="31" t="n">
        <x:v>15</x:v>
      </x:c>
      <x:c r="W770" s="31" t="n">
        <x:v>5.701254275940707</x:v>
      </x:c>
      <x:c r="X770" s="31" t="n">
        <x:v>4</x:v>
      </x:c>
      <x:c r="Y770" s="40" t="n">
        <x:v>1</x:v>
      </x:c>
      <x:c r="Z770" s="40" t="n">
        <x:v>1</x:v>
      </x:c>
      <x:c r="AA770" s="40" t="n">
        <x:v>0.9989339019189766</x:v>
      </x:c>
      <x:c r="AB770" s="31" t="n">
        <x:v>0.1261661048607914</x:v>
      </x:c>
      <x:c r="AC770" s="31" t="n">
        <x:v>8</x:v>
      </x:c>
      <x:c r="AD770" s="44" t="b">
        <x:v>1</x:v>
      </x:c>
    </x:row>
    <x:row r="771">
      <x:c r="A771" s="31" t="str">
        <x:v>36047044300</x:v>
      </x:c>
      <x:c r="B771" s="31" t="str">
        <x:v>Brooklyn</x:v>
      </x:c>
      <x:c r="C771" s="31" t="str">
        <x:v>044300</x:v>
      </x:c>
      <x:c r="D771" s="31" t="str">
        <x:v>BK0401</x:v>
      </x:c>
      <x:c r="E771" s="31" t="str">
        <x:v>Bushwick (West)</x:v>
      </x:c>
      <x:c r="F771" s="31" t="n">
        <x:v>0.06477236593133036</x:v>
      </x:c>
      <x:c r="G771" s="31" t="n">
        <x:v>40.7033043543127</x:v>
      </x:c>
      <x:c r="H771" s="31" t="n">
        <x:v>-73.91668572818513</x:v>
      </x:c>
      <x:c r="I771" s="31" t="n">
        <x:v>5195</x:v>
      </x:c>
      <x:c r="J771" s="31" t="n">
        <x:v>80203.95619804249</x:v>
      </x:c>
      <x:c r="K771" s="31"/>
      <x:c r="L771" s="40"/>
      <x:c r="M771" s="40"/>
      <x:c r="N771" s="31" t="n">
        <x:v>408</x:v>
      </x:c>
      <x:c r="O771" s="31" t="n">
        <x:v>2057</x:v>
      </x:c>
      <x:c r="P771" s="31" t="n">
        <x:v>3.378220709771512</x:v>
      </x:c>
      <x:c r="Q771" s="40" t="n">
        <x:v>0</x:v>
      </x:c>
      <x:c r="R771" s="40" t="n">
        <x:v>0.9110354885755956</x:v>
      </x:c>
      <x:c r="S771" s="40" t="n">
        <x:v>0.022848808945065628</x:v>
      </x:c>
      <x:c r="T771" s="31" t="n">
        <x:v>40.55733916067703</x:v>
      </x:c>
      <x:c r="U771" s="31" t="n">
        <x:v>85</x:v>
      </x:c>
      <x:c r="V771" s="31" t="n">
        <x:v>15</x:v>
      </x:c>
      <x:c r="W771" s="31" t="n">
        <x:v>2.8873917228103942</x:v>
      </x:c>
      <x:c r="X771" s="31" t="n">
        <x:v>4</x:v>
      </x:c>
      <x:c r="Y771" s="40" t="n">
        <x:v>1</x:v>
      </x:c>
      <x:c r="Z771" s="40" t="n">
        <x:v>1</x:v>
      </x:c>
      <x:c r="AA771" s="40" t="n">
        <x:v>0.9693728731161886</x:v>
      </x:c>
      <x:c r="AB771" s="31" t="n">
        <x:v>0.19407579462726648</x:v>
      </x:c>
      <x:c r="AC771" s="31" t="n">
        <x:v>6</x:v>
      </x:c>
      <x:c r="AD771" s="44" t="b">
        <x:v>1</x:v>
      </x:c>
    </x:row>
    <x:row r="772">
      <x:c r="A772" s="31" t="str">
        <x:v>36047044400</x:v>
      </x:c>
      <x:c r="B772" s="31" t="str">
        <x:v>Brooklyn</x:v>
      </x:c>
      <x:c r="C772" s="31" t="str">
        <x:v>044400</x:v>
      </x:c>
      <x:c r="D772" s="31" t="str">
        <x:v>BK1204</x:v>
      </x:c>
      <x:c r="E772" s="31" t="str">
        <x:v>Mapleton-Midwood (West)</x:v>
      </x:c>
      <x:c r="F772" s="31" t="n">
        <x:v>0.067367207977861</x:v>
      </x:c>
      <x:c r="G772" s="31" t="n">
        <x:v>40.61576666297016</x:v>
      </x:c>
      <x:c r="H772" s="31" t="n">
        <x:v>-73.9693221238738</x:v>
      </x:c>
      <x:c r="I772" s="31" t="n">
        <x:v>3260</x:v>
      </x:c>
      <x:c r="J772" s="31" t="n">
        <x:v>48391.49636528412</x:v>
      </x:c>
      <x:c r="K772" s="31"/>
      <x:c r="L772" s="40"/>
      <x:c r="M772" s="40"/>
      <x:c r="N772" s="31" t="n">
        <x:v>372</x:v>
      </x:c>
      <x:c r="O772" s="31" t="n">
        <x:v>1226</x:v>
      </x:c>
      <x:c r="P772" s="31" t="n">
        <x:v>4.718800978792822</x:v>
      </x:c>
      <x:c r="Q772" s="40" t="n">
        <x:v>0.14355628058727568</x:v>
      </x:c>
      <x:c r="R772" s="40" t="n">
        <x:v>0.3539967373572594</x:v>
      </x:c>
      <x:c r="S772" s="40" t="n">
        <x:v>0.0016313213703099511</x:v>
      </x:c>
      <x:c r="T772" s="31" t="n">
        <x:v>50.33238818028665</x:v>
      </x:c>
      <x:c r="U772" s="31" t="n">
        <x:v>123.76</x:v>
      </x:c>
      <x:c r="V772" s="31" t="n">
        <x:v>10</x:v>
      </x:c>
      <x:c r="W772" s="31" t="n">
        <x:v>3.067484662576687</x:v>
      </x:c>
      <x:c r="X772" s="31" t="n">
        <x:v>4</x:v>
      </x:c>
      <x:c r="Y772" s="40" t="n">
        <x:v>1</x:v>
      </x:c>
      <x:c r="Z772" s="40" t="n">
        <x:v>1</x:v>
      </x:c>
      <x:c r="AA772" s="40" t="n">
        <x:v>0.9959216965742251</x:v>
      </x:c>
      <x:c r="AB772" s="31" t="n">
        <x:v>0.3326413940272053</x:v>
      </x:c>
      <x:c r="AC772" s="31" t="n">
        <x:v>6</x:v>
      </x:c>
      <x:c r="AD772" s="44" t="b">
        <x:v>1</x:v>
      </x:c>
    </x:row>
    <x:row r="773">
      <x:c r="A773" s="31" t="str">
        <x:v>36047044500</x:v>
      </x:c>
      <x:c r="B773" s="31" t="str">
        <x:v>Brooklyn</x:v>
      </x:c>
      <x:c r="C773" s="31" t="str">
        <x:v>044500</x:v>
      </x:c>
      <x:c r="D773" s="31" t="str">
        <x:v>BK0401</x:v>
      </x:c>
      <x:c r="E773" s="31" t="str">
        <x:v>Bushwick (West)</x:v>
      </x:c>
      <x:c r="F773" s="31" t="n">
        <x:v>0.0655509600439767</x:v>
      </x:c>
      <x:c r="G773" s="31" t="n">
        <x:v>40.705036043505764</x:v>
      </x:c>
      <x:c r="H773" s="31" t="n">
        <x:v>-73.91967150645587</x:v>
      </x:c>
      <x:c r="I773" s="31" t="n">
        <x:v>4207</x:v>
      </x:c>
      <x:c r="J773" s="31" t="n">
        <x:v>64179.07529008905</x:v>
      </x:c>
      <x:c r="K773" s="31"/>
      <x:c r="L773" s="40"/>
      <x:c r="M773" s="40"/>
      <x:c r="N773" s="31" t="n">
        <x:v>389</x:v>
      </x:c>
      <x:c r="O773" s="31" t="n">
        <x:v>1784</x:v>
      </x:c>
      <x:c r="P773" s="31" t="n">
        <x:v>3.5456100342075256</x:v>
      </x:c>
      <x:c r="Q773" s="40" t="n">
        <x:v>0.08688340807174888</x:v>
      </x:c>
      <x:c r="R773" s="40" t="n">
        <x:v>0.6832959641255605</x:v>
      </x:c>
      <x:c r="S773" s="40" t="n">
        <x:v>0.005605381165919282</x:v>
      </x:c>
      <x:c r="T773" s="31" t="n">
        <x:v>36.01268702891816</x:v>
      </x:c>
      <x:c r="U773" s="31" t="n">
        <x:v>100</x:v>
      </x:c>
      <x:c r="V773" s="31" t="n">
        <x:v>16</x:v>
      </x:c>
      <x:c r="W773" s="31" t="n">
        <x:v>3.8031851675778463</x:v>
      </x:c>
      <x:c r="X773" s="31" t="n">
        <x:v>4</x:v>
      </x:c>
      <x:c r="Y773" s="40" t="n">
        <x:v>1</x:v>
      </x:c>
      <x:c r="Z773" s="40" t="n">
        <x:v>1</x:v>
      </x:c>
      <x:c r="AA773" s="40" t="n">
        <x:v>1</x:v>
      </x:c>
      <x:c r="AB773" s="31" t="n">
        <x:v>0.11828303530379566</x:v>
      </x:c>
      <x:c r="AC773" s="31" t="n">
        <x:v>5</x:v>
      </x:c>
      <x:c r="AD773" s="44" t="b">
        <x:v>1</x:v>
      </x:c>
    </x:row>
    <x:row r="774">
      <x:c r="A774" s="31" t="str">
        <x:v>36047044600</x:v>
      </x:c>
      <x:c r="B774" s="31" t="str">
        <x:v>Brooklyn</x:v>
      </x:c>
      <x:c r="C774" s="31" t="str">
        <x:v>044600</x:v>
      </x:c>
      <x:c r="D774" s="31" t="str">
        <x:v>BK1204</x:v>
      </x:c>
      <x:c r="E774" s="31" t="str">
        <x:v>Mapleton-Midwood (West)</x:v>
      </x:c>
      <x:c r="F774" s="31" t="n">
        <x:v>0.054647423084538564</x:v>
      </x:c>
      <x:c r="G774" s="31" t="n">
        <x:v>40.615230311733626</x:v>
      </x:c>
      <x:c r="H774" s="31" t="n">
        <x:v>-73.97605722195772</x:v>
      </x:c>
      <x:c r="I774" s="31" t="n">
        <x:v>2026</x:v>
      </x:c>
      <x:c r="J774" s="31" t="n">
        <x:v>37074.02628786018</x:v>
      </x:c>
      <x:c r="K774" s="31"/>
      <x:c r="L774" s="40"/>
      <x:c r="M774" s="40"/>
      <x:c r="N774" s="31" t="n">
        <x:v>244</x:v>
      </x:c>
      <x:c r="O774" s="31" t="n">
        <x:v>688</x:v>
      </x:c>
      <x:c r="P774" s="31" t="n">
        <x:v>2.5025436046511627</x:v>
      </x:c>
      <x:c r="Q774" s="40" t="n">
        <x:v>0</x:v>
      </x:c>
      <x:c r="R774" s="40" t="n">
        <x:v>0.2703488372093023</x:v>
      </x:c>
      <x:c r="S774" s="40" t="n">
        <x:v>0.0188953488372093</x:v>
      </x:c>
      <x:c r="T774" s="31" t="n">
        <x:v>29.681031976744183</x:v>
      </x:c>
      <x:c r="U774" s="31" t="n">
        <x:v>79</x:v>
      </x:c>
      <x:c r="V774" s="31" t="n">
        <x:v>4</x:v>
      </x:c>
      <x:c r="W774" s="31" t="n">
        <x:v>1.9743336623889436</x:v>
      </x:c>
      <x:c r="X774" s="31" t="n">
        <x:v>4</x:v>
      </x:c>
      <x:c r="Y774" s="40" t="n">
        <x:v>1</x:v>
      </x:c>
      <x:c r="Z774" s="40" t="n">
        <x:v>1</x:v>
      </x:c>
      <x:c r="AA774" s="40" t="n">
        <x:v>1</x:v>
      </x:c>
      <x:c r="AB774" s="31" t="n">
        <x:v>0.047603901569050845</x:v>
      </x:c>
      <x:c r="AC774" s="31" t="n">
        <x:v>6</x:v>
      </x:c>
      <x:c r="AD774" s="44" t="b">
        <x:v>1</x:v>
      </x:c>
    </x:row>
    <x:row r="775">
      <x:c r="A775" s="31" t="str">
        <x:v>36047044700</x:v>
      </x:c>
      <x:c r="B775" s="31" t="str">
        <x:v>Brooklyn</x:v>
      </x:c>
      <x:c r="C775" s="31" t="str">
        <x:v>044700</x:v>
      </x:c>
      <x:c r="D775" s="31" t="str">
        <x:v>BK0401</x:v>
      </x:c>
      <x:c r="E775" s="31" t="str">
        <x:v>Bushwick (West)</x:v>
      </x:c>
      <x:c r="F775" s="31" t="n">
        <x:v>0.06285312646529213</x:v>
      </x:c>
      <x:c r="G775" s="31" t="n">
        <x:v>40.70669102205903</x:v>
      </x:c>
      <x:c r="H775" s="31" t="n">
        <x:v>-73.92261772882303</x:v>
      </x:c>
      <x:c r="I775" s="31" t="n">
        <x:v>2459</x:v>
      </x:c>
      <x:c r="J775" s="31" t="n">
        <x:v>39122.954390468934</x:v>
      </x:c>
      <x:c r="K775" s="31"/>
      <x:c r="L775" s="40"/>
      <x:c r="M775" s="40"/>
      <x:c r="N775" s="31" t="n">
        <x:v>124</x:v>
      </x:c>
      <x:c r="O775" s="31" t="n">
        <x:v>879</x:v>
      </x:c>
      <x:c r="P775" s="31" t="n">
        <x:v>3.1888509670079634</x:v>
      </x:c>
      <x:c r="Q775" s="40" t="n">
        <x:v>0</x:v>
      </x:c>
      <x:c r="R775" s="40" t="n">
        <x:v>0.875995449374289</x:v>
      </x:c>
      <x:c r="S775" s="40" t="n">
        <x:v>0</x:v>
      </x:c>
      <x:c r="T775" s="31" t="n">
        <x:v>40.907647972491475</x:v>
      </x:c>
      <x:c r="U775" s="31" t="n">
        <x:v>55.83</x:v>
      </x:c>
      <x:c r="V775" s="31" t="n">
        <x:v>7</x:v>
      </x:c>
      <x:c r="W775" s="31" t="n">
        <x:v>2.8466856445709636</x:v>
      </x:c>
      <x:c r="X775" s="31" t="n">
        <x:v>4</x:v>
      </x:c>
      <x:c r="Y775" s="40" t="n">
        <x:v>1</x:v>
      </x:c>
      <x:c r="Z775" s="40" t="n">
        <x:v>1</x:v>
      </x:c>
      <x:c r="AA775" s="40" t="n">
        <x:v>1</x:v>
      </x:c>
      <x:c r="AB775" s="31" t="n">
        <x:v>0.15217990286349747</x:v>
      </x:c>
      <x:c r="AC775" s="31" t="n">
        <x:v>6</x:v>
      </x:c>
      <x:c r="AD775" s="44" t="b">
        <x:v>1</x:v>
      </x:c>
    </x:row>
    <x:row r="776">
      <x:c r="A776" s="31" t="str">
        <x:v>36047044800</x:v>
      </x:c>
      <x:c r="B776" s="31" t="str">
        <x:v>Brooklyn</x:v>
      </x:c>
      <x:c r="C776" s="31" t="str">
        <x:v>044800</x:v>
      </x:c>
      <x:c r="D776" s="31" t="str">
        <x:v>BK1204</x:v>
      </x:c>
      <x:c r="E776" s="31" t="str">
        <x:v>Mapleton-Midwood (West)</x:v>
      </x:c>
      <x:c r="F776" s="31" t="n">
        <x:v>0.08680477872618227</x:v>
      </x:c>
      <x:c r="G776" s="31" t="n">
        <x:v>40.618117152282124</x:v>
      </x:c>
      <x:c r="H776" s="31" t="n">
        <x:v>-73.97325713811811</x:v>
      </x:c>
      <x:c r="I776" s="31" t="n">
        <x:v>1965</x:v>
      </x:c>
      <x:c r="J776" s="31" t="n">
        <x:v>22637.002580219836</x:v>
      </x:c>
      <x:c r="K776" s="31"/>
      <x:c r="L776" s="40"/>
      <x:c r="M776" s="40"/>
      <x:c r="N776" s="31" t="n">
        <x:v>198</x:v>
      </x:c>
      <x:c r="O776" s="31" t="n">
        <x:v>873</x:v>
      </x:c>
      <x:c r="P776" s="31" t="n">
        <x:v>5.906930126002291</x:v>
      </x:c>
      <x:c r="Q776" s="40" t="n">
        <x:v>0.1775486827033219</x:v>
      </x:c>
      <x:c r="R776" s="40" t="n">
        <x:v>0.5406643757159221</x:v>
      </x:c>
      <x:c r="S776" s="40" t="n">
        <x:v>0.001145475372279496</x:v>
      </x:c>
      <x:c r="T776" s="31" t="n">
        <x:v>61.5607067186598</x:v>
      </x:c>
      <x:c r="U776" s="31" t="n">
        <x:v>113.03</x:v>
      </x:c>
      <x:c r="V776" s="31" t="n">
        <x:v>15</x:v>
      </x:c>
      <x:c r="W776" s="31" t="n">
        <x:v>7.633587786259541</x:v>
      </x:c>
      <x:c r="X776" s="31" t="n">
        <x:v>4</x:v>
      </x:c>
      <x:c r="Y776" s="40" t="n">
        <x:v>1</x:v>
      </x:c>
      <x:c r="Z776" s="40" t="n">
        <x:v>1</x:v>
      </x:c>
      <x:c r="AA776" s="40" t="n">
        <x:v>1</x:v>
      </x:c>
      <x:c r="AB776" s="31" t="n">
        <x:v>0.2108029220510864</x:v>
      </x:c>
      <x:c r="AC776" s="31" t="n">
        <x:v>7</x:v>
      </x:c>
      <x:c r="AD776" s="44" t="b">
        <x:v>1</x:v>
      </x:c>
    </x:row>
    <x:row r="777">
      <x:c r="A777" s="31" t="str">
        <x:v>36047044901</x:v>
      </x:c>
      <x:c r="B777" s="31" t="str">
        <x:v>Brooklyn</x:v>
      </x:c>
      <x:c r="C777" s="31" t="str">
        <x:v>044901</x:v>
      </x:c>
      <x:c r="D777" s="31" t="str">
        <x:v>BK0104</x:v>
      </x:c>
      <x:c r="E777" s="31" t="str">
        <x:v>East Williamsburg</x:v>
      </x:c>
      <x:c r="F777" s="31" t="n">
        <x:v>0.14859721616771407</x:v>
      </x:c>
      <x:c r="G777" s="31" t="n">
        <x:v>40.7197595852009</x:v>
      </x:c>
      <x:c r="H777" s="31" t="n">
        <x:v>-73.93796885545979</x:v>
      </x:c>
      <x:c r="I777" s="31" t="n">
        <x:v>2694</x:v>
      </x:c>
      <x:c r="J777" s="31" t="n">
        <x:v>18129.545555950524</x:v>
      </x:c>
      <x:c r="K777" s="31"/>
      <x:c r="L777" s="40"/>
      <x:c r="M777" s="40"/>
      <x:c r="N777" s="31" t="n">
        <x:v>130</x:v>
      </x:c>
      <x:c r="O777" s="31" t="n">
        <x:v>1132</x:v>
      </x:c>
      <x:c r="P777" s="31" t="n">
        <x:v>6.137046861184793</x:v>
      </x:c>
      <x:c r="Q777" s="40" t="n">
        <x:v>0</x:v>
      </x:c>
      <x:c r="R777" s="40" t="n">
        <x:v>0.838339222614841</x:v>
      </x:c>
      <x:c r="S777" s="40" t="n">
        <x:v>0.6192579505300353</x:v>
      </x:c>
      <x:c r="T777" s="31" t="n">
        <x:v>57.049089301503095</x:v>
      </x:c>
      <x:c r="U777" s="31" t="n">
        <x:v>70.36</x:v>
      </x:c>
      <x:c r="V777" s="31" t="n">
        <x:v>17</x:v>
      </x:c>
      <x:c r="W777" s="31" t="n">
        <x:v>6.310319227913883</x:v>
      </x:c>
      <x:c r="X777" s="31" t="n">
        <x:v>3</x:v>
      </x:c>
      <x:c r="Y777" s="40" t="n">
        <x:v>0</x:v>
      </x:c>
      <x:c r="Z777" s="40" t="n">
        <x:v>1</x:v>
      </x:c>
      <x:c r="AA777" s="40" t="n">
        <x:v>0.9991166077738516</x:v>
      </x:c>
      <x:c r="AB777" s="31" t="n">
        <x:v>0.14799966259068179</x:v>
      </x:c>
      <x:c r="AC777" s="31" t="n">
        <x:v>5</x:v>
      </x:c>
      <x:c r="AD777" s="44" t="b">
        <x:v>1</x:v>
      </x:c>
    </x:row>
    <x:row r="778">
      <x:c r="A778" s="31" t="str">
        <x:v>36047044902</x:v>
      </x:c>
      <x:c r="B778" s="31" t="str">
        <x:v>Brooklyn</x:v>
      </x:c>
      <x:c r="C778" s="31" t="str">
        <x:v>044902</x:v>
      </x:c>
      <x:c r="D778" s="31" t="str">
        <x:v>BK0104</x:v>
      </x:c>
      <x:c r="E778" s="31" t="str">
        <x:v>East Williamsburg</x:v>
      </x:c>
      <x:c r="F778" s="31" t="n">
        <x:v>0.6748574182090794</x:v>
      </x:c>
      <x:c r="G778" s="31" t="n">
        <x:v>40.717369434167125</x:v>
      </x:c>
      <x:c r="H778" s="31" t="n">
        <x:v>-73.9297953693084</x:v>
      </x:c>
      <x:c r="I778" s="31" t="n">
        <x:v>44</x:v>
      </x:c>
      <x:c r="J778" s="31" t="n">
        <x:v>65.19895730977686</x:v>
      </x:c>
      <x:c r="K778" s="31"/>
      <x:c r="L778" s="40"/>
      <x:c r="M778" s="40"/>
      <x:c r="N778" s="31" t="n">
        <x:v>1</x:v>
      </x:c>
      <x:c r="O778" s="31" t="n">
        <x:v>6</x:v>
      </x:c>
      <x:c r="P778" s="31" t="n">
        <x:v>3</x:v>
      </x:c>
      <x:c r="Q778" s="40" t="n">
        <x:v>0</x:v>
      </x:c>
      <x:c r="R778" s="40" t="n">
        <x:v>1</x:v>
      </x:c>
      <x:c r="S778" s="40" t="n">
        <x:v>0</x:v>
      </x:c>
      <x:c r="T778" s="31" t="n">
        <x:v>50.03</x:v>
      </x:c>
      <x:c r="U778" s="31" t="n">
        <x:v>50.03</x:v>
      </x:c>
      <x:c r="V778" s="31" t="n">
        <x:v>0</x:v>
      </x:c>
      <x:c r="W778" s="31" t="n">
        <x:v>0</x:v>
      </x:c>
      <x:c r="X778" s="31" t="n">
        <x:v>4</x:v>
      </x:c>
      <x:c r="Y778" s="40" t="n">
        <x:v>1</x:v>
      </x:c>
      <x:c r="Z778" s="40" t="n">
        <x:v>1</x:v>
      </x:c>
      <x:c r="AA778" s="40" t="n">
        <x:v>1</x:v>
      </x:c>
      <x:c r="AB778" s="31" t="n">
        <x:v>0.5309317624276242</x:v>
      </x:c>
      <x:c r="AC778" s="31" t="n">
        <x:v>8</x:v>
      </x:c>
      <x:c r="AD778" s="44" t="b">
        <x:v>1</x:v>
      </x:c>
    </x:row>
    <x:row r="779">
      <x:c r="A779" s="31" t="str">
        <x:v>36047045000</x:v>
      </x:c>
      <x:c r="B779" s="31" t="str">
        <x:v>Brooklyn</x:v>
      </x:c>
      <x:c r="C779" s="31" t="str">
        <x:v>045000</x:v>
      </x:c>
      <x:c r="D779" s="31" t="str">
        <x:v>BK1204</x:v>
      </x:c>
      <x:c r="E779" s="31" t="str">
        <x:v>Mapleton-Midwood (West)</x:v>
      </x:c>
      <x:c r="F779" s="31" t="n">
        <x:v>0.08502252172721533</x:v>
      </x:c>
      <x:c r="G779" s="31" t="n">
        <x:v>40.621702218158504</x:v>
      </x:c>
      <x:c r="H779" s="31" t="n">
        <x:v>-73.9728591021096</x:v>
      </x:c>
      <x:c r="I779" s="31" t="n">
        <x:v>645</x:v>
      </x:c>
      <x:c r="J779" s="31" t="n">
        <x:v>7586.225236525046</x:v>
      </x:c>
      <x:c r="K779" s="31"/>
      <x:c r="L779" s="40"/>
      <x:c r="M779" s="40"/>
      <x:c r="N779" s="31" t="n">
        <x:v>128</x:v>
      </x:c>
      <x:c r="O779" s="31" t="n">
        <x:v>182</x:v>
      </x:c>
      <x:c r="P779" s="31" t="n">
        <x:v>2.150274725274725</x:v>
      </x:c>
      <x:c r="Q779" s="40" t="n">
        <x:v>0</x:v>
      </x:c>
      <x:c r="R779" s="40" t="n">
        <x:v>0.10989010989010989</x:v>
      </x:c>
      <x:c r="S779" s="40" t="n">
        <x:v>0</x:v>
      </x:c>
      <x:c r="T779" s="31" t="n">
        <x:v>28.51686927524862</x:v>
      </x:c>
      <x:c r="U779" s="31" t="n">
        <x:v>40</x:v>
      </x:c>
      <x:c r="V779" s="31" t="n">
        <x:v>1</x:v>
      </x:c>
      <x:c r="W779" s="31" t="n">
        <x:v>1.550387596899225</x:v>
      </x:c>
      <x:c r="X779" s="31" t="n">
        <x:v>4</x:v>
      </x:c>
      <x:c r="Y779" s="40" t="n">
        <x:v>1</x:v>
      </x:c>
      <x:c r="Z779" s="40" t="n">
        <x:v>1</x:v>
      </x:c>
      <x:c r="AA779" s="40" t="n">
        <x:v>0.9945054945054945</x:v>
      </x:c>
      <x:c r="AB779" s="31" t="n">
        <x:v>0.3214815973324142</x:v>
      </x:c>
      <x:c r="AC779" s="31" t="n">
        <x:v>4</x:v>
      </x:c>
      <x:c r="AD779" s="44" t="b">
        <x:v>1</x:v>
      </x:c>
    </x:row>
    <x:row r="780">
      <x:c r="A780" s="31" t="str">
        <x:v>36047045200</x:v>
      </x:c>
      <x:c r="B780" s="31" t="str">
        <x:v>Brooklyn</x:v>
      </x:c>
      <x:c r="C780" s="31" t="str">
        <x:v>045200</x:v>
      </x:c>
      <x:c r="D780" s="31" t="str">
        <x:v>BK1204</x:v>
      </x:c>
      <x:c r="E780" s="31" t="str">
        <x:v>Mapleton-Midwood (West)</x:v>
      </x:c>
      <x:c r="F780" s="31" t="n">
        <x:v>0.07194146909793962</x:v>
      </x:c>
      <x:c r="G780" s="31" t="n">
        <x:v>40.62017257121434</x:v>
      </x:c>
      <x:c r="H780" s="31" t="n">
        <x:v>-73.96816180955247</x:v>
      </x:c>
      <x:c r="I780" s="31" t="n">
        <x:v>2618</x:v>
      </x:c>
      <x:c r="J780" s="31" t="n">
        <x:v>36390.694168837574</x:v>
      </x:c>
      <x:c r="K780" s="31"/>
      <x:c r="L780" s="40"/>
      <x:c r="M780" s="40"/>
      <x:c r="N780" s="31" t="n">
        <x:v>349</x:v>
      </x:c>
      <x:c r="O780" s="31" t="n">
        <x:v>959</x:v>
      </x:c>
      <x:c r="P780" s="31" t="n">
        <x:v>3.7614181438998955</x:v>
      </x:c>
      <x:c r="Q780" s="40" t="n">
        <x:v>0</x:v>
      </x:c>
      <x:c r="R780" s="40" t="n">
        <x:v>0.47758081334723673</x:v>
      </x:c>
      <x:c r="S780" s="40" t="n">
        <x:v>0.0031282586027111575</x:v>
      </x:c>
      <x:c r="T780" s="31" t="n">
        <x:v>44.79312033974737</x:v>
      </x:c>
      <x:c r="U780" s="31" t="n">
        <x:v>75.08</x:v>
      </x:c>
      <x:c r="V780" s="31" t="n">
        <x:v>17</x:v>
      </x:c>
      <x:c r="W780" s="31" t="n">
        <x:v>6.493506493506494</x:v>
      </x:c>
      <x:c r="X780" s="31" t="n">
        <x:v>4</x:v>
      </x:c>
      <x:c r="Y780" s="40" t="n">
        <x:v>1</x:v>
      </x:c>
      <x:c r="Z780" s="40" t="n">
        <x:v>1</x:v>
      </x:c>
      <x:c r="AA780" s="40" t="n">
        <x:v>0.9906152241918665</x:v>
      </x:c>
      <x:c r="AB780" s="31" t="n">
        <x:v>0.14565612353777438</x:v>
      </x:c>
      <x:c r="AC780" s="31" t="n">
        <x:v>7</x:v>
      </x:c>
      <x:c r="AD780" s="44" t="b">
        <x:v>1</x:v>
      </x:c>
    </x:row>
    <x:row r="781">
      <x:c r="A781" s="31" t="str">
        <x:v>36047045300</x:v>
      </x:c>
      <x:c r="B781" s="31" t="str">
        <x:v>Brooklyn</x:v>
      </x:c>
      <x:c r="C781" s="31" t="str">
        <x:v>045300</x:v>
      </x:c>
      <x:c r="D781" s="31" t="str">
        <x:v>BK0104</x:v>
      </x:c>
      <x:c r="E781" s="31" t="str">
        <x:v>East Williamsburg</x:v>
      </x:c>
      <x:c r="F781" s="31" t="n">
        <x:v>0.1234416948045799</x:v>
      </x:c>
      <x:c r="G781" s="31" t="n">
        <x:v>40.70658343247378</x:v>
      </x:c>
      <x:c r="H781" s="31" t="n">
        <x:v>-73.92895666354124</x:v>
      </x:c>
      <x:c r="I781" s="31" t="n">
        <x:v>1886</x:v>
      </x:c>
      <x:c r="J781" s="31" t="n">
        <x:v>15278.468130121835</x:v>
      </x:c>
      <x:c r="K781" s="31"/>
      <x:c r="L781" s="40"/>
      <x:c r="M781" s="40"/>
      <x:c r="N781" s="31" t="n">
        <x:v>93</x:v>
      </x:c>
      <x:c r="O781" s="31" t="n">
        <x:v>710</x:v>
      </x:c>
      <x:c r="P781" s="31" t="n">
        <x:v>3.528169014084507</x:v>
      </x:c>
      <x:c r="Q781" s="40" t="n">
        <x:v>0</x:v>
      </x:c>
      <x:c r="R781" s="40" t="n">
        <x:v>0.9690140845070423</x:v>
      </x:c>
      <x:c r="S781" s="40" t="n">
        <x:v>0</x:v>
      </x:c>
      <x:c r="T781" s="31" t="n">
        <x:v>44.744845070422535</x:v>
      </x:c>
      <x:c r="U781" s="31" t="n">
        <x:v>56.29</x:v>
      </x:c>
      <x:c r="V781" s="31" t="n">
        <x:v>8</x:v>
      </x:c>
      <x:c r="W781" s="31" t="n">
        <x:v>4.241781548250265</x:v>
      </x:c>
      <x:c r="X781" s="31" t="n">
        <x:v>4</x:v>
      </x:c>
      <x:c r="Y781" s="40" t="n">
        <x:v>1</x:v>
      </x:c>
      <x:c r="Z781" s="40" t="n">
        <x:v>1</x:v>
      </x:c>
      <x:c r="AA781" s="40" t="n">
        <x:v>1</x:v>
      </x:c>
      <x:c r="AB781" s="31" t="n">
        <x:v>0.3792548469905592</x:v>
      </x:c>
      <x:c r="AC781" s="31" t="n">
        <x:v>5</x:v>
      </x:c>
      <x:c r="AD781" s="44" t="b">
        <x:v>1</x:v>
      </x:c>
    </x:row>
    <x:row r="782">
      <x:c r="A782" s="31" t="str">
        <x:v>36047045400</x:v>
      </x:c>
      <x:c r="B782" s="31" t="str">
        <x:v>Brooklyn</x:v>
      </x:c>
      <x:c r="C782" s="31" t="str">
        <x:v>045400</x:v>
      </x:c>
      <x:c r="D782" s="31" t="str">
        <x:v>BK1204</x:v>
      </x:c>
      <x:c r="E782" s="31" t="str">
        <x:v>Mapleton-Midwood (West)</x:v>
      </x:c>
      <x:c r="F782" s="31" t="n">
        <x:v>0.05107473450736054</x:v>
      </x:c>
      <x:c r="G782" s="31" t="n">
        <x:v>40.6186828557898</x:v>
      </x:c>
      <x:c r="H782" s="31" t="n">
        <x:v>-73.96500242194564</x:v>
      </x:c>
      <x:c r="I782" s="31" t="n">
        <x:v>2036</x:v>
      </x:c>
      <x:c r="J782" s="31" t="n">
        <x:v>39863.15385949947</x:v>
      </x:c>
      <x:c r="K782" s="31"/>
      <x:c r="L782" s="40"/>
      <x:c r="M782" s="40"/>
      <x:c r="N782" s="31" t="n">
        <x:v>280</x:v>
      </x:c>
      <x:c r="O782" s="31" t="n">
        <x:v>605</x:v>
      </x:c>
      <x:c r="P782" s="31" t="n">
        <x:v>2.5731404958677686</x:v>
      </x:c>
      <x:c r="Q782" s="40" t="n">
        <x:v>0</x:v>
      </x:c>
      <x:c r="R782" s="40" t="n">
        <x:v>0.31900826446280994</x:v>
      </x:c>
      <x:c r="S782" s="40" t="n">
        <x:v>0.0743801652892562</x:v>
      </x:c>
      <x:c r="T782" s="31" t="n">
        <x:v>31.746687121561465</x:v>
      </x:c>
      <x:c r="U782" s="31" t="n">
        <x:v>53</x:v>
      </x:c>
      <x:c r="V782" s="31" t="n">
        <x:v>3</x:v>
      </x:c>
      <x:c r="W782" s="31" t="n">
        <x:v>1.4734774066797642</x:v>
      </x:c>
      <x:c r="X782" s="31" t="n">
        <x:v>4</x:v>
      </x:c>
      <x:c r="Y782" s="40" t="n">
        <x:v>1</x:v>
      </x:c>
      <x:c r="Z782" s="40" t="n">
        <x:v>1</x:v>
      </x:c>
      <x:c r="AA782" s="40" t="n">
        <x:v>0.9950413223140496</x:v>
      </x:c>
      <x:c r="AB782" s="31" t="n">
        <x:v>0.18910243936556603</x:v>
      </x:c>
      <x:c r="AC782" s="31" t="n">
        <x:v>8</x:v>
      </x:c>
      <x:c r="AD782" s="44" t="b">
        <x:v>1</x:v>
      </x:c>
    </x:row>
    <x:row r="783">
      <x:c r="A783" s="31" t="str">
        <x:v>36047045600</x:v>
      </x:c>
      <x:c r="B783" s="31" t="str">
        <x:v>Brooklyn</x:v>
      </x:c>
      <x:c r="C783" s="31" t="str">
        <x:v>045600</x:v>
      </x:c>
      <x:c r="D783" s="31" t="str">
        <x:v>BK1204</x:v>
      </x:c>
      <x:c r="E783" s="31" t="str">
        <x:v>Mapleton-Midwood (West)</x:v>
      </x:c>
      <x:c r="F783" s="31" t="n">
        <x:v>0.059315639738292014</x:v>
      </x:c>
      <x:c r="G783" s="31" t="n">
        <x:v>40.626161547769925</x:v>
      </x:c>
      <x:c r="H783" s="31" t="n">
        <x:v>-73.96662061878975</x:v>
      </x:c>
      <x:c r="I783" s="31" t="n">
        <x:v>2767</x:v>
      </x:c>
      <x:c r="J783" s="31" t="n">
        <x:v>46648.74242625298</x:v>
      </x:c>
      <x:c r="K783" s="31"/>
      <x:c r="L783" s="40"/>
      <x:c r="M783" s="40"/>
      <x:c r="N783" s="31" t="n">
        <x:v>220</x:v>
      </x:c>
      <x:c r="O783" s="31" t="n">
        <x:v>905</x:v>
      </x:c>
      <x:c r="P783" s="31" t="n">
        <x:v>4.741988950276243</x:v>
      </x:c>
      <x:c r="Q783" s="40" t="n">
        <x:v>0</x:v>
      </x:c>
      <x:c r="R783" s="40" t="n">
        <x:v>0.6928176795580111</x:v>
      </x:c>
      <x:c r="S783" s="40" t="n">
        <x:v>0</x:v>
      </x:c>
      <x:c r="T783" s="31" t="n">
        <x:v>54.41415953822099</x:v>
      </x:c>
      <x:c r="U783" s="31" t="n">
        <x:v>67.84</x:v>
      </x:c>
      <x:c r="V783" s="31" t="n">
        <x:v>16</x:v>
      </x:c>
      <x:c r="W783" s="31" t="n">
        <x:v>5.782435851102277</x:v>
      </x:c>
      <x:c r="X783" s="31" t="n">
        <x:v>4</x:v>
      </x:c>
      <x:c r="Y783" s="40" t="n">
        <x:v>1</x:v>
      </x:c>
      <x:c r="Z783" s="40" t="n">
        <x:v>1</x:v>
      </x:c>
      <x:c r="AA783" s="40" t="n">
        <x:v>1</x:v>
      </x:c>
      <x:c r="AB783" s="31" t="n">
        <x:v>0.3239265045369794</x:v>
      </x:c>
      <x:c r="AC783" s="31" t="n">
        <x:v>7</x:v>
      </x:c>
      <x:c r="AD783" s="44" t="b">
        <x:v>1</x:v>
      </x:c>
    </x:row>
    <x:row r="784">
      <x:c r="A784" s="31" t="str">
        <x:v>36047045800</x:v>
      </x:c>
      <x:c r="B784" s="31" t="str">
        <x:v>Brooklyn</x:v>
      </x:c>
      <x:c r="C784" s="31" t="str">
        <x:v>045800</x:v>
      </x:c>
      <x:c r="D784" s="31" t="str">
        <x:v>BK1204</x:v>
      </x:c>
      <x:c r="E784" s="31" t="str">
        <x:v>Mapleton-Midwood (West)</x:v>
      </x:c>
      <x:c r="F784" s="31" t="n">
        <x:v>0.06916507552047463</x:v>
      </x:c>
      <x:c r="G784" s="31" t="n">
        <x:v>40.62569677832702</x:v>
      </x:c>
      <x:c r="H784" s="31" t="n">
        <x:v>-73.9690034012751</x:v>
      </x:c>
      <x:c r="I784" s="31" t="n">
        <x:v>1558</x:v>
      </x:c>
      <x:c r="J784" s="31" t="n">
        <x:v>22525.819400555592</x:v>
      </x:c>
      <x:c r="K784" s="31"/>
      <x:c r="L784" s="40"/>
      <x:c r="M784" s="40"/>
      <x:c r="N784" s="31" t="n">
        <x:v>246</x:v>
      </x:c>
      <x:c r="O784" s="31" t="n">
        <x:v>597</x:v>
      </x:c>
      <x:c r="P784" s="31" t="n">
        <x:v>4.5815126050420165</x:v>
      </x:c>
      <x:c r="Q784" s="40" t="n">
        <x:v>0</x:v>
      </x:c>
      <x:c r="R784" s="40" t="n">
        <x:v>0.5963149078726968</x:v>
      </x:c>
      <x:c r="S784" s="40" t="n">
        <x:v>0</x:v>
      </x:c>
      <x:c r="T784" s="31" t="n">
        <x:v>52.85045804733898</x:v>
      </x:c>
      <x:c r="U784" s="31" t="n">
        <x:v>93</x:v>
      </x:c>
      <x:c r="V784" s="31" t="n">
        <x:v>13</x:v>
      </x:c>
      <x:c r="W784" s="31" t="n">
        <x:v>8.34403080872914</x:v>
      </x:c>
      <x:c r="X784" s="31" t="n">
        <x:v>4</x:v>
      </x:c>
      <x:c r="Y784" s="40" t="n">
        <x:v>1</x:v>
      </x:c>
      <x:c r="Z784" s="40" t="n">
        <x:v>1</x:v>
      </x:c>
      <x:c r="AA784" s="40" t="n">
        <x:v>0.9882747068676717</x:v>
      </x:c>
      <x:c r="AB784" s="31" t="n">
        <x:v>0.33042061867917444</x:v>
      </x:c>
      <x:c r="AC784" s="31" t="n">
        <x:v>7</x:v>
      </x:c>
      <x:c r="AD784" s="44" t="b">
        <x:v>1</x:v>
      </x:c>
    </x:row>
    <x:row r="785">
      <x:c r="A785" s="31" t="str">
        <x:v>36047046000</x:v>
      </x:c>
      <x:c r="B785" s="31" t="str">
        <x:v>Brooklyn</x:v>
      </x:c>
      <x:c r="C785" s="31" t="str">
        <x:v>046000</x:v>
      </x:c>
      <x:c r="D785" s="31" t="str">
        <x:v>BK1402</x:v>
      </x:c>
      <x:c r="E785" s="31" t="str">
        <x:v>Flatbush (West)-Ditmas Park-Parkville</x:v>
      </x:c>
      <x:c r="F785" s="31" t="n">
        <x:v>0.07560685475565312</x:v>
      </x:c>
      <x:c r="G785" s="31" t="n">
        <x:v>40.63182820683483</x:v>
      </x:c>
      <x:c r="H785" s="31" t="n">
        <x:v>-73.96553083455578</x:v>
      </x:c>
      <x:c r="I785" s="31" t="n">
        <x:v>3828</x:v>
      </x:c>
      <x:c r="J785" s="31" t="n">
        <x:v>50630.3299134895</x:v>
      </x:c>
      <x:c r="K785" s="31"/>
      <x:c r="L785" s="40"/>
      <x:c r="M785" s="40"/>
      <x:c r="N785" s="31" t="n">
        <x:v>323</x:v>
      </x:c>
      <x:c r="O785" s="31" t="n">
        <x:v>1312</x:v>
      </x:c>
      <x:c r="P785" s="31" t="n">
        <x:v>4.587461890243903</x:v>
      </x:c>
      <x:c r="Q785" s="40" t="n">
        <x:v>0</x:v>
      </x:c>
      <x:c r="R785" s="40" t="n">
        <x:v>0.7057926829268293</x:v>
      </x:c>
      <x:c r="S785" s="40" t="n">
        <x:v>0.001524390243902439</x:v>
      </x:c>
      <x:c r="T785" s="31" t="n">
        <x:v>52.08827209314087</x:v>
      </x:c>
      <x:c r="U785" s="31" t="n">
        <x:v>80</x:v>
      </x:c>
      <x:c r="V785" s="31" t="n">
        <x:v>22</x:v>
      </x:c>
      <x:c r="W785" s="31" t="n">
        <x:v>5.747126436781609</x:v>
      </x:c>
      <x:c r="X785" s="31" t="n">
        <x:v>4</x:v>
      </x:c>
      <x:c r="Y785" s="40" t="n">
        <x:v>1</x:v>
      </x:c>
      <x:c r="Z785" s="40" t="n">
        <x:v>1</x:v>
      </x:c>
      <x:c r="AA785" s="40" t="n">
        <x:v>0.9900914634146342</x:v>
      </x:c>
      <x:c r="AB785" s="31" t="n">
        <x:v>0.1305566939717604</x:v>
      </x:c>
      <x:c r="AC785" s="31" t="n">
        <x:v>10</x:v>
      </x:c>
      <x:c r="AD785" s="44" t="b">
        <x:v>1</x:v>
      </x:c>
    </x:row>
    <x:row r="786">
      <x:c r="A786" s="31" t="str">
        <x:v>36047046201</x:v>
      </x:c>
      <x:c r="B786" s="31" t="str">
        <x:v>Brooklyn</x:v>
      </x:c>
      <x:c r="C786" s="31" t="str">
        <x:v>046201</x:v>
      </x:c>
      <x:c r="D786" s="31" t="str">
        <x:v>BK1402</x:v>
      </x:c>
      <x:c r="E786" s="31" t="str">
        <x:v>Flatbush (West)-Ditmas Park-Parkville</x:v>
      </x:c>
      <x:c r="F786" s="31" t="n">
        <x:v>0.04954386897060089</x:v>
      </x:c>
      <x:c r="G786" s="31" t="n">
        <x:v>40.62762293702412</x:v>
      </x:c>
      <x:c r="H786" s="31" t="n">
        <x:v>-73.97351599515599</x:v>
      </x:c>
      <x:c r="I786" s="31" t="n">
        <x:v>2700</x:v>
      </x:c>
      <x:c r="J786" s="31" t="n">
        <x:v>54497.15688538915</x:v>
      </x:c>
      <x:c r="K786" s="31"/>
      <x:c r="L786" s="40"/>
      <x:c r="M786" s="40"/>
      <x:c r="N786" s="31" t="n">
        <x:v>188</x:v>
      </x:c>
      <x:c r="O786" s="31" t="n">
        <x:v>1151</x:v>
      </x:c>
      <x:c r="P786" s="31" t="n">
        <x:v>5.934839270199826</x:v>
      </x:c>
      <x:c r="Q786" s="40" t="n">
        <x:v>0.158992180712424</x:v>
      </x:c>
      <x:c r="R786" s="40" t="n">
        <x:v>0.630755864465682</x:v>
      </x:c>
      <x:c r="S786" s="40" t="n">
        <x:v>0.0017376194613379669</x:v>
      </x:c>
      <x:c r="T786" s="31" t="n">
        <x:v>63.10409946065218</x:v>
      </x:c>
      <x:c r="U786" s="31" t="n">
        <x:v>115.43</x:v>
      </x:c>
      <x:c r="V786" s="31" t="n">
        <x:v>15</x:v>
      </x:c>
      <x:c r="W786" s="31" t="n">
        <x:v>5.555555555555555</x:v>
      </x:c>
      <x:c r="X786" s="31" t="n">
        <x:v>4</x:v>
      </x:c>
      <x:c r="Y786" s="40" t="n">
        <x:v>1</x:v>
      </x:c>
      <x:c r="Z786" s="40" t="n">
        <x:v>1</x:v>
      </x:c>
      <x:c r="AA786" s="40" t="n">
        <x:v>0.9991311902693311</x:v>
      </x:c>
      <x:c r="AB786" s="31" t="n">
        <x:v>0.27112800618028693</x:v>
      </x:c>
      <x:c r="AC786" s="31" t="n">
        <x:v>7</x:v>
      </x:c>
      <x:c r="AD786" s="44" t="b">
        <x:v>1</x:v>
      </x:c>
    </x:row>
    <x:row r="787">
      <x:c r="A787" s="31" t="str">
        <x:v>36047046202</x:v>
      </x:c>
      <x:c r="B787" s="31" t="str">
        <x:v>Brooklyn</x:v>
      </x:c>
      <x:c r="C787" s="31" t="str">
        <x:v>046202</x:v>
      </x:c>
      <x:c r="D787" s="31" t="str">
        <x:v>BK1204</x:v>
      </x:c>
      <x:c r="E787" s="31" t="str">
        <x:v>Mapleton-Midwood (West)</x:v>
      </x:c>
      <x:c r="F787" s="31" t="n">
        <x:v>0.06693919288911845</x:v>
      </x:c>
      <x:c r="G787" s="31" t="n">
        <x:v>40.62457808783708</x:v>
      </x:c>
      <x:c r="H787" s="31" t="n">
        <x:v>-73.97422969146052</x:v>
      </x:c>
      <x:c r="I787" s="31" t="n">
        <x:v>1891</x:v>
      </x:c>
      <x:c r="J787" s="31" t="n">
        <x:v>28249.51897959616</x:v>
      </x:c>
      <x:c r="K787" s="31"/>
      <x:c r="L787" s="40"/>
      <x:c r="M787" s="40"/>
      <x:c r="N787" s="31" t="n">
        <x:v>276</x:v>
      </x:c>
      <x:c r="O787" s="31" t="n">
        <x:v>582</x:v>
      </x:c>
      <x:c r="P787" s="31" t="n">
        <x:v>3.345790378006873</x:v>
      </x:c>
      <x:c r="Q787" s="40" t="n">
        <x:v>0</x:v>
      </x:c>
      <x:c r="R787" s="40" t="n">
        <x:v>0.3487972508591065</x:v>
      </x:c>
      <x:c r="S787" s="40" t="n">
        <x:v>0.006872852233676976</x:v>
      </x:c>
      <x:c r="T787" s="31" t="n">
        <x:v>40.549198393580035</x:v>
      </x:c>
      <x:c r="U787" s="31" t="n">
        <x:v>65.29</x:v>
      </x:c>
      <x:c r="V787" s="31" t="n">
        <x:v>3</x:v>
      </x:c>
      <x:c r="W787" s="31" t="n">
        <x:v>1.5864621893178212</x:v>
      </x:c>
      <x:c r="X787" s="31" t="n">
        <x:v>4</x:v>
      </x:c>
      <x:c r="Y787" s="40" t="n">
        <x:v>1</x:v>
      </x:c>
      <x:c r="Z787" s="40" t="n">
        <x:v>1</x:v>
      </x:c>
      <x:c r="AA787" s="40" t="n">
        <x:v>0.9982817869415808</x:v>
      </x:c>
      <x:c r="AB787" s="31" t="n">
        <x:v>0.2655955477490679</x:v>
      </x:c>
      <x:c r="AC787" s="31" t="n">
        <x:v>7</x:v>
      </x:c>
      <x:c r="AD787" s="44" t="b">
        <x:v>1</x:v>
      </x:c>
    </x:row>
    <x:row r="788">
      <x:c r="A788" s="31" t="str">
        <x:v>36047046400</x:v>
      </x:c>
      <x:c r="B788" s="31" t="str">
        <x:v>Brooklyn</x:v>
      </x:c>
      <x:c r="C788" s="31" t="str">
        <x:v>046400</x:v>
      </x:c>
      <x:c r="D788" s="31" t="str">
        <x:v>BK1204</x:v>
      </x:c>
      <x:c r="E788" s="31" t="str">
        <x:v>Mapleton-Midwood (West)</x:v>
      </x:c>
      <x:c r="F788" s="31" t="n">
        <x:v>0.06323651072873622</x:v>
      </x:c>
      <x:c r="G788" s="31" t="n">
        <x:v>40.6246407802392</x:v>
      </x:c>
      <x:c r="H788" s="31" t="n">
        <x:v>-73.97840479988888</x:v>
      </x:c>
      <x:c r="I788" s="31" t="n">
        <x:v>2732</x:v>
      </x:c>
      <x:c r="J788" s="31" t="n">
        <x:v>43202.88973120891</x:v>
      </x:c>
      <x:c r="K788" s="31"/>
      <x:c r="L788" s="40"/>
      <x:c r="M788" s="40"/>
      <x:c r="N788" s="31" t="n">
        <x:v>366</x:v>
      </x:c>
      <x:c r="O788" s="31" t="n">
        <x:v>948</x:v>
      </x:c>
      <x:c r="P788" s="31" t="n">
        <x:v>3.7822391304347827</x:v>
      </x:c>
      <x:c r="Q788" s="40" t="n">
        <x:v>0.1729957805907173</x:v>
      </x:c>
      <x:c r="R788" s="40" t="n">
        <x:v>0.33438818565400846</x:v>
      </x:c>
      <x:c r="S788" s="40" t="n">
        <x:v>0</x:v>
      </x:c>
      <x:c r="T788" s="31" t="n">
        <x:v>42.93799765787911</x:v>
      </x:c>
      <x:c r="U788" s="31" t="n">
        <x:v>98</x:v>
      </x:c>
      <x:c r="V788" s="31" t="n">
        <x:v>15</x:v>
      </x:c>
      <x:c r="W788" s="31" t="n">
        <x:v>5.490483162518302</x:v>
      </x:c>
      <x:c r="X788" s="31" t="n">
        <x:v>4</x:v>
      </x:c>
      <x:c r="Y788" s="40" t="n">
        <x:v>1</x:v>
      </x:c>
      <x:c r="Z788" s="40" t="n">
        <x:v>1</x:v>
      </x:c>
      <x:c r="AA788" s="40" t="n">
        <x:v>0.9947257383966245</x:v>
      </x:c>
      <x:c r="AB788" s="31" t="n">
        <x:v>0.12219597882898152</x:v>
      </x:c>
      <x:c r="AC788" s="31" t="n">
        <x:v>8</x:v>
      </x:c>
      <x:c r="AD788" s="44" t="b">
        <x:v>1</x:v>
      </x:c>
    </x:row>
    <x:row r="789">
      <x:c r="A789" s="31" t="str">
        <x:v>36047046800</x:v>
      </x:c>
      <x:c r="B789" s="31" t="str">
        <x:v>Brooklyn</x:v>
      </x:c>
      <x:c r="C789" s="31" t="str">
        <x:v>046800</x:v>
      </x:c>
      <x:c r="D789" s="31" t="str">
        <x:v>BK1204</x:v>
      </x:c>
      <x:c r="E789" s="31" t="str">
        <x:v>Mapleton-Midwood (West)</x:v>
      </x:c>
      <x:c r="F789" s="31" t="n">
        <x:v>0.11455263537505739</x:v>
      </x:c>
      <x:c r="G789" s="31" t="n">
        <x:v>40.62147864003234</x:v>
      </x:c>
      <x:c r="H789" s="31" t="n">
        <x:v>-73.98064671589233</x:v>
      </x:c>
      <x:c r="I789" s="31" t="n">
        <x:v>2138</x:v>
      </x:c>
      <x:c r="J789" s="31" t="n">
        <x:v>18663.909328667673</x:v>
      </x:c>
      <x:c r="K789" s="31"/>
      <x:c r="L789" s="40"/>
      <x:c r="M789" s="40"/>
      <x:c r="N789" s="31" t="n">
        <x:v>260</x:v>
      </x:c>
      <x:c r="O789" s="31" t="n">
        <x:v>574</x:v>
      </x:c>
      <x:c r="P789" s="31" t="n">
        <x:v>2.4290718038528896</x:v>
      </x:c>
      <x:c r="Q789" s="40" t="n">
        <x:v>0</x:v>
      </x:c>
      <x:c r="R789" s="40" t="n">
        <x:v>0.3362369337979094</x:v>
      </x:c>
      <x:c r="S789" s="40" t="n">
        <x:v>0.10452961672473868</x:v>
      </x:c>
      <x:c r="T789" s="31" t="n">
        <x:v>30.510258959401092</x:v>
      </x:c>
      <x:c r="U789" s="31" t="n">
        <x:v>49</x:v>
      </x:c>
      <x:c r="V789" s="31" t="n">
        <x:v>8</x:v>
      </x:c>
      <x:c r="W789" s="31" t="n">
        <x:v>3.7418147801683816</x:v>
      </x:c>
      <x:c r="X789" s="31" t="n">
        <x:v>4</x:v>
      </x:c>
      <x:c r="Y789" s="40" t="n">
        <x:v>1</x:v>
      </x:c>
      <x:c r="Z789" s="40" t="n">
        <x:v>1</x:v>
      </x:c>
      <x:c r="AA789" s="40" t="n">
        <x:v>0.9599303135888502</x:v>
      </x:c>
      <x:c r="AB789" s="31" t="n">
        <x:v>0.09196109689774071</x:v>
      </x:c>
      <x:c r="AC789" s="31" t="n">
        <x:v>7</x:v>
      </x:c>
      <x:c r="AD789" s="44" t="b">
        <x:v>1</x:v>
      </x:c>
    </x:row>
    <x:row r="790">
      <x:c r="A790" s="31" t="str">
        <x:v>36047047000</x:v>
      </x:c>
      <x:c r="B790" s="31" t="str">
        <x:v>Brooklyn</x:v>
      </x:c>
      <x:c r="C790" s="31" t="str">
        <x:v>047000</x:v>
      </x:c>
      <x:c r="D790" s="31" t="str">
        <x:v>BK1202</x:v>
      </x:c>
      <x:c r="E790" s="31" t="str">
        <x:v>Borough Park</x:v>
      </x:c>
      <x:c r="F790" s="31" t="n">
        <x:v>0.07052865333986169</x:v>
      </x:c>
      <x:c r="G790" s="31" t="n">
        <x:v>40.62559128796105</x:v>
      </x:c>
      <x:c r="H790" s="31" t="n">
        <x:v>-73.9867361880761</x:v>
      </x:c>
      <x:c r="I790" s="31" t="n">
        <x:v>2823</x:v>
      </x:c>
      <x:c r="J790" s="31" t="n">
        <x:v>40026.28529424203</x:v>
      </x:c>
      <x:c r="K790" s="31"/>
      <x:c r="L790" s="40"/>
      <x:c r="M790" s="40"/>
      <x:c r="N790" s="31" t="n">
        <x:v>408</x:v>
      </x:c>
      <x:c r="O790" s="31" t="n">
        <x:v>910</x:v>
      </x:c>
      <x:c r="P790" s="31" t="n">
        <x:v>2.6519823788546257</x:v>
      </x:c>
      <x:c r="Q790" s="40" t="n">
        <x:v>0.002197802197802198</x:v>
      </x:c>
      <x:c r="R790" s="40" t="n">
        <x:v>0.3901098901098901</x:v>
      </x:c>
      <x:c r="S790" s="40" t="n">
        <x:v>0</x:v>
      </x:c>
      <x:c r="T790" s="31" t="n">
        <x:v>32.80785252382123</x:v>
      </x:c>
      <x:c r="U790" s="31" t="n">
        <x:v>69.57</x:v>
      </x:c>
      <x:c r="V790" s="31" t="n">
        <x:v>23</x:v>
      </x:c>
      <x:c r="W790" s="31" t="n">
        <x:v>8.147360963513991</x:v>
      </x:c>
      <x:c r="X790" s="31" t="n">
        <x:v>4</x:v>
      </x:c>
      <x:c r="Y790" s="40" t="n">
        <x:v>1</x:v>
      </x:c>
      <x:c r="Z790" s="40" t="n">
        <x:v>1</x:v>
      </x:c>
      <x:c r="AA790" s="40" t="n">
        <x:v>0.9835164835164835</x:v>
      </x:c>
      <x:c r="AB790" s="31" t="n">
        <x:v>0.16160118978158508</x:v>
      </x:c>
      <x:c r="AC790" s="31" t="n">
        <x:v>7</x:v>
      </x:c>
      <x:c r="AD790" s="44" t="b">
        <x:v>1</x:v>
      </x:c>
    </x:row>
    <x:row r="791">
      <x:c r="A791" s="31" t="str">
        <x:v>36047047200</x:v>
      </x:c>
      <x:c r="B791" s="31" t="str">
        <x:v>Brooklyn</x:v>
      </x:c>
      <x:c r="C791" s="31" t="str">
        <x:v>047200</x:v>
      </x:c>
      <x:c r="D791" s="31" t="str">
        <x:v>BK1202</x:v>
      </x:c>
      <x:c r="E791" s="31" t="str">
        <x:v>Borough Park</x:v>
      </x:c>
      <x:c r="F791" s="31" t="n">
        <x:v>0.06638183147131829</x:v>
      </x:c>
      <x:c r="G791" s="31" t="n">
        <x:v>40.62704092342024</x:v>
      </x:c>
      <x:c r="H791" s="31" t="n">
        <x:v>-73.98412886473643</x:v>
      </x:c>
      <x:c r="I791" s="31" t="n">
        <x:v>3099</x:v>
      </x:c>
      <x:c r="J791" s="31" t="n">
        <x:v>46684.46066208628</x:v>
      </x:c>
      <x:c r="K791" s="31"/>
      <x:c r="L791" s="40"/>
      <x:c r="M791" s="40"/>
      <x:c r="N791" s="31" t="n">
        <x:v>323</x:v>
      </x:c>
      <x:c r="O791" s="31" t="n">
        <x:v>898</x:v>
      </x:c>
      <x:c r="P791" s="31" t="n">
        <x:v>3.009744214372716</x:v>
      </x:c>
      <x:c r="Q791" s="40" t="n">
        <x:v>0</x:v>
      </x:c>
      <x:c r="R791" s="40" t="n">
        <x:v>0.5022271714922049</x:v>
      </x:c>
      <x:c r="S791" s="40" t="n">
        <x:v>0</x:v>
      </x:c>
      <x:c r="T791" s="31" t="n">
        <x:v>39.5119063659375</x:v>
      </x:c>
      <x:c r="U791" s="31" t="n">
        <x:v>57.21</x:v>
      </x:c>
      <x:c r="V791" s="31" t="n">
        <x:v>43</x:v>
      </x:c>
      <x:c r="W791" s="31" t="n">
        <x:v>13.875443691513391</x:v>
      </x:c>
      <x:c r="X791" s="31" t="n">
        <x:v>4</x:v>
      </x:c>
      <x:c r="Y791" s="40" t="n">
        <x:v>1</x:v>
      </x:c>
      <x:c r="Z791" s="40" t="n">
        <x:v>1</x:v>
      </x:c>
      <x:c r="AA791" s="40" t="n">
        <x:v>0.9977728285077951</x:v>
      </x:c>
      <x:c r="AB791" s="31" t="n">
        <x:v>0.26228914903415007</x:v>
      </x:c>
      <x:c r="AC791" s="31" t="n">
        <x:v>6</x:v>
      </x:c>
      <x:c r="AD791" s="44" t="b">
        <x:v>1</x:v>
      </x:c>
    </x:row>
    <x:row r="792">
      <x:c r="A792" s="31" t="str">
        <x:v>36047047400</x:v>
      </x:c>
      <x:c r="B792" s="31" t="str">
        <x:v>Brooklyn</x:v>
      </x:c>
      <x:c r="C792" s="31" t="str">
        <x:v>047400</x:v>
      </x:c>
      <x:c r="D792" s="31" t="str">
        <x:v>BK1202</x:v>
      </x:c>
      <x:c r="E792" s="31" t="str">
        <x:v>Borough Park</x:v>
      </x:c>
      <x:c r="F792" s="31" t="n">
        <x:v>0.06789928623235193</x:v>
      </x:c>
      <x:c r="G792" s="31" t="n">
        <x:v>40.628683681034936</x:v>
      </x:c>
      <x:c r="H792" s="31" t="n">
        <x:v>-73.98236623925898</x:v>
      </x:c>
      <x:c r="I792" s="31" t="n">
        <x:v>3232</x:v>
      </x:c>
      <x:c r="J792" s="31" t="n">
        <x:v>47599.911270643825</x:v>
      </x:c>
      <x:c r="K792" s="31"/>
      <x:c r="L792" s="40"/>
      <x:c r="M792" s="40"/>
      <x:c r="N792" s="31" t="n">
        <x:v>383</x:v>
      </x:c>
      <x:c r="O792" s="31" t="n">
        <x:v>908</x:v>
      </x:c>
      <x:c r="P792" s="31" t="n">
        <x:v>2.961453744493392</x:v>
      </x:c>
      <x:c r="Q792" s="40" t="n">
        <x:v>0</x:v>
      </x:c>
      <x:c r="R792" s="40" t="n">
        <x:v>0.4933920704845815</x:v>
      </x:c>
      <x:c r="S792" s="40" t="n">
        <x:v>0.003303964757709251</x:v>
      </x:c>
      <x:c r="T792" s="31" t="n">
        <x:v>39.267419564466664</x:v>
      </x:c>
      <x:c r="U792" s="31" t="n">
        <x:v>75.08</x:v>
      </x:c>
      <x:c r="V792" s="31" t="n">
        <x:v>27</x:v>
      </x:c>
      <x:c r="W792" s="31" t="n">
        <x:v>8.353960396039604</x:v>
      </x:c>
      <x:c r="X792" s="31" t="n">
        <x:v>4</x:v>
      </x:c>
      <x:c r="Y792" s="40" t="n">
        <x:v>1</x:v>
      </x:c>
      <x:c r="Z792" s="40" t="n">
        <x:v>1</x:v>
      </x:c>
      <x:c r="AA792" s="40" t="n">
        <x:v>0.9911894273127754</x:v>
      </x:c>
      <x:c r="AB792" s="31" t="n">
        <x:v>0.13424637249585675</x:v>
      </x:c>
      <x:c r="AC792" s="31" t="n">
        <x:v>5</x:v>
      </x:c>
      <x:c r="AD792" s="44" t="b">
        <x:v>1</x:v>
      </x:c>
    </x:row>
    <x:row r="793">
      <x:c r="A793" s="31" t="str">
        <x:v>36047047600</x:v>
      </x:c>
      <x:c r="B793" s="31" t="str">
        <x:v>Brooklyn</x:v>
      </x:c>
      <x:c r="C793" s="31" t="str">
        <x:v>047600</x:v>
      </x:c>
      <x:c r="D793" s="31" t="str">
        <x:v>BK1202</x:v>
      </x:c>
      <x:c r="E793" s="31" t="str">
        <x:v>Borough Park</x:v>
      </x:c>
      <x:c r="F793" s="31" t="n">
        <x:v>0.08021344120358413</x:v>
      </x:c>
      <x:c r="G793" s="31" t="n">
        <x:v>40.630561464599374</x:v>
      </x:c>
      <x:c r="H793" s="31" t="n">
        <x:v>-73.98057085957745</x:v>
      </x:c>
      <x:c r="I793" s="31" t="n">
        <x:v>4054</x:v>
      </x:c>
      <x:c r="J793" s="31" t="n">
        <x:v>50540.15809782834</x:v>
      </x:c>
      <x:c r="K793" s="31"/>
      <x:c r="L793" s="40"/>
      <x:c r="M793" s="40"/>
      <x:c r="N793" s="31" t="n">
        <x:v>447</x:v>
      </x:c>
      <x:c r="O793" s="31" t="n">
        <x:v>1177</x:v>
      </x:c>
      <x:c r="P793" s="31" t="n">
        <x:v>3.0724914965986394</x:v>
      </x:c>
      <x:c r="Q793" s="40" t="n">
        <x:v>0</x:v>
      </x:c>
      <x:c r="R793" s="40" t="n">
        <x:v>0.5768903993203058</x:v>
      </x:c>
      <x:c r="S793" s="40" t="n">
        <x:v>0.0033984706881903144</x:v>
      </x:c>
      <x:c r="T793" s="31" t="n">
        <x:v>38.736362480613494</x:v>
      </x:c>
      <x:c r="U793" s="31" t="n">
        <x:v>79.77</x:v>
      </x:c>
      <x:c r="V793" s="31" t="n">
        <x:v>25</x:v>
      </x:c>
      <x:c r="W793" s="31" t="n">
        <x:v>6.166748889985199</x:v>
      </x:c>
      <x:c r="X793" s="31" t="n">
        <x:v>4</x:v>
      </x:c>
      <x:c r="Y793" s="40" t="n">
        <x:v>1</x:v>
      </x:c>
      <x:c r="Z793" s="40" t="n">
        <x:v>1</x:v>
      </x:c>
      <x:c r="AA793" s="40" t="n">
        <x:v>0.9694137638062872</x:v>
      </x:c>
      <x:c r="AB793" s="31" t="n">
        <x:v>0.11508144998112049</x:v>
      </x:c>
      <x:c r="AC793" s="31" t="n">
        <x:v>7</x:v>
      </x:c>
      <x:c r="AD793" s="44" t="b">
        <x:v>1</x:v>
      </x:c>
    </x:row>
    <x:row r="794">
      <x:c r="A794" s="31" t="str">
        <x:v>36047047700</x:v>
      </x:c>
      <x:c r="B794" s="31" t="str">
        <x:v>Brooklyn</x:v>
      </x:c>
      <x:c r="C794" s="31" t="str">
        <x:v>047700</x:v>
      </x:c>
      <x:c r="D794" s="31" t="str">
        <x:v>BK0104</x:v>
      </x:c>
      <x:c r="E794" s="31" t="str">
        <x:v>East Williamsburg</x:v>
      </x:c>
      <x:c r="F794" s="31" t="n">
        <x:v>0.08404288466339531</x:v>
      </x:c>
      <x:c r="G794" s="31" t="n">
        <x:v>40.71821816707098</x:v>
      </x:c>
      <x:c r="H794" s="31" t="n">
        <x:v>-73.94213449653039</x:v>
      </x:c>
      <x:c r="I794" s="31" t="n">
        <x:v>4226</x:v>
      </x:c>
      <x:c r="J794" s="31" t="n">
        <x:v>50283.85230856581</x:v>
      </x:c>
      <x:c r="K794" s="31"/>
      <x:c r="L794" s="40"/>
      <x:c r="M794" s="40"/>
      <x:c r="N794" s="31" t="n">
        <x:v>445</x:v>
      </x:c>
      <x:c r="O794" s="31" t="n">
        <x:v>2140</x:v>
      </x:c>
      <x:c r="P794" s="31" t="n">
        <x:v>3.9706303724928365</x:v>
      </x:c>
      <x:c r="Q794" s="40" t="n">
        <x:v>0.013551401869158878</x:v>
      </x:c>
      <x:c r="R794" s="40" t="n">
        <x:v>0.8070093457943925</x:v>
      </x:c>
      <x:c r="S794" s="40" t="n">
        <x:v>0.011214953271028037</x:v>
      </x:c>
      <x:c r="T794" s="31" t="n">
        <x:v>44.876702763160196</x:v>
      </x:c>
      <x:c r="U794" s="31" t="n">
        <x:v>141</x:v>
      </x:c>
      <x:c r="V794" s="31" t="n">
        <x:v>41</x:v>
      </x:c>
      <x:c r="W794" s="31" t="n">
        <x:v>9.701845716990062</x:v>
      </x:c>
      <x:c r="X794" s="31" t="n">
        <x:v>3</x:v>
      </x:c>
      <x:c r="Y794" s="40" t="n">
        <x:v>0</x:v>
      </x:c>
      <x:c r="Z794" s="40" t="n">
        <x:v>1</x:v>
      </x:c>
      <x:c r="AA794" s="40" t="n">
        <x:v>0.9626168224299065</x:v>
      </x:c>
      <x:c r="AB794" s="31" t="n">
        <x:v>0.10884938526578469</x:v>
      </x:c>
      <x:c r="AC794" s="31" t="n">
        <x:v>6</x:v>
      </x:c>
      <x:c r="AD794" s="44" t="b">
        <x:v>1</x:v>
      </x:c>
    </x:row>
    <x:row r="795">
      <x:c r="A795" s="31" t="str">
        <x:v>36047047800</x:v>
      </x:c>
      <x:c r="B795" s="31" t="str">
        <x:v>Brooklyn</x:v>
      </x:c>
      <x:c r="C795" s="31" t="str">
        <x:v>047800</x:v>
      </x:c>
      <x:c r="D795" s="31" t="str">
        <x:v>BK1202</x:v>
      </x:c>
      <x:c r="E795" s="31" t="str">
        <x:v>Borough Park</x:v>
      </x:c>
      <x:c r="F795" s="31" t="n">
        <x:v>0.0853966556839704</x:v>
      </x:c>
      <x:c r="G795" s="31" t="n">
        <x:v>40.63339816763947</x:v>
      </x:c>
      <x:c r="H795" s="31" t="n">
        <x:v>-73.97887419189348</x:v>
      </x:c>
      <x:c r="I795" s="31" t="n">
        <x:v>5308</x:v>
      </x:c>
      <x:c r="J795" s="31" t="n">
        <x:v>62157.0008507529</x:v>
      </x:c>
      <x:c r="K795" s="31"/>
      <x:c r="L795" s="40"/>
      <x:c r="M795" s="40"/>
      <x:c r="N795" s="31" t="n">
        <x:v>465</x:v>
      </x:c>
      <x:c r="O795" s="31" t="n">
        <x:v>1413</x:v>
      </x:c>
      <x:c r="P795" s="31" t="n">
        <x:v>3.1271428571428572</x:v>
      </x:c>
      <x:c r="Q795" s="40" t="n">
        <x:v>0</x:v>
      </x:c>
      <x:c r="R795" s="40" t="n">
        <x:v>0.6213729653220099</x:v>
      </x:c>
      <x:c r="S795" s="40" t="n">
        <x:v>0.0014154281670205238</x:v>
      </x:c>
      <x:c r="T795" s="31" t="n">
        <x:v>37.60439354924638</x:v>
      </x:c>
      <x:c r="U795" s="31" t="n">
        <x:v>67</x:v>
      </x:c>
      <x:c r="V795" s="31" t="n">
        <x:v>13</x:v>
      </x:c>
      <x:c r="W795" s="31" t="n">
        <x:v>2.449133383571967</x:v>
      </x:c>
      <x:c r="X795" s="31" t="n">
        <x:v>3.470629865534324</x:v>
      </x:c>
      <x:c r="Y795" s="40" t="n">
        <x:v>0.4706298655343241</x:v>
      </x:c>
      <x:c r="Z795" s="40" t="n">
        <x:v>1</x:v>
      </x:c>
      <x:c r="AA795" s="40" t="n">
        <x:v>0.9766454352441614</x:v>
      </x:c>
      <x:c r="AB795" s="31" t="n">
        <x:v>0.20650649703780613</x:v>
      </x:c>
      <x:c r="AC795" s="31" t="n">
        <x:v>7</x:v>
      </x:c>
      <x:c r="AD795" s="44" t="b">
        <x:v>1</x:v>
      </x:c>
    </x:row>
    <x:row r="796">
      <x:c r="A796" s="31" t="str">
        <x:v>36047048000</x:v>
      </x:c>
      <x:c r="B796" s="31" t="str">
        <x:v>Brooklyn</x:v>
      </x:c>
      <x:c r="C796" s="31" t="str">
        <x:v>048000</x:v>
      </x:c>
      <x:c r="D796" s="31" t="str">
        <x:v>BK1402</x:v>
      </x:c>
      <x:c r="E796" s="31" t="str">
        <x:v>Flatbush (West)-Ditmas Park-Parkville</x:v>
      </x:c>
      <x:c r="F796" s="31" t="n">
        <x:v>0.05896211198849288</x:v>
      </x:c>
      <x:c r="G796" s="31" t="n">
        <x:v>40.630292698606915</x:v>
      </x:c>
      <x:c r="H796" s="31" t="n">
        <x:v>-73.97449965628084</x:v>
      </x:c>
      <x:c r="I796" s="31" t="n">
        <x:v>3824</x:v>
      </x:c>
      <x:c r="J796" s="31" t="n">
        <x:v>64855.207370222706</x:v>
      </x:c>
      <x:c r="K796" s="31"/>
      <x:c r="L796" s="40"/>
      <x:c r="M796" s="40"/>
      <x:c r="N796" s="31" t="n">
        <x:v>302</x:v>
      </x:c>
      <x:c r="O796" s="31" t="n">
        <x:v>1180</x:v>
      </x:c>
      <x:c r="P796" s="31" t="n">
        <x:v>3.9934322033898306</x:v>
      </x:c>
      <x:c r="Q796" s="40" t="n">
        <x:v>0.07627118644067797</x:v>
      </x:c>
      <x:c r="R796" s="40" t="n">
        <x:v>0.6076271186440678</x:v>
      </x:c>
      <x:c r="S796" s="40" t="n">
        <x:v>0.007627118644067797</x:v>
      </x:c>
      <x:c r="T796" s="31" t="n">
        <x:v>43.554600708</x:v>
      </x:c>
      <x:c r="U796" s="31" t="n">
        <x:v>93</x:v>
      </x:c>
      <x:c r="V796" s="31" t="n">
        <x:v>15</x:v>
      </x:c>
      <x:c r="W796" s="31" t="n">
        <x:v>3.922594142259414</x:v>
      </x:c>
      <x:c r="X796" s="31" t="n">
        <x:v>3.885593220338983</x:v>
      </x:c>
      <x:c r="Y796" s="40" t="n">
        <x:v>0.885593220338983</x:v>
      </x:c>
      <x:c r="Z796" s="40" t="n">
        <x:v>1</x:v>
      </x:c>
      <x:c r="AA796" s="40" t="n">
        <x:v>0.9957627118644068</x:v>
      </x:c>
      <x:c r="AB796" s="31" t="n">
        <x:v>0.08330198120854737</x:v>
      </x:c>
      <x:c r="AC796" s="31" t="n">
        <x:v>6</x:v>
      </x:c>
      <x:c r="AD796" s="44" t="b">
        <x:v>1</x:v>
      </x:c>
    </x:row>
    <x:row r="797">
      <x:c r="A797" s="31" t="str">
        <x:v>36047048100</x:v>
      </x:c>
      <x:c r="B797" s="31" t="str">
        <x:v>Brooklyn</x:v>
      </x:c>
      <x:c r="C797" s="31" t="str">
        <x:v>048100</x:v>
      </x:c>
      <x:c r="D797" s="31" t="str">
        <x:v>BK0104</x:v>
      </x:c>
      <x:c r="E797" s="31" t="str">
        <x:v>East Williamsburg</x:v>
      </x:c>
      <x:c r="F797" s="31" t="n">
        <x:v>0.05843463684501263</x:v>
      </x:c>
      <x:c r="G797" s="31" t="n">
        <x:v>40.713860762941906</x:v>
      </x:c>
      <x:c r="H797" s="31" t="n">
        <x:v>-73.93850088088318</x:v>
      </x:c>
      <x:c r="I797" s="31" t="n">
        <x:v>3105</x:v>
      </x:c>
      <x:c r="J797" s="31" t="n">
        <x:v>53136.293261057726</x:v>
      </x:c>
      <x:c r="K797" s="31"/>
      <x:c r="L797" s="40"/>
      <x:c r="M797" s="40"/>
      <x:c r="N797" s="31" t="n">
        <x:v>286</x:v>
      </x:c>
      <x:c r="O797" s="31" t="n">
        <x:v>1790</x:v>
      </x:c>
      <x:c r="P797" s="31" t="n">
        <x:v>4.278470254957507</x:v>
      </x:c>
      <x:c r="Q797" s="40" t="n">
        <x:v>0.09273743016759776</x:v>
      </x:c>
      <x:c r="R797" s="40" t="n">
        <x:v>0.7983240223463687</x:v>
      </x:c>
      <x:c r="S797" s="40" t="n">
        <x:v>0.026815642458100558</x:v>
      </x:c>
      <x:c r="T797" s="31" t="n">
        <x:v>49.347056597599064</x:v>
      </x:c>
      <x:c r="U797" s="31" t="n">
        <x:v>110</x:v>
      </x:c>
      <x:c r="V797" s="31" t="n">
        <x:v>20</x:v>
      </x:c>
      <x:c r="W797" s="31" t="n">
        <x:v>6.4412238325281805</x:v>
      </x:c>
      <x:c r="X797" s="31" t="n">
        <x:v>3</x:v>
      </x:c>
      <x:c r="Y797" s="40" t="n">
        <x:v>0</x:v>
      </x:c>
      <x:c r="Z797" s="40" t="n">
        <x:v>1</x:v>
      </x:c>
      <x:c r="AA797" s="40" t="n">
        <x:v>0.958659217877095</x:v>
      </x:c>
      <x:c r="AB797" s="31" t="n">
        <x:v>0.15227905731696678</x:v>
      </x:c>
      <x:c r="AC797" s="31" t="n">
        <x:v>5</x:v>
      </x:c>
      <x:c r="AD797" s="44" t="b">
        <x:v>1</x:v>
      </x:c>
    </x:row>
    <x:row r="798">
      <x:c r="A798" s="31" t="str">
        <x:v>36047048200</x:v>
      </x:c>
      <x:c r="B798" s="31" t="str">
        <x:v>Brooklyn</x:v>
      </x:c>
      <x:c r="C798" s="31" t="str">
        <x:v>048200</x:v>
      </x:c>
      <x:c r="D798" s="31" t="str">
        <x:v>BK1402</x:v>
      </x:c>
      <x:c r="E798" s="31" t="str">
        <x:v>Flatbush (West)-Ditmas Park-Parkville</x:v>
      </x:c>
      <x:c r="F798" s="31" t="n">
        <x:v>0.07609664343793043</x:v>
      </x:c>
      <x:c r="G798" s="31" t="n">
        <x:v>40.63320235861477</x:v>
      </x:c>
      <x:c r="H798" s="31" t="n">
        <x:v>-73.9695367504338</x:v>
      </x:c>
      <x:c r="I798" s="31" t="n">
        <x:v>6122</x:v>
      </x:c>
      <x:c r="J798" s="31" t="n">
        <x:v>80450.32899504322</x:v>
      </x:c>
      <x:c r="K798" s="31"/>
      <x:c r="L798" s="40"/>
      <x:c r="M798" s="40"/>
      <x:c r="N798" s="31" t="n">
        <x:v>306</x:v>
      </x:c>
      <x:c r="O798" s="31" t="n">
        <x:v>2284</x:v>
      </x:c>
      <x:c r="P798" s="31" t="n">
        <x:v>4.8473370064279155</x:v>
      </x:c>
      <x:c r="Q798" s="40" t="n">
        <x:v>0.013134851138353765</x:v>
      </x:c>
      <x:c r="R798" s="40" t="n">
        <x:v>0.7561295971978984</x:v>
      </x:c>
      <x:c r="S798" s="40" t="n">
        <x:v>0.006129597197898424</x:v>
      </x:c>
      <x:c r="T798" s="31" t="n">
        <x:v>56.65357336505263</x:v>
      </x:c>
      <x:c r="U798" s="31" t="n">
        <x:v>123</x:v>
      </x:c>
      <x:c r="V798" s="31" t="n">
        <x:v>32</x:v>
      </x:c>
      <x:c r="W798" s="31" t="n">
        <x:v>5.227049983665468</x:v>
      </x:c>
      <x:c r="X798" s="31" t="n">
        <x:v>3.7513134851138354</x:v>
      </x:c>
      <x:c r="Y798" s="40" t="n">
        <x:v>0.7513134851138353</x:v>
      </x:c>
      <x:c r="Z798" s="40" t="n">
        <x:v>1</x:v>
      </x:c>
      <x:c r="AA798" s="40" t="n">
        <x:v>0.9982486865148862</x:v>
      </x:c>
      <x:c r="AB798" s="31" t="n">
        <x:v>0.17268126796411895</x:v>
      </x:c>
      <x:c r="AC798" s="31" t="n">
        <x:v>7</x:v>
      </x:c>
      <x:c r="AD798" s="44" t="b">
        <x:v>1</x:v>
      </x:c>
    </x:row>
    <x:row r="799">
      <x:c r="A799" s="31" t="str">
        <x:v>36047048400</x:v>
      </x:c>
      <x:c r="B799" s="31" t="str">
        <x:v>Brooklyn</x:v>
      </x:c>
      <x:c r="C799" s="31" t="str">
        <x:v>048400</x:v>
      </x:c>
      <x:c r="D799" s="31" t="str">
        <x:v>BK1203</x:v>
      </x:c>
      <x:c r="E799" s="31" t="str">
        <x:v>Kensington</x:v>
      </x:c>
      <x:c r="F799" s="31" t="n">
        <x:v>0.08077366988995065</x:v>
      </x:c>
      <x:c r="G799" s="31" t="n">
        <x:v>40.63428612537782</x:v>
      </x:c>
      <x:c r="H799" s="31" t="n">
        <x:v>-73.97362710868266</x:v>
      </x:c>
      <x:c r="I799" s="31" t="n">
        <x:v>5922</x:v>
      </x:c>
      <x:c r="J799" s="31" t="n">
        <x:v>73315.97051450523</x:v>
      </x:c>
      <x:c r="K799" s="31"/>
      <x:c r="L799" s="40"/>
      <x:c r="M799" s="40"/>
      <x:c r="N799" s="31" t="n">
        <x:v>328</x:v>
      </x:c>
      <x:c r="O799" s="31" t="n">
        <x:v>1842</x:v>
      </x:c>
      <x:c r="P799" s="31" t="n">
        <x:v>4.52791394335512</x:v>
      </x:c>
      <x:c r="Q799" s="40" t="n">
        <x:v>0</x:v>
      </x:c>
      <x:c r="R799" s="40" t="n">
        <x:v>0.7166123778501629</x:v>
      </x:c>
      <x:c r="S799" s="40" t="n">
        <x:v>0.002171552660152009</x:v>
      </x:c>
      <x:c r="T799" s="31" t="n">
        <x:v>51.60720988745504</x:v>
      </x:c>
      <x:c r="U799" s="31" t="n">
        <x:v>85</x:v>
      </x:c>
      <x:c r="V799" s="31" t="n">
        <x:v>24</x:v>
      </x:c>
      <x:c r="W799" s="31" t="n">
        <x:v>4.052684903748734</x:v>
      </x:c>
      <x:c r="X799" s="31" t="n">
        <x:v>3</x:v>
      </x:c>
      <x:c r="Y799" s="40" t="n">
        <x:v>0</x:v>
      </x:c>
      <x:c r="Z799" s="40" t="n">
        <x:v>1</x:v>
      </x:c>
      <x:c r="AA799" s="40" t="n">
        <x:v>0.996199782844734</x:v>
      </x:c>
      <x:c r="AB799" s="31" t="n">
        <x:v>0.15051227775504303</x:v>
      </x:c>
      <x:c r="AC799" s="31" t="n">
        <x:v>6</x:v>
      </x:c>
      <x:c r="AD799" s="44" t="b">
        <x:v>1</x:v>
      </x:c>
    </x:row>
    <x:row r="800">
      <x:c r="A800" s="31" t="str">
        <x:v>36047048500</x:v>
      </x:c>
      <x:c r="B800" s="31" t="str">
        <x:v>Brooklyn</x:v>
      </x:c>
      <x:c r="C800" s="31" t="str">
        <x:v>048500</x:v>
      </x:c>
      <x:c r="D800" s="31" t="str">
        <x:v>BK0104</x:v>
      </x:c>
      <x:c r="E800" s="31" t="str">
        <x:v>East Williamsburg</x:v>
      </x:c>
      <x:c r="F800" s="31" t="n">
        <x:v>0.224496944478521</x:v>
      </x:c>
      <x:c r="G800" s="31" t="n">
        <x:v>40.70784003740041</x:v>
      </x:c>
      <x:c r="H800" s="31" t="n">
        <x:v>-73.93634524477301</x:v>
      </x:c>
      <x:c r="I800" s="31" t="n">
        <x:v>2470</x:v>
      </x:c>
      <x:c r="J800" s="31" t="n">
        <x:v>11002.376917590163</x:v>
      </x:c>
      <x:c r="K800" s="31"/>
      <x:c r="L800" s="40"/>
      <x:c r="M800" s="40"/>
      <x:c r="N800" s="31" t="n">
        <x:v>165</x:v>
      </x:c>
      <x:c r="O800" s="31" t="n">
        <x:v>872</x:v>
      </x:c>
      <x:c r="P800" s="31" t="n">
        <x:v>3.280389908256881</x:v>
      </x:c>
      <x:c r="Q800" s="40" t="n">
        <x:v>0</x:v>
      </x:c>
      <x:c r="R800" s="40" t="n">
        <x:v>0.7809633027522935</x:v>
      </x:c>
      <x:c r="S800" s="40" t="n">
        <x:v>0.02981651376146789</x:v>
      </x:c>
      <x:c r="T800" s="31" t="n">
        <x:v>42.76008054380623</x:v>
      </x:c>
      <x:c r="U800" s="31" t="n">
        <x:v>85</x:v>
      </x:c>
      <x:c r="V800" s="31" t="n">
        <x:v>10</x:v>
      </x:c>
      <x:c r="W800" s="31" t="n">
        <x:v>4.048582995951417</x:v>
      </x:c>
      <x:c r="X800" s="31" t="n">
        <x:v>3.9977064220183487</x:v>
      </x:c>
      <x:c r="Y800" s="40" t="n">
        <x:v>0.9977064220183486</x:v>
      </x:c>
      <x:c r="Z800" s="40" t="n">
        <x:v>1</x:v>
      </x:c>
      <x:c r="AA800" s="40" t="n">
        <x:v>0.9942660550458715</x:v>
      </x:c>
      <x:c r="AB800" s="31" t="n">
        <x:v>0.18134804853457862</x:v>
      </x:c>
      <x:c r="AC800" s="31" t="n">
        <x:v>4</x:v>
      </x:c>
      <x:c r="AD800" s="44" t="b">
        <x:v>1</x:v>
      </x:c>
    </x:row>
    <x:row r="801">
      <x:c r="A801" s="31" t="str">
        <x:v>36047048600</x:v>
      </x:c>
      <x:c r="B801" s="31" t="str">
        <x:v>Brooklyn</x:v>
      </x:c>
      <x:c r="C801" s="31" t="str">
        <x:v>048600</x:v>
      </x:c>
      <x:c r="D801" s="31" t="str">
        <x:v>BK1203</x:v>
      </x:c>
      <x:c r="E801" s="31" t="str">
        <x:v>Kensington</x:v>
      </x:c>
      <x:c r="F801" s="31" t="n">
        <x:v>0.06773124826388889</x:v>
      </x:c>
      <x:c r="G801" s="31" t="n">
        <x:v>40.63891935887579</x:v>
      </x:c>
      <x:c r="H801" s="31" t="n">
        <x:v>-73.9784256153996</x:v>
      </x:c>
      <x:c r="I801" s="31" t="n">
        <x:v>3597</x:v>
      </x:c>
      <x:c r="J801" s="31" t="n">
        <x:v>53106.94977871463</x:v>
      </x:c>
      <x:c r="K801" s="31"/>
      <x:c r="L801" s="40"/>
      <x:c r="M801" s="40"/>
      <x:c r="N801" s="31" t="n">
        <x:v>298</x:v>
      </x:c>
      <x:c r="O801" s="31" t="n">
        <x:v>929</x:v>
      </x:c>
      <x:c r="P801" s="31" t="n">
        <x:v>2.773681377825619</x:v>
      </x:c>
      <x:c r="Q801" s="40" t="n">
        <x:v>0</x:v>
      </x:c>
      <x:c r="R801" s="40" t="n">
        <x:v>0.49946178686759957</x:v>
      </x:c>
      <x:c r="S801" s="40" t="n">
        <x:v>0.002152852529601722</x:v>
      </x:c>
      <x:c r="T801" s="31" t="n">
        <x:v>33.8580772158127</x:v>
      </x:c>
      <x:c r="U801" s="31" t="n">
        <x:v>47.01247442</x:v>
      </x:c>
      <x:c r="V801" s="31" t="n">
        <x:v>1</x:v>
      </x:c>
      <x:c r="W801" s="31" t="n">
        <x:v>0.2780094523213789</x:v>
      </x:c>
      <x:c r="X801" s="31" t="n">
        <x:v>3</x:v>
      </x:c>
      <x:c r="Y801" s="40" t="n">
        <x:v>0</x:v>
      </x:c>
      <x:c r="Z801" s="40" t="n">
        <x:v>1</x:v>
      </x:c>
      <x:c r="AA801" s="40" t="n">
        <x:v>1</x:v>
      </x:c>
      <x:c r="AB801" s="31" t="n">
        <x:v>0.1091549398999798</x:v>
      </x:c>
      <x:c r="AC801" s="31" t="n">
        <x:v>6</x:v>
      </x:c>
      <x:c r="AD801" s="44" t="b">
        <x:v>1</x:v>
      </x:c>
    </x:row>
    <x:row r="802">
      <x:c r="A802" s="31" t="str">
        <x:v>36047048800</x:v>
      </x:c>
      <x:c r="B802" s="31" t="str">
        <x:v>Brooklyn</x:v>
      </x:c>
      <x:c r="C802" s="31" t="str">
        <x:v>048800</x:v>
      </x:c>
      <x:c r="D802" s="31" t="str">
        <x:v>BK1203</x:v>
      </x:c>
      <x:c r="E802" s="31" t="str">
        <x:v>Kensington</x:v>
      </x:c>
      <x:c r="F802" s="31" t="n">
        <x:v>0.05534249500186524</x:v>
      </x:c>
      <x:c r="G802" s="31" t="n">
        <x:v>40.640477236673945</x:v>
      </x:c>
      <x:c r="H802" s="31" t="n">
        <x:v>-73.97620886123703</x:v>
      </x:c>
      <x:c r="I802" s="31" t="n">
        <x:v>4536</x:v>
      </x:c>
      <x:c r="J802" s="31" t="n">
        <x:v>81962.33292060866</x:v>
      </x:c>
      <x:c r="K802" s="31"/>
      <x:c r="L802" s="40"/>
      <x:c r="M802" s="40"/>
      <x:c r="N802" s="31" t="n">
        <x:v>304</x:v>
      </x:c>
      <x:c r="O802" s="31" t="n">
        <x:v>1473</x:v>
      </x:c>
      <x:c r="P802" s="31" t="n">
        <x:v>5.269008825526137</x:v>
      </x:c>
      <x:c r="Q802" s="40" t="n">
        <x:v>0.19212491513917176</x:v>
      </x:c>
      <x:c r="R802" s="40" t="n">
        <x:v>0.4663951120162933</x:v>
      </x:c>
      <x:c r="S802" s="40" t="n">
        <x:v>0.012219959266802444</x:v>
      </x:c>
      <x:c r="T802" s="31" t="n">
        <x:v>56.434823380135775</x:v>
      </x:c>
      <x:c r="U802" s="31" t="n">
        <x:v>109</x:v>
      </x:c>
      <x:c r="V802" s="31" t="n">
        <x:v>12</x:v>
      </x:c>
      <x:c r="W802" s="31" t="n">
        <x:v>2.6455026455026456</x:v>
      </x:c>
      <x:c r="X802" s="31" t="n">
        <x:v>3</x:v>
      </x:c>
      <x:c r="Y802" s="40" t="n">
        <x:v>0</x:v>
      </x:c>
      <x:c r="Z802" s="40" t="n">
        <x:v>1</x:v>
      </x:c>
      <x:c r="AA802" s="40" t="n">
        <x:v>1</x:v>
      </x:c>
      <x:c r="AB802" s="31" t="n">
        <x:v>0.05846086752915718</x:v>
      </x:c>
      <x:c r="AC802" s="31" t="n">
        <x:v>4</x:v>
      </x:c>
      <x:c r="AD802" s="44" t="b">
        <x:v>1</x:v>
      </x:c>
    </x:row>
    <x:row r="803">
      <x:c r="A803" s="31" t="str">
        <x:v>36047048900</x:v>
      </x:c>
      <x:c r="B803" s="31" t="str">
        <x:v>Brooklyn</x:v>
      </x:c>
      <x:c r="C803" s="31" t="str">
        <x:v>048900</x:v>
      </x:c>
      <x:c r="D803" s="31" t="str">
        <x:v>BK0104</x:v>
      </x:c>
      <x:c r="E803" s="31" t="str">
        <x:v>East Williamsburg</x:v>
      </x:c>
      <x:c r="F803" s="31" t="n">
        <x:v>0.03536065366882604</x:v>
      </x:c>
      <x:c r="G803" s="31" t="n">
        <x:v>40.702920322430174</x:v>
      </x:c>
      <x:c r="H803" s="31" t="n">
        <x:v>-73.939258805038</x:v>
      </x:c>
      <x:c r="I803" s="31" t="n">
        <x:v>3757</x:v>
      </x:c>
      <x:c r="J803" s="31" t="n">
        <x:v>106248.03588719209</x:v>
      </x:c>
      <x:c r="K803" s="31"/>
      <x:c r="L803" s="40"/>
      <x:c r="M803" s="40"/>
      <x:c r="N803" s="31" t="n">
        <x:v>2</x:v>
      </x:c>
      <x:c r="O803" s="31" t="n">
        <x:v>1425</x:v>
      </x:c>
      <x:c r="P803" s="31" t="n">
        <x:v>19.856140350877194</x:v>
      </x:c>
      <x:c r="Q803" s="40" t="n">
        <x:v>1</x:v>
      </x:c>
      <x:c r="R803" s="40" t="n">
        <x:v>0</x:v>
      </x:c>
      <x:c r="S803" s="40" t="n">
        <x:v>0.856140350877193</x:v>
      </x:c>
      <x:c r="T803" s="31" t="n">
        <x:v>193.8035789473684</x:v>
      </x:c>
      <x:c r="U803" s="31" t="n">
        <x:v>194.93</x:v>
      </x:c>
      <x:c r="V803" s="31" t="n">
        <x:v>18</x:v>
      </x:c>
      <x:c r="W803" s="31" t="n">
        <x:v>4.791056694170881</x:v>
      </x:c>
      <x:c r="X803" s="31" t="n">
        <x:v>4</x:v>
      </x:c>
      <x:c r="Y803" s="40" t="n">
        <x:v>1</x:v>
      </x:c>
      <x:c r="Z803" s="40" t="n">
        <x:v>1</x:v>
      </x:c>
      <x:c r="AA803" s="40" t="n">
        <x:v>1</x:v>
      </x:c>
      <x:c r="AB803" s="31" t="n">
        <x:v>0.06520277944003182</x:v>
      </x:c>
      <x:c r="AC803" s="31" t="n">
        <x:v>2</x:v>
      </x:c>
      <x:c r="AD803" s="44" t="b">
        <x:v>1</x:v>
      </x:c>
    </x:row>
    <x:row r="804">
      <x:c r="A804" s="31" t="str">
        <x:v>36047049000</x:v>
      </x:c>
      <x:c r="B804" s="31" t="str">
        <x:v>Brooklyn</x:v>
      </x:c>
      <x:c r="C804" s="31" t="str">
        <x:v>049000</x:v>
      </x:c>
      <x:c r="D804" s="31" t="str">
        <x:v>BK1203</x:v>
      </x:c>
      <x:c r="E804" s="31" t="str">
        <x:v>Kensington</x:v>
      </x:c>
      <x:c r="F804" s="31" t="n">
        <x:v>0.07442580531128042</x:v>
      </x:c>
      <x:c r="G804" s="31" t="n">
        <x:v>40.638115912088665</x:v>
      </x:c>
      <x:c r="H804" s="31" t="n">
        <x:v>-73.97302198746542</x:v>
      </x:c>
      <x:c r="I804" s="31" t="n">
        <x:v>6036</x:v>
      </x:c>
      <x:c r="J804" s="31" t="n">
        <x:v>81100.90276826535</x:v>
      </x:c>
      <x:c r="K804" s="31"/>
      <x:c r="L804" s="40"/>
      <x:c r="M804" s="40"/>
      <x:c r="N804" s="31" t="n">
        <x:v>256</x:v>
      </x:c>
      <x:c r="O804" s="31" t="n">
        <x:v>2271</x:v>
      </x:c>
      <x:c r="P804" s="31" t="n">
        <x:v>5.763076241134752</x:v>
      </x:c>
      <x:c r="Q804" s="40" t="n">
        <x:v>0.06472919418758256</x:v>
      </x:c>
      <x:c r="R804" s="40" t="n">
        <x:v>0.7476882430647291</x:v>
      </x:c>
      <x:c r="S804" s="40" t="n">
        <x:v>0.007485689123734038</x:v>
      </x:c>
      <x:c r="T804" s="31" t="n">
        <x:v>62.67641797642416</x:v>
      </x:c>
      <x:c r="U804" s="31" t="n">
        <x:v>150.4</x:v>
      </x:c>
      <x:c r="V804" s="31" t="n">
        <x:v>34</x:v>
      </x:c>
      <x:c r="W804" s="31" t="n">
        <x:v>5.632869449966865</x:v>
      </x:c>
      <x:c r="X804" s="31" t="n">
        <x:v>3</x:v>
      </x:c>
      <x:c r="Y804" s="40" t="n">
        <x:v>0</x:v>
      </x:c>
      <x:c r="Z804" s="40" t="n">
        <x:v>1</x:v>
      </x:c>
      <x:c r="AA804" s="40" t="n">
        <x:v>0.9986789960369881</x:v>
      </x:c>
      <x:c r="AB804" s="31" t="n">
        <x:v>0.09430991711621406</x:v>
      </x:c>
      <x:c r="AC804" s="31" t="n">
        <x:v>6</x:v>
      </x:c>
      <x:c r="AD804" s="44" t="b">
        <x:v>1</x:v>
      </x:c>
    </x:row>
    <x:row r="805">
      <x:c r="A805" s="31" t="str">
        <x:v>36047049100</x:v>
      </x:c>
      <x:c r="B805" s="31" t="str">
        <x:v>Brooklyn</x:v>
      </x:c>
      <x:c r="C805" s="31" t="str">
        <x:v>049100</x:v>
      </x:c>
      <x:c r="D805" s="31" t="str">
        <x:v>BK0104</x:v>
      </x:c>
      <x:c r="E805" s="31" t="str">
        <x:v>East Williamsburg</x:v>
      </x:c>
      <x:c r="F805" s="31" t="n">
        <x:v>0.08229085777124942</x:v>
      </x:c>
      <x:c r="G805" s="31" t="n">
        <x:v>40.70357304489246</x:v>
      </x:c>
      <x:c r="H805" s="31" t="n">
        <x:v>-73.94410000681548</x:v>
      </x:c>
      <x:c r="I805" s="31" t="n">
        <x:v>6366</x:v>
      </x:c>
      <x:c r="J805" s="31" t="n">
        <x:v>77359.74775832435</x:v>
      </x:c>
      <x:c r="K805" s="31"/>
      <x:c r="L805" s="40"/>
      <x:c r="M805" s="40"/>
      <x:c r="N805" s="31" t="n">
        <x:v>132</x:v>
      </x:c>
      <x:c r="O805" s="31" t="n">
        <x:v>3282</x:v>
      </x:c>
      <x:c r="P805" s="31" t="n">
        <x:v>13.279502625888169</x:v>
      </x:c>
      <x:c r="Q805" s="40" t="n">
        <x:v>0.47105423522242534</x:v>
      </x:c>
      <x:c r="R805" s="40" t="n">
        <x:v>0.5033516148689823</x:v>
      </x:c>
      <x:c r="S805" s="40" t="n">
        <x:v>0.4884216940889701</x:v>
      </x:c>
      <x:c r="T805" s="31" t="n">
        <x:v>130.25165709136795</x:v>
      </x:c>
      <x:c r="U805" s="31" t="n">
        <x:v>203.38</x:v>
      </x:c>
      <x:c r="V805" s="31" t="n">
        <x:v>51</x:v>
      </x:c>
      <x:c r="W805" s="31" t="n">
        <x:v>8.011310084825636</x:v>
      </x:c>
      <x:c r="X805" s="31" t="n">
        <x:v>4</x:v>
      </x:c>
      <x:c r="Y805" s="40" t="n">
        <x:v>1</x:v>
      </x:c>
      <x:c r="Z805" s="40" t="n">
        <x:v>1</x:v>
      </x:c>
      <x:c r="AA805" s="40" t="n">
        <x:v>0.9911639244363193</x:v>
      </x:c>
      <x:c r="AB805" s="31" t="n">
        <x:v>0.14690068999725875</x:v>
      </x:c>
      <x:c r="AC805" s="31" t="n">
        <x:v>7</x:v>
      </x:c>
      <x:c r="AD805" s="44" t="b">
        <x:v>1</x:v>
      </x:c>
    </x:row>
    <x:row r="806">
      <x:c r="A806" s="31" t="str">
        <x:v>36047049200</x:v>
      </x:c>
      <x:c r="B806" s="31" t="str">
        <x:v>Brooklyn</x:v>
      </x:c>
      <x:c r="C806" s="31" t="str">
        <x:v>049200</x:v>
      </x:c>
      <x:c r="D806" s="31" t="str">
        <x:v>BK1203</x:v>
      </x:c>
      <x:c r="E806" s="31" t="str">
        <x:v>Kensington</x:v>
      </x:c>
      <x:c r="F806" s="31" t="n">
        <x:v>0.06385238497510617</x:v>
      </x:c>
      <x:c r="G806" s="31" t="n">
        <x:v>40.640907445686516</x:v>
      </x:c>
      <x:c r="H806" s="31" t="n">
        <x:v>-73.97020471658251</x:v>
      </x:c>
      <x:c r="I806" s="31" t="n">
        <x:v>3366</x:v>
      </x:c>
      <x:c r="J806" s="31" t="n">
        <x:v>52715.33712189899</x:v>
      </x:c>
      <x:c r="K806" s="31"/>
      <x:c r="L806" s="40"/>
      <x:c r="M806" s="40"/>
      <x:c r="N806" s="31" t="n">
        <x:v>272</x:v>
      </x:c>
      <x:c r="O806" s="31" t="n">
        <x:v>1161</x:v>
      </x:c>
      <x:c r="P806" s="31" t="n">
        <x:v>4.4713608957795</x:v>
      </x:c>
      <x:c r="Q806" s="40" t="n">
        <x:v>0</x:v>
      </x:c>
      <x:c r="R806" s="40" t="n">
        <x:v>0.6890611541774333</x:v>
      </x:c>
      <x:c r="S806" s="40" t="n">
        <x:v>0.00516795865633075</x:v>
      </x:c>
      <x:c r="T806" s="31" t="n">
        <x:v>48.49455667358573</x:v>
      </x:c>
      <x:c r="U806" s="31" t="n">
        <x:v>69.67</x:v>
      </x:c>
      <x:c r="V806" s="31" t="n">
        <x:v>14</x:v>
      </x:c>
      <x:c r="W806" s="31" t="n">
        <x:v>4.159239453357101</x:v>
      </x:c>
      <x:c r="X806" s="31" t="n">
        <x:v>3</x:v>
      </x:c>
      <x:c r="Y806" s="40" t="n">
        <x:v>0</x:v>
      </x:c>
      <x:c r="Z806" s="40" t="n">
        <x:v>1</x:v>
      </x:c>
      <x:c r="AA806" s="40" t="n">
        <x:v>0.9896640826873385</x:v>
      </x:c>
      <x:c r="AB806" s="31" t="n">
        <x:v>0.19428369447888724</x:v>
      </x:c>
      <x:c r="AC806" s="31" t="n">
        <x:v>8</x:v>
      </x:c>
      <x:c r="AD806" s="44" t="b">
        <x:v>1</x:v>
      </x:c>
    </x:row>
    <x:row r="807">
      <x:c r="A807" s="31" t="str">
        <x:v>36047049301</x:v>
      </x:c>
      <x:c r="B807" s="31" t="str">
        <x:v>Brooklyn</x:v>
      </x:c>
      <x:c r="C807" s="31" t="str">
        <x:v>049301</x:v>
      </x:c>
      <x:c r="D807" s="31" t="str">
        <x:v>BK0104</x:v>
      </x:c>
      <x:c r="E807" s="31" t="str">
        <x:v>East Williamsburg</x:v>
      </x:c>
      <x:c r="F807" s="31" t="n">
        <x:v>0.026185612632324665</x:v>
      </x:c>
      <x:c r="G807" s="31" t="n">
        <x:v>40.71000073409822</x:v>
      </x:c>
      <x:c r="H807" s="31" t="n">
        <x:v>-73.94193358989682</x:v>
      </x:c>
      <x:c r="I807" s="31" t="n">
        <x:v>1897</x:v>
      </x:c>
      <x:c r="J807" s="31" t="n">
        <x:v>72444.36197220226</x:v>
      </x:c>
      <x:c r="K807" s="31"/>
      <x:c r="L807" s="40"/>
      <x:c r="M807" s="40"/>
      <x:c r="N807" s="31" t="n">
        <x:v>2</x:v>
      </x:c>
      <x:c r="O807" s="31" t="n">
        <x:v>964</x:v>
      </x:c>
      <x:c r="P807" s="31" t="n">
        <x:v>4</x:v>
      </x:c>
      <x:c r="Q807" s="40" t="n">
        <x:v>0</x:v>
      </x:c>
      <x:c r="R807" s="40" t="n">
        <x:v>1</x:v>
      </x:c>
      <x:c r="S807" s="40" t="n">
        <x:v>1</x:v>
      </x:c>
      <x:c r="T807" s="31" t="n">
        <x:v>42.665726141078835</x:v>
      </x:c>
      <x:c r="U807" s="31" t="n">
        <x:v>43.54</x:v>
      </x:c>
      <x:c r="V807" s="31" t="n">
        <x:v>0</x:v>
      </x:c>
      <x:c r="W807" s="31" t="n">
        <x:v>0</x:v>
      </x:c>
      <x:c r="X807" s="31" t="n">
        <x:v>4</x:v>
      </x:c>
      <x:c r="Y807" s="40" t="n">
        <x:v>1</x:v>
      </x:c>
      <x:c r="Z807" s="40" t="n">
        <x:v>1</x:v>
      </x:c>
      <x:c r="AA807" s="40" t="n">
        <x:v>1</x:v>
      </x:c>
      <x:c r="AB807" s="31" t="n">
        <x:v>0.13554858164341865</x:v>
      </x:c>
      <x:c r="AC807" s="31" t="n">
        <x:v>4</x:v>
      </x:c>
      <x:c r="AD807" s="44" t="b">
        <x:v>1</x:v>
      </x:c>
    </x:row>
    <x:row r="808">
      <x:c r="A808" s="31" t="str">
        <x:v>36047049302</x:v>
      </x:c>
      <x:c r="B808" s="31" t="str">
        <x:v>Brooklyn</x:v>
      </x:c>
      <x:c r="C808" s="31" t="str">
        <x:v>049302</x:v>
      </x:c>
      <x:c r="D808" s="31" t="str">
        <x:v>BK0104</x:v>
      </x:c>
      <x:c r="E808" s="31" t="str">
        <x:v>East Williamsburg</x:v>
      </x:c>
      <x:c r="F808" s="31" t="n">
        <x:v>0.06188269014505854</x:v>
      </x:c>
      <x:c r="G808" s="31" t="n">
        <x:v>40.706879429284655</x:v>
      </x:c>
      <x:c r="H808" s="31" t="n">
        <x:v>-73.94110788136032</x:v>
      </x:c>
      <x:c r="I808" s="31" t="n">
        <x:v>5476</x:v>
      </x:c>
      <x:c r="J808" s="31" t="n">
        <x:v>88490.01210457672</x:v>
      </x:c>
      <x:c r="K808" s="31"/>
      <x:c r="L808" s="40"/>
      <x:c r="M808" s="40"/>
      <x:c r="N808" s="31" t="n">
        <x:v>228</x:v>
      </x:c>
      <x:c r="O808" s="31" t="n">
        <x:v>2809</x:v>
      </x:c>
      <x:c r="P808" s="31" t="n">
        <x:v>5.968225633702249</x:v>
      </x:c>
      <x:c r="Q808" s="40" t="n">
        <x:v>0.05767176931292275</x:v>
      </x:c>
      <x:c r="R808" s="40" t="n">
        <x:v>0.9270202919188323</x:v>
      </x:c>
      <x:c r="S808" s="40" t="n">
        <x:v>0.046279814880740476</x:v>
      </x:c>
      <x:c r="T808" s="31" t="n">
        <x:v>65.25537588410208</x:v>
      </x:c>
      <x:c r="U808" s="31" t="n">
        <x:v>216</x:v>
      </x:c>
      <x:c r="V808" s="31" t="n">
        <x:v>43</x:v>
      </x:c>
      <x:c r="W808" s="31" t="n">
        <x:v>7.852447041636231</x:v>
      </x:c>
      <x:c r="X808" s="31" t="n">
        <x:v>4</x:v>
      </x:c>
      <x:c r="Y808" s="40" t="n">
        <x:v>1</x:v>
      </x:c>
      <x:c r="Z808" s="40" t="n">
        <x:v>1</x:v>
      </x:c>
      <x:c r="AA808" s="40" t="n">
        <x:v>0.9416162335350658</x:v>
      </x:c>
      <x:c r="AB808" s="31" t="n">
        <x:v>0.07781634443460043</x:v>
      </x:c>
      <x:c r="AC808" s="31" t="n">
        <x:v>3</x:v>
      </x:c>
      <x:c r="AD808" s="44" t="b">
        <x:v>1</x:v>
      </x:c>
    </x:row>
    <x:row r="809">
      <x:c r="A809" s="31" t="str">
        <x:v>36047049400</x:v>
      </x:c>
      <x:c r="B809" s="31" t="str">
        <x:v>Brooklyn</x:v>
      </x:c>
      <x:c r="C809" s="31" t="str">
        <x:v>049400</x:v>
      </x:c>
      <x:c r="D809" s="31" t="str">
        <x:v>BK1203</x:v>
      </x:c>
      <x:c r="E809" s="31" t="str">
        <x:v>Kensington</x:v>
      </x:c>
      <x:c r="F809" s="31" t="n">
        <x:v>0.07069414632762282</x:v>
      </x:c>
      <x:c r="G809" s="31" t="n">
        <x:v>40.642964005726185</x:v>
      </x:c>
      <x:c r="H809" s="31" t="n">
        <x:v>-73.97382056943519</x:v>
      </x:c>
      <x:c r="I809" s="31" t="n">
        <x:v>5527</x:v>
      </x:c>
      <x:c r="J809" s="31" t="n">
        <x:v>78181.86210759004</x:v>
      </x:c>
      <x:c r="K809" s="31"/>
      <x:c r="L809" s="40"/>
      <x:c r="M809" s="40"/>
      <x:c r="N809" s="31" t="n">
        <x:v>251</x:v>
      </x:c>
      <x:c r="O809" s="31" t="n">
        <x:v>2106</x:v>
      </x:c>
      <x:c r="P809" s="31" t="n">
        <x:v>5.107905982905983</x:v>
      </x:c>
      <x:c r="Q809" s="40" t="n">
        <x:v>0</x:v>
      </x:c>
      <x:c r="R809" s="40" t="n">
        <x:v>0.8105413105413105</x:v>
      </x:c>
      <x:c r="S809" s="40" t="n">
        <x:v>0.037037037037037035</x:v>
      </x:c>
      <x:c r="T809" s="31" t="n">
        <x:v>56.780400425451525</x:v>
      </x:c>
      <x:c r="U809" s="31" t="n">
        <x:v>80</x:v>
      </x:c>
      <x:c r="V809" s="31" t="n">
        <x:v>36</x:v>
      </x:c>
      <x:c r="W809" s="31" t="n">
        <x:v>6.513479283517279</x:v>
      </x:c>
      <x:c r="X809" s="31" t="n">
        <x:v>3</x:v>
      </x:c>
      <x:c r="Y809" s="40" t="n">
        <x:v>0</x:v>
      </x:c>
      <x:c r="Z809" s="40" t="n">
        <x:v>1</x:v>
      </x:c>
      <x:c r="AA809" s="40" t="n">
        <x:v>0.9990503323836657</x:v>
      </x:c>
      <x:c r="AB809" s="31" t="n">
        <x:v>0.20240125200292217</x:v>
      </x:c>
      <x:c r="AC809" s="31" t="n">
        <x:v>5</x:v>
      </x:c>
      <x:c r="AD809" s="44" t="b">
        <x:v>1</x:v>
      </x:c>
    </x:row>
    <x:row r="810">
      <x:c r="A810" s="31" t="str">
        <x:v>36047049500</x:v>
      </x:c>
      <x:c r="B810" s="31" t="str">
        <x:v>Brooklyn</x:v>
      </x:c>
      <x:c r="C810" s="31" t="str">
        <x:v>049500</x:v>
      </x:c>
      <x:c r="D810" s="31" t="str">
        <x:v>BK0104</x:v>
      </x:c>
      <x:c r="E810" s="31" t="str">
        <x:v>East Williamsburg</x:v>
      </x:c>
      <x:c r="F810" s="31" t="n">
        <x:v>0.04984944488636364</x:v>
      </x:c>
      <x:c r="G810" s="31" t="n">
        <x:v>40.71236244336368</x:v>
      </x:c>
      <x:c r="H810" s="31" t="n">
        <x:v>-73.94335676732403</x:v>
      </x:c>
      <x:c r="I810" s="31" t="n">
        <x:v>3114</x:v>
      </x:c>
      <x:c r="J810" s="31" t="n">
        <x:v>62468.09783135293</x:v>
      </x:c>
      <x:c r="K810" s="31"/>
      <x:c r="L810" s="40"/>
      <x:c r="M810" s="40"/>
      <x:c r="N810" s="31" t="n">
        <x:v>341</x:v>
      </x:c>
      <x:c r="O810" s="31" t="n">
        <x:v>1556</x:v>
      </x:c>
      <x:c r="P810" s="31" t="n">
        <x:v>4.134118786313751</x:v>
      </x:c>
      <x:c r="Q810" s="40" t="n">
        <x:v>0</x:v>
      </x:c>
      <x:c r="R810" s="40" t="n">
        <x:v>0.8643958868894601</x:v>
      </x:c>
      <x:c r="S810" s="40" t="n">
        <x:v>0.021850899742930592</x:v>
      </x:c>
      <x:c r="T810" s="31" t="n">
        <x:v>44.819888473197864</x:v>
      </x:c>
      <x:c r="U810" s="31" t="n">
        <x:v>96</x:v>
      </x:c>
      <x:c r="V810" s="31" t="n">
        <x:v>24</x:v>
      </x:c>
      <x:c r="W810" s="31" t="n">
        <x:v>7.707129094412331</x:v>
      </x:c>
      <x:c r="X810" s="31" t="n">
        <x:v>3.2011568123393315</x:v>
      </x:c>
      <x:c r="Y810" s="40" t="n">
        <x:v>0.2011568123393316</x:v>
      </x:c>
      <x:c r="Z810" s="40" t="n">
        <x:v>1</x:v>
      </x:c>
      <x:c r="AA810" s="40" t="n">
        <x:v>0.9646529562982005</x:v>
      </x:c>
      <x:c r="AB810" s="31" t="n">
        <x:v>0.05474221691800469</x:v>
      </x:c>
      <x:c r="AC810" s="31" t="n">
        <x:v>5</x:v>
      </x:c>
      <x:c r="AD810" s="44" t="b">
        <x:v>1</x:v>
      </x:c>
    </x:row>
    <x:row r="811">
      <x:c r="A811" s="31" t="str">
        <x:v>36047049600</x:v>
      </x:c>
      <x:c r="B811" s="31" t="str">
        <x:v>Brooklyn</x:v>
      </x:c>
      <x:c r="C811" s="31" t="str">
        <x:v>049600</x:v>
      </x:c>
      <x:c r="D811" s="31" t="str">
        <x:v>BK1203</x:v>
      </x:c>
      <x:c r="E811" s="31" t="str">
        <x:v>Kensington</x:v>
      </x:c>
      <x:c r="F811" s="31" t="n">
        <x:v>0.07836918487108299</x:v>
      </x:c>
      <x:c r="G811" s="31" t="n">
        <x:v>40.64368710359006</x:v>
      </x:c>
      <x:c r="H811" s="31" t="n">
        <x:v>-73.98043785223916</x:v>
      </x:c>
      <x:c r="I811" s="31" t="n">
        <x:v>4646</x:v>
      </x:c>
      <x:c r="J811" s="31" t="n">
        <x:v>59283.50547020046</x:v>
      </x:c>
      <x:c r="K811" s="31"/>
      <x:c r="L811" s="40"/>
      <x:c r="M811" s="40"/>
      <x:c r="N811" s="31" t="n">
        <x:v>469</x:v>
      </x:c>
      <x:c r="O811" s="31" t="n">
        <x:v>1398</x:v>
      </x:c>
      <x:c r="P811" s="31" t="n">
        <x:v>2.984263233190272</x:v>
      </x:c>
      <x:c r="Q811" s="40" t="n">
        <x:v>0</x:v>
      </x:c>
      <x:c r="R811" s="40" t="n">
        <x:v>0.39413447782546496</x:v>
      </x:c>
      <x:c r="S811" s="40" t="n">
        <x:v>0.006437768240343348</x:v>
      </x:c>
      <x:c r="T811" s="31" t="n">
        <x:v>35.850439875884476</x:v>
      </x:c>
      <x:c r="U811" s="31" t="n">
        <x:v>66.55</x:v>
      </x:c>
      <x:c r="V811" s="31" t="n">
        <x:v>5</x:v>
      </x:c>
      <x:c r="W811" s="31" t="n">
        <x:v>1.076194575979337</x:v>
      </x:c>
      <x:c r="X811" s="31" t="n">
        <x:v>3</x:v>
      </x:c>
      <x:c r="Y811" s="40" t="n">
        <x:v>0</x:v>
      </x:c>
      <x:c r="Z811" s="40" t="n">
        <x:v>1</x:v>
      </x:c>
      <x:c r="AA811" s="40" t="n">
        <x:v>0.9907010014306151</x:v>
      </x:c>
      <x:c r="AB811" s="31" t="n">
        <x:v>0.12409982592536566</x:v>
      </x:c>
      <x:c r="AC811" s="31" t="n">
        <x:v>8</x:v>
      </x:c>
      <x:c r="AD811" s="44" t="b">
        <x:v>1</x:v>
      </x:c>
    </x:row>
    <x:row r="812">
      <x:c r="A812" s="31" t="str">
        <x:v>36047049700</x:v>
      </x:c>
      <x:c r="B812" s="31" t="str">
        <x:v>Brooklyn</x:v>
      </x:c>
      <x:c r="C812" s="31" t="str">
        <x:v>049700</x:v>
      </x:c>
      <x:c r="D812" s="31" t="str">
        <x:v>BK0104</x:v>
      </x:c>
      <x:c r="E812" s="31" t="str">
        <x:v>East Williamsburg</x:v>
      </x:c>
      <x:c r="F812" s="31" t="n">
        <x:v>0.0635934620534177</x:v>
      </x:c>
      <x:c r="G812" s="31" t="n">
        <x:v>40.71621880963362</x:v>
      </x:c>
      <x:c r="H812" s="31" t="n">
        <x:v>-73.94459622924512</x:v>
      </x:c>
      <x:c r="I812" s="31" t="n">
        <x:v>3141</x:v>
      </x:c>
      <x:c r="J812" s="31" t="n">
        <x:v>49391.86983343665</x:v>
      </x:c>
      <x:c r="K812" s="31"/>
      <x:c r="L812" s="40"/>
      <x:c r="M812" s="40"/>
      <x:c r="N812" s="31" t="n">
        <x:v>390</x:v>
      </x:c>
      <x:c r="O812" s="31" t="n">
        <x:v>2026</x:v>
      </x:c>
      <x:c r="P812" s="31" t="n">
        <x:v>4.187407224146462</x:v>
      </x:c>
      <x:c r="Q812" s="40" t="n">
        <x:v>0.016288252714708785</x:v>
      </x:c>
      <x:c r="R812" s="40" t="n">
        <x:v>0.8958538993089832</x:v>
      </x:c>
      <x:c r="S812" s="40" t="n">
        <x:v>0.04837117472852912</x:v>
      </x:c>
      <x:c r="T812" s="31" t="n">
        <x:v>48.04561090363444</x:v>
      </x:c>
      <x:c r="U812" s="31" t="n">
        <x:v>138</x:v>
      </x:c>
      <x:c r="V812" s="31" t="n">
        <x:v>27</x:v>
      </x:c>
      <x:c r="W812" s="31" t="n">
        <x:v>8.595988538681949</x:v>
      </x:c>
      <x:c r="X812" s="31" t="n">
        <x:v>3</x:v>
      </x:c>
      <x:c r="Y812" s="40" t="n">
        <x:v>0</x:v>
      </x:c>
      <x:c r="Z812" s="40" t="n">
        <x:v>1</x:v>
      </x:c>
      <x:c r="AA812" s="40" t="n">
        <x:v>0.9343534057255676</x:v>
      </x:c>
      <x:c r="AB812" s="31" t="n">
        <x:v>0.1119973190990526</x:v>
      </x:c>
      <x:c r="AC812" s="31" t="n">
        <x:v>5</x:v>
      </x:c>
      <x:c r="AD812" s="44" t="b">
        <x:v>1</x:v>
      </x:c>
    </x:row>
    <x:row r="813">
      <x:c r="A813" s="31" t="str">
        <x:v>36047049800</x:v>
      </x:c>
      <x:c r="B813" s="31" t="str">
        <x:v>Brooklyn</x:v>
      </x:c>
      <x:c r="C813" s="31" t="str">
        <x:v>049800</x:v>
      </x:c>
      <x:c r="D813" s="31" t="str">
        <x:v>BK1203</x:v>
      </x:c>
      <x:c r="E813" s="31" t="str">
        <x:v>Kensington</x:v>
      </x:c>
      <x:c r="F813" s="31" t="n">
        <x:v>0.07890596940211776</x:v>
      </x:c>
      <x:c r="G813" s="31" t="n">
        <x:v>40.645429487389436</x:v>
      </x:c>
      <x:c r="H813" s="31" t="n">
        <x:v>-73.98268113958669</x:v>
      </x:c>
      <x:c r="I813" s="31" t="n">
        <x:v>4517</x:v>
      </x:c>
      <x:c r="J813" s="31" t="n">
        <x:v>57245.35208458852</x:v>
      </x:c>
      <x:c r="K813" s="31"/>
      <x:c r="L813" s="40"/>
      <x:c r="M813" s="40"/>
      <x:c r="N813" s="31" t="n">
        <x:v>394</x:v>
      </x:c>
      <x:c r="O813" s="31" t="n">
        <x:v>1636</x:v>
      </x:c>
      <x:c r="P813" s="31" t="n">
        <x:v>3.655226161369193</x:v>
      </x:c>
      <x:c r="Q813" s="40" t="n">
        <x:v>0</x:v>
      </x:c>
      <x:c r="R813" s="40" t="n">
        <x:v>0.4504889975550122</x:v>
      </x:c>
      <x:c r="S813" s="40" t="n">
        <x:v>0.16931540342298287</x:v>
      </x:c>
      <x:c r="T813" s="31" t="n">
        <x:v>43.31463456768949</x:v>
      </x:c>
      <x:c r="U813" s="31" t="n">
        <x:v>71</x:v>
      </x:c>
      <x:c r="V813" s="31" t="n">
        <x:v>12</x:v>
      </x:c>
      <x:c r="W813" s="31" t="n">
        <x:v>2.656630506973655</x:v>
      </x:c>
      <x:c r="X813" s="31" t="n">
        <x:v>3</x:v>
      </x:c>
      <x:c r="Y813" s="40" t="n">
        <x:v>0</x:v>
      </x:c>
      <x:c r="Z813" s="40" t="n">
        <x:v>1</x:v>
      </x:c>
      <x:c r="AA813" s="40" t="n">
        <x:v>1</x:v>
      </x:c>
      <x:c r="AB813" s="31" t="n">
        <x:v>0.11570520681927753</x:v>
      </x:c>
      <x:c r="AC813" s="31" t="n">
        <x:v>5</x:v>
      </x:c>
      <x:c r="AD813" s="44" t="b">
        <x:v>1</x:v>
      </x:c>
    </x:row>
    <x:row r="814">
      <x:c r="A814" s="31" t="str">
        <x:v>36047049900</x:v>
      </x:c>
      <x:c r="B814" s="31" t="str">
        <x:v>Brooklyn</x:v>
      </x:c>
      <x:c r="C814" s="31" t="str">
        <x:v>049900</x:v>
      </x:c>
      <x:c r="D814" s="31" t="str">
        <x:v>BK0101</x:v>
      </x:c>
      <x:c r="E814" s="31" t="str">
        <x:v>Greenpoint</x:v>
      </x:c>
      <x:c r="F814" s="31" t="n">
        <x:v>0.0548904122718664</x:v>
      </x:c>
      <x:c r="G814" s="31" t="n">
        <x:v>40.720908421469495</x:v>
      </x:c>
      <x:c r="H814" s="31" t="n">
        <x:v>-73.94687603589534</x:v>
      </x:c>
      <x:c r="I814" s="31" t="n">
        <x:v>2147</x:v>
      </x:c>
      <x:c r="J814" s="31" t="n">
        <x:v>39114.299039441285</x:v>
      </x:c>
      <x:c r="K814" s="31"/>
      <x:c r="L814" s="40"/>
      <x:c r="M814" s="40"/>
      <x:c r="N814" s="31" t="n">
        <x:v>202</x:v>
      </x:c>
      <x:c r="O814" s="31" t="n">
        <x:v>1403</x:v>
      </x:c>
      <x:c r="P814" s="31" t="n">
        <x:v>4.354668674698795</x:v>
      </x:c>
      <x:c r="Q814" s="40" t="n">
        <x:v>0.011404133998574484</x:v>
      </x:c>
      <x:c r="R814" s="40" t="n">
        <x:v>0.872416250890948</x:v>
      </x:c>
      <x:c r="S814" s="40" t="n">
        <x:v>0.018531717747683536</x:v>
      </x:c>
      <x:c r="T814" s="31" t="n">
        <x:v>50.209817082082125</x:v>
      </x:c>
      <x:c r="U814" s="31" t="n">
        <x:v>101</x:v>
      </x:c>
      <x:c r="V814" s="31" t="n">
        <x:v>29</x:v>
      </x:c>
      <x:c r="W814" s="31" t="n">
        <x:v>13.50721937587331</x:v>
      </x:c>
      <x:c r="X814" s="31" t="n">
        <x:v>3</x:v>
      </x:c>
      <x:c r="Y814" s="40" t="n">
        <x:v>0</x:v>
      </x:c>
      <x:c r="Z814" s="40" t="n">
        <x:v>1</x:v>
      </x:c>
      <x:c r="AA814" s="40" t="n">
        <x:v>0.9893086243763364</x:v>
      </x:c>
      <x:c r="AB814" s="31" t="n">
        <x:v>0.10408739782884902</x:v>
      </x:c>
      <x:c r="AC814" s="31" t="n">
        <x:v>6</x:v>
      </x:c>
      <x:c r="AD814" s="44" t="b">
        <x:v>1</x:v>
      </x:c>
    </x:row>
    <x:row r="815">
      <x:c r="A815" s="31" t="str">
        <x:v>36047050001</x:v>
      </x:c>
      <x:c r="B815" s="31" t="str">
        <x:v>Brooklyn</x:v>
      </x:c>
      <x:c r="C815" s="31" t="str">
        <x:v>050001</x:v>
      </x:c>
      <x:c r="D815" s="31" t="str">
        <x:v>BK0701</x:v>
      </x:c>
      <x:c r="E815" s="31" t="str">
        <x:v>Windsor Terrace-South Slope</x:v>
      </x:c>
      <x:c r="F815" s="31" t="n">
        <x:v>0.05427573422183482</x:v>
      </x:c>
      <x:c r="G815" s="31" t="n">
        <x:v>40.64901130694943</x:v>
      </x:c>
      <x:c r="H815" s="31" t="n">
        <x:v>-73.97781344834101</x:v>
      </x:c>
      <x:c r="I815" s="31" t="n">
        <x:v>2062</x:v>
      </x:c>
      <x:c r="J815" s="31" t="n">
        <x:v>37991.194952282545</x:v>
      </x:c>
      <x:c r="K815" s="31"/>
      <x:c r="L815" s="40"/>
      <x:c r="M815" s="40"/>
      <x:c r="N815" s="31" t="n">
        <x:v>224</x:v>
      </x:c>
      <x:c r="O815" s="31" t="n">
        <x:v>936</x:v>
      </x:c>
      <x:c r="P815" s="31" t="n">
        <x:v>4.120993589743589</x:v>
      </x:c>
      <x:c r="Q815" s="40" t="n">
        <x:v>0</x:v>
      </x:c>
      <x:c r="R815" s="40" t="n">
        <x:v>0.6527777777777778</x:v>
      </x:c>
      <x:c r="S815" s="40" t="n">
        <x:v>0</x:v>
      </x:c>
      <x:c r="T815" s="31" t="n">
        <x:v>46.29538081502136</x:v>
      </x:c>
      <x:c r="U815" s="31" t="n">
        <x:v>65.94</x:v>
      </x:c>
      <x:c r="V815" s="31" t="n">
        <x:v>11</x:v>
      </x:c>
      <x:c r="W815" s="31" t="n">
        <x:v>5.33462657613967</x:v>
      </x:c>
      <x:c r="X815" s="31" t="n">
        <x:v>3</x:v>
      </x:c>
      <x:c r="Y815" s="40" t="n">
        <x:v>0</x:v>
      </x:c>
      <x:c r="Z815" s="40" t="n">
        <x:v>1</x:v>
      </x:c>
      <x:c r="AA815" s="40" t="n">
        <x:v>1</x:v>
      </x:c>
      <x:c r="AB815" s="31" t="n">
        <x:v>0.05883871922125431</x:v>
      </x:c>
      <x:c r="AC815" s="31" t="n">
        <x:v>7</x:v>
      </x:c>
      <x:c r="AD815" s="44" t="b">
        <x:v>1</x:v>
      </x:c>
    </x:row>
    <x:row r="816">
      <x:c r="A816" s="31" t="str">
        <x:v>36047050002</x:v>
      </x:c>
      <x:c r="B816" s="31" t="str">
        <x:v>Brooklyn</x:v>
      </x:c>
      <x:c r="C816" s="31" t="str">
        <x:v>050002</x:v>
      </x:c>
      <x:c r="D816" s="31" t="str">
        <x:v>BK1203</x:v>
      </x:c>
      <x:c r="E816" s="31" t="str">
        <x:v>Kensington</x:v>
      </x:c>
      <x:c r="F816" s="31" t="n">
        <x:v>0.023734508223642675</x:v>
      </x:c>
      <x:c r="G816" s="31" t="n">
        <x:v>40.6465905116671</x:v>
      </x:c>
      <x:c r="H816" s="31" t="n">
        <x:v>-73.97651359086372</x:v>
      </x:c>
      <x:c r="I816" s="31" t="n">
        <x:v>1607</x:v>
      </x:c>
      <x:c r="J816" s="31" t="n">
        <x:v>67707.3223872074</x:v>
      </x:c>
      <x:c r="K816" s="31"/>
      <x:c r="L816" s="40"/>
      <x:c r="M816" s="40"/>
      <x:c r="N816" s="31" t="n">
        <x:v>133</x:v>
      </x:c>
      <x:c r="O816" s="31" t="n">
        <x:v>706</x:v>
      </x:c>
      <x:c r="P816" s="31" t="n">
        <x:v>4.8410056657223794</x:v>
      </x:c>
      <x:c r="Q816" s="40" t="n">
        <x:v>0</x:v>
      </x:c>
      <x:c r="R816" s="40" t="n">
        <x:v>0.6983002832861189</x:v>
      </x:c>
      <x:c r="S816" s="40" t="n">
        <x:v>0</x:v>
      </x:c>
      <x:c r="T816" s="31" t="n">
        <x:v>54.2730411784136</x:v>
      </x:c>
      <x:c r="U816" s="31" t="n">
        <x:v>79.14207982</x:v>
      </x:c>
      <x:c r="V816" s="31" t="n">
        <x:v>12</x:v>
      </x:c>
      <x:c r="W816" s="31" t="n">
        <x:v>7.4673304293715</x:v>
      </x:c>
      <x:c r="X816" s="31" t="n">
        <x:v>3</x:v>
      </x:c>
      <x:c r="Y816" s="40" t="n">
        <x:v>0</x:v>
      </x:c>
      <x:c r="Z816" s="40" t="n">
        <x:v>1</x:v>
      </x:c>
      <x:c r="AA816" s="40" t="n">
        <x:v>1</x:v>
      </x:c>
      <x:c r="AB816" s="31" t="n">
        <x:v>0.14794493397275238</x:v>
      </x:c>
      <x:c r="AC816" s="31" t="n">
        <x:v>4</x:v>
      </x:c>
      <x:c r="AD816" s="44" t="b">
        <x:v>1</x:v>
      </x:c>
    </x:row>
    <x:row r="817">
      <x:c r="A817" s="31" t="str">
        <x:v>36047050100</x:v>
      </x:c>
      <x:c r="B817" s="31" t="str">
        <x:v>Brooklyn</x:v>
      </x:c>
      <x:c r="C817" s="31" t="str">
        <x:v>050100</x:v>
      </x:c>
      <x:c r="D817" s="31" t="str">
        <x:v>BK0104</x:v>
      </x:c>
      <x:c r="E817" s="31" t="str">
        <x:v>East Williamsburg</x:v>
      </x:c>
      <x:c r="F817" s="31" t="n">
        <x:v>0.06662706726139232</x:v>
      </x:c>
      <x:c r="G817" s="31" t="n">
        <x:v>40.71573384774565</x:v>
      </x:c>
      <x:c r="H817" s="31" t="n">
        <x:v>-73.94891985042788</x:v>
      </x:c>
      <x:c r="I817" s="31" t="n">
        <x:v>2951</x:v>
      </x:c>
      <x:c r="J817" s="31" t="n">
        <x:v>44291.308642215816</x:v>
      </x:c>
      <x:c r="K817" s="31"/>
      <x:c r="L817" s="40"/>
      <x:c r="M817" s="40"/>
      <x:c r="N817" s="31" t="n">
        <x:v>385</x:v>
      </x:c>
      <x:c r="O817" s="31" t="n">
        <x:v>1883</x:v>
      </x:c>
      <x:c r="P817" s="31" t="n">
        <x:v>4.0512</x:v>
      </x:c>
      <x:c r="Q817" s="40" t="n">
        <x:v>0.025491237387148168</x:v>
      </x:c>
      <x:c r="R817" s="40" t="n">
        <x:v>0.8465215082315454</x:v>
      </x:c>
      <x:c r="S817" s="40" t="n">
        <x:v>0.012214551248008496</x:v>
      </x:c>
      <x:c r="T817" s="31" t="n">
        <x:v>47.26682782183815</x:v>
      </x:c>
      <x:c r="U817" s="31" t="n">
        <x:v>106</x:v>
      </x:c>
      <x:c r="V817" s="31" t="n">
        <x:v>25</x:v>
      </x:c>
      <x:c r="W817" s="31" t="n">
        <x:v>8.471704506946796</x:v>
      </x:c>
      <x:c r="X817" s="31" t="n">
        <x:v>3</x:v>
      </x:c>
      <x:c r="Y817" s="40" t="n">
        <x:v>0</x:v>
      </x:c>
      <x:c r="Z817" s="40" t="n">
        <x:v>1</x:v>
      </x:c>
      <x:c r="AA817" s="40" t="n">
        <x:v>0.9187466808284652</x:v>
      </x:c>
      <x:c r="AB817" s="31" t="n">
        <x:v>0.15307447539222438</x:v>
      </x:c>
      <x:c r="AC817" s="31" t="n">
        <x:v>7</x:v>
      </x:c>
      <x:c r="AD817" s="44" t="b">
        <x:v>1</x:v>
      </x:c>
    </x:row>
    <x:row r="818">
      <x:c r="A818" s="31" t="str">
        <x:v>36047050202</x:v>
      </x:c>
      <x:c r="B818" s="31" t="str">
        <x:v>Brooklyn</x:v>
      </x:c>
      <x:c r="C818" s="31" t="str">
        <x:v>050202</x:v>
      </x:c>
      <x:c r="D818" s="31" t="str">
        <x:v>BK0701</x:v>
      </x:c>
      <x:c r="E818" s="31" t="str">
        <x:v>Windsor Terrace-South Slope</x:v>
      </x:c>
      <x:c r="F818" s="31" t="n">
        <x:v>0.05206276226684458</x:v>
      </x:c>
      <x:c r="G818" s="31" t="n">
        <x:v>40.65352417056881</x:v>
      </x:c>
      <x:c r="H818" s="31" t="n">
        <x:v>-73.97527842399398</x:v>
      </x:c>
      <x:c r="I818" s="31" t="n">
        <x:v>2312</x:v>
      </x:c>
      <x:c r="J818" s="31" t="n">
        <x:v>44407.93955860394</x:v>
      </x:c>
      <x:c r="K818" s="31"/>
      <x:c r="L818" s="40"/>
      <x:c r="M818" s="40"/>
      <x:c r="N818" s="31" t="n">
        <x:v>313</x:v>
      </x:c>
      <x:c r="O818" s="31" t="n">
        <x:v>1107</x:v>
      </x:c>
      <x:c r="P818" s="31" t="n">
        <x:v>4.193315266485998</x:v>
      </x:c>
      <x:c r="Q818" s="40" t="n">
        <x:v>0</x:v>
      </x:c>
      <x:c r="R818" s="40" t="n">
        <x:v>0.6314363143631436</x:v>
      </x:c>
      <x:c r="S818" s="40" t="n">
        <x:v>0.004516711833785004</x:v>
      </x:c>
      <x:c r="T818" s="31" t="n">
        <x:v>46.66563407671183</x:v>
      </x:c>
      <x:c r="U818" s="31" t="n">
        <x:v>82.18</x:v>
      </x:c>
      <x:c r="V818" s="31" t="n">
        <x:v>8</x:v>
      </x:c>
      <x:c r="W818" s="31" t="n">
        <x:v>3.4602076124567476</x:v>
      </x:c>
      <x:c r="X818" s="31" t="n">
        <x:v>3</x:v>
      </x:c>
      <x:c r="Y818" s="40" t="n">
        <x:v>0</x:v>
      </x:c>
      <x:c r="Z818" s="40" t="n">
        <x:v>1</x:v>
      </x:c>
      <x:c r="AA818" s="40" t="n">
        <x:v>1</x:v>
      </x:c>
      <x:c r="AB818" s="31" t="n">
        <x:v>0.24880325193782407</x:v>
      </x:c>
      <x:c r="AC818" s="31" t="n">
        <x:v>4</x:v>
      </x:c>
      <x:c r="AD818" s="44" t="b">
        <x:v>1</x:v>
      </x:c>
    </x:row>
    <x:row r="819">
      <x:c r="A819" s="31" t="str">
        <x:v>36047050300</x:v>
      </x:c>
      <x:c r="B819" s="31" t="str">
        <x:v>Brooklyn</x:v>
      </x:c>
      <x:c r="C819" s="31" t="str">
        <x:v>050300</x:v>
      </x:c>
      <x:c r="D819" s="31" t="str">
        <x:v>BK0104</x:v>
      </x:c>
      <x:c r="E819" s="31" t="str">
        <x:v>East Williamsburg</x:v>
      </x:c>
      <x:c r="F819" s="31" t="n">
        <x:v>0.04837994435692149</x:v>
      </x:c>
      <x:c r="G819" s="31" t="n">
        <x:v>40.71220178043798</x:v>
      </x:c>
      <x:c r="H819" s="31" t="n">
        <x:v>-73.94746239350273</x:v>
      </x:c>
      <x:c r="I819" s="31" t="n">
        <x:v>2759</x:v>
      </x:c>
      <x:c r="J819" s="31" t="n">
        <x:v>57027.76298471048</x:v>
      </x:c>
      <x:c r="K819" s="31"/>
      <x:c r="L819" s="40"/>
      <x:c r="M819" s="40"/>
      <x:c r="N819" s="31" t="n">
        <x:v>363</x:v>
      </x:c>
      <x:c r="O819" s="31" t="n">
        <x:v>1671</x:v>
      </x:c>
      <x:c r="P819" s="31" t="n">
        <x:v>4.3037103530819865</x:v>
      </x:c>
      <x:c r="Q819" s="40" t="n">
        <x:v>0.11071214841412327</x:v>
      </x:c>
      <x:c r="R819" s="40" t="n">
        <x:v>0.7588270496708558</x:v>
      </x:c>
      <x:c r="S819" s="40" t="n">
        <x:v>0.04608019150209455</x:v>
      </x:c>
      <x:c r="T819" s="31" t="n">
        <x:v>49.373876535942756</x:v>
      </x:c>
      <x:c r="U819" s="31" t="n">
        <x:v>95</x:v>
      </x:c>
      <x:c r="V819" s="31" t="n">
        <x:v>17</x:v>
      </x:c>
      <x:c r="W819" s="31" t="n">
        <x:v>6.161652772743747</x:v>
      </x:c>
      <x:c r="X819" s="31" t="n">
        <x:v>3.201675643327349</x:v>
      </x:c>
      <x:c r="Y819" s="40" t="n">
        <x:v>0.20167564332734889</x:v>
      </x:c>
      <x:c r="Z819" s="40" t="n">
        <x:v>1</x:v>
      </x:c>
      <x:c r="AA819" s="40" t="n">
        <x:v>0.9616995810891682</x:v>
      </x:c>
      <x:c r="AB819" s="31" t="n">
        <x:v>0.10252935044333612</x:v>
      </x:c>
      <x:c r="AC819" s="31" t="n">
        <x:v>6</x:v>
      </x:c>
      <x:c r="AD819" s="44" t="b">
        <x:v>1</x:v>
      </x:c>
    </x:row>
    <x:row r="820">
      <x:c r="A820" s="31" t="str">
        <x:v>36047050401</x:v>
      </x:c>
      <x:c r="B820" s="31" t="str">
        <x:v>Brooklyn</x:v>
      </x:c>
      <x:c r="C820" s="31" t="str">
        <x:v>050401</x:v>
      </x:c>
      <x:c r="D820" s="31" t="str">
        <x:v>BK0701</x:v>
      </x:c>
      <x:c r="E820" s="31" t="str">
        <x:v>Windsor Terrace-South Slope</x:v>
      </x:c>
      <x:c r="F820" s="31" t="n">
        <x:v>0.05611181635316231</x:v>
      </x:c>
      <x:c r="G820" s="31" t="n">
        <x:v>40.649927753714444</x:v>
      </x:c>
      <x:c r="H820" s="31" t="n">
        <x:v>-73.97374650515044</x:v>
      </x:c>
      <x:c r="I820" s="31" t="n">
        <x:v>2997</x:v>
      </x:c>
      <x:c r="J820" s="31" t="n">
        <x:v>53411.20988023581</x:v>
      </x:c>
      <x:c r="K820" s="31"/>
      <x:c r="L820" s="40"/>
      <x:c r="M820" s="40"/>
      <x:c r="N820" s="31" t="n">
        <x:v>127</x:v>
      </x:c>
      <x:c r="O820" s="31" t="n">
        <x:v>1836</x:v>
      </x:c>
      <x:c r="P820" s="31" t="n">
        <x:v>7.613289760348584</x:v>
      </x:c>
      <x:c r="Q820" s="40" t="n">
        <x:v>0.32679738562091504</x:v>
      </x:c>
      <x:c r="R820" s="40" t="n">
        <x:v>0.5844226579520697</x:v>
      </x:c>
      <x:c r="S820" s="40" t="n">
        <x:v>0</x:v>
      </x:c>
      <x:c r="T820" s="31" t="n">
        <x:v>89.56673288519647</x:v>
      </x:c>
      <x:c r="U820" s="31" t="n">
        <x:v>180</x:v>
      </x:c>
      <x:c r="V820" s="31" t="n">
        <x:v>38</x:v>
      </x:c>
      <x:c r="W820" s="31" t="n">
        <x:v>12.679346012679346</x:v>
      </x:c>
      <x:c r="X820" s="31" t="n">
        <x:v>3</x:v>
      </x:c>
      <x:c r="Y820" s="40" t="n">
        <x:v>0</x:v>
      </x:c>
      <x:c r="Z820" s="40" t="n">
        <x:v>1</x:v>
      </x:c>
      <x:c r="AA820" s="40" t="n">
        <x:v>0.9286492374727668</x:v>
      </x:c>
      <x:c r="AB820" s="31" t="n">
        <x:v>0.1048467885535457</x:v>
      </x:c>
      <x:c r="AC820" s="31" t="n">
        <x:v>4</x:v>
      </x:c>
      <x:c r="AD820" s="44" t="b">
        <x:v>1</x:v>
      </x:c>
    </x:row>
    <x:row r="821">
      <x:c r="A821" s="31" t="str">
        <x:v>36047050402</x:v>
      </x:c>
      <x:c r="B821" s="31" t="str">
        <x:v>Brooklyn</x:v>
      </x:c>
      <x:c r="C821" s="31" t="str">
        <x:v>050402</x:v>
      </x:c>
      <x:c r="D821" s="31" t="str">
        <x:v>BK1203</x:v>
      </x:c>
      <x:c r="E821" s="31" t="str">
        <x:v>Kensington</x:v>
      </x:c>
      <x:c r="F821" s="31" t="n">
        <x:v>0.03286467106347567</x:v>
      </x:c>
      <x:c r="G821" s="31" t="n">
        <x:v>40.64666083018577</x:v>
      </x:c>
      <x:c r="H821" s="31" t="n">
        <x:v>-73.97316206631156</x:v>
      </x:c>
      <x:c r="I821" s="31" t="n">
        <x:v>2004</x:v>
      </x:c>
      <x:c r="J821" s="31" t="n">
        <x:v>60977.33326250012</x:v>
      </x:c>
      <x:c r="K821" s="31"/>
      <x:c r="L821" s="40"/>
      <x:c r="M821" s="40"/>
      <x:c r="N821" s="31" t="n">
        <x:v>122</x:v>
      </x:c>
      <x:c r="O821" s="31" t="n">
        <x:v>888</x:v>
      </x:c>
      <x:c r="P821" s="31" t="n">
        <x:v>8.072353603603604</x:v>
      </x:c>
      <x:c r="Q821" s="40" t="n">
        <x:v>0.32207207207207206</x:v>
      </x:c>
      <x:c r="R821" s="40" t="n">
        <x:v>0.5067567567567568</x:v>
      </x:c>
      <x:c r="S821" s="40" t="n">
        <x:v>0.0033783783783783786</x:v>
      </x:c>
      <x:c r="T821" s="31" t="n">
        <x:v>78.77071452523536</x:v>
      </x:c>
      <x:c r="U821" s="31" t="n">
        <x:v>139.26</x:v>
      </x:c>
      <x:c r="V821" s="31" t="n">
        <x:v>8</x:v>
      </x:c>
      <x:c r="W821" s="31" t="n">
        <x:v>3.992015968063872</x:v>
      </x:c>
      <x:c r="X821" s="31" t="n">
        <x:v>3</x:v>
      </x:c>
      <x:c r="Y821" s="40" t="n">
        <x:v>0</x:v>
      </x:c>
      <x:c r="Z821" s="40" t="n">
        <x:v>1</x:v>
      </x:c>
      <x:c r="AA821" s="40" t="n">
        <x:v>0.9808558558558559</x:v>
      </x:c>
      <x:c r="AB821" s="31" t="n">
        <x:v>0.09088619474294135</x:v>
      </x:c>
      <x:c r="AC821" s="31" t="n">
        <x:v>9</x:v>
      </x:c>
      <x:c r="AD821" s="44" t="b">
        <x:v>1</x:v>
      </x:c>
    </x:row>
    <x:row r="822">
      <x:c r="A822" s="31" t="str">
        <x:v>36047050500</x:v>
      </x:c>
      <x:c r="B822" s="31" t="str">
        <x:v>Brooklyn</x:v>
      </x:c>
      <x:c r="C822" s="31" t="str">
        <x:v>050500</x:v>
      </x:c>
      <x:c r="D822" s="31" t="str">
        <x:v>BK0104</x:v>
      </x:c>
      <x:c r="E822" s="31" t="str">
        <x:v>East Williamsburg</x:v>
      </x:c>
      <x:c r="F822" s="31" t="n">
        <x:v>0.0654013715428432</x:v>
      </x:c>
      <x:c r="G822" s="31" t="n">
        <x:v>40.70805191882293</x:v>
      </x:c>
      <x:c r="H822" s="31" t="n">
        <x:v>-73.94494530218816</x:v>
      </x:c>
      <x:c r="I822" s="31" t="n">
        <x:v>4567</x:v>
      </x:c>
      <x:c r="J822" s="31" t="n">
        <x:v>69830.33982717388</x:v>
      </x:c>
      <x:c r="K822" s="31"/>
      <x:c r="L822" s="40"/>
      <x:c r="M822" s="40"/>
      <x:c r="N822" s="31" t="n">
        <x:v>164</x:v>
      </x:c>
      <x:c r="O822" s="31" t="n">
        <x:v>2219</x:v>
      </x:c>
      <x:c r="P822" s="31" t="n">
        <x:v>7.386332574031891</x:v>
      </x:c>
      <x:c r="Q822" s="40" t="n">
        <x:v>0.17440288418206398</x:v>
      </x:c>
      <x:c r="R822" s="40" t="n">
        <x:v>0.8116268589454709</x:v>
      </x:c>
      <x:c r="S822" s="40" t="n">
        <x:v>0.22757999098693105</x:v>
      </x:c>
      <x:c r="T822" s="31" t="n">
        <x:v>74.68858308017647</x:v>
      </x:c>
      <x:c r="U822" s="31" t="n">
        <x:v>203.25</x:v>
      </x:c>
      <x:c r="V822" s="31" t="n">
        <x:v>20</x:v>
      </x:c>
      <x:c r="W822" s="31" t="n">
        <x:v>4.379242391066345</x:v>
      </x:c>
      <x:c r="X822" s="31" t="n">
        <x:v>4</x:v>
      </x:c>
      <x:c r="Y822" s="40" t="n">
        <x:v>1</x:v>
      </x:c>
      <x:c r="Z822" s="40" t="n">
        <x:v>1</x:v>
      </x:c>
      <x:c r="AA822" s="40" t="n">
        <x:v>0.9959441189725101</x:v>
      </x:c>
      <x:c r="AB822" s="31" t="n">
        <x:v>0.09238702969006742</x:v>
      </x:c>
      <x:c r="AC822" s="31" t="n">
        <x:v>6</x:v>
      </x:c>
      <x:c r="AD822" s="44" t="b">
        <x:v>1</x:v>
      </x:c>
    </x:row>
    <x:row r="823">
      <x:c r="A823" s="31" t="str">
        <x:v>36047050600</x:v>
      </x:c>
      <x:c r="B823" s="31" t="str">
        <x:v>Brooklyn</x:v>
      </x:c>
      <x:c r="C823" s="31" t="str">
        <x:v>050600</x:v>
      </x:c>
      <x:c r="D823" s="31" t="str">
        <x:v>BK1402</x:v>
      </x:c>
      <x:c r="E823" s="31" t="str">
        <x:v>Flatbush (West)-Ditmas Park-Parkville</x:v>
      </x:c>
      <x:c r="F823" s="31" t="n">
        <x:v>0.06354762289944904</x:v>
      </x:c>
      <x:c r="G823" s="31" t="n">
        <x:v>40.6489775163884</x:v>
      </x:c>
      <x:c r="H823" s="31" t="n">
        <x:v>-73.96686237700682</x:v>
      </x:c>
      <x:c r="I823" s="31" t="n">
        <x:v>5612</x:v>
      </x:c>
      <x:c r="J823" s="31" t="n">
        <x:v>88311.72188580253</x:v>
      </x:c>
      <x:c r="K823" s="31"/>
      <x:c r="L823" s="40"/>
      <x:c r="M823" s="40"/>
      <x:c r="N823" s="31" t="n">
        <x:v>219</x:v>
      </x:c>
      <x:c r="O823" s="31" t="n">
        <x:v>2167</x:v>
      </x:c>
      <x:c r="P823" s="31" t="n">
        <x:v>4.937355791416705</x:v>
      </x:c>
      <x:c r="Q823" s="40" t="n">
        <x:v>0.04891555145362252</x:v>
      </x:c>
      <x:c r="R823" s="40" t="n">
        <x:v>0.8514074757729581</x:v>
      </x:c>
      <x:c r="S823" s="40" t="n">
        <x:v>0</x:v>
      </x:c>
      <x:c r="T823" s="31" t="n">
        <x:v>57.046716708038765</x:v>
      </x:c>
      <x:c r="U823" s="31" t="n">
        <x:v>137.75</x:v>
      </x:c>
      <x:c r="V823" s="31" t="n">
        <x:v>19</x:v>
      </x:c>
      <x:c r="W823" s="31" t="n">
        <x:v>3.3856022808268</x:v>
      </x:c>
      <x:c r="X823" s="31" t="n">
        <x:v>3.8675588371019844</x:v>
      </x:c>
      <x:c r="Y823" s="40" t="n">
        <x:v>0.43377941855099217</x:v>
      </x:c>
      <x:c r="Z823" s="40" t="n">
        <x:v>1</x:v>
      </x:c>
      <x:c r="AA823" s="40" t="n">
        <x:v>1</x:v>
      </x:c>
      <x:c r="AB823" s="31" t="n">
        <x:v>0.05053958219305546</x:v>
      </x:c>
      <x:c r="AC823" s="31" t="n">
        <x:v>9</x:v>
      </x:c>
      <x:c r="AD823" s="44" t="b">
        <x:v>1</x:v>
      </x:c>
    </x:row>
    <x:row r="824">
      <x:c r="A824" s="31" t="str">
        <x:v>36047050700</x:v>
      </x:c>
      <x:c r="B824" s="31" t="str">
        <x:v>Brooklyn</x:v>
      </x:c>
      <x:c r="C824" s="31" t="str">
        <x:v>050700</x:v>
      </x:c>
      <x:c r="D824" s="31" t="str">
        <x:v>BK0103</x:v>
      </x:c>
      <x:c r="E824" s="31" t="str">
        <x:v>South Williamsburg</x:v>
      </x:c>
      <x:c r="F824" s="31" t="n">
        <x:v>0.06735095932298842</x:v>
      </x:c>
      <x:c r="G824" s="31" t="n">
        <x:v>40.70140965900969</x:v>
      </x:c>
      <x:c r="H824" s="31" t="n">
        <x:v>-73.94700772703386</x:v>
      </x:c>
      <x:c r="I824" s="31" t="n">
        <x:v>3545</x:v>
      </x:c>
      <x:c r="J824" s="31" t="n">
        <x:v>52634.736544725216</x:v>
      </x:c>
      <x:c r="K824" s="31"/>
      <x:c r="L824" s="40"/>
      <x:c r="M824" s="40"/>
      <x:c r="N824" s="31" t="n">
        <x:v>110</x:v>
      </x:c>
      <x:c r="O824" s="31" t="n">
        <x:v>1579</x:v>
      </x:c>
      <x:c r="P824" s="31" t="n">
        <x:v>7.215647600262985</x:v>
      </x:c>
      <x:c r="Q824" s="40" t="n">
        <x:v>0.2558581380620646</x:v>
      </x:c>
      <x:c r="R824" s="40" t="n">
        <x:v>0.7042431918936035</x:v>
      </x:c>
      <x:c r="S824" s="40" t="n">
        <x:v>0.07473084230525649</x:v>
      </x:c>
      <x:c r="T824" s="31" t="n">
        <x:v>80.42316880006369</x:v>
      </x:c>
      <x:c r="U824" s="31" t="n">
        <x:v>132</x:v>
      </x:c>
      <x:c r="V824" s="31" t="n">
        <x:v>80</x:v>
      </x:c>
      <x:c r="W824" s="31" t="n">
        <x:v>22.566995768688294</x:v>
      </x:c>
      <x:c r="X824" s="31" t="n">
        <x:v>4</x:v>
      </x:c>
      <x:c r="Y824" s="40" t="n">
        <x:v>1</x:v>
      </x:c>
      <x:c r="Z824" s="40" t="n">
        <x:v>1</x:v>
      </x:c>
      <x:c r="AA824" s="40" t="n">
        <x:v>0.8948701709943002</x:v>
      </x:c>
      <x:c r="AB824" s="31" t="n">
        <x:v>0.10009047653161793</x:v>
      </x:c>
      <x:c r="AC824" s="31" t="n">
        <x:v>7</x:v>
      </x:c>
      <x:c r="AD824" s="44" t="b">
        <x:v>1</x:v>
      </x:c>
    </x:row>
    <x:row r="825">
      <x:c r="A825" s="31" t="str">
        <x:v>36047050801</x:v>
      </x:c>
      <x:c r="B825" s="31" t="str">
        <x:v>Brooklyn</x:v>
      </x:c>
      <x:c r="C825" s="31" t="str">
        <x:v>050801</x:v>
      </x:c>
      <x:c r="D825" s="31" t="str">
        <x:v>BK1401</x:v>
      </x:c>
      <x:c r="E825" s="31" t="str">
        <x:v>Flatbush</x:v>
      </x:c>
      <x:c r="F825" s="31" t="n">
        <x:v>0.03026498970999053</x:v>
      </x:c>
      <x:c r="G825" s="31" t="n">
        <x:v>40.651233409297625</x:v>
      </x:c>
      <x:c r="H825" s="31" t="n">
        <x:v>-73.96073901668957</x:v>
      </x:c>
      <x:c r="I825" s="31" t="n">
        <x:v>4311</x:v>
      </x:c>
      <x:c r="J825" s="31" t="n">
        <x:v>142441.81284413027</x:v>
      </x:c>
      <x:c r="K825" s="31"/>
      <x:c r="L825" s="40"/>
      <x:c r="M825" s="40"/>
      <x:c r="N825" s="31" t="n">
        <x:v>56</x:v>
      </x:c>
      <x:c r="O825" s="31" t="n">
        <x:v>1538</x:v>
      </x:c>
      <x:c r="P825" s="31" t="n">
        <x:v>5.67815344603381</x:v>
      </x:c>
      <x:c r="Q825" s="40" t="n">
        <x:v>0</x:v>
      </x:c>
      <x:c r="R825" s="40" t="n">
        <x:v>0.9960988296488946</x:v>
      </x:c>
      <x:c r="S825" s="40" t="n">
        <x:v>0.0305591677503251</x:v>
      </x:c>
      <x:c r="T825" s="31" t="n">
        <x:v>62.74296486620286</x:v>
      </x:c>
      <x:c r="U825" s="31" t="n">
        <x:v>83</x:v>
      </x:c>
      <x:c r="V825" s="31" t="n">
        <x:v>33</x:v>
      </x:c>
      <x:c r="W825" s="31" t="n">
        <x:v>7.6548364648573415</x:v>
      </x:c>
      <x:c r="X825" s="31" t="n">
        <x:v>5</x:v>
      </x:c>
      <x:c r="Y825" s="40" t="n">
        <x:v>1</x:v>
      </x:c>
      <x:c r="Z825" s="40" t="n">
        <x:v>1</x:v>
      </x:c>
      <x:c r="AA825" s="40" t="n">
        <x:v>1</x:v>
      </x:c>
      <x:c r="AB825" s="31" t="n">
        <x:v>0.1381549785972974</x:v>
      </x:c>
      <x:c r="AC825" s="31" t="n">
        <x:v>6</x:v>
      </x:c>
      <x:c r="AD825" s="44" t="b">
        <x:v>1</x:v>
      </x:c>
    </x:row>
    <x:row r="826">
      <x:c r="A826" s="31" t="str">
        <x:v>36047050803</x:v>
      </x:c>
      <x:c r="B826" s="31" t="str">
        <x:v>Brooklyn</x:v>
      </x:c>
      <x:c r="C826" s="31" t="str">
        <x:v>050803</x:v>
      </x:c>
      <x:c r="D826" s="31" t="str">
        <x:v>BK1401</x:v>
      </x:c>
      <x:c r="E826" s="31" t="str">
        <x:v>Flatbush</x:v>
      </x:c>
      <x:c r="F826" s="31" t="n">
        <x:v>0.021629490572593838</x:v>
      </x:c>
      <x:c r="G826" s="31" t="n">
        <x:v>40.65390823733724</x:v>
      </x:c>
      <x:c r="H826" s="31" t="n">
        <x:v>-73.96062261979303</x:v>
      </x:c>
      <x:c r="I826" s="31" t="n">
        <x:v>2548</x:v>
      </x:c>
      <x:c r="J826" s="31" t="n">
        <x:v>117802.12721368963</x:v>
      </x:c>
      <x:c r="K826" s="31"/>
      <x:c r="L826" s="40"/>
      <x:c r="M826" s="40"/>
      <x:c r="N826" s="31" t="n">
        <x:v>56</x:v>
      </x:c>
      <x:c r="O826" s="31" t="n">
        <x:v>1304</x:v>
      </x:c>
      <x:c r="P826" s="31" t="n">
        <x:v>6.984363496932516</x:v>
      </x:c>
      <x:c r="Q826" s="40" t="n">
        <x:v>0.1955521472392638</x:v>
      </x:c>
      <x:c r="R826" s="40" t="n">
        <x:v>0.7898773006134969</x:v>
      </x:c>
      <x:c r="S826" s="40" t="n">
        <x:v>0.014570552147239263</x:v>
      </x:c>
      <x:c r="T826" s="31" t="n">
        <x:v>75.22523076412577</x:v>
      </x:c>
      <x:c r="U826" s="31" t="n">
        <x:v>145</x:v>
      </x:c>
      <x:c r="V826" s="31" t="n">
        <x:v>23</x:v>
      </x:c>
      <x:c r="W826" s="31" t="n">
        <x:v>9.026687598116169</x:v>
      </x:c>
      <x:c r="X826" s="31" t="n">
        <x:v>5</x:v>
      </x:c>
      <x:c r="Y826" s="40" t="n">
        <x:v>1</x:v>
      </x:c>
      <x:c r="Z826" s="40" t="n">
        <x:v>1</x:v>
      </x:c>
      <x:c r="AA826" s="40" t="n">
        <x:v>1</x:v>
      </x:c>
      <x:c r="AB826" s="31" t="n">
        <x:v>0.18510839755051428</x:v>
      </x:c>
      <x:c r="AC826" s="31" t="n">
        <x:v>6</x:v>
      </x:c>
      <x:c r="AD826" s="44" t="b">
        <x:v>1</x:v>
      </x:c>
    </x:row>
    <x:row r="827">
      <x:c r="A827" s="31" t="str">
        <x:v>36047050804</x:v>
      </x:c>
      <x:c r="B827" s="31" t="str">
        <x:v>Brooklyn</x:v>
      </x:c>
      <x:c r="C827" s="31" t="str">
        <x:v>050804</x:v>
      </x:c>
      <x:c r="D827" s="31" t="str">
        <x:v>BK1401</x:v>
      </x:c>
      <x:c r="E827" s="31" t="str">
        <x:v>Flatbush</x:v>
      </x:c>
      <x:c r="F827" s="31" t="n">
        <x:v>0.03984969367287936</x:v>
      </x:c>
      <x:c r="G827" s="31" t="n">
        <x:v>40.652836969266865</x:v>
      </x:c>
      <x:c r="H827" s="31" t="n">
        <x:v>-73.96357171678905</x:v>
      </x:c>
      <x:c r="I827" s="31" t="n">
        <x:v>6196</x:v>
      </x:c>
      <x:c r="J827" s="31" t="n">
        <x:v>155484.256688699</x:v>
      </x:c>
      <x:c r="K827" s="31"/>
      <x:c r="L827" s="40"/>
      <x:c r="M827" s="40"/>
      <x:c r="N827" s="31" t="n">
        <x:v>76</x:v>
      </x:c>
      <x:c r="O827" s="31" t="n">
        <x:v>2744</x:v>
      </x:c>
      <x:c r="P827" s="31" t="n">
        <x:v>6.330214894405335</x:v>
      </x:c>
      <x:c r="Q827" s="40" t="n">
        <x:v>0.1096938775510204</x:v>
      </x:c>
      <x:c r="R827" s="40" t="n">
        <x:v>0.8673469387755102</x:v>
      </x:c>
      <x:c r="S827" s="40" t="n">
        <x:v>0.01749271137026239</x:v>
      </x:c>
      <x:c r="T827" s="31" t="n">
        <x:v>69.4290415451895</x:v>
      </x:c>
      <x:c r="U827" s="31" t="n">
        <x:v>125.49</x:v>
      </x:c>
      <x:c r="V827" s="31" t="n">
        <x:v>43</x:v>
      </x:c>
      <x:c r="W827" s="31" t="n">
        <x:v>6.939961265332473</x:v>
      </x:c>
      <x:c r="X827" s="31" t="n">
        <x:v>5</x:v>
      </x:c>
      <x:c r="Y827" s="40" t="n">
        <x:v>1</x:v>
      </x:c>
      <x:c r="Z827" s="40" t="n">
        <x:v>1</x:v>
      </x:c>
      <x:c r="AA827" s="40" t="n">
        <x:v>1</x:v>
      </x:c>
      <x:c r="AB827" s="31" t="n">
        <x:v>0.26733079171127777</x:v>
      </x:c>
      <x:c r="AC827" s="31" t="n">
        <x:v>5</x:v>
      </x:c>
      <x:c r="AD827" s="44" t="b">
        <x:v>1</x:v>
      </x:c>
    </x:row>
    <x:row r="828">
      <x:c r="A828" s="31" t="str">
        <x:v>36047050900</x:v>
      </x:c>
      <x:c r="B828" s="31" t="str">
        <x:v>Brooklyn</x:v>
      </x:c>
      <x:c r="C828" s="31" t="str">
        <x:v>050900</x:v>
      </x:c>
      <x:c r="D828" s="31" t="str">
        <x:v>BK0103</x:v>
      </x:c>
      <x:c r="E828" s="31" t="str">
        <x:v>South Williamsburg</x:v>
      </x:c>
      <x:c r="F828" s="31" t="n">
        <x:v>0.05474141608341942</x:v>
      </x:c>
      <x:c r="G828" s="31" t="n">
        <x:v>40.703277442097594</x:v>
      </x:c>
      <x:c r="H828" s="31" t="n">
        <x:v>-73.95056419826246</x:v>
      </x:c>
      <x:c r="I828" s="31" t="n">
        <x:v>5112</x:v>
      </x:c>
      <x:c r="J828" s="31" t="n">
        <x:v>93384.50419714973</x:v>
      </x:c>
      <x:c r="K828" s="31"/>
      <x:c r="L828" s="40"/>
      <x:c r="M828" s="40"/>
      <x:c r="N828" s="31" t="n">
        <x:v>173</x:v>
      </x:c>
      <x:c r="O828" s="31" t="n">
        <x:v>1082</x:v>
      </x:c>
      <x:c r="P828" s="31" t="n">
        <x:v>4.951589595375722</x:v>
      </x:c>
      <x:c r="Q828" s="40" t="n">
        <x:v>0</x:v>
      </x:c>
      <x:c r="R828" s="40" t="n">
        <x:v>0.9574861367837338</x:v>
      </x:c>
      <x:c r="S828" s="40" t="n">
        <x:v>0.1266173752310536</x:v>
      </x:c>
      <x:c r="T828" s="31" t="n">
        <x:v>59.554146968662174</x:v>
      </x:c>
      <x:c r="U828" s="31" t="n">
        <x:v>97</x:v>
      </x:c>
      <x:c r="V828" s="31" t="n">
        <x:v>81</x:v>
      </x:c>
      <x:c r="W828" s="31" t="n">
        <x:v>15.84507042253521</x:v>
      </x:c>
      <x:c r="X828" s="31" t="n">
        <x:v>4</x:v>
      </x:c>
      <x:c r="Y828" s="40" t="n">
        <x:v>1</x:v>
      </x:c>
      <x:c r="Z828" s="40" t="n">
        <x:v>1</x:v>
      </x:c>
      <x:c r="AA828" s="40" t="n">
        <x:v>0.9602587800369686</x:v>
      </x:c>
      <x:c r="AB828" s="31" t="n">
        <x:v>0.10844223564692397</x:v>
      </x:c>
      <x:c r="AC828" s="31" t="n">
        <x:v>8</x:v>
      </x:c>
      <x:c r="AD828" s="44" t="b">
        <x:v>1</x:v>
      </x:c>
    </x:row>
    <x:row r="829">
      <x:c r="A829" s="31" t="str">
        <x:v>36047051001</x:v>
      </x:c>
      <x:c r="B829" s="31" t="str">
        <x:v>Brooklyn</x:v>
      </x:c>
      <x:c r="C829" s="31" t="str">
        <x:v>051001</x:v>
      </x:c>
      <x:c r="D829" s="31" t="str">
        <x:v>BK1401</x:v>
      </x:c>
      <x:c r="E829" s="31" t="str">
        <x:v>Flatbush</x:v>
      </x:c>
      <x:c r="F829" s="31" t="n">
        <x:v>0.02970674060871499</x:v>
      </x:c>
      <x:c r="G829" s="31" t="n">
        <x:v>40.64612181704663</x:v>
      </x:c>
      <x:c r="H829" s="31" t="n">
        <x:v>-73.95976766370258</x:v>
      </x:c>
      <x:c r="I829" s="31" t="n">
        <x:v>3740</x:v>
      </x:c>
      <x:c r="J829" s="31" t="n">
        <x:v>125897.35270057886</x:v>
      </x:c>
      <x:c r="K829" s="31"/>
      <x:c r="L829" s="40"/>
      <x:c r="M829" s="40"/>
      <x:c r="N829" s="31" t="n">
        <x:v>54</x:v>
      </x:c>
      <x:c r="O829" s="31" t="n">
        <x:v>1425</x:v>
      </x:c>
      <x:c r="P829" s="31" t="n">
        <x:v>5.3624561403508775</x:v>
      </x:c>
      <x:c r="Q829" s="40" t="n">
        <x:v>0</x:v>
      </x:c>
      <x:c r="R829" s="40" t="n">
        <x:v>0.992280701754386</x:v>
      </x:c>
      <x:c r="S829" s="40" t="n">
        <x:v>0</x:v>
      </x:c>
      <x:c r="T829" s="31" t="n">
        <x:v>58.354107142857146</x:v>
      </x:c>
      <x:c r="U829" s="31" t="n">
        <x:v>69.9</x:v>
      </x:c>
      <x:c r="V829" s="31" t="n">
        <x:v>26</x:v>
      </x:c>
      <x:c r="W829" s="31" t="n">
        <x:v>6.951871657754011</x:v>
      </x:c>
      <x:c r="X829" s="31" t="n">
        <x:v>5</x:v>
      </x:c>
      <x:c r="Y829" s="40" t="n">
        <x:v>1</x:v>
      </x:c>
      <x:c r="Z829" s="40" t="n">
        <x:v>1</x:v>
      </x:c>
      <x:c r="AA829" s="40" t="n">
        <x:v>0.9824561403508771</x:v>
      </x:c>
      <x:c r="AB829" s="31" t="n">
        <x:v>0.18276524451301168</x:v>
      </x:c>
      <x:c r="AC829" s="31" t="n">
        <x:v>5</x:v>
      </x:c>
      <x:c r="AD829" s="44" t="b">
        <x:v>1</x:v>
      </x:c>
    </x:row>
    <x:row r="830">
      <x:c r="A830" s="31" t="str">
        <x:v>36047051002</x:v>
      </x:c>
      <x:c r="B830" s="31" t="str">
        <x:v>Brooklyn</x:v>
      </x:c>
      <x:c r="C830" s="31" t="str">
        <x:v>051002</x:v>
      </x:c>
      <x:c r="D830" s="31" t="str">
        <x:v>BK1401</x:v>
      </x:c>
      <x:c r="E830" s="31" t="str">
        <x:v>Flatbush</x:v>
      </x:c>
      <x:c r="F830" s="31" t="n">
        <x:v>0.04132585851268365</x:v>
      </x:c>
      <x:c r="G830" s="31" t="n">
        <x:v>40.64875130247762</x:v>
      </x:c>
      <x:c r="H830" s="31" t="n">
        <x:v>-73.96036780598942</x:v>
      </x:c>
      <x:c r="I830" s="31" t="n">
        <x:v>4600</x:v>
      </x:c>
      <x:c r="J830" s="31" t="n">
        <x:v>111310.4522338762</x:v>
      </x:c>
      <x:c r="K830" s="31"/>
      <x:c r="L830" s="40"/>
      <x:c r="M830" s="40"/>
      <x:c r="N830" s="31" t="n">
        <x:v>98</x:v>
      </x:c>
      <x:c r="O830" s="31" t="n">
        <x:v>2018</x:v>
      </x:c>
      <x:c r="P830" s="31" t="n">
        <x:v>6.35406342913776</x:v>
      </x:c>
      <x:c r="Q830" s="40" t="n">
        <x:v>0.1506442021803766</x:v>
      </x:c>
      <x:c r="R830" s="40" t="n">
        <x:v>0.8429137760158573</x:v>
      </x:c>
      <x:c r="S830" s="40" t="n">
        <x:v>0</x:v>
      </x:c>
      <x:c r="T830" s="31" t="n">
        <x:v>68.44414225195466</x:v>
      </x:c>
      <x:c r="U830" s="31" t="n">
        <x:v>118.49</x:v>
      </x:c>
      <x:c r="V830" s="31" t="n">
        <x:v>44</x:v>
      </x:c>
      <x:c r="W830" s="31" t="n">
        <x:v>9.565217391304348</x:v>
      </x:c>
      <x:c r="X830" s="31" t="n">
        <x:v>5</x:v>
      </x:c>
      <x:c r="Y830" s="40" t="n">
        <x:v>1</x:v>
      </x:c>
      <x:c r="Z830" s="40" t="n">
        <x:v>1</x:v>
      </x:c>
      <x:c r="AA830" s="40" t="n">
        <x:v>0.9836471754212092</x:v>
      </x:c>
      <x:c r="AB830" s="31" t="n">
        <x:v>0.18086032514276057</x:v>
      </x:c>
      <x:c r="AC830" s="31" t="n">
        <x:v>6</x:v>
      </x:c>
      <x:c r="AD830" s="44" t="b">
        <x:v>1</x:v>
      </x:c>
    </x:row>
    <x:row r="831">
      <x:c r="A831" s="31" t="str">
        <x:v>36047051100</x:v>
      </x:c>
      <x:c r="B831" s="31" t="str">
        <x:v>Brooklyn</x:v>
      </x:c>
      <x:c r="C831" s="31" t="str">
        <x:v>051100</x:v>
      </x:c>
      <x:c r="D831" s="31" t="str">
        <x:v>BK0104</x:v>
      </x:c>
      <x:c r="E831" s="31" t="str">
        <x:v>East Williamsburg</x:v>
      </x:c>
      <x:c r="F831" s="31" t="n">
        <x:v>0.061393369426868113</x:v>
      </x:c>
      <x:c r="G831" s="31" t="n">
        <x:v>40.707559530747574</x:v>
      </x:c>
      <x:c r="H831" s="31" t="n">
        <x:v>-73.9485789936658</x:v>
      </x:c>
      <x:c r="I831" s="31" t="n">
        <x:v>4545</x:v>
      </x:c>
      <x:c r="J831" s="31" t="n">
        <x:v>74030.79587306267</x:v>
      </x:c>
      <x:c r="K831" s="31"/>
      <x:c r="L831" s="40"/>
      <x:c r="M831" s="40"/>
      <x:c r="N831" s="31" t="n">
        <x:v>152</x:v>
      </x:c>
      <x:c r="O831" s="31" t="n">
        <x:v>2043</x:v>
      </x:c>
      <x:c r="P831" s="31" t="n">
        <x:v>10.914370078740157</x:v>
      </x:c>
      <x:c r="Q831" s="40" t="n">
        <x:v>0.3788546255506608</x:v>
      </x:c>
      <x:c r="R831" s="40" t="n">
        <x:v>0.5937347038668624</x:v>
      </x:c>
      <x:c r="S831" s="40" t="n">
        <x:v>0.3788546255506608</x:v>
      </x:c>
      <x:c r="T831" s="31" t="n">
        <x:v>102.62510423241278</x:v>
      </x:c>
      <x:c r="U831" s="31" t="n">
        <x:v>191.99</x:v>
      </x:c>
      <x:c r="V831" s="31" t="n">
        <x:v>27</x:v>
      </x:c>
      <x:c r="W831" s="31" t="n">
        <x:v>5.9405940594059405</x:v>
      </x:c>
      <x:c r="X831" s="31" t="n">
        <x:v>3.965247185511503</x:v>
      </x:c>
      <x:c r="Y831" s="40" t="n">
        <x:v>0.9652471855115027</x:v>
      </x:c>
      <x:c r="Z831" s="40" t="n">
        <x:v>1</x:v>
      </x:c>
      <x:c r="AA831" s="40" t="n">
        <x:v>0.996084189916789</x:v>
      </x:c>
      <x:c r="AB831" s="31" t="n">
        <x:v>0.16907738611511122</x:v>
      </x:c>
      <x:c r="AC831" s="31" t="n">
        <x:v>7</x:v>
      </x:c>
      <x:c r="AD831" s="44" t="b">
        <x:v>1</x:v>
      </x:c>
    </x:row>
    <x:row r="832">
      <x:c r="A832" s="31" t="str">
        <x:v>36047051200</x:v>
      </x:c>
      <x:c r="B832" s="31" t="str">
        <x:v>Brooklyn</x:v>
      </x:c>
      <x:c r="C832" s="31" t="str">
        <x:v>051200</x:v>
      </x:c>
      <x:c r="D832" s="31" t="str">
        <x:v>BK1401</x:v>
      </x:c>
      <x:c r="E832" s="31" t="str">
        <x:v>Flatbush</x:v>
      </x:c>
      <x:c r="F832" s="31" t="n">
        <x:v>0.05402943017210457</x:v>
      </x:c>
      <x:c r="G832" s="31" t="n">
        <x:v>40.64655215370644</x:v>
      </x:c>
      <x:c r="H832" s="31" t="n">
        <x:v>-73.9633620471569</x:v>
      </x:c>
      <x:c r="I832" s="31" t="n">
        <x:v>5946</x:v>
      </x:c>
      <x:c r="J832" s="31" t="n">
        <x:v>110051.13289293811</x:v>
      </x:c>
      <x:c r="K832" s="31"/>
      <x:c r="L832" s="40"/>
      <x:c r="M832" s="40"/>
      <x:c r="N832" s="31" t="n">
        <x:v>79</x:v>
      </x:c>
      <x:c r="O832" s="31" t="n">
        <x:v>2453</x:v>
      </x:c>
      <x:c r="P832" s="31" t="n">
        <x:v>5.7950468813697515</x:v>
      </x:c>
      <x:c r="Q832" s="40" t="n">
        <x:v>0</x:v>
      </x:c>
      <x:c r="R832" s="40" t="n">
        <x:v>0.9869547492865879</x:v>
      </x:c>
      <x:c r="S832" s="40" t="n">
        <x:v>0</x:v>
      </x:c>
      <x:c r="T832" s="31" t="n">
        <x:v>62.45785161027314</x:v>
      </x:c>
      <x:c r="U832" s="31" t="n">
        <x:v>95</x:v>
      </x:c>
      <x:c r="V832" s="31" t="n">
        <x:v>51</x:v>
      </x:c>
      <x:c r="W832" s="31" t="n">
        <x:v>8.577194752774973</x:v>
      </x:c>
      <x:c r="X832" s="31" t="n">
        <x:v>5</x:v>
      </x:c>
      <x:c r="Y832" s="40" t="n">
        <x:v>1</x:v>
      </x:c>
      <x:c r="Z832" s="40" t="n">
        <x:v>1</x:v>
      </x:c>
      <x:c r="AA832" s="40" t="n">
        <x:v>1</x:v>
      </x:c>
      <x:c r="AB832" s="31" t="n">
        <x:v>0.11225795520478986</x:v>
      </x:c>
      <x:c r="AC832" s="31" t="n">
        <x:v>5</x:v>
      </x:c>
      <x:c r="AD832" s="44" t="b">
        <x:v>1</x:v>
      </x:c>
    </x:row>
    <x:row r="833">
      <x:c r="A833" s="31" t="str">
        <x:v>36047051300</x:v>
      </x:c>
      <x:c r="B833" s="31" t="str">
        <x:v>Brooklyn</x:v>
      </x:c>
      <x:c r="C833" s="31" t="str">
        <x:v>051300</x:v>
      </x:c>
      <x:c r="D833" s="31" t="str">
        <x:v>BK0102</x:v>
      </x:c>
      <x:c r="E833" s="31" t="str">
        <x:v>Williamsburg</x:v>
      </x:c>
      <x:c r="F833" s="31" t="n">
        <x:v>0.09957238855816689</x:v>
      </x:c>
      <x:c r="G833" s="31" t="n">
        <x:v>40.711792420804116</x:v>
      </x:c>
      <x:c r="H833" s="31" t="n">
        <x:v>-73.9521611667559</x:v>
      </x:c>
      <x:c r="I833" s="31" t="n">
        <x:v>5526</x:v>
      </x:c>
      <x:c r="J833" s="31" t="n">
        <x:v>55497.31285969799</x:v>
      </x:c>
      <x:c r="K833" s="31"/>
      <x:c r="L833" s="40"/>
      <x:c r="M833" s="40"/>
      <x:c r="N833" s="31" t="n">
        <x:v>384</x:v>
      </x:c>
      <x:c r="O833" s="31" t="n">
        <x:v>3137</x:v>
      </x:c>
      <x:c r="P833" s="31" t="n">
        <x:v>5.358755240245082</x:v>
      </x:c>
      <x:c r="Q833" s="40" t="n">
        <x:v>0.028371055148230795</x:v>
      </x:c>
      <x:c r="R833" s="40" t="n">
        <x:v>0.9167994899585591</x:v>
      </x:c>
      <x:c r="S833" s="40" t="n">
        <x:v>0.008925725215173734</x:v>
      </x:c>
      <x:c r="T833" s="31" t="n">
        <x:v>58.72978327141196</x:v>
      </x:c>
      <x:c r="U833" s="31" t="n">
        <x:v>150</x:v>
      </x:c>
      <x:c r="V833" s="31" t="n">
        <x:v>84</x:v>
      </x:c>
      <x:c r="W833" s="31" t="n">
        <x:v>15.20086862106406</x:v>
      </x:c>
      <x:c r="X833" s="31" t="n">
        <x:v>3.126872808415684</x:v>
      </x:c>
      <x:c r="Y833" s="40" t="n">
        <x:v>0.12687280841568377</x:v>
      </x:c>
      <x:c r="Z833" s="40" t="n">
        <x:v>1</x:v>
      </x:c>
      <x:c r="AA833" s="40" t="n">
        <x:v>0.9595154606311763</x:v>
      </x:c>
      <x:c r="AB833" s="31" t="n">
        <x:v>0.18574790603308322</x:v>
      </x:c>
      <x:c r="AC833" s="31" t="n">
        <x:v>7</x:v>
      </x:c>
      <x:c r="AD833" s="44" t="b">
        <x:v>1</x:v>
      </x:c>
    </x:row>
    <x:row r="834">
      <x:c r="A834" s="31" t="str">
        <x:v>36047051400</x:v>
      </x:c>
      <x:c r="B834" s="31" t="str">
        <x:v>Brooklyn</x:v>
      </x:c>
      <x:c r="C834" s="31" t="str">
        <x:v>051400</x:v>
      </x:c>
      <x:c r="D834" s="31" t="str">
        <x:v>BK1401</x:v>
      </x:c>
      <x:c r="E834" s="31" t="str">
        <x:v>Flatbush</x:v>
      </x:c>
      <x:c r="F834" s="31" t="n">
        <x:v>0.06991655180498163</x:v>
      </x:c>
      <x:c r="G834" s="31" t="n">
        <x:v>40.64279182573879</x:v>
      </x:c>
      <x:c r="H834" s="31" t="n">
        <x:v>-73.96142839892838</x:v>
      </x:c>
      <x:c r="I834" s="31" t="n">
        <x:v>7023</x:v>
      </x:c>
      <x:c r="J834" s="31" t="n">
        <x:v>100448.31758278451</x:v>
      </x:c>
      <x:c r="K834" s="31"/>
      <x:c r="L834" s="40"/>
      <x:c r="M834" s="40"/>
      <x:c r="N834" s="31" t="n">
        <x:v>167</x:v>
      </x:c>
      <x:c r="O834" s="31" t="n">
        <x:v>2744</x:v>
      </x:c>
      <x:c r="P834" s="31" t="n">
        <x:v>5.686224489795919</x:v>
      </x:c>
      <x:c r="Q834" s="40" t="n">
        <x:v>0.027696793002915453</x:v>
      </x:c>
      <x:c r="R834" s="40" t="n">
        <x:v>0.918731778425656</x:v>
      </x:c>
      <x:c r="S834" s="40" t="n">
        <x:v>0.0007288629737609329</x:v>
      </x:c>
      <x:c r="T834" s="31" t="n">
        <x:v>61.1008752055102</x:v>
      </x:c>
      <x:c r="U834" s="31" t="n">
        <x:v>95</x:v>
      </x:c>
      <x:c r="V834" s="31" t="n">
        <x:v>55</x:v>
      </x:c>
      <x:c r="W834" s="31" t="n">
        <x:v>7.831411077886943</x:v>
      </x:c>
      <x:c r="X834" s="31" t="n">
        <x:v>5</x:v>
      </x:c>
      <x:c r="Y834" s="40" t="n">
        <x:v>1</x:v>
      </x:c>
      <x:c r="Z834" s="40" t="n">
        <x:v>1</x:v>
      </x:c>
      <x:c r="AA834" s="40" t="n">
        <x:v>1</x:v>
      </x:c>
      <x:c r="AB834" s="31" t="n">
        <x:v>0.16858977608723358</x:v>
      </x:c>
      <x:c r="AC834" s="31" t="n">
        <x:v>7</x:v>
      </x:c>
      <x:c r="AD834" s="44" t="b">
        <x:v>1</x:v>
      </x:c>
    </x:row>
    <x:row r="835">
      <x:c r="A835" s="31" t="str">
        <x:v>36047051500</x:v>
      </x:c>
      <x:c r="B835" s="31" t="str">
        <x:v>Brooklyn</x:v>
      </x:c>
      <x:c r="C835" s="31" t="str">
        <x:v>051500</x:v>
      </x:c>
      <x:c r="D835" s="31" t="str">
        <x:v>BK0102</x:v>
      </x:c>
      <x:c r="E835" s="31" t="str">
        <x:v>Williamsburg</x:v>
      </x:c>
      <x:c r="F835" s="31" t="n">
        <x:v>0.07224010935132576</x:v>
      </x:c>
      <x:c r="G835" s="31" t="n">
        <x:v>40.7191265656562</x:v>
      </x:c>
      <x:c r="H835" s="31" t="n">
        <x:v>-73.95052906535733</x:v>
      </x:c>
      <x:c r="I835" s="31" t="n">
        <x:v>2451</x:v>
      </x:c>
      <x:c r="J835" s="31" t="n">
        <x:v>33928.520070201404</x:v>
      </x:c>
      <x:c r="K835" s="31"/>
      <x:c r="L835" s="40"/>
      <x:c r="M835" s="40"/>
      <x:c r="N835" s="31" t="n">
        <x:v>117</x:v>
      </x:c>
      <x:c r="O835" s="31" t="n">
        <x:v>1407</x:v>
      </x:c>
      <x:c r="P835" s="31" t="n">
        <x:v>6.346599131693198</x:v>
      </x:c>
      <x:c r="Q835" s="40" t="n">
        <x:v>0.12437810945273632</x:v>
      </x:c>
      <x:c r="R835" s="40" t="n">
        <x:v>0.8130774697938877</x:v>
      </x:c>
      <x:c r="S835" s="40" t="n">
        <x:v>0.026297085998578537</x:v>
      </x:c>
      <x:c r="T835" s="31" t="n">
        <x:v>72.98285480227173</x:v>
      </x:c>
      <x:c r="U835" s="31" t="n">
        <x:v>203</x:v>
      </x:c>
      <x:c r="V835" s="31" t="n">
        <x:v>34</x:v>
      </x:c>
      <x:c r="W835" s="31" t="n">
        <x:v>13.8718890248878</x:v>
      </x:c>
      <x:c r="X835" s="31" t="n">
        <x:v>3</x:v>
      </x:c>
      <x:c r="Y835" s="40" t="n">
        <x:v>0</x:v>
      </x:c>
      <x:c r="Z835" s="40" t="n">
        <x:v>1</x:v>
      </x:c>
      <x:c r="AA835" s="40" t="n">
        <x:v>0.9729921819474058</x:v>
      </x:c>
      <x:c r="AB835" s="31" t="n">
        <x:v>0.13681667760853503</x:v>
      </x:c>
      <x:c r="AC835" s="31" t="n">
        <x:v>6</x:v>
      </x:c>
      <x:c r="AD835" s="44" t="b">
        <x:v>1</x:v>
      </x:c>
    </x:row>
    <x:row r="836">
      <x:c r="A836" s="31" t="str">
        <x:v>36047051601</x:v>
      </x:c>
      <x:c r="B836" s="31" t="str">
        <x:v>Brooklyn</x:v>
      </x:c>
      <x:c r="C836" s="31" t="str">
        <x:v>051601</x:v>
      </x:c>
      <x:c r="D836" s="31" t="str">
        <x:v>BK1401</x:v>
      </x:c>
      <x:c r="E836" s="31" t="str">
        <x:v>Flatbush</x:v>
      </x:c>
      <x:c r="F836" s="31" t="n">
        <x:v>0.04475799921480429</x:v>
      </x:c>
      <x:c r="G836" s="31" t="n">
        <x:v>40.638625125588035</x:v>
      </x:c>
      <x:c r="H836" s="31" t="n">
        <x:v>-73.9567122861047</x:v>
      </x:c>
      <x:c r="I836" s="31" t="n">
        <x:v>5407</x:v>
      </x:c>
      <x:c r="J836" s="31" t="n">
        <x:v>120805.22129799682</x:v>
      </x:c>
      <x:c r="K836" s="31"/>
      <x:c r="L836" s="40"/>
      <x:c r="M836" s="40"/>
      <x:c r="N836" s="31" t="n">
        <x:v>186</x:v>
      </x:c>
      <x:c r="O836" s="31" t="n">
        <x:v>2068</x:v>
      </x:c>
      <x:c r="P836" s="31" t="n">
        <x:v>4.721987427466151</x:v>
      </x:c>
      <x:c r="Q836" s="40" t="n">
        <x:v>0</x:v>
      </x:c>
      <x:c r="R836" s="40" t="n">
        <x:v>0.9327852998065764</x:v>
      </x:c>
      <x:c r="S836" s="40" t="n">
        <x:v>0.01402321083172147</x:v>
      </x:c>
      <x:c r="T836" s="31" t="n">
        <x:v>52.35503481090237</x:v>
      </x:c>
      <x:c r="U836" s="31" t="n">
        <x:v>80</x:v>
      </x:c>
      <x:c r="V836" s="31" t="n">
        <x:v>19</x:v>
      </x:c>
      <x:c r="W836" s="31" t="n">
        <x:v>3.5139633808026636</x:v>
      </x:c>
      <x:c r="X836" s="31" t="n">
        <x:v>5</x:v>
      </x:c>
      <x:c r="Y836" s="40" t="n">
        <x:v>1</x:v>
      </x:c>
      <x:c r="Z836" s="40" t="n">
        <x:v>1</x:v>
      </x:c>
      <x:c r="AA836" s="40" t="n">
        <x:v>0.9806576402321083</x:v>
      </x:c>
      <x:c r="AB836" s="31" t="n">
        <x:v>0.42057360820742434</x:v>
      </x:c>
      <x:c r="AC836" s="31" t="n">
        <x:v>6</x:v>
      </x:c>
      <x:c r="AD836" s="44" t="b">
        <x:v>1</x:v>
      </x:c>
    </x:row>
    <x:row r="837">
      <x:c r="A837" s="31" t="str">
        <x:v>36047051602</x:v>
      </x:c>
      <x:c r="B837" s="31" t="str">
        <x:v>Brooklyn</x:v>
      </x:c>
      <x:c r="C837" s="31" t="str">
        <x:v>051602</x:v>
      </x:c>
      <x:c r="D837" s="31" t="str">
        <x:v>BK1401</x:v>
      </x:c>
      <x:c r="E837" s="31" t="str">
        <x:v>Flatbush</x:v>
      </x:c>
      <x:c r="F837" s="31" t="n">
        <x:v>0.03514336289396092</x:v>
      </x:c>
      <x:c r="G837" s="31" t="n">
        <x:v>40.64161526565821</x:v>
      </x:c>
      <x:c r="H837" s="31" t="n">
        <x:v>-73.95814386981849</x:v>
      </x:c>
      <x:c r="I837" s="31" t="n">
        <x:v>3874</x:v>
      </x:c>
      <x:c r="J837" s="31" t="n">
        <x:v>110234.18594541257</x:v>
      </x:c>
      <x:c r="K837" s="31"/>
      <x:c r="L837" s="40"/>
      <x:c r="M837" s="40"/>
      <x:c r="N837" s="31" t="n">
        <x:v>101</x:v>
      </x:c>
      <x:c r="O837" s="31" t="n">
        <x:v>1528</x:v>
      </x:c>
      <x:c r="P837" s="31" t="n">
        <x:v>5.23505890052356</x:v>
      </x:c>
      <x:c r="Q837" s="40" t="n">
        <x:v>0</x:v>
      </x:c>
      <x:c r="R837" s="40" t="n">
        <x:v>0.9725130890052356</x:v>
      </x:c>
      <x:c r="S837" s="40" t="n">
        <x:v>0.03664921465968586</x:v>
      </x:c>
      <x:c r="T837" s="31" t="n">
        <x:v>56.92247401452901</x:v>
      </x:c>
      <x:c r="U837" s="31" t="n">
        <x:v>69.26</x:v>
      </x:c>
      <x:c r="V837" s="31" t="n">
        <x:v>26</x:v>
      </x:c>
      <x:c r="W837" s="31" t="n">
        <x:v>6.7114093959731544</x:v>
      </x:c>
      <x:c r="X837" s="31" t="n">
        <x:v>5</x:v>
      </x:c>
      <x:c r="Y837" s="40" t="n">
        <x:v>1</x:v>
      </x:c>
      <x:c r="Z837" s="40" t="n">
        <x:v>1</x:v>
      </x:c>
      <x:c r="AA837" s="40" t="n">
        <x:v>0.868455497382199</x:v>
      </x:c>
      <x:c r="AB837" s="31" t="n">
        <x:v>0.3402702518531873</x:v>
      </x:c>
      <x:c r="AC837" s="31" t="n">
        <x:v>5</x:v>
      </x:c>
      <x:c r="AD837" s="44" t="b">
        <x:v>1</x:v>
      </x:c>
    </x:row>
    <x:row r="838">
      <x:c r="A838" s="31" t="str">
        <x:v>36047051700</x:v>
      </x:c>
      <x:c r="B838" s="31" t="str">
        <x:v>Brooklyn</x:v>
      </x:c>
      <x:c r="C838" s="31" t="str">
        <x:v>051700</x:v>
      </x:c>
      <x:c r="D838" s="31" t="str">
        <x:v>BK0102</x:v>
      </x:c>
      <x:c r="E838" s="31" t="str">
        <x:v>Williamsburg</x:v>
      </x:c>
      <x:c r="F838" s="31" t="n">
        <x:v>0.0724687353804379</x:v>
      </x:c>
      <x:c r="G838" s="31" t="n">
        <x:v>40.720653093583955</x:v>
      </x:c>
      <x:c r="H838" s="31" t="n">
        <x:v>-73.95450008483571</x:v>
      </x:c>
      <x:c r="I838" s="31" t="n">
        <x:v>2636</x:v>
      </x:c>
      <x:c r="J838" s="31" t="n">
        <x:v>36374.30660493571</x:v>
      </x:c>
      <x:c r="K838" s="31"/>
      <x:c r="L838" s="40"/>
      <x:c r="M838" s="40"/>
      <x:c r="N838" s="31" t="n">
        <x:v>146</x:v>
      </x:c>
      <x:c r="O838" s="31" t="n">
        <x:v>1629</x:v>
      </x:c>
      <x:c r="P838" s="31" t="n">
        <x:v>5.504150702426564</x:v>
      </x:c>
      <x:c r="Q838" s="40" t="n">
        <x:v>0</x:v>
      </x:c>
      <x:c r="R838" s="40" t="n">
        <x:v>0.9337016574585635</x:v>
      </x:c>
      <x:c r="S838" s="40" t="n">
        <x:v>0</x:v>
      </x:c>
      <x:c r="T838" s="31" t="n">
        <x:v>65.38701731645794</x:v>
      </x:c>
      <x:c r="U838" s="31" t="n">
        <x:v>96</x:v>
      </x:c>
      <x:c r="V838" s="31" t="n">
        <x:v>43</x:v>
      </x:c>
      <x:c r="W838" s="31" t="n">
        <x:v>16.31259484066768</x:v>
      </x:c>
      <x:c r="X838" s="31" t="n">
        <x:v>3</x:v>
      </x:c>
      <x:c r="Y838" s="40" t="n">
        <x:v>0</x:v>
      </x:c>
      <x:c r="Z838" s="40" t="n">
        <x:v>1</x:v>
      </x:c>
      <x:c r="AA838" s="40" t="n">
        <x:v>1</x:v>
      </x:c>
      <x:c r="AB838" s="31" t="n">
        <x:v>0.11864372068063647</x:v>
      </x:c>
      <x:c r="AC838" s="31" t="n">
        <x:v>5</x:v>
      </x:c>
      <x:c r="AD838" s="44" t="b">
        <x:v>1</x:v>
      </x:c>
    </x:row>
    <x:row r="839">
      <x:c r="A839" s="31" t="str">
        <x:v>36047051800</x:v>
      </x:c>
      <x:c r="B839" s="31" t="str">
        <x:v>Brooklyn</x:v>
      </x:c>
      <x:c r="C839" s="31" t="str">
        <x:v>051800</x:v>
      </x:c>
      <x:c r="D839" s="31" t="str">
        <x:v>BK1402</x:v>
      </x:c>
      <x:c r="E839" s="31" t="str">
        <x:v>Flatbush (West)-Ditmas Park-Parkville</x:v>
      </x:c>
      <x:c r="F839" s="31" t="n">
        <x:v>0.07784203589983643</x:v>
      </x:c>
      <x:c r="G839" s="31" t="n">
        <x:v>40.637986861530045</x:v>
      </x:c>
      <x:c r="H839" s="31" t="n">
        <x:v>-73.96079588222305</x:v>
      </x:c>
      <x:c r="I839" s="31" t="n">
        <x:v>3528</x:v>
      </x:c>
      <x:c r="J839" s="31" t="n">
        <x:v>45322.55559887551</x:v>
      </x:c>
      <x:c r="K839" s="31"/>
      <x:c r="L839" s="40"/>
      <x:c r="M839" s="40"/>
      <x:c r="N839" s="31" t="n">
        <x:v>199</x:v>
      </x:c>
      <x:c r="O839" s="31" t="n">
        <x:v>1444</x:v>
      </x:c>
      <x:c r="P839" s="31" t="n">
        <x:v>5.234626135569532</x:v>
      </x:c>
      <x:c r="Q839" s="40" t="n">
        <x:v>0</x:v>
      </x:c>
      <x:c r="R839" s="40" t="n">
        <x:v>0.8746537396121884</x:v>
      </x:c>
      <x:c r="S839" s="40" t="n">
        <x:v>0</x:v>
      </x:c>
      <x:c r="T839" s="31" t="n">
        <x:v>57.8936517448847</x:v>
      </x:c>
      <x:c r="U839" s="31" t="n">
        <x:v>70</x:v>
      </x:c>
      <x:c r="V839" s="31" t="n">
        <x:v>27</x:v>
      </x:c>
      <x:c r="W839" s="31" t="n">
        <x:v>7.653061224489796</x:v>
      </x:c>
      <x:c r="X839" s="31" t="n">
        <x:v>4.927285318559557</x:v>
      </x:c>
      <x:c r="Y839" s="40" t="n">
        <x:v>1</x:v>
      </x:c>
      <x:c r="Z839" s="40" t="n">
        <x:v>1</x:v>
      </x:c>
      <x:c r="AA839" s="40" t="n">
        <x:v>0.9909972299168975</x:v>
      </x:c>
      <x:c r="AB839" s="31" t="n">
        <x:v>0.33582101534411646</x:v>
      </x:c>
      <x:c r="AC839" s="31" t="n">
        <x:v>7</x:v>
      </x:c>
      <x:c r="AD839" s="44" t="b">
        <x:v>1</x:v>
      </x:c>
    </x:row>
    <x:row r="840">
      <x:c r="A840" s="31" t="str">
        <x:v>36047051900</x:v>
      </x:c>
      <x:c r="B840" s="31" t="str">
        <x:v>Brooklyn</x:v>
      </x:c>
      <x:c r="C840" s="31" t="str">
        <x:v>051900</x:v>
      </x:c>
      <x:c r="D840" s="31" t="str">
        <x:v>BK0102</x:v>
      </x:c>
      <x:c r="E840" s="31" t="str">
        <x:v>Williamsburg</x:v>
      </x:c>
      <x:c r="F840" s="31" t="n">
        <x:v>0.10614052078311526</x:v>
      </x:c>
      <x:c r="G840" s="31" t="n">
        <x:v>40.715715353985814</x:v>
      </x:c>
      <x:c r="H840" s="31" t="n">
        <x:v>-73.95515756710664</x:v>
      </x:c>
      <x:c r="I840" s="31" t="n">
        <x:v>6101</x:v>
      </x:c>
      <x:c r="J840" s="31" t="n">
        <x:v>57480.40385506138</x:v>
      </x:c>
      <x:c r="K840" s="31"/>
      <x:c r="L840" s="40"/>
      <x:c r="M840" s="40"/>
      <x:c r="N840" s="31" t="n">
        <x:v>399</x:v>
      </x:c>
      <x:c r="O840" s="31" t="n">
        <x:v>3851</x:v>
      </x:c>
      <x:c r="P840" s="31" t="n">
        <x:v>5.162620725659097</x:v>
      </x:c>
      <x:c r="Q840" s="40" t="n">
        <x:v>0.011685276551545054</x:v>
      </x:c>
      <x:c r="R840" s="40" t="n">
        <x:v>0.9587120228512075</x:v>
      </x:c>
      <x:c r="S840" s="40" t="n">
        <x:v>0.046741106206180216</x:v>
      </x:c>
      <x:c r="T840" s="31" t="n">
        <x:v>59.224524890226064</x:v>
      </x:c>
      <x:c r="U840" s="31" t="n">
        <x:v>110</x:v>
      </x:c>
      <x:c r="V840" s="31" t="n">
        <x:v>106</x:v>
      </x:c>
      <x:c r="W840" s="31" t="n">
        <x:v>17.374200950663823</x:v>
      </x:c>
      <x:c r="X840" s="31" t="n">
        <x:v>3</x:v>
      </x:c>
      <x:c r="Y840" s="40" t="n">
        <x:v>0</x:v>
      </x:c>
      <x:c r="Z840" s="40" t="n">
        <x:v>1</x:v>
      </x:c>
      <x:c r="AA840" s="40" t="n">
        <x:v>0.9304076863152428</x:v>
      </x:c>
      <x:c r="AB840" s="31" t="n">
        <x:v>0.019178391844466354</x:v>
      </x:c>
      <x:c r="AC840" s="31" t="n">
        <x:v>7</x:v>
      </x:c>
      <x:c r="AD840" s="44" t="b">
        <x:v>1</x:v>
      </x:c>
    </x:row>
    <x:row r="841">
      <x:c r="A841" s="31" t="str">
        <x:v>36047052000</x:v>
      </x:c>
      <x:c r="B841" s="31" t="str">
        <x:v>Brooklyn</x:v>
      </x:c>
      <x:c r="C841" s="31" t="str">
        <x:v>052000</x:v>
      </x:c>
      <x:c r="D841" s="31" t="str">
        <x:v>BK1402</x:v>
      </x:c>
      <x:c r="E841" s="31" t="str">
        <x:v>Flatbush (West)-Ditmas Park-Parkville</x:v>
      </x:c>
      <x:c r="F841" s="31" t="n">
        <x:v>0.07377018022734447</x:v>
      </x:c>
      <x:c r="G841" s="31" t="n">
        <x:v>40.637436258070665</x:v>
      </x:c>
      <x:c r="H841" s="31" t="n">
        <x:v>-73.96418576851528</x:v>
      </x:c>
      <x:c r="I841" s="31" t="n">
        <x:v>4175</x:v>
      </x:c>
      <x:c r="J841" s="31" t="n">
        <x:v>56594.68347689421</x:v>
      </x:c>
      <x:c r="K841" s="31"/>
      <x:c r="L841" s="40"/>
      <x:c r="M841" s="40"/>
      <x:c r="N841" s="31" t="n">
        <x:v>318</x:v>
      </x:c>
      <x:c r="O841" s="31" t="n">
        <x:v>1422</x:v>
      </x:c>
      <x:c r="P841" s="31" t="n">
        <x:v>4.396800281293952</x:v>
      </x:c>
      <x:c r="Q841" s="40" t="n">
        <x:v>0.020393811533052038</x:v>
      </x:c>
      <x:c r="R841" s="40" t="n">
        <x:v>0.7545710267229254</x:v>
      </x:c>
      <x:c r="S841" s="40" t="n">
        <x:v>0</x:v>
      </x:c>
      <x:c r="T841" s="31" t="n">
        <x:v>52.00254523278481</x:v>
      </x:c>
      <x:c r="U841" s="31" t="n">
        <x:v>95</x:v>
      </x:c>
      <x:c r="V841" s="31" t="n">
        <x:v>13</x:v>
      </x:c>
      <x:c r="W841" s="31" t="n">
        <x:v>3.1137724550898205</x:v>
      </x:c>
      <x:c r="X841" s="31" t="n">
        <x:v>4.350210970464135</x:v>
      </x:c>
      <x:c r="Y841" s="40" t="n">
        <x:v>0.8523206751054853</x:v>
      </x:c>
      <x:c r="Z841" s="40" t="n">
        <x:v>1</x:v>
      </x:c>
      <x:c r="AA841" s="40" t="n">
        <x:v>1</x:v>
      </x:c>
      <x:c r="AB841" s="31" t="n">
        <x:v>0.2531129448147785</x:v>
      </x:c>
      <x:c r="AC841" s="31" t="n">
        <x:v>5</x:v>
      </x:c>
      <x:c r="AD841" s="44" t="b">
        <x:v>1</x:v>
      </x:c>
    </x:row>
    <x:row r="842">
      <x:c r="A842" s="31" t="str">
        <x:v>36047052300</x:v>
      </x:c>
      <x:c r="B842" s="31" t="str">
        <x:v>Brooklyn</x:v>
      </x:c>
      <x:c r="C842" s="31" t="str">
        <x:v>052300</x:v>
      </x:c>
      <x:c r="D842" s="31" t="str">
        <x:v>BK0102</x:v>
      </x:c>
      <x:c r="E842" s="31" t="str">
        <x:v>Williamsburg</x:v>
      </x:c>
      <x:c r="F842" s="31" t="n">
        <x:v>0.05581216699631256</x:v>
      </x:c>
      <x:c r="G842" s="31" t="n">
        <x:v>40.711667499245145</x:v>
      </x:c>
      <x:c r="H842" s="31" t="n">
        <x:v>-73.95880359516367</x:v>
      </x:c>
      <x:c r="I842" s="31" t="n">
        <x:v>5405</x:v>
      </x:c>
      <x:c r="J842" s="31" t="n">
        <x:v>96842.68307226096</x:v>
      </x:c>
      <x:c r="K842" s="31"/>
      <x:c r="L842" s="40"/>
      <x:c r="M842" s="40"/>
      <x:c r="N842" s="31" t="n">
        <x:v>233</x:v>
      </x:c>
      <x:c r="O842" s="31" t="n">
        <x:v>2531</x:v>
      </x:c>
      <x:c r="P842" s="31" t="n">
        <x:v>5.387633769322235</x:v>
      </x:c>
      <x:c r="Q842" s="40" t="n">
        <x:v>0.03911497431845121</x:v>
      </x:c>
      <x:c r="R842" s="40" t="n">
        <x:v>0.935993678387989</x:v>
      </x:c>
      <x:c r="S842" s="40" t="n">
        <x:v>0.013038324772817068</x:v>
      </x:c>
      <x:c r="T842" s="31" t="n">
        <x:v>62.29588273832872</x:v>
      </x:c>
      <x:c r="U842" s="31" t="n">
        <x:v>144</x:v>
      </x:c>
      <x:c r="V842" s="31" t="n">
        <x:v>50</x:v>
      </x:c>
      <x:c r="W842" s="31" t="n">
        <x:v>9.250693802035153</x:v>
      </x:c>
      <x:c r="X842" s="31" t="n">
        <x:v>3</x:v>
      </x:c>
      <x:c r="Y842" s="40" t="n">
        <x:v>0</x:v>
      </x:c>
      <x:c r="Z842" s="40" t="n">
        <x:v>1</x:v>
      </x:c>
      <x:c r="AA842" s="40" t="n">
        <x:v>1</x:v>
      </x:c>
      <x:c r="AB842" s="31" t="n">
        <x:v>0.06288384653334667</x:v>
      </x:c>
      <x:c r="AC842" s="31" t="n">
        <x:v>7</x:v>
      </x:c>
      <x:c r="AD842" s="44" t="b">
        <x:v>1</x:v>
      </x:c>
    </x:row>
    <x:row r="843">
      <x:c r="A843" s="31" t="str">
        <x:v>36047052500</x:v>
      </x:c>
      <x:c r="B843" s="31" t="str">
        <x:v>Brooklyn</x:v>
      </x:c>
      <x:c r="C843" s="31" t="str">
        <x:v>052500</x:v>
      </x:c>
      <x:c r="D843" s="31" t="str">
        <x:v>BK0102</x:v>
      </x:c>
      <x:c r="E843" s="31" t="str">
        <x:v>Williamsburg</x:v>
      </x:c>
      <x:c r="F843" s="31" t="n">
        <x:v>0.048072470888214536</x:v>
      </x:c>
      <x:c r="G843" s="31" t="n">
        <x:v>40.70888723092225</x:v>
      </x:c>
      <x:c r="H843" s="31" t="n">
        <x:v>-73.95997988206716</x:v>
      </x:c>
      <x:c r="I843" s="31" t="n">
        <x:v>3720</x:v>
      </x:c>
      <x:c r="J843" s="31" t="n">
        <x:v>77383.16610873431</x:v>
      </x:c>
      <x:c r="K843" s="31"/>
      <x:c r="L843" s="40"/>
      <x:c r="M843" s="40"/>
      <x:c r="N843" s="31" t="n">
        <x:v>95</x:v>
      </x:c>
      <x:c r="O843" s="31" t="n">
        <x:v>1592</x:v>
      </x:c>
      <x:c r="P843" s="31" t="n">
        <x:v>13.287688442211055</x:v>
      </x:c>
      <x:c r="Q843" s="40" t="n">
        <x:v>0.5219849246231156</x:v>
      </x:c>
      <x:c r="R843" s="40" t="n">
        <x:v>0.47613065326633164</x:v>
      </x:c>
      <x:c r="S843" s="40" t="n">
        <x:v>0.22989949748743718</x:v>
      </x:c>
      <x:c r="T843" s="31" t="n">
        <x:v>124.44395721630339</x:v>
      </x:c>
      <x:c r="U843" s="31" t="n">
        <x:v>264</x:v>
      </x:c>
      <x:c r="V843" s="31" t="n">
        <x:v>38</x:v>
      </x:c>
      <x:c r="W843" s="31" t="n">
        <x:v>10.21505376344086</x:v>
      </x:c>
      <x:c r="X843" s="31" t="n">
        <x:v>3</x:v>
      </x:c>
      <x:c r="Y843" s="40" t="n">
        <x:v>0</x:v>
      </x:c>
      <x:c r="Z843" s="40" t="n">
        <x:v>1</x:v>
      </x:c>
      <x:c r="AA843" s="40" t="n">
        <x:v>0.9855527638190955</x:v>
      </x:c>
      <x:c r="AB843" s="31" t="n">
        <x:v>0.05624959084200353</x:v>
      </x:c>
      <x:c r="AC843" s="31" t="n">
        <x:v>8</x:v>
      </x:c>
      <x:c r="AD843" s="44" t="b">
        <x:v>1</x:v>
      </x:c>
    </x:row>
    <x:row r="844">
      <x:c r="A844" s="31" t="str">
        <x:v>36047052600</x:v>
      </x:c>
      <x:c r="B844" s="31" t="str">
        <x:v>Brooklyn</x:v>
      </x:c>
      <x:c r="C844" s="31" t="str">
        <x:v>052600</x:v>
      </x:c>
      <x:c r="D844" s="31" t="str">
        <x:v>BK1402</x:v>
      </x:c>
      <x:c r="E844" s="31" t="str">
        <x:v>Flatbush (West)-Ditmas Park-Parkville</x:v>
      </x:c>
      <x:c r="F844" s="31" t="n">
        <x:v>0.0654100352703168</x:v>
      </x:c>
      <x:c r="G844" s="31" t="n">
        <x:v>40.63646854877587</x:v>
      </x:c>
      <x:c r="H844" s="31" t="n">
        <x:v>-73.96667691415217</x:v>
      </x:c>
      <x:c r="I844" s="31" t="n">
        <x:v>4353</x:v>
      </x:c>
      <x:c r="J844" s="31" t="n">
        <x:v>66549.42138481616</x:v>
      </x:c>
      <x:c r="K844" s="31"/>
      <x:c r="L844" s="40"/>
      <x:c r="M844" s="40"/>
      <x:c r="N844" s="31" t="n">
        <x:v>229</x:v>
      </x:c>
      <x:c r="O844" s="31" t="n">
        <x:v>1787</x:v>
      </x:c>
      <x:c r="P844" s="31" t="n">
        <x:v>5.216004476776721</x:v>
      </x:c>
      <x:c r="Q844" s="40" t="n">
        <x:v>0</x:v>
      </x:c>
      <x:c r="R844" s="40" t="n">
        <x:v>0.876329043088976</x:v>
      </x:c>
      <x:c r="S844" s="40" t="n">
        <x:v>0.002238388360380526</x:v>
      </x:c>
      <x:c r="T844" s="31" t="n">
        <x:v>57.667449300046485</x:v>
      </x:c>
      <x:c r="U844" s="31" t="n">
        <x:v>74.13931121</x:v>
      </x:c>
      <x:c r="V844" s="31" t="n">
        <x:v>28</x:v>
      </x:c>
      <x:c r="W844" s="31" t="n">
        <x:v>6.432345508844475</x:v>
      </x:c>
      <x:c r="X844" s="31" t="n">
        <x:v>3.473978735310576</x:v>
      </x:c>
      <x:c r="Y844" s="40" t="n">
        <x:v>0.4739787353105764</x:v>
      </x:c>
      <x:c r="Z844" s="40" t="n">
        <x:v>1</x:v>
      </x:c>
      <x:c r="AA844" s="40" t="n">
        <x:v>0.9630665920537214</x:v>
      </x:c>
      <x:c r="AB844" s="31" t="n">
        <x:v>0.19704523839342555</x:v>
      </x:c>
      <x:c r="AC844" s="31" t="n">
        <x:v>5</x:v>
      </x:c>
      <x:c r="AD844" s="44" t="b">
        <x:v>1</x:v>
      </x:c>
    </x:row>
    <x:row r="845">
      <x:c r="A845" s="31" t="str">
        <x:v>36047052700</x:v>
      </x:c>
      <x:c r="B845" s="31" t="str">
        <x:v>Brooklyn</x:v>
      </x:c>
      <x:c r="C845" s="31" t="str">
        <x:v>052700</x:v>
      </x:c>
      <x:c r="D845" s="31" t="str">
        <x:v>BK0102</x:v>
      </x:c>
      <x:c r="E845" s="31" t="str">
        <x:v>Williamsburg</x:v>
      </x:c>
      <x:c r="F845" s="31" t="n">
        <x:v>0.0734581673022842</x:v>
      </x:c>
      <x:c r="G845" s="31" t="n">
        <x:v>40.708402842687015</x:v>
      </x:c>
      <x:c r="H845" s="31" t="n">
        <x:v>-73.95369659575964</x:v>
      </x:c>
      <x:c r="I845" s="31" t="n">
        <x:v>6045</x:v>
      </x:c>
      <x:c r="J845" s="31" t="n">
        <x:v>82291.73449324578</x:v>
      </x:c>
      <x:c r="K845" s="31"/>
      <x:c r="L845" s="40"/>
      <x:c r="M845" s="40"/>
      <x:c r="N845" s="31" t="n">
        <x:v>284</x:v>
      </x:c>
      <x:c r="O845" s="31" t="n">
        <x:v>2735</x:v>
      </x:c>
      <x:c r="P845" s="31" t="n">
        <x:v>5.186106032906764</x:v>
      </x:c>
      <x:c r="Q845" s="40" t="n">
        <x:v>0.02303473491773309</x:v>
      </x:c>
      <x:c r="R845" s="40" t="n">
        <x:v>0.9736745886654479</x:v>
      </x:c>
      <x:c r="S845" s="40" t="n">
        <x:v>0</x:v>
      </x:c>
      <x:c r="T845" s="31" t="n">
        <x:v>60.48124866622127</x:v>
      </x:c>
      <x:c r="U845" s="31" t="n">
        <x:v>196</x:v>
      </x:c>
      <x:c r="V845" s="31" t="n">
        <x:v>33</x:v>
      </x:c>
      <x:c r="W845" s="31" t="n">
        <x:v>5.459057071960298</x:v>
      </x:c>
      <x:c r="X845" s="31" t="n">
        <x:v>3</x:v>
      </x:c>
      <x:c r="Y845" s="40" t="n">
        <x:v>0</x:v>
      </x:c>
      <x:c r="Z845" s="40" t="n">
        <x:v>1</x:v>
      </x:c>
      <x:c r="AA845" s="40" t="n">
        <x:v>0.9385740402193784</x:v>
      </x:c>
      <x:c r="AB845" s="31" t="n">
        <x:v>0.12124725809599547</x:v>
      </x:c>
      <x:c r="AC845" s="31" t="n">
        <x:v>6</x:v>
      </x:c>
      <x:c r="AD845" s="44" t="b">
        <x:v>1</x:v>
      </x:c>
    </x:row>
    <x:row r="846">
      <x:c r="A846" s="31" t="str">
        <x:v>36047052800</x:v>
      </x:c>
      <x:c r="B846" s="31" t="str">
        <x:v>Brooklyn</x:v>
      </x:c>
      <x:c r="C846" s="31" t="str">
        <x:v>052800</x:v>
      </x:c>
      <x:c r="D846" s="31" t="str">
        <x:v>BK1402</x:v>
      </x:c>
      <x:c r="E846" s="31" t="str">
        <x:v>Flatbush (West)-Ditmas Park-Parkville</x:v>
      </x:c>
      <x:c r="F846" s="31" t="n">
        <x:v>0.06785325868880566</x:v>
      </x:c>
      <x:c r="G846" s="31" t="n">
        <x:v>40.630842971159524</x:v>
      </x:c>
      <x:c r="H846" s="31" t="n">
        <x:v>-73.96260530017432</x:v>
      </x:c>
      <x:c r="I846" s="31" t="n">
        <x:v>1804</x:v>
      </x:c>
      <x:c r="J846" s="31" t="n">
        <x:v>26586.784995451093</x:v>
      </x:c>
      <x:c r="K846" s="31"/>
      <x:c r="L846" s="40"/>
      <x:c r="M846" s="40"/>
      <x:c r="N846" s="31" t="n">
        <x:v>260</x:v>
      </x:c>
      <x:c r="O846" s="31" t="n">
        <x:v>680</x:v>
      </x:c>
      <x:c r="P846" s="31" t="n">
        <x:v>3.9863970588235293</x:v>
      </x:c>
      <x:c r="Q846" s="40" t="n">
        <x:v>0</x:v>
      </x:c>
      <x:c r="R846" s="40" t="n">
        <x:v>0.5191176470588236</x:v>
      </x:c>
      <x:c r="S846" s="40" t="n">
        <x:v>0.0029411764705882353</x:v>
      </x:c>
      <x:c r="T846" s="31" t="n">
        <x:v>48.58216176470589</x:v>
      </x:c>
      <x:c r="U846" s="31" t="n">
        <x:v>67.39</x:v>
      </x:c>
      <x:c r="V846" s="31" t="n">
        <x:v>7</x:v>
      </x:c>
      <x:c r="W846" s="31" t="n">
        <x:v>3.8802660753880267</x:v>
      </x:c>
      <x:c r="X846" s="31" t="n">
        <x:v>4</x:v>
      </x:c>
      <x:c r="Y846" s="40" t="n">
        <x:v>1</x:v>
      </x:c>
      <x:c r="Z846" s="40" t="n">
        <x:v>1</x:v>
      </x:c>
      <x:c r="AA846" s="40" t="n">
        <x:v>1</x:v>
      </x:c>
      <x:c r="AB846" s="31" t="n">
        <x:v>0.2731802045800481</x:v>
      </x:c>
      <x:c r="AC846" s="31" t="n">
        <x:v>6</x:v>
      </x:c>
      <x:c r="AD846" s="44" t="b">
        <x:v>1</x:v>
      </x:c>
    </x:row>
    <x:row r="847">
      <x:c r="A847" s="31" t="str">
        <x:v>36047052900</x:v>
      </x:c>
      <x:c r="B847" s="31" t="str">
        <x:v>Brooklyn</x:v>
      </x:c>
      <x:c r="C847" s="31" t="str">
        <x:v>052900</x:v>
      </x:c>
      <x:c r="D847" s="31" t="str">
        <x:v>BK0103</x:v>
      </x:c>
      <x:c r="E847" s="31" t="str">
        <x:v>South Williamsburg</x:v>
      </x:c>
      <x:c r="F847" s="31" t="n">
        <x:v>0.0675282958663338</x:v>
      </x:c>
      <x:c r="G847" s="31" t="n">
        <x:v>40.70587127707018</x:v>
      </x:c>
      <x:c r="H847" s="31" t="n">
        <x:v>-73.95450556035439</x:v>
      </x:c>
      <x:c r="I847" s="31" t="n">
        <x:v>4299</x:v>
      </x:c>
      <x:c r="J847" s="31" t="n">
        <x:v>63662.2018199524</x:v>
      </x:c>
      <x:c r="K847" s="31"/>
      <x:c r="L847" s="40"/>
      <x:c r="M847" s="40"/>
      <x:c r="N847" s="31" t="n">
        <x:v>274</x:v>
      </x:c>
      <x:c r="O847" s="31" t="n">
        <x:v>1092</x:v>
      </x:c>
      <x:c r="P847" s="31" t="n">
        <x:v>3.807234432234432</x:v>
      </x:c>
      <x:c r="Q847" s="40" t="n">
        <x:v>0</x:v>
      </x:c>
      <x:c r="R847" s="40" t="n">
        <x:v>0.8974358974358975</x:v>
      </x:c>
      <x:c r="S847" s="40" t="n">
        <x:v>0</x:v>
      </x:c>
      <x:c r="T847" s="31" t="n">
        <x:v>48.47944626402204</x:v>
      </x:c>
      <x:c r="U847" s="31" t="n">
        <x:v>80.47</x:v>
      </x:c>
      <x:c r="V847" s="31" t="n">
        <x:v>21</x:v>
      </x:c>
      <x:c r="W847" s="31" t="n">
        <x:v>4.884856943475227</x:v>
      </x:c>
      <x:c r="X847" s="31" t="n">
        <x:v>3</x:v>
      </x:c>
      <x:c r="Y847" s="40" t="n">
        <x:v>0</x:v>
      </x:c>
      <x:c r="Z847" s="40" t="n">
        <x:v>1</x:v>
      </x:c>
      <x:c r="AA847" s="40" t="n">
        <x:v>0.9972527472527473</x:v>
      </x:c>
      <x:c r="AB847" s="31" t="n">
        <x:v>0.056216365360658486</x:v>
      </x:c>
      <x:c r="AC847" s="31" t="n">
        <x:v>7</x:v>
      </x:c>
      <x:c r="AD847" s="44" t="b">
        <x:v>1</x:v>
      </x:c>
    </x:row>
    <x:row r="848">
      <x:c r="A848" s="31" t="str">
        <x:v>36047053000</x:v>
      </x:c>
      <x:c r="B848" s="31" t="str">
        <x:v>Brooklyn</x:v>
      </x:c>
      <x:c r="C848" s="31" t="str">
        <x:v>053000</x:v>
      </x:c>
      <x:c r="D848" s="31" t="str">
        <x:v>BK1403</x:v>
      </x:c>
      <x:c r="E848" s="31" t="str">
        <x:v>Midwood</x:v>
      </x:c>
      <x:c r="F848" s="31" t="n">
        <x:v>0.06676459051738981</x:v>
      </x:c>
      <x:c r="G848" s="31" t="n">
        <x:v>40.62735852054549</x:v>
      </x:c>
      <x:c r="H848" s="31" t="n">
        <x:v>-73.96373547758489</x:v>
      </x:c>
      <x:c r="I848" s="31" t="n">
        <x:v>3606</x:v>
      </x:c>
      <x:c r="J848" s="31" t="n">
        <x:v>54010.66601405673</x:v>
      </x:c>
      <x:c r="K848" s="31"/>
      <x:c r="L848" s="40"/>
      <x:c r="M848" s="40"/>
      <x:c r="N848" s="31" t="n">
        <x:v>319</x:v>
      </x:c>
      <x:c r="O848" s="31" t="n">
        <x:v>1227</x:v>
      </x:c>
      <x:c r="P848" s="31" t="n">
        <x:v>3.8850855745721273</x:v>
      </x:c>
      <x:c r="Q848" s="40" t="n">
        <x:v>0</x:v>
      </x:c>
      <x:c r="R848" s="40" t="n">
        <x:v>0.6519967400162999</x:v>
      </x:c>
      <x:c r="S848" s="40" t="n">
        <x:v>0.004889975550122249</x:v>
      </x:c>
      <x:c r="T848" s="31" t="n">
        <x:v>45.069232630473465</x:v>
      </x:c>
      <x:c r="U848" s="31" t="n">
        <x:v>69.76728965</x:v>
      </x:c>
      <x:c r="V848" s="31" t="n">
        <x:v>9</x:v>
      </x:c>
      <x:c r="W848" s="31" t="n">
        <x:v>2.4958402662229617</x:v>
      </x:c>
      <x:c r="X848" s="31" t="n">
        <x:v>4</x:v>
      </x:c>
      <x:c r="Y848" s="40" t="n">
        <x:v>1</x:v>
      </x:c>
      <x:c r="Z848" s="40" t="n">
        <x:v>1</x:v>
      </x:c>
      <x:c r="AA848" s="40" t="n">
        <x:v>0.9983700081499592</x:v>
      </x:c>
      <x:c r="AB848" s="31" t="n">
        <x:v>0.20192082530285824</x:v>
      </x:c>
      <x:c r="AC848" s="31" t="n">
        <x:v>5</x:v>
      </x:c>
      <x:c r="AD848" s="44" t="b">
        <x:v>1</x:v>
      </x:c>
    </x:row>
    <x:row r="849">
      <x:c r="A849" s="31" t="str">
        <x:v>36047053101</x:v>
      </x:c>
      <x:c r="B849" s="31" t="str">
        <x:v>Brooklyn</x:v>
      </x:c>
      <x:c r="C849" s="31" t="str">
        <x:v>053101</x:v>
      </x:c>
      <x:c r="D849" s="31" t="str">
        <x:v>BK0103</x:v>
      </x:c>
      <x:c r="E849" s="31" t="str">
        <x:v>South Williamsburg</x:v>
      </x:c>
      <x:c r="F849" s="31" t="n">
        <x:v>0.03044679400001435</x:v>
      </x:c>
      <x:c r="G849" s="31" t="n">
        <x:v>40.701248152112505</x:v>
      </x:c>
      <x:c r="H849" s="31" t="n">
        <x:v>-73.95508274315404</x:v>
      </x:c>
      <x:c r="I849" s="31" t="n">
        <x:v>2997</x:v>
      </x:c>
      <x:c r="J849" s="31" t="n">
        <x:v>98434.00917674904</x:v>
      </x:c>
      <x:c r="K849" s="31"/>
      <x:c r="L849" s="40"/>
      <x:c r="M849" s="40"/>
      <x:c r="N849" s="31" t="n">
        <x:v>139</x:v>
      </x:c>
      <x:c r="O849" s="31" t="n">
        <x:v>659</x:v>
      </x:c>
      <x:c r="P849" s="31" t="n">
        <x:v>4.807098765432099</x:v>
      </x:c>
      <x:c r="Q849" s="40" t="n">
        <x:v>0.019726858877086494</x:v>
      </x:c>
      <x:c r="R849" s="40" t="n">
        <x:v>0.8558421851289834</x:v>
      </x:c>
      <x:c r="S849" s="40" t="n">
        <x:v>0.009104704097116844</x:v>
      </x:c>
      <x:c r="T849" s="31" t="n">
        <x:v>57.293759865038524</x:v>
      </x:c>
      <x:c r="U849" s="31" t="n">
        <x:v>101</x:v>
      </x:c>
      <x:c r="V849" s="31" t="n">
        <x:v>32</x:v>
      </x:c>
      <x:c r="W849" s="31" t="n">
        <x:v>10.677344010677345</x:v>
      </x:c>
      <x:c r="X849" s="31" t="n">
        <x:v>4</x:v>
      </x:c>
      <x:c r="Y849" s="40" t="n">
        <x:v>1</x:v>
      </x:c>
      <x:c r="Z849" s="40" t="n">
        <x:v>1</x:v>
      </x:c>
      <x:c r="AA849" s="40" t="n">
        <x:v>0.9848254931714719</x:v>
      </x:c>
      <x:c r="AB849" s="31" t="n">
        <x:v>0.10002481468144533</x:v>
      </x:c>
      <x:c r="AC849" s="31" t="n">
        <x:v>5</x:v>
      </x:c>
      <x:c r="AD849" s="44" t="b">
        <x:v>1</x:v>
      </x:c>
    </x:row>
    <x:row r="850">
      <x:c r="A850" s="31" t="str">
        <x:v>36047053102</x:v>
      </x:c>
      <x:c r="B850" s="31" t="str">
        <x:v>Brooklyn</x:v>
      </x:c>
      <x:c r="C850" s="31" t="str">
        <x:v>053102</x:v>
      </x:c>
      <x:c r="D850" s="31" t="str">
        <x:v>BK0103</x:v>
      </x:c>
      <x:c r="E850" s="31" t="str">
        <x:v>South Williamsburg</x:v>
      </x:c>
      <x:c r="F850" s="31" t="n">
        <x:v>0.03202866283606663</x:v>
      </x:c>
      <x:c r="G850" s="31" t="n">
        <x:v>40.70023579386393</x:v>
      </x:c>
      <x:c r="H850" s="31" t="n">
        <x:v>-73.95330191689257</x:v>
      </x:c>
      <x:c r="I850" s="31" t="n">
        <x:v>5890</x:v>
      </x:c>
      <x:c r="J850" s="31" t="n">
        <x:v>183897.7802522379</x:v>
      </x:c>
      <x:c r="K850" s="31"/>
      <x:c r="L850" s="40"/>
      <x:c r="M850" s="40"/>
      <x:c r="N850" s="31" t="n">
        <x:v>97</x:v>
      </x:c>
      <x:c r="O850" s="31" t="n">
        <x:v>1061</x:v>
      </x:c>
      <x:c r="P850" s="31" t="n">
        <x:v>6.193120260021669</x:v>
      </x:c>
      <x:c r="Q850" s="40" t="n">
        <x:v>0.08482563619227144</x:v>
      </x:c>
      <x:c r="R850" s="40" t="n">
        <x:v>0.7728557964184731</x:v>
      </x:c>
      <x:c r="S850" s="40" t="n">
        <x:v>0.1055607917059378</x:v>
      </x:c>
      <x:c r="T850" s="31" t="n">
        <x:v>75.46508313493874</x:v>
      </x:c>
      <x:c r="U850" s="31" t="n">
        <x:v>113</x:v>
      </x:c>
      <x:c r="V850" s="31" t="n">
        <x:v>85</x:v>
      </x:c>
      <x:c r="W850" s="31" t="n">
        <x:v>14.431239388794566</x:v>
      </x:c>
      <x:c r="X850" s="31" t="n">
        <x:v>4</x:v>
      </x:c>
      <x:c r="Y850" s="40" t="n">
        <x:v>1</x:v>
      </x:c>
      <x:c r="Z850" s="40" t="n">
        <x:v>1</x:v>
      </x:c>
      <x:c r="AA850" s="40" t="n">
        <x:v>1</x:v>
      </x:c>
      <x:c r="AB850" s="31" t="n">
        <x:v>0.11779151245749074</x:v>
      </x:c>
      <x:c r="AC850" s="31" t="n">
        <x:v>7</x:v>
      </x:c>
      <x:c r="AD850" s="44" t="b">
        <x:v>1</x:v>
      </x:c>
    </x:row>
    <x:row r="851">
      <x:c r="A851" s="31" t="str">
        <x:v>36047053200</x:v>
      </x:c>
      <x:c r="B851" s="31" t="str">
        <x:v>Brooklyn</x:v>
      </x:c>
      <x:c r="C851" s="31" t="str">
        <x:v>053200</x:v>
      </x:c>
      <x:c r="D851" s="31" t="str">
        <x:v>BK1403</x:v>
      </x:c>
      <x:c r="E851" s="31" t="str">
        <x:v>Midwood</x:v>
      </x:c>
      <x:c r="F851" s="31" t="n">
        <x:v>0.06729866526522325</x:v>
      </x:c>
      <x:c r="G851" s="31" t="n">
        <x:v>40.62621967655618</x:v>
      </x:c>
      <x:c r="H851" s="31" t="n">
        <x:v>-73.96025532791305</x:v>
      </x:c>
      <x:c r="I851" s="31" t="n">
        <x:v>2510</x:v>
      </x:c>
      <x:c r="J851" s="31" t="n">
        <x:v>37296.43062173847</x:v>
      </x:c>
      <x:c r="K851" s="31"/>
      <x:c r="L851" s="40"/>
      <x:c r="M851" s="40"/>
      <x:c r="N851" s="31" t="n">
        <x:v>274</x:v>
      </x:c>
      <x:c r="O851" s="31" t="n">
        <x:v>994</x:v>
      </x:c>
      <x:c r="P851" s="31" t="n">
        <x:v>4.349346076458753</x:v>
      </x:c>
      <x:c r="Q851" s="40" t="n">
        <x:v>0</x:v>
      </x:c>
      <x:c r="R851" s="40" t="n">
        <x:v>0.6619718309859155</x:v>
      </x:c>
      <x:c r="S851" s="40" t="n">
        <x:v>0.02112676056338028</x:v>
      </x:c>
      <x:c r="T851" s="31" t="n">
        <x:v>48.90641583225352</x:v>
      </x:c>
      <x:c r="U851" s="31" t="n">
        <x:v>69.9</x:v>
      </x:c>
      <x:c r="V851" s="31" t="n">
        <x:v>14</x:v>
      </x:c>
      <x:c r="W851" s="31" t="n">
        <x:v>5.577689243027889</x:v>
      </x:c>
      <x:c r="X851" s="31" t="n">
        <x:v>4</x:v>
      </x:c>
      <x:c r="Y851" s="40" t="n">
        <x:v>1</x:v>
      </x:c>
      <x:c r="Z851" s="40" t="n">
        <x:v>1</x:v>
      </x:c>
      <x:c r="AA851" s="40" t="n">
        <x:v>1</x:v>
      </x:c>
      <x:c r="AB851" s="31" t="n">
        <x:v>0.02288524428355442</x:v>
      </x:c>
      <x:c r="AC851" s="31" t="n">
        <x:v>7</x:v>
      </x:c>
      <x:c r="AD851" s="44" t="b">
        <x:v>1</x:v>
      </x:c>
    </x:row>
    <x:row r="852">
      <x:c r="A852" s="31" t="str">
        <x:v>36047053300</x:v>
      </x:c>
      <x:c r="B852" s="31" t="str">
        <x:v>Brooklyn</x:v>
      </x:c>
      <x:c r="C852" s="31" t="str">
        <x:v>053300</x:v>
      </x:c>
      <x:c r="D852" s="31" t="str">
        <x:v>BK0103</x:v>
      </x:c>
      <x:c r="E852" s="31" t="str">
        <x:v>South Williamsburg</x:v>
      </x:c>
      <x:c r="F852" s="31" t="n">
        <x:v>0.07456711980565599</x:v>
      </x:c>
      <x:c r="G852" s="31" t="n">
        <x:v>40.70376742694337</x:v>
      </x:c>
      <x:c r="H852" s="31" t="n">
        <x:v>-73.9573605377017</x:v>
      </x:c>
      <x:c r="I852" s="31" t="n">
        <x:v>7115</x:v>
      </x:c>
      <x:c r="J852" s="31" t="n">
        <x:v>95417.39064810064</x:v>
      </x:c>
      <x:c r="K852" s="31"/>
      <x:c r="L852" s="40"/>
      <x:c r="M852" s="40"/>
      <x:c r="N852" s="31" t="n">
        <x:v>512</x:v>
      </x:c>
      <x:c r="O852" s="31" t="n">
        <x:v>1866</x:v>
      </x:c>
      <x:c r="P852" s="31" t="n">
        <x:v>3.6942658092175775</x:v>
      </x:c>
      <x:c r="Q852" s="40" t="n">
        <x:v>0</x:v>
      </x:c>
      <x:c r="R852" s="40" t="n">
        <x:v>0.9040728831725616</x:v>
      </x:c>
      <x:c r="S852" s="40" t="n">
        <x:v>0.005894962486602358</x:v>
      </x:c>
      <x:c r="T852" s="31" t="n">
        <x:v>46.61602989617162</x:v>
      </x:c>
      <x:c r="U852" s="31" t="n">
        <x:v>86</x:v>
      </x:c>
      <x:c r="V852" s="31" t="n">
        <x:v>28</x:v>
      </x:c>
      <x:c r="W852" s="31" t="n">
        <x:v>3.9353478566408993</x:v>
      </x:c>
      <x:c r="X852" s="31" t="n">
        <x:v>3.044480171489818</x:v>
      </x:c>
      <x:c r="Y852" s="40" t="n">
        <x:v>0.04448017148981779</x:v>
      </x:c>
      <x:c r="Z852" s="40" t="n">
        <x:v>1</x:v>
      </x:c>
      <x:c r="AA852" s="40" t="n">
        <x:v>0.9742765273311897</x:v>
      </x:c>
      <x:c r="AB852" s="31" t="n">
        <x:v>0.16162166078879692</x:v>
      </x:c>
      <x:c r="AC852" s="31" t="n">
        <x:v>7</x:v>
      </x:c>
      <x:c r="AD852" s="44" t="b">
        <x:v>1</x:v>
      </x:c>
    </x:row>
    <x:row r="853">
      <x:c r="A853" s="31" t="str">
        <x:v>36047053400</x:v>
      </x:c>
      <x:c r="B853" s="31" t="str">
        <x:v>Brooklyn</x:v>
      </x:c>
      <x:c r="C853" s="31" t="str">
        <x:v>053400</x:v>
      </x:c>
      <x:c r="D853" s="31" t="str">
        <x:v>BK1403</x:v>
      </x:c>
      <x:c r="E853" s="31" t="str">
        <x:v>Midwood</x:v>
      </x:c>
      <x:c r="F853" s="31" t="n">
        <x:v>0.06693733424981348</x:v>
      </x:c>
      <x:c r="G853" s="31" t="n">
        <x:v>40.6225823846236</x:v>
      </x:c>
      <x:c r="H853" s="31" t="n">
        <x:v>-73.96283004592968</x:v>
      </x:c>
      <x:c r="I853" s="31" t="n">
        <x:v>4777</x:v>
      </x:c>
      <x:c r="J853" s="31" t="n">
        <x:v>71365.25607924566</x:v>
      </x:c>
      <x:c r="K853" s="31"/>
      <x:c r="L853" s="40"/>
      <x:c r="M853" s="40"/>
      <x:c r="N853" s="31" t="n">
        <x:v>372</x:v>
      </x:c>
      <x:c r="O853" s="31" t="n">
        <x:v>1354</x:v>
      </x:c>
      <x:c r="P853" s="31" t="n">
        <x:v>3.7549852289512557</x:v>
      </x:c>
      <x:c r="Q853" s="40" t="n">
        <x:v>0</x:v>
      </x:c>
      <x:c r="R853" s="40" t="n">
        <x:v>0.621861152141802</x:v>
      </x:c>
      <x:c r="S853" s="40" t="n">
        <x:v>0.0022156573116691287</x:v>
      </x:c>
      <x:c r="T853" s="31" t="n">
        <x:v>44.08386168999261</x:v>
      </x:c>
      <x:c r="U853" s="31" t="n">
        <x:v>66.38</x:v>
      </x:c>
      <x:c r="V853" s="31" t="n">
        <x:v>12</x:v>
      </x:c>
      <x:c r="W853" s="31" t="n">
        <x:v>2.5120368432070337</x:v>
      </x:c>
      <x:c r="X853" s="31" t="n">
        <x:v>4</x:v>
      </x:c>
      <x:c r="Y853" s="40" t="n">
        <x:v>1</x:v>
      </x:c>
      <x:c r="Z853" s="40" t="n">
        <x:v>1</x:v>
      </x:c>
      <x:c r="AA853" s="40" t="n">
        <x:v>1</x:v>
      </x:c>
      <x:c r="AB853" s="31" t="n">
        <x:v>0.18280922834856939</x:v>
      </x:c>
      <x:c r="AC853" s="31" t="n">
        <x:v>5</x:v>
      </x:c>
      <x:c r="AD853" s="44" t="b">
        <x:v>1</x:v>
      </x:c>
    </x:row>
    <x:row r="854">
      <x:c r="A854" s="31" t="str">
        <x:v>36047053500</x:v>
      </x:c>
      <x:c r="B854" s="31" t="str">
        <x:v>Brooklyn</x:v>
      </x:c>
      <x:c r="C854" s="31" t="str">
        <x:v>053500</x:v>
      </x:c>
      <x:c r="D854" s="31" t="str">
        <x:v>BK0103</x:v>
      </x:c>
      <x:c r="E854" s="31" t="str">
        <x:v>South Williamsburg</x:v>
      </x:c>
      <x:c r="F854" s="31" t="n">
        <x:v>0.05044024769821798</x:v>
      </x:c>
      <x:c r="G854" s="31" t="n">
        <x:v>40.70614278553652</x:v>
      </x:c>
      <x:c r="H854" s="31" t="n">
        <x:v>-73.96122337899888</x:v>
      </x:c>
      <x:c r="I854" s="31" t="n">
        <x:v>4469</x:v>
      </x:c>
      <x:c r="J854" s="31" t="n">
        <x:v>88599.88211671465</x:v>
      </x:c>
      <x:c r="K854" s="31"/>
      <x:c r="L854" s="40"/>
      <x:c r="M854" s="40"/>
      <x:c r="N854" s="31" t="n">
        <x:v>247</x:v>
      </x:c>
      <x:c r="O854" s="31" t="n">
        <x:v>1271</x:v>
      </x:c>
      <x:c r="P854" s="31" t="n">
        <x:v>4.615887480190175</x:v>
      </x:c>
      <x:c r="Q854" s="40" t="n">
        <x:v>0</x:v>
      </x:c>
      <x:c r="R854" s="40" t="n">
        <x:v>0.987411487018096</x:v>
      </x:c>
      <x:c r="S854" s="40" t="n">
        <x:v>0.003147128245476003</x:v>
      </x:c>
      <x:c r="T854" s="31" t="n">
        <x:v>54.4514989906672</x:v>
      </x:c>
      <x:c r="U854" s="31" t="n">
        <x:v>96</x:v>
      </x:c>
      <x:c r="V854" s="31" t="n">
        <x:v>30</x:v>
      </x:c>
      <x:c r="W854" s="31" t="n">
        <x:v>6.712911165808906</x:v>
      </x:c>
      <x:c r="X854" s="31" t="n">
        <x:v>3</x:v>
      </x:c>
      <x:c r="Y854" s="40" t="n">
        <x:v>0</x:v>
      </x:c>
      <x:c r="Z854" s="40" t="n">
        <x:v>1</x:v>
      </x:c>
      <x:c r="AA854" s="40" t="n">
        <x:v>0.990558615263572</x:v>
      </x:c>
      <x:c r="AB854" s="31" t="n">
        <x:v>0.04785810818118569</x:v>
      </x:c>
      <x:c r="AC854" s="31" t="n">
        <x:v>7</x:v>
      </x:c>
      <x:c r="AD854" s="44" t="b">
        <x:v>1</x:v>
      </x:c>
    </x:row>
    <x:row r="855">
      <x:c r="A855" s="31" t="str">
        <x:v>36047053700</x:v>
      </x:c>
      <x:c r="B855" s="31" t="str">
        <x:v>Brooklyn</x:v>
      </x:c>
      <x:c r="C855" s="31" t="str">
        <x:v>053700</x:v>
      </x:c>
      <x:c r="D855" s="31" t="str">
        <x:v>BK0103</x:v>
      </x:c>
      <x:c r="E855" s="31" t="str">
        <x:v>South Williamsburg</x:v>
      </x:c>
      <x:c r="F855" s="31" t="n">
        <x:v>0.06465952916666666</x:v>
      </x:c>
      <x:c r="G855" s="31" t="n">
        <x:v>40.70029835714413</x:v>
      </x:c>
      <x:c r="H855" s="31" t="n">
        <x:v>-73.95995479985426</x:v>
      </x:c>
      <x:c r="I855" s="31" t="n">
        <x:v>4304</x:v>
      </x:c>
      <x:c r="J855" s="31" t="n">
        <x:v>66564.04795194212</x:v>
      </x:c>
      <x:c r="K855" s="31"/>
      <x:c r="L855" s="40"/>
      <x:c r="M855" s="40"/>
      <x:c r="N855" s="31" t="n">
        <x:v>150</x:v>
      </x:c>
      <x:c r="O855" s="31" t="n">
        <x:v>930</x:v>
      </x:c>
      <x:c r="P855" s="31" t="n">
        <x:v>5.280401737242128</x:v>
      </x:c>
      <x:c r="Q855" s="40" t="n">
        <x:v>0</x:v>
      </x:c>
      <x:c r="R855" s="40" t="n">
        <x:v>0.9301075268817204</x:v>
      </x:c>
      <x:c r="S855" s="40" t="n">
        <x:v>0.03870967741935484</x:v>
      </x:c>
      <x:c r="T855" s="31" t="n">
        <x:v>63.96335277846756</x:v>
      </x:c>
      <x:c r="U855" s="31" t="n">
        <x:v>98</x:v>
      </x:c>
      <x:c r="V855" s="31" t="n">
        <x:v>48</x:v>
      </x:c>
      <x:c r="W855" s="31" t="n">
        <x:v>11.152416356877323</x:v>
      </x:c>
      <x:c r="X855" s="31" t="n">
        <x:v>3.1870967741935483</x:v>
      </x:c>
      <x:c r="Y855" s="40" t="n">
        <x:v>0.1870967741935484</x:v>
      </x:c>
      <x:c r="Z855" s="40" t="n">
        <x:v>1</x:v>
      </x:c>
      <x:c r="AA855" s="40" t="n">
        <x:v>0.9612903225806452</x:v>
      </x:c>
      <x:c r="AB855" s="31" t="n">
        <x:v>0.3376423132989228</x:v>
      </x:c>
      <x:c r="AC855" s="31" t="n">
        <x:v>9</x:v>
      </x:c>
      <x:c r="AD855" s="44" t="b">
        <x:v>1</x:v>
      </x:c>
    </x:row>
    <x:row r="856">
      <x:c r="A856" s="31" t="str">
        <x:v>36047053800</x:v>
      </x:c>
      <x:c r="B856" s="31" t="str">
        <x:v>Brooklyn</x:v>
      </x:c>
      <x:c r="C856" s="31" t="str">
        <x:v>053800</x:v>
      </x:c>
      <x:c r="D856" s="31" t="str">
        <x:v>BK1403</x:v>
      </x:c>
      <x:c r="E856" s="31" t="str">
        <x:v>Midwood</x:v>
      </x:c>
      <x:c r="F856" s="31" t="n">
        <x:v>0.06349390094015439</x:v>
      </x:c>
      <x:c r="G856" s="31" t="n">
        <x:v>40.61819843088536</x:v>
      </x:c>
      <x:c r="H856" s="31" t="n">
        <x:v>-73.95683501711592</x:v>
      </x:c>
      <x:c r="I856" s="31" t="n">
        <x:v>5535</x:v>
      </x:c>
      <x:c r="J856" s="31" t="n">
        <x:v>87173.72720912147</x:v>
      </x:c>
      <x:c r="K856" s="31"/>
      <x:c r="L856" s="40"/>
      <x:c r="M856" s="40"/>
      <x:c r="N856" s="31" t="n">
        <x:v>226</x:v>
      </x:c>
      <x:c r="O856" s="31" t="n">
        <x:v>2452</x:v>
      </x:c>
      <x:c r="P856" s="31" t="n">
        <x:v>5.860834371108344</x:v>
      </x:c>
      <x:c r="Q856" s="40" t="n">
        <x:v>0.05872756933115824</x:v>
      </x:c>
      <x:c r="R856" s="40" t="n">
        <x:v>0.8303425774877651</x:v>
      </x:c>
      <x:c r="S856" s="40" t="n">
        <x:v>0</x:v>
      </x:c>
      <x:c r="T856" s="31" t="n">
        <x:v>64.48642184215335</x:v>
      </x:c>
      <x:c r="U856" s="31" t="n">
        <x:v>103</x:v>
      </x:c>
      <x:c r="V856" s="31" t="n">
        <x:v>50</x:v>
      </x:c>
      <x:c r="W856" s="31" t="n">
        <x:v>9.033423667570009</x:v>
      </x:c>
      <x:c r="X856" s="31" t="n">
        <x:v>4</x:v>
      </x:c>
      <x:c r="Y856" s="40" t="n">
        <x:v>1</x:v>
      </x:c>
      <x:c r="Z856" s="40" t="n">
        <x:v>1</x:v>
      </x:c>
      <x:c r="AA856" s="40" t="n">
        <x:v>1</x:v>
      </x:c>
      <x:c r="AB856" s="31" t="n">
        <x:v>0.16147823752619803</x:v>
      </x:c>
      <x:c r="AC856" s="31" t="n">
        <x:v>5</x:v>
      </x:c>
      <x:c r="AD856" s="44" t="b">
        <x:v>1</x:v>
      </x:c>
    </x:row>
    <x:row r="857">
      <x:c r="A857" s="31" t="str">
        <x:v>36047053900</x:v>
      </x:c>
      <x:c r="B857" s="31" t="str">
        <x:v>Brooklyn</x:v>
      </x:c>
      <x:c r="C857" s="31" t="str">
        <x:v>053900</x:v>
      </x:c>
      <x:c r="D857" s="31" t="str">
        <x:v>BK0103</x:v>
      </x:c>
      <x:c r="E857" s="31" t="str">
        <x:v>South Williamsburg</x:v>
      </x:c>
      <x:c r="F857" s="31" t="n">
        <x:v>0.039153713130595735</x:v>
      </x:c>
      <x:c r="G857" s="31" t="n">
        <x:v>40.70264864592834</x:v>
      </x:c>
      <x:c r="H857" s="31" t="n">
        <x:v>-73.96256049007607</x:v>
      </x:c>
      <x:c r="I857" s="31" t="n">
        <x:v>2668</x:v>
      </x:c>
      <x:c r="J857" s="31" t="n">
        <x:v>68141.68533903762</x:v>
      </x:c>
      <x:c r="K857" s="31"/>
      <x:c r="L857" s="40"/>
      <x:c r="M857" s="40"/>
      <x:c r="N857" s="31" t="n">
        <x:v>38</x:v>
      </x:c>
      <x:c r="O857" s="31" t="n">
        <x:v>822</x:v>
      </x:c>
      <x:c r="P857" s="31" t="n">
        <x:v>5.541666666666667</x:v>
      </x:c>
      <x:c r="Q857" s="40" t="n">
        <x:v>0</x:v>
      </x:c>
      <x:c r="R857" s="40" t="n">
        <x:v>0.9975669099756691</x:v>
      </x:c>
      <x:c r="S857" s="40" t="n">
        <x:v>0.8673965936739659</x:v>
      </x:c>
      <x:c r="T857" s="31" t="n">
        <x:v>60.42355311355311</x:v>
      </x:c>
      <x:c r="U857" s="31" t="n">
        <x:v>72</x:v>
      </x:c>
      <x:c r="V857" s="31" t="n">
        <x:v>17</x:v>
      </x:c>
      <x:c r="W857" s="31" t="n">
        <x:v>6.371814092953524</x:v>
      </x:c>
      <x:c r="X857" s="31" t="n">
        <x:v>3</x:v>
      </x:c>
      <x:c r="Y857" s="40" t="n">
        <x:v>0</x:v>
      </x:c>
      <x:c r="Z857" s="40" t="n">
        <x:v>1</x:v>
      </x:c>
      <x:c r="AA857" s="40" t="n">
        <x:v>0.9963503649635036</x:v>
      </x:c>
      <x:c r="AB857" s="31" t="n">
        <x:v>0.22495424082136817</x:v>
      </x:c>
      <x:c r="AC857" s="31" t="n">
        <x:v>5</x:v>
      </x:c>
      <x:c r="AD857" s="44" t="b">
        <x:v>1</x:v>
      </x:c>
    </x:row>
    <x:row r="858">
      <x:c r="A858" s="31" t="str">
        <x:v>36047054200</x:v>
      </x:c>
      <x:c r="B858" s="31" t="str">
        <x:v>Brooklyn</x:v>
      </x:c>
      <x:c r="C858" s="31" t="str">
        <x:v>054200</x:v>
      </x:c>
      <x:c r="D858" s="31" t="str">
        <x:v>BK1403</x:v>
      </x:c>
      <x:c r="E858" s="31" t="str">
        <x:v>Midwood</x:v>
      </x:c>
      <x:c r="F858" s="31" t="n">
        <x:v>0.07306240271787477</x:v>
      </x:c>
      <x:c r="G858" s="31" t="n">
        <x:v>40.612801955979144</x:v>
      </x:c>
      <x:c r="H858" s="31" t="n">
        <x:v>-73.96097938919822</x:v>
      </x:c>
      <x:c r="I858" s="31" t="n">
        <x:v>4750</x:v>
      </x:c>
      <x:c r="J858" s="31" t="n">
        <x:v>65012.91804406959</x:v>
      </x:c>
      <x:c r="K858" s="31"/>
      <x:c r="L858" s="40"/>
      <x:c r="M858" s="40"/>
      <x:c r="N858" s="31" t="n">
        <x:v>402</x:v>
      </x:c>
      <x:c r="O858" s="31" t="n">
        <x:v>1692</x:v>
      </x:c>
      <x:c r="P858" s="31" t="n">
        <x:v>4.70345744680851</x:v>
      </x:c>
      <x:c r="Q858" s="40" t="n">
        <x:v>0</x:v>
      </x:c>
      <x:c r="R858" s="40" t="n">
        <x:v>0.7535460992907801</x:v>
      </x:c>
      <x:c r="S858" s="40" t="n">
        <x:v>0.000591016548463357</x:v>
      </x:c>
      <x:c r="T858" s="31" t="n">
        <x:v>52.01555021319149</x:v>
      </x:c>
      <x:c r="U858" s="31" t="n">
        <x:v>85</x:v>
      </x:c>
      <x:c r="V858" s="31" t="n">
        <x:v>28</x:v>
      </x:c>
      <x:c r="W858" s="31" t="n">
        <x:v>5.894736842105264</x:v>
      </x:c>
      <x:c r="X858" s="31" t="n">
        <x:v>3.978723404255319</x:v>
      </x:c>
      <x:c r="Y858" s="40" t="n">
        <x:v>0.9787234042553191</x:v>
      </x:c>
      <x:c r="Z858" s="40" t="n">
        <x:v>1</x:v>
      </x:c>
      <x:c r="AA858" s="40" t="n">
        <x:v>1</x:v>
      </x:c>
      <x:c r="AB858" s="31" t="n">
        <x:v>0.11977620329866508</x:v>
      </x:c>
      <x:c r="AC858" s="31" t="n">
        <x:v>7</x:v>
      </x:c>
      <x:c r="AD858" s="44" t="b">
        <x:v>1</x:v>
      </x:c>
    </x:row>
    <x:row r="859">
      <x:c r="A859" s="31" t="str">
        <x:v>36047054300</x:v>
      </x:c>
      <x:c r="B859" s="31" t="str">
        <x:v>Brooklyn</x:v>
      </x:c>
      <x:c r="C859" s="31" t="str">
        <x:v>054300</x:v>
      </x:c>
      <x:c r="D859" s="31" t="str">
        <x:v>BK0261</x:v>
      </x:c>
      <x:c r="E859" s="31" t="str">
        <x:v>Brooklyn Navy Yard</x:v>
      </x:c>
      <x:c r="F859" s="31" t="n">
        <x:v>0.36253180828526743</x:v>
      </x:c>
      <x:c r="G859" s="31" t="n">
        <x:v>40.701263526848344</x:v>
      </x:c>
      <x:c r="H859" s="31" t="n">
        <x:v>-73.97166145230113</x:v>
      </x:c>
      <x:c r="I859" s="31" t="n">
        <x:v>5</x:v>
      </x:c>
      <x:c r="J859" s="31" t="n">
        <x:v>13.7918932511037</x:v>
      </x:c>
      <x:c r="K859" s="31"/>
      <x:c r="L859" s="40"/>
      <x:c r="M859" s="40"/>
      <x:c r="N859" s="31" t="n">
        <x:v>0</x:v>
      </x:c>
      <x:c r="O859" s="31"/>
      <x:c r="P859" s="31"/>
      <x:c r="Q859" s="40"/>
      <x:c r="R859" s="40"/>
      <x:c r="S859" s="40"/>
      <x:c r="T859" s="31"/>
      <x:c r="U859" s="31"/>
      <x:c r="V859" s="31" t="n">
        <x:v>0</x:v>
      </x:c>
      <x:c r="W859" s="31" t="n">
        <x:v>0</x:v>
      </x:c>
      <x:c r="X859" s="31"/>
      <x:c r="Y859" s="40"/>
      <x:c r="Z859" s="40"/>
      <x:c r="AA859" s="40"/>
      <x:c r="AB859" s="31" t="n">
        <x:v>0.37730153622901996</x:v>
      </x:c>
      <x:c r="AC859" s="31" t="n">
        <x:v>8</x:v>
      </x:c>
      <x:c r="AD859" s="44" t="b">
        <x:v>0</x:v>
      </x:c>
    </x:row>
    <x:row r="860">
      <x:c r="A860" s="31" t="str">
        <x:v>36047054400</x:v>
      </x:c>
      <x:c r="B860" s="31" t="str">
        <x:v>Brooklyn</x:v>
      </x:c>
      <x:c r="C860" s="31" t="str">
        <x:v>054400</x:v>
      </x:c>
      <x:c r="D860" s="31" t="str">
        <x:v>BK1403</x:v>
      </x:c>
      <x:c r="E860" s="31" t="str">
        <x:v>Midwood</x:v>
      </x:c>
      <x:c r="F860" s="31" t="n">
        <x:v>0.07336398450987144</x:v>
      </x:c>
      <x:c r="G860" s="31" t="n">
        <x:v>40.61321950730187</x:v>
      </x:c>
      <x:c r="H860" s="31" t="n">
        <x:v>-73.95718993553166</x:v>
      </x:c>
      <x:c r="I860" s="31" t="n">
        <x:v>3785</x:v>
      </x:c>
      <x:c r="J860" s="31" t="n">
        <x:v>51592.07239474175</x:v>
      </x:c>
      <x:c r="K860" s="31"/>
      <x:c r="L860" s="40"/>
      <x:c r="M860" s="40"/>
      <x:c r="N860" s="31" t="n">
        <x:v>436</x:v>
      </x:c>
      <x:c r="O860" s="31" t="n">
        <x:v>1378</x:v>
      </x:c>
      <x:c r="P860" s="31" t="n">
        <x:v>4.157885174418604</x:v>
      </x:c>
      <x:c r="Q860" s="40" t="n">
        <x:v>0</x:v>
      </x:c>
      <x:c r="R860" s="40" t="n">
        <x:v>0.5537010159651669</x:v>
      </x:c>
      <x:c r="S860" s="40" t="n">
        <x:v>0.001451378809869376</x:v>
      </x:c>
      <x:c r="T860" s="31" t="n">
        <x:v>47.62904298878319</x:v>
      </x:c>
      <x:c r="U860" s="31" t="n">
        <x:v>74.06</x:v>
      </x:c>
      <x:c r="V860" s="31" t="n">
        <x:v>19</x:v>
      </x:c>
      <x:c r="W860" s="31" t="n">
        <x:v>5.019815059445178</x:v>
      </x:c>
      <x:c r="X860" s="31" t="n">
        <x:v>3.97677793904209</x:v>
      </x:c>
      <x:c r="Y860" s="40" t="n">
        <x:v>0.97677793904209</x:v>
      </x:c>
      <x:c r="Z860" s="40" t="n">
        <x:v>1</x:v>
      </x:c>
      <x:c r="AA860" s="40" t="n">
        <x:v>0.9840348330914369</x:v>
      </x:c>
      <x:c r="AB860" s="31" t="n">
        <x:v>0.29609787643955787</x:v>
      </x:c>
      <x:c r="AC860" s="31" t="n">
        <x:v>7</x:v>
      </x:c>
      <x:c r="AD860" s="44" t="b">
        <x:v>1</x:v>
      </x:c>
    </x:row>
    <x:row r="861">
      <x:c r="A861" s="31" t="str">
        <x:v>36047054500</x:v>
      </x:c>
      <x:c r="B861" s="31" t="str">
        <x:v>Brooklyn</x:v>
      </x:c>
      <x:c r="C861" s="31" t="str">
        <x:v>054500</x:v>
      </x:c>
      <x:c r="D861" s="31" t="str">
        <x:v>BK0103</x:v>
      </x:c>
      <x:c r="E861" s="31" t="str">
        <x:v>South Williamsburg</x:v>
      </x:c>
      <x:c r="F861" s="31" t="n">
        <x:v>0.06462965522268135</x:v>
      </x:c>
      <x:c r="G861" s="31" t="n">
        <x:v>40.70523693458828</x:v>
      </x:c>
      <x:c r="H861" s="31" t="n">
        <x:v>-73.96528926131838</x:v>
      </x:c>
      <x:c r="I861" s="31" t="n">
        <x:v>7304</x:v>
      </x:c>
      <x:c r="J861" s="31" t="n">
        <x:v>113013.13576304998</x:v>
      </x:c>
      <x:c r="K861" s="31"/>
      <x:c r="L861" s="40"/>
      <x:c r="M861" s="40"/>
      <x:c r="N861" s="31" t="n">
        <x:v>19</x:v>
      </x:c>
      <x:c r="O861" s="31" t="n">
        <x:v>2291</x:v>
      </x:c>
      <x:c r="P861" s="31" t="n">
        <x:v>17.788056779246208</x:v>
      </x:c>
      <x:c r="Q861" s="40" t="n">
        <x:v>0.7608031427324312</x:v>
      </x:c>
      <x:c r="R861" s="40" t="n">
        <x:v>0.13094718463553034</x:v>
      </x:c>
      <x:c r="S861" s="40" t="n">
        <x:v>0.6900916630292449</x:v>
      </x:c>
      <x:c r="T861" s="31" t="n">
        <x:v>148.80412483631602</x:v>
      </x:c>
      <x:c r="U861" s="31" t="n">
        <x:v>224.05</x:v>
      </x:c>
      <x:c r="V861" s="31" t="n">
        <x:v>40</x:v>
      </x:c>
      <x:c r="W861" s="31" t="n">
        <x:v>5.47645125958379</x:v>
      </x:c>
      <x:c r="X861" s="31" t="n">
        <x:v>3</x:v>
      </x:c>
      <x:c r="Y861" s="40" t="n">
        <x:v>0</x:v>
      </x:c>
      <x:c r="Z861" s="40" t="n">
        <x:v>1</x:v>
      </x:c>
      <x:c r="AA861" s="40" t="n">
        <x:v>1</x:v>
      </x:c>
      <x:c r="AB861" s="31" t="n">
        <x:v>0.02940488695041239</x:v>
      </x:c>
      <x:c r="AC861" s="31" t="n">
        <x:v>4</x:v>
      </x:c>
      <x:c r="AD861" s="44" t="b">
        <x:v>1</x:v>
      </x:c>
    </x:row>
    <x:row r="862">
      <x:c r="A862" s="31" t="str">
        <x:v>36047054600</x:v>
      </x:c>
      <x:c r="B862" s="31" t="str">
        <x:v>Brooklyn</x:v>
      </x:c>
      <x:c r="C862" s="31" t="str">
        <x:v>054600</x:v>
      </x:c>
      <x:c r="D862" s="31" t="str">
        <x:v>BK1403</x:v>
      </x:c>
      <x:c r="E862" s="31" t="str">
        <x:v>Midwood</x:v>
      </x:c>
      <x:c r="F862" s="31" t="n">
        <x:v>0.06967896072981232</x:v>
      </x:c>
      <x:c r="G862" s="31" t="n">
        <x:v>40.61314284845884</x:v>
      </x:c>
      <x:c r="H862" s="31" t="n">
        <x:v>-73.95312307712324</x:v>
      </x:c>
      <x:c r="I862" s="31" t="n">
        <x:v>5409</x:v>
      </x:c>
      <x:c r="J862" s="31" t="n">
        <x:v>77627.44942442498</x:v>
      </x:c>
      <x:c r="K862" s="31"/>
      <x:c r="L862" s="40"/>
      <x:c r="M862" s="40"/>
      <x:c r="N862" s="31" t="n">
        <x:v>258</x:v>
      </x:c>
      <x:c r="O862" s="31" t="n">
        <x:v>2401</x:v>
      </x:c>
      <x:c r="P862" s="31" t="n">
        <x:v>5.6228654727197</x:v>
      </x:c>
      <x:c r="Q862" s="40" t="n">
        <x:v>0</x:v>
      </x:c>
      <x:c r="R862" s="40" t="n">
        <x:v>0.8925447730112454</x:v>
      </x:c>
      <x:c r="S862" s="40" t="n">
        <x:v>0.0012494793835901709</x:v>
      </x:c>
      <x:c r="T862" s="31" t="n">
        <x:v>60.57826579605581</x:v>
      </x:c>
      <x:c r="U862" s="31" t="n">
        <x:v>103.46200694</x:v>
      </x:c>
      <x:c r="V862" s="31" t="n">
        <x:v>56</x:v>
      </x:c>
      <x:c r="W862" s="31" t="n">
        <x:v>10.35311517840636</x:v>
      </x:c>
      <x:c r="X862" s="31" t="n">
        <x:v>4.233236151603498</x:v>
      </x:c>
      <x:c r="Y862" s="40" t="n">
        <x:v>0.9117034568929613</x:v>
      </x:c>
      <x:c r="Z862" s="40" t="n">
        <x:v>1</x:v>
      </x:c>
      <x:c r="AA862" s="40" t="n">
        <x:v>1</x:v>
      </x:c>
      <x:c r="AB862" s="31" t="n">
        <x:v>0.09622973805300007</x:v>
      </x:c>
      <x:c r="AC862" s="31" t="n">
        <x:v>6</x:v>
      </x:c>
      <x:c r="AD862" s="44" t="b">
        <x:v>1</x:v>
      </x:c>
    </x:row>
    <x:row r="863">
      <x:c r="A863" s="31" t="str">
        <x:v>36047054700</x:v>
      </x:c>
      <x:c r="B863" s="31" t="str">
        <x:v>Brooklyn</x:v>
      </x:c>
      <x:c r="C863" s="31" t="str">
        <x:v>054700</x:v>
      </x:c>
      <x:c r="D863" s="31" t="str">
        <x:v>BK0102</x:v>
      </x:c>
      <x:c r="E863" s="31" t="str">
        <x:v>Williamsburg</x:v>
      </x:c>
      <x:c r="F863" s="31" t="n">
        <x:v>0.06546356078433482</x:v>
      </x:c>
      <x:c r="G863" s="31" t="n">
        <x:v>40.70853046607496</x:v>
      </x:c>
      <x:c r="H863" s="31" t="n">
        <x:v>-73.96658638637868</x:v>
      </x:c>
      <x:c r="I863" s="31" t="n">
        <x:v>7855</x:v>
      </x:c>
      <x:c r="J863" s="31" t="n">
        <x:v>119990.41765964663</x:v>
      </x:c>
      <x:c r="K863" s="31"/>
      <x:c r="L863" s="40"/>
      <x:c r="M863" s="40"/>
      <x:c r="N863" s="31" t="n">
        <x:v>141</x:v>
      </x:c>
      <x:c r="O863" s="31" t="n">
        <x:v>3262</x:v>
      </x:c>
      <x:c r="P863" s="31" t="n">
        <x:v>13.146516713527022</x:v>
      </x:c>
      <x:c r="Q863" s="40" t="n">
        <x:v>0.5585530349478848</x:v>
      </x:c>
      <x:c r="R863" s="40" t="n">
        <x:v>0.40220723482526055</x:v>
      </x:c>
      <x:c r="S863" s="40" t="n">
        <x:v>0.1912936848559166</x:v>
      </x:c>
      <x:c r="T863" s="31" t="n">
        <x:v>136.60187818844418</x:v>
      </x:c>
      <x:c r="U863" s="31" t="n">
        <x:v>241</x:v>
      </x:c>
      <x:c r="V863" s="31" t="n">
        <x:v>86</x:v>
      </x:c>
      <x:c r="W863" s="31" t="n">
        <x:v>10.9484404837683</x:v>
      </x:c>
      <x:c r="X863" s="31" t="n">
        <x:v>3</x:v>
      </x:c>
      <x:c r="Y863" s="40" t="n">
        <x:v>0</x:v>
      </x:c>
      <x:c r="Z863" s="40" t="n">
        <x:v>1</x:v>
      </x:c>
      <x:c r="AA863" s="40" t="n">
        <x:v>0.9773145309625997</x:v>
      </x:c>
      <x:c r="AB863" s="31" t="n">
        <x:v>0.25469302760252577</x:v>
      </x:c>
      <x:c r="AC863" s="31" t="n">
        <x:v>5</x:v>
      </x:c>
      <x:c r="AD863" s="44" t="b">
        <x:v>1</x:v>
      </x:c>
    </x:row>
    <x:row r="864">
      <x:c r="A864" s="31" t="str">
        <x:v>36047054800</x:v>
      </x:c>
      <x:c r="B864" s="31" t="str">
        <x:v>Brooklyn</x:v>
      </x:c>
      <x:c r="C864" s="31" t="str">
        <x:v>054800</x:v>
      </x:c>
      <x:c r="D864" s="31" t="str">
        <x:v>BK1502</x:v>
      </x:c>
      <x:c r="E864" s="31" t="str">
        <x:v>Madison</x:v>
      </x:c>
      <x:c r="F864" s="31" t="n">
        <x:v>0.06687744547391529</x:v>
      </x:c>
      <x:c r="G864" s="31" t="n">
        <x:v>40.60925253949716</x:v>
      </x:c>
      <x:c r="H864" s="31" t="n">
        <x:v>-73.9483771919113</x:v>
      </x:c>
      <x:c r="I864" s="31" t="n">
        <x:v>2189</x:v>
      </x:c>
      <x:c r="J864" s="31" t="n">
        <x:v>32731.513359818626</x:v>
      </x:c>
      <x:c r="K864" s="31"/>
      <x:c r="L864" s="40"/>
      <x:c r="M864" s="40"/>
      <x:c r="N864" s="31" t="n">
        <x:v>358</x:v>
      </x:c>
      <x:c r="O864" s="31" t="n">
        <x:v>797</x:v>
      </x:c>
      <x:c r="P864" s="31" t="n">
        <x:v>3.8949184441656213</x:v>
      </x:c>
      <x:c r="Q864" s="40" t="n">
        <x:v>0</x:v>
      </x:c>
      <x:c r="R864" s="40" t="n">
        <x:v>0.47176913425345046</x:v>
      </x:c>
      <x:c r="S864" s="40" t="n">
        <x:v>0.002509410288582183</x:v>
      </x:c>
      <x:c r="T864" s="31" t="n">
        <x:v>45.91345068585947</x:v>
      </x:c>
      <x:c r="U864" s="31" t="n">
        <x:v>80.47564631</x:v>
      </x:c>
      <x:c r="V864" s="31" t="n">
        <x:v>11</x:v>
      </x:c>
      <x:c r="W864" s="31" t="n">
        <x:v>5.025125628140704</x:v>
      </x:c>
      <x:c r="X864" s="31" t="n">
        <x:v>3.49435382685069</x:v>
      </x:c>
      <x:c r="Y864" s="40" t="n">
        <x:v>0.24717691342534504</x:v>
      </x:c>
      <x:c r="Z864" s="40" t="n">
        <x:v>1</x:v>
      </x:c>
      <x:c r="AA864" s="40" t="n">
        <x:v>1</x:v>
      </x:c>
      <x:c r="AB864" s="31" t="n">
        <x:v>0.06217345004214242</x:v>
      </x:c>
      <x:c r="AC864" s="31" t="n">
        <x:v>8</x:v>
      </x:c>
      <x:c r="AD864" s="44" t="b">
        <x:v>1</x:v>
      </x:c>
    </x:row>
    <x:row r="865">
      <x:c r="A865" s="31" t="str">
        <x:v>36047054900</x:v>
      </x:c>
      <x:c r="B865" s="31" t="str">
        <x:v>Brooklyn</x:v>
      </x:c>
      <x:c r="C865" s="31" t="str">
        <x:v>054900</x:v>
      </x:c>
      <x:c r="D865" s="31" t="str">
        <x:v>BK0102</x:v>
      </x:c>
      <x:c r="E865" s="31" t="str">
        <x:v>Williamsburg</x:v>
      </x:c>
      <x:c r="F865" s="31" t="n">
        <x:v>0.07522912948160583</x:v>
      </x:c>
      <x:c r="G865" s="31" t="n">
        <x:v>40.71115396299891</x:v>
      </x:c>
      <x:c r="H865" s="31" t="n">
        <x:v>-73.96573212392303</x:v>
      </x:c>
      <x:c r="I865" s="31" t="n">
        <x:v>4748</x:v>
      </x:c>
      <x:c r="J865" s="31" t="n">
        <x:v>63113.85008331017</x:v>
      </x:c>
      <x:c r="K865" s="31"/>
      <x:c r="L865" s="40"/>
      <x:c r="M865" s="40"/>
      <x:c r="N865" s="31" t="n">
        <x:v>160</x:v>
      </x:c>
      <x:c r="O865" s="31" t="n">
        <x:v>2346</x:v>
      </x:c>
      <x:c r="P865" s="31" t="n">
        <x:v>8.751067463706233</x:v>
      </x:c>
      <x:c r="Q865" s="40" t="n">
        <x:v>0.340153452685422</x:v>
      </x:c>
      <x:c r="R865" s="40" t="n">
        <x:v>0.6427962489343564</x:v>
      </x:c>
      <x:c r="S865" s="40" t="n">
        <x:v>0.10997442455242967</x:v>
      </x:c>
      <x:c r="T865" s="31" t="n">
        <x:v>100.6837121392567</x:v>
      </x:c>
      <x:c r="U865" s="31" t="n">
        <x:v>225</x:v>
      </x:c>
      <x:c r="V865" s="31" t="n">
        <x:v>69</x:v>
      </x:c>
      <x:c r="W865" s="31" t="n">
        <x:v>14.532434709351305</x:v>
      </x:c>
      <x:c r="X865" s="31" t="n">
        <x:v>3</x:v>
      </x:c>
      <x:c r="Y865" s="40" t="n">
        <x:v>0</x:v>
      </x:c>
      <x:c r="Z865" s="40" t="n">
        <x:v>1</x:v>
      </x:c>
      <x:c r="AA865" s="40" t="n">
        <x:v>0.9232736572890026</x:v>
      </x:c>
      <x:c r="AB865" s="31" t="n">
        <x:v>0.2870467983477564</x:v>
      </x:c>
      <x:c r="AC865" s="31" t="n">
        <x:v>4</x:v>
      </x:c>
      <x:c r="AD865" s="44" t="b">
        <x:v>1</x:v>
      </x:c>
    </x:row>
    <x:row r="866">
      <x:c r="A866" s="31" t="str">
        <x:v>36047055000</x:v>
      </x:c>
      <x:c r="B866" s="31" t="str">
        <x:v>Brooklyn</x:v>
      </x:c>
      <x:c r="C866" s="31" t="str">
        <x:v>055000</x:v>
      </x:c>
      <x:c r="D866" s="31" t="str">
        <x:v>BK1502</x:v>
      </x:c>
      <x:c r="E866" s="31" t="str">
        <x:v>Madison</x:v>
      </x:c>
      <x:c r="F866" s="31" t="n">
        <x:v>0.06948865979145144</x:v>
      </x:c>
      <x:c r="G866" s="31" t="n">
        <x:v>40.60873585404705</x:v>
      </x:c>
      <x:c r="H866" s="31" t="n">
        <x:v>-73.95231892410419</x:v>
      </x:c>
      <x:c r="I866" s="31" t="n">
        <x:v>3956</x:v>
      </x:c>
      <x:c r="J866" s="31" t="n">
        <x:v>56930.1525151399</x:v>
      </x:c>
      <x:c r="K866" s="31"/>
      <x:c r="L866" s="40"/>
      <x:c r="M866" s="40"/>
      <x:c r="N866" s="31" t="n">
        <x:v>281</x:v>
      </x:c>
      <x:c r="O866" s="31" t="n">
        <x:v>1865</x:v>
      </x:c>
      <x:c r="P866" s="31" t="n">
        <x:v>5.713806970509383</x:v>
      </x:c>
      <x:c r="Q866" s="40" t="n">
        <x:v>0.07184986595174263</x:v>
      </x:c>
      <x:c r="R866" s="40" t="n">
        <x:v>0.7710455764075067</x:v>
      </x:c>
      <x:c r="S866" s="40" t="n">
        <x:v>0.0021447721179624667</x:v>
      </x:c>
      <x:c r="T866" s="31" t="n">
        <x:v>61.33956794369794</x:v>
      </x:c>
      <x:c r="U866" s="31" t="n">
        <x:v>100</x:v>
      </x:c>
      <x:c r="V866" s="31" t="n">
        <x:v>44</x:v>
      </x:c>
      <x:c r="W866" s="31" t="n">
        <x:v>11.122345803842265</x:v>
      </x:c>
      <x:c r="X866" s="31" t="n">
        <x:v>3</x:v>
      </x:c>
      <x:c r="Y866" s="40" t="n">
        <x:v>0</x:v>
      </x:c>
      <x:c r="Z866" s="40" t="n">
        <x:v>1</x:v>
      </x:c>
      <x:c r="AA866" s="40" t="n">
        <x:v>0.9656836461126005</x:v>
      </x:c>
      <x:c r="AB866" s="31" t="n">
        <x:v>0.11314619560126832</x:v>
      </x:c>
      <x:c r="AC866" s="31" t="n">
        <x:v>7</x:v>
      </x:c>
      <x:c r="AD866" s="44" t="b">
        <x:v>1</x:v>
      </x:c>
    </x:row>
    <x:row r="867">
      <x:c r="A867" s="31" t="str">
        <x:v>36047055100</x:v>
      </x:c>
      <x:c r="B867" s="31" t="str">
        <x:v>Brooklyn</x:v>
      </x:c>
      <x:c r="C867" s="31" t="str">
        <x:v>055100</x:v>
      </x:c>
      <x:c r="D867" s="31" t="str">
        <x:v>BK0102</x:v>
      </x:c>
      <x:c r="E867" s="31" t="str">
        <x:v>Williamsburg</x:v>
      </x:c>
      <x:c r="F867" s="31" t="n">
        <x:v>0.09004959708842687</x:v>
      </x:c>
      <x:c r="G867" s="31" t="n">
        <x:v>40.713943910611185</x:v>
      </x:c>
      <x:c r="H867" s="31" t="n">
        <x:v>-73.96444346881951</x:v>
      </x:c>
      <x:c r="I867" s="31" t="n">
        <x:v>6343</x:v>
      </x:c>
      <x:c r="J867" s="31" t="n">
        <x:v>70438.9603628243</x:v>
      </x:c>
      <x:c r="K867" s="31"/>
      <x:c r="L867" s="40"/>
      <x:c r="M867" s="40"/>
      <x:c r="N867" s="31" t="n">
        <x:v>333</x:v>
      </x:c>
      <x:c r="O867" s="31" t="n">
        <x:v>3243</x:v>
      </x:c>
      <x:c r="P867" s="31" t="n">
        <x:v>16.0959375</x:v>
      </x:c>
      <x:c r="Q867" s="40" t="n">
        <x:v>0.2849213691026827</x:v>
      </x:c>
      <x:c r="R867" s="40" t="n">
        <x:v>0.6910268270120259</x:v>
      </x:c>
      <x:c r="S867" s="40" t="n">
        <x:v>0.0009250693802035153</x:v>
      </x:c>
      <x:c r="T867" s="31" t="n">
        <x:v>171.59953767951356</x:v>
      </x:c>
      <x:c r="U867" s="31" t="n">
        <x:v>535</x:v>
      </x:c>
      <x:c r="V867" s="31" t="n">
        <x:v>65</x:v>
      </x:c>
      <x:c r="W867" s="31" t="n">
        <x:v>10.24751694781649</x:v>
      </x:c>
      <x:c r="X867" s="31" t="n">
        <x:v>3</x:v>
      </x:c>
      <x:c r="Y867" s="40" t="n">
        <x:v>0</x:v>
      </x:c>
      <x:c r="Z867" s="40" t="n">
        <x:v>1</x:v>
      </x:c>
      <x:c r="AA867" s="40" t="n">
        <x:v>0.9888991674375578</x:v>
      </x:c>
      <x:c r="AB867" s="31" t="n">
        <x:v>0.08616622523342124</x:v>
      </x:c>
      <x:c r="AC867" s="31" t="n">
        <x:v>5</x:v>
      </x:c>
      <x:c r="AD867" s="44" t="b">
        <x:v>1</x:v>
      </x:c>
    </x:row>
    <x:row r="868">
      <x:c r="A868" s="31" t="str">
        <x:v>36047055200</x:v>
      </x:c>
      <x:c r="B868" s="31" t="str">
        <x:v>Brooklyn</x:v>
      </x:c>
      <x:c r="C868" s="31" t="str">
        <x:v>055200</x:v>
      </x:c>
      <x:c r="D868" s="31" t="str">
        <x:v>BK1502</x:v>
      </x:c>
      <x:c r="E868" s="31" t="str">
        <x:v>Madison</x:v>
      </x:c>
      <x:c r="F868" s="31" t="n">
        <x:v>0.0647460930232725</x:v>
      </x:c>
      <x:c r="G868" s="31" t="n">
        <x:v>40.60830940503631</x:v>
      </x:c>
      <x:c r="H868" s="31" t="n">
        <x:v>-73.95625915093224</x:v>
      </x:c>
      <x:c r="I868" s="31" t="n">
        <x:v>3735</x:v>
      </x:c>
      <x:c r="J868" s="31" t="n">
        <x:v>57686.87847554727</x:v>
      </x:c>
      <x:c r="K868" s="31"/>
      <x:c r="L868" s="40"/>
      <x:c r="M868" s="40"/>
      <x:c r="N868" s="31" t="n">
        <x:v>222</x:v>
      </x:c>
      <x:c r="O868" s="31" t="n">
        <x:v>1590</x:v>
      </x:c>
      <x:c r="P868" s="31" t="n">
        <x:v>4.912735849056604</x:v>
      </x:c>
      <x:c r="Q868" s="40" t="n">
        <x:v>0</x:v>
      </x:c>
      <x:c r="R868" s="40" t="n">
        <x:v>0.8371069182389937</x:v>
      </x:c>
      <x:c r="S868" s="40" t="n">
        <x:v>0.0006289308176100629</x:v>
      </x:c>
      <x:c r="T868" s="31" t="n">
        <x:v>54.82061235153601</x:v>
      </x:c>
      <x:c r="U868" s="31" t="n">
        <x:v>115</x:v>
      </x:c>
      <x:c r="V868" s="31" t="n">
        <x:v>33</x:v>
      </x:c>
      <x:c r="W868" s="31" t="n">
        <x:v>8.835341365461847</x:v>
      </x:c>
      <x:c r="X868" s="31" t="n">
        <x:v>3</x:v>
      </x:c>
      <x:c r="Y868" s="40" t="n">
        <x:v>0</x:v>
      </x:c>
      <x:c r="Z868" s="40" t="n">
        <x:v>1</x:v>
      </x:c>
      <x:c r="AA868" s="40" t="n">
        <x:v>0.9867924528301887</x:v>
      </x:c>
      <x:c r="AB868" s="31" t="n">
        <x:v>0.21330289483304785</x:v>
      </x:c>
      <x:c r="AC868" s="31" t="n">
        <x:v>8</x:v>
      </x:c>
      <x:c r="AD868" s="44" t="b">
        <x:v>1</x:v>
      </x:c>
    </x:row>
    <x:row r="869">
      <x:c r="A869" s="31" t="str">
        <x:v>36047055300</x:v>
      </x:c>
      <x:c r="B869" s="31" t="str">
        <x:v>Brooklyn</x:v>
      </x:c>
      <x:c r="C869" s="31" t="str">
        <x:v>055300</x:v>
      </x:c>
      <x:c r="D869" s="31" t="str">
        <x:v>BK0102</x:v>
      </x:c>
      <x:c r="E869" s="31" t="str">
        <x:v>Williamsburg</x:v>
      </x:c>
      <x:c r="F869" s="31" t="n">
        <x:v>0.06032862983994777</x:v>
      </x:c>
      <x:c r="G869" s="31" t="n">
        <x:v>40.71645766765231</x:v>
      </x:c>
      <x:c r="H869" s="31" t="n">
        <x:v>-73.9592358438752</x:v>
      </x:c>
      <x:c r="I869" s="31" t="n">
        <x:v>3078</x:v>
      </x:c>
      <x:c r="J869" s="31" t="n">
        <x:v>51020.552068992</x:v>
      </x:c>
      <x:c r="K869" s="31"/>
      <x:c r="L869" s="40"/>
      <x:c r="M869" s="40"/>
      <x:c r="N869" s="31" t="n">
        <x:v>248</x:v>
      </x:c>
      <x:c r="O869" s="31" t="n">
        <x:v>1768</x:v>
      </x:c>
      <x:c r="P869" s="31" t="n">
        <x:v>4.358314479638009</x:v>
      </x:c>
      <x:c r="Q869" s="40" t="n">
        <x:v>0.02319004524886878</x:v>
      </x:c>
      <x:c r="R869" s="40" t="n">
        <x:v>0.9507918552036199</x:v>
      </x:c>
      <x:c r="S869" s="40" t="n">
        <x:v>0.126131221719457</x:v>
      </x:c>
      <x:c r="T869" s="31" t="n">
        <x:v>48.562436908358976</x:v>
      </x:c>
      <x:c r="U869" s="31" t="n">
        <x:v>185.924012</x:v>
      </x:c>
      <x:c r="V869" s="31" t="n">
        <x:v>46</x:v>
      </x:c>
      <x:c r="W869" s="31" t="n">
        <x:v>14.944769330734243</x:v>
      </x:c>
      <x:c r="X869" s="31" t="n">
        <x:v>3</x:v>
      </x:c>
      <x:c r="Y869" s="40" t="n">
        <x:v>0</x:v>
      </x:c>
      <x:c r="Z869" s="40" t="n">
        <x:v>1</x:v>
      </x:c>
      <x:c r="AA869" s="40" t="n">
        <x:v>0.9926470588235294</x:v>
      </x:c>
      <x:c r="AB869" s="31" t="n">
        <x:v>0.08957927619793819</x:v>
      </x:c>
      <x:c r="AC869" s="31" t="n">
        <x:v>6</x:v>
      </x:c>
      <x:c r="AD869" s="44" t="b">
        <x:v>1</x:v>
      </x:c>
    </x:row>
    <x:row r="870">
      <x:c r="A870" s="31" t="str">
        <x:v>36047055400</x:v>
      </x:c>
      <x:c r="B870" s="31" t="str">
        <x:v>Brooklyn</x:v>
      </x:c>
      <x:c r="C870" s="31" t="str">
        <x:v>055400</x:v>
      </x:c>
      <x:c r="D870" s="31" t="str">
        <x:v>BK1501</x:v>
      </x:c>
      <x:c r="E870" s="31" t="str">
        <x:v>Gravesend (East)-Homecrest</x:v>
      </x:c>
      <x:c r="F870" s="31" t="n">
        <x:v>0.06535018684178431</x:v>
      </x:c>
      <x:c r="G870" s="31" t="n">
        <x:v>40.60787059034915</x:v>
      </x:c>
      <x:c r="H870" s="31" t="n">
        <x:v>-73.96007173951664</x:v>
      </x:c>
      <x:c r="I870" s="31" t="n">
        <x:v>4813</x:v>
      </x:c>
      <x:c r="J870" s="31" t="n">
        <x:v>73649.36861852415</x:v>
      </x:c>
      <x:c r="K870" s="31"/>
      <x:c r="L870" s="40"/>
      <x:c r="M870" s="40"/>
      <x:c r="N870" s="31" t="n">
        <x:v>228</x:v>
      </x:c>
      <x:c r="O870" s="31" t="n">
        <x:v>1866</x:v>
      </x:c>
      <x:c r="P870" s="31" t="n">
        <x:v>4.945605573419078</x:v>
      </x:c>
      <x:c r="Q870" s="40" t="n">
        <x:v>0</x:v>
      </x:c>
      <x:c r="R870" s="40" t="n">
        <x:v>0.8644158628081458</x:v>
      </x:c>
      <x:c r="S870" s="40" t="n">
        <x:v>0.011254019292604502</x:v>
      </x:c>
      <x:c r="T870" s="31" t="n">
        <x:v>54.38207402732673</x:v>
      </x:c>
      <x:c r="U870" s="31" t="n">
        <x:v>80</x:v>
      </x:c>
      <x:c r="V870" s="31" t="n">
        <x:v>34</x:v>
      </x:c>
      <x:c r="W870" s="31" t="n">
        <x:v>7.064201121961355</x:v>
      </x:c>
      <x:c r="X870" s="31" t="n">
        <x:v>3.062700964630225</x:v>
      </x:c>
      <x:c r="Y870" s="40" t="n">
        <x:v>0.06270096463022508</x:v>
      </x:c>
      <x:c r="Z870" s="40" t="n">
        <x:v>1</x:v>
      </x:c>
      <x:c r="AA870" s="40" t="n">
        <x:v>0.9742765273311897</x:v>
      </x:c>
      <x:c r="AB870" s="31" t="n">
        <x:v>0.2473719137760772</x:v>
      </x:c>
      <x:c r="AC870" s="31" t="n">
        <x:v>8</x:v>
      </x:c>
      <x:c r="AD870" s="44" t="b">
        <x:v>1</x:v>
      </x:c>
    </x:row>
    <x:row r="871">
      <x:c r="A871" s="31" t="str">
        <x:v>36047055500</x:v>
      </x:c>
      <x:c r="B871" s="31" t="str">
        <x:v>Brooklyn</x:v>
      </x:c>
      <x:c r="C871" s="31" t="str">
        <x:v>055500</x:v>
      </x:c>
      <x:c r="D871" s="31" t="str">
        <x:v>BK0102</x:v>
      </x:c>
      <x:c r="E871" s="31" t="str">
        <x:v>Williamsburg</x:v>
      </x:c>
      <x:c r="F871" s="31" t="n">
        <x:v>0.10150932819351183</x:v>
      </x:c>
      <x:c r="G871" s="31" t="n">
        <x:v>40.71809573510813</x:v>
      </x:c>
      <x:c r="H871" s="31" t="n">
        <x:v>-73.96327398149882</x:v>
      </x:c>
      <x:c r="I871" s="31" t="n">
        <x:v>8688</x:v>
      </x:c>
      <x:c r="J871" s="31" t="n">
        <x:v>85588.19326867844</x:v>
      </x:c>
      <x:c r="K871" s="31"/>
      <x:c r="L871" s="40"/>
      <x:c r="M871" s="40"/>
      <x:c r="N871" s="31" t="n">
        <x:v>146</x:v>
      </x:c>
      <x:c r="O871" s="31" t="n">
        <x:v>5101</x:v>
      </x:c>
      <x:c r="P871" s="31" t="n">
        <x:v>16.487650411652943</x:v>
      </x:c>
      <x:c r="Q871" s="40" t="n">
        <x:v>0.35522446579102135</x:v>
      </x:c>
      <x:c r="R871" s="40" t="n">
        <x:v>0.5606743775730249</x:v>
      </x:c>
      <x:c r="S871" s="40" t="n">
        <x:v>0.04959811801607528</x:v>
      </x:c>
      <x:c r="T871" s="31" t="n">
        <x:v>191.73415580820802</x:v>
      </x:c>
      <x:c r="U871" s="31" t="n">
        <x:v>427</x:v>
      </x:c>
      <x:c r="V871" s="31" t="n">
        <x:v>136</x:v>
      </x:c>
      <x:c r="W871" s="31" t="n">
        <x:v>15.653775322283611</x:v>
      </x:c>
      <x:c r="X871" s="31" t="n">
        <x:v>3</x:v>
      </x:c>
      <x:c r="Y871" s="40" t="n">
        <x:v>0</x:v>
      </x:c>
      <x:c r="Z871" s="40" t="n">
        <x:v>1</x:v>
      </x:c>
      <x:c r="AA871" s="40" t="n">
        <x:v>0.972554401097824</x:v>
      </x:c>
      <x:c r="AB871" s="31" t="n">
        <x:v>0.218697175451496</x:v>
      </x:c>
      <x:c r="AC871" s="31" t="n">
        <x:v>4</x:v>
      </x:c>
      <x:c r="AD871" s="44" t="b">
        <x:v>1</x:v>
      </x:c>
    </x:row>
    <x:row r="872">
      <x:c r="A872" s="31" t="str">
        <x:v>36047055600</x:v>
      </x:c>
      <x:c r="B872" s="31" t="str">
        <x:v>Brooklyn</x:v>
      </x:c>
      <x:c r="C872" s="31" t="str">
        <x:v>055600</x:v>
      </x:c>
      <x:c r="D872" s="31" t="str">
        <x:v>BK1501</x:v>
      </x:c>
      <x:c r="E872" s="31" t="str">
        <x:v>Gravesend (East)-Homecrest</x:v>
      </x:c>
      <x:c r="F872" s="31" t="n">
        <x:v>0.07460938855027549</x:v>
      </x:c>
      <x:c r="G872" s="31" t="n">
        <x:v>40.60316105161084</x:v>
      </x:c>
      <x:c r="H872" s="31" t="n">
        <x:v>-73.95940576510492</x:v>
      </x:c>
      <x:c r="I872" s="31" t="n">
        <x:v>3880</x:v>
      </x:c>
      <x:c r="J872" s="31" t="n">
        <x:v>52004.179036871</x:v>
      </x:c>
      <x:c r="K872" s="31"/>
      <x:c r="L872" s="40"/>
      <x:c r="M872" s="40"/>
      <x:c r="N872" s="31" t="n">
        <x:v>377</x:v>
      </x:c>
      <x:c r="O872" s="31" t="n">
        <x:v>1397</x:v>
      </x:c>
      <x:c r="P872" s="31" t="n">
        <x:v>4.088224767358626</x:v>
      </x:c>
      <x:c r="Q872" s="40" t="n">
        <x:v>0</x:v>
      </x:c>
      <x:c r="R872" s="40" t="n">
        <x:v>0.6148890479599141</x:v>
      </x:c>
      <x:c r="S872" s="40" t="n">
        <x:v>0.0035790980672870437</x:v>
      </x:c>
      <x:c r="T872" s="31" t="n">
        <x:v>48.80082879135387</x:v>
      </x:c>
      <x:c r="U872" s="31" t="n">
        <x:v>73.07013652</x:v>
      </x:c>
      <x:c r="V872" s="31" t="n">
        <x:v>23</x:v>
      </x:c>
      <x:c r="W872" s="31" t="n">
        <x:v>5.927835051546391</x:v>
      </x:c>
      <x:c r="X872" s="31" t="n">
        <x:v>3.1159627773801004</x:v>
      </x:c>
      <x:c r="Y872" s="40" t="n">
        <x:v>0.11596277738010022</x:v>
      </x:c>
      <x:c r="Z872" s="40" t="n">
        <x:v>1</x:v>
      </x:c>
      <x:c r="AA872" s="40" t="n">
        <x:v>0.9992841803865425</x:v>
      </x:c>
      <x:c r="AB872" s="31" t="n">
        <x:v>0.14017194751615436</x:v>
      </x:c>
      <x:c r="AC872" s="31" t="n">
        <x:v>8</x:v>
      </x:c>
      <x:c r="AD872" s="44" t="b">
        <x:v>1</x:v>
      </x:c>
    </x:row>
    <x:row r="873">
      <x:c r="A873" s="31" t="str">
        <x:v>36047055700</x:v>
      </x:c>
      <x:c r="B873" s="31" t="str">
        <x:v>Brooklyn</x:v>
      </x:c>
      <x:c r="C873" s="31" t="str">
        <x:v>055700</x:v>
      </x:c>
      <x:c r="D873" s="31" t="str">
        <x:v>BK0102</x:v>
      </x:c>
      <x:c r="E873" s="31" t="str">
        <x:v>Williamsburg</x:v>
      </x:c>
      <x:c r="F873" s="31" t="n">
        <x:v>0.11460888357724977</x:v>
      </x:c>
      <x:c r="G873" s="31" t="n">
        <x:v>40.72212804510873</x:v>
      </x:c>
      <x:c r="H873" s="31" t="n">
        <x:v>-73.95940758578853</x:v>
      </x:c>
      <x:c r="I873" s="31" t="n">
        <x:v>1848</x:v>
      </x:c>
      <x:c r="J873" s="31" t="n">
        <x:v>16124.404516639353</x:v>
      </x:c>
      <x:c r="K873" s="31"/>
      <x:c r="L873" s="40"/>
      <x:c r="M873" s="40"/>
      <x:c r="N873" s="31" t="n">
        <x:v>123</x:v>
      </x:c>
      <x:c r="O873" s="31" t="n">
        <x:v>1064</x:v>
      </x:c>
      <x:c r="P873" s="31" t="n">
        <x:v>4.8669275929549904</x:v>
      </x:c>
      <x:c r="Q873" s="40" t="n">
        <x:v>0</x:v>
      </x:c>
      <x:c r="R873" s="40" t="n">
        <x:v>0.9454887218045113</x:v>
      </x:c>
      <x:c r="S873" s="40" t="n">
        <x:v>0.07894736842105263</x:v>
      </x:c>
      <x:c r="T873" s="31" t="n">
        <x:v>54.6343853262124</x:v>
      </x:c>
      <x:c r="U873" s="31" t="n">
        <x:v>83.48</x:v>
      </x:c>
      <x:c r="V873" s="31" t="n">
        <x:v>28</x:v>
      </x:c>
      <x:c r="W873" s="31" t="n">
        <x:v>15.151515151515152</x:v>
      </x:c>
      <x:c r="X873" s="31" t="n">
        <x:v>3</x:v>
      </x:c>
      <x:c r="Y873" s="40" t="n">
        <x:v>0</x:v>
      </x:c>
      <x:c r="Z873" s="40" t="n">
        <x:v>1</x:v>
      </x:c>
      <x:c r="AA873" s="40" t="n">
        <x:v>1</x:v>
      </x:c>
      <x:c r="AB873" s="31" t="n">
        <x:v>0.3047574139784908</x:v>
      </x:c>
      <x:c r="AC873" s="31" t="n">
        <x:v>6</x:v>
      </x:c>
      <x:c r="AD873" s="44" t="b">
        <x:v>1</x:v>
      </x:c>
    </x:row>
    <x:row r="874">
      <x:c r="A874" s="31" t="str">
        <x:v>36047055800</x:v>
      </x:c>
      <x:c r="B874" s="31" t="str">
        <x:v>Brooklyn</x:v>
      </x:c>
      <x:c r="C874" s="31" t="str">
        <x:v>055800</x:v>
      </x:c>
      <x:c r="D874" s="31" t="str">
        <x:v>BK1502</x:v>
      </x:c>
      <x:c r="E874" s="31" t="str">
        <x:v>Madison</x:v>
      </x:c>
      <x:c r="F874" s="31" t="n">
        <x:v>0.06626313936847164</x:v>
      </x:c>
      <x:c r="G874" s="31" t="n">
        <x:v>40.603653211921035</x:v>
      </x:c>
      <x:c r="H874" s="31" t="n">
        <x:v>-73.95537791460927</x:v>
      </x:c>
      <x:c r="I874" s="31" t="n">
        <x:v>2736</x:v>
      </x:c>
      <x:c r="J874" s="31" t="n">
        <x:v>41289.924173164116</x:v>
      </x:c>
      <x:c r="K874" s="31"/>
      <x:c r="L874" s="40"/>
      <x:c r="M874" s="40"/>
      <x:c r="N874" s="31" t="n">
        <x:v>332</x:v>
      </x:c>
      <x:c r="O874" s="31" t="n">
        <x:v>967</x:v>
      </x:c>
      <x:c r="P874" s="31" t="n">
        <x:v>3.640352697095436</x:v>
      </x:c>
      <x:c r="Q874" s="40" t="n">
        <x:v>0</x:v>
      </x:c>
      <x:c r="R874" s="40" t="n">
        <x:v>0.531540847983454</x:v>
      </x:c>
      <x:c r="S874" s="40" t="n">
        <x:v>0.001034126163391934</x:v>
      </x:c>
      <x:c r="T874" s="31" t="n">
        <x:v>45.23645366320833</x:v>
      </x:c>
      <x:c r="U874" s="31" t="n">
        <x:v>79.07</x:v>
      </x:c>
      <x:c r="V874" s="31" t="n">
        <x:v>9</x:v>
      </x:c>
      <x:c r="W874" s="31" t="n">
        <x:v>3.289473684210526</x:v>
      </x:c>
      <x:c r="X874" s="31" t="n">
        <x:v>3</x:v>
      </x:c>
      <x:c r="Y874" s="40" t="n">
        <x:v>0</x:v>
      </x:c>
      <x:c r="Z874" s="40" t="n">
        <x:v>1</x:v>
      </x:c>
      <x:c r="AA874" s="40" t="n">
        <x:v>0.9927611168562565</x:v>
      </x:c>
      <x:c r="AB874" s="31" t="n">
        <x:v>0.05917628890939538</x:v>
      </x:c>
      <x:c r="AC874" s="31" t="n">
        <x:v>7</x:v>
      </x:c>
      <x:c r="AD874" s="44" t="b">
        <x:v>1</x:v>
      </x:c>
    </x:row>
    <x:row r="875">
      <x:c r="A875" s="31" t="str">
        <x:v>36047056000</x:v>
      </x:c>
      <x:c r="B875" s="31" t="str">
        <x:v>Brooklyn</x:v>
      </x:c>
      <x:c r="C875" s="31" t="str">
        <x:v>056000</x:v>
      </x:c>
      <x:c r="D875" s="31" t="str">
        <x:v>BK1502</x:v>
      </x:c>
      <x:c r="E875" s="31" t="str">
        <x:v>Madison</x:v>
      </x:c>
      <x:c r="F875" s="31" t="n">
        <x:v>0.07132546135610365</x:v>
      </x:c>
      <x:c r="G875" s="31" t="n">
        <x:v>40.60408560372666</x:v>
      </x:c>
      <x:c r="H875" s="31" t="n">
        <x:v>-73.95143592802891</x:v>
      </x:c>
      <x:c r="I875" s="31" t="n">
        <x:v>3882</x:v>
      </x:c>
      <x:c r="J875" s="31" t="n">
        <x:v>54426.5669817192</x:v>
      </x:c>
      <x:c r="K875" s="31"/>
      <x:c r="L875" s="40"/>
      <x:c r="M875" s="40"/>
      <x:c r="N875" s="31" t="n">
        <x:v>355</x:v>
      </x:c>
      <x:c r="O875" s="31" t="n">
        <x:v>1645</x:v>
      </x:c>
      <x:c r="P875" s="31" t="n">
        <x:v>5.49468085106383</x:v>
      </x:c>
      <x:c r="Q875" s="40" t="n">
        <x:v>0.0668693009118541</x:v>
      </x:c>
      <x:c r="R875" s="40" t="n">
        <x:v>0.6978723404255319</x:v>
      </x:c>
      <x:c r="S875" s="40" t="n">
        <x:v>0</x:v>
      </x:c>
      <x:c r="T875" s="31" t="n">
        <x:v>61.36533125175</x:v>
      </x:c>
      <x:c r="U875" s="31" t="n">
        <x:v>113.78498595</x:v>
      </x:c>
      <x:c r="V875" s="31" t="n">
        <x:v>33</x:v>
      </x:c>
      <x:c r="W875" s="31" t="n">
        <x:v>8.500772797527048</x:v>
      </x:c>
      <x:c r="X875" s="31" t="n">
        <x:v>3</x:v>
      </x:c>
      <x:c r="Y875" s="40" t="n">
        <x:v>0</x:v>
      </x:c>
      <x:c r="Z875" s="40" t="n">
        <x:v>1</x:v>
      </x:c>
      <x:c r="AA875" s="40" t="n">
        <x:v>0.9969604863221885</x:v>
      </x:c>
      <x:c r="AB875" s="31" t="n">
        <x:v>0.19839347578916855</x:v>
      </x:c>
      <x:c r="AC875" s="31" t="n">
        <x:v>7</x:v>
      </x:c>
      <x:c r="AD875" s="44" t="b">
        <x:v>1</x:v>
      </x:c>
    </x:row>
    <x:row r="876">
      <x:c r="A876" s="31" t="str">
        <x:v>36047056100</x:v>
      </x:c>
      <x:c r="B876" s="31" t="str">
        <x:v>Brooklyn</x:v>
      </x:c>
      <x:c r="C876" s="31" t="str">
        <x:v>056100</x:v>
      </x:c>
      <x:c r="D876" s="31" t="str">
        <x:v>BK0101</x:v>
      </x:c>
      <x:c r="E876" s="31" t="str">
        <x:v>Greenpoint</x:v>
      </x:c>
      <x:c r="F876" s="31" t="n">
        <x:v>0.1283818601089015</x:v>
      </x:c>
      <x:c r="G876" s="31" t="n">
        <x:v>40.72653020404302</x:v>
      </x:c>
      <x:c r="H876" s="31" t="n">
        <x:v>-73.95625290487166</x:v>
      </x:c>
      <x:c r="I876" s="31" t="n">
        <x:v>3460</x:v>
      </x:c>
      <x:c r="J876" s="31" t="n">
        <x:v>26950.848017508175</x:v>
      </x:c>
      <x:c r="K876" s="31"/>
      <x:c r="L876" s="40"/>
      <x:c r="M876" s="40"/>
      <x:c r="N876" s="31" t="n">
        <x:v>428</x:v>
      </x:c>
      <x:c r="O876" s="31" t="n">
        <x:v>2948</x:v>
      </x:c>
      <x:c r="P876" s="31" t="n">
        <x:v>11.947724039829303</x:v>
      </x:c>
      <x:c r="Q876" s="40" t="n">
        <x:v>0.296472184531886</x:v>
      </x:c>
      <x:c r="R876" s="40" t="n">
        <x:v>0.5834464043419267</x:v>
      </x:c>
      <x:c r="S876" s="40" t="n">
        <x:v>0.0030529172320217096</x:v>
      </x:c>
      <x:c r="T876" s="31" t="n">
        <x:v>124.8270616211707</x:v>
      </x:c>
      <x:c r="U876" s="31" t="n">
        <x:v>400</x:v>
      </x:c>
      <x:c r="V876" s="31" t="n">
        <x:v>42</x:v>
      </x:c>
      <x:c r="W876" s="31" t="n">
        <x:v>12.138728323699421</x:v>
      </x:c>
      <x:c r="X876" s="31" t="n">
        <x:v>3</x:v>
      </x:c>
      <x:c r="Y876" s="40" t="n">
        <x:v>0</x:v>
      </x:c>
      <x:c r="Z876" s="40" t="n">
        <x:v>1</x:v>
      </x:c>
      <x:c r="AA876" s="40" t="n">
        <x:v>0.9301221166892809</x:v>
      </x:c>
      <x:c r="AB876" s="31" t="n">
        <x:v>0.11531171712606005</x:v>
      </x:c>
      <x:c r="AC876" s="31" t="n">
        <x:v>6</x:v>
      </x:c>
      <x:c r="AD876" s="44" t="b">
        <x:v>1</x:v>
      </x:c>
    </x:row>
    <x:row r="877">
      <x:c r="A877" s="31" t="str">
        <x:v>36047056200</x:v>
      </x:c>
      <x:c r="B877" s="31" t="str">
        <x:v>Brooklyn</x:v>
      </x:c>
      <x:c r="C877" s="31" t="str">
        <x:v>056200</x:v>
      </x:c>
      <x:c r="D877" s="31" t="str">
        <x:v>BK1502</x:v>
      </x:c>
      <x:c r="E877" s="31" t="str">
        <x:v>Madison</x:v>
      </x:c>
      <x:c r="F877" s="31" t="n">
        <x:v>0.06595861831274391</x:v>
      </x:c>
      <x:c r="G877" s="31" t="n">
        <x:v>40.6045182717952</x:v>
      </x:c>
      <x:c r="H877" s="31" t="n">
        <x:v>-73.9475034049491</x:v>
      </x:c>
      <x:c r="I877" s="31" t="n">
        <x:v>1695</x:v>
      </x:c>
      <x:c r="J877" s="31" t="n">
        <x:v>25697.93066257284</x:v>
      </x:c>
      <x:c r="K877" s="31"/>
      <x:c r="L877" s="40"/>
      <x:c r="M877" s="40"/>
      <x:c r="N877" s="31" t="n">
        <x:v>454</x:v>
      </x:c>
      <x:c r="O877" s="31" t="n">
        <x:v>533</x:v>
      </x:c>
      <x:c r="P877" s="31" t="n">
        <x:v>2.078799249530957</x:v>
      </x:c>
      <x:c r="Q877" s="40" t="n">
        <x:v>0</x:v>
      </x:c>
      <x:c r="R877" s="40" t="n">
        <x:v>0.020637898686679174</x:v>
      </x:c>
      <x:c r="S877" s="40" t="n">
        <x:v>0.001876172607879925</x:v>
      </x:c>
      <x:c r="T877" s="31" t="n">
        <x:v>28.941532031679245</x:v>
      </x:c>
      <x:c r="U877" s="31" t="n">
        <x:v>38</x:v>
      </x:c>
      <x:c r="V877" s="31" t="n">
        <x:v>2</x:v>
      </x:c>
      <x:c r="W877" s="31" t="n">
        <x:v>1.1799410029498525</x:v>
      </x:c>
      <x:c r="X877" s="31" t="n">
        <x:v>3</x:v>
      </x:c>
      <x:c r="Y877" s="40" t="n">
        <x:v>0</x:v>
      </x:c>
      <x:c r="Z877" s="40" t="n">
        <x:v>1</x:v>
      </x:c>
      <x:c r="AA877" s="40" t="n">
        <x:v>0.9943714821763602</x:v>
      </x:c>
      <x:c r="AB877" s="31" t="n">
        <x:v>0.280272694790805</x:v>
      </x:c>
      <x:c r="AC877" s="31" t="n">
        <x:v>6</x:v>
      </x:c>
      <x:c r="AD877" s="44" t="b">
        <x:v>1</x:v>
      </x:c>
    </x:row>
    <x:row r="878">
      <x:c r="A878" s="31" t="str">
        <x:v>36047056301</x:v>
      </x:c>
      <x:c r="B878" s="31" t="str">
        <x:v>Brooklyn</x:v>
      </x:c>
      <x:c r="C878" s="31" t="str">
        <x:v>056301</x:v>
      </x:c>
      <x:c r="D878" s="31" t="str">
        <x:v>BK0101</x:v>
      </x:c>
      <x:c r="E878" s="31" t="str">
        <x:v>Greenpoint</x:v>
      </x:c>
      <x:c r="F878" s="31" t="n">
        <x:v>0.06930916531759355</x:v>
      </x:c>
      <x:c r="G878" s="31" t="n">
        <x:v>40.73405849369135</x:v>
      </x:c>
      <x:c r="H878" s="31" t="n">
        <x:v>-73.95721290052937</x:v>
      </x:c>
      <x:c r="I878" s="31" t="n">
        <x:v>4923</x:v>
      </x:c>
      <x:c r="J878" s="31" t="n">
        <x:v>71029.56697633665</x:v>
      </x:c>
      <x:c r="K878" s="31"/>
      <x:c r="L878" s="40"/>
      <x:c r="M878" s="40"/>
      <x:c r="N878" s="31" t="n">
        <x:v>344</x:v>
      </x:c>
      <x:c r="O878" s="31" t="n">
        <x:v>2676</x:v>
      </x:c>
      <x:c r="P878" s="31" t="n">
        <x:v>4.564814814814815</x:v>
      </x:c>
      <x:c r="Q878" s="40" t="n">
        <x:v>0.006352765321375187</x:v>
      </x:c>
      <x:c r="R878" s="40" t="n">
        <x:v>0.9308669656203289</x:v>
      </x:c>
      <x:c r="S878" s="40" t="n">
        <x:v>0.013452914798206279</x:v>
      </x:c>
      <x:c r="T878" s="31" t="n">
        <x:v>50.04123011144478</x:v>
      </x:c>
      <x:c r="U878" s="31" t="n">
        <x:v>128.28857873</x:v>
      </x:c>
      <x:c r="V878" s="31" t="n">
        <x:v>49</x:v>
      </x:c>
      <x:c r="W878" s="31" t="n">
        <x:v>9.953280520008125</x:v>
      </x:c>
      <x:c r="X878" s="31" t="n">
        <x:v>3</x:v>
      </x:c>
      <x:c r="Y878" s="40" t="n">
        <x:v>0</x:v>
      </x:c>
      <x:c r="Z878" s="40" t="n">
        <x:v>1</x:v>
      </x:c>
      <x:c r="AA878" s="40" t="n">
        <x:v>0.9880418535127056</x:v>
      </x:c>
      <x:c r="AB878" s="31" t="n">
        <x:v>0.34168973623571275</x:v>
      </x:c>
      <x:c r="AC878" s="31" t="n">
        <x:v>4</x:v>
      </x:c>
      <x:c r="AD878" s="44" t="b">
        <x:v>1</x:v>
      </x:c>
    </x:row>
    <x:row r="879">
      <x:c r="A879" s="31" t="str">
        <x:v>36047056302</x:v>
      </x:c>
      <x:c r="B879" s="31" t="str">
        <x:v>Brooklyn</x:v>
      </x:c>
      <x:c r="C879" s="31" t="str">
        <x:v>056302</x:v>
      </x:c>
      <x:c r="D879" s="31" t="str">
        <x:v>BK0101</x:v>
      </x:c>
      <x:c r="E879" s="31" t="str">
        <x:v>Greenpoint</x:v>
      </x:c>
      <x:c r="F879" s="31" t="n">
        <x:v>0.07355446996420167</x:v>
      </x:c>
      <x:c r="G879" s="31" t="n">
        <x:v>40.73558575447767</x:v>
      </x:c>
      <x:c r="H879" s="31" t="n">
        <x:v>-73.95914037635133</x:v>
      </x:c>
      <x:c r="I879" s="31" t="n">
        <x:v>2002</x:v>
      </x:c>
      <x:c r="J879" s="31" t="n">
        <x:v>27217.92436237194</x:v>
      </x:c>
      <x:c r="K879" s="31"/>
      <x:c r="L879" s="40"/>
      <x:c r="M879" s="40"/>
      <x:c r="N879" s="31" t="n">
        <x:v>23</x:v>
      </x:c>
      <x:c r="O879" s="31" t="n">
        <x:v>4828</x:v>
      </x:c>
      <x:c r="P879" s="31" t="n">
        <x:v>31.70349829351536</x:v>
      </x:c>
      <x:c r="Q879" s="40" t="n">
        <x:v>0.8477630488815244</x:v>
      </x:c>
      <x:c r="R879" s="40" t="n">
        <x:v>0.12323943661971831</x:v>
      </x:c>
      <x:c r="S879" s="40" t="n">
        <x:v>0.3129660314830157</x:v>
      </x:c>
      <x:c r="T879" s="31" t="n">
        <x:v>320.5973659781852</x:v>
      </x:c>
      <x:c r="U879" s="31" t="n">
        <x:v>440</x:v>
      </x:c>
      <x:c r="V879" s="31" t="n">
        <x:v>76</x:v>
      </x:c>
      <x:c r="W879" s="31" t="n">
        <x:v>37.96203796203796</x:v>
      </x:c>
      <x:c r="X879" s="31" t="n">
        <x:v>3</x:v>
      </x:c>
      <x:c r="Y879" s="40" t="n">
        <x:v>0</x:v>
      </x:c>
      <x:c r="Z879" s="40" t="n">
        <x:v>1</x:v>
      </x:c>
      <x:c r="AA879" s="40" t="n">
        <x:v>0.8925020712510356</x:v>
      </x:c>
      <x:c r="AB879" s="31" t="n">
        <x:v>0.25223618398710274</x:v>
      </x:c>
      <x:c r="AC879" s="31" t="n">
        <x:v>3</x:v>
      </x:c>
      <x:c r="AD879" s="44" t="b">
        <x:v>1</x:v>
      </x:c>
    </x:row>
    <x:row r="880">
      <x:c r="A880" s="31" t="str">
        <x:v>36047056400</x:v>
      </x:c>
      <x:c r="B880" s="31" t="str">
        <x:v>Brooklyn</x:v>
      </x:c>
      <x:c r="C880" s="31" t="str">
        <x:v>056400</x:v>
      </x:c>
      <x:c r="D880" s="31" t="str">
        <x:v>BK1502</x:v>
      </x:c>
      <x:c r="E880" s="31" t="str">
        <x:v>Madison</x:v>
      </x:c>
      <x:c r="F880" s="31" t="n">
        <x:v>0.07074967325528007</x:v>
      </x:c>
      <x:c r="G880" s="31" t="n">
        <x:v>40.60691571888766</x:v>
      </x:c>
      <x:c r="H880" s="31" t="n">
        <x:v>-73.943373594643</x:v>
      </x:c>
      <x:c r="I880" s="31" t="n">
        <x:v>2626</x:v>
      </x:c>
      <x:c r="J880" s="31" t="n">
        <x:v>37116.77919027026</x:v>
      </x:c>
      <x:c r="K880" s="31"/>
      <x:c r="L880" s="40"/>
      <x:c r="M880" s="40"/>
      <x:c r="N880" s="31" t="n">
        <x:v>486</x:v>
      </x:c>
      <x:c r="O880" s="31" t="n">
        <x:v>1034</x:v>
      </x:c>
      <x:c r="P880" s="31" t="n">
        <x:v>3.4559961315280465</x:v>
      </x:c>
      <x:c r="Q880" s="40" t="n">
        <x:v>0</x:v>
      </x:c>
      <x:c r="R880" s="40" t="n">
        <x:v>0.3617021276595745</x:v>
      </x:c>
      <x:c r="S880" s="40" t="n">
        <x:v>0</x:v>
      </x:c>
      <x:c r="T880" s="31" t="n">
        <x:v>41.4053036045648</x:v>
      </x:c>
      <x:c r="U880" s="31" t="n">
        <x:v>67.37614387</x:v>
      </x:c>
      <x:c r="V880" s="31" t="n">
        <x:v>8</x:v>
      </x:c>
      <x:c r="W880" s="31" t="n">
        <x:v>3.0464584920030466</x:v>
      </x:c>
      <x:c r="X880" s="31" t="n">
        <x:v>3</x:v>
      </x:c>
      <x:c r="Y880" s="40" t="n">
        <x:v>0</x:v>
      </x:c>
      <x:c r="Z880" s="40" t="n">
        <x:v>1</x:v>
      </x:c>
      <x:c r="AA880" s="40" t="n">
        <x:v>1</x:v>
      </x:c>
      <x:c r="AB880" s="31" t="n">
        <x:v>0.2486006809599321</x:v>
      </x:c>
      <x:c r="AC880" s="31" t="n">
        <x:v>8</x:v>
      </x:c>
      <x:c r="AD880" s="44" t="b">
        <x:v>1</x:v>
      </x:c>
    </x:row>
    <x:row r="881">
      <x:c r="A881" s="31" t="str">
        <x:v>36047056500</x:v>
      </x:c>
      <x:c r="B881" s="31" t="str">
        <x:v>Brooklyn</x:v>
      </x:c>
      <x:c r="C881" s="31" t="str">
        <x:v>056500</x:v>
      </x:c>
      <x:c r="D881" s="31" t="str">
        <x:v>BK0101</x:v>
      </x:c>
      <x:c r="E881" s="31" t="str">
        <x:v>Greenpoint</x:v>
      </x:c>
      <x:c r="F881" s="31" t="n">
        <x:v>0.0917310255574208</x:v>
      </x:c>
      <x:c r="G881" s="31" t="n">
        <x:v>40.73021654211648</x:v>
      </x:c>
      <x:c r="H881" s="31" t="n">
        <x:v>-73.9577566027348</x:v>
      </x:c>
      <x:c r="I881" s="31" t="n">
        <x:v>3738</x:v>
      </x:c>
      <x:c r="J881" s="31" t="n">
        <x:v>40749.57166656909</x:v>
      </x:c>
      <x:c r="K881" s="31"/>
      <x:c r="L881" s="40"/>
      <x:c r="M881" s="40"/>
      <x:c r="N881" s="31" t="n">
        <x:v>382</x:v>
      </x:c>
      <x:c r="O881" s="31" t="n">
        <x:v>2933</x:v>
      </x:c>
      <x:c r="P881" s="31" t="n">
        <x:v>13.661221347930208</x:v>
      </x:c>
      <x:c r="Q881" s="40" t="n">
        <x:v>0.31162632117286054</x:v>
      </x:c>
      <x:c r="R881" s="40" t="n">
        <x:v>0.6566655301738834</x:v>
      </x:c>
      <x:c r="S881" s="40" t="n">
        <x:v>0.009205591544493692</x:v>
      </x:c>
      <x:c r="T881" s="31" t="n">
        <x:v>141.50815651047935</x:v>
      </x:c>
      <x:c r="U881" s="31" t="n">
        <x:v>365</x:v>
      </x:c>
      <x:c r="V881" s="31" t="n">
        <x:v>37</x:v>
      </x:c>
      <x:c r="W881" s="31" t="n">
        <x:v>9.898341359015516</x:v>
      </x:c>
      <x:c r="X881" s="31" t="n">
        <x:v>3</x:v>
      </x:c>
      <x:c r="Y881" s="40" t="n">
        <x:v>0</x:v>
      </x:c>
      <x:c r="Z881" s="40" t="n">
        <x:v>1</x:v>
      </x:c>
      <x:c r="AA881" s="40" t="n">
        <x:v>0.9815888169110126</x:v>
      </x:c>
      <x:c r="AB881" s="31" t="n">
        <x:v>0.1852091430179904</x:v>
      </x:c>
      <x:c r="AC881" s="31" t="n">
        <x:v>5</x:v>
      </x:c>
      <x:c r="AD881" s="44" t="b">
        <x:v>1</x:v>
      </x:c>
    </x:row>
    <x:row r="882">
      <x:c r="A882" s="31" t="str">
        <x:v>36047056600</x:v>
      </x:c>
      <x:c r="B882" s="31" t="str">
        <x:v>Brooklyn</x:v>
      </x:c>
      <x:c r="C882" s="31" t="str">
        <x:v>056600</x:v>
      </x:c>
      <x:c r="D882" s="31" t="str">
        <x:v>BK1502</x:v>
      </x:c>
      <x:c r="E882" s="31" t="str">
        <x:v>Madison</x:v>
      </x:c>
      <x:c r="F882" s="31" t="n">
        <x:v>0.0662269116699667</x:v>
      </x:c>
      <x:c r="G882" s="31" t="n">
        <x:v>40.60285229036071</x:v>
      </x:c>
      <x:c r="H882" s="31" t="n">
        <x:v>-73.9414030952682</x:v>
      </x:c>
      <x:c r="I882" s="31" t="n">
        <x:v>2548</x:v>
      </x:c>
      <x:c r="J882" s="31" t="n">
        <x:v>38473.785591839616</x:v>
      </x:c>
      <x:c r="K882" s="31"/>
      <x:c r="L882" s="40"/>
      <x:c r="M882" s="40"/>
      <x:c r="N882" s="31" t="n">
        <x:v>361</x:v>
      </x:c>
      <x:c r="O882" s="31" t="n">
        <x:v>988</x:v>
      </x:c>
      <x:c r="P882" s="31" t="n">
        <x:v>4.398785425101215</x:v>
      </x:c>
      <x:c r="Q882" s="40" t="n">
        <x:v>0</x:v>
      </x:c>
      <x:c r="R882" s="40" t="n">
        <x:v>0.5840080971659919</x:v>
      </x:c>
      <x:c r="S882" s="40" t="n">
        <x:v>0.0010121457489878543</x:v>
      </x:c>
      <x:c r="T882" s="31" t="n">
        <x:v>49.40116601303644</x:v>
      </x:c>
      <x:c r="U882" s="31" t="n">
        <x:v>69.00632744</x:v>
      </x:c>
      <x:c r="V882" s="31" t="n">
        <x:v>10</x:v>
      </x:c>
      <x:c r="W882" s="31" t="n">
        <x:v>3.9246467817896384</x:v>
      </x:c>
      <x:c r="X882" s="31" t="n">
        <x:v>3</x:v>
      </x:c>
      <x:c r="Y882" s="40" t="n">
        <x:v>0</x:v>
      </x:c>
      <x:c r="Z882" s="40" t="n">
        <x:v>1</x:v>
      </x:c>
      <x:c r="AA882" s="40" t="n">
        <x:v>1</x:v>
      </x:c>
      <x:c r="AB882" s="31" t="n">
        <x:v>0.191833142249969</x:v>
      </x:c>
      <x:c r="AC882" s="31" t="n">
        <x:v>4</x:v>
      </x:c>
      <x:c r="AD882" s="44" t="b">
        <x:v>1</x:v>
      </x:c>
    </x:row>
    <x:row r="883">
      <x:c r="A883" s="31" t="str">
        <x:v>36047056800</x:v>
      </x:c>
      <x:c r="B883" s="31" t="str">
        <x:v>Brooklyn</x:v>
      </x:c>
      <x:c r="C883" s="31" t="str">
        <x:v>056800</x:v>
      </x:c>
      <x:c r="D883" s="31" t="str">
        <x:v>BK1502</x:v>
      </x:c>
      <x:c r="E883" s="31" t="str">
        <x:v>Madison</x:v>
      </x:c>
      <x:c r="F883" s="31" t="n">
        <x:v>0.0454823879437127</x:v>
      </x:c>
      <x:c r="G883" s="31" t="n">
        <x:v>40.60267194435718</x:v>
      </x:c>
      <x:c r="H883" s="31" t="n">
        <x:v>-73.93781883088397</x:v>
      </x:c>
      <x:c r="I883" s="31" t="n">
        <x:v>1310</x:v>
      </x:c>
      <x:c r="J883" s="31" t="n">
        <x:v>28802.35755477938</x:v>
      </x:c>
      <x:c r="K883" s="31"/>
      <x:c r="L883" s="40"/>
      <x:c r="M883" s="40"/>
      <x:c r="N883" s="31" t="n">
        <x:v>354</x:v>
      </x:c>
      <x:c r="O883" s="31" t="n">
        <x:v>514</x:v>
      </x:c>
      <x:c r="P883" s="31" t="n">
        <x:v>2.046875</x:v>
      </x:c>
      <x:c r="Q883" s="40" t="n">
        <x:v>0</x:v>
      </x:c>
      <x:c r="R883" s="40" t="n">
        <x:v>0.05058365758754864</x:v>
      </x:c>
      <x:c r="S883" s="40" t="n">
        <x:v>0.0019455252918287938</x:v>
      </x:c>
      <x:c r="T883" s="31" t="n">
        <x:v>27.87179815077821</x:v>
      </x:c>
      <x:c r="U883" s="31" t="n">
        <x:v>37.4493</x:v>
      </x:c>
      <x:c r="V883" s="31" t="n">
        <x:v>0</x:v>
      </x:c>
      <x:c r="W883" s="31" t="n">
        <x:v>0</x:v>
      </x:c>
      <x:c r="X883" s="31" t="n">
        <x:v>3</x:v>
      </x:c>
      <x:c r="Y883" s="40" t="n">
        <x:v>0</x:v>
      </x:c>
      <x:c r="Z883" s="40" t="n">
        <x:v>1</x:v>
      </x:c>
      <x:c r="AA883" s="40" t="n">
        <x:v>1</x:v>
      </x:c>
      <x:c r="AB883" s="31" t="n">
        <x:v>0.28132465163532633</x:v>
      </x:c>
      <x:c r="AC883" s="31" t="n">
        <x:v>5</x:v>
      </x:c>
      <x:c r="AD883" s="44" t="b">
        <x:v>1</x:v>
      </x:c>
    </x:row>
    <x:row r="884">
      <x:c r="A884" s="31" t="str">
        <x:v>36047056900</x:v>
      </x:c>
      <x:c r="B884" s="31" t="str">
        <x:v>Brooklyn</x:v>
      </x:c>
      <x:c r="C884" s="31" t="str">
        <x:v>056900</x:v>
      </x:c>
      <x:c r="D884" s="31" t="str">
        <x:v>BK0101</x:v>
      </x:c>
      <x:c r="E884" s="31" t="str">
        <x:v>Greenpoint</x:v>
      </x:c>
      <x:c r="F884" s="31" t="n">
        <x:v>0.049321732863794196</x:v>
      </x:c>
      <x:c r="G884" s="31" t="n">
        <x:v>40.72376676044871</x:v>
      </x:c>
      <x:c r="H884" s="31" t="n">
        <x:v>-73.95236457008416</x:v>
      </x:c>
      <x:c r="I884" s="31" t="n">
        <x:v>1624</x:v>
      </x:c>
      <x:c r="J884" s="31" t="n">
        <x:v>32926.661447293474</x:v>
      </x:c>
      <x:c r="K884" s="31"/>
      <x:c r="L884" s="40"/>
      <x:c r="M884" s="40"/>
      <x:c r="N884" s="31" t="n">
        <x:v>234</x:v>
      </x:c>
      <x:c r="O884" s="31" t="n">
        <x:v>939</x:v>
      </x:c>
      <x:c r="P884" s="31" t="n">
        <x:v>3.5854313099041537</x:v>
      </x:c>
      <x:c r="Q884" s="40" t="n">
        <x:v>0</x:v>
      </x:c>
      <x:c r="R884" s="40" t="n">
        <x:v>0.9233226837060703</x:v>
      </x:c>
      <x:c r="S884" s="40" t="n">
        <x:v>0.004259850905218318</x:v>
      </x:c>
      <x:c r="T884" s="31" t="n">
        <x:v>43.720424718019174</x:v>
      </x:c>
      <x:c r="U884" s="31" t="n">
        <x:v>75</x:v>
      </x:c>
      <x:c r="V884" s="31" t="n">
        <x:v>13</x:v>
      </x:c>
      <x:c r="W884" s="31" t="n">
        <x:v>8.004926108374384</x:v>
      </x:c>
      <x:c r="X884" s="31" t="n">
        <x:v>3</x:v>
      </x:c>
      <x:c r="Y884" s="40" t="n">
        <x:v>0</x:v>
      </x:c>
      <x:c r="Z884" s="40" t="n">
        <x:v>1</x:v>
      </x:c>
      <x:c r="AA884" s="40" t="n">
        <x:v>1</x:v>
      </x:c>
      <x:c r="AB884" s="31" t="n">
        <x:v>0.12431833535439592</x:v>
      </x:c>
      <x:c r="AC884" s="31" t="n">
        <x:v>7</x:v>
      </x:c>
      <x:c r="AD884" s="44" t="b">
        <x:v>1</x:v>
      </x:c>
    </x:row>
    <x:row r="885">
      <x:c r="A885" s="31" t="str">
        <x:v>36047057000</x:v>
      </x:c>
      <x:c r="B885" s="31" t="str">
        <x:v>Brooklyn</x:v>
      </x:c>
      <x:c r="C885" s="31" t="str">
        <x:v>057000</x:v>
      </x:c>
      <x:c r="D885" s="31" t="str">
        <x:v>BK1503</x:v>
      </x:c>
      <x:c r="E885" s="31" t="str">
        <x:v>Sheepshead Bay-Manhattan Beach-Gerritsen Beach</x:v>
      </x:c>
      <x:c r="F885" s="31" t="n">
        <x:v>0.1013220571388602</x:v>
      </x:c>
      <x:c r="G885" s="31" t="n">
        <x:v>40.59926669651251</x:v>
      </x:c>
      <x:c r="H885" s="31" t="n">
        <x:v>-73.93688254369744</x:v>
      </x:c>
      <x:c r="I885" s="31" t="n">
        <x:v>3534</x:v>
      </x:c>
      <x:c r="J885" s="31" t="n">
        <x:v>34878.88126034306</x:v>
      </x:c>
      <x:c r="K885" s="31"/>
      <x:c r="L885" s="40"/>
      <x:c r="M885" s="40"/>
      <x:c r="N885" s="31" t="n">
        <x:v>267</x:v>
      </x:c>
      <x:c r="O885" s="31" t="n">
        <x:v>1485</x:v>
      </x:c>
      <x:c r="P885" s="31" t="n">
        <x:v>4.888552188552189</x:v>
      </x:c>
      <x:c r="Q885" s="40" t="n">
        <x:v>0</x:v>
      </x:c>
      <x:c r="R885" s="40" t="n">
        <x:v>0.7703703703703704</x:v>
      </x:c>
      <x:c r="S885" s="40" t="n">
        <x:v>0.6424242424242425</x:v>
      </x:c>
      <x:c r="T885" s="31" t="n">
        <x:v>51.99371172864647</x:v>
      </x:c>
      <x:c r="U885" s="31" t="n">
        <x:v>64.35931567</x:v>
      </x:c>
      <x:c r="V885" s="31" t="n">
        <x:v>28</x:v>
      </x:c>
      <x:c r="W885" s="31" t="n">
        <x:v>7.923033389926429</x:v>
      </x:c>
      <x:c r="X885" s="31" t="n">
        <x:v>3</x:v>
      </x:c>
      <x:c r="Y885" s="40" t="n">
        <x:v>0</x:v>
      </x:c>
      <x:c r="Z885" s="40" t="n">
        <x:v>1</x:v>
      </x:c>
      <x:c r="AA885" s="40" t="n">
        <x:v>1</x:v>
      </x:c>
      <x:c r="AB885" s="31" t="n">
        <x:v>0.16551988172761797</x:v>
      </x:c>
      <x:c r="AC885" s="31" t="n">
        <x:v>8</x:v>
      </x:c>
      <x:c r="AD885" s="44" t="b">
        <x:v>1</x:v>
      </x:c>
    </x:row>
    <x:row r="886">
      <x:c r="A886" s="31" t="str">
        <x:v>36047057100</x:v>
      </x:c>
      <x:c r="B886" s="31" t="str">
        <x:v>Brooklyn</x:v>
      </x:c>
      <x:c r="C886" s="31" t="str">
        <x:v>057100</x:v>
      </x:c>
      <x:c r="D886" s="31" t="str">
        <x:v>BK0101</x:v>
      </x:c>
      <x:c r="E886" s="31" t="str">
        <x:v>Greenpoint</x:v>
      </x:c>
      <x:c r="F886" s="31" t="n">
        <x:v>0.06789616544923668</x:v>
      </x:c>
      <x:c r="G886" s="31" t="n">
        <x:v>40.72478390566954</x:v>
      </x:c>
      <x:c r="H886" s="31" t="n">
        <x:v>-73.94761873577866</x:v>
      </x:c>
      <x:c r="I886" s="31" t="n">
        <x:v>4267</x:v>
      </x:c>
      <x:c r="J886" s="31" t="n">
        <x:v>62845.96444832027</x:v>
      </x:c>
      <x:c r="K886" s="31"/>
      <x:c r="L886" s="40"/>
      <x:c r="M886" s="40"/>
      <x:c r="N886" s="31" t="n">
        <x:v>574</x:v>
      </x:c>
      <x:c r="O886" s="31" t="n">
        <x:v>2246</x:v>
      </x:c>
      <x:c r="P886" s="31" t="n">
        <x:v>3.215048975957257</x:v>
      </x:c>
      <x:c r="Q886" s="40" t="n">
        <x:v>0</x:v>
      </x:c>
      <x:c r="R886" s="40" t="n">
        <x:v>0.8548530721282279</x:v>
      </x:c>
      <x:c r="S886" s="40" t="n">
        <x:v>0.004897595725734639</x:v>
      </x:c>
      <x:c r="T886" s="31" t="n">
        <x:v>39.594392925642985</x:v>
      </x:c>
      <x:c r="U886" s="31" t="n">
        <x:v>80</x:v>
      </x:c>
      <x:c r="V886" s="31" t="n">
        <x:v>7</x:v>
      </x:c>
      <x:c r="W886" s="31" t="n">
        <x:v>1.640496836184673</x:v>
      </x:c>
      <x:c r="X886" s="31" t="n">
        <x:v>3</x:v>
      </x:c>
      <x:c r="Y886" s="40" t="n">
        <x:v>0</x:v>
      </x:c>
      <x:c r="Z886" s="40" t="n">
        <x:v>1</x:v>
      </x:c>
      <x:c r="AA886" s="40" t="n">
        <x:v>0.9902048085485308</x:v>
      </x:c>
      <x:c r="AB886" s="31" t="n">
        <x:v>0.1587543470285787</x:v>
      </x:c>
      <x:c r="AC886" s="31" t="n">
        <x:v>7</x:v>
      </x:c>
      <x:c r="AD886" s="44" t="b">
        <x:v>1</x:v>
      </x:c>
    </x:row>
    <x:row r="887">
      <x:c r="A887" s="31" t="str">
        <x:v>36047057200</x:v>
      </x:c>
      <x:c r="B887" s="31" t="str">
        <x:v>Brooklyn</x:v>
      </x:c>
      <x:c r="C887" s="31" t="str">
        <x:v>057200</x:v>
      </x:c>
      <x:c r="D887" s="31" t="str">
        <x:v>BK1503</x:v>
      </x:c>
      <x:c r="E887" s="31" t="str">
        <x:v>Sheepshead Bay-Manhattan Beach-Gerritsen Beach</x:v>
      </x:c>
      <x:c r="F887" s="31" t="n">
        <x:v>0.09407732083835514</x:v>
      </x:c>
      <x:c r="G887" s="31" t="n">
        <x:v>40.59636842147036</x:v>
      </x:c>
      <x:c r="H887" s="31" t="n">
        <x:v>-73.93821609247819</x:v>
      </x:c>
      <x:c r="I887" s="31" t="n">
        <x:v>5221</x:v>
      </x:c>
      <x:c r="J887" s="31" t="n">
        <x:v>55496.903541404936</x:v>
      </x:c>
      <x:c r="K887" s="31"/>
      <x:c r="L887" s="40"/>
      <x:c r="M887" s="40"/>
      <x:c r="N887" s="31" t="n">
        <x:v>4</x:v>
      </x:c>
      <x:c r="O887" s="31" t="n">
        <x:v>2204</x:v>
      </x:c>
      <x:c r="P887" s="31" t="n">
        <x:v>6.23956442831216</x:v>
      </x:c>
      <x:c r="Q887" s="40" t="n">
        <x:v>0</x:v>
      </x:c>
      <x:c r="R887" s="40" t="n">
        <x:v>1</x:v>
      </x:c>
      <x:c r="S887" s="40" t="n">
        <x:v>1</x:v>
      </x:c>
      <x:c r="T887" s="31" t="n">
        <x:v>64.13183452898366</x:v>
      </x:c>
      <x:c r="U887" s="31" t="n">
        <x:v>75.03476281</x:v>
      </x:c>
      <x:c r="V887" s="31" t="n">
        <x:v>68</x:v>
      </x:c>
      <x:c r="W887" s="31" t="n">
        <x:v>13.024324841984294</x:v>
      </x:c>
      <x:c r="X887" s="31" t="n">
        <x:v>3</x:v>
      </x:c>
      <x:c r="Y887" s="40" t="n">
        <x:v>0</x:v>
      </x:c>
      <x:c r="Z887" s="40" t="n">
        <x:v>1</x:v>
      </x:c>
      <x:c r="AA887" s="40" t="n">
        <x:v>1</x:v>
      </x:c>
      <x:c r="AB887" s="31" t="n">
        <x:v>0.1060767962588229</x:v>
      </x:c>
      <x:c r="AC887" s="31" t="n">
        <x:v>4</x:v>
      </x:c>
      <x:c r="AD887" s="44" t="b">
        <x:v>1</x:v>
      </x:c>
    </x:row>
    <x:row r="888">
      <x:c r="A888" s="31" t="str">
        <x:v>36047057300</x:v>
      </x:c>
      <x:c r="B888" s="31" t="str">
        <x:v>Brooklyn</x:v>
      </x:c>
      <x:c r="C888" s="31" t="str">
        <x:v>057300</x:v>
      </x:c>
      <x:c r="D888" s="31" t="str">
        <x:v>BK0101</x:v>
      </x:c>
      <x:c r="E888" s="31" t="str">
        <x:v>Greenpoint</x:v>
      </x:c>
      <x:c r="F888" s="31" t="n">
        <x:v>0.06568345988471362</x:v>
      </x:c>
      <x:c r="G888" s="31" t="n">
        <x:v>40.72804880903404</x:v>
      </x:c>
      <x:c r="H888" s="31" t="n">
        <x:v>-73.94883031091322</x:v>
      </x:c>
      <x:c r="I888" s="31" t="n">
        <x:v>2590</x:v>
      </x:c>
      <x:c r="J888" s="31" t="n">
        <x:v>39431.54036870042</x:v>
      </x:c>
      <x:c r="K888" s="31"/>
      <x:c r="L888" s="40"/>
      <x:c r="M888" s="40"/>
      <x:c r="N888" s="31" t="n">
        <x:v>332</x:v>
      </x:c>
      <x:c r="O888" s="31" t="n">
        <x:v>1347</x:v>
      </x:c>
      <x:c r="P888" s="31" t="n">
        <x:v>3.4305864884929473</x:v>
      </x:c>
      <x:c r="Q888" s="40" t="n">
        <x:v>0</x:v>
      </x:c>
      <x:c r="R888" s="40" t="n">
        <x:v>0.7483296213808464</x:v>
      </x:c>
      <x:c r="S888" s="40" t="n">
        <x:v>0</x:v>
      </x:c>
      <x:c r="T888" s="31" t="n">
        <x:v>41.657485924909096</x:v>
      </x:c>
      <x:c r="U888" s="31" t="n">
        <x:v>80</x:v>
      </x:c>
      <x:c r="V888" s="31" t="n">
        <x:v>10</x:v>
      </x:c>
      <x:c r="W888" s="31" t="n">
        <x:v>3.8610038610038613</x:v>
      </x:c>
      <x:c r="X888" s="31" t="n">
        <x:v>3</x:v>
      </x:c>
      <x:c r="Y888" s="40" t="n">
        <x:v>0</x:v>
      </x:c>
      <x:c r="Z888" s="40" t="n">
        <x:v>1</x:v>
      </x:c>
      <x:c r="AA888" s="40" t="n">
        <x:v>0.9799554565701559</x:v>
      </x:c>
      <x:c r="AB888" s="31" t="n">
        <x:v>0.12388052953386353</x:v>
      </x:c>
      <x:c r="AC888" s="31" t="n">
        <x:v>7</x:v>
      </x:c>
      <x:c r="AD888" s="44" t="b">
        <x:v>1</x:v>
      </x:c>
    </x:row>
    <x:row r="889">
      <x:c r="A889" s="31" t="str">
        <x:v>36047057400</x:v>
      </x:c>
      <x:c r="B889" s="31" t="str">
        <x:v>Brooklyn</x:v>
      </x:c>
      <x:c r="C889" s="31" t="str">
        <x:v>057400</x:v>
      </x:c>
      <x:c r="D889" s="31" t="str">
        <x:v>BK1502</x:v>
      </x:c>
      <x:c r="E889" s="31" t="str">
        <x:v>Madison</x:v>
      </x:c>
      <x:c r="F889" s="31" t="n">
        <x:v>0.06146613731706267</x:v>
      </x:c>
      <x:c r="G889" s="31" t="n">
        <x:v>40.60114970874399</x:v>
      </x:c>
      <x:c r="H889" s="31" t="n">
        <x:v>-73.94433849170996</x:v>
      </x:c>
      <x:c r="I889" s="31" t="n">
        <x:v>2560</x:v>
      </x:c>
      <x:c r="J889" s="31" t="n">
        <x:v>41648.94870153745</x:v>
      </x:c>
      <x:c r="K889" s="31"/>
      <x:c r="L889" s="40"/>
      <x:c r="M889" s="40"/>
      <x:c r="N889" s="31" t="n">
        <x:v>577</x:v>
      </x:c>
      <x:c r="O889" s="31" t="n">
        <x:v>845</x:v>
      </x:c>
      <x:c r="P889" s="31" t="n">
        <x:v>2.0189349112426034</x:v>
      </x:c>
      <x:c r="Q889" s="40" t="n">
        <x:v>0</x:v>
      </x:c>
      <x:c r="R889" s="40" t="n">
        <x:v>0.027218934911242602</x:v>
      </x:c>
      <x:c r="S889" s="40" t="n">
        <x:v>0</x:v>
      </x:c>
      <x:c r="T889" s="31" t="n">
        <x:v>27.731172054751184</x:v>
      </x:c>
      <x:c r="U889" s="31" t="n">
        <x:v>40.04</x:v>
      </x:c>
      <x:c r="V889" s="31" t="n">
        <x:v>1</x:v>
      </x:c>
      <x:c r="W889" s="31" t="n">
        <x:v>0.390625</x:v>
      </x:c>
      <x:c r="X889" s="31" t="n">
        <x:v>3</x:v>
      </x:c>
      <x:c r="Y889" s="40" t="n">
        <x:v>0</x:v>
      </x:c>
      <x:c r="Z889" s="40" t="n">
        <x:v>1</x:v>
      </x:c>
      <x:c r="AA889" s="40" t="n">
        <x:v>0.9988165680473373</x:v>
      </x:c>
      <x:c r="AB889" s="31" t="n">
        <x:v>0.005994278811630664</x:v>
      </x:c>
      <x:c r="AC889" s="31" t="n">
        <x:v>6</x:v>
      </x:c>
      <x:c r="AD889" s="44" t="b">
        <x:v>1</x:v>
      </x:c>
    </x:row>
    <x:row r="890">
      <x:c r="A890" s="31" t="str">
        <x:v>36047057500</x:v>
      </x:c>
      <x:c r="B890" s="31" t="str">
        <x:v>Brooklyn</x:v>
      </x:c>
      <x:c r="C890" s="31" t="str">
        <x:v>057500</x:v>
      </x:c>
      <x:c r="D890" s="31" t="str">
        <x:v>BK0101</x:v>
      </x:c>
      <x:c r="E890" s="31" t="str">
        <x:v>Greenpoint</x:v>
      </x:c>
      <x:c r="F890" s="31" t="n">
        <x:v>0.07003846692636592</x:v>
      </x:c>
      <x:c r="G890" s="31" t="n">
        <x:v>40.732105584902264</x:v>
      </x:c>
      <x:c r="H890" s="31" t="n">
        <x:v>-73.95323068956043</x:v>
      </x:c>
      <x:c r="I890" s="31" t="n">
        <x:v>4902</x:v>
      </x:c>
      <x:c r="J890" s="31" t="n">
        <x:v>69990.10993706726</x:v>
      </x:c>
      <x:c r="K890" s="31"/>
      <x:c r="L890" s="40"/>
      <x:c r="M890" s="40"/>
      <x:c r="N890" s="31" t="n">
        <x:v>437</x:v>
      </x:c>
      <x:c r="O890" s="31" t="n">
        <x:v>2935</x:v>
      </x:c>
      <x:c r="P890" s="31" t="n">
        <x:v>4.440614964127093</x:v>
      </x:c>
      <x:c r="Q890" s="40" t="n">
        <x:v>0.02385008517887564</x:v>
      </x:c>
      <x:c r="R890" s="40" t="n">
        <x:v>0.937649063032368</x:v>
      </x:c>
      <x:c r="S890" s="40" t="n">
        <x:v>0.009880749574105622</x:v>
      </x:c>
      <x:c r="T890" s="31" t="n">
        <x:v>52.41833487473504</x:v>
      </x:c>
      <x:c r="U890" s="31" t="n">
        <x:v>135.83252396</x:v>
      </x:c>
      <x:c r="V890" s="31" t="n">
        <x:v>37</x:v>
      </x:c>
      <x:c r="W890" s="31" t="n">
        <x:v>7.547939616483068</x:v>
      </x:c>
      <x:c r="X890" s="31" t="n">
        <x:v>3</x:v>
      </x:c>
      <x:c r="Y890" s="40" t="n">
        <x:v>0</x:v>
      </x:c>
      <x:c r="Z890" s="40" t="n">
        <x:v>1</x:v>
      </x:c>
      <x:c r="AA890" s="40" t="n">
        <x:v>0.9965928449744463</x:v>
      </x:c>
      <x:c r="AB890" s="31" t="n">
        <x:v>0.1804309425057767</x:v>
      </x:c>
      <x:c r="AC890" s="31" t="n">
        <x:v>5</x:v>
      </x:c>
      <x:c r="AD890" s="44" t="b">
        <x:v>1</x:v>
      </x:c>
    </x:row>
    <x:row r="891">
      <x:c r="A891" s="31" t="str">
        <x:v>36047057600</x:v>
      </x:c>
      <x:c r="B891" s="31" t="str">
        <x:v>Brooklyn</x:v>
      </x:c>
      <x:c r="C891" s="31" t="str">
        <x:v>057600</x:v>
      </x:c>
      <x:c r="D891" s="31" t="str">
        <x:v>BK1502</x:v>
      </x:c>
      <x:c r="E891" s="31" t="str">
        <x:v>Madison</x:v>
      </x:c>
      <x:c r="F891" s="31" t="n">
        <x:v>0.06124219833024851</x:v>
      </x:c>
      <x:c r="G891" s="31" t="n">
        <x:v>40.59987314872121</x:v>
      </x:c>
      <x:c r="H891" s="31" t="n">
        <x:v>-73.94757112344425</x:v>
      </x:c>
      <x:c r="I891" s="31" t="n">
        <x:v>2912</x:v>
      </x:c>
      <x:c r="J891" s="31" t="n">
        <x:v>47548.913647695044</x:v>
      </x:c>
      <x:c r="K891" s="31"/>
      <x:c r="L891" s="40"/>
      <x:c r="M891" s="40"/>
      <x:c r="N891" s="31" t="n">
        <x:v>440</x:v>
      </x:c>
      <x:c r="O891" s="31" t="n">
        <x:v>945</x:v>
      </x:c>
      <x:c r="P891" s="31" t="n">
        <x:v>2.6826411075612353</x:v>
      </x:c>
      <x:c r="Q891" s="40" t="n">
        <x:v>0</x:v>
      </x:c>
      <x:c r="R891" s="40" t="n">
        <x:v>0.21164021164021163</x:v>
      </x:c>
      <x:c r="S891" s="40" t="n">
        <x:v>0.0010582010582010583</x:v>
      </x:c>
      <x:c r="T891" s="31" t="n">
        <x:v>34.42185161924868</x:v>
      </x:c>
      <x:c r="U891" s="31" t="n">
        <x:v>63.84</x:v>
      </x:c>
      <x:c r="V891" s="31" t="n">
        <x:v>3</x:v>
      </x:c>
      <x:c r="W891" s="31" t="n">
        <x:v>1.0302197802197803</x:v>
      </x:c>
      <x:c r="X891" s="31" t="n">
        <x:v>3</x:v>
      </x:c>
      <x:c r="Y891" s="40" t="n">
        <x:v>0</x:v>
      </x:c>
      <x:c r="Z891" s="40" t="n">
        <x:v>1</x:v>
      </x:c>
      <x:c r="AA891" s="40" t="n">
        <x:v>1</x:v>
      </x:c>
      <x:c r="AB891" s="31" t="n">
        <x:v>0.1928247127424358</x:v>
      </x:c>
      <x:c r="AC891" s="31" t="n">
        <x:v>6</x:v>
      </x:c>
      <x:c r="AD891" s="44" t="b">
        <x:v>1</x:v>
      </x:c>
    </x:row>
    <x:row r="892">
      <x:c r="A892" s="31" t="str">
        <x:v>36047057800</x:v>
      </x:c>
      <x:c r="B892" s="31" t="str">
        <x:v>Brooklyn</x:v>
      </x:c>
      <x:c r="C892" s="31" t="str">
        <x:v>057800</x:v>
      </x:c>
      <x:c r="D892" s="31" t="str">
        <x:v>BK1502</x:v>
      </x:c>
      <x:c r="E892" s="31" t="str">
        <x:v>Madison</x:v>
      </x:c>
      <x:c r="F892" s="31" t="n">
        <x:v>0.06649528184472567</x:v>
      </x:c>
      <x:c r="G892" s="31" t="n">
        <x:v>40.59944001060605</x:v>
      </x:c>
      <x:c r="H892" s="31" t="n">
        <x:v>-73.95151271195465</x:v>
      </x:c>
      <x:c r="I892" s="31" t="n">
        <x:v>3332</x:v>
      </x:c>
      <x:c r="J892" s="31" t="n">
        <x:v>50108.81836369403</x:v>
      </x:c>
      <x:c r="K892" s="31"/>
      <x:c r="L892" s="40"/>
      <x:c r="M892" s="40"/>
      <x:c r="N892" s="31" t="n">
        <x:v>360</x:v>
      </x:c>
      <x:c r="O892" s="31" t="n">
        <x:v>1229</x:v>
      </x:c>
      <x:c r="P892" s="31" t="n">
        <x:v>4.192636289666395</x:v>
      </x:c>
      <x:c r="Q892" s="40" t="n">
        <x:v>0.024410089503661515</x:v>
      </x:c>
      <x:c r="R892" s="40" t="n">
        <x:v>0.6110659072416599</x:v>
      </x:c>
      <x:c r="S892" s="40" t="n">
        <x:v>0.0032546786004882017</x:v>
      </x:c>
      <x:c r="T892" s="31" t="n">
        <x:v>47.43150088682907</x:v>
      </x:c>
      <x:c r="U892" s="31" t="n">
        <x:v>84</x:v>
      </x:c>
      <x:c r="V892" s="31" t="n">
        <x:v>26</x:v>
      </x:c>
      <x:c r="W892" s="31" t="n">
        <x:v>7.8031212484994</x:v>
      </x:c>
      <x:c r="X892" s="31" t="n">
        <x:v>3</x:v>
      </x:c>
      <x:c r="Y892" s="40" t="n">
        <x:v>0</x:v>
      </x:c>
      <x:c r="Z892" s="40" t="n">
        <x:v>1</x:v>
      </x:c>
      <x:c r="AA892" s="40" t="n">
        <x:v>0.985353946297803</x:v>
      </x:c>
      <x:c r="AB892" s="31" t="n">
        <x:v>0.223835186167379</x:v>
      </x:c>
      <x:c r="AC892" s="31" t="n">
        <x:v>7</x:v>
      </x:c>
      <x:c r="AD892" s="44" t="b">
        <x:v>1</x:v>
      </x:c>
    </x:row>
    <x:row r="893">
      <x:c r="A893" s="31" t="str">
        <x:v>36047057901</x:v>
      </x:c>
      <x:c r="B893" s="31" t="str">
        <x:v>Brooklyn</x:v>
      </x:c>
      <x:c r="C893" s="31" t="str">
        <x:v>057901</x:v>
      </x:c>
      <x:c r="D893" s="31" t="str">
        <x:v>BK0101</x:v>
      </x:c>
      <x:c r="E893" s="31" t="str">
        <x:v>Greenpoint</x:v>
      </x:c>
      <x:c r="F893" s="31" t="n">
        <x:v>0.09483605063812844</x:v>
      </x:c>
      <x:c r="G893" s="31" t="n">
        <x:v>40.734730324283895</x:v>
      </x:c>
      <x:c r="H893" s="31" t="n">
        <x:v>-73.95196083663632</x:v>
      </x:c>
      <x:c r="I893" s="31" t="n">
        <x:v>1416</x:v>
      </x:c>
      <x:c r="J893" s="31" t="n">
        <x:v>14931.030873513653</x:v>
      </x:c>
      <x:c r="K893" s="31"/>
      <x:c r="L893" s="40"/>
      <x:c r="M893" s="40"/>
      <x:c r="N893" s="31" t="n">
        <x:v>107</x:v>
      </x:c>
      <x:c r="O893" s="31" t="n">
        <x:v>633</x:v>
      </x:c>
      <x:c r="P893" s="31" t="n">
        <x:v>3.7968</x:v>
      </x:c>
      <x:c r="Q893" s="40" t="n">
        <x:v>0</x:v>
      </x:c>
      <x:c r="R893" s="40" t="n">
        <x:v>0.9257503949447078</x:v>
      </x:c>
      <x:c r="S893" s="40" t="n">
        <x:v>0.022116903633491312</x:v>
      </x:c>
      <x:c r="T893" s="31" t="n">
        <x:v>43.42998420430669</x:v>
      </x:c>
      <x:c r="U893" s="31" t="n">
        <x:v>80</x:v>
      </x:c>
      <x:c r="V893" s="31" t="n">
        <x:v>10</x:v>
      </x:c>
      <x:c r="W893" s="31" t="n">
        <x:v>7.062146892655367</x:v>
      </x:c>
      <x:c r="X893" s="31" t="n">
        <x:v>3</x:v>
      </x:c>
      <x:c r="Y893" s="40" t="n">
        <x:v>0</x:v>
      </x:c>
      <x:c r="Z893" s="40" t="n">
        <x:v>1</x:v>
      </x:c>
      <x:c r="AA893" s="40" t="n">
        <x:v>0.9684044233807267</x:v>
      </x:c>
      <x:c r="AB893" s="31" t="n">
        <x:v>0.37337253540373844</x:v>
      </x:c>
      <x:c r="AC893" s="31" t="n">
        <x:v>5</x:v>
      </x:c>
      <x:c r="AD893" s="44" t="b">
        <x:v>1</x:v>
      </x:c>
    </x:row>
    <x:row r="894">
      <x:c r="A894" s="31" t="str">
        <x:v>36047057902</x:v>
      </x:c>
      <x:c r="B894" s="31" t="str">
        <x:v>Brooklyn</x:v>
      </x:c>
      <x:c r="C894" s="31" t="str">
        <x:v>057902</x:v>
      </x:c>
      <x:c r="D894" s="31" t="str">
        <x:v>BK0101</x:v>
      </x:c>
      <x:c r="E894" s="31" t="str">
        <x:v>Greenpoint</x:v>
      </x:c>
      <x:c r="F894" s="31" t="n">
        <x:v>0.19032387490207472</x:v>
      </x:c>
      <x:c r="G894" s="31" t="n">
        <x:v>40.733855340243586</x:v>
      </x:c>
      <x:c r="H894" s="31" t="n">
        <x:v>-73.94684915916807</x:v>
      </x:c>
      <x:c r="I894" s="31" t="n">
        <x:v>0</x:v>
      </x:c>
      <x:c r="J894" s="31" t="n">
        <x:v>0</x:v>
      </x:c>
      <x:c r="K894" s="31"/>
      <x:c r="L894" s="40"/>
      <x:c r="M894" s="40"/>
      <x:c r="N894" s="31" t="n">
        <x:v>0</x:v>
      </x:c>
      <x:c r="O894" s="31"/>
      <x:c r="P894" s="31"/>
      <x:c r="Q894" s="40"/>
      <x:c r="R894" s="40"/>
      <x:c r="S894" s="40"/>
      <x:c r="T894" s="31"/>
      <x:c r="U894" s="31"/>
      <x:c r="V894" s="31" t="n">
        <x:v>0</x:v>
      </x:c>
      <x:c r="W894" s="31"/>
      <x:c r="X894" s="31"/>
      <x:c r="Y894" s="40"/>
      <x:c r="Z894" s="40"/>
      <x:c r="AA894" s="40"/>
      <x:c r="AB894" s="31" t="n">
        <x:v>0.4886902030034686</x:v>
      </x:c>
      <x:c r="AC894" s="31" t="n">
        <x:v>4</x:v>
      </x:c>
      <x:c r="AD894" s="44" t="b">
        <x:v>0</x:v>
      </x:c>
    </x:row>
    <x:row r="895">
      <x:c r="A895" s="31" t="str">
        <x:v>36047058000</x:v>
      </x:c>
      <x:c r="B895" s="31" t="str">
        <x:v>Brooklyn</x:v>
      </x:c>
      <x:c r="C895" s="31" t="str">
        <x:v>058000</x:v>
      </x:c>
      <x:c r="D895" s="31" t="str">
        <x:v>BK1502</x:v>
      </x:c>
      <x:c r="E895" s="31" t="str">
        <x:v>Madison</x:v>
      </x:c>
      <x:c r="F895" s="31" t="n">
        <x:v>0.061257693359375004</x:v>
      </x:c>
      <x:c r="G895" s="31" t="n">
        <x:v>40.59900673513308</x:v>
      </x:c>
      <x:c r="H895" s="31" t="n">
        <x:v>-73.95545392768574</x:v>
      </x:c>
      <x:c r="I895" s="31" t="n">
        <x:v>3502</x:v>
      </x:c>
      <x:c r="J895" s="31" t="n">
        <x:v>57168.32952646668</x:v>
      </x:c>
      <x:c r="K895" s="31"/>
      <x:c r="L895" s="40"/>
      <x:c r="M895" s="40"/>
      <x:c r="N895" s="31" t="n">
        <x:v>335</x:v>
      </x:c>
      <x:c r="O895" s="31" t="n">
        <x:v>1268</x:v>
      </x:c>
      <x:c r="P895" s="31" t="n">
        <x:v>3.8497634069400632</x:v>
      </x:c>
      <x:c r="Q895" s="40" t="n">
        <x:v>0</x:v>
      </x:c>
      <x:c r="R895" s="40" t="n">
        <x:v>0.6182965299684543</x:v>
      </x:c>
      <x:c r="S895" s="40" t="n">
        <x:v>0.005520504731861199</x:v>
      </x:c>
      <x:c r="T895" s="31" t="n">
        <x:v>45.90500292090694</x:v>
      </x:c>
      <x:c r="U895" s="31" t="n">
        <x:v>76</x:v>
      </x:c>
      <x:c r="V895" s="31" t="n">
        <x:v>11</x:v>
      </x:c>
      <x:c r="W895" s="31" t="n">
        <x:v>3.1410622501427756</x:v>
      </x:c>
      <x:c r="X895" s="31" t="n">
        <x:v>3</x:v>
      </x:c>
      <x:c r="Y895" s="40" t="n">
        <x:v>0</x:v>
      </x:c>
      <x:c r="Z895" s="40" t="n">
        <x:v>1</x:v>
      </x:c>
      <x:c r="AA895" s="40" t="n">
        <x:v>1</x:v>
      </x:c>
      <x:c r="AB895" s="31" t="n">
        <x:v>0.28360066558483743</x:v>
      </x:c>
      <x:c r="AC895" s="31" t="n">
        <x:v>7</x:v>
      </x:c>
      <x:c r="AD895" s="44" t="b">
        <x:v>1</x:v>
      </x:c>
    </x:row>
    <x:row r="896">
      <x:c r="A896" s="31" t="str">
        <x:v>36047058200</x:v>
      </x:c>
      <x:c r="B896" s="31" t="str">
        <x:v>Brooklyn</x:v>
      </x:c>
      <x:c r="C896" s="31" t="str">
        <x:v>058200</x:v>
      </x:c>
      <x:c r="D896" s="31" t="str">
        <x:v>BK1501</x:v>
      </x:c>
      <x:c r="E896" s="31" t="str">
        <x:v>Gravesend (East)-Homecrest</x:v>
      </x:c>
      <x:c r="F896" s="31" t="n">
        <x:v>0.062351737666795796</x:v>
      </x:c>
      <x:c r="G896" s="31" t="n">
        <x:v>40.59853944578383</x:v>
      </x:c>
      <x:c r="H896" s="31" t="n">
        <x:v>-73.9592616752622</x:v>
      </x:c>
      <x:c r="I896" s="31" t="n">
        <x:v>3044</x:v>
      </x:c>
      <x:c r="J896" s="31" t="n">
        <x:v>48819.81022352522</x:v>
      </x:c>
      <x:c r="K896" s="31"/>
      <x:c r="L896" s="40"/>
      <x:c r="M896" s="40"/>
      <x:c r="N896" s="31" t="n">
        <x:v>342</x:v>
      </x:c>
      <x:c r="O896" s="31" t="n">
        <x:v>1067</x:v>
      </x:c>
      <x:c r="P896" s="31" t="n">
        <x:v>3.3743392689784444</x:v>
      </x:c>
      <x:c r="Q896" s="40" t="n">
        <x:v>0</x:v>
      </x:c>
      <x:c r="R896" s="40" t="n">
        <x:v>0.5501405810684161</x:v>
      </x:c>
      <x:c r="S896" s="40" t="n">
        <x:v>0.005623242736644799</x:v>
      </x:c>
      <x:c r="T896" s="31" t="n">
        <x:v>40.30090885443396</x:v>
      </x:c>
      <x:c r="U896" s="31" t="n">
        <x:v>68.65</x:v>
      </x:c>
      <x:c r="V896" s="31" t="n">
        <x:v>6</x:v>
      </x:c>
      <x:c r="W896" s="31" t="n">
        <x:v>1.9710906701708277</x:v>
      </x:c>
      <x:c r="X896" s="31" t="n">
        <x:v>3.177132146204311</x:v>
      </x:c>
      <x:c r="Y896" s="40" t="n">
        <x:v>0.17713214620431114</x:v>
      </x:c>
      <x:c r="Z896" s="40" t="n">
        <x:v>1</x:v>
      </x:c>
      <x:c r="AA896" s="40" t="n">
        <x:v>0.993439550140581</x:v>
      </x:c>
      <x:c r="AB896" s="31" t="n">
        <x:v>0.18695168701320028</x:v>
      </x:c>
      <x:c r="AC896" s="31" t="n">
        <x:v>7</x:v>
      </x:c>
      <x:c r="AD896" s="44" t="b">
        <x:v>1</x:v>
      </x:c>
    </x:row>
    <x:row r="897">
      <x:c r="A897" s="31" t="str">
        <x:v>36047058400</x:v>
      </x:c>
      <x:c r="B897" s="31" t="str">
        <x:v>Brooklyn</x:v>
      </x:c>
      <x:c r="C897" s="31" t="str">
        <x:v>058400</x:v>
      </x:c>
      <x:c r="D897" s="31" t="str">
        <x:v>BK1501</x:v>
      </x:c>
      <x:c r="E897" s="31" t="str">
        <x:v>Gravesend (East)-Homecrest</x:v>
      </x:c>
      <x:c r="F897" s="31" t="n">
        <x:v>0.07278055786056589</x:v>
      </x:c>
      <x:c r="G897" s="31" t="n">
        <x:v>40.59407666928223</x:v>
      </x:c>
      <x:c r="H897" s="31" t="n">
        <x:v>-73.95867499359414</x:v>
      </x:c>
      <x:c r="I897" s="31" t="n">
        <x:v>3797</x:v>
      </x:c>
      <x:c r="J897" s="31" t="n">
        <x:v>52170.526190172255</x:v>
      </x:c>
      <x:c r="K897" s="31"/>
      <x:c r="L897" s="40"/>
      <x:c r="M897" s="40"/>
      <x:c r="N897" s="31" t="n">
        <x:v>374</x:v>
      </x:c>
      <x:c r="O897" s="31" t="n">
        <x:v>1506</x:v>
      </x:c>
      <x:c r="P897" s="31" t="n">
        <x:v>4.354030544488712</x:v>
      </x:c>
      <x:c r="Q897" s="40" t="n">
        <x:v>0</x:v>
      </x:c>
      <x:c r="R897" s="40" t="n">
        <x:v>0.6460823373173971</x:v>
      </x:c>
      <x:c r="S897" s="40" t="n">
        <x:v>0.010624169986719787</x:v>
      </x:c>
      <x:c r="T897" s="31" t="n">
        <x:v>48.59719365003327</x:v>
      </x:c>
      <x:c r="U897" s="31" t="n">
        <x:v>66.58</x:v>
      </x:c>
      <x:c r="V897" s="31" t="n">
        <x:v>15</x:v>
      </x:c>
      <x:c r="W897" s="31" t="n">
        <x:v>3.9504872267579665</x:v>
      </x:c>
      <x:c r="X897" s="31" t="n">
        <x:v>3.0810092961487383</x:v>
      </x:c>
      <x:c r="Y897" s="40" t="n">
        <x:v>0.08100929614873838</x:v>
      </x:c>
      <x:c r="Z897" s="40" t="n">
        <x:v>1</x:v>
      </x:c>
      <x:c r="AA897" s="40" t="n">
        <x:v>0.99800796812749</x:v>
      </x:c>
      <x:c r="AB897" s="31" t="n">
        <x:v>0.12938872844799018</x:v>
      </x:c>
      <x:c r="AC897" s="31" t="n">
        <x:v>8</x:v>
      </x:c>
      <x:c r="AD897" s="44" t="b">
        <x:v>1</x:v>
      </x:c>
    </x:row>
    <x:row r="898">
      <x:c r="A898" s="31" t="str">
        <x:v>36047058600</x:v>
      </x:c>
      <x:c r="B898" s="31" t="str">
        <x:v>Brooklyn</x:v>
      </x:c>
      <x:c r="C898" s="31" t="str">
        <x:v>058600</x:v>
      </x:c>
      <x:c r="D898" s="31" t="str">
        <x:v>BK1503</x:v>
      </x:c>
      <x:c r="E898" s="31" t="str">
        <x:v>Sheepshead Bay-Manhattan Beach-Gerritsen Beach</x:v>
      </x:c>
      <x:c r="F898" s="31" t="n">
        <x:v>0.06311754633551424</x:v>
      </x:c>
      <x:c r="G898" s="31" t="n">
        <x:v>40.59456305410761</x:v>
      </x:c>
      <x:c r="H898" s="31" t="n">
        <x:v>-73.95461337797583</x:v>
      </x:c>
      <x:c r="I898" s="31" t="n">
        <x:v>2655</x:v>
      </x:c>
      <x:c r="J898" s="31" t="n">
        <x:v>42064.37281143351</x:v>
      </x:c>
      <x:c r="K898" s="31"/>
      <x:c r="L898" s="40"/>
      <x:c r="M898" s="40"/>
      <x:c r="N898" s="31" t="n">
        <x:v>425</x:v>
      </x:c>
      <x:c r="O898" s="31" t="n">
        <x:v>761</x:v>
      </x:c>
      <x:c r="P898" s="31" t="n">
        <x:v>2.359395532194481</x:v>
      </x:c>
      <x:c r="Q898" s="40" t="n">
        <x:v>0</x:v>
      </x:c>
      <x:c r="R898" s="40" t="n">
        <x:v>0.3324572930354796</x:v>
      </x:c>
      <x:c r="S898" s="40" t="n">
        <x:v>0.02890932982917214</x:v>
      </x:c>
      <x:c r="T898" s="31" t="n">
        <x:v>29.75178580984231</x:v>
      </x:c>
      <x:c r="U898" s="31" t="n">
        <x:v>66.18</x:v>
      </x:c>
      <x:c r="V898" s="31" t="n">
        <x:v>4</x:v>
      </x:c>
      <x:c r="W898" s="31" t="n">
        <x:v>1.5065913370998116</x:v>
      </x:c>
      <x:c r="X898" s="31" t="n">
        <x:v>3</x:v>
      </x:c>
      <x:c r="Y898" s="40" t="n">
        <x:v>0</x:v>
      </x:c>
      <x:c r="Z898" s="40" t="n">
        <x:v>1</x:v>
      </x:c>
      <x:c r="AA898" s="40" t="n">
        <x:v>1</x:v>
      </x:c>
      <x:c r="AB898" s="31" t="n">
        <x:v>0.2828017899538222</x:v>
      </x:c>
      <x:c r="AC898" s="31" t="n">
        <x:v>6</x:v>
      </x:c>
      <x:c r="AD898" s="44" t="b">
        <x:v>1</x:v>
      </x:c>
    </x:row>
    <x:row r="899">
      <x:c r="A899" s="31" t="str">
        <x:v>36047058800</x:v>
      </x:c>
      <x:c r="B899" s="31" t="str">
        <x:v>Brooklyn</x:v>
      </x:c>
      <x:c r="C899" s="31" t="str">
        <x:v>058800</x:v>
      </x:c>
      <x:c r="D899" s="31" t="str">
        <x:v>BK1501</x:v>
      </x:c>
      <x:c r="E899" s="31" t="str">
        <x:v>Gravesend (East)-Homecrest</x:v>
      </x:c>
      <x:c r="F899" s="31" t="n">
        <x:v>0.061643448575958444</x:v>
      </x:c>
      <x:c r="G899" s="31" t="n">
        <x:v>40.58962260760269</x:v>
      </x:c>
      <x:c r="H899" s="31" t="n">
        <x:v>-73.95854717918266</x:v>
      </x:c>
      <x:c r="I899" s="31" t="n">
        <x:v>3532</x:v>
      </x:c>
      <x:c r="J899" s="31" t="n">
        <x:v>57297.24863864146</x:v>
      </x:c>
      <x:c r="K899" s="31"/>
      <x:c r="L899" s="40"/>
      <x:c r="M899" s="40"/>
      <x:c r="N899" s="31" t="n">
        <x:v>252</x:v>
      </x:c>
      <x:c r="O899" s="31" t="n">
        <x:v>1545</x:v>
      </x:c>
      <x:c r="P899" s="31" t="n">
        <x:v>4.6142578125</x:v>
      </x:c>
      <x:c r="Q899" s="40" t="n">
        <x:v>0</x:v>
      </x:c>
      <x:c r="R899" s="40" t="n">
        <x:v>0.7229773462783171</x:v>
      </x:c>
      <x:c r="S899" s="40" t="n">
        <x:v>0.027184466019417475</x:v>
      </x:c>
      <x:c r="T899" s="31" t="n">
        <x:v>51.76689348527508</x:v>
      </x:c>
      <x:c r="U899" s="31" t="n">
        <x:v>68.71</x:v>
      </x:c>
      <x:c r="V899" s="31" t="n">
        <x:v>19</x:v>
      </x:c>
      <x:c r="W899" s="31" t="n">
        <x:v>5.379388448471121</x:v>
      </x:c>
      <x:c r="X899" s="31" t="n">
        <x:v>3</x:v>
      </x:c>
      <x:c r="Y899" s="40" t="n">
        <x:v>0</x:v>
      </x:c>
      <x:c r="Z899" s="40" t="n">
        <x:v>1</x:v>
      </x:c>
      <x:c r="AA899" s="40" t="n">
        <x:v>1</x:v>
      </x:c>
      <x:c r="AB899" s="31" t="n">
        <x:v>0.24378408510677047</x:v>
      </x:c>
      <x:c r="AC899" s="31" t="n">
        <x:v>5</x:v>
      </x:c>
      <x:c r="AD899" s="44" t="b">
        <x:v>1</x:v>
      </x:c>
    </x:row>
    <x:row r="900">
      <x:c r="A900" s="31" t="str">
        <x:v>36047058901</x:v>
      </x:c>
      <x:c r="B900" s="31" t="str">
        <x:v>Brooklyn</x:v>
      </x:c>
      <x:c r="C900" s="31" t="str">
        <x:v>058901</x:v>
      </x:c>
      <x:c r="D900" s="31" t="str">
        <x:v>BK0101</x:v>
      </x:c>
      <x:c r="E900" s="31" t="str">
        <x:v>Greenpoint</x:v>
      </x:c>
      <x:c r="F900" s="31" t="n">
        <x:v>0.07784709083053547</x:v>
      </x:c>
      <x:c r="G900" s="31" t="n">
        <x:v>40.72837102083641</x:v>
      </x:c>
      <x:c r="H900" s="31" t="n">
        <x:v>-73.943554112708</x:v>
      </x:c>
      <x:c r="I900" s="31" t="n">
        <x:v>1781</x:v>
      </x:c>
      <x:c r="J900" s="31" t="n">
        <x:v>22878.183127960947</x:v>
      </x:c>
      <x:c r="K900" s="31"/>
      <x:c r="L900" s="40"/>
      <x:c r="M900" s="40"/>
      <x:c r="N900" s="31" t="n">
        <x:v>253</x:v>
      </x:c>
      <x:c r="O900" s="31" t="n">
        <x:v>870</x:v>
      </x:c>
      <x:c r="P900" s="31" t="n">
        <x:v>3.061200923787529</x:v>
      </x:c>
      <x:c r="Q900" s="40" t="n">
        <x:v>0</x:v>
      </x:c>
      <x:c r="R900" s="40" t="n">
        <x:v>0.8494252873563218</x:v>
      </x:c>
      <x:c r="S900" s="40" t="n">
        <x:v>0.0022988505747126436</x:v>
      </x:c>
      <x:c r="T900" s="31" t="n">
        <x:v>38.002007389162564</x:v>
      </x:c>
      <x:c r="U900" s="31" t="n">
        <x:v>56</x:v>
      </x:c>
      <x:c r="V900" s="31" t="n">
        <x:v>4</x:v>
      </x:c>
      <x:c r="W900" s="31" t="n">
        <x:v>2.2459292532285233</x:v>
      </x:c>
      <x:c r="X900" s="31" t="n">
        <x:v>3</x:v>
      </x:c>
      <x:c r="Y900" s="40" t="n">
        <x:v>0</x:v>
      </x:c>
      <x:c r="Z900" s="40" t="n">
        <x:v>1</x:v>
      </x:c>
      <x:c r="AA900" s="40" t="n">
        <x:v>0.9333333333333333</x:v>
      </x:c>
      <x:c r="AB900" s="31" t="n">
        <x:v>0.334385112611546</x:v>
      </x:c>
      <x:c r="AC900" s="31" t="n">
        <x:v>6</x:v>
      </x:c>
      <x:c r="AD900" s="44" t="b">
        <x:v>1</x:v>
      </x:c>
    </x:row>
    <x:row r="901">
      <x:c r="A901" s="31" t="str">
        <x:v>36047058902</x:v>
      </x:c>
      <x:c r="B901" s="31" t="str">
        <x:v>Brooklyn</x:v>
      </x:c>
      <x:c r="C901" s="31" t="str">
        <x:v>058902</x:v>
      </x:c>
      <x:c r="D901" s="31" t="str">
        <x:v>BK0101</x:v>
      </x:c>
      <x:c r="E901" s="31" t="str">
        <x:v>Greenpoint</x:v>
      </x:c>
      <x:c r="F901" s="31" t="n">
        <x:v>0.08623255428539658</x:v>
      </x:c>
      <x:c r="G901" s="31" t="n">
        <x:v>40.72948627823505</x:v>
      </x:c>
      <x:c r="H901" s="31" t="n">
        <x:v>-73.93907731802365</x:v>
      </x:c>
      <x:c r="I901" s="31" t="n">
        <x:v>0</x:v>
      </x:c>
      <x:c r="J901" s="31" t="n">
        <x:v>0</x:v>
      </x:c>
      <x:c r="K901" s="31"/>
      <x:c r="L901" s="40"/>
      <x:c r="M901" s="40"/>
      <x:c r="N901" s="31" t="n">
        <x:v>0</x:v>
      </x:c>
      <x:c r="O901" s="31"/>
      <x:c r="P901" s="31"/>
      <x:c r="Q901" s="40"/>
      <x:c r="R901" s="40"/>
      <x:c r="S901" s="40"/>
      <x:c r="T901" s="31"/>
      <x:c r="U901" s="31"/>
      <x:c r="V901" s="31" t="n">
        <x:v>0</x:v>
      </x:c>
      <x:c r="W901" s="31"/>
      <x:c r="X901" s="31"/>
      <x:c r="Y901" s="40"/>
      <x:c r="Z901" s="40"/>
      <x:c r="AA901" s="40"/>
      <x:c r="AB901" s="31" t="n">
        <x:v>0.4305224242353976</x:v>
      </x:c>
      <x:c r="AC901" s="31" t="n">
        <x:v>4</x:v>
      </x:c>
      <x:c r="AD901" s="44" t="b">
        <x:v>0</x:v>
      </x:c>
    </x:row>
    <x:row r="902">
      <x:c r="A902" s="31" t="str">
        <x:v>36047059000</x:v>
      </x:c>
      <x:c r="B902" s="31" t="str">
        <x:v>Brooklyn</x:v>
      </x:c>
      <x:c r="C902" s="31" t="str">
        <x:v>059000</x:v>
      </x:c>
      <x:c r="D902" s="31" t="str">
        <x:v>BK1503</x:v>
      </x:c>
      <x:c r="E902" s="31" t="str">
        <x:v>Sheepshead Bay-Manhattan Beach-Gerritsen Beach</x:v>
      </x:c>
      <x:c r="F902" s="31" t="n">
        <x:v>0.06112580837530131</x:v>
      </x:c>
      <x:c r="G902" s="31" t="n">
        <x:v>40.58998860162939</x:v>
      </x:c>
      <x:c r="H902" s="31" t="n">
        <x:v>-73.95468580875351</x:v>
      </x:c>
      <x:c r="I902" s="31" t="n">
        <x:v>2014</x:v>
      </x:c>
      <x:c r="J902" s="31" t="n">
        <x:v>32948.43951403321</x:v>
      </x:c>
      <x:c r="K902" s="31"/>
      <x:c r="L902" s="40"/>
      <x:c r="M902" s="40"/>
      <x:c r="N902" s="31" t="n">
        <x:v>290</x:v>
      </x:c>
      <x:c r="O902" s="31" t="n">
        <x:v>668</x:v>
      </x:c>
      <x:c r="P902" s="31" t="n">
        <x:v>2.3581586826347305</x:v>
      </x:c>
      <x:c r="Q902" s="40" t="n">
        <x:v>0</x:v>
      </x:c>
      <x:c r="R902" s="40" t="n">
        <x:v>0.2904191616766467</x:v>
      </x:c>
      <x:c r="S902" s="40" t="n">
        <x:v>0.02844311377245509</x:v>
      </x:c>
      <x:c r="T902" s="31" t="n">
        <x:v>28.780891615195785</x:v>
      </x:c>
      <x:c r="U902" s="31" t="n">
        <x:v>69</x:v>
      </x:c>
      <x:c r="V902" s="31" t="n">
        <x:v>4</x:v>
      </x:c>
      <x:c r="W902" s="31" t="n">
        <x:v>1.9860973187686195</x:v>
      </x:c>
      <x:c r="X902" s="31" t="n">
        <x:v>3</x:v>
      </x:c>
      <x:c r="Y902" s="40" t="n">
        <x:v>0</x:v>
      </x:c>
      <x:c r="Z902" s="40" t="n">
        <x:v>1</x:v>
      </x:c>
      <x:c r="AA902" s="40" t="n">
        <x:v>0.9940119760479041</x:v>
      </x:c>
      <x:c r="AB902" s="31" t="n">
        <x:v>0.17025616271363345</x:v>
      </x:c>
      <x:c r="AC902" s="31" t="n">
        <x:v>6</x:v>
      </x:c>
      <x:c r="AD902" s="44" t="b">
        <x:v>1</x:v>
      </x:c>
    </x:row>
    <x:row r="903">
      <x:c r="A903" s="31" t="str">
        <x:v>36047059100</x:v>
      </x:c>
      <x:c r="B903" s="31" t="str">
        <x:v>Brooklyn</x:v>
      </x:c>
      <x:c r="C903" s="31" t="str">
        <x:v>059100</x:v>
      </x:c>
      <x:c r="D903" s="31" t="str">
        <x:v>BK0101</x:v>
      </x:c>
      <x:c r="E903" s="31" t="str">
        <x:v>Greenpoint</x:v>
      </x:c>
      <x:c r="F903" s="31" t="n">
        <x:v>0.07399015624318468</x:v>
      </x:c>
      <x:c r="G903" s="31" t="n">
        <x:v>40.72353731092177</x:v>
      </x:c>
      <x:c r="H903" s="31" t="n">
        <x:v>-73.9429295415118</x:v>
      </x:c>
      <x:c r="I903" s="31" t="n">
        <x:v>3856</x:v>
      </x:c>
      <x:c r="J903" s="31" t="n">
        <x:v>52115.04064576402</x:v>
      </x:c>
      <x:c r="K903" s="31"/>
      <x:c r="L903" s="40"/>
      <x:c r="M903" s="40"/>
      <x:c r="N903" s="31" t="n">
        <x:v>468</x:v>
      </x:c>
      <x:c r="O903" s="31" t="n">
        <x:v>1970</x:v>
      </x:c>
      <x:c r="P903" s="31" t="n">
        <x:v>3.082906857727738</x:v>
      </x:c>
      <x:c r="Q903" s="40" t="n">
        <x:v>0</x:v>
      </x:c>
      <x:c r="R903" s="40" t="n">
        <x:v>0.7913705583756345</x:v>
      </x:c>
      <x:c r="S903" s="40" t="n">
        <x:v>0.013705583756345178</x:v>
      </x:c>
      <x:c r="T903" s="31" t="n">
        <x:v>39.63850617085347</x:v>
      </x:c>
      <x:c r="U903" s="31" t="n">
        <x:v>93</x:v>
      </x:c>
      <x:c r="V903" s="31" t="n">
        <x:v>4</x:v>
      </x:c>
      <x:c r="W903" s="31" t="n">
        <x:v>1.037344398340249</x:v>
      </x:c>
      <x:c r="X903" s="31" t="n">
        <x:v>3</x:v>
      </x:c>
      <x:c r="Y903" s="40" t="n">
        <x:v>0</x:v>
      </x:c>
      <x:c r="Z903" s="40" t="n">
        <x:v>1</x:v>
      </x:c>
      <x:c r="AA903" s="40" t="n">
        <x:v>0.9873096446700508</x:v>
      </x:c>
      <x:c r="AB903" s="31" t="n">
        <x:v>0.04800672474669932</x:v>
      </x:c>
      <x:c r="AC903" s="31" t="n">
        <x:v>6</x:v>
      </x:c>
      <x:c r="AD903" s="44" t="b">
        <x:v>1</x:v>
      </x:c>
    </x:row>
    <x:row r="904">
      <x:c r="A904" s="31" t="str">
        <x:v>36047059200</x:v>
      </x:c>
      <x:c r="B904" s="31" t="str">
        <x:v>Brooklyn</x:v>
      </x:c>
      <x:c r="C904" s="31" t="str">
        <x:v>059200</x:v>
      </x:c>
      <x:c r="D904" s="31" t="str">
        <x:v>BK1503</x:v>
      </x:c>
      <x:c r="E904" s="31" t="str">
        <x:v>Sheepshead Bay-Manhattan Beach-Gerritsen Beach</x:v>
      </x:c>
      <x:c r="F904" s="31" t="n">
        <x:v>0.08465685916587752</x:v>
      </x:c>
      <x:c r="G904" s="31" t="n">
        <x:v>40.59233810355563</x:v>
      </x:c>
      <x:c r="H904" s="31" t="n">
        <x:v>-73.9514509169938</x:v>
      </x:c>
      <x:c r="I904" s="31" t="n">
        <x:v>4268</x:v>
      </x:c>
      <x:c r="J904" s="31" t="n">
        <x:v>50415.288755719565</x:v>
      </x:c>
      <x:c r="K904" s="31"/>
      <x:c r="L904" s="40"/>
      <x:c r="M904" s="40"/>
      <x:c r="N904" s="31" t="n">
        <x:v>379</x:v>
      </x:c>
      <x:c r="O904" s="31" t="n">
        <x:v>1735</x:v>
      </x:c>
      <x:c r="P904" s="31" t="n">
        <x:v>4.3072046109510085</x:v>
      </x:c>
      <x:c r="Q904" s="40" t="n">
        <x:v>0</x:v>
      </x:c>
      <x:c r="R904" s="40" t="n">
        <x:v>0.7123919308357348</x:v>
      </x:c>
      <x:c r="S904" s="40" t="n">
        <x:v>0.009798270893371758</x:v>
      </x:c>
      <x:c r="T904" s="31" t="n">
        <x:v>47.63720305561384</x:v>
      </x:c>
      <x:c r="U904" s="31" t="n">
        <x:v>75</x:v>
      </x:c>
      <x:c r="V904" s="31" t="n">
        <x:v>26</x:v>
      </x:c>
      <x:c r="W904" s="31" t="n">
        <x:v>6.091846298031865</x:v>
      </x:c>
      <x:c r="X904" s="31" t="n">
        <x:v>3</x:v>
      </x:c>
      <x:c r="Y904" s="40" t="n">
        <x:v>0</x:v>
      </x:c>
      <x:c r="Z904" s="40" t="n">
        <x:v>1</x:v>
      </x:c>
      <x:c r="AA904" s="40" t="n">
        <x:v>1</x:v>
      </x:c>
      <x:c r="AB904" s="31" t="n">
        <x:v>0.08862137144586021</x:v>
      </x:c>
      <x:c r="AC904" s="31" t="n">
        <x:v>8</x:v>
      </x:c>
      <x:c r="AD904" s="44" t="b">
        <x:v>1</x:v>
      </x:c>
    </x:row>
    <x:row r="905">
      <x:c r="A905" s="31" t="str">
        <x:v>36047059300</x:v>
      </x:c>
      <x:c r="B905" s="31" t="str">
        <x:v>Brooklyn</x:v>
      </x:c>
      <x:c r="C905" s="31" t="str">
        <x:v>059300</x:v>
      </x:c>
      <x:c r="D905" s="31" t="str">
        <x:v>BK0101</x:v>
      </x:c>
      <x:c r="E905" s="31" t="str">
        <x:v>Greenpoint</x:v>
      </x:c>
      <x:c r="F905" s="31" t="n">
        <x:v>0.07295909339811467</x:v>
      </x:c>
      <x:c r="G905" s="31" t="n">
        <x:v>40.72598857502391</x:v>
      </x:c>
      <x:c r="H905" s="31" t="n">
        <x:v>-73.93832893594649</x:v>
      </x:c>
      <x:c r="I905" s="31" t="n">
        <x:v>2274</x:v>
      </x:c>
      <x:c r="J905" s="31" t="n">
        <x:v>31168.150453727572</x:v>
      </x:c>
      <x:c r="K905" s="31"/>
      <x:c r="L905" s="40"/>
      <x:c r="M905" s="40"/>
      <x:c r="N905" s="31" t="n">
        <x:v>285</x:v>
      </x:c>
      <x:c r="O905" s="31" t="n">
        <x:v>1000</x:v>
      </x:c>
      <x:c r="P905" s="31" t="n">
        <x:v>3.027</x:v>
      </x:c>
      <x:c r="Q905" s="40" t="n">
        <x:v>0</x:v>
      </x:c>
      <x:c r="R905" s="40" t="n">
        <x:v>0.743</x:v>
      </x:c>
      <x:c r="S905" s="40" t="n">
        <x:v>0.005</x:v>
      </x:c>
      <x:c r="T905" s="31" t="n">
        <x:v>37.856337311889995</x:v>
      </x:c>
      <x:c r="U905" s="31" t="n">
        <x:v>66.9843407</x:v>
      </x:c>
      <x:c r="V905" s="31" t="n">
        <x:v>2</x:v>
      </x:c>
      <x:c r="W905" s="31" t="n">
        <x:v>0.8795074758135445</x:v>
      </x:c>
      <x:c r="X905" s="31" t="n">
        <x:v>3</x:v>
      </x:c>
      <x:c r="Y905" s="40" t="n">
        <x:v>0</x:v>
      </x:c>
      <x:c r="Z905" s="40" t="n">
        <x:v>1</x:v>
      </x:c>
      <x:c r="AA905" s="40" t="n">
        <x:v>1</x:v>
      </x:c>
      <x:c r="AB905" s="31" t="n">
        <x:v>0.2519057036360246</x:v>
      </x:c>
      <x:c r="AC905" s="31" t="n">
        <x:v>5</x:v>
      </x:c>
      <x:c r="AD905" s="44" t="b">
        <x:v>1</x:v>
      </x:c>
    </x:row>
    <x:row r="906">
      <x:c r="A906" s="31" t="str">
        <x:v>36047059402</x:v>
      </x:c>
      <x:c r="B906" s="31" t="str">
        <x:v>Brooklyn</x:v>
      </x:c>
      <x:c r="C906" s="31" t="str">
        <x:v>059402</x:v>
      </x:c>
      <x:c r="D906" s="31" t="str">
        <x:v>BK1503</x:v>
      </x:c>
      <x:c r="E906" s="31" t="str">
        <x:v>Sheepshead Bay-Manhattan Beach-Gerritsen Beach</x:v>
      </x:c>
      <x:c r="F906" s="31" t="n">
        <x:v>0.1244890751682306</x:v>
      </x:c>
      <x:c r="G906" s="31" t="n">
        <x:v>40.59461429919372</x:v>
      </x:c>
      <x:c r="H906" s="31" t="n">
        <x:v>-73.94301806285257</x:v>
      </x:c>
      <x:c r="I906" s="31" t="n">
        <x:v>5105</x:v>
      </x:c>
      <x:c r="J906" s="31" t="n">
        <x:v>41007.614468187385</x:v>
      </x:c>
      <x:c r="K906" s="31"/>
      <x:c r="L906" s="40"/>
      <x:c r="M906" s="40"/>
      <x:c r="N906" s="31" t="n">
        <x:v>883</x:v>
      </x:c>
      <x:c r="O906" s="31" t="n">
        <x:v>2029</x:v>
      </x:c>
      <x:c r="P906" s="31" t="n">
        <x:v>2.7821586988664366</x:v>
      </x:c>
      <x:c r="Q906" s="40" t="n">
        <x:v>0</x:v>
      </x:c>
      <x:c r="R906" s="40" t="n">
        <x:v>0.2681123706259241</x:v>
      </x:c>
      <x:c r="S906" s="40" t="n">
        <x:v>0</x:v>
      </x:c>
      <x:c r="T906" s="31" t="n">
        <x:v>33.71821406218334</x:v>
      </x:c>
      <x:c r="U906" s="31" t="n">
        <x:v>68.24048648</x:v>
      </x:c>
      <x:c r="V906" s="31" t="n">
        <x:v>10</x:v>
      </x:c>
      <x:c r="W906" s="31" t="n">
        <x:v>1.9588638589618022</x:v>
      </x:c>
      <x:c r="X906" s="31" t="n">
        <x:v>3</x:v>
      </x:c>
      <x:c r="Y906" s="40" t="n">
        <x:v>0</x:v>
      </x:c>
      <x:c r="Z906" s="40" t="n">
        <x:v>1</x:v>
      </x:c>
      <x:c r="AA906" s="40" t="n">
        <x:v>1</x:v>
      </x:c>
      <x:c r="AB906" s="31" t="n">
        <x:v>0.09917607316005471</x:v>
      </x:c>
      <x:c r="AC906" s="31" t="n">
        <x:v>7</x:v>
      </x:c>
      <x:c r="AD906" s="44" t="b">
        <x:v>1</x:v>
      </x:c>
    </x:row>
    <x:row r="907">
      <x:c r="A907" s="31" t="str">
        <x:v>36047059403</x:v>
      </x:c>
      <x:c r="B907" s="31" t="str">
        <x:v>Brooklyn</x:v>
      </x:c>
      <x:c r="C907" s="31" t="str">
        <x:v>059403</x:v>
      </x:c>
      <x:c r="D907" s="31" t="str">
        <x:v>BK1503</x:v>
      </x:c>
      <x:c r="E907" s="31" t="str">
        <x:v>Sheepshead Bay-Manhattan Beach-Gerritsen Beach</x:v>
      </x:c>
      <x:c r="F907" s="31" t="n">
        <x:v>0.07982828961992079</x:v>
      </x:c>
      <x:c r="G907" s="31" t="n">
        <x:v>40.59527076506675</x:v>
      </x:c>
      <x:c r="H907" s="31" t="n">
        <x:v>-73.94819005948206</x:v>
      </x:c>
      <x:c r="I907" s="31" t="n">
        <x:v>3779</x:v>
      </x:c>
      <x:c r="J907" s="31" t="n">
        <x:v>47339.107702201945</x:v>
      </x:c>
      <x:c r="K907" s="31"/>
      <x:c r="L907" s="40"/>
      <x:c r="M907" s="40"/>
      <x:c r="N907" s="31" t="n">
        <x:v>505</x:v>
      </x:c>
      <x:c r="O907" s="31" t="n">
        <x:v>1453</x:v>
      </x:c>
      <x:c r="P907" s="31" t="n">
        <x:v>3.4707501720578113</x:v>
      </x:c>
      <x:c r="Q907" s="40" t="n">
        <x:v>0</x:v>
      </x:c>
      <x:c r="R907" s="40" t="n">
        <x:v>0.35237439779766</x:v>
      </x:c>
      <x:c r="S907" s="40" t="n">
        <x:v>0.0013764624913971094</x:v>
      </x:c>
      <x:c r="T907" s="31" t="n">
        <x:v>39.6748192440468</x:v>
      </x:c>
      <x:c r="U907" s="31" t="n">
        <x:v>75</x:v>
      </x:c>
      <x:c r="V907" s="31" t="n">
        <x:v>11</x:v>
      </x:c>
      <x:c r="W907" s="31" t="n">
        <x:v>2.9108229690394287</x:v>
      </x:c>
      <x:c r="X907" s="31" t="n">
        <x:v>3</x:v>
      </x:c>
      <x:c r="Y907" s="40" t="n">
        <x:v>0</x:v>
      </x:c>
      <x:c r="Z907" s="40" t="n">
        <x:v>1</x:v>
      </x:c>
      <x:c r="AA907" s="40" t="n">
        <x:v>1</x:v>
      </x:c>
      <x:c r="AB907" s="31" t="n">
        <x:v>0.1301798751577688</x:v>
      </x:c>
      <x:c r="AC907" s="31" t="n">
        <x:v>5</x:v>
      </x:c>
      <x:c r="AD907" s="44" t="b">
        <x:v>1</x:v>
      </x:c>
    </x:row>
    <x:row r="908">
      <x:c r="A908" s="31" t="str">
        <x:v>36047059404</x:v>
      </x:c>
      <x:c r="B908" s="31" t="str">
        <x:v>Brooklyn</x:v>
      </x:c>
      <x:c r="C908" s="31" t="str">
        <x:v>059404</x:v>
      </x:c>
      <x:c r="D908" s="31" t="str">
        <x:v>BK1503</x:v>
      </x:c>
      <x:c r="E908" s="31" t="str">
        <x:v>Sheepshead Bay-Manhattan Beach-Gerritsen Beach</x:v>
      </x:c>
      <x:c r="F908" s="31" t="n">
        <x:v>0.0825919331439394</x:v>
      </x:c>
      <x:c r="G908" s="31" t="n">
        <x:v>40.59082890345445</x:v>
      </x:c>
      <x:c r="H908" s="31" t="n">
        <x:v>-73.94708056437753</x:v>
      </x:c>
      <x:c r="I908" s="31" t="n">
        <x:v>4426</x:v>
      </x:c>
      <x:c r="J908" s="31" t="n">
        <x:v>53588.768678975764</x:v>
      </x:c>
      <x:c r="K908" s="31"/>
      <x:c r="L908" s="40"/>
      <x:c r="M908" s="40"/>
      <x:c r="N908" s="31" t="n">
        <x:v>519</x:v>
      </x:c>
      <x:c r="O908" s="31" t="n">
        <x:v>1561</x:v>
      </x:c>
      <x:c r="P908" s="31" t="n">
        <x:v>3.2810698270339524</x:v>
      </x:c>
      <x:c r="Q908" s="40" t="n">
        <x:v>0</x:v>
      </x:c>
      <x:c r="R908" s="40" t="n">
        <x:v>0.3741191543882127</x:v>
      </x:c>
      <x:c r="S908" s="40" t="n">
        <x:v>0</x:v>
      </x:c>
      <x:c r="T908" s="31" t="n">
        <x:v>38.385725749282514</x:v>
      </x:c>
      <x:c r="U908" s="31" t="n">
        <x:v>66.70750188</x:v>
      </x:c>
      <x:c r="V908" s="31" t="n">
        <x:v>10</x:v>
      </x:c>
      <x:c r="W908" s="31" t="n">
        <x:v>2.2593764121102575</x:v>
      </x:c>
      <x:c r="X908" s="31" t="n">
        <x:v>3</x:v>
      </x:c>
      <x:c r="Y908" s="40" t="n">
        <x:v>0</x:v>
      </x:c>
      <x:c r="Z908" s="40" t="n">
        <x:v>1</x:v>
      </x:c>
      <x:c r="AA908" s="40" t="n">
        <x:v>1</x:v>
      </x:c>
      <x:c r="AB908" s="31" t="n">
        <x:v>0.24791097040389182</x:v>
      </x:c>
      <x:c r="AC908" s="31" t="n">
        <x:v>5</x:v>
      </x:c>
      <x:c r="AD908" s="44" t="b">
        <x:v>1</x:v>
      </x:c>
    </x:row>
    <x:row r="909">
      <x:c r="A909" s="31" t="str">
        <x:v>36047059600</x:v>
      </x:c>
      <x:c r="B909" s="31" t="str">
        <x:v>Brooklyn</x:v>
      </x:c>
      <x:c r="C909" s="31" t="str">
        <x:v>059600</x:v>
      </x:c>
      <x:c r="D909" s="31" t="str">
        <x:v>BK1503</x:v>
      </x:c>
      <x:c r="E909" s="31" t="str">
        <x:v>Sheepshead Bay-Manhattan Beach-Gerritsen Beach</x:v>
      </x:c>
      <x:c r="F909" s="31" t="n">
        <x:v>0.06685376632805326</x:v>
      </x:c>
      <x:c r="G909" s="31" t="n">
        <x:v>40.591096319514236</x:v>
      </x:c>
      <x:c r="H909" s="31" t="n">
        <x:v>-73.94005724950796</x:v>
      </x:c>
      <x:c r="I909" s="31" t="n">
        <x:v>2569</x:v>
      </x:c>
      <x:c r="J909" s="31" t="n">
        <x:v>38427.15438639383</x:v>
      </x:c>
      <x:c r="K909" s="31"/>
      <x:c r="L909" s="40"/>
      <x:c r="M909" s="40"/>
      <x:c r="N909" s="31" t="n">
        <x:v>193</x:v>
      </x:c>
      <x:c r="O909" s="31" t="n">
        <x:v>1164</x:v>
      </x:c>
      <x:c r="P909" s="31" t="n">
        <x:v>5.651632302405498</x:v>
      </x:c>
      <x:c r="Q909" s="40" t="n">
        <x:v>0</x:v>
      </x:c>
      <x:c r="R909" s="40" t="n">
        <x:v>0.7405498281786942</x:v>
      </x:c>
      <x:c r="S909" s="40" t="n">
        <x:v>0.6735395189003437</x:v>
      </x:c>
      <x:c r="T909" s="31" t="n">
        <x:v>53.79887142874459</x:v>
      </x:c>
      <x:c r="U909" s="31" t="n">
        <x:v>72.0435785</x:v>
      </x:c>
      <x:c r="V909" s="31" t="n">
        <x:v>14</x:v>
      </x:c>
      <x:c r="W909" s="31" t="n">
        <x:v>5.449591280653951</x:v>
      </x:c>
      <x:c r="X909" s="31" t="n">
        <x:v>3</x:v>
      </x:c>
      <x:c r="Y909" s="40" t="n">
        <x:v>0</x:v>
      </x:c>
      <x:c r="Z909" s="40" t="n">
        <x:v>1</x:v>
      </x:c>
      <x:c r="AA909" s="40" t="n">
        <x:v>0.7938144329896907</x:v>
      </x:c>
      <x:c r="AB909" s="31" t="n">
        <x:v>0.06927960243776923</x:v>
      </x:c>
      <x:c r="AC909" s="31" t="n">
        <x:v>6</x:v>
      </x:c>
      <x:c r="AD909" s="44" t="b">
        <x:v>1</x:v>
      </x:c>
    </x:row>
    <x:row r="910">
      <x:c r="A910" s="31" t="str">
        <x:v>36047059800</x:v>
      </x:c>
      <x:c r="B910" s="31" t="str">
        <x:v>Brooklyn</x:v>
      </x:c>
      <x:c r="C910" s="31" t="str">
        <x:v>059800</x:v>
      </x:c>
      <x:c r="D910" s="31" t="str">
        <x:v>BK1503</x:v>
      </x:c>
      <x:c r="E910" s="31" t="str">
        <x:v>Sheepshead Bay-Manhattan Beach-Gerritsen Beach</x:v>
      </x:c>
      <x:c r="F910" s="31" t="n">
        <x:v>0.07695102849948347</x:v>
      </x:c>
      <x:c r="G910" s="31" t="n">
        <x:v>40.58789695565311</x:v>
      </x:c>
      <x:c r="H910" s="31" t="n">
        <x:v>-73.93623544727897</x:v>
      </x:c>
      <x:c r="I910" s="31" t="n">
        <x:v>3617</x:v>
      </x:c>
      <x:c r="J910" s="31" t="n">
        <x:v>47003.92016234427</x:v>
      </x:c>
      <x:c r="K910" s="31"/>
      <x:c r="L910" s="40"/>
      <x:c r="M910" s="40"/>
      <x:c r="N910" s="31" t="n">
        <x:v>415</x:v>
      </x:c>
      <x:c r="O910" s="31" t="n">
        <x:v>1333</x:v>
      </x:c>
      <x:c r="P910" s="31" t="n">
        <x:v>3.987809452363091</x:v>
      </x:c>
      <x:c r="Q910" s="40" t="n">
        <x:v>0</x:v>
      </x:c>
      <x:c r="R910" s="40" t="n">
        <x:v>0.7524381095273819</x:v>
      </x:c>
      <x:c r="S910" s="40" t="n">
        <x:v>0</x:v>
      </x:c>
      <x:c r="T910" s="31" t="n">
        <x:v>44.03261266998499</x:v>
      </x:c>
      <x:c r="U910" s="31" t="n">
        <x:v>67.18823886</x:v>
      </x:c>
      <x:c r="V910" s="31" t="n">
        <x:v>8</x:v>
      </x:c>
      <x:c r="W910" s="31" t="n">
        <x:v>2.211777716339508</x:v>
      </x:c>
      <x:c r="X910" s="31" t="n">
        <x:v>3</x:v>
      </x:c>
      <x:c r="Y910" s="40" t="n">
        <x:v>0</x:v>
      </x:c>
      <x:c r="Z910" s="40" t="n">
        <x:v>1</x:v>
      </x:c>
      <x:c r="AA910" s="40" t="n">
        <x:v>1</x:v>
      </x:c>
      <x:c r="AB910" s="31" t="n">
        <x:v>0.202989926159514</x:v>
      </x:c>
      <x:c r="AC910" s="31" t="n">
        <x:v>7</x:v>
      </x:c>
      <x:c r="AD910" s="44" t="b">
        <x:v>1</x:v>
      </x:c>
    </x:row>
    <x:row r="911">
      <x:c r="A911" s="31" t="str">
        <x:v>36047060000</x:v>
      </x:c>
      <x:c r="B911" s="31" t="str">
        <x:v>Brooklyn</x:v>
      </x:c>
      <x:c r="C911" s="31" t="str">
        <x:v>060000</x:v>
      </x:c>
      <x:c r="D911" s="31" t="str">
        <x:v>BK1503</x:v>
      </x:c>
      <x:c r="E911" s="31" t="str">
        <x:v>Sheepshead Bay-Manhattan Beach-Gerritsen Beach</x:v>
      </x:c>
      <x:c r="F911" s="31" t="n">
        <x:v>0.16972465715894744</x:v>
      </x:c>
      <x:c r="G911" s="31" t="n">
        <x:v>40.58707375696325</x:v>
      </x:c>
      <x:c r="H911" s="31" t="n">
        <x:v>-73.94569631871266</x:v>
      </x:c>
      <x:c r="I911" s="31" t="n">
        <x:v>6844</x:v>
      </x:c>
      <x:c r="J911" s="31" t="n">
        <x:v>40324.135070077544</x:v>
      </x:c>
      <x:c r="K911" s="31"/>
      <x:c r="L911" s="40"/>
      <x:c r="M911" s="40"/>
      <x:c r="N911" s="31" t="n">
        <x:v>711</x:v>
      </x:c>
      <x:c r="O911" s="31" t="n">
        <x:v>2908</x:v>
      </x:c>
      <x:c r="P911" s="31" t="n">
        <x:v>4.069085514834206</x:v>
      </x:c>
      <x:c r="Q911" s="40" t="n">
        <x:v>0.013755158184319119</x:v>
      </x:c>
      <x:c r="R911" s="40" t="n">
        <x:v>0.6354883081155434</x:v>
      </x:c>
      <x:c r="S911" s="40" t="n">
        <x:v>0.10213204951856947</x:v>
      </x:c>
      <x:c r="T911" s="31" t="n">
        <x:v>46.63942788854382</x:v>
      </x:c>
      <x:c r="U911" s="31" t="n">
        <x:v>83.33</x:v>
      </x:c>
      <x:c r="V911" s="31" t="n">
        <x:v>37</x:v>
      </x:c>
      <x:c r="W911" s="31" t="n">
        <x:v>5.406195207481005</x:v>
      </x:c>
      <x:c r="X911" s="31" t="n">
        <x:v>3</x:v>
      </x:c>
      <x:c r="Y911" s="40" t="n">
        <x:v>0</x:v>
      </x:c>
      <x:c r="Z911" s="40" t="n">
        <x:v>1</x:v>
      </x:c>
      <x:c r="AA911" s="40" t="n">
        <x:v>0.9965612104539202</x:v>
      </x:c>
      <x:c r="AB911" s="31" t="n">
        <x:v>0.2996015436510578</x:v>
      </x:c>
      <x:c r="AC911" s="31" t="n">
        <x:v>8</x:v>
      </x:c>
      <x:c r="AD911" s="44" t="b">
        <x:v>1</x:v>
      </x:c>
    </x:row>
    <x:row r="912">
      <x:c r="A912" s="31" t="str">
        <x:v>36047060600</x:v>
      </x:c>
      <x:c r="B912" s="31" t="str">
        <x:v>Brooklyn</x:v>
      </x:c>
      <x:c r="C912" s="31" t="str">
        <x:v>060600</x:v>
      </x:c>
      <x:c r="D912" s="31" t="str">
        <x:v>BK1503</x:v>
      </x:c>
      <x:c r="E912" s="31" t="str">
        <x:v>Sheepshead Bay-Manhattan Beach-Gerritsen Beach</x:v>
      </x:c>
      <x:c r="F912" s="31" t="n">
        <x:v>0.06995428668252124</x:v>
      </x:c>
      <x:c r="G912" s="31" t="n">
        <x:v>40.58645372342929</x:v>
      </x:c>
      <x:c r="H912" s="31" t="n">
        <x:v>-73.95614135400892</x:v>
      </x:c>
      <x:c r="I912" s="31" t="n">
        <x:v>3178</x:v>
      </x:c>
      <x:c r="J912" s="31" t="n">
        <x:v>45429.667726053085</x:v>
      </x:c>
      <x:c r="K912" s="31"/>
      <x:c r="L912" s="40"/>
      <x:c r="M912" s="40"/>
      <x:c r="N912" s="31" t="n">
        <x:v>160</x:v>
      </x:c>
      <x:c r="O912" s="31" t="n">
        <x:v>1432</x:v>
      </x:c>
      <x:c r="P912" s="31" t="n">
        <x:v>8.91742796907941</x:v>
      </x:c>
      <x:c r="Q912" s="40" t="n">
        <x:v>0.164804469273743</x:v>
      </x:c>
      <x:c r="R912" s="40" t="n">
        <x:v>0.672486033519553</x:v>
      </x:c>
      <x:c r="S912" s="40" t="n">
        <x:v>0.14175977653631286</x:v>
      </x:c>
      <x:c r="T912" s="31" t="n">
        <x:v>98.07028864761175</x:v>
      </x:c>
      <x:c r="U912" s="31" t="n">
        <x:v>314</x:v>
      </x:c>
      <x:c r="V912" s="31" t="n">
        <x:v>25</x:v>
      </x:c>
      <x:c r="W912" s="31" t="n">
        <x:v>7.8665827564505975</x:v>
      </x:c>
      <x:c r="X912" s="31" t="n">
        <x:v>3</x:v>
      </x:c>
      <x:c r="Y912" s="40" t="n">
        <x:v>0</x:v>
      </x:c>
      <x:c r="Z912" s="40" t="n">
        <x:v>1</x:v>
      </x:c>
      <x:c r="AA912" s="40" t="n">
        <x:v>1</x:v>
      </x:c>
      <x:c r="AB912" s="31" t="n">
        <x:v>0.05356238822015425</x:v>
      </x:c>
      <x:c r="AC912" s="31" t="n">
        <x:v>7</x:v>
      </x:c>
      <x:c r="AD912" s="44" t="b">
        <x:v>1</x:v>
      </x:c>
    </x:row>
    <x:row r="913">
      <x:c r="A913" s="31" t="str">
        <x:v>36047060800</x:v>
      </x:c>
      <x:c r="B913" s="31" t="str">
        <x:v>Brooklyn</x:v>
      </x:c>
      <x:c r="C913" s="31" t="str">
        <x:v>060800</x:v>
      </x:c>
      <x:c r="D913" s="31" t="str">
        <x:v>BK1503</x:v>
      </x:c>
      <x:c r="E913" s="31" t="str">
        <x:v>Sheepshead Bay-Manhattan Beach-Gerritsen Beach</x:v>
      </x:c>
      <x:c r="F913" s="31" t="n">
        <x:v>0.15448538699889522</x:v>
      </x:c>
      <x:c r="G913" s="31" t="n">
        <x:v>40.58426273744226</x:v>
      </x:c>
      <x:c r="H913" s="31" t="n">
        <x:v>-73.95011511064493</x:v>
      </x:c>
      <x:c r="I913" s="31" t="n">
        <x:v>4015</x:v>
      </x:c>
      <x:c r="J913" s="31" t="n">
        <x:v>25989.5131701273</x:v>
      </x:c>
      <x:c r="K913" s="31"/>
      <x:c r="L913" s="40"/>
      <x:c r="M913" s="40"/>
      <x:c r="N913" s="31" t="n">
        <x:v>198</x:v>
      </x:c>
      <x:c r="O913" s="31" t="n">
        <x:v>1949</x:v>
      </x:c>
      <x:c r="P913" s="31" t="n">
        <x:v>5.441878567721847</x:v>
      </x:c>
      <x:c r="Q913" s="40" t="n">
        <x:v>0.046177526936890714</x:v>
      </x:c>
      <x:c r="R913" s="40" t="n">
        <x:v>0.8137506413545408</x:v>
      </x:c>
      <x:c r="S913" s="40" t="n">
        <x:v>0.10159055926115956</x:v>
      </x:c>
      <x:c r="T913" s="31" t="n">
        <x:v>59.0752522439745</x:v>
      </x:c>
      <x:c r="U913" s="31" t="n">
        <x:v>147</x:v>
      </x:c>
      <x:c r="V913" s="31" t="n">
        <x:v>52</x:v>
      </x:c>
      <x:c r="W913" s="31" t="n">
        <x:v>12.951432129514322</x:v>
      </x:c>
      <x:c r="X913" s="31" t="n">
        <x:v>3</x:v>
      </x:c>
      <x:c r="Y913" s="40" t="n">
        <x:v>0</x:v>
      </x:c>
      <x:c r="Z913" s="40" t="n">
        <x:v>1</x:v>
      </x:c>
      <x:c r="AA913" s="40" t="n">
        <x:v>0.965623396613648</x:v>
      </x:c>
      <x:c r="AB913" s="31" t="n">
        <x:v>0.2087655652334745</x:v>
      </x:c>
      <x:c r="AC913" s="31" t="n">
        <x:v>9</x:v>
      </x:c>
      <x:c r="AD913" s="44" t="b">
        <x:v>1</x:v>
      </x:c>
    </x:row>
    <x:row r="914">
      <x:c r="A914" s="31" t="str">
        <x:v>36047061002</x:v>
      </x:c>
      <x:c r="B914" s="31" t="str">
        <x:v>Brooklyn</x:v>
      </x:c>
      <x:c r="C914" s="31" t="str">
        <x:v>061002</x:v>
      </x:c>
      <x:c r="D914" s="31" t="str">
        <x:v>BK1303</x:v>
      </x:c>
      <x:c r="E914" s="31" t="str">
        <x:v>Brighton Beach</x:v>
      </x:c>
      <x:c r="F914" s="31" t="n">
        <x:v>0.08718023535712235</x:v>
      </x:c>
      <x:c r="G914" s="31" t="n">
        <x:v>40.57597376277728</x:v>
      </x:c>
      <x:c r="H914" s="31" t="n">
        <x:v>-73.95636718184535</x:v>
      </x:c>
      <x:c r="I914" s="31" t="n">
        <x:v>5064</x:v>
      </x:c>
      <x:c r="J914" s="31" t="n">
        <x:v>58086.560322485835</x:v>
      </x:c>
      <x:c r="K914" s="31"/>
      <x:c r="L914" s="40"/>
      <x:c r="M914" s="40"/>
      <x:c r="N914" s="31" t="n">
        <x:v>74</x:v>
      </x:c>
      <x:c r="O914" s="31" t="n">
        <x:v>2325</x:v>
      </x:c>
      <x:c r="P914" s="31" t="n">
        <x:v>10.359247311827957</x:v>
      </x:c>
      <x:c r="Q914" s="40" t="n">
        <x:v>0.429247311827957</x:v>
      </x:c>
      <x:c r="R914" s="40" t="n">
        <x:v>0.5359139784946236</x:v>
      </x:c>
      <x:c r="S914" s="40" t="n">
        <x:v>0</x:v>
      </x:c>
      <x:c r="T914" s="31" t="n">
        <x:v>108.5776994279742</x:v>
      </x:c>
      <x:c r="U914" s="31" t="n">
        <x:v>190.42</x:v>
      </x:c>
      <x:c r="V914" s="31" t="n">
        <x:v>60</x:v>
      </x:c>
      <x:c r="W914" s="31" t="n">
        <x:v>11.848341232227487</x:v>
      </x:c>
      <x:c r="X914" s="31" t="n">
        <x:v>3</x:v>
      </x:c>
      <x:c r="Y914" s="40" t="n">
        <x:v>0</x:v>
      </x:c>
      <x:c r="Z914" s="40" t="n">
        <x:v>1</x:v>
      </x:c>
      <x:c r="AA914" s="40" t="n">
        <x:v>1</x:v>
      </x:c>
      <x:c r="AB914" s="31" t="n">
        <x:v>0.2839193223520832</x:v>
      </x:c>
      <x:c r="AC914" s="31" t="n">
        <x:v>6</x:v>
      </x:c>
      <x:c r="AD914" s="44" t="b">
        <x:v>1</x:v>
      </x:c>
    </x:row>
    <x:row r="915">
      <x:c r="A915" s="31" t="str">
        <x:v>36047061003</x:v>
      </x:c>
      <x:c r="B915" s="31" t="str">
        <x:v>Brooklyn</x:v>
      </x:c>
      <x:c r="C915" s="31" t="str">
        <x:v>061003</x:v>
      </x:c>
      <x:c r="D915" s="31" t="str">
        <x:v>BK1303</x:v>
      </x:c>
      <x:c r="E915" s="31" t="str">
        <x:v>Brighton Beach</x:v>
      </x:c>
      <x:c r="F915" s="31" t="n">
        <x:v>0.03244113696851326</x:v>
      </x:c>
      <x:c r="G915" s="31" t="n">
        <x:v>40.58138267743815</x:v>
      </x:c>
      <x:c r="H915" s="31" t="n">
        <x:v>-73.95866693446862</x:v>
      </x:c>
      <x:c r="I915" s="31" t="n">
        <x:v>2418</x:v>
      </x:c>
      <x:c r="J915" s="31" t="n">
        <x:v>74534.99556279005</x:v>
      </x:c>
      <x:c r="K915" s="31"/>
      <x:c r="L915" s="40"/>
      <x:c r="M915" s="40"/>
      <x:c r="N915" s="31" t="n">
        <x:v>213</x:v>
      </x:c>
      <x:c r="O915" s="31" t="n">
        <x:v>638</x:v>
      </x:c>
      <x:c r="P915" s="31" t="n">
        <x:v>3.3036833855799372</x:v>
      </x:c>
      <x:c r="Q915" s="40" t="n">
        <x:v>0</x:v>
      </x:c>
      <x:c r="R915" s="40" t="n">
        <x:v>0.32445141065830724</x:v>
      </x:c>
      <x:c r="S915" s="40" t="n">
        <x:v>0</x:v>
      </x:c>
      <x:c r="T915" s="31" t="n">
        <x:v>38.993737078890724</x:v>
      </x:c>
      <x:c r="U915" s="31" t="n">
        <x:v>83</x:v>
      </x:c>
      <x:c r="V915" s="31" t="n">
        <x:v>9</x:v>
      </x:c>
      <x:c r="W915" s="31" t="n">
        <x:v>3.7220843672456576</x:v>
      </x:c>
      <x:c r="X915" s="31" t="n">
        <x:v>3</x:v>
      </x:c>
      <x:c r="Y915" s="40" t="n">
        <x:v>0</x:v>
      </x:c>
      <x:c r="Z915" s="40" t="n">
        <x:v>1</x:v>
      </x:c>
      <x:c r="AA915" s="40" t="n">
        <x:v>0.9467084639498433</x:v>
      </x:c>
      <x:c r="AB915" s="31" t="n">
        <x:v>0.16605387962841223</x:v>
      </x:c>
      <x:c r="AC915" s="31" t="n">
        <x:v>5</x:v>
      </x:c>
      <x:c r="AD915" s="44" t="b">
        <x:v>1</x:v>
      </x:c>
    </x:row>
    <x:row r="916">
      <x:c r="A916" s="31" t="str">
        <x:v>36047061004</x:v>
      </x:c>
      <x:c r="B916" s="31" t="str">
        <x:v>Brooklyn</x:v>
      </x:c>
      <x:c r="C916" s="31" t="str">
        <x:v>061004</x:v>
      </x:c>
      <x:c r="D916" s="31" t="str">
        <x:v>BK1303</x:v>
      </x:c>
      <x:c r="E916" s="31" t="str">
        <x:v>Brighton Beach</x:v>
      </x:c>
      <x:c r="F916" s="31" t="n">
        <x:v>0.08554645669981062</x:v>
      </x:c>
      <x:c r="G916" s="31" t="n">
        <x:v>40.57985297431796</x:v>
      </x:c>
      <x:c r="H916" s="31" t="n">
        <x:v>-73.95572593122486</x:v>
      </x:c>
      <x:c r="I916" s="31" t="n">
        <x:v>6669</x:v>
      </x:c>
      <x:c r="J916" s="31" t="n">
        <x:v>77957.64146494174</x:v>
      </x:c>
      <x:c r="K916" s="31"/>
      <x:c r="L916" s="40"/>
      <x:c r="M916" s="40"/>
      <x:c r="N916" s="31" t="n">
        <x:v>338</x:v>
      </x:c>
      <x:c r="O916" s="31" t="n">
        <x:v>3465</x:v>
      </x:c>
      <x:c r="P916" s="31" t="n">
        <x:v>5.341991341991342</x:v>
      </x:c>
      <x:c r="Q916" s="40" t="n">
        <x:v>0.0531024531024531</x:v>
      </x:c>
      <x:c r="R916" s="40" t="n">
        <x:v>0.7783549783549784</x:v>
      </x:c>
      <x:c r="S916" s="40" t="n">
        <x:v>0.0002886002886002886</x:v>
      </x:c>
      <x:c r="T916" s="31" t="n">
        <x:v>58.45647482308229</x:v>
      </x:c>
      <x:c r="U916" s="31" t="n">
        <x:v>131.49</x:v>
      </x:c>
      <x:c r="V916" s="31" t="n">
        <x:v>54</x:v>
      </x:c>
      <x:c r="W916" s="31" t="n">
        <x:v>8.097165991902834</x:v>
      </x:c>
      <x:c r="X916" s="31" t="n">
        <x:v>3</x:v>
      </x:c>
      <x:c r="Y916" s="40" t="n">
        <x:v>0</x:v>
      </x:c>
      <x:c r="Z916" s="40" t="n">
        <x:v>1</x:v>
      </x:c>
      <x:c r="AA916" s="40" t="n">
        <x:v>0.9924963924963925</x:v>
      </x:c>
      <x:c r="AB916" s="31" t="n">
        <x:v>0.02175199241226967</x:v>
      </x:c>
      <x:c r="AC916" s="31" t="n">
        <x:v>8</x:v>
      </x:c>
      <x:c r="AD916" s="44" t="b">
        <x:v>1</x:v>
      </x:c>
    </x:row>
    <x:row r="917">
      <x:c r="A917" s="31" t="str">
        <x:v>36047061200</x:v>
      </x:c>
      <x:c r="B917" s="31" t="str">
        <x:v>Brooklyn</x:v>
      </x:c>
      <x:c r="C917" s="31" t="str">
        <x:v>061200</x:v>
      </x:c>
      <x:c r="D917" s="31" t="str">
        <x:v>BK1503</x:v>
      </x:c>
      <x:c r="E917" s="31" t="str">
        <x:v>Sheepshead Bay-Manhattan Beach-Gerritsen Beach</x:v>
      </x:c>
      <x:c r="F917" s="31" t="n">
        <x:v>0.07643026465471477</x:v>
      </x:c>
      <x:c r="G917" s="31" t="n">
        <x:v>40.580887963822235</x:v>
      </x:c>
      <x:c r="H917" s="31" t="n">
        <x:v>-73.9496045098683</x:v>
      </x:c>
      <x:c r="I917" s="31" t="n">
        <x:v>1063</x:v>
      </x:c>
      <x:c r="J917" s="31" t="n">
        <x:v>13908.103089820015</x:v>
      </x:c>
      <x:c r="K917" s="31"/>
      <x:c r="L917" s="40"/>
      <x:c r="M917" s="40"/>
      <x:c r="N917" s="31" t="n">
        <x:v>250</x:v>
      </x:c>
      <x:c r="O917" s="31" t="n">
        <x:v>529</x:v>
      </x:c>
      <x:c r="P917" s="31" t="n">
        <x:v>3.716294896030246</x:v>
      </x:c>
      <x:c r="Q917" s="40" t="n">
        <x:v>0</x:v>
      </x:c>
      <x:c r="R917" s="40" t="n">
        <x:v>0.43667296786389415</x:v>
      </x:c>
      <x:c r="S917" s="40" t="n">
        <x:v>0</x:v>
      </x:c>
      <x:c r="T917" s="31" t="n">
        <x:v>43.131707860294696</x:v>
      </x:c>
      <x:c r="U917" s="31" t="n">
        <x:v>75</x:v>
      </x:c>
      <x:c r="V917" s="31" t="n">
        <x:v>16</x:v>
      </x:c>
      <x:c r="W917" s="31" t="n">
        <x:v>15.051740357478835</x:v>
      </x:c>
      <x:c r="X917" s="31" t="n">
        <x:v>3</x:v>
      </x:c>
      <x:c r="Y917" s="40" t="n">
        <x:v>0</x:v>
      </x:c>
      <x:c r="Z917" s="40" t="n">
        <x:v>1</x:v>
      </x:c>
      <x:c r="AA917" s="40" t="n">
        <x:v>0.9621928166351607</x:v>
      </x:c>
      <x:c r="AB917" s="31" t="n">
        <x:v>0.3064771551948696</x:v>
      </x:c>
      <x:c r="AC917" s="31" t="n">
        <x:v>3</x:v>
      </x:c>
      <x:c r="AD917" s="44" t="b">
        <x:v>1</x:v>
      </x:c>
    </x:row>
    <x:row r="918">
      <x:c r="A918" s="31" t="str">
        <x:v>36047061600</x:v>
      </x:c>
      <x:c r="B918" s="31" t="str">
        <x:v>Brooklyn</x:v>
      </x:c>
      <x:c r="C918" s="31" t="str">
        <x:v>061600</x:v>
      </x:c>
      <x:c r="D918" s="31" t="str">
        <x:v>BK1503</x:v>
      </x:c>
      <x:c r="E918" s="31" t="str">
        <x:v>Sheepshead Bay-Manhattan Beach-Gerritsen Beach</x:v>
      </x:c>
      <x:c r="F918" s="31" t="n">
        <x:v>0.2815820308626033</x:v>
      </x:c>
      <x:c r="G918" s="31" t="n">
        <x:v>40.57749130002705</x:v>
      </x:c>
      <x:c r="H918" s="31" t="n">
        <x:v>-73.94012706892092</x:v>
      </x:c>
      <x:c r="I918" s="31" t="n">
        <x:v>1854</x:v>
      </x:c>
      <x:c r="J918" s="31" t="n">
        <x:v>6584.226963348563</x:v>
      </x:c>
      <x:c r="K918" s="31"/>
      <x:c r="L918" s="40"/>
      <x:c r="M918" s="40"/>
      <x:c r="N918" s="31" t="n">
        <x:v>405</x:v>
      </x:c>
      <x:c r="O918" s="31" t="n">
        <x:v>591</x:v>
      </x:c>
      <x:c r="P918" s="31" t="n">
        <x:v>1.83248730964467</x:v>
      </x:c>
      <x:c r="Q918" s="40" t="n">
        <x:v>0</x:v>
      </x:c>
      <x:c r="R918" s="40" t="n">
        <x:v>0.04568527918781726</x:v>
      </x:c>
      <x:c r="S918" s="40" t="n">
        <x:v>0.00338409475465313</x:v>
      </x:c>
      <x:c r="T918" s="31" t="n">
        <x:v>27.538201061900367</x:v>
      </x:c>
      <x:c r="U918" s="31" t="n">
        <x:v>41</x:v>
      </x:c>
      <x:c r="V918" s="31" t="n">
        <x:v>18</x:v>
      </x:c>
      <x:c r="W918" s="31" t="n">
        <x:v>9.70873786407767</x:v>
      </x:c>
      <x:c r="X918" s="31" t="n">
        <x:v>3</x:v>
      </x:c>
      <x:c r="Y918" s="40" t="n">
        <x:v>0</x:v>
      </x:c>
      <x:c r="Z918" s="40" t="n">
        <x:v>1</x:v>
      </x:c>
      <x:c r="AA918" s="40" t="n">
        <x:v>0.9170896785109983</x:v>
      </x:c>
      <x:c r="AB918" s="31" t="n">
        <x:v>0.26331062202533567</x:v>
      </x:c>
      <x:c r="AC918" s="31" t="n">
        <x:v>3</x:v>
      </x:c>
      <x:c r="AD918" s="44" t="b">
        <x:v>1</x:v>
      </x:c>
    </x:row>
    <x:row r="919">
      <x:c r="A919" s="31" t="str">
        <x:v>36047062000</x:v>
      </x:c>
      <x:c r="B919" s="31" t="str">
        <x:v>Brooklyn</x:v>
      </x:c>
      <x:c r="C919" s="31" t="str">
        <x:v>062000</x:v>
      </x:c>
      <x:c r="D919" s="31" t="str">
        <x:v>BK1503</x:v>
      </x:c>
      <x:c r="E919" s="31" t="str">
        <x:v>Sheepshead Bay-Manhattan Beach-Gerritsen Beach</x:v>
      </x:c>
      <x:c r="F919" s="31" t="n">
        <x:v>0.12335504387124081</x:v>
      </x:c>
      <x:c r="G919" s="31" t="n">
        <x:v>40.57891641221722</x:v>
      </x:c>
      <x:c r="H919" s="31" t="n">
        <x:v>-73.94631837705239</x:v>
      </x:c>
      <x:c r="I919" s="31" t="n">
        <x:v>1767</x:v>
      </x:c>
      <x:c r="J919" s="31" t="n">
        <x:v>14324.50546444142</x:v>
      </x:c>
      <x:c r="K919" s="31"/>
      <x:c r="L919" s="40"/>
      <x:c r="M919" s="40"/>
      <x:c r="N919" s="31" t="n">
        <x:v>470</x:v>
      </x:c>
      <x:c r="O919" s="31" t="n">
        <x:v>703</x:v>
      </x:c>
      <x:c r="P919" s="31" t="n">
        <x:v>2.6108534850640113</x:v>
      </x:c>
      <x:c r="Q919" s="40" t="n">
        <x:v>0</x:v>
      </x:c>
      <x:c r="R919" s="40" t="n">
        <x:v>0.18776671408250356</x:v>
      </x:c>
      <x:c r="S919" s="40" t="n">
        <x:v>0.005689900426742532</x:v>
      </x:c>
      <x:c r="T919" s="31" t="n">
        <x:v>34.530453975088236</x:v>
      </x:c>
      <x:c r="U919" s="31" t="n">
        <x:v>70.96703017</x:v>
      </x:c>
      <x:c r="V919" s="31" t="n">
        <x:v>19</x:v>
      </x:c>
      <x:c r="W919" s="31" t="n">
        <x:v>10.752688172043012</x:v>
      </x:c>
      <x:c r="X919" s="31" t="n">
        <x:v>3</x:v>
      </x:c>
      <x:c r="Y919" s="40" t="n">
        <x:v>0</x:v>
      </x:c>
      <x:c r="Z919" s="40" t="n">
        <x:v>1</x:v>
      </x:c>
      <x:c r="AA919" s="40" t="n">
        <x:v>0.9672830725462305</x:v>
      </x:c>
      <x:c r="AB919" s="31" t="n">
        <x:v>0.16754713417190228</x:v>
      </x:c>
      <x:c r="AC919" s="31" t="n">
        <x:v>4</x:v>
      </x:c>
      <x:c r="AD919" s="44" t="b">
        <x:v>1</x:v>
      </x:c>
    </x:row>
    <x:row r="920">
      <x:c r="A920" s="31" t="str">
        <x:v>36047062200</x:v>
      </x:c>
      <x:c r="B920" s="31" t="str">
        <x:v>Brooklyn</x:v>
      </x:c>
      <x:c r="C920" s="31" t="str">
        <x:v>062200</x:v>
      </x:c>
      <x:c r="D920" s="31" t="str">
        <x:v>BK1503</x:v>
      </x:c>
      <x:c r="E920" s="31" t="str">
        <x:v>Sheepshead Bay-Manhattan Beach-Gerritsen Beach</x:v>
      </x:c>
      <x:c r="F920" s="31" t="n">
        <x:v>0.09646224411515725</x:v>
      </x:c>
      <x:c r="G920" s="31" t="n">
        <x:v>40.58473853656598</x:v>
      </x:c>
      <x:c r="H920" s="31" t="n">
        <x:v>-73.93523642457555</x:v>
      </x:c>
      <x:c r="I920" s="31" t="n">
        <x:v>3325</x:v>
      </x:c>
      <x:c r="J920" s="31" t="n">
        <x:v>34469.44481232049</x:v>
      </x:c>
      <x:c r="K920" s="31"/>
      <x:c r="L920" s="40"/>
      <x:c r="M920" s="40"/>
      <x:c r="N920" s="31" t="n">
        <x:v>315</x:v>
      </x:c>
      <x:c r="O920" s="31" t="n">
        <x:v>1474</x:v>
      </x:c>
      <x:c r="P920" s="31" t="n">
        <x:v>4.486454046639232</x:v>
      </x:c>
      <x:c r="Q920" s="40" t="n">
        <x:v>0</x:v>
      </x:c>
      <x:c r="R920" s="40" t="n">
        <x:v>0.7469470827679783</x:v>
      </x:c>
      <x:c r="S920" s="40" t="n">
        <x:v>0.06512890094979647</x:v>
      </x:c>
      <x:c r="T920" s="31" t="n">
        <x:v>48.6230594208339</x:v>
      </x:c>
      <x:c r="U920" s="31" t="n">
        <x:v>71.34238308</x:v>
      </x:c>
      <x:c r="V920" s="31" t="n">
        <x:v>24</x:v>
      </x:c>
      <x:c r="W920" s="31" t="n">
        <x:v>7.218045112781955</x:v>
      </x:c>
      <x:c r="X920" s="31" t="n">
        <x:v>3</x:v>
      </x:c>
      <x:c r="Y920" s="40" t="n">
        <x:v>0</x:v>
      </x:c>
      <x:c r="Z920" s="40" t="n">
        <x:v>1</x:v>
      </x:c>
      <x:c r="AA920" s="40" t="n">
        <x:v>0.9925373134328358</x:v>
      </x:c>
      <x:c r="AB920" s="31" t="n">
        <x:v>0.3057037215476538</x:v>
      </x:c>
      <x:c r="AC920" s="31" t="n">
        <x:v>5</x:v>
      </x:c>
      <x:c r="AD920" s="44" t="b">
        <x:v>1</x:v>
      </x:c>
    </x:row>
    <x:row r="921">
      <x:c r="A921" s="31" t="str">
        <x:v>36047062600</x:v>
      </x:c>
      <x:c r="B921" s="31" t="str">
        <x:v>Brooklyn</x:v>
      </x:c>
      <x:c r="C921" s="31" t="str">
        <x:v>062600</x:v>
      </x:c>
      <x:c r="D921" s="31" t="str">
        <x:v>BK1503</x:v>
      </x:c>
      <x:c r="E921" s="31" t="str">
        <x:v>Sheepshead Bay-Manhattan Beach-Gerritsen Beach</x:v>
      </x:c>
      <x:c r="F921" s="31" t="n">
        <x:v>0.12288944003529614</x:v>
      </x:c>
      <x:c r="G921" s="31" t="n">
        <x:v>40.59233457021264</x:v>
      </x:c>
      <x:c r="H921" s="31" t="n">
        <x:v>-73.9344380016126</x:v>
      </x:c>
      <x:c r="I921" s="31" t="n">
        <x:v>3152</x:v>
      </x:c>
      <x:c r="J921" s="31" t="n">
        <x:v>25649.07122283808</x:v>
      </x:c>
      <x:c r="K921" s="31"/>
      <x:c r="L921" s="40"/>
      <x:c r="M921" s="40"/>
      <x:c r="N921" s="31" t="n">
        <x:v>371</x:v>
      </x:c>
      <x:c r="O921" s="31" t="n">
        <x:v>1130</x:v>
      </x:c>
      <x:c r="P921" s="31" t="n">
        <x:v>4.4561946902654865</x:v>
      </x:c>
      <x:c r="Q921" s="40" t="n">
        <x:v>0</x:v>
      </x:c>
      <x:c r="R921" s="40" t="n">
        <x:v>0.6831858407079646</x:v>
      </x:c>
      <x:c r="S921" s="40" t="n">
        <x:v>0.315929203539823</x:v>
      </x:c>
      <x:c r="T921" s="31" t="n">
        <x:v>46.05040066310619</x:v>
      </x:c>
      <x:c r="U921" s="31" t="n">
        <x:v>76.0696519</x:v>
      </x:c>
      <x:c r="V921" s="31" t="n">
        <x:v>8</x:v>
      </x:c>
      <x:c r="W921" s="31" t="n">
        <x:v>2.5380710659898473</x:v>
      </x:c>
      <x:c r="X921" s="31" t="n">
        <x:v>3</x:v>
      </x:c>
      <x:c r="Y921" s="40" t="n">
        <x:v>0</x:v>
      </x:c>
      <x:c r="Z921" s="40" t="n">
        <x:v>1</x:v>
      </x:c>
      <x:c r="AA921" s="40" t="n">
        <x:v>1</x:v>
      </x:c>
      <x:c r="AB921" s="31" t="n">
        <x:v>0.1442954220997969</x:v>
      </x:c>
      <x:c r="AC921" s="31" t="n">
        <x:v>5</x:v>
      </x:c>
      <x:c r="AD921" s="44" t="b">
        <x:v>1</x:v>
      </x:c>
    </x:row>
    <x:row r="922">
      <x:c r="A922" s="31" t="str">
        <x:v>36047062800</x:v>
      </x:c>
      <x:c r="B922" s="31" t="str">
        <x:v>Brooklyn</x:v>
      </x:c>
      <x:c r="C922" s="31" t="str">
        <x:v>062800</x:v>
      </x:c>
      <x:c r="D922" s="31" t="str">
        <x:v>BK1503</x:v>
      </x:c>
      <x:c r="E922" s="31" t="str">
        <x:v>Sheepshead Bay-Manhattan Beach-Gerritsen Beach</x:v>
      </x:c>
      <x:c r="F922" s="31" t="n">
        <x:v>0.2978631104511019</x:v>
      </x:c>
      <x:c r="G922" s="31" t="n">
        <x:v>40.59042850620848</x:v>
      </x:c>
      <x:c r="H922" s="31" t="n">
        <x:v>-73.92691608350137</x:v>
      </x:c>
      <x:c r="I922" s="31" t="n">
        <x:v>5222</x:v>
      </x:c>
      <x:c r="J922" s="31" t="n">
        <x:v>17531.543238407357</x:v>
      </x:c>
      <x:c r="K922" s="31"/>
      <x:c r="L922" s="40"/>
      <x:c r="M922" s="40"/>
      <x:c r="N922" s="31" t="n">
        <x:v>1710</x:v>
      </x:c>
      <x:c r="O922" s="31" t="n">
        <x:v>1913</x:v>
      </x:c>
      <x:c r="P922" s="31" t="n">
        <x:v>1.850696335078534</x:v>
      </x:c>
      <x:c r="Q922" s="40" t="n">
        <x:v>0</x:v>
      </x:c>
      <x:c r="R922" s="40" t="n">
        <x:v>0.013591217982226868</x:v>
      </x:c>
      <x:c r="S922" s="40" t="n">
        <x:v>0.0020909566126502874</x:v>
      </x:c>
      <x:c r="T922" s="31" t="n">
        <x:v>24.37023734112691</x:v>
      </x:c>
      <x:c r="U922" s="31" t="n">
        <x:v>42.15697677</x:v>
      </x:c>
      <x:c r="V922" s="31" t="n">
        <x:v>29</x:v>
      </x:c>
      <x:c r="W922" s="31" t="n">
        <x:v>5.553427805438529</x:v>
      </x:c>
      <x:c r="X922" s="31" t="n">
        <x:v>3</x:v>
      </x:c>
      <x:c r="Y922" s="40" t="n">
        <x:v>0</x:v>
      </x:c>
      <x:c r="Z922" s="40" t="n">
        <x:v>1</x:v>
      </x:c>
      <x:c r="AA922" s="40" t="n">
        <x:v>0.992681651855724</x:v>
      </x:c>
      <x:c r="AB922" s="31" t="n">
        <x:v>0.16857289779168755</x:v>
      </x:c>
      <x:c r="AC922" s="31" t="n">
        <x:v>6</x:v>
      </x:c>
      <x:c r="AD922" s="44" t="b">
        <x:v>1</x:v>
      </x:c>
    </x:row>
    <x:row r="923">
      <x:c r="A923" s="31" t="str">
        <x:v>36047063200</x:v>
      </x:c>
      <x:c r="B923" s="31" t="str">
        <x:v>Brooklyn</x:v>
      </x:c>
      <x:c r="C923" s="31" t="str">
        <x:v>063200</x:v>
      </x:c>
      <x:c r="D923" s="31" t="str">
        <x:v>BK1503</x:v>
      </x:c>
      <x:c r="E923" s="31" t="str">
        <x:v>Sheepshead Bay-Manhattan Beach-Gerritsen Beach</x:v>
      </x:c>
      <x:c r="F923" s="31" t="n">
        <x:v>0.045342473522512056</x:v>
      </x:c>
      <x:c r="G923" s="31" t="n">
        <x:v>40.599760660686485</x:v>
      </x:c>
      <x:c r="H923" s="31" t="n">
        <x:v>-73.93156841432415</x:v>
      </x:c>
      <x:c r="I923" s="31" t="n">
        <x:v>1476</x:v>
      </x:c>
      <x:c r="J923" s="31" t="n">
        <x:v>32552.260283444433</x:v>
      </x:c>
      <x:c r="K923" s="31"/>
      <x:c r="L923" s="40"/>
      <x:c r="M923" s="40"/>
      <x:c r="N923" s="31" t="n">
        <x:v>192</x:v>
      </x:c>
      <x:c r="O923" s="31" t="n">
        <x:v>718</x:v>
      </x:c>
      <x:c r="P923" s="31" t="n">
        <x:v>4.196417489421721</x:v>
      </x:c>
      <x:c r="Q923" s="40" t="n">
        <x:v>0</x:v>
      </x:c>
      <x:c r="R923" s="40" t="n">
        <x:v>0.6225626740947076</x:v>
      </x:c>
      <x:c r="S923" s="40" t="n">
        <x:v>0.42896935933147634</x:v>
      </x:c>
      <x:c r="T923" s="31" t="n">
        <x:v>45.87997115746518</x:v>
      </x:c>
      <x:c r="U923" s="31" t="n">
        <x:v>66.66543418</x:v>
      </x:c>
      <x:c r="V923" s="31" t="n">
        <x:v>6</x:v>
      </x:c>
      <x:c r="W923" s="31" t="n">
        <x:v>4.065040650406504</x:v>
      </x:c>
      <x:c r="X923" s="31" t="n">
        <x:v>3</x:v>
      </x:c>
      <x:c r="Y923" s="40" t="n">
        <x:v>0</x:v>
      </x:c>
      <x:c r="Z923" s="40" t="n">
        <x:v>1</x:v>
      </x:c>
      <x:c r="AA923" s="40" t="n">
        <x:v>1</x:v>
      </x:c>
      <x:c r="AB923" s="31" t="n">
        <x:v>0.2114485319927486</x:v>
      </x:c>
      <x:c r="AC923" s="31" t="n">
        <x:v>5</x:v>
      </x:c>
      <x:c r="AD923" s="44" t="b">
        <x:v>1</x:v>
      </x:c>
    </x:row>
    <x:row r="924">
      <x:c r="A924" s="31" t="str">
        <x:v>36047063600</x:v>
      </x:c>
      <x:c r="B924" s="31" t="str">
        <x:v>Brooklyn</x:v>
      </x:c>
      <x:c r="C924" s="31" t="str">
        <x:v>063600</x:v>
      </x:c>
      <x:c r="D924" s="31" t="str">
        <x:v>BK1802</x:v>
      </x:c>
      <x:c r="E924" s="31" t="str">
        <x:v>Marine Park-Mill Basin-Bergen Beach</x:v>
      </x:c>
      <x:c r="F924" s="31" t="n">
        <x:v>0.044140686230558425</x:v>
      </x:c>
      <x:c r="G924" s="31" t="n">
        <x:v>40.60993567158258</x:v>
      </x:c>
      <x:c r="H924" s="31" t="n">
        <x:v>-73.93614299369226</x:v>
      </x:c>
      <x:c r="I924" s="31" t="n">
        <x:v>1317</x:v>
      </x:c>
      <x:c r="J924" s="31" t="n">
        <x:v>29836.418788800933</x:v>
      </x:c>
      <x:c r="K924" s="31"/>
      <x:c r="L924" s="40"/>
      <x:c r="M924" s="40"/>
      <x:c r="N924" s="31" t="n">
        <x:v>405</x:v>
      </x:c>
      <x:c r="O924" s="31" t="n">
        <x:v>455</x:v>
      </x:c>
      <x:c r="P924" s="31" t="n">
        <x:v>1.8862637362637362</x:v>
      </x:c>
      <x:c r="Q924" s="40" t="n">
        <x:v>0</x:v>
      </x:c>
      <x:c r="R924" s="40" t="n">
        <x:v>0.008791208791208791</x:v>
      </x:c>
      <x:c r="S924" s="40" t="n">
        <x:v>0</x:v>
      </x:c>
      <x:c r="T924" s="31" t="n">
        <x:v>24.41042740098901</x:v>
      </x:c>
      <x:c r="U924" s="31" t="n">
        <x:v>36.8</x:v>
      </x:c>
      <x:c r="V924" s="31" t="n">
        <x:v>0</x:v>
      </x:c>
      <x:c r="W924" s="31" t="n">
        <x:v>0</x:v>
      </x:c>
      <x:c r="X924" s="31" t="n">
        <x:v>2</x:v>
      </x:c>
      <x:c r="Y924" s="40" t="n">
        <x:v>0</x:v>
      </x:c>
      <x:c r="Z924" s="40" t="n">
        <x:v>1</x:v>
      </x:c>
      <x:c r="AA924" s="40" t="n">
        <x:v>1</x:v>
      </x:c>
      <x:c r="AB924" s="31" t="n">
        <x:v>0.2594779585448674</x:v>
      </x:c>
      <x:c r="AC924" s="31" t="n">
        <x:v>5</x:v>
      </x:c>
      <x:c r="AD924" s="44" t="b">
        <x:v>1</x:v>
      </x:c>
    </x:row>
    <x:row r="925">
      <x:c r="A925" s="31" t="str">
        <x:v>36047063800</x:v>
      </x:c>
      <x:c r="B925" s="31" t="str">
        <x:v>Brooklyn</x:v>
      </x:c>
      <x:c r="C925" s="31" t="str">
        <x:v>063800</x:v>
      </x:c>
      <x:c r="D925" s="31" t="str">
        <x:v>BK1502</x:v>
      </x:c>
      <x:c r="E925" s="31" t="str">
        <x:v>Madison</x:v>
      </x:c>
      <x:c r="F925" s="31" t="n">
        <x:v>0.05374773919737144</x:v>
      </x:c>
      <x:c r="G925" s="31" t="n">
        <x:v>40.60666774019509</x:v>
      </x:c>
      <x:c r="H925" s="31" t="n">
        <x:v>-73.93880981805285</x:v>
      </x:c>
      <x:c r="I925" s="31" t="n">
        <x:v>1617</x:v>
      </x:c>
      <x:c r="J925" s="31" t="n">
        <x:v>30084.986348208673</x:v>
      </x:c>
      <x:c r="K925" s="31"/>
      <x:c r="L925" s="40"/>
      <x:c r="M925" s="40"/>
      <x:c r="N925" s="31" t="n">
        <x:v>378</x:v>
      </x:c>
      <x:c r="O925" s="31" t="n">
        <x:v>635</x:v>
      </x:c>
      <x:c r="P925" s="31" t="n">
        <x:v>2.0236220472440944</x:v>
      </x:c>
      <x:c r="Q925" s="40" t="n">
        <x:v>0</x:v>
      </x:c>
      <x:c r="R925" s="40" t="n">
        <x:v>0</x:v>
      </x:c>
      <x:c r="S925" s="40" t="n">
        <x:v>0.2141732283464567</x:v>
      </x:c>
      <x:c r="T925" s="31" t="n">
        <x:v>27.112070995464563</x:v>
      </x:c>
      <x:c r="U925" s="31" t="n">
        <x:v>34.08162935</x:v>
      </x:c>
      <x:c r="V925" s="31" t="n">
        <x:v>0</x:v>
      </x:c>
      <x:c r="W925" s="31" t="n">
        <x:v>0</x:v>
      </x:c>
      <x:c r="X925" s="31" t="n">
        <x:v>2.974803149606299</x:v>
      </x:c>
      <x:c r="Y925" s="40" t="n">
        <x:v>0</x:v>
      </x:c>
      <x:c r="Z925" s="40" t="n">
        <x:v>1</x:v>
      </x:c>
      <x:c r="AA925" s="40" t="n">
        <x:v>1</x:v>
      </x:c>
      <x:c r="AB925" s="31" t="n">
        <x:v>0.008426850997462834</x:v>
      </x:c>
      <x:c r="AC925" s="31" t="n">
        <x:v>6</x:v>
      </x:c>
      <x:c r="AD925" s="44" t="b">
        <x:v>1</x:v>
      </x:c>
    </x:row>
    <x:row r="926">
      <x:c r="A926" s="31" t="str">
        <x:v>36047064000</x:v>
      </x:c>
      <x:c r="B926" s="31" t="str">
        <x:v>Brooklyn</x:v>
      </x:c>
      <x:c r="C926" s="31" t="str">
        <x:v>064000</x:v>
      </x:c>
      <x:c r="D926" s="31" t="str">
        <x:v>BK1802</x:v>
      </x:c>
      <x:c r="E926" s="31" t="str">
        <x:v>Marine Park-Mill Basin-Bergen Beach</x:v>
      </x:c>
      <x:c r="F926" s="31" t="n">
        <x:v>0.05922907510832759</x:v>
      </x:c>
      <x:c r="G926" s="31" t="n">
        <x:v>40.610997006542675</x:v>
      </x:c>
      <x:c r="H926" s="31" t="n">
        <x:v>-73.94024625803704</x:v>
      </x:c>
      <x:c r="I926" s="31" t="n">
        <x:v>1620</x:v>
      </x:c>
      <x:c r="J926" s="31" t="n">
        <x:v>27351.43165813556</x:v>
      </x:c>
      <x:c r="K926" s="31"/>
      <x:c r="L926" s="40"/>
      <x:c r="M926" s="40"/>
      <x:c r="N926" s="31" t="n">
        <x:v>431</x:v>
      </x:c>
      <x:c r="O926" s="31" t="n">
        <x:v>524</x:v>
      </x:c>
      <x:c r="P926" s="31" t="n">
        <x:v>2.057471264367816</x:v>
      </x:c>
      <x:c r="Q926" s="40" t="n">
        <x:v>0</x:v>
      </x:c>
      <x:c r="R926" s="40" t="n">
        <x:v>0.003816793893129771</x:v>
      </x:c>
      <x:c r="S926" s="40" t="n">
        <x:v>0</x:v>
      </x:c>
      <x:c r="T926" s="31" t="n">
        <x:v>26.693942185277248</x:v>
      </x:c>
      <x:c r="U926" s="31" t="n">
        <x:v>34.25338466</x:v>
      </x:c>
      <x:c r="V926" s="31" t="n">
        <x:v>0</x:v>
      </x:c>
      <x:c r="W926" s="31" t="n">
        <x:v>0</x:v>
      </x:c>
      <x:c r="X926" s="31" t="n">
        <x:v>2.4122137404580153</x:v>
      </x:c>
      <x:c r="Y926" s="40" t="n">
        <x:v>0</x:v>
      </x:c>
      <x:c r="Z926" s="40" t="n">
        <x:v>1</x:v>
      </x:c>
      <x:c r="AA926" s="40" t="n">
        <x:v>0.9980916030534351</x:v>
      </x:c>
      <x:c r="AB926" s="31" t="n">
        <x:v>0.20517111720068165</x:v>
      </x:c>
      <x:c r="AC926" s="31" t="n">
        <x:v>7</x:v>
      </x:c>
      <x:c r="AD926" s="44" t="b">
        <x:v>1</x:v>
      </x:c>
    </x:row>
    <x:row r="927">
      <x:c r="A927" s="31" t="str">
        <x:v>36047064200</x:v>
      </x:c>
      <x:c r="B927" s="31" t="str">
        <x:v>Brooklyn</x:v>
      </x:c>
      <x:c r="C927" s="31" t="str">
        <x:v>064200</x:v>
      </x:c>
      <x:c r="D927" s="31" t="str">
        <x:v>BK1502</x:v>
      </x:c>
      <x:c r="E927" s="31" t="str">
        <x:v>Madison</x:v>
      </x:c>
      <x:c r="F927" s="31" t="n">
        <x:v>0.09076487852064681</x:v>
      </x:c>
      <x:c r="G927" s="31" t="n">
        <x:v>40.61219762543257</x:v>
      </x:c>
      <x:c r="H927" s="31" t="n">
        <x:v>-73.94639411507325</x:v>
      </x:c>
      <x:c r="I927" s="31" t="n">
        <x:v>2865</x:v>
      </x:c>
      <x:c r="J927" s="31" t="n">
        <x:v>31565.072819970577</x:v>
      </x:c>
      <x:c r="K927" s="31"/>
      <x:c r="L927" s="40"/>
      <x:c r="M927" s="40"/>
      <x:c r="N927" s="31" t="n">
        <x:v>321</x:v>
      </x:c>
      <x:c r="O927" s="31" t="n">
        <x:v>1124</x:v>
      </x:c>
      <x:c r="P927" s="31" t="n">
        <x:v>4.6439056939501775</x:v>
      </x:c>
      <x:c r="Q927" s="40" t="n">
        <x:v>0.09430604982206406</x:v>
      </x:c>
      <x:c r="R927" s="40" t="n">
        <x:v>0.556049822064057</x:v>
      </x:c>
      <x:c r="S927" s="40" t="n">
        <x:v>0</x:v>
      </x:c>
      <x:c r="T927" s="31" t="n">
        <x:v>52.59233807552984</x:v>
      </x:c>
      <x:c r="U927" s="31" t="n">
        <x:v>90</x:v>
      </x:c>
      <x:c r="V927" s="31" t="n">
        <x:v>16</x:v>
      </x:c>
      <x:c r="W927" s="31" t="n">
        <x:v>5.5846422338568935</x:v>
      </x:c>
      <x:c r="X927" s="31" t="n">
        <x:v>3.1387900355871885</x:v>
      </x:c>
      <x:c r="Y927" s="40" t="n">
        <x:v>0.0693950177935943</x:v>
      </x:c>
      <x:c r="Z927" s="40" t="n">
        <x:v>1</x:v>
      </x:c>
      <x:c r="AA927" s="40" t="n">
        <x:v>0.9991103202846975</x:v>
      </x:c>
      <x:c r="AB927" s="31" t="n">
        <x:v>0.16693565860992285</x:v>
      </x:c>
      <x:c r="AC927" s="31" t="n">
        <x:v>7</x:v>
      </x:c>
      <x:c r="AD927" s="44" t="b">
        <x:v>1</x:v>
      </x:c>
    </x:row>
    <x:row r="928">
      <x:c r="A928" s="31" t="str">
        <x:v>36047064400</x:v>
      </x:c>
      <x:c r="B928" s="31" t="str">
        <x:v>Brooklyn</x:v>
      </x:c>
      <x:c r="C928" s="31" t="str">
        <x:v>064400</x:v>
      </x:c>
      <x:c r="D928" s="31" t="str">
        <x:v>BK1802</x:v>
      </x:c>
      <x:c r="E928" s="31" t="str">
        <x:v>Marine Park-Mill Basin-Bergen Beach</x:v>
      </x:c>
      <x:c r="F928" s="31" t="n">
        <x:v>0.0769736496721476</x:v>
      </x:c>
      <x:c r="G928" s="31" t="n">
        <x:v>40.61379661797016</x:v>
      </x:c>
      <x:c r="H928" s="31" t="n">
        <x:v>-73.94247951098323</x:v>
      </x:c>
      <x:c r="I928" s="31" t="n">
        <x:v>2702</x:v>
      </x:c>
      <x:c r="J928" s="31" t="n">
        <x:v>35102.92173371767</x:v>
      </x:c>
      <x:c r="K928" s="31"/>
      <x:c r="L928" s="40"/>
      <x:c r="M928" s="40"/>
      <x:c r="N928" s="31" t="n">
        <x:v>521</x:v>
      </x:c>
      <x:c r="O928" s="31" t="n">
        <x:v>871</x:v>
      </x:c>
      <x:c r="P928" s="31" t="n">
        <x:v>2.1417910447761193</x:v>
      </x:c>
      <x:c r="Q928" s="40" t="n">
        <x:v>0</x:v>
      </x:c>
      <x:c r="R928" s="40" t="n">
        <x:v>0.0505166475315729</x:v>
      </x:c>
      <x:c r="S928" s="40" t="n">
        <x:v>0.002296211251435132</x:v>
      </x:c>
      <x:c r="T928" s="31" t="n">
        <x:v>25.73887543328358</x:v>
      </x:c>
      <x:c r="U928" s="31" t="n">
        <x:v>40</x:v>
      </x:c>
      <x:c r="V928" s="31" t="n">
        <x:v>1</x:v>
      </x:c>
      <x:c r="W928" s="31" t="n">
        <x:v>0.3700962250185048</x:v>
      </x:c>
      <x:c r="X928" s="31" t="n">
        <x:v>2.1676234213547647</x:v>
      </x:c>
      <x:c r="Y928" s="40" t="n">
        <x:v>0</x:v>
      </x:c>
      <x:c r="Z928" s="40" t="n">
        <x:v>1</x:v>
      </x:c>
      <x:c r="AA928" s="40" t="n">
        <x:v>1</x:v>
      </x:c>
      <x:c r="AB928" s="31" t="n">
        <x:v>0.18383909485071587</x:v>
      </x:c>
      <x:c r="AC928" s="31" t="n">
        <x:v>4</x:v>
      </x:c>
      <x:c r="AD928" s="44" t="b">
        <x:v>1</x:v>
      </x:c>
    </x:row>
    <x:row r="929">
      <x:c r="A929" s="31" t="str">
        <x:v>36047064600</x:v>
      </x:c>
      <x:c r="B929" s="31" t="str">
        <x:v>Brooklyn</x:v>
      </x:c>
      <x:c r="C929" s="31" t="str">
        <x:v>064600</x:v>
      </x:c>
      <x:c r="D929" s="31" t="str">
        <x:v>BK1802</x:v>
      </x:c>
      <x:c r="E929" s="31" t="str">
        <x:v>Marine Park-Mill Basin-Bergen Beach</x:v>
      </x:c>
      <x:c r="F929" s="31" t="n">
        <x:v>0.06394633112840048</x:v>
      </x:c>
      <x:c r="G929" s="31" t="n">
        <x:v>40.615914558158856</x:v>
      </x:c>
      <x:c r="H929" s="31" t="n">
        <x:v>-73.93953517874706</x:v>
      </x:c>
      <x:c r="I929" s="31" t="n">
        <x:v>2226</x:v>
      </x:c>
      <x:c r="J929" s="31" t="n">
        <x:v>34810.44120467713</x:v>
      </x:c>
      <x:c r="K929" s="31"/>
      <x:c r="L929" s="40"/>
      <x:c r="M929" s="40"/>
      <x:c r="N929" s="31" t="n">
        <x:v>527</x:v>
      </x:c>
      <x:c r="O929" s="31" t="n">
        <x:v>673</x:v>
      </x:c>
      <x:c r="P929" s="31" t="n">
        <x:v>2.0211738484398216</x:v>
      </x:c>
      <x:c r="Q929" s="40" t="n">
        <x:v>0</x:v>
      </x:c>
      <x:c r="R929" s="40" t="n">
        <x:v>0.0237741456166419</x:v>
      </x:c>
      <x:c r="S929" s="40" t="n">
        <x:v>0.007429420505200594</x:v>
      </x:c>
      <x:c r="T929" s="31" t="n">
        <x:v>24.754239281708767</x:v>
      </x:c>
      <x:c r="U929" s="31" t="n">
        <x:v>35</x:v>
      </x:c>
      <x:c r="V929" s="31" t="n">
        <x:v>2</x:v>
      </x:c>
      <x:c r="W929" s="31" t="n">
        <x:v>0.8984725965858041</x:v>
      </x:c>
      <x:c r="X929" s="31" t="n">
        <x:v>2</x:v>
      </x:c>
      <x:c r="Y929" s="40" t="n">
        <x:v>0</x:v>
      </x:c>
      <x:c r="Z929" s="40" t="n">
        <x:v>1</x:v>
      </x:c>
      <x:c r="AA929" s="40" t="n">
        <x:v>1</x:v>
      </x:c>
      <x:c r="AB929" s="31" t="n">
        <x:v>0.1480601234677852</x:v>
      </x:c>
      <x:c r="AC929" s="31" t="n">
        <x:v>5</x:v>
      </x:c>
      <x:c r="AD929" s="44" t="b">
        <x:v>1</x:v>
      </x:c>
    </x:row>
    <x:row r="930">
      <x:c r="A930" s="31" t="str">
        <x:v>36047064800</x:v>
      </x:c>
      <x:c r="B930" s="31" t="str">
        <x:v>Brooklyn</x:v>
      </x:c>
      <x:c r="C930" s="31" t="str">
        <x:v>064800</x:v>
      </x:c>
      <x:c r="D930" s="31" t="str">
        <x:v>BK1802</x:v>
      </x:c>
      <x:c r="E930" s="31" t="str">
        <x:v>Marine Park-Mill Basin-Bergen Beach</x:v>
      </x:c>
      <x:c r="F930" s="31" t="n">
        <x:v>0.058508407339373854</x:v>
      </x:c>
      <x:c r="G930" s="31" t="n">
        <x:v>40.617689936679454</x:v>
      </x:c>
      <x:c r="H930" s="31" t="n">
        <x:v>-73.93646055378353</x:v>
      </x:c>
      <x:c r="I930" s="31" t="n">
        <x:v>1993</x:v>
      </x:c>
      <x:c r="J930" s="31" t="n">
        <x:v>34063.48062834364</x:v>
      </x:c>
      <x:c r="K930" s="31"/>
      <x:c r="L930" s="40"/>
      <x:c r="M930" s="40"/>
      <x:c r="N930" s="31" t="n">
        <x:v>431</x:v>
      </x:c>
      <x:c r="O930" s="31" t="n">
        <x:v>628</x:v>
      </x:c>
      <x:c r="P930" s="31" t="n">
        <x:v>2.126592356687898</x:v>
      </x:c>
      <x:c r="Q930" s="40" t="n">
        <x:v>0</x:v>
      </x:c>
      <x:c r="R930" s="40" t="n">
        <x:v>0.10509554140127389</x:v>
      </x:c>
      <x:c r="S930" s="40" t="n">
        <x:v>0.012738853503184714</x:v>
      </x:c>
      <x:c r="T930" s="31" t="n">
        <x:v>26.631755544394903</x:v>
      </x:c>
      <x:c r="U930" s="31" t="n">
        <x:v>36.39883251</x:v>
      </x:c>
      <x:c r="V930" s="31" t="n">
        <x:v>1</x:v>
      </x:c>
      <x:c r="W930" s="31" t="n">
        <x:v>0.5017561465127948</x:v>
      </x:c>
      <x:c r="X930" s="31" t="n">
        <x:v>2</x:v>
      </x:c>
      <x:c r="Y930" s="40" t="n">
        <x:v>0</x:v>
      </x:c>
      <x:c r="Z930" s="40" t="n">
        <x:v>1</x:v>
      </x:c>
      <x:c r="AA930" s="40" t="n">
        <x:v>1</x:v>
      </x:c>
      <x:c r="AB930" s="31" t="n">
        <x:v>0.2236449151372644</x:v>
      </x:c>
      <x:c r="AC930" s="31" t="n">
        <x:v>6</x:v>
      </x:c>
      <x:c r="AD930" s="44" t="b">
        <x:v>1</x:v>
      </x:c>
    </x:row>
    <x:row r="931">
      <x:c r="A931" s="31" t="str">
        <x:v>36047065000</x:v>
      </x:c>
      <x:c r="B931" s="31" t="str">
        <x:v>Brooklyn</x:v>
      </x:c>
      <x:c r="C931" s="31" t="str">
        <x:v>065000</x:v>
      </x:c>
      <x:c r="D931" s="31" t="str">
        <x:v>BK1801</x:v>
      </x:c>
      <x:c r="E931" s="31" t="str">
        <x:v>Flatlands</x:v>
      </x:c>
      <x:c r="F931" s="31" t="n">
        <x:v>0.06417678151974288</x:v>
      </x:c>
      <x:c r="G931" s="31" t="n">
        <x:v>40.61997872253154</x:v>
      </x:c>
      <x:c r="H931" s="31" t="n">
        <x:v>-73.93364677689945</x:v>
      </x:c>
      <x:c r="I931" s="31" t="n">
        <x:v>1439</x:v>
      </x:c>
      <x:c r="J931" s="31" t="n">
        <x:v>22422.439485490817</x:v>
      </x:c>
      <x:c r="K931" s="31"/>
      <x:c r="L931" s="40"/>
      <x:c r="M931" s="40"/>
      <x:c r="N931" s="31" t="n">
        <x:v>284</x:v>
      </x:c>
      <x:c r="O931" s="31" t="n">
        <x:v>489</x:v>
      </x:c>
      <x:c r="P931" s="31" t="n">
        <x:v>2.946319018404908</x:v>
      </x:c>
      <x:c r="Q931" s="40" t="n">
        <x:v>0</x:v>
      </x:c>
      <x:c r="R931" s="40" t="n">
        <x:v>0.2842535787321063</x:v>
      </x:c>
      <x:c r="S931" s="40" t="n">
        <x:v>0.010224948875255624</x:v>
      </x:c>
      <x:c r="T931" s="31" t="n">
        <x:v>35.78840068901639</x:v>
      </x:c>
      <x:c r="U931" s="31" t="n">
        <x:v>67.13024818</x:v>
      </x:c>
      <x:c r="V931" s="31" t="n">
        <x:v>4</x:v>
      </x:c>
      <x:c r="W931" s="31" t="n">
        <x:v>2.779708130646282</x:v>
      </x:c>
      <x:c r="X931" s="31" t="n">
        <x:v>2</x:v>
      </x:c>
      <x:c r="Y931" s="40" t="n">
        <x:v>0</x:v>
      </x:c>
      <x:c r="Z931" s="40" t="n">
        <x:v>1</x:v>
      </x:c>
      <x:c r="AA931" s="40" t="n">
        <x:v>0.9979550102249489</x:v>
      </x:c>
      <x:c r="AB931" s="31" t="n">
        <x:v>0.02661021030031069</x:v>
      </x:c>
      <x:c r="AC931" s="31" t="n">
        <x:v>8</x:v>
      </x:c>
      <x:c r="AD931" s="44" t="b">
        <x:v>1</x:v>
      </x:c>
    </x:row>
    <x:row r="932">
      <x:c r="A932" s="31" t="str">
        <x:v>36047065200</x:v>
      </x:c>
      <x:c r="B932" s="31" t="str">
        <x:v>Brooklyn</x:v>
      </x:c>
      <x:c r="C932" s="31" t="str">
        <x:v>065200</x:v>
      </x:c>
      <x:c r="D932" s="31" t="str">
        <x:v>BK1802</x:v>
      </x:c>
      <x:c r="E932" s="31" t="str">
        <x:v>Marine Park-Mill Basin-Bergen Beach</x:v>
      </x:c>
      <x:c r="F932" s="31" t="n">
        <x:v>0.06753846889132806</x:v>
      </x:c>
      <x:c r="G932" s="31" t="n">
        <x:v>40.61476074844054</x:v>
      </x:c>
      <x:c r="H932" s="31" t="n">
        <x:v>-73.93006842745746</x:v>
      </x:c>
      <x:c r="I932" s="31" t="n">
        <x:v>1197</x:v>
      </x:c>
      <x:c r="J932" s="31" t="n">
        <x:v>17723.23269462946</x:v>
      </x:c>
      <x:c r="K932" s="31"/>
      <x:c r="L932" s="40"/>
      <x:c r="M932" s="40"/>
      <x:c r="N932" s="31" t="n">
        <x:v>341</x:v>
      </x:c>
      <x:c r="O932" s="31" t="n">
        <x:v>433</x:v>
      </x:c>
      <x:c r="P932" s="31" t="n">
        <x:v>1.8803464203233258</x:v>
      </x:c>
      <x:c r="Q932" s="40" t="n">
        <x:v>0</x:v>
      </x:c>
      <x:c r="R932" s="40" t="n">
        <x:v>0.0023094688221709007</x:v>
      </x:c>
      <x:c r="S932" s="40" t="n">
        <x:v>0</x:v>
      </x:c>
      <x:c r="T932" s="31" t="n">
        <x:v>26.480382814226328</x:v>
      </x:c>
      <x:c r="U932" s="31" t="n">
        <x:v>35.84400812</x:v>
      </x:c>
      <x:c r="V932" s="31" t="n">
        <x:v>0</x:v>
      </x:c>
      <x:c r="W932" s="31" t="n">
        <x:v>0</x:v>
      </x:c>
      <x:c r="X932" s="31" t="n">
        <x:v>2</x:v>
      </x:c>
      <x:c r="Y932" s="40" t="n">
        <x:v>0</x:v>
      </x:c>
      <x:c r="Z932" s="40" t="n">
        <x:v>1</x:v>
      </x:c>
      <x:c r="AA932" s="40" t="n">
        <x:v>1</x:v>
      </x:c>
      <x:c r="AB932" s="31" t="n">
        <x:v>0.06880738450370054</x:v>
      </x:c>
      <x:c r="AC932" s="31" t="n">
        <x:v>8</x:v>
      </x:c>
      <x:c r="AD932" s="44" t="b">
        <x:v>1</x:v>
      </x:c>
    </x:row>
    <x:row r="933">
      <x:c r="A933" s="31" t="str">
        <x:v>36047065400</x:v>
      </x:c>
      <x:c r="B933" s="31" t="str">
        <x:v>Brooklyn</x:v>
      </x:c>
      <x:c r="C933" s="31" t="str">
        <x:v>065400</x:v>
      </x:c>
      <x:c r="D933" s="31" t="str">
        <x:v>BK1802</x:v>
      </x:c>
      <x:c r="E933" s="31" t="str">
        <x:v>Marine Park-Mill Basin-Bergen Beach</x:v>
      </x:c>
      <x:c r="F933" s="31" t="n">
        <x:v>0.058512383197385796</x:v>
      </x:c>
      <x:c r="G933" s="31" t="n">
        <x:v>40.61294877609891</x:v>
      </x:c>
      <x:c r="H933" s="31" t="n">
        <x:v>-73.93180757349448</x:v>
      </x:c>
      <x:c r="I933" s="31" t="n">
        <x:v>1681</x:v>
      </x:c>
      <x:c r="J933" s="31" t="n">
        <x:v>28728.96142905872</x:v>
      </x:c>
      <x:c r="K933" s="31"/>
      <x:c r="L933" s="40"/>
      <x:c r="M933" s="40"/>
      <x:c r="N933" s="31" t="n">
        <x:v>493</x:v>
      </x:c>
      <x:c r="O933" s="31" t="n">
        <x:v>555</x:v>
      </x:c>
      <x:c r="P933" s="31" t="n">
        <x:v>1.9396396396396396</x:v>
      </x:c>
      <x:c r="Q933" s="40" t="n">
        <x:v>0</x:v>
      </x:c>
      <x:c r="R933" s="40" t="n">
        <x:v>0</x:v>
      </x:c>
      <x:c r="S933" s="40" t="n">
        <x:v>0</x:v>
      </x:c>
      <x:c r="T933" s="31" t="n">
        <x:v>25.875014157153153</x:v>
      </x:c>
      <x:c r="U933" s="31" t="n">
        <x:v>36.32652302</x:v>
      </x:c>
      <x:c r="V933" s="31" t="n">
        <x:v>0</x:v>
      </x:c>
      <x:c r="W933" s="31" t="n">
        <x:v>0</x:v>
      </x:c>
      <x:c r="X933" s="31" t="n">
        <x:v>2</x:v>
      </x:c>
      <x:c r="Y933" s="40" t="n">
        <x:v>0</x:v>
      </x:c>
      <x:c r="Z933" s="40" t="n">
        <x:v>1</x:v>
      </x:c>
      <x:c r="AA933" s="40" t="n">
        <x:v>1</x:v>
      </x:c>
      <x:c r="AB933" s="31" t="n">
        <x:v>0.09831715231038216</x:v>
      </x:c>
      <x:c r="AC933" s="31" t="n">
        <x:v>6</x:v>
      </x:c>
      <x:c r="AD933" s="44" t="b">
        <x:v>1</x:v>
      </x:c>
    </x:row>
    <x:row r="934">
      <x:c r="A934" s="31" t="str">
        <x:v>36047065600</x:v>
      </x:c>
      <x:c r="B934" s="31" t="str">
        <x:v>Brooklyn</x:v>
      </x:c>
      <x:c r="C934" s="31" t="str">
        <x:v>065600</x:v>
      </x:c>
      <x:c r="D934" s="31" t="str">
        <x:v>BK1802</x:v>
      </x:c>
      <x:c r="E934" s="31" t="str">
        <x:v>Marine Park-Mill Basin-Bergen Beach</x:v>
      </x:c>
      <x:c r="F934" s="31" t="n">
        <x:v>0.05929838200829316</x:v>
      </x:c>
      <x:c r="G934" s="31" t="n">
        <x:v>40.613011215612744</x:v>
      </x:c>
      <x:c r="H934" s="31" t="n">
        <x:v>-73.93498245733076</x:v>
      </x:c>
      <x:c r="I934" s="31" t="n">
        <x:v>1795</x:v>
      </x:c>
      <x:c r="J934" s="31" t="n">
        <x:v>30270.6404324651</x:v>
      </x:c>
      <x:c r="K934" s="31"/>
      <x:c r="L934" s="40"/>
      <x:c r="M934" s="40"/>
      <x:c r="N934" s="31" t="n">
        <x:v>612</x:v>
      </x:c>
      <x:c r="O934" s="31" t="n">
        <x:v>623</x:v>
      </x:c>
      <x:c r="P934" s="31" t="n">
        <x:v>2.0008025682182984</x:v>
      </x:c>
      <x:c r="Q934" s="40" t="n">
        <x:v>0</x:v>
      </x:c>
      <x:c r="R934" s="40" t="n">
        <x:v>0</x:v>
      </x:c>
      <x:c r="S934" s="40" t="n">
        <x:v>0.0016051364365971107</x:v>
      </x:c>
      <x:c r="T934" s="31" t="n">
        <x:v>24.850000935248797</x:v>
      </x:c>
      <x:c r="U934" s="31" t="n">
        <x:v>31.82964165</x:v>
      </x:c>
      <x:c r="V934" s="31" t="n">
        <x:v>0</x:v>
      </x:c>
      <x:c r="W934" s="31" t="n">
        <x:v>0</x:v>
      </x:c>
      <x:c r="X934" s="31" t="n">
        <x:v>2</x:v>
      </x:c>
      <x:c r="Y934" s="40" t="n">
        <x:v>0</x:v>
      </x:c>
      <x:c r="Z934" s="40" t="n">
        <x:v>1</x:v>
      </x:c>
      <x:c r="AA934" s="40" t="n">
        <x:v>1</x:v>
      </x:c>
      <x:c r="AB934" s="31" t="n">
        <x:v>0.21749074286968892</x:v>
      </x:c>
      <x:c r="AC934" s="31" t="n">
        <x:v>6</x:v>
      </x:c>
      <x:c r="AD934" s="44" t="b">
        <x:v>1</x:v>
      </x:c>
    </x:row>
    <x:row r="935">
      <x:c r="A935" s="31" t="str">
        <x:v>36047065800</x:v>
      </x:c>
      <x:c r="B935" s="31" t="str">
        <x:v>Brooklyn</x:v>
      </x:c>
      <x:c r="C935" s="31" t="str">
        <x:v>065800</x:v>
      </x:c>
      <x:c r="D935" s="31" t="str">
        <x:v>BK1802</x:v>
      </x:c>
      <x:c r="E935" s="31" t="str">
        <x:v>Marine Park-Mill Basin-Bergen Beach</x:v>
      </x:c>
      <x:c r="F935" s="31" t="n">
        <x:v>0.05921079684845615</x:v>
      </x:c>
      <x:c r="G935" s="31" t="n">
        <x:v>40.60808263101236</x:v>
      </x:c>
      <x:c r="H935" s="31" t="n">
        <x:v>-73.93120033958404</x:v>
      </x:c>
      <x:c r="I935" s="31" t="n">
        <x:v>1844</x:v>
      </x:c>
      <x:c r="J935" s="31" t="n">
        <x:v>31142.96881900653</x:v>
      </x:c>
      <x:c r="K935" s="31"/>
      <x:c r="L935" s="40"/>
      <x:c r="M935" s="40"/>
      <x:c r="N935" s="31" t="n">
        <x:v>530</x:v>
      </x:c>
      <x:c r="O935" s="31" t="n">
        <x:v>742</x:v>
      </x:c>
      <x:c r="P935" s="31" t="n">
        <x:v>1.8066037735849056</x:v>
      </x:c>
      <x:c r="Q935" s="40" t="n">
        <x:v>0</x:v>
      </x:c>
      <x:c r="R935" s="40" t="n">
        <x:v>0</x:v>
      </x:c>
      <x:c r="S935" s="40" t="n">
        <x:v>0.0013477088948787063</x:v>
      </x:c>
      <x:c r="T935" s="31" t="n">
        <x:v>24.950969880889488</x:v>
      </x:c>
      <x:c r="U935" s="31" t="n">
        <x:v>36.9503</x:v>
      </x:c>
      <x:c r="V935" s="31" t="n">
        <x:v>0</x:v>
      </x:c>
      <x:c r="W935" s="31" t="n">
        <x:v>0</x:v>
      </x:c>
      <x:c r="X935" s="31" t="n">
        <x:v>2</x:v>
      </x:c>
      <x:c r="Y935" s="40" t="n">
        <x:v>0</x:v>
      </x:c>
      <x:c r="Z935" s="40" t="n">
        <x:v>1</x:v>
      </x:c>
      <x:c r="AA935" s="40" t="n">
        <x:v>1</x:v>
      </x:c>
      <x:c r="AB935" s="31" t="n">
        <x:v>0.39588032097016</x:v>
      </x:c>
      <x:c r="AC935" s="31" t="n">
        <x:v>5</x:v>
      </x:c>
      <x:c r="AD935" s="44" t="b">
        <x:v>1</x:v>
      </x:c>
    </x:row>
    <x:row r="936">
      <x:c r="A936" s="31" t="str">
        <x:v>36047066000</x:v>
      </x:c>
      <x:c r="B936" s="31" t="str">
        <x:v>Brooklyn</x:v>
      </x:c>
      <x:c r="C936" s="31" t="str">
        <x:v>066000</x:v>
      </x:c>
      <x:c r="D936" s="31" t="str">
        <x:v>BK1802</x:v>
      </x:c>
      <x:c r="E936" s="31" t="str">
        <x:v>Marine Park-Mill Basin-Bergen Beach</x:v>
      </x:c>
      <x:c r="F936" s="31" t="n">
        <x:v>0.058812749313805666</x:v>
      </x:c>
      <x:c r="G936" s="31" t="n">
        <x:v>40.60904662403178</x:v>
      </x:c>
      <x:c r="H936" s="31" t="n">
        <x:v>-73.92808011146572</x:v>
      </x:c>
      <x:c r="I936" s="31" t="n">
        <x:v>1762</x:v>
      </x:c>
      <x:c r="J936" s="31" t="n">
        <x:v>29959.49042610714</x:v>
      </x:c>
      <x:c r="K936" s="31"/>
      <x:c r="L936" s="40"/>
      <x:c r="M936" s="40"/>
      <x:c r="N936" s="31" t="n">
        <x:v>497</x:v>
      </x:c>
      <x:c r="O936" s="31" t="n">
        <x:v>619</x:v>
      </x:c>
      <x:c r="P936" s="31" t="n">
        <x:v>1.9162681744749597</x:v>
      </x:c>
      <x:c r="Q936" s="40" t="n">
        <x:v>0</x:v>
      </x:c>
      <x:c r="R936" s="40" t="n">
        <x:v>0.045234248788368334</x:v>
      </x:c>
      <x:c r="S936" s="40" t="n">
        <x:v>0.022617124394184167</x:v>
      </x:c>
      <x:c r="T936" s="31" t="n">
        <x:v>25.696991173198708</x:v>
      </x:c>
      <x:c r="U936" s="31" t="n">
        <x:v>38.57914391</x:v>
      </x:c>
      <x:c r="V936" s="31" t="n">
        <x:v>0</x:v>
      </x:c>
      <x:c r="W936" s="31" t="n">
        <x:v>0</x:v>
      </x:c>
      <x:c r="X936" s="31" t="n">
        <x:v>2</x:v>
      </x:c>
      <x:c r="Y936" s="40" t="n">
        <x:v>0</x:v>
      </x:c>
      <x:c r="Z936" s="40" t="n">
        <x:v>1</x:v>
      </x:c>
      <x:c r="AA936" s="40" t="n">
        <x:v>1</x:v>
      </x:c>
      <x:c r="AB936" s="31" t="n">
        <x:v>0.34644510812303003</x:v>
      </x:c>
      <x:c r="AC936" s="31" t="n">
        <x:v>5</x:v>
      </x:c>
      <x:c r="AD936" s="44" t="b">
        <x:v>1</x:v>
      </x:c>
    </x:row>
    <x:row r="937">
      <x:c r="A937" s="31" t="str">
        <x:v>36047066200</x:v>
      </x:c>
      <x:c r="B937" s="31" t="str">
        <x:v>Brooklyn</x:v>
      </x:c>
      <x:c r="C937" s="31" t="str">
        <x:v>066200</x:v>
      </x:c>
      <x:c r="D937" s="31" t="str">
        <x:v>BK1802</x:v>
      </x:c>
      <x:c r="E937" s="31" t="str">
        <x:v>Marine Park-Mill Basin-Bergen Beach</x:v>
      </x:c>
      <x:c r="F937" s="31" t="n">
        <x:v>0.0892684917997446</x:v>
      </x:c>
      <x:c r="G937" s="31" t="n">
        <x:v>40.609302951734655</x:v>
      </x:c>
      <x:c r="H937" s="31" t="n">
        <x:v>-73.92437276301276</x:v>
      </x:c>
      <x:c r="I937" s="31" t="n">
        <x:v>1497</x:v>
      </x:c>
      <x:c r="J937" s="31" t="n">
        <x:v>16769.634725746346</x:v>
      </x:c>
      <x:c r="K937" s="31"/>
      <x:c r="L937" s="40"/>
      <x:c r="M937" s="40"/>
      <x:c r="N937" s="31" t="n">
        <x:v>347</x:v>
      </x:c>
      <x:c r="O937" s="31" t="n">
        <x:v>583</x:v>
      </x:c>
      <x:c r="P937" s="31" t="n">
        <x:v>2.1302229845626073</x:v>
      </x:c>
      <x:c r="Q937" s="40" t="n">
        <x:v>0</x:v>
      </x:c>
      <x:c r="R937" s="40" t="n">
        <x:v>0.2367066895368782</x:v>
      </x:c>
      <x:c r="S937" s="40" t="n">
        <x:v>0.11320754716981132</x:v>
      </x:c>
      <x:c r="T937" s="31" t="n">
        <x:v>28.33527261464716</x:v>
      </x:c>
      <x:c r="U937" s="31" t="n">
        <x:v>63.36950417</x:v>
      </x:c>
      <x:c r="V937" s="31" t="n">
        <x:v>2</x:v>
      </x:c>
      <x:c r="W937" s="31" t="n">
        <x:v>1.3360053440213762</x:v>
      </x:c>
      <x:c r="X937" s="31" t="n">
        <x:v>2</x:v>
      </x:c>
      <x:c r="Y937" s="40" t="n">
        <x:v>0</x:v>
      </x:c>
      <x:c r="Z937" s="40" t="n">
        <x:v>1</x:v>
      </x:c>
      <x:c r="AA937" s="40" t="n">
        <x:v>0.9965694682675815</x:v>
      </x:c>
      <x:c r="AB937" s="31" t="n">
        <x:v>0.4382188817419207</x:v>
      </x:c>
      <x:c r="AC937" s="31" t="n">
        <x:v>6</x:v>
      </x:c>
      <x:c r="AD937" s="44" t="b">
        <x:v>1</x:v>
      </x:c>
    </x:row>
    <x:row r="938">
      <x:c r="A938" s="31" t="str">
        <x:v>36047066600</x:v>
      </x:c>
      <x:c r="B938" s="31" t="str">
        <x:v>Brooklyn</x:v>
      </x:c>
      <x:c r="C938" s="31" t="str">
        <x:v>066600</x:v>
      </x:c>
      <x:c r="D938" s="31" t="str">
        <x:v>BK1891</x:v>
      </x:c>
      <x:c r="E938" s="31" t="str">
        <x:v>Marine Park-Plumb Island</x:v>
      </x:c>
      <x:c r="F938" s="31" t="n">
        <x:v>1.5606748110436754</x:v>
      </x:c>
      <x:c r="G938" s="31" t="n">
        <x:v>40.594046622831</x:v>
      </x:c>
      <x:c r="H938" s="31" t="n">
        <x:v>-73.91624397648796</x:v>
      </x:c>
      <x:c r="I938" s="31" t="n">
        <x:v>1</x:v>
      </x:c>
      <x:c r="J938" s="31" t="n">
        <x:v>0.6407484717019727</x:v>
      </x:c>
      <x:c r="K938" s="31"/>
      <x:c r="L938" s="40"/>
      <x:c r="M938" s="40"/>
      <x:c r="N938" s="31" t="n">
        <x:v>0</x:v>
      </x:c>
      <x:c r="O938" s="31"/>
      <x:c r="P938" s="31"/>
      <x:c r="Q938" s="40"/>
      <x:c r="R938" s="40"/>
      <x:c r="S938" s="40"/>
      <x:c r="T938" s="31"/>
      <x:c r="U938" s="31"/>
      <x:c r="V938" s="31" t="n">
        <x:v>0</x:v>
      </x:c>
      <x:c r="W938" s="31" t="n">
        <x:v>0</x:v>
      </x:c>
      <x:c r="X938" s="31"/>
      <x:c r="Y938" s="40"/>
      <x:c r="Z938" s="40"/>
      <x:c r="AA938" s="40"/>
      <x:c r="AB938" s="31" t="n">
        <x:v>0.4458405634017141</x:v>
      </x:c>
      <x:c r="AC938" s="31" t="n">
        <x:v>11</x:v>
      </x:c>
      <x:c r="AD938" s="44" t="b">
        <x:v>0</x:v>
      </x:c>
    </x:row>
    <x:row r="939">
      <x:c r="A939" s="31" t="str">
        <x:v>36047067000</x:v>
      </x:c>
      <x:c r="B939" s="31" t="str">
        <x:v>Brooklyn</x:v>
      </x:c>
      <x:c r="C939" s="31" t="str">
        <x:v>067000</x:v>
      </x:c>
      <x:c r="D939" s="31" t="str">
        <x:v>BK1802</x:v>
      </x:c>
      <x:c r="E939" s="31" t="str">
        <x:v>Marine Park-Mill Basin-Bergen Beach</x:v>
      </x:c>
      <x:c r="F939" s="31" t="n">
        <x:v>0.08047951304594238</x:v>
      </x:c>
      <x:c r="G939" s="31" t="n">
        <x:v>40.612724480487465</x:v>
      </x:c>
      <x:c r="H939" s="31" t="n">
        <x:v>-73.92276648460376</x:v>
      </x:c>
      <x:c r="I939" s="31" t="n">
        <x:v>2876</x:v>
      </x:c>
      <x:c r="J939" s="31" t="n">
        <x:v>35735.80270494694</x:v>
      </x:c>
      <x:c r="K939" s="31"/>
      <x:c r="L939" s="40"/>
      <x:c r="M939" s="40"/>
      <x:c r="N939" s="31" t="n">
        <x:v>480</x:v>
      </x:c>
      <x:c r="O939" s="31" t="n">
        <x:v>1003</x:v>
      </x:c>
      <x:c r="P939" s="31" t="n">
        <x:v>1.9800598205383848</x:v>
      </x:c>
      <x:c r="Q939" s="40" t="n">
        <x:v>0</x:v>
      </x:c>
      <x:c r="R939" s="40" t="n">
        <x:v>0.2741774675972084</x:v>
      </x:c>
      <x:c r="S939" s="40" t="n">
        <x:v>0.08673978065802593</x:v>
      </x:c>
      <x:c r="T939" s="31" t="n">
        <x:v>25.77692855678322</x:v>
      </x:c>
      <x:c r="U939" s="31" t="n">
        <x:v>36</x:v>
      </x:c>
      <x:c r="V939" s="31" t="n">
        <x:v>1</x:v>
      </x:c>
      <x:c r="W939" s="31" t="n">
        <x:v>0.3477051460361613</x:v>
      </x:c>
      <x:c r="X939" s="31" t="n">
        <x:v>2</x:v>
      </x:c>
      <x:c r="Y939" s="40" t="n">
        <x:v>0</x:v>
      </x:c>
      <x:c r="Z939" s="40" t="n">
        <x:v>1</x:v>
      </x:c>
      <x:c r="AA939" s="40" t="n">
        <x:v>0.9980059820538385</x:v>
      </x:c>
      <x:c r="AB939" s="31" t="n">
        <x:v>0.40205706063677416</x:v>
      </x:c>
      <x:c r="AC939" s="31" t="n">
        <x:v>7</x:v>
      </x:c>
      <x:c r="AD939" s="44" t="b">
        <x:v>1</x:v>
      </x:c>
    </x:row>
    <x:row r="940">
      <x:c r="A940" s="31" t="str">
        <x:v>36047067200</x:v>
      </x:c>
      <x:c r="B940" s="31" t="str">
        <x:v>Brooklyn</x:v>
      </x:c>
      <x:c r="C940" s="31" t="str">
        <x:v>067200</x:v>
      </x:c>
      <x:c r="D940" s="31" t="str">
        <x:v>BK1801</x:v>
      </x:c>
      <x:c r="E940" s="31" t="str">
        <x:v>Flatlands</x:v>
      </x:c>
      <x:c r="F940" s="31" t="n">
        <x:v>0.0670706824792671</x:v>
      </x:c>
      <x:c r="G940" s="31" t="n">
        <x:v>40.61875889393877</x:v>
      </x:c>
      <x:c r="H940" s="31" t="n">
        <x:v>-73.92780408030045</x:v>
      </x:c>
      <x:c r="I940" s="31" t="n">
        <x:v>1435</x:v>
      </x:c>
      <x:c r="J940" s="31" t="n">
        <x:v>21395.339169891216</x:v>
      </x:c>
      <x:c r="K940" s="31"/>
      <x:c r="L940" s="40"/>
      <x:c r="M940" s="40"/>
      <x:c r="N940" s="31" t="n">
        <x:v>273</x:v>
      </x:c>
      <x:c r="O940" s="31" t="n">
        <x:v>414</x:v>
      </x:c>
      <x:c r="P940" s="31" t="n">
        <x:v>1.9957729468599035</x:v>
      </x:c>
      <x:c r="Q940" s="40" t="n">
        <x:v>0</x:v>
      </x:c>
      <x:c r="R940" s="40" t="n">
        <x:v>0.007246376811594203</x:v>
      </x:c>
      <x:c r="S940" s="40" t="n">
        <x:v>0.007246376811594203</x:v>
      </x:c>
      <x:c r="T940" s="31" t="n">
        <x:v>26.384794082874397</x:v>
      </x:c>
      <x:c r="U940" s="31" t="n">
        <x:v>41.28379174</x:v>
      </x:c>
      <x:c r="V940" s="31" t="n">
        <x:v>1</x:v>
      </x:c>
      <x:c r="W940" s="31" t="n">
        <x:v>0.6968641114982579</x:v>
      </x:c>
      <x:c r="X940" s="31" t="n">
        <x:v>2</x:v>
      </x:c>
      <x:c r="Y940" s="40" t="n">
        <x:v>0</x:v>
      </x:c>
      <x:c r="Z940" s="40" t="n">
        <x:v>1</x:v>
      </x:c>
      <x:c r="AA940" s="40" t="n">
        <x:v>1</x:v>
      </x:c>
      <x:c r="AB940" s="31" t="n">
        <x:v>0.24241138978033247</x:v>
      </x:c>
      <x:c r="AC940" s="31" t="n">
        <x:v>6</x:v>
      </x:c>
      <x:c r="AD940" s="44" t="b">
        <x:v>1</x:v>
      </x:c>
    </x:row>
    <x:row r="941">
      <x:c r="A941" s="31" t="str">
        <x:v>36047067400</x:v>
      </x:c>
      <x:c r="B941" s="31" t="str">
        <x:v>Brooklyn</x:v>
      </x:c>
      <x:c r="C941" s="31" t="str">
        <x:v>067400</x:v>
      </x:c>
      <x:c r="D941" s="31" t="str">
        <x:v>BK1801</x:v>
      </x:c>
      <x:c r="E941" s="31" t="str">
        <x:v>Flatlands</x:v>
      </x:c>
      <x:c r="F941" s="31" t="n">
        <x:v>0.07317281212910354</x:v>
      </x:c>
      <x:c r="G941" s="31" t="n">
        <x:v>40.61982315447557</x:v>
      </x:c>
      <x:c r="H941" s="31" t="n">
        <x:v>-73.93026957850991</x:v>
      </x:c>
      <x:c r="I941" s="31" t="n">
        <x:v>1992</x:v>
      </x:c>
      <x:c r="J941" s="31" t="n">
        <x:v>27223.225977503575</x:v>
      </x:c>
      <x:c r="K941" s="31"/>
      <x:c r="L941" s="40"/>
      <x:c r="M941" s="40"/>
      <x:c r="N941" s="31" t="n">
        <x:v>455</x:v>
      </x:c>
      <x:c r="O941" s="31" t="n">
        <x:v>595</x:v>
      </x:c>
      <x:c r="P941" s="31" t="n">
        <x:v>2.0987394957983194</x:v>
      </x:c>
      <x:c r="Q941" s="40" t="n">
        <x:v>0</x:v>
      </x:c>
      <x:c r="R941" s="40" t="n">
        <x:v>0.005042016806722689</x:v>
      </x:c>
      <x:c r="S941" s="40" t="n">
        <x:v>0.021848739495798318</x:v>
      </x:c>
      <x:c r="T941" s="31" t="n">
        <x:v>28.07036184104202</x:v>
      </x:c>
      <x:c r="U941" s="31" t="n">
        <x:v>39.92622778</x:v>
      </x:c>
      <x:c r="V941" s="31" t="n">
        <x:v>2</x:v>
      </x:c>
      <x:c r="W941" s="31" t="n">
        <x:v>1.004016064257028</x:v>
      </x:c>
      <x:c r="X941" s="31" t="n">
        <x:v>2</x:v>
      </x:c>
      <x:c r="Y941" s="40" t="n">
        <x:v>0</x:v>
      </x:c>
      <x:c r="Z941" s="40" t="n">
        <x:v>1</x:v>
      </x:c>
      <x:c r="AA941" s="40" t="n">
        <x:v>1</x:v>
      </x:c>
      <x:c r="AB941" s="31" t="n">
        <x:v>0.15471342481928307</x:v>
      </x:c>
      <x:c r="AC941" s="31" t="n">
        <x:v>5</x:v>
      </x:c>
      <x:c r="AD941" s="44" t="b">
        <x:v>1</x:v>
      </x:c>
    </x:row>
    <x:row r="942">
      <x:c r="A942" s="31" t="str">
        <x:v>36047067600</x:v>
      </x:c>
      <x:c r="B942" s="31" t="str">
        <x:v>Brooklyn</x:v>
      </x:c>
      <x:c r="C942" s="31" t="str">
        <x:v>067600</x:v>
      </x:c>
      <x:c r="D942" s="31" t="str">
        <x:v>BK1801</x:v>
      </x:c>
      <x:c r="E942" s="31" t="str">
        <x:v>Flatlands</x:v>
      </x:c>
      <x:c r="F942" s="31" t="n">
        <x:v>0.05999862596813303</x:v>
      </x:c>
      <x:c r="G942" s="31" t="n">
        <x:v>40.62499500752781</x:v>
      </x:c>
      <x:c r="H942" s="31" t="n">
        <x:v>-73.92720074742726</x:v>
      </x:c>
      <x:c r="I942" s="31" t="n">
        <x:v>1622</x:v>
      </x:c>
      <x:c r="J942" s="31" t="n">
        <x:v>27033.95242520204</x:v>
      </x:c>
      <x:c r="K942" s="31"/>
      <x:c r="L942" s="40"/>
      <x:c r="M942" s="40"/>
      <x:c r="N942" s="31" t="n">
        <x:v>365</x:v>
      </x:c>
      <x:c r="O942" s="31" t="n">
        <x:v>521</x:v>
      </x:c>
      <x:c r="P942" s="31" t="n">
        <x:v>1.6679462571976968</x:v>
      </x:c>
      <x:c r="Q942" s="40" t="n">
        <x:v>0</x:v>
      </x:c>
      <x:c r="R942" s="40" t="n">
        <x:v>0.04798464491362764</x:v>
      </x:c>
      <x:c r="S942" s="40" t="n">
        <x:v>0.005758157389635317</x:v>
      </x:c>
      <x:c r="T942" s="31" t="n">
        <x:v>22.446264013834295</x:v>
      </x:c>
      <x:c r="U942" s="31" t="n">
        <x:v>39</x:v>
      </x:c>
      <x:c r="V942" s="31" t="n">
        <x:v>0</x:v>
      </x:c>
      <x:c r="W942" s="31" t="n">
        <x:v>0</x:v>
      </x:c>
      <x:c r="X942" s="31" t="n">
        <x:v>2</x:v>
      </x:c>
      <x:c r="Y942" s="40" t="n">
        <x:v>0</x:v>
      </x:c>
      <x:c r="Z942" s="40" t="n">
        <x:v>1</x:v>
      </x:c>
      <x:c r="AA942" s="40" t="n">
        <x:v>0.9961612284069098</x:v>
      </x:c>
      <x:c r="AB942" s="31" t="n">
        <x:v>0.22855781966178793</x:v>
      </x:c>
      <x:c r="AC942" s="31" t="n">
        <x:v>6</x:v>
      </x:c>
      <x:c r="AD942" s="44" t="b">
        <x:v>1</x:v>
      </x:c>
    </x:row>
    <x:row r="943">
      <x:c r="A943" s="31" t="str">
        <x:v>36047067800</x:v>
      </x:c>
      <x:c r="B943" s="31" t="str">
        <x:v>Brooklyn</x:v>
      </x:c>
      <x:c r="C943" s="31" t="str">
        <x:v>067800</x:v>
      </x:c>
      <x:c r="D943" s="31" t="str">
        <x:v>BK1801</x:v>
      </x:c>
      <x:c r="E943" s="31" t="str">
        <x:v>Flatlands</x:v>
      </x:c>
      <x:c r="F943" s="31" t="n">
        <x:v>0.06414434844682622</x:v>
      </x:c>
      <x:c r="G943" s="31" t="n">
        <x:v>40.62615006339113</x:v>
      </x:c>
      <x:c r="H943" s="31" t="n">
        <x:v>-73.92277902534366</x:v>
      </x:c>
      <x:c r="I943" s="31" t="n">
        <x:v>2874</x:v>
      </x:c>
      <x:c r="J943" s="31" t="n">
        <x:v>44805.19437160488</x:v>
      </x:c>
      <x:c r="K943" s="31"/>
      <x:c r="L943" s="40"/>
      <x:c r="M943" s="40"/>
      <x:c r="N943" s="31" t="n">
        <x:v>462</x:v>
      </x:c>
      <x:c r="O943" s="31" t="n">
        <x:v>834</x:v>
      </x:c>
      <x:c r="P943" s="31" t="n">
        <x:v>1.9808153477218224</x:v>
      </x:c>
      <x:c r="Q943" s="40" t="n">
        <x:v>0</x:v>
      </x:c>
      <x:c r="R943" s="40" t="n">
        <x:v>0.11510791366906475</x:v>
      </x:c>
      <x:c r="S943" s="40" t="n">
        <x:v>0.002398081534772182</x:v>
      </x:c>
      <x:c r="T943" s="31" t="n">
        <x:v>24.809328470215828</x:v>
      </x:c>
      <x:c r="U943" s="31" t="n">
        <x:v>34.61</x:v>
      </x:c>
      <x:c r="V943" s="31" t="n">
        <x:v>0</x:v>
      </x:c>
      <x:c r="W943" s="31" t="n">
        <x:v>0</x:v>
      </x:c>
      <x:c r="X943" s="31" t="n">
        <x:v>2</x:v>
      </x:c>
      <x:c r="Y943" s="40" t="n">
        <x:v>0</x:v>
      </x:c>
      <x:c r="Z943" s="40" t="n">
        <x:v>1</x:v>
      </x:c>
      <x:c r="AA943" s="40" t="n">
        <x:v>1</x:v>
      </x:c>
      <x:c r="AB943" s="31" t="n">
        <x:v>0.3319630294205403</x:v>
      </x:c>
      <x:c r="AC943" s="31" t="n">
        <x:v>6</x:v>
      </x:c>
      <x:c r="AD943" s="44" t="b">
        <x:v>1</x:v>
      </x:c>
    </x:row>
    <x:row r="944">
      <x:c r="A944" s="31" t="str">
        <x:v>36047068000</x:v>
      </x:c>
      <x:c r="B944" s="31" t="str">
        <x:v>Brooklyn</x:v>
      </x:c>
      <x:c r="C944" s="31" t="str">
        <x:v>068000</x:v>
      </x:c>
      <x:c r="D944" s="31" t="str">
        <x:v>BK1801</x:v>
      </x:c>
      <x:c r="E944" s="31" t="str">
        <x:v>Flatlands</x:v>
      </x:c>
      <x:c r="F944" s="31" t="n">
        <x:v>0.06520400098140496</x:v>
      </x:c>
      <x:c r="G944" s="31" t="n">
        <x:v>40.6213763535669</x:v>
      </x:c>
      <x:c r="H944" s="31" t="n">
        <x:v>-73.9251877844092</x:v>
      </x:c>
      <x:c r="I944" s="31" t="n">
        <x:v>1887</x:v>
      </x:c>
      <x:c r="J944" s="31" t="n">
        <x:v>28939.94189924234</x:v>
      </x:c>
      <x:c r="K944" s="31"/>
      <x:c r="L944" s="40"/>
      <x:c r="M944" s="40"/>
      <x:c r="N944" s="31" t="n">
        <x:v>452</x:v>
      </x:c>
      <x:c r="O944" s="31" t="n">
        <x:v>575</x:v>
      </x:c>
      <x:c r="P944" s="31" t="n">
        <x:v>2.0756521739130434</x:v>
      </x:c>
      <x:c r="Q944" s="40" t="n">
        <x:v>0</x:v>
      </x:c>
      <x:c r="R944" s="40" t="n">
        <x:v>0.04521739130434783</x:v>
      </x:c>
      <x:c r="S944" s="40" t="n">
        <x:v>0.019130434782608695</x:v>
      </x:c>
      <x:c r="T944" s="31" t="n">
        <x:v>25.27313465507826</x:v>
      </x:c>
      <x:c r="U944" s="31" t="n">
        <x:v>35.18</x:v>
      </x:c>
      <x:c r="V944" s="31" t="n">
        <x:v>0</x:v>
      </x:c>
      <x:c r="W944" s="31" t="n">
        <x:v>0</x:v>
      </x:c>
      <x:c r="X944" s="31" t="n">
        <x:v>2</x:v>
      </x:c>
      <x:c r="Y944" s="40" t="n">
        <x:v>0</x:v>
      </x:c>
      <x:c r="Z944" s="40" t="n">
        <x:v>1</x:v>
      </x:c>
      <x:c r="AA944" s="40" t="n">
        <x:v>1</x:v>
      </x:c>
      <x:c r="AB944" s="31" t="n">
        <x:v>0.04434369812119258</x:v>
      </x:c>
      <x:c r="AC944" s="31" t="n">
        <x:v>6</x:v>
      </x:c>
      <x:c r="AD944" s="44" t="b">
        <x:v>1</x:v>
      </x:c>
    </x:row>
    <x:row r="945">
      <x:c r="A945" s="31" t="str">
        <x:v>36047068200</x:v>
      </x:c>
      <x:c r="B945" s="31" t="str">
        <x:v>Brooklyn</x:v>
      </x:c>
      <x:c r="C945" s="31" t="str">
        <x:v>068200</x:v>
      </x:c>
      <x:c r="D945" s="31" t="str">
        <x:v>BK1801</x:v>
      </x:c>
      <x:c r="E945" s="31" t="str">
        <x:v>Flatlands</x:v>
      </x:c>
      <x:c r="F945" s="31" t="n">
        <x:v>0.07808370500100437</x:v>
      </x:c>
      <x:c r="G945" s="31" t="n">
        <x:v>40.61664701119969</x:v>
      </x:c>
      <x:c r="H945" s="31" t="n">
        <x:v>-73.92413047268107</x:v>
      </x:c>
      <x:c r="I945" s="31" t="n">
        <x:v>2489</x:v>
      </x:c>
      <x:c r="J945" s="31" t="n">
        <x:v>31876.048914020983</x:v>
      </x:c>
      <x:c r="K945" s="31"/>
      <x:c r="L945" s="40"/>
      <x:c r="M945" s="40"/>
      <x:c r="N945" s="31" t="n">
        <x:v>575</x:v>
      </x:c>
      <x:c r="O945" s="31" t="n">
        <x:v>833</x:v>
      </x:c>
      <x:c r="P945" s="31" t="n">
        <x:v>1.9416926770708285</x:v>
      </x:c>
      <x:c r="Q945" s="40" t="n">
        <x:v>0</x:v>
      </x:c>
      <x:c r="R945" s="40" t="n">
        <x:v>0.04321728691476591</x:v>
      </x:c>
      <x:c r="S945" s="40" t="n">
        <x:v>0.006002400960384154</x:v>
      </x:c>
      <x:c r="T945" s="31" t="n">
        <x:v>26.13633326317633</x:v>
      </x:c>
      <x:c r="U945" s="31" t="n">
        <x:v>42.39482574</x:v>
      </x:c>
      <x:c r="V945" s="31" t="n">
        <x:v>0</x:v>
      </x:c>
      <x:c r="W945" s="31" t="n">
        <x:v>0</x:v>
      </x:c>
      <x:c r="X945" s="31" t="n">
        <x:v>2</x:v>
      </x:c>
      <x:c r="Y945" s="40" t="n">
        <x:v>0</x:v>
      </x:c>
      <x:c r="Z945" s="40" t="n">
        <x:v>1</x:v>
      </x:c>
      <x:c r="AA945" s="40" t="n">
        <x:v>0.9939975990396158</x:v>
      </x:c>
      <x:c r="AB945" s="31" t="n">
        <x:v>0.3707997383756278</x:v>
      </x:c>
      <x:c r="AC945" s="31" t="n">
        <x:v>5</x:v>
      </x:c>
      <x:c r="AD945" s="44" t="b">
        <x:v>1</x:v>
      </x:c>
    </x:row>
    <x:row r="946">
      <x:c r="A946" s="31" t="str">
        <x:v>36047068600</x:v>
      </x:c>
      <x:c r="B946" s="31" t="str">
        <x:v>Brooklyn</x:v>
      </x:c>
      <x:c r="C946" s="31" t="str">
        <x:v>068600</x:v>
      </x:c>
      <x:c r="D946" s="31" t="str">
        <x:v>BK1802</x:v>
      </x:c>
      <x:c r="E946" s="31" t="str">
        <x:v>Marine Park-Mill Basin-Bergen Beach</x:v>
      </x:c>
      <x:c r="F946" s="31" t="n">
        <x:v>0.05713829921121729</x:v>
      </x:c>
      <x:c r="G946" s="31" t="n">
        <x:v>40.6148228221695</x:v>
      </x:c>
      <x:c r="H946" s="31" t="n">
        <x:v>-73.91728247079136</x:v>
      </x:c>
      <x:c r="I946" s="31" t="n">
        <x:v>1749</x:v>
      </x:c>
      <x:c r="J946" s="31" t="n">
        <x:v>30609.94156537021</x:v>
      </x:c>
      <x:c r="K946" s="31"/>
      <x:c r="L946" s="40"/>
      <x:c r="M946" s="40"/>
      <x:c r="N946" s="31" t="n">
        <x:v>251</x:v>
      </x:c>
      <x:c r="O946" s="31" t="n">
        <x:v>672</x:v>
      </x:c>
      <x:c r="P946" s="31" t="n">
        <x:v>2.1078869047619047</x:v>
      </x:c>
      <x:c r="Q946" s="40" t="n">
        <x:v>0</x:v>
      </x:c>
      <x:c r="R946" s="40" t="n">
        <x:v>0.25148809523809523</x:v>
      </x:c>
      <x:c r="S946" s="40" t="n">
        <x:v>0.34523809523809523</x:v>
      </x:c>
      <x:c r="T946" s="31" t="n">
        <x:v>27.836068654821425</x:v>
      </x:c>
      <x:c r="U946" s="31" t="n">
        <x:v>36.42741345</x:v>
      </x:c>
      <x:c r="V946" s="31" t="n">
        <x:v>0</x:v>
      </x:c>
      <x:c r="W946" s="31" t="n">
        <x:v>0</x:v>
      </x:c>
      <x:c r="X946" s="31" t="n">
        <x:v>2</x:v>
      </x:c>
      <x:c r="Y946" s="40" t="n">
        <x:v>0</x:v>
      </x:c>
      <x:c r="Z946" s="40" t="n">
        <x:v>1</x:v>
      </x:c>
      <x:c r="AA946" s="40" t="n">
        <x:v>1</x:v>
      </x:c>
      <x:c r="AB946" s="31" t="n">
        <x:v>0.2650208039132719</x:v>
      </x:c>
      <x:c r="AC946" s="31" t="n">
        <x:v>3</x:v>
      </x:c>
      <x:c r="AD946" s="44" t="b">
        <x:v>1</x:v>
      </x:c>
    </x:row>
    <x:row r="947">
      <x:c r="A947" s="31" t="str">
        <x:v>36047068800</x:v>
      </x:c>
      <x:c r="B947" s="31" t="str">
        <x:v>Brooklyn</x:v>
      </x:c>
      <x:c r="C947" s="31" t="str">
        <x:v>068800</x:v>
      </x:c>
      <x:c r="D947" s="31" t="str">
        <x:v>BK1801</x:v>
      </x:c>
      <x:c r="E947" s="31" t="str">
        <x:v>Flatlands</x:v>
      </x:c>
      <x:c r="F947" s="31" t="n">
        <x:v>0.06049188449408862</x:v>
      </x:c>
      <x:c r="G947" s="31" t="n">
        <x:v>40.61721435268991</x:v>
      </x:c>
      <x:c r="H947" s="31" t="n">
        <x:v>-73.91910356383174</x:v>
      </x:c>
      <x:c r="I947" s="31" t="n">
        <x:v>1706</x:v>
      </x:c>
      <x:c r="J947" s="31" t="n">
        <x:v>28202.130157917523</x:v>
      </x:c>
      <x:c r="K947" s="31"/>
      <x:c r="L947" s="40"/>
      <x:c r="M947" s="40"/>
      <x:c r="N947" s="31" t="n">
        <x:v>444</x:v>
      </x:c>
      <x:c r="O947" s="31" t="n">
        <x:v>591</x:v>
      </x:c>
      <x:c r="P947" s="31" t="n">
        <x:v>1.9275634517766498</x:v>
      </x:c>
      <x:c r="Q947" s="40" t="n">
        <x:v>0</x:v>
      </x:c>
      <x:c r="R947" s="40" t="n">
        <x:v>0.05922165820642978</x:v>
      </x:c>
      <x:c r="S947" s="40" t="n">
        <x:v>0.038917089678511</x:v>
      </x:c>
      <x:c r="T947" s="31" t="n">
        <x:v>25.31661324319797</x:v>
      </x:c>
      <x:c r="U947" s="31" t="n">
        <x:v>36.62087813</x:v>
      </x:c>
      <x:c r="V947" s="31" t="n">
        <x:v>0</x:v>
      </x:c>
      <x:c r="W947" s="31" t="n">
        <x:v>0</x:v>
      </x:c>
      <x:c r="X947" s="31" t="n">
        <x:v>2</x:v>
      </x:c>
      <x:c r="Y947" s="40" t="n">
        <x:v>0</x:v>
      </x:c>
      <x:c r="Z947" s="40" t="n">
        <x:v>1</x:v>
      </x:c>
      <x:c r="AA947" s="40" t="n">
        <x:v>1</x:v>
      </x:c>
      <x:c r="AB947" s="31" t="n">
        <x:v>0.22059422175163937</x:v>
      </x:c>
      <x:c r="AC947" s="31" t="n">
        <x:v>6</x:v>
      </x:c>
      <x:c r="AD947" s="44" t="b">
        <x:v>1</x:v>
      </x:c>
    </x:row>
    <x:row r="948">
      <x:c r="A948" s="31" t="str">
        <x:v>36047069000</x:v>
      </x:c>
      <x:c r="B948" s="31" t="str">
        <x:v>Brooklyn</x:v>
      </x:c>
      <x:c r="C948" s="31" t="str">
        <x:v>069000</x:v>
      </x:c>
      <x:c r="D948" s="31" t="str">
        <x:v>BK1801</x:v>
      </x:c>
      <x:c r="E948" s="31" t="str">
        <x:v>Flatlands</x:v>
      </x:c>
      <x:c r="F948" s="31" t="n">
        <x:v>0.06677674938805671</x:v>
      </x:c>
      <x:c r="G948" s="31" t="n">
        <x:v>40.61996582267189</x:v>
      </x:c>
      <x:c r="H948" s="31" t="n">
        <x:v>-73.92066913668992</x:v>
      </x:c>
      <x:c r="I948" s="31" t="n">
        <x:v>1880</x:v>
      </x:c>
      <x:c r="J948" s="31" t="n">
        <x:v>28153.51177211159</x:v>
      </x:c>
      <x:c r="K948" s="31"/>
      <x:c r="L948" s="40"/>
      <x:c r="M948" s="40"/>
      <x:c r="N948" s="31" t="n">
        <x:v>450</x:v>
      </x:c>
      <x:c r="O948" s="31" t="n">
        <x:v>611</x:v>
      </x:c>
      <x:c r="P948" s="31" t="n">
        <x:v>2.0533661740558293</x:v>
      </x:c>
      <x:c r="Q948" s="40" t="n">
        <x:v>0</x:v>
      </x:c>
      <x:c r="R948" s="40" t="n">
        <x:v>0.06873977086743044</x:v>
      </x:c>
      <x:c r="S948" s="40" t="n">
        <x:v>0.01800327332242226</x:v>
      </x:c>
      <x:c r="T948" s="31" t="n">
        <x:v>26.733431166006547</x:v>
      </x:c>
      <x:c r="U948" s="31" t="n">
        <x:v>47.34999999</x:v>
      </x:c>
      <x:c r="V948" s="31" t="n">
        <x:v>0</x:v>
      </x:c>
      <x:c r="W948" s="31" t="n">
        <x:v>0</x:v>
      </x:c>
      <x:c r="X948" s="31" t="n">
        <x:v>2</x:v>
      </x:c>
      <x:c r="Y948" s="40" t="n">
        <x:v>0</x:v>
      </x:c>
      <x:c r="Z948" s="40" t="n">
        <x:v>1</x:v>
      </x:c>
      <x:c r="AA948" s="40" t="n">
        <x:v>1</x:v>
      </x:c>
      <x:c r="AB948" s="31" t="n">
        <x:v>0.19699179652970644</x:v>
      </x:c>
      <x:c r="AC948" s="31" t="n">
        <x:v>7</x:v>
      </x:c>
      <x:c r="AD948" s="44" t="b">
        <x:v>1</x:v>
      </x:c>
    </x:row>
    <x:row r="949">
      <x:c r="A949" s="31" t="str">
        <x:v>36047069200</x:v>
      </x:c>
      <x:c r="B949" s="31" t="str">
        <x:v>Brooklyn</x:v>
      </x:c>
      <x:c r="C949" s="31" t="str">
        <x:v>069200</x:v>
      </x:c>
      <x:c r="D949" s="31" t="str">
        <x:v>BK1801</x:v>
      </x:c>
      <x:c r="E949" s="31" t="str">
        <x:v>Flatlands</x:v>
      </x:c>
      <x:c r="F949" s="31" t="n">
        <x:v>0.07008085573311237</x:v>
      </x:c>
      <x:c r="G949" s="31" t="n">
        <x:v>40.623671175873255</x:v>
      </x:c>
      <x:c r="H949" s="31" t="n">
        <x:v>-73.92009928811294</x:v>
      </x:c>
      <x:c r="I949" s="31" t="n">
        <x:v>2512</x:v>
      </x:c>
      <x:c r="J949" s="31" t="n">
        <x:v>35844.31117060561</x:v>
      </x:c>
      <x:c r="K949" s="31"/>
      <x:c r="L949" s="40"/>
      <x:c r="M949" s="40"/>
      <x:c r="N949" s="31" t="n">
        <x:v>498</x:v>
      </x:c>
      <x:c r="O949" s="31" t="n">
        <x:v>763</x:v>
      </x:c>
      <x:c r="P949" s="31" t="n">
        <x:v>2.2084010484927914</x:v>
      </x:c>
      <x:c r="Q949" s="40" t="n">
        <x:v>0</x:v>
      </x:c>
      <x:c r="R949" s="40" t="n">
        <x:v>0.23722149410222804</x:v>
      </x:c>
      <x:c r="S949" s="40" t="n">
        <x:v>0.003931847968545216</x:v>
      </x:c>
      <x:c r="T949" s="31" t="n">
        <x:v>26.13491480996068</x:v>
      </x:c>
      <x:c r="U949" s="31" t="n">
        <x:v>37.89</x:v>
      </x:c>
      <x:c r="V949" s="31" t="n">
        <x:v>1</x:v>
      </x:c>
      <x:c r="W949" s="31" t="n">
        <x:v>0.3980891719745223</x:v>
      </x:c>
      <x:c r="X949" s="31" t="n">
        <x:v>2</x:v>
      </x:c>
      <x:c r="Y949" s="40" t="n">
        <x:v>0</x:v>
      </x:c>
      <x:c r="Z949" s="40" t="n">
        <x:v>1</x:v>
      </x:c>
      <x:c r="AA949" s="40" t="n">
        <x:v>1</x:v>
      </x:c>
      <x:c r="AB949" s="31" t="n">
        <x:v>0.3065738458646951</x:v>
      </x:c>
      <x:c r="AC949" s="31" t="n">
        <x:v>5</x:v>
      </x:c>
      <x:c r="AD949" s="44" t="b">
        <x:v>1</x:v>
      </x:c>
    </x:row>
    <x:row r="950">
      <x:c r="A950" s="31" t="str">
        <x:v>36047069601</x:v>
      </x:c>
      <x:c r="B950" s="31" t="str">
        <x:v>Brooklyn</x:v>
      </x:c>
      <x:c r="C950" s="31" t="str">
        <x:v>069601</x:v>
      </x:c>
      <x:c r="D950" s="31" t="str">
        <x:v>BK1802</x:v>
      </x:c>
      <x:c r="E950" s="31" t="str">
        <x:v>Marine Park-Mill Basin-Bergen Beach</x:v>
      </x:c>
      <x:c r="F950" s="31" t="n">
        <x:v>0.16257089216633666</x:v>
      </x:c>
      <x:c r="G950" s="31" t="n">
        <x:v>40.626777198168405</x:v>
      </x:c>
      <x:c r="H950" s="31" t="n">
        <x:v>-73.91513903700525</x:v>
      </x:c>
      <x:c r="I950" s="31" t="n">
        <x:v>3932</x:v>
      </x:c>
      <x:c r="J950" s="31" t="n">
        <x:v>24186.371542926147</x:v>
      </x:c>
      <x:c r="K950" s="31"/>
      <x:c r="L950" s="40"/>
      <x:c r="M950" s="40"/>
      <x:c r="N950" s="31" t="n">
        <x:v>416</x:v>
      </x:c>
      <x:c r="O950" s="31" t="n">
        <x:v>1355</x:v>
      </x:c>
      <x:c r="P950" s="31" t="n">
        <x:v>2.8192955589586526</x:v>
      </x:c>
      <x:c r="Q950" s="40" t="n">
        <x:v>0</x:v>
      </x:c>
      <x:c r="R950" s="40" t="n">
        <x:v>0.7129151291512915</x:v>
      </x:c>
      <x:c r="S950" s="40" t="n">
        <x:v>0.15276752767527677</x:v>
      </x:c>
      <x:c r="T950" s="31" t="n">
        <x:v>34.89181549815498</x:v>
      </x:c>
      <x:c r="U950" s="31" t="n">
        <x:v>47</x:v>
      </x:c>
      <x:c r="V950" s="31" t="n">
        <x:v>0</x:v>
      </x:c>
      <x:c r="W950" s="31" t="n">
        <x:v>0</x:v>
      </x:c>
      <x:c r="X950" s="31" t="n">
        <x:v>2</x:v>
      </x:c>
      <x:c r="Y950" s="40" t="n">
        <x:v>0</x:v>
      </x:c>
      <x:c r="Z950" s="40" t="n">
        <x:v>1</x:v>
      </x:c>
      <x:c r="AA950" s="40" t="n">
        <x:v>1</x:v>
      </x:c>
      <x:c r="AB950" s="31" t="n">
        <x:v>0.4262836593420316</x:v>
      </x:c>
      <x:c r="AC950" s="31" t="n">
        <x:v>7</x:v>
      </x:c>
      <x:c r="AD950" s="44" t="b">
        <x:v>1</x:v>
      </x:c>
    </x:row>
    <x:row r="951">
      <x:c r="A951" s="31" t="str">
        <x:v>36047069602</x:v>
      </x:c>
      <x:c r="B951" s="31" t="str">
        <x:v>Brooklyn</x:v>
      </x:c>
      <x:c r="C951" s="31" t="str">
        <x:v>069602</x:v>
      </x:c>
      <x:c r="D951" s="31" t="str">
        <x:v>BK1802</x:v>
      </x:c>
      <x:c r="E951" s="31" t="str">
        <x:v>Marine Park-Mill Basin-Bergen Beach</x:v>
      </x:c>
      <x:c r="F951" s="31" t="n">
        <x:v>0.28295690824868</x:v>
      </x:c>
      <x:c r="G951" s="31" t="n">
        <x:v>40.62237402267605</x:v>
      </x:c>
      <x:c r="H951" s="31" t="n">
        <x:v>-73.90959451947636</x:v>
      </x:c>
      <x:c r="I951" s="31" t="n">
        <x:v>6275</x:v>
      </x:c>
      <x:c r="J951" s="31" t="n">
        <x:v>22176.52164366011</x:v>
      </x:c>
      <x:c r="K951" s="31"/>
      <x:c r="L951" s="40"/>
      <x:c r="M951" s="40"/>
      <x:c r="N951" s="31" t="n">
        <x:v>1138</x:v>
      </x:c>
      <x:c r="O951" s="31" t="n">
        <x:v>2260</x:v>
      </x:c>
      <x:c r="P951" s="31" t="n">
        <x:v>2.4486512866015975</x:v>
      </x:c>
      <x:c r="Q951" s="40" t="n">
        <x:v>0</x:v>
      </x:c>
      <x:c r="R951" s="40" t="n">
        <x:v>0.36991150442477877</x:v>
      </x:c>
      <x:c r="S951" s="40" t="n">
        <x:v>0.1756637168141593</x:v>
      </x:c>
      <x:c r="T951" s="31" t="n">
        <x:v>31.459178287902787</x:v>
      </x:c>
      <x:c r="U951" s="31" t="n">
        <x:v>51</x:v>
      </x:c>
      <x:c r="V951" s="31" t="n">
        <x:v>1</x:v>
      </x:c>
      <x:c r="W951" s="31" t="n">
        <x:v>0.1593625498007968</x:v>
      </x:c>
      <x:c r="X951" s="31" t="n">
        <x:v>2</x:v>
      </x:c>
      <x:c r="Y951" s="40" t="n">
        <x:v>0</x:v>
      </x:c>
      <x:c r="Z951" s="40" t="n">
        <x:v>1</x:v>
      </x:c>
      <x:c r="AA951" s="40" t="n">
        <x:v>0.9831858407079646</x:v>
      </x:c>
      <x:c r="AB951" s="31" t="n">
        <x:v>0.0365440939946603</x:v>
      </x:c>
      <x:c r="AC951" s="31" t="n">
        <x:v>8</x:v>
      </x:c>
      <x:c r="AD951" s="44" t="b">
        <x:v>1</x:v>
      </x:c>
    </x:row>
    <x:row r="952">
      <x:c r="A952" s="31" t="str">
        <x:v>36047069800</x:v>
      </x:c>
      <x:c r="B952" s="31" t="str">
        <x:v>Brooklyn</x:v>
      </x:c>
      <x:c r="C952" s="31" t="str">
        <x:v>069800</x:v>
      </x:c>
      <x:c r="D952" s="31" t="str">
        <x:v>BK1802</x:v>
      </x:c>
      <x:c r="E952" s="31" t="str">
        <x:v>Marine Park-Mill Basin-Bergen Beach</x:v>
      </x:c>
      <x:c r="F952" s="31" t="n">
        <x:v>0.19471513996140383</x:v>
      </x:c>
      <x:c r="G952" s="31" t="n">
        <x:v>40.61292023746378</x:v>
      </x:c>
      <x:c r="H952" s="31" t="n">
        <x:v>-73.91572910681222</x:v>
      </x:c>
      <x:c r="I952" s="31" t="n">
        <x:v>1417</x:v>
      </x:c>
      <x:c r="J952" s="31" t="n">
        <x:v>7277.29749356355</x:v>
      </x:c>
      <x:c r="K952" s="31"/>
      <x:c r="L952" s="40"/>
      <x:c r="M952" s="40"/>
      <x:c r="N952" s="31" t="n">
        <x:v>368</x:v>
      </x:c>
      <x:c r="O952" s="31" t="n">
        <x:v>547</x:v>
      </x:c>
      <x:c r="P952" s="31" t="n">
        <x:v>2.4049360146252283</x:v>
      </x:c>
      <x:c r="Q952" s="40" t="n">
        <x:v>0</x:v>
      </x:c>
      <x:c r="R952" s="40" t="n">
        <x:v>0.2979890310786106</x:v>
      </x:c>
      <x:c r="S952" s="40" t="n">
        <x:v>0.003656307129798903</x:v>
      </x:c>
      <x:c r="T952" s="31" t="n">
        <x:v>29.221592526373627</x:v>
      </x:c>
      <x:c r="U952" s="31" t="n">
        <x:v>47</x:v>
      </x:c>
      <x:c r="V952" s="31" t="n">
        <x:v>4</x:v>
      </x:c>
      <x:c r="W952" s="31" t="n">
        <x:v>2.8228652081863093</x:v>
      </x:c>
      <x:c r="X952" s="31" t="n">
        <x:v>2</x:v>
      </x:c>
      <x:c r="Y952" s="40" t="n">
        <x:v>0</x:v>
      </x:c>
      <x:c r="Z952" s="40" t="n">
        <x:v>1</x:v>
      </x:c>
      <x:c r="AA952" s="40" t="n">
        <x:v>0.9981718464351006</x:v>
      </x:c>
      <x:c r="AB952" s="31" t="n">
        <x:v>0.2620997804696342</x:v>
      </x:c>
      <x:c r="AC952" s="31" t="n">
        <x:v>9</x:v>
      </x:c>
      <x:c r="AD952" s="44" t="b">
        <x:v>1</x:v>
      </x:c>
    </x:row>
    <x:row r="953">
      <x:c r="A953" s="31" t="str">
        <x:v>36047070000</x:v>
      </x:c>
      <x:c r="B953" s="31" t="str">
        <x:v>Brooklyn</x:v>
      </x:c>
      <x:c r="C953" s="31" t="str">
        <x:v>070000</x:v>
      </x:c>
      <x:c r="D953" s="31" t="str">
        <x:v>BK1802</x:v>
      </x:c>
      <x:c r="E953" s="31" t="str">
        <x:v>Marine Park-Mill Basin-Bergen Beach</x:v>
      </x:c>
      <x:c r="F953" s="31" t="n">
        <x:v>0.07809221678432048</x:v>
      </x:c>
      <x:c r="G953" s="31" t="n">
        <x:v>40.62004185374834</x:v>
      </x:c>
      <x:c r="H953" s="31" t="n">
        <x:v>-73.90674287604614</x:v>
      </x:c>
      <x:c r="I953" s="31" t="n">
        <x:v>1650</x:v>
      </x:c>
      <x:c r="J953" s="31" t="n">
        <x:v>21128.866203876165</x:v>
      </x:c>
      <x:c r="K953" s="31"/>
      <x:c r="L953" s="40"/>
      <x:c r="M953" s="40"/>
      <x:c r="N953" s="31" t="n">
        <x:v>404</x:v>
      </x:c>
      <x:c r="O953" s="31" t="n">
        <x:v>720</x:v>
      </x:c>
      <x:c r="P953" s="31" t="n">
        <x:v>2.667535014005602</x:v>
      </x:c>
      <x:c r="Q953" s="40" t="n">
        <x:v>0</x:v>
      </x:c>
      <x:c r="R953" s="40" t="n">
        <x:v>0.23194444444444445</x:v>
      </x:c>
      <x:c r="S953" s="40" t="n">
        <x:v>0</x:v>
      </x:c>
      <x:c r="T953" s="31" t="n">
        <x:v>33.36638673211111</x:v>
      </x:c>
      <x:c r="U953" s="31" t="n">
        <x:v>65.00405504</x:v>
      </x:c>
      <x:c r="V953" s="31" t="n">
        <x:v>2</x:v>
      </x:c>
      <x:c r="W953" s="31" t="n">
        <x:v>1.2121212121212122</x:v>
      </x:c>
      <x:c r="X953" s="31" t="n">
        <x:v>2</x:v>
      </x:c>
      <x:c r="Y953" s="40" t="n">
        <x:v>0</x:v>
      </x:c>
      <x:c r="Z953" s="40" t="n">
        <x:v>1</x:v>
      </x:c>
      <x:c r="AA953" s="40" t="n">
        <x:v>1</x:v>
      </x:c>
      <x:c r="AB953" s="31" t="n">
        <x:v>0.18354253157849093</x:v>
      </x:c>
      <x:c r="AC953" s="31" t="n">
        <x:v>2</x:v>
      </x:c>
      <x:c r="AD953" s="44" t="b">
        <x:v>1</x:v>
      </x:c>
    </x:row>
    <x:row r="954">
      <x:c r="A954" s="31" t="str">
        <x:v>36047070201</x:v>
      </x:c>
      <x:c r="B954" s="31" t="str">
        <x:v>Brooklyn</x:v>
      </x:c>
      <x:c r="C954" s="31" t="str">
        <x:v>070201</x:v>
      </x:c>
      <x:c r="D954" s="31" t="str">
        <x:v>BK1802</x:v>
      </x:c>
      <x:c r="E954" s="31" t="str">
        <x:v>Marine Park-Mill Basin-Bergen Beach</x:v>
      </x:c>
      <x:c r="F954" s="31" t="n">
        <x:v>0.39761121259469695</x:v>
      </x:c>
      <x:c r="G954" s="31" t="n">
        <x:v>40.60931426712045</x:v>
      </x:c>
      <x:c r="H954" s="31" t="n">
        <x:v>-73.90886445077577</x:v>
      </x:c>
      <x:c r="I954" s="31" t="n">
        <x:v>6719</x:v>
      </x:c>
      <x:c r="J954" s="31" t="n">
        <x:v>16898.416813131927</x:v>
      </x:c>
      <x:c r="K954" s="31"/>
      <x:c r="L954" s="40"/>
      <x:c r="M954" s="40"/>
      <x:c r="N954" s="31" t="n">
        <x:v>1876</x:v>
      </x:c>
      <x:c r="O954" s="31" t="n">
        <x:v>2528</x:v>
      </x:c>
      <x:c r="P954" s="31" t="n">
        <x:v>1.7629651623119558</x:v>
      </x:c>
      <x:c r="Q954" s="40" t="n">
        <x:v>0</x:v>
      </x:c>
      <x:c r="R954" s="40" t="n">
        <x:v>0.12460443037974683</x:v>
      </x:c>
      <x:c r="S954" s="40" t="n">
        <x:v>0</x:v>
      </x:c>
      <x:c r="T954" s="31" t="n">
        <x:v>27.141911246006348</x:v>
      </x:c>
      <x:c r="U954" s="31" t="n">
        <x:v>58.51255697</x:v>
      </x:c>
      <x:c r="V954" s="31" t="n">
        <x:v>31</x:v>
      </x:c>
      <x:c r="W954" s="31" t="n">
        <x:v>4.613781812769758</x:v>
      </x:c>
      <x:c r="X954" s="31" t="n">
        <x:v>2</x:v>
      </x:c>
      <x:c r="Y954" s="40" t="n">
        <x:v>0</x:v>
      </x:c>
      <x:c r="Z954" s="40" t="n">
        <x:v>1</x:v>
      </x:c>
      <x:c r="AA954" s="40" t="n">
        <x:v>0.9964398734177216</x:v>
      </x:c>
      <x:c r="AB954" s="31" t="n">
        <x:v>0.4804672251028845</x:v>
      </x:c>
      <x:c r="AC954" s="31" t="n">
        <x:v>3</x:v>
      </x:c>
      <x:c r="AD954" s="44" t="b">
        <x:v>1</x:v>
      </x:c>
    </x:row>
    <x:row r="955">
      <x:c r="A955" s="31" t="str">
        <x:v>36047070202</x:v>
      </x:c>
      <x:c r="B955" s="31" t="str">
        <x:v>Brooklyn</x:v>
      </x:c>
      <x:c r="C955" s="31" t="str">
        <x:v>070202</x:v>
      </x:c>
      <x:c r="D955" s="31" t="str">
        <x:v>BK5691</x:v>
      </x:c>
      <x:c r="E955" s="31" t="str">
        <x:v>Barren Island-Floyd Bennett Field</x:v>
      </x:c>
      <x:c r="F955" s="31" t="n">
        <x:v>1.9612319181301654</x:v>
      </x:c>
      <x:c r="G955" s="31" t="n">
        <x:v>40.59319135325547</x:v>
      </x:c>
      <x:c r="H955" s="31" t="n">
        <x:v>-73.89184990236006</x:v>
      </x:c>
      <x:c r="I955" s="31" t="n">
        <x:v>21</x:v>
      </x:c>
      <x:c r="J955" s="31" t="n">
        <x:v>10.707555697962206</x:v>
      </x:c>
      <x:c r="K955" s="31"/>
      <x:c r="L955" s="40"/>
      <x:c r="M955" s="40"/>
      <x:c r="N955" s="31" t="n">
        <x:v>0</x:v>
      </x:c>
      <x:c r="O955" s="31"/>
      <x:c r="P955" s="31"/>
      <x:c r="Q955" s="40"/>
      <x:c r="R955" s="40"/>
      <x:c r="S955" s="40"/>
      <x:c r="T955" s="31"/>
      <x:c r="U955" s="31"/>
      <x:c r="V955" s="31" t="n">
        <x:v>0</x:v>
      </x:c>
      <x:c r="W955" s="31" t="n">
        <x:v>0</x:v>
      </x:c>
      <x:c r="X955" s="31"/>
      <x:c r="Y955" s="40"/>
      <x:c r="Z955" s="40"/>
      <x:c r="AA955" s="40"/>
      <x:c r="AB955" s="31" t="n">
        <x:v>1.6937569789313065</x:v>
      </x:c>
      <x:c r="AC955" s="31" t="n">
        <x:v>2</x:v>
      </x:c>
      <x:c r="AD955" s="44" t="b">
        <x:v>0</x:v>
      </x:c>
    </x:row>
    <x:row r="956">
      <x:c r="A956" s="31" t="str">
        <x:v>36047070203</x:v>
      </x:c>
      <x:c r="B956" s="31" t="str">
        <x:v>Brooklyn</x:v>
      </x:c>
      <x:c r="C956" s="31" t="str">
        <x:v>070203</x:v>
      </x:c>
      <x:c r="D956" s="31" t="str">
        <x:v>BK5692</x:v>
      </x:c>
      <x:c r="E956" s="31" t="str">
        <x:v>Jamaica Bay (West)</x:v>
      </x:c>
      <x:c r="F956" s="31" t="n">
        <x:v>1.425988467541179</x:v>
      </x:c>
      <x:c r="G956" s="31" t="n">
        <x:v>40.610238974973704</x:v>
      </x:c>
      <x:c r="H956" s="31" t="n">
        <x:v>-73.85951176549861</x:v>
      </x:c>
      <x:c r="I956" s="31" t="n">
        <x:v>0</x:v>
      </x:c>
      <x:c r="J956" s="31" t="n">
        <x:v>0</x:v>
      </x:c>
      <x:c r="K956" s="31"/>
      <x:c r="L956" s="40"/>
      <x:c r="M956" s="40"/>
      <x:c r="N956" s="31" t="n">
        <x:v>0</x:v>
      </x:c>
      <x:c r="O956" s="31"/>
      <x:c r="P956" s="31"/>
      <x:c r="Q956" s="40"/>
      <x:c r="R956" s="40"/>
      <x:c r="S956" s="40"/>
      <x:c r="T956" s="31"/>
      <x:c r="U956" s="31"/>
      <x:c r="V956" s="31" t="n">
        <x:v>0</x:v>
      </x:c>
      <x:c r="W956" s="31"/>
      <x:c r="X956" s="31"/>
      <x:c r="Y956" s="40"/>
      <x:c r="Z956" s="40"/>
      <x:c r="AA956" s="40"/>
      <x:c r="AB956" s="31" t="n">
        <x:v>2.022993965492555</x:v>
      </x:c>
      <x:c r="AC956" s="31" t="n">
        <x:v>0</x:v>
      </x:c>
      <x:c r="AD956" s="44" t="b">
        <x:v>0</x:v>
      </x:c>
    </x:row>
    <x:row r="957">
      <x:c r="A957" s="31" t="str">
        <x:v>36047070601</x:v>
      </x:c>
      <x:c r="B957" s="31" t="str">
        <x:v>Brooklyn</x:v>
      </x:c>
      <x:c r="C957" s="31" t="str">
        <x:v>070601</x:v>
      </x:c>
      <x:c r="D957" s="31" t="str">
        <x:v>BK1802</x:v>
      </x:c>
      <x:c r="E957" s="31" t="str">
        <x:v>Marine Park-Mill Basin-Bergen Beach</x:v>
      </x:c>
      <x:c r="F957" s="31" t="n">
        <x:v>0.1627118996768107</x:v>
      </x:c>
      <x:c r="G957" s="31" t="n">
        <x:v>40.61666477366283</x:v>
      </x:c>
      <x:c r="H957" s="31" t="n">
        <x:v>-73.90297557746136</x:v>
      </x:c>
      <x:c r="I957" s="31" t="n">
        <x:v>2703</x:v>
      </x:c>
      <x:c r="J957" s="31" t="n">
        <x:v>16612.183899081014</x:v>
      </x:c>
      <x:c r="K957" s="31"/>
      <x:c r="L957" s="40"/>
      <x:c r="M957" s="40"/>
      <x:c r="N957" s="31" t="n">
        <x:v>737</x:v>
      </x:c>
      <x:c r="O957" s="31" t="n">
        <x:v>1068</x:v>
      </x:c>
      <x:c r="P957" s="31" t="n">
        <x:v>1.8695501405810684</x:v>
      </x:c>
      <x:c r="Q957" s="40" t="n">
        <x:v>0</x:v>
      </x:c>
      <x:c r="R957" s="40" t="n">
        <x:v>0.0009363295880149813</x:v>
      </x:c>
      <x:c r="S957" s="40" t="n">
        <x:v>0</x:v>
      </x:c>
      <x:c r="T957" s="31" t="n">
        <x:v>28.4499425660206</x:v>
      </x:c>
      <x:c r="U957" s="31" t="n">
        <x:v>39.66658989</x:v>
      </x:c>
      <x:c r="V957" s="31" t="n">
        <x:v>1</x:v>
      </x:c>
      <x:c r="W957" s="31" t="n">
        <x:v>0.3699593044765076</x:v>
      </x:c>
      <x:c r="X957" s="31" t="n">
        <x:v>2</x:v>
      </x:c>
      <x:c r="Y957" s="40" t="n">
        <x:v>0</x:v>
      </x:c>
      <x:c r="Z957" s="40" t="n">
        <x:v>1</x:v>
      </x:c>
      <x:c r="AA957" s="40" t="n">
        <x:v>1</x:v>
      </x:c>
      <x:c r="AB957" s="31" t="n">
        <x:v>0.4893299965597707</x:v>
      </x:c>
      <x:c r="AC957" s="31" t="n">
        <x:v>4</x:v>
      </x:c>
      <x:c r="AD957" s="44" t="b">
        <x:v>1</x:v>
      </x:c>
    </x:row>
    <x:row r="958">
      <x:c r="A958" s="31" t="str">
        <x:v>36047070602</x:v>
      </x:c>
      <x:c r="B958" s="31" t="str">
        <x:v>Brooklyn</x:v>
      </x:c>
      <x:c r="C958" s="31" t="str">
        <x:v>070602</x:v>
      </x:c>
      <x:c r="D958" s="31" t="str">
        <x:v>BK1892</x:v>
      </x:c>
      <x:c r="E958" s="31" t="str">
        <x:v>McGuire Fields</x:v>
      </x:c>
      <x:c r="F958" s="31" t="n">
        <x:v>0.37984922742338156</x:v>
      </x:c>
      <x:c r="G958" s="31" t="n">
        <x:v>40.61238021544806</x:v>
      </x:c>
      <x:c r="H958" s="31" t="n">
        <x:v>-73.89695816355005</x:v>
      </x:c>
      <x:c r="I958" s="31" t="n">
        <x:v>4</x:v>
      </x:c>
      <x:c r="J958" s="31" t="n">
        <x:v>10.530493972919373</x:v>
      </x:c>
      <x:c r="K958" s="31"/>
      <x:c r="L958" s="40"/>
      <x:c r="M958" s="40"/>
      <x:c r="N958" s="31" t="n">
        <x:v>0</x:v>
      </x:c>
      <x:c r="O958" s="31"/>
      <x:c r="P958" s="31"/>
      <x:c r="Q958" s="40"/>
      <x:c r="R958" s="40"/>
      <x:c r="S958" s="40"/>
      <x:c r="T958" s="31"/>
      <x:c r="U958" s="31"/>
      <x:c r="V958" s="31" t="n">
        <x:v>0</x:v>
      </x:c>
      <x:c r="W958" s="31" t="n">
        <x:v>0</x:v>
      </x:c>
      <x:c r="X958" s="31"/>
      <x:c r="Y958" s="40"/>
      <x:c r="Z958" s="40"/>
      <x:c r="AA958" s="40"/>
      <x:c r="AB958" s="31" t="n">
        <x:v>0.8437876392102885</x:v>
      </x:c>
      <x:c r="AC958" s="31" t="n">
        <x:v>2</x:v>
      </x:c>
      <x:c r="AD958" s="44" t="b">
        <x:v>0</x:v>
      </x:c>
    </x:row>
    <x:row r="959">
      <x:c r="A959" s="31" t="str">
        <x:v>36047072000</x:v>
      </x:c>
      <x:c r="B959" s="31" t="str">
        <x:v>Brooklyn</x:v>
      </x:c>
      <x:c r="C959" s="31" t="str">
        <x:v>072000</x:v>
      </x:c>
      <x:c r="D959" s="31" t="str">
        <x:v>BK1801</x:v>
      </x:c>
      <x:c r="E959" s="31" t="str">
        <x:v>Flatlands</x:v>
      </x:c>
      <x:c r="F959" s="31" t="n">
        <x:v>0.061046258494389924</x:v>
      </x:c>
      <x:c r="G959" s="31" t="n">
        <x:v>40.6288464772276</x:v>
      </x:c>
      <x:c r="H959" s="31" t="n">
        <x:v>-73.92004746899384</x:v>
      </x:c>
      <x:c r="I959" s="31" t="n">
        <x:v>2205</x:v>
      </x:c>
      <x:c r="J959" s="31" t="n">
        <x:v>36120.14977466042</x:v>
      </x:c>
      <x:c r="K959" s="31"/>
      <x:c r="L959" s="40"/>
      <x:c r="M959" s="40"/>
      <x:c r="N959" s="31" t="n">
        <x:v>267</x:v>
      </x:c>
      <x:c r="O959" s="31" t="n">
        <x:v>667</x:v>
      </x:c>
      <x:c r="P959" s="31" t="n">
        <x:v>2.4917541229385307</x:v>
      </x:c>
      <x:c r="Q959" s="40" t="n">
        <x:v>0</x:v>
      </x:c>
      <x:c r="R959" s="40" t="n">
        <x:v>0.49325337331334335</x:v>
      </x:c>
      <x:c r="S959" s="40" t="n">
        <x:v>0</x:v>
      </x:c>
      <x:c r="T959" s="31" t="n">
        <x:v>30.209955022488757</x:v>
      </x:c>
      <x:c r="U959" s="31" t="n">
        <x:v>39</x:v>
      </x:c>
      <x:c r="V959" s="31" t="n">
        <x:v>0</x:v>
      </x:c>
      <x:c r="W959" s="31" t="n">
        <x:v>0</x:v>
      </x:c>
      <x:c r="X959" s="31" t="n">
        <x:v>2</x:v>
      </x:c>
      <x:c r="Y959" s="40" t="n">
        <x:v>0</x:v>
      </x:c>
      <x:c r="Z959" s="40" t="n">
        <x:v>1</x:v>
      </x:c>
      <x:c r="AA959" s="40" t="n">
        <x:v>1</x:v>
      </x:c>
      <x:c r="AB959" s="31" t="n">
        <x:v>0.2588583177887111</x:v>
      </x:c>
      <x:c r="AC959" s="31" t="n">
        <x:v>8</x:v>
      </x:c>
      <x:c r="AD959" s="44" t="b">
        <x:v>1</x:v>
      </x:c>
    </x:row>
    <x:row r="960">
      <x:c r="A960" s="31" t="str">
        <x:v>36047072200</x:v>
      </x:c>
      <x:c r="B960" s="31" t="str">
        <x:v>Brooklyn</x:v>
      </x:c>
      <x:c r="C960" s="31" t="str">
        <x:v>072200</x:v>
      </x:c>
      <x:c r="D960" s="31" t="str">
        <x:v>BK1801</x:v>
      </x:c>
      <x:c r="E960" s="31" t="str">
        <x:v>Flatlands</x:v>
      </x:c>
      <x:c r="F960" s="31" t="n">
        <x:v>0.09933918986060893</x:v>
      </x:c>
      <x:c r="G960" s="31" t="n">
        <x:v>40.6320000014121</x:v>
      </x:c>
      <x:c r="H960" s="31" t="n">
        <x:v>-73.92438558965154</x:v>
      </x:c>
      <x:c r="I960" s="31" t="n">
        <x:v>2893</x:v>
      </x:c>
      <x:c r="J960" s="31" t="n">
        <x:v>29122.444063208175</x:v>
      </x:c>
      <x:c r="K960" s="31"/>
      <x:c r="L960" s="40"/>
      <x:c r="M960" s="40"/>
      <x:c r="N960" s="31" t="n">
        <x:v>524</x:v>
      </x:c>
      <x:c r="O960" s="31" t="n">
        <x:v>889</x:v>
      </x:c>
      <x:c r="P960" s="31" t="n">
        <x:v>1.8065241844769404</x:v>
      </x:c>
      <x:c r="Q960" s="40" t="n">
        <x:v>0</x:v>
      </x:c>
      <x:c r="R960" s="40" t="n">
        <x:v>0.140607424071991</x:v>
      </x:c>
      <x:c r="S960" s="40" t="n">
        <x:v>0.008998875140607425</x:v>
      </x:c>
      <x:c r="T960" s="31" t="n">
        <x:v>23.056803361642295</x:v>
      </x:c>
      <x:c r="U960" s="31" t="n">
        <x:v>36.52</x:v>
      </x:c>
      <x:c r="V960" s="31" t="n">
        <x:v>0</x:v>
      </x:c>
      <x:c r="W960" s="31" t="n">
        <x:v>0</x:v>
      </x:c>
      <x:c r="X960" s="31" t="n">
        <x:v>2</x:v>
      </x:c>
      <x:c r="Y960" s="40" t="n">
        <x:v>0</x:v>
      </x:c>
      <x:c r="Z960" s="40" t="n">
        <x:v>1</x:v>
      </x:c>
      <x:c r="AA960" s="40" t="n">
        <x:v>1</x:v>
      </x:c>
      <x:c r="AB960" s="31" t="n">
        <x:v>0.05418951684057863</x:v>
      </x:c>
      <x:c r="AC960" s="31" t="n">
        <x:v>8</x:v>
      </x:c>
      <x:c r="AD960" s="44" t="b">
        <x:v>1</x:v>
      </x:c>
    </x:row>
    <x:row r="961">
      <x:c r="A961" s="31" t="str">
        <x:v>36047072400</x:v>
      </x:c>
      <x:c r="B961" s="31" t="str">
        <x:v>Brooklyn</x:v>
      </x:c>
      <x:c r="C961" s="31" t="str">
        <x:v>072400</x:v>
      </x:c>
      <x:c r="D961" s="31" t="str">
        <x:v>BK1801</x:v>
      </x:c>
      <x:c r="E961" s="31" t="str">
        <x:v>Flatlands</x:v>
      </x:c>
      <x:c r="F961" s="31" t="n">
        <x:v>0.07421409644455923</x:v>
      </x:c>
      <x:c r="G961" s="31" t="n">
        <x:v>40.63410613751009</x:v>
      </x:c>
      <x:c r="H961" s="31" t="n">
        <x:v>-73.92705533901308</x:v>
      </x:c>
      <x:c r="I961" s="31" t="n">
        <x:v>1911</x:v>
      </x:c>
      <x:c r="J961" s="31" t="n">
        <x:v>25749.825054160567</x:v>
      </x:c>
      <x:c r="K961" s="31"/>
      <x:c r="L961" s="40"/>
      <x:c r="M961" s="40"/>
      <x:c r="N961" s="31" t="n">
        <x:v>386</x:v>
      </x:c>
      <x:c r="O961" s="31" t="n">
        <x:v>610</x:v>
      </x:c>
      <x:c r="P961" s="31" t="n">
        <x:v>1.7311475409836066</x:v>
      </x:c>
      <x:c r="Q961" s="40" t="n">
        <x:v>0</x:v>
      </x:c>
      <x:c r="R961" s="40" t="n">
        <x:v>0.1360655737704918</x:v>
      </x:c>
      <x:c r="S961" s="40" t="n">
        <x:v>0.003278688524590164</x:v>
      </x:c>
      <x:c r="T961" s="31" t="n">
        <x:v>22.665846057180328</x:v>
      </x:c>
      <x:c r="U961" s="31" t="n">
        <x:v>44.55</x:v>
      </x:c>
      <x:c r="V961" s="31" t="n">
        <x:v>2</x:v>
      </x:c>
      <x:c r="W961" s="31" t="n">
        <x:v>1.0465724751439038</x:v>
      </x:c>
      <x:c r="X961" s="31" t="n">
        <x:v>2</x:v>
      </x:c>
      <x:c r="Y961" s="40" t="n">
        <x:v>0</x:v>
      </x:c>
      <x:c r="Z961" s="40" t="n">
        <x:v>1</x:v>
      </x:c>
      <x:c r="AA961" s="40" t="n">
        <x:v>1</x:v>
      </x:c>
      <x:c r="AB961" s="31" t="n">
        <x:v>0.2549094227161417</x:v>
      </x:c>
      <x:c r="AC961" s="31" t="n">
        <x:v>5</x:v>
      </x:c>
      <x:c r="AD961" s="44" t="b">
        <x:v>1</x:v>
      </x:c>
    </x:row>
    <x:row r="962">
      <x:c r="A962" s="31" t="str">
        <x:v>36047072600</x:v>
      </x:c>
      <x:c r="B962" s="31" t="str">
        <x:v>Brooklyn</x:v>
      </x:c>
      <x:c r="C962" s="31" t="str">
        <x:v>072600</x:v>
      </x:c>
      <x:c r="D962" s="31" t="str">
        <x:v>BK1801</x:v>
      </x:c>
      <x:c r="E962" s="31" t="str">
        <x:v>Flatlands</x:v>
      </x:c>
      <x:c r="F962" s="31" t="n">
        <x:v>0.10628099620709941</x:v>
      </x:c>
      <x:c r="G962" s="31" t="n">
        <x:v>40.63241365276615</x:v>
      </x:c>
      <x:c r="H962" s="31" t="n">
        <x:v>-73.9338760885095</x:v>
      </x:c>
      <x:c r="I962" s="31" t="n">
        <x:v>2582</x:v>
      </x:c>
      <x:c r="J962" s="31" t="n">
        <x:v>24294.08918005161</x:v>
      </x:c>
      <x:c r="K962" s="31"/>
      <x:c r="L962" s="40"/>
      <x:c r="M962" s="40"/>
      <x:c r="N962" s="31" t="n">
        <x:v>512</x:v>
      </x:c>
      <x:c r="O962" s="31" t="n">
        <x:v>626</x:v>
      </x:c>
      <x:c r="P962" s="31" t="n">
        <x:v>1.9900159744408945</x:v>
      </x:c>
      <x:c r="Q962" s="40" t="n">
        <x:v>0</x:v>
      </x:c>
      <x:c r="R962" s="40" t="n">
        <x:v>0</x:v>
      </x:c>
      <x:c r="S962" s="40" t="n">
        <x:v>0.001597444089456869</x:v>
      </x:c>
      <x:c r="T962" s="31" t="n">
        <x:v>24.978073718753993</x:v>
      </x:c>
      <x:c r="U962" s="31" t="n">
        <x:v>40.46</x:v>
      </x:c>
      <x:c r="V962" s="31" t="n">
        <x:v>1</x:v>
      </x:c>
      <x:c r="W962" s="31" t="n">
        <x:v>0.3872966692486445</x:v>
      </x:c>
      <x:c r="X962" s="31" t="n">
        <x:v>2.9536741214057507</x:v>
      </x:c>
      <x:c r="Y962" s="40" t="n">
        <x:v>0.31789137380191695</x:v>
      </x:c>
      <x:c r="Z962" s="40" t="n">
        <x:v>1</x:v>
      </x:c>
      <x:c r="AA962" s="40" t="n">
        <x:v>1</x:v>
      </x:c>
      <x:c r="AB962" s="31" t="n">
        <x:v>0.25167539812654116</x:v>
      </x:c>
      <x:c r="AC962" s="31" t="n">
        <x:v>9</x:v>
      </x:c>
      <x:c r="AD962" s="44" t="b">
        <x:v>1</x:v>
      </x:c>
    </x:row>
    <x:row r="963">
      <x:c r="A963" s="31" t="str">
        <x:v>36047072800</x:v>
      </x:c>
      <x:c r="B963" s="31" t="str">
        <x:v>Brooklyn</x:v>
      </x:c>
      <x:c r="C963" s="31" t="str">
        <x:v>072800</x:v>
      </x:c>
      <x:c r="D963" s="31" t="str">
        <x:v>BK1801</x:v>
      </x:c>
      <x:c r="E963" s="31" t="str">
        <x:v>Flatlands</x:v>
      </x:c>
      <x:c r="F963" s="31" t="n">
        <x:v>0.0818793549741018</x:v>
      </x:c>
      <x:c r="G963" s="31" t="n">
        <x:v>40.62948577037993</x:v>
      </x:c>
      <x:c r="H963" s="31" t="n">
        <x:v>-73.9270040963087</x:v>
      </x:c>
      <x:c r="I963" s="31" t="n">
        <x:v>3645</x:v>
      </x:c>
      <x:c r="J963" s="31" t="n">
        <x:v>44516.71610203699</x:v>
      </x:c>
      <x:c r="K963" s="31"/>
      <x:c r="L963" s="40"/>
      <x:c r="M963" s="40"/>
      <x:c r="N963" s="31" t="n">
        <x:v>435</x:v>
      </x:c>
      <x:c r="O963" s="31" t="n">
        <x:v>1420</x:v>
      </x:c>
      <x:c r="P963" s="31" t="n">
        <x:v>4.086619718309859</x:v>
      </x:c>
      <x:c r="Q963" s="40" t="n">
        <x:v>0</x:v>
      </x:c>
      <x:c r="R963" s="40" t="n">
        <x:v>0.5612676056338028</x:v>
      </x:c>
      <x:c r="S963" s="40" t="n">
        <x:v>0.006338028169014085</x:v>
      </x:c>
      <x:c r="T963" s="31" t="n">
        <x:v>46.858035211267605</x:v>
      </x:c>
      <x:c r="U963" s="31" t="n">
        <x:v>68.15</x:v>
      </x:c>
      <x:c r="V963" s="31" t="n">
        <x:v>11</x:v>
      </x:c>
      <x:c r="W963" s="31" t="n">
        <x:v>3.017832647462277</x:v>
      </x:c>
      <x:c r="X963" s="31" t="n">
        <x:v>2</x:v>
      </x:c>
      <x:c r="Y963" s="40" t="n">
        <x:v>0</x:v>
      </x:c>
      <x:c r="Z963" s="40" t="n">
        <x:v>1</x:v>
      </x:c>
      <x:c r="AA963" s="40" t="n">
        <x:v>1</x:v>
      </x:c>
      <x:c r="AB963" s="31" t="n">
        <x:v>0.2075555342810671</x:v>
      </x:c>
      <x:c r="AC963" s="31" t="n">
        <x:v>6</x:v>
      </x:c>
      <x:c r="AD963" s="44" t="b">
        <x:v>1</x:v>
      </x:c>
    </x:row>
    <x:row r="964">
      <x:c r="A964" s="31" t="str">
        <x:v>36047073000</x:v>
      </x:c>
      <x:c r="B964" s="31" t="str">
        <x:v>Brooklyn</x:v>
      </x:c>
      <x:c r="C964" s="31" t="str">
        <x:v>073000</x:v>
      </x:c>
      <x:c r="D964" s="31" t="str">
        <x:v>BK1801</x:v>
      </x:c>
      <x:c r="E964" s="31" t="str">
        <x:v>Flatlands</x:v>
      </x:c>
      <x:c r="F964" s="31" t="n">
        <x:v>0.07142655587659263</x:v>
      </x:c>
      <x:c r="G964" s="31" t="n">
        <x:v>40.62620214833766</x:v>
      </x:c>
      <x:c r="H964" s="31" t="n">
        <x:v>-73.92984884464585</x:v>
      </x:c>
      <x:c r="I964" s="31" t="n">
        <x:v>2170</x:v>
      </x:c>
      <x:c r="J964" s="31" t="n">
        <x:v>30380.857278758078</x:v>
      </x:c>
      <x:c r="K964" s="31"/>
      <x:c r="L964" s="40"/>
      <x:c r="M964" s="40"/>
      <x:c r="N964" s="31" t="n">
        <x:v>453</x:v>
      </x:c>
      <x:c r="O964" s="31" t="n">
        <x:v>679</x:v>
      </x:c>
      <x:c r="P964" s="31" t="n">
        <x:v>1.9639175257731958</x:v>
      </x:c>
      <x:c r="Q964" s="40" t="n">
        <x:v>0</x:v>
      </x:c>
      <x:c r="R964" s="40" t="n">
        <x:v>0.07363770250368189</x:v>
      </x:c>
      <x:c r="S964" s="40" t="n">
        <x:v>0.0014727540500736377</x:v>
      </x:c>
      <x:c r="T964" s="31" t="n">
        <x:v>25.183387839734905</x:v>
      </x:c>
      <x:c r="U964" s="31" t="n">
        <x:v>36.49</x:v>
      </x:c>
      <x:c r="V964" s="31" t="n">
        <x:v>1</x:v>
      </x:c>
      <x:c r="W964" s="31" t="n">
        <x:v>0.4608294930875576</x:v>
      </x:c>
      <x:c r="X964" s="31" t="n">
        <x:v>2</x:v>
      </x:c>
      <x:c r="Y964" s="40" t="n">
        <x:v>0</x:v>
      </x:c>
      <x:c r="Z964" s="40" t="n">
        <x:v>1</x:v>
      </x:c>
      <x:c r="AA964" s="40" t="n">
        <x:v>1</x:v>
      </x:c>
      <x:c r="AB964" s="31" t="n">
        <x:v>0.369107372322981</x:v>
      </x:c>
      <x:c r="AC964" s="31" t="n">
        <x:v>8</x:v>
      </x:c>
      <x:c r="AD964" s="44" t="b">
        <x:v>1</x:v>
      </x:c>
    </x:row>
    <x:row r="965">
      <x:c r="A965" s="31" t="str">
        <x:v>36047073200</x:v>
      </x:c>
      <x:c r="B965" s="31" t="str">
        <x:v>Brooklyn</x:v>
      </x:c>
      <x:c r="C965" s="31" t="str">
        <x:v>073200</x:v>
      </x:c>
      <x:c r="D965" s="31" t="str">
        <x:v>BK1801</x:v>
      </x:c>
      <x:c r="E965" s="31" t="str">
        <x:v>Flatlands</x:v>
      </x:c>
      <x:c r="F965" s="31" t="n">
        <x:v>0.061783644873450415</x:v>
      </x:c>
      <x:c r="G965" s="31" t="n">
        <x:v>40.62792675512151</x:v>
      </x:c>
      <x:c r="H965" s="31" t="n">
        <x:v>-73.93360626102789</x:v>
      </x:c>
      <x:c r="I965" s="31" t="n">
        <x:v>2173</x:v>
      </x:c>
      <x:c r="J965" s="31" t="n">
        <x:v>35171.12019614399</x:v>
      </x:c>
      <x:c r="K965" s="31"/>
      <x:c r="L965" s="40"/>
      <x:c r="M965" s="40"/>
      <x:c r="N965" s="31" t="n">
        <x:v>413</x:v>
      </x:c>
      <x:c r="O965" s="31" t="n">
        <x:v>655</x:v>
      </x:c>
      <x:c r="P965" s="31" t="n">
        <x:v>2.3954198473282444</x:v>
      </x:c>
      <x:c r="Q965" s="40" t="n">
        <x:v>0</x:v>
      </x:c>
      <x:c r="R965" s="40" t="n">
        <x:v>0.11603053435114503</x:v>
      </x:c>
      <x:c r="S965" s="40" t="n">
        <x:v>0.007633587786259542</x:v>
      </x:c>
      <x:c r="T965" s="31" t="n">
        <x:v>29.88637480798771</x:v>
      </x:c>
      <x:c r="U965" s="31" t="n">
        <x:v>64.46</x:v>
      </x:c>
      <x:c r="V965" s="31" t="n">
        <x:v>1</x:v>
      </x:c>
      <x:c r="W965" s="31" t="n">
        <x:v>0.4601932811780948</x:v>
      </x:c>
      <x:c r="X965" s="31" t="n">
        <x:v>3.429007633587786</x:v>
      </x:c>
      <x:c r="Y965" s="40" t="n">
        <x:v>0.4763358778625954</x:v>
      </x:c>
      <x:c r="Z965" s="40" t="n">
        <x:v>1</x:v>
      </x:c>
      <x:c r="AA965" s="40" t="n">
        <x:v>0.9938931297709923</x:v>
      </x:c>
      <x:c r="AB965" s="31" t="n">
        <x:v>0.30297150717919996</x:v>
      </x:c>
      <x:c r="AC965" s="31" t="n">
        <x:v>5</x:v>
      </x:c>
      <x:c r="AD965" s="44" t="b">
        <x:v>1</x:v>
      </x:c>
    </x:row>
    <x:row r="966">
      <x:c r="A966" s="31" t="str">
        <x:v>36047073400</x:v>
      </x:c>
      <x:c r="B966" s="31" t="str">
        <x:v>Brooklyn</x:v>
      </x:c>
      <x:c r="C966" s="31" t="str">
        <x:v>073400</x:v>
      </x:c>
      <x:c r="D966" s="31" t="str">
        <x:v>BK1801</x:v>
      </x:c>
      <x:c r="E966" s="31" t="str">
        <x:v>Flatlands</x:v>
      </x:c>
      <x:c r="F966" s="31" t="n">
        <x:v>0.05834976052068985</x:v>
      </x:c>
      <x:c r="G966" s="31" t="n">
        <x:v>40.627815249061534</x:v>
      </x:c>
      <x:c r="H966" s="31" t="n">
        <x:v>-73.93747785979583</x:v>
      </x:c>
      <x:c r="I966" s="31" t="n">
        <x:v>1818</x:v>
      </x:c>
      <x:c r="J966" s="31" t="n">
        <x:v>31156.94021323991</x:v>
      </x:c>
      <x:c r="K966" s="31"/>
      <x:c r="L966" s="40"/>
      <x:c r="M966" s="40"/>
      <x:c r="N966" s="31" t="n">
        <x:v>353</x:v>
      </x:c>
      <x:c r="O966" s="31" t="n">
        <x:v>489</x:v>
      </x:c>
      <x:c r="P966" s="31" t="n">
        <x:v>2.1211498973305956</x:v>
      </x:c>
      <x:c r="Q966" s="40" t="n">
        <x:v>0</x:v>
      </x:c>
      <x:c r="R966" s="40" t="n">
        <x:v>0.012269938650306749</x:v>
      </x:c>
      <x:c r="S966" s="40" t="n">
        <x:v>0.022494887525562373</x:v>
      </x:c>
      <x:c r="T966" s="31" t="n">
        <x:v>28.914565870879347</x:v>
      </x:c>
      <x:c r="U966" s="31" t="n">
        <x:v>41.45</x:v>
      </x:c>
      <x:c r="V966" s="31" t="n">
        <x:v>0</x:v>
      </x:c>
      <x:c r="W966" s="31" t="n">
        <x:v>0</x:v>
      </x:c>
      <x:c r="X966" s="31" t="n">
        <x:v>5</x:v>
      </x:c>
      <x:c r="Y966" s="40" t="n">
        <x:v>1</x:v>
      </x:c>
      <x:c r="Z966" s="40" t="n">
        <x:v>1</x:v>
      </x:c>
      <x:c r="AA966" s="40" t="n">
        <x:v>1</x:v>
      </x:c>
      <x:c r="AB966" s="31" t="n">
        <x:v>0.14091526685670594</x:v>
      </x:c>
      <x:c r="AC966" s="31" t="n">
        <x:v>5</x:v>
      </x:c>
      <x:c r="AD966" s="44" t="b">
        <x:v>1</x:v>
      </x:c>
    </x:row>
    <x:row r="967">
      <x:c r="A967" s="31" t="str">
        <x:v>36047073600</x:v>
      </x:c>
      <x:c r="B967" s="31" t="str">
        <x:v>Brooklyn</x:v>
      </x:c>
      <x:c r="C967" s="31" t="str">
        <x:v>073600</x:v>
      </x:c>
      <x:c r="D967" s="31" t="str">
        <x:v>BK1801</x:v>
      </x:c>
      <x:c r="E967" s="31" t="str">
        <x:v>Flatlands</x:v>
      </x:c>
      <x:c r="F967" s="31" t="n">
        <x:v>0.06871593817041151</x:v>
      </x:c>
      <x:c r="G967" s="31" t="n">
        <x:v>40.624034071741185</x:v>
      </x:c>
      <x:c r="H967" s="31" t="n">
        <x:v>-73.93579849062408</x:v>
      </x:c>
      <x:c r="I967" s="31" t="n">
        <x:v>3473</x:v>
      </x:c>
      <x:c r="J967" s="31" t="n">
        <x:v>50541.40411191306</x:v>
      </x:c>
      <x:c r="K967" s="31"/>
      <x:c r="L967" s="40"/>
      <x:c r="M967" s="40"/>
      <x:c r="N967" s="31" t="n">
        <x:v>334</x:v>
      </x:c>
      <x:c r="O967" s="31" t="n">
        <x:v>1141</x:v>
      </x:c>
      <x:c r="P967" s="31" t="n">
        <x:v>4.230937773882559</x:v>
      </x:c>
      <x:c r="Q967" s="40" t="n">
        <x:v>0</x:v>
      </x:c>
      <x:c r="R967" s="40" t="n">
        <x:v>0.6257668711656442</x:v>
      </x:c>
      <x:c r="S967" s="40" t="n">
        <x:v>0.0008764241893076249</x:v>
      </x:c>
      <x:c r="T967" s="31" t="n">
        <x:v>46.940932085013145</x:v>
      </x:c>
      <x:c r="U967" s="31" t="n">
        <x:v>67.99</x:v>
      </x:c>
      <x:c r="V967" s="31" t="n">
        <x:v>12</x:v>
      </x:c>
      <x:c r="W967" s="31" t="n">
        <x:v>3.4552260293694212</x:v>
      </x:c>
      <x:c r="X967" s="31" t="n">
        <x:v>3.577563540753725</x:v>
      </x:c>
      <x:c r="Y967" s="40" t="n">
        <x:v>0.5258545135845749</x:v>
      </x:c>
      <x:c r="Z967" s="40" t="n">
        <x:v>1</x:v>
      </x:c>
      <x:c r="AA967" s="40" t="n">
        <x:v>1</x:v>
      </x:c>
      <x:c r="AB967" s="31" t="n">
        <x:v>0.21059679513070678</x:v>
      </x:c>
      <x:c r="AC967" s="31" t="n">
        <x:v>6</x:v>
      </x:c>
      <x:c r="AD967" s="44" t="b">
        <x:v>1</x:v>
      </x:c>
    </x:row>
    <x:row r="968">
      <x:c r="A968" s="31" t="str">
        <x:v>36047073800</x:v>
      </x:c>
      <x:c r="B968" s="31" t="str">
        <x:v>Brooklyn</x:v>
      </x:c>
      <x:c r="C968" s="31" t="str">
        <x:v>073800</x:v>
      </x:c>
      <x:c r="D968" s="31" t="str">
        <x:v>BK1801</x:v>
      </x:c>
      <x:c r="E968" s="31" t="str">
        <x:v>Flatlands</x:v>
      </x:c>
      <x:c r="F968" s="31" t="n">
        <x:v>0.06965185610831325</x:v>
      </x:c>
      <x:c r="G968" s="31" t="n">
        <x:v>40.622411836084275</x:v>
      </x:c>
      <x:c r="H968" s="31" t="n">
        <x:v>-73.93907509852743</x:v>
      </x:c>
      <x:c r="I968" s="31" t="n">
        <x:v>3290</x:v>
      </x:c>
      <x:c r="J968" s="31" t="n">
        <x:v>47234.922137377536</x:v>
      </x:c>
      <x:c r="K968" s="31"/>
      <x:c r="L968" s="40"/>
      <x:c r="M968" s="40"/>
      <x:c r="N968" s="31" t="n">
        <x:v>405</x:v>
      </x:c>
      <x:c r="O968" s="31" t="n">
        <x:v>1102</x:v>
      </x:c>
      <x:c r="P968" s="31" t="n">
        <x:v>3.4303539019963702</x:v>
      </x:c>
      <x:c r="Q968" s="40" t="n">
        <x:v>0</x:v>
      </x:c>
      <x:c r="R968" s="40" t="n">
        <x:v>0.4419237749546279</x:v>
      </x:c>
      <x:c r="S968" s="40" t="n">
        <x:v>0.004537205081669692</x:v>
      </x:c>
      <x:c r="T968" s="31" t="n">
        <x:v>40.09666911431942</x:v>
      </x:c>
      <x:c r="U968" s="31" t="n">
        <x:v>66.45</x:v>
      </x:c>
      <x:c r="V968" s="31" t="n">
        <x:v>8</x:v>
      </x:c>
      <x:c r="W968" s="31" t="n">
        <x:v>2.4316109422492405</x:v>
      </x:c>
      <x:c r="X968" s="31" t="n">
        <x:v>3.7096188747731396</x:v>
      </x:c>
      <x:c r="Y968" s="40" t="n">
        <x:v>0.5698729582577132</x:v>
      </x:c>
      <x:c r="Z968" s="40" t="n">
        <x:v>1</x:v>
      </x:c>
      <x:c r="AA968" s="40" t="n">
        <x:v>1</x:v>
      </x:c>
      <x:c r="AB968" s="31" t="n">
        <x:v>0.2510216531379761</x:v>
      </x:c>
      <x:c r="AC968" s="31" t="n">
        <x:v>5</x:v>
      </x:c>
      <x:c r="AD968" s="44" t="b">
        <x:v>1</x:v>
      </x:c>
    </x:row>
    <x:row r="969">
      <x:c r="A969" s="31" t="str">
        <x:v>36047074000</x:v>
      </x:c>
      <x:c r="B969" s="31" t="str">
        <x:v>Brooklyn</x:v>
      </x:c>
      <x:c r="C969" s="31" t="str">
        <x:v>074000</x:v>
      </x:c>
      <x:c r="D969" s="31" t="str">
        <x:v>BK1801</x:v>
      </x:c>
      <x:c r="E969" s="31" t="str">
        <x:v>Flatlands</x:v>
      </x:c>
      <x:c r="F969" s="31" t="n">
        <x:v>0.06269708520252239</x:v>
      </x:c>
      <x:c r="G969" s="31" t="n">
        <x:v>40.627394058500634</x:v>
      </x:c>
      <x:c r="H969" s="31" t="n">
        <x:v>-73.94125692169006</x:v>
      </x:c>
      <x:c r="I969" s="31" t="n">
        <x:v>3446</x:v>
      </x:c>
      <x:c r="J969" s="31" t="n">
        <x:v>54962.682696792464</x:v>
      </x:c>
      <x:c r="K969" s="31"/>
      <x:c r="L969" s="40"/>
      <x:c r="M969" s="40"/>
      <x:c r="N969" s="31" t="n">
        <x:v>357</x:v>
      </x:c>
      <x:c r="O969" s="31" t="n">
        <x:v>1040</x:v>
      </x:c>
      <x:c r="P969" s="31" t="n">
        <x:v>3.5798076923076922</x:v>
      </x:c>
      <x:c r="Q969" s="40" t="n">
        <x:v>0</x:v>
      </x:c>
      <x:c r="R969" s="40" t="n">
        <x:v>0.5701923076923077</x:v>
      </x:c>
      <x:c r="S969" s="40" t="n">
        <x:v>0.014423076923076924</x:v>
      </x:c>
      <x:c r="T969" s="31" t="n">
        <x:v>42.186530150461536</x:v>
      </x:c>
      <x:c r="U969" s="31" t="n">
        <x:v>67.61</x:v>
      </x:c>
      <x:c r="V969" s="31" t="n">
        <x:v>5</x:v>
      </x:c>
      <x:c r="W969" s="31" t="n">
        <x:v>1.4509576320371445</x:v>
      </x:c>
      <x:c r="X969" s="31" t="n">
        <x:v>5</x:v>
      </x:c>
      <x:c r="Y969" s="40" t="n">
        <x:v>1</x:v>
      </x:c>
      <x:c r="Z969" s="40" t="n">
        <x:v>1</x:v>
      </x:c>
      <x:c r="AA969" s="40" t="n">
        <x:v>1</x:v>
      </x:c>
      <x:c r="AB969" s="31" t="n">
        <x:v>0.1587064659678891</x:v>
      </x:c>
      <x:c r="AC969" s="31" t="n">
        <x:v>6</x:v>
      </x:c>
      <x:c r="AD969" s="44" t="b">
        <x:v>1</x:v>
      </x:c>
    </x:row>
    <x:row r="970">
      <x:c r="A970" s="31" t="str">
        <x:v>36047074200</x:v>
      </x:c>
      <x:c r="B970" s="31" t="str">
        <x:v>Brooklyn</x:v>
      </x:c>
      <x:c r="C970" s="31" t="str">
        <x:v>074200</x:v>
      </x:c>
      <x:c r="D970" s="31" t="str">
        <x:v>BK1801</x:v>
      </x:c>
      <x:c r="E970" s="31" t="str">
        <x:v>Flatlands</x:v>
      </x:c>
      <x:c r="F970" s="31" t="n">
        <x:v>0.06729639061674988</x:v>
      </x:c>
      <x:c r="G970" s="31" t="n">
        <x:v>40.62699422200286</x:v>
      </x:c>
      <x:c r="H970" s="31" t="n">
        <x:v>-73.94497537269756</x:v>
      </x:c>
      <x:c r="I970" s="31" t="n">
        <x:v>3023</x:v>
      </x:c>
      <x:c r="J970" s="31" t="n">
        <x:v>44920.68552704198</x:v>
      </x:c>
      <x:c r="K970" s="31"/>
      <x:c r="L970" s="40"/>
      <x:c r="M970" s="40"/>
      <x:c r="N970" s="31" t="n">
        <x:v>487</x:v>
      </x:c>
      <x:c r="O970" s="31" t="n">
        <x:v>982</x:v>
      </x:c>
      <x:c r="P970" s="31" t="n">
        <x:v>3.4320264765784114</x:v>
      </x:c>
      <x:c r="Q970" s="40" t="n">
        <x:v>0</x:v>
      </x:c>
      <x:c r="R970" s="40" t="n">
        <x:v>0.395112016293279</x:v>
      </x:c>
      <x:c r="S970" s="40" t="n">
        <x:v>0.0050916496945010185</x:v>
      </x:c>
      <x:c r="T970" s="31" t="n">
        <x:v>39.09468235511201</x:v>
      </x:c>
      <x:c r="U970" s="31" t="n">
        <x:v>69</x:v>
      </x:c>
      <x:c r="V970" s="31" t="n">
        <x:v>6</x:v>
      </x:c>
      <x:c r="W970" s="31" t="n">
        <x:v>1.9847833278200462</x:v>
      </x:c>
      <x:c r="X970" s="31" t="n">
        <x:v>5</x:v>
      </x:c>
      <x:c r="Y970" s="40" t="n">
        <x:v>1</x:v>
      </x:c>
      <x:c r="Z970" s="40" t="n">
        <x:v>1</x:v>
      </x:c>
      <x:c r="AA970" s="40" t="n">
        <x:v>1</x:v>
      </x:c>
      <x:c r="AB970" s="31" t="n">
        <x:v>0.2415523214915919</x:v>
      </x:c>
      <x:c r="AC970" s="31" t="n">
        <x:v>6</x:v>
      </x:c>
      <x:c r="AD970" s="44" t="b">
        <x:v>1</x:v>
      </x:c>
    </x:row>
    <x:row r="971">
      <x:c r="A971" s="31" t="str">
        <x:v>36047074400</x:v>
      </x:c>
      <x:c r="B971" s="31" t="str">
        <x:v>Brooklyn</x:v>
      </x:c>
      <x:c r="C971" s="31" t="str">
        <x:v>074400</x:v>
      </x:c>
      <x:c r="D971" s="31" t="str">
        <x:v>BK1801</x:v>
      </x:c>
      <x:c r="E971" s="31" t="str">
        <x:v>Flatlands</x:v>
      </x:c>
      <x:c r="F971" s="31" t="n">
        <x:v>0.06586438826905418</x:v>
      </x:c>
      <x:c r="G971" s="31" t="n">
        <x:v>40.62232320909729</x:v>
      </x:c>
      <x:c r="H971" s="31" t="n">
        <x:v>-73.94311163487251</x:v>
      </x:c>
      <x:c r="I971" s="31" t="n">
        <x:v>2481</x:v>
      </x:c>
      <x:c r="J971" s="31" t="n">
        <x:v>37668.30703513384</x:v>
      </x:c>
      <x:c r="K971" s="31"/>
      <x:c r="L971" s="40"/>
      <x:c r="M971" s="40"/>
      <x:c r="N971" s="31" t="n">
        <x:v>493</x:v>
      </x:c>
      <x:c r="O971" s="31" t="n">
        <x:v>624</x:v>
      </x:c>
      <x:c r="P971" s="31" t="n">
        <x:v>2.4766025641025644</x:v>
      </x:c>
      <x:c r="Q971" s="40" t="n">
        <x:v>0</x:v>
      </x:c>
      <x:c r="R971" s="40" t="n">
        <x:v>0.09455128205128205</x:v>
      </x:c>
      <x:c r="S971" s="40" t="n">
        <x:v>0.019230769230769232</x:v>
      </x:c>
      <x:c r="T971" s="31" t="n">
        <x:v>31.6411183693109</x:v>
      </x:c>
      <x:c r="U971" s="31" t="n">
        <x:v>63.11</x:v>
      </x:c>
      <x:c r="V971" s="31" t="n">
        <x:v>2</x:v>
      </x:c>
      <x:c r="W971" s="31" t="n">
        <x:v>0.8061265618702137</x:v>
      </x:c>
      <x:c r="X971" s="31" t="n">
        <x:v>5</x:v>
      </x:c>
      <x:c r="Y971" s="40" t="n">
        <x:v>1</x:v>
      </x:c>
      <x:c r="Z971" s="40" t="n">
        <x:v>1</x:v>
      </x:c>
      <x:c r="AA971" s="40" t="n">
        <x:v>1</x:v>
      </x:c>
      <x:c r="AB971" s="31" t="n">
        <x:v>0.21982890193575302</x:v>
      </x:c>
      <x:c r="AC971" s="31" t="n">
        <x:v>5</x:v>
      </x:c>
      <x:c r="AD971" s="44" t="b">
        <x:v>1</x:v>
      </x:c>
    </x:row>
    <x:row r="972">
      <x:c r="A972" s="31" t="str">
        <x:v>36047074600</x:v>
      </x:c>
      <x:c r="B972" s="31" t="str">
        <x:v>Brooklyn</x:v>
      </x:c>
      <x:c r="C972" s="31" t="str">
        <x:v>074600</x:v>
      </x:c>
      <x:c r="D972" s="31" t="str">
        <x:v>BK1801</x:v>
      </x:c>
      <x:c r="E972" s="31" t="str">
        <x:v>Flatlands</x:v>
      </x:c>
      <x:c r="F972" s="31" t="n">
        <x:v>0.07787933635287533</x:v>
      </x:c>
      <x:c r="G972" s="31" t="n">
        <x:v>40.61860728535629</x:v>
      </x:c>
      <x:c r="H972" s="31" t="n">
        <x:v>-73.94263666046282</x:v>
      </x:c>
      <x:c r="I972" s="31" t="n">
        <x:v>2100</x:v>
      </x:c>
      <x:c r="J972" s="31" t="n">
        <x:v>26964.790640803494</x:v>
      </x:c>
      <x:c r="K972" s="31"/>
      <x:c r="L972" s="40"/>
      <x:c r="M972" s="40"/>
      <x:c r="N972" s="31" t="n">
        <x:v>370</x:v>
      </x:c>
      <x:c r="O972" s="31" t="n">
        <x:v>650</x:v>
      </x:c>
      <x:c r="P972" s="31" t="n">
        <x:v>2.585384615384615</x:v>
      </x:c>
      <x:c r="Q972" s="40" t="n">
        <x:v>0</x:v>
      </x:c>
      <x:c r="R972" s="40" t="n">
        <x:v>0.17846153846153845</x:v>
      </x:c>
      <x:c r="S972" s="40" t="n">
        <x:v>0.0015384615384615385</x:v>
      </x:c>
      <x:c r="T972" s="31" t="n">
        <x:v>32.75853820935385</x:v>
      </x:c>
      <x:c r="U972" s="31" t="n">
        <x:v>60.2455</x:v>
      </x:c>
      <x:c r="V972" s="31" t="n">
        <x:v>5</x:v>
      </x:c>
      <x:c r="W972" s="31" t="n">
        <x:v>2.3809523809523814</x:v>
      </x:c>
      <x:c r="X972" s="31" t="n">
        <x:v>2.9215384615384616</x:v>
      </x:c>
      <x:c r="Y972" s="40" t="n">
        <x:v>0.30615384615384617</x:v>
      </x:c>
      <x:c r="Z972" s="40" t="n">
        <x:v>1</x:v>
      </x:c>
      <x:c r="AA972" s="40" t="n">
        <x:v>1</x:v>
      </x:c>
      <x:c r="AB972" s="31" t="n">
        <x:v>0.38269407190485116</x:v>
      </x:c>
      <x:c r="AC972" s="31" t="n">
        <x:v>9</x:v>
      </x:c>
      <x:c r="AD972" s="44" t="b">
        <x:v>1</x:v>
      </x:c>
    </x:row>
    <x:row r="973">
      <x:c r="A973" s="31" t="str">
        <x:v>36047074800</x:v>
      </x:c>
      <x:c r="B973" s="31" t="str">
        <x:v>Brooklyn</x:v>
      </x:c>
      <x:c r="C973" s="31" t="str">
        <x:v>074800</x:v>
      </x:c>
      <x:c r="D973" s="31" t="str">
        <x:v>BK1403</x:v>
      </x:c>
      <x:c r="E973" s="31" t="str">
        <x:v>Midwood</x:v>
      </x:c>
      <x:c r="F973" s="31" t="n">
        <x:v>0.06816574999282599</x:v>
      </x:c>
      <x:c r="G973" s="31" t="n">
        <x:v>40.62189323786549</x:v>
      </x:c>
      <x:c r="H973" s="31" t="n">
        <x:v>-73.94689577780788</x:v>
      </x:c>
      <x:c r="I973" s="31" t="n">
        <x:v>1936</x:v>
      </x:c>
      <x:c r="J973" s="31" t="n">
        <x:v>28401.359923476994</x:v>
      </x:c>
      <x:c r="K973" s="31"/>
      <x:c r="L973" s="40"/>
      <x:c r="M973" s="40"/>
      <x:c r="N973" s="31" t="n">
        <x:v>317</x:v>
      </x:c>
      <x:c r="O973" s="31" t="n">
        <x:v>675</x:v>
      </x:c>
      <x:c r="P973" s="31" t="n">
        <x:v>3.878486646884273</x:v>
      </x:c>
      <x:c r="Q973" s="40" t="n">
        <x:v>0</x:v>
      </x:c>
      <x:c r="R973" s="40" t="n">
        <x:v>0.4725925925925926</x:v>
      </x:c>
      <x:c r="S973" s="40" t="n">
        <x:v>0.0044444444444444444</x:v>
      </x:c>
      <x:c r="T973" s="31" t="n">
        <x:v>44.078266390252224</x:v>
      </x:c>
      <x:c r="U973" s="31" t="n">
        <x:v>65.16</x:v>
      </x:c>
      <x:c r="V973" s="31" t="n">
        <x:v>6</x:v>
      </x:c>
      <x:c r="W973" s="31" t="n">
        <x:v>3.0991735537190084</x:v>
      </x:c>
      <x:c r="X973" s="31" t="n">
        <x:v>5</x:v>
      </x:c>
      <x:c r="Y973" s="40" t="n">
        <x:v>1</x:v>
      </x:c>
      <x:c r="Z973" s="40" t="n">
        <x:v>1</x:v>
      </x:c>
      <x:c r="AA973" s="40" t="n">
        <x:v>0.9985185185185185</x:v>
      </x:c>
      <x:c r="AB973" s="31" t="n">
        <x:v>0.130886354447114</x:v>
      </x:c>
      <x:c r="AC973" s="31" t="n">
        <x:v>6</x:v>
      </x:c>
      <x:c r="AD973" s="44" t="b">
        <x:v>1</x:v>
      </x:c>
    </x:row>
    <x:row r="974">
      <x:c r="A974" s="31" t="str">
        <x:v>36047075000</x:v>
      </x:c>
      <x:c r="B974" s="31" t="str">
        <x:v>Brooklyn</x:v>
      </x:c>
      <x:c r="C974" s="31" t="str">
        <x:v>075000</x:v>
      </x:c>
      <x:c r="D974" s="31" t="str">
        <x:v>BK1403</x:v>
      </x:c>
      <x:c r="E974" s="31" t="str">
        <x:v>Midwood</x:v>
      </x:c>
      <x:c r="F974" s="31" t="n">
        <x:v>0.06695862105967344</x:v>
      </x:c>
      <x:c r="G974" s="31" t="n">
        <x:v>40.62656820010346</x:v>
      </x:c>
      <x:c r="H974" s="31" t="n">
        <x:v>-73.9487659708982</x:v>
      </x:c>
      <x:c r="I974" s="31" t="n">
        <x:v>2928</x:v>
      </x:c>
      <x:c r="J974" s="31" t="n">
        <x:v>43728.49908887117</x:v>
      </x:c>
      <x:c r="K974" s="31"/>
      <x:c r="L974" s="40"/>
      <x:c r="M974" s="40"/>
      <x:c r="N974" s="31" t="n">
        <x:v>446</x:v>
      </x:c>
      <x:c r="O974" s="31" t="n">
        <x:v>946</x:v>
      </x:c>
      <x:c r="P974" s="31" t="n">
        <x:v>3.4896934460887947</x:v>
      </x:c>
      <x:c r="Q974" s="40" t="n">
        <x:v>0</x:v>
      </x:c>
      <x:c r="R974" s="40" t="n">
        <x:v>0.41014799154334036</x:v>
      </x:c>
      <x:c r="S974" s="40" t="n">
        <x:v>0.004228329809725159</x:v>
      </x:c>
      <x:c r="T974" s="31" t="n">
        <x:v>40.95197233879365</x:v>
      </x:c>
      <x:c r="U974" s="31" t="n">
        <x:v>65.86</x:v>
      </x:c>
      <x:c r="V974" s="31" t="n">
        <x:v>8</x:v>
      </x:c>
      <x:c r="W974" s="31" t="n">
        <x:v>2.73224043715847</x:v>
      </x:c>
      <x:c r="X974" s="31" t="n">
        <x:v>5</x:v>
      </x:c>
      <x:c r="Y974" s="40" t="n">
        <x:v>1</x:v>
      </x:c>
      <x:c r="Z974" s="40" t="n">
        <x:v>1</x:v>
      </x:c>
      <x:c r="AA974" s="40" t="n">
        <x:v>0.9989429175475687</x:v>
      </x:c>
      <x:c r="AB974" s="31" t="n">
        <x:v>0.21723999341526692</x:v>
      </x:c>
      <x:c r="AC974" s="31" t="n">
        <x:v>6</x:v>
      </x:c>
      <x:c r="AD974" s="44" t="b">
        <x:v>1</x:v>
      </x:c>
    </x:row>
    <x:row r="975">
      <x:c r="A975" s="31" t="str">
        <x:v>36047075200</x:v>
      </x:c>
      <x:c r="B975" s="31" t="str">
        <x:v>Brooklyn</x:v>
      </x:c>
      <x:c r="C975" s="31" t="str">
        <x:v>075200</x:v>
      </x:c>
      <x:c r="D975" s="31" t="str">
        <x:v>BK1403</x:v>
      </x:c>
      <x:c r="E975" s="31" t="str">
        <x:v>Midwood</x:v>
      </x:c>
      <x:c r="F975" s="31" t="n">
        <x:v>0.06686485384742309</x:v>
      </x:c>
      <x:c r="G975" s="31" t="n">
        <x:v>40.62615303468154</x:v>
      </x:c>
      <x:c r="H975" s="31" t="n">
        <x:v>-73.95254580529912</x:v>
      </x:c>
      <x:c r="I975" s="31" t="n">
        <x:v>1042</x:v>
      </x:c>
      <x:c r="J975" s="31" t="n">
        <x:v>15583.672737514818</x:v>
      </x:c>
      <x:c r="K975" s="31"/>
      <x:c r="L975" s="40"/>
      <x:c r="M975" s="40"/>
      <x:c r="N975" s="31" t="n">
        <x:v>298</x:v>
      </x:c>
      <x:c r="O975" s="31" t="n">
        <x:v>333</x:v>
      </x:c>
      <x:c r="P975" s="31" t="n">
        <x:v>2.323873873873874</x:v>
      </x:c>
      <x:c r="Q975" s="40" t="n">
        <x:v>0</x:v>
      </x:c>
      <x:c r="R975" s="40" t="n">
        <x:v>0.02702702702702703</x:v>
      </x:c>
      <x:c r="S975" s="40" t="n">
        <x:v>0.003003003003003003</x:v>
      </x:c>
      <x:c r="T975" s="31" t="n">
        <x:v>32.99609830327217</x:v>
      </x:c>
      <x:c r="U975" s="31" t="n">
        <x:v>42.73</x:v>
      </x:c>
      <x:c r="V975" s="31" t="n">
        <x:v>16</x:v>
      </x:c>
      <x:c r="W975" s="31" t="n">
        <x:v>15.355086372360844</x:v>
      </x:c>
      <x:c r="X975" s="31" t="n">
        <x:v>5</x:v>
      </x:c>
      <x:c r="Y975" s="40" t="n">
        <x:v>1</x:v>
      </x:c>
      <x:c r="Z975" s="40" t="n">
        <x:v>1</x:v>
      </x:c>
      <x:c r="AA975" s="40" t="n">
        <x:v>0.9819819819819819</x:v>
      </x:c>
      <x:c r="AB975" s="31" t="n">
        <x:v>0.2881324304864428</x:v>
      </x:c>
      <x:c r="AC975" s="31" t="n">
        <x:v>5</x:v>
      </x:c>
      <x:c r="AD975" s="44" t="b">
        <x:v>1</x:v>
      </x:c>
    </x:row>
    <x:row r="976">
      <x:c r="A976" s="31" t="str">
        <x:v>36047075400</x:v>
      </x:c>
      <x:c r="B976" s="31" t="str">
        <x:v>Brooklyn</x:v>
      </x:c>
      <x:c r="C976" s="31" t="str">
        <x:v>075400</x:v>
      </x:c>
      <x:c r="D976" s="31" t="str">
        <x:v>BK1403</x:v>
      </x:c>
      <x:c r="E976" s="31" t="str">
        <x:v>Midwood</x:v>
      </x:c>
      <x:c r="F976" s="31" t="n">
        <x:v>0.06697543183539945</x:v>
      </x:c>
      <x:c r="G976" s="31" t="n">
        <x:v>40.62147364399698</x:v>
      </x:c>
      <x:c r="H976" s="31" t="n">
        <x:v>-73.95071146679139</x:v>
      </x:c>
      <x:c r="I976" s="31" t="n">
        <x:v>1402</x:v>
      </x:c>
      <x:c r="J976" s="31" t="n">
        <x:v>20933.04905365286</x:v>
      </x:c>
      <x:c r="K976" s="31"/>
      <x:c r="L976" s="40"/>
      <x:c r="M976" s="40"/>
      <x:c r="N976" s="31" t="n">
        <x:v>340</x:v>
      </x:c>
      <x:c r="O976" s="31" t="n">
        <x:v>440</x:v>
      </x:c>
      <x:c r="P976" s="31" t="n">
        <x:v>2.2418181818181817</x:v>
      </x:c>
      <x:c r="Q976" s="40" t="n">
        <x:v>0</x:v>
      </x:c>
      <x:c r="R976" s="40" t="n">
        <x:v>0.01818181818181818</x:v>
      </x:c>
      <x:c r="S976" s="40" t="n">
        <x:v>0</x:v>
      </x:c>
      <x:c r="T976" s="31" t="n">
        <x:v>29.959302276363637</x:v>
      </x:c>
      <x:c r="U976" s="31" t="n">
        <x:v>42.07</x:v>
      </x:c>
      <x:c r="V976" s="31" t="n">
        <x:v>6</x:v>
      </x:c>
      <x:c r="W976" s="31" t="n">
        <x:v>4.279600570613409</x:v>
      </x:c>
      <x:c r="X976" s="31" t="n">
        <x:v>5</x:v>
      </x:c>
      <x:c r="Y976" s="40" t="n">
        <x:v>1</x:v>
      </x:c>
      <x:c r="Z976" s="40" t="n">
        <x:v>1</x:v>
      </x:c>
      <x:c r="AA976" s="40" t="n">
        <x:v>1</x:v>
      </x:c>
      <x:c r="AB976" s="31" t="n">
        <x:v>0.03394776949411256</x:v>
      </x:c>
      <x:c r="AC976" s="31" t="n">
        <x:v>6</x:v>
      </x:c>
      <x:c r="AD976" s="44" t="b">
        <x:v>1</x:v>
      </x:c>
    </x:row>
    <x:row r="977">
      <x:c r="A977" s="31" t="str">
        <x:v>36047075600</x:v>
      </x:c>
      <x:c r="B977" s="31" t="str">
        <x:v>Brooklyn</x:v>
      </x:c>
      <x:c r="C977" s="31" t="str">
        <x:v>075600</x:v>
      </x:c>
      <x:c r="D977" s="31" t="str">
        <x:v>BK1403</x:v>
      </x:c>
      <x:c r="E977" s="31" t="str">
        <x:v>Midwood</x:v>
      </x:c>
      <x:c r="F977" s="31" t="n">
        <x:v>0.06699879939702422</x:v>
      </x:c>
      <x:c r="G977" s="31" t="n">
        <x:v>40.61685652728356</x:v>
      </x:c>
      <x:c r="H977" s="31" t="n">
        <x:v>-73.9479893762419</x:v>
      </x:c>
      <x:c r="I977" s="31" t="n">
        <x:v>1934</x:v>
      </x:c>
      <x:c r="J977" s="31" t="n">
        <x:v>28866.188907944812</x:v>
      </x:c>
      <x:c r="K977" s="31"/>
      <x:c r="L977" s="40"/>
      <x:c r="M977" s="40"/>
      <x:c r="N977" s="31" t="n">
        <x:v>345</x:v>
      </x:c>
      <x:c r="O977" s="31" t="n">
        <x:v>676</x:v>
      </x:c>
      <x:c r="P977" s="31" t="n">
        <x:v>3.782174556213018</x:v>
      </x:c>
      <x:c r="Q977" s="40" t="n">
        <x:v>0</x:v>
      </x:c>
      <x:c r="R977" s="40" t="n">
        <x:v>0.4275147928994083</x:v>
      </x:c>
      <x:c r="S977" s="40" t="n">
        <x:v>0.008875739644970414</x:v>
      </x:c>
      <x:c r="T977" s="31" t="n">
        <x:v>43.52317131038519</x:v>
      </x:c>
      <x:c r="U977" s="31" t="n">
        <x:v>60.14</x:v>
      </x:c>
      <x:c r="V977" s="31" t="n">
        <x:v>12</x:v>
      </x:c>
      <x:c r="W977" s="31" t="n">
        <x:v>6.204756980351602</x:v>
      </x:c>
      <x:c r="X977" s="31" t="n">
        <x:v>5</x:v>
      </x:c>
      <x:c r="Y977" s="40" t="n">
        <x:v>1</x:v>
      </x:c>
      <x:c r="Z977" s="40" t="n">
        <x:v>1</x:v>
      </x:c>
      <x:c r="AA977" s="40" t="n">
        <x:v>0.9985207100591716</x:v>
      </x:c>
      <x:c r="AB977" s="31" t="n">
        <x:v>0.34544259452507525</x:v>
      </x:c>
      <x:c r="AC977" s="31" t="n">
        <x:v>6</x:v>
      </x:c>
      <x:c r="AD977" s="44" t="b">
        <x:v>1</x:v>
      </x:c>
    </x:row>
    <x:row r="978">
      <x:c r="A978" s="31" t="str">
        <x:v>36047075800</x:v>
      </x:c>
      <x:c r="B978" s="31" t="str">
        <x:v>Brooklyn</x:v>
      </x:c>
      <x:c r="C978" s="31" t="str">
        <x:v>075800</x:v>
      </x:c>
      <x:c r="D978" s="31" t="str">
        <x:v>BK1403</x:v>
      </x:c>
      <x:c r="E978" s="31" t="str">
        <x:v>Midwood</x:v>
      </x:c>
      <x:c r="F978" s="31" t="n">
        <x:v>0.07926444111821339</x:v>
      </x:c>
      <x:c r="G978" s="31" t="n">
        <x:v>40.61647476332697</x:v>
      </x:c>
      <x:c r="H978" s="31" t="n">
        <x:v>-73.95196188111919</x:v>
      </x:c>
      <x:c r="I978" s="31" t="n">
        <x:v>2005</x:v>
      </x:c>
      <x:c r="J978" s="31" t="n">
        <x:v>25295.075215502795</x:v>
      </x:c>
      <x:c r="K978" s="31"/>
      <x:c r="L978" s="40"/>
      <x:c r="M978" s="40"/>
      <x:c r="N978" s="31" t="n">
        <x:v>385</x:v>
      </x:c>
      <x:c r="O978" s="31" t="n">
        <x:v>769</x:v>
      </x:c>
      <x:c r="P978" s="31" t="n">
        <x:v>4.176853055916775</x:v>
      </x:c>
      <x:c r="Q978" s="40" t="n">
        <x:v>0</x:v>
      </x:c>
      <x:c r="R978" s="40" t="n">
        <x:v>0.48244473342002603</x:v>
      </x:c>
      <x:c r="S978" s="40" t="n">
        <x:v>0.0013003901170351106</x:v>
      </x:c>
      <x:c r="T978" s="31" t="n">
        <x:v>50.65167836625487</x:v>
      </x:c>
      <x:c r="U978" s="31" t="n">
        <x:v>95</x:v>
      </x:c>
      <x:c r="V978" s="31" t="n">
        <x:v>16</x:v>
      </x:c>
      <x:c r="W978" s="31" t="n">
        <x:v>7.98004987531172</x:v>
      </x:c>
      <x:c r="X978" s="31" t="n">
        <x:v>4.650195058517555</x:v>
      </x:c>
      <x:c r="Y978" s="40" t="n">
        <x:v>1</x:v>
      </x:c>
      <x:c r="Z978" s="40" t="n">
        <x:v>1</x:v>
      </x:c>
      <x:c r="AA978" s="40" t="n">
        <x:v>1</x:v>
      </x:c>
      <x:c r="AB978" s="31" t="n">
        <x:v>0.26903373933056424</x:v>
      </x:c>
      <x:c r="AC978" s="31" t="n">
        <x:v>7</x:v>
      </x:c>
      <x:c r="AD978" s="44" t="b">
        <x:v>1</x:v>
      </x:c>
    </x:row>
    <x:row r="979">
      <x:c r="A979" s="31" t="str">
        <x:v>36047076000</x:v>
      </x:c>
      <x:c r="B979" s="31" t="str">
        <x:v>Brooklyn</x:v>
      </x:c>
      <x:c r="C979" s="31" t="str">
        <x:v>076000</x:v>
      </x:c>
      <x:c r="D979" s="31" t="str">
        <x:v>BK1403</x:v>
      </x:c>
      <x:c r="E979" s="31" t="str">
        <x:v>Midwood</x:v>
      </x:c>
      <x:c r="F979" s="31" t="n">
        <x:v>0.07010934832953111</x:v>
      </x:c>
      <x:c r="G979" s="31" t="n">
        <x:v>40.62135710374055</x:v>
      </x:c>
      <x:c r="H979" s="31" t="n">
        <x:v>-73.95478857813339</x:v>
      </x:c>
      <x:c r="I979" s="31" t="n">
        <x:v>2832</x:v>
      </x:c>
      <x:c r="J979" s="31" t="n">
        <x:v>40394.04255604982</x:v>
      </x:c>
      <x:c r="K979" s="31"/>
      <x:c r="L979" s="40"/>
      <x:c r="M979" s="40"/>
      <x:c r="N979" s="31" t="n">
        <x:v>286</x:v>
      </x:c>
      <x:c r="O979" s="31" t="n">
        <x:v>1169</x:v>
      </x:c>
      <x:c r="P979" s="31" t="n">
        <x:v>4.910111206159111</x:v>
      </x:c>
      <x:c r="Q979" s="40" t="n">
        <x:v>0</x:v>
      </x:c>
      <x:c r="R979" s="40" t="n">
        <x:v>0.7382378100940975</x:v>
      </x:c>
      <x:c r="S979" s="40" t="n">
        <x:v>0</x:v>
      </x:c>
      <x:c r="T979" s="31" t="n">
        <x:v>53.72047960766756</x:v>
      </x:c>
      <x:c r="U979" s="31" t="n">
        <x:v>73</x:v>
      </x:c>
      <x:c r="V979" s="31" t="n">
        <x:v>19</x:v>
      </x:c>
      <x:c r="W979" s="31" t="n">
        <x:v>6.709039548022599</x:v>
      </x:c>
      <x:c r="X979" s="31" t="n">
        <x:v>4.366124893071001</x:v>
      </x:c>
      <x:c r="Y979" s="40" t="n">
        <x:v>1</x:v>
      </x:c>
      <x:c r="Z979" s="40" t="n">
        <x:v>1</x:v>
      </x:c>
      <x:c r="AA979" s="40" t="n">
        <x:v>0.9572284003421728</x:v>
      </x:c>
      <x:c r="AB979" s="31" t="n">
        <x:v>0.0746007384723511</x:v>
      </x:c>
      <x:c r="AC979" s="31" t="n">
        <x:v>7</x:v>
      </x:c>
      <x:c r="AD979" s="44" t="b">
        <x:v>1</x:v>
      </x:c>
    </x:row>
    <x:row r="980">
      <x:c r="A980" s="31" t="str">
        <x:v>36047076200</x:v>
      </x:c>
      <x:c r="B980" s="31" t="str">
        <x:v>Brooklyn</x:v>
      </x:c>
      <x:c r="C980" s="31" t="str">
        <x:v>076200</x:v>
      </x:c>
      <x:c r="D980" s="31" t="str">
        <x:v>BK1403</x:v>
      </x:c>
      <x:c r="E980" s="31" t="str">
        <x:v>Midwood</x:v>
      </x:c>
      <x:c r="F980" s="31" t="n">
        <x:v>0.07260368520072888</x:v>
      </x:c>
      <x:c r="G980" s="31" t="n">
        <x:v>40.62571841161907</x:v>
      </x:c>
      <x:c r="H980" s="31" t="n">
        <x:v>-73.95648571403639</x:v>
      </x:c>
      <x:c r="I980" s="31" t="n">
        <x:v>4391</x:v>
      </x:c>
      <x:c r="J980" s="31" t="n">
        <x:v>60479.02372806716</x:v>
      </x:c>
      <x:c r="K980" s="31"/>
      <x:c r="L980" s="40"/>
      <x:c r="M980" s="40"/>
      <x:c r="N980" s="31" t="n">
        <x:v>250</x:v>
      </x:c>
      <x:c r="O980" s="31" t="n">
        <x:v>1653</x:v>
      </x:c>
      <x:c r="P980" s="31" t="n">
        <x:v>5.8059588626739265</x:v>
      </x:c>
      <x:c r="Q980" s="40" t="n">
        <x:v>0.11131276467029642</x:v>
      </x:c>
      <x:c r="R980" s="40" t="n">
        <x:v>0.735632183908046</x:v>
      </x:c>
      <x:c r="S980" s="40" t="n">
        <x:v>0.0006049606775559589</x:v>
      </x:c>
      <x:c r="T980" s="31" t="n">
        <x:v>63.507993431010284</x:v>
      </x:c>
      <x:c r="U980" s="31" t="n">
        <x:v>160.47</x:v>
      </x:c>
      <x:c r="V980" s="31" t="n">
        <x:v>21</x:v>
      </x:c>
      <x:c r="W980" s="31" t="n">
        <x:v>4.782509678888636</x:v>
      </x:c>
      <x:c r="X980" s="31" t="n">
        <x:v>4.237144585601936</x:v>
      </x:c>
      <x:c r="Y980" s="40" t="n">
        <x:v>1</x:v>
      </x:c>
      <x:c r="Z980" s="40" t="n">
        <x:v>1</x:v>
      </x:c>
      <x:c r="AA980" s="40" t="n">
        <x:v>1</x:v>
      </x:c>
      <x:c r="AB980" s="31" t="n">
        <x:v>0.20622592908270726</x:v>
      </x:c>
      <x:c r="AC980" s="31" t="n">
        <x:v>7</x:v>
      </x:c>
      <x:c r="AD980" s="44" t="b">
        <x:v>1</x:v>
      </x:c>
    </x:row>
    <x:row r="981">
      <x:c r="A981" s="31" t="str">
        <x:v>36047076400</x:v>
      </x:c>
      <x:c r="B981" s="31" t="str">
        <x:v>Brooklyn</x:v>
      </x:c>
      <x:c r="C981" s="31" t="str">
        <x:v>076400</x:v>
      </x:c>
      <x:c r="D981" s="31" t="str">
        <x:v>BK1402</x:v>
      </x:c>
      <x:c r="E981" s="31" t="str">
        <x:v>Flatbush (West)-Ditmas Park-Parkville</x:v>
      </x:c>
      <x:c r="F981" s="31" t="n">
        <x:v>0.06242089631829661</x:v>
      </x:c>
      <x:c r="G981" s="31" t="n">
        <x:v>40.6319270488249</x:v>
      </x:c>
      <x:c r="H981" s="31" t="n">
        <x:v>-73.95864320460241</x:v>
      </x:c>
      <x:c r="I981" s="31" t="n">
        <x:v>3783</x:v>
      </x:c>
      <x:c r="J981" s="31" t="n">
        <x:v>60604.70488455866</x:v>
      </x:c>
      <x:c r="K981" s="31"/>
      <x:c r="L981" s="40"/>
      <x:c r="M981" s="40"/>
      <x:c r="N981" s="31" t="n">
        <x:v>178</x:v>
      </x:c>
      <x:c r="O981" s="31" t="n">
        <x:v>1488</x:v>
      </x:c>
      <x:c r="P981" s="31" t="n">
        <x:v>5.399697580645161</x:v>
      </x:c>
      <x:c r="Q981" s="40" t="n">
        <x:v>0</x:v>
      </x:c>
      <x:c r="R981" s="40" t="n">
        <x:v>0.8904569892473119</x:v>
      </x:c>
      <x:c r="S981" s="40" t="n">
        <x:v>0.0396505376344086</x:v>
      </x:c>
      <x:c r="T981" s="31" t="n">
        <x:v>62.399211313850806</x:v>
      </x:c>
      <x:c r="U981" s="31" t="n">
        <x:v>96.83783698</x:v>
      </x:c>
      <x:c r="V981" s="31" t="n">
        <x:v>20</x:v>
      </x:c>
      <x:c r="W981" s="31" t="n">
        <x:v>5.286809410520751</x:v>
      </x:c>
      <x:c r="X981" s="31" t="n">
        <x:v>4</x:v>
      </x:c>
      <x:c r="Y981" s="40" t="n">
        <x:v>1</x:v>
      </x:c>
      <x:c r="Z981" s="40" t="n">
        <x:v>1</x:v>
      </x:c>
      <x:c r="AA981" s="40" t="n">
        <x:v>1</x:v>
      </x:c>
      <x:c r="AB981" s="31" t="n">
        <x:v>0.23503642364410476</x:v>
      </x:c>
      <x:c r="AC981" s="31" t="n">
        <x:v>9</x:v>
      </x:c>
      <x:c r="AD981" s="44" t="b">
        <x:v>1</x:v>
      </x:c>
    </x:row>
    <x:row r="982">
      <x:c r="A982" s="31" t="str">
        <x:v>36047076600</x:v>
      </x:c>
      <x:c r="B982" s="31" t="str">
        <x:v>Brooklyn</x:v>
      </x:c>
      <x:c r="C982" s="31" t="str">
        <x:v>076600</x:v>
      </x:c>
      <x:c r="D982" s="31" t="str">
        <x:v>BK1401</x:v>
      </x:c>
      <x:c r="E982" s="31" t="str">
        <x:v>Flatbush</x:v>
      </x:c>
      <x:c r="F982" s="31" t="n">
        <x:v>0.031828002855974515</x:v>
      </x:c>
      <x:c r="G982" s="31" t="n">
        <x:v>40.633187318729206</x:v>
      </x:c>
      <x:c r="H982" s="31" t="n">
        <x:v>-73.9568393240964</x:v>
      </x:c>
      <x:c r="I982" s="31" t="n">
        <x:v>1990</x:v>
      </x:c>
      <x:c r="J982" s="31" t="n">
        <x:v>62523.558547012384</x:v>
      </x:c>
      <x:c r="K982" s="31"/>
      <x:c r="L982" s="40"/>
      <x:c r="M982" s="40"/>
      <x:c r="N982" s="31" t="n">
        <x:v>107</x:v>
      </x:c>
      <x:c r="O982" s="31" t="n">
        <x:v>758</x:v>
      </x:c>
      <x:c r="P982" s="31" t="n">
        <x:v>5.945580474934037</x:v>
      </x:c>
      <x:c r="Q982" s="40" t="n">
        <x:v>0.1266490765171504</x:v>
      </x:c>
      <x:c r="R982" s="40" t="n">
        <x:v>0.7058047493403694</x:v>
      </x:c>
      <x:c r="S982" s="40" t="n">
        <x:v>0</x:v>
      </x:c>
      <x:c r="T982" s="31" t="n">
        <x:v>69.14015267075197</x:v>
      </x:c>
      <x:c r="U982" s="31" t="n">
        <x:v>161.41</x:v>
      </x:c>
      <x:c r="V982" s="31" t="n">
        <x:v>11</x:v>
      </x:c>
      <x:c r="W982" s="31" t="n">
        <x:v>5.527638190954774</x:v>
      </x:c>
      <x:c r="X982" s="31" t="n">
        <x:v>4.489445910290238</x:v>
      </x:c>
      <x:c r="Y982" s="40" t="n">
        <x:v>1</x:v>
      </x:c>
      <x:c r="Z982" s="40" t="n">
        <x:v>1</x:v>
      </x:c>
      <x:c r="AA982" s="40" t="n">
        <x:v>1</x:v>
      </x:c>
      <x:c r="AB982" s="31" t="n">
        <x:v>0.1406732667977866</x:v>
      </x:c>
      <x:c r="AC982" s="31" t="n">
        <x:v>3</x:v>
      </x:c>
      <x:c r="AD982" s="44" t="b">
        <x:v>1</x:v>
      </x:c>
    </x:row>
    <x:row r="983">
      <x:c r="A983" s="31" t="str">
        <x:v>36047076800</x:v>
      </x:c>
      <x:c r="B983" s="31" t="str">
        <x:v>Brooklyn</x:v>
      </x:c>
      <x:c r="C983" s="31" t="str">
        <x:v>076800</x:v>
      </x:c>
      <x:c r="D983" s="31" t="str">
        <x:v>BK1403</x:v>
      </x:c>
      <x:c r="E983" s="31" t="str">
        <x:v>Midwood</x:v>
      </x:c>
      <x:c r="F983" s="31" t="n">
        <x:v>0.11713926920734333</x:v>
      </x:c>
      <x:c r="G983" s="31" t="n">
        <x:v>40.61880400132585</x:v>
      </x:c>
      <x:c r="H983" s="31" t="n">
        <x:v>-73.96080171105277</x:v>
      </x:c>
      <x:c r="I983" s="31" t="n">
        <x:v>4049</x:v>
      </x:c>
      <x:c r="J983" s="31" t="n">
        <x:v>34565.692849193336</x:v>
      </x:c>
      <x:c r="K983" s="31"/>
      <x:c r="L983" s="40"/>
      <x:c r="M983" s="40"/>
      <x:c r="N983" s="31" t="n">
        <x:v>385</x:v>
      </x:c>
      <x:c r="O983" s="31" t="n">
        <x:v>1604</x:v>
      </x:c>
      <x:c r="P983" s="31" t="n">
        <x:v>4.727711970074813</x:v>
      </x:c>
      <x:c r="Q983" s="40" t="n">
        <x:v>0</x:v>
      </x:c>
      <x:c r="R983" s="40" t="n">
        <x:v>0.6652119700748129</x:v>
      </x:c>
      <x:c r="S983" s="40" t="n">
        <x:v>0.0012468827930174563</x:v>
      </x:c>
      <x:c r="T983" s="31" t="n">
        <x:v>53.7413583100811</x:v>
      </x:c>
      <x:c r="U983" s="31" t="n">
        <x:v>91</x:v>
      </x:c>
      <x:c r="V983" s="31" t="n">
        <x:v>24</x:v>
      </x:c>
      <x:c r="W983" s="31" t="n">
        <x:v>5.927389478883675</x:v>
      </x:c>
      <x:c r="X983" s="31" t="n">
        <x:v>4</x:v>
      </x:c>
      <x:c r="Y983" s="40" t="n">
        <x:v>1</x:v>
      </x:c>
      <x:c r="Z983" s="40" t="n">
        <x:v>1</x:v>
      </x:c>
      <x:c r="AA983" s="40" t="n">
        <x:v>0.9993765586034913</x:v>
      </x:c>
      <x:c r="AB983" s="31" t="n">
        <x:v>0.11142415132927991</x:v>
      </x:c>
      <x:c r="AC983" s="31" t="n">
        <x:v>9</x:v>
      </x:c>
      <x:c r="AD983" s="44" t="b">
        <x:v>1</x:v>
      </x:c>
    </x:row>
    <x:row r="984">
      <x:c r="A984" s="31" t="str">
        <x:v>36047077000</x:v>
      </x:c>
      <x:c r="B984" s="31" t="str">
        <x:v>Brooklyn</x:v>
      </x:c>
      <x:c r="C984" s="31" t="str">
        <x:v>077000</x:v>
      </x:c>
      <x:c r="D984" s="31" t="str">
        <x:v>BK1401</x:v>
      </x:c>
      <x:c r="E984" s="31" t="str">
        <x:v>Flatbush</x:v>
      </x:c>
      <x:c r="F984" s="31" t="n">
        <x:v>0.06316621543955177</x:v>
      </x:c>
      <x:c r="G984" s="31" t="n">
        <x:v>40.63613791564221</x:v>
      </x:c>
      <x:c r="H984" s="31" t="n">
        <x:v>-73.95382685836202</x:v>
      </x:c>
      <x:c r="I984" s="31" t="n">
        <x:v>2776</x:v>
      </x:c>
      <x:c r="J984" s="31" t="n">
        <x:v>43947.543487967094</x:v>
      </x:c>
      <x:c r="K984" s="31"/>
      <x:c r="L984" s="40"/>
      <x:c r="M984" s="40"/>
      <x:c r="N984" s="31" t="n">
        <x:v>241</x:v>
      </x:c>
      <x:c r="O984" s="31" t="n">
        <x:v>1090</x:v>
      </x:c>
      <x:c r="P984" s="31" t="n">
        <x:v>4.480396678966789</x:v>
      </x:c>
      <x:c r="Q984" s="40" t="n">
        <x:v>0</x:v>
      </x:c>
      <x:c r="R984" s="40" t="n">
        <x:v>0.7651376146788991</x:v>
      </x:c>
      <x:c r="S984" s="40" t="n">
        <x:v>0</x:v>
      </x:c>
      <x:c r="T984" s="31" t="n">
        <x:v>52.07439299316759</x:v>
      </x:c>
      <x:c r="U984" s="31" t="n">
        <x:v>75</x:v>
      </x:c>
      <x:c r="V984" s="31" t="n">
        <x:v>12</x:v>
      </x:c>
      <x:c r="W984" s="31" t="n">
        <x:v>4.322766570605188</x:v>
      </x:c>
      <x:c r="X984" s="31" t="n">
        <x:v>5</x:v>
      </x:c>
      <x:c r="Y984" s="40" t="n">
        <x:v>1</x:v>
      </x:c>
      <x:c r="Z984" s="40" t="n">
        <x:v>1</x:v>
      </x:c>
      <x:c r="AA984" s="40" t="n">
        <x:v>0.9963302752293578</x:v>
      </x:c>
      <x:c r="AB984" s="31" t="n">
        <x:v>0.24106001563285526</x:v>
      </x:c>
      <x:c r="AC984" s="31" t="n">
        <x:v>9</x:v>
      </x:c>
      <x:c r="AD984" s="44" t="b">
        <x:v>1</x:v>
      </x:c>
    </x:row>
    <x:row r="985">
      <x:c r="A985" s="31" t="str">
        <x:v>36047077200</x:v>
      </x:c>
      <x:c r="B985" s="31" t="str">
        <x:v>Brooklyn</x:v>
      </x:c>
      <x:c r="C985" s="31" t="str">
        <x:v>077200</x:v>
      </x:c>
      <x:c r="D985" s="31" t="str">
        <x:v>BK1401</x:v>
      </x:c>
      <x:c r="E985" s="31" t="str">
        <x:v>Flatbush</x:v>
      </x:c>
      <x:c r="F985" s="31" t="n">
        <x:v>0.15610459068382693</x:v>
      </x:c>
      <x:c r="G985" s="31" t="n">
        <x:v>40.63160927448318</x:v>
      </x:c>
      <x:c r="H985" s="31" t="n">
        <x:v>-73.95317721557959</x:v>
      </x:c>
      <x:c r="I985" s="31" t="n">
        <x:v>3070</x:v>
      </x:c>
      <x:c r="J985" s="31" t="n">
        <x:v>19666.301846420105</x:v>
      </x:c>
      <x:c r="K985" s="31"/>
      <x:c r="L985" s="40"/>
      <x:c r="M985" s="40"/>
      <x:c r="N985" s="31" t="n">
        <x:v>342</x:v>
      </x:c>
      <x:c r="O985" s="31" t="n">
        <x:v>1188</x:v>
      </x:c>
      <x:c r="P985" s="31" t="n">
        <x:v>4.285143097643098</x:v>
      </x:c>
      <x:c r="Q985" s="40" t="n">
        <x:v>0</x:v>
      </x:c>
      <x:c r="R985" s="40" t="n">
        <x:v>0.6085858585858586</x:v>
      </x:c>
      <x:c r="S985" s="40" t="n">
        <x:v>0.0008417508417508417</x:v>
      </x:c>
      <x:c r="T985" s="31" t="n">
        <x:v>50.4534120631734</x:v>
      </x:c>
      <x:c r="U985" s="31" t="n">
        <x:v>66.87</x:v>
      </x:c>
      <x:c r="V985" s="31" t="n">
        <x:v>17</x:v>
      </x:c>
      <x:c r="W985" s="31" t="n">
        <x:v>5.537459283387622</x:v>
      </x:c>
      <x:c r="X985" s="31" t="n">
        <x:v>4.875420875420875</x:v>
      </x:c>
      <x:c r="Y985" s="40" t="n">
        <x:v>1</x:v>
      </x:c>
      <x:c r="Z985" s="40" t="n">
        <x:v>1</x:v>
      </x:c>
      <x:c r="AA985" s="40" t="n">
        <x:v>1</x:v>
      </x:c>
      <x:c r="AB985" s="31" t="n">
        <x:v>0.01944247740883627</x:v>
      </x:c>
      <x:c r="AC985" s="31" t="n">
        <x:v>7</x:v>
      </x:c>
      <x:c r="AD985" s="44" t="b">
        <x:v>1</x:v>
      </x:c>
    </x:row>
    <x:row r="986">
      <x:c r="A986" s="31" t="str">
        <x:v>36047077400</x:v>
      </x:c>
      <x:c r="B986" s="31" t="str">
        <x:v>Brooklyn</x:v>
      </x:c>
      <x:c r="C986" s="31" t="str">
        <x:v>077400</x:v>
      </x:c>
      <x:c r="D986" s="31" t="str">
        <x:v>BK1401</x:v>
      </x:c>
      <x:c r="E986" s="31" t="str">
        <x:v>Flatbush</x:v>
      </x:c>
      <x:c r="F986" s="31" t="n">
        <x:v>0.05727894720500459</x:v>
      </x:c>
      <x:c r="G986" s="31" t="n">
        <x:v>40.63120891457819</x:v>
      </x:c>
      <x:c r="H986" s="31" t="n">
        <x:v>-73.94808355621112</x:v>
      </x:c>
      <x:c r="I986" s="31" t="n">
        <x:v>3029</x:v>
      </x:c>
      <x:c r="J986" s="31" t="n">
        <x:v>52881.55854469597</x:v>
      </x:c>
      <x:c r="K986" s="31"/>
      <x:c r="L986" s="40"/>
      <x:c r="M986" s="40"/>
      <x:c r="N986" s="31" t="n">
        <x:v>128</x:v>
      </x:c>
      <x:c r="O986" s="31" t="n">
        <x:v>1647</x:v>
      </x:c>
      <x:c r="P986" s="31" t="n">
        <x:v>6.746205221615058</x:v>
      </x:c>
      <x:c r="Q986" s="40" t="n">
        <x:v>0.20279295689131754</x:v>
      </x:c>
      <x:c r="R986" s="40" t="n">
        <x:v>0.7043108682452944</x:v>
      </x:c>
      <x:c r="S986" s="40" t="n">
        <x:v>0</x:v>
      </x:c>
      <x:c r="T986" s="31" t="n">
        <x:v>76.67468902537948</x:v>
      </x:c>
      <x:c r="U986" s="31" t="n">
        <x:v>145</x:v>
      </x:c>
      <x:c r="V986" s="31" t="n">
        <x:v>25</x:v>
      </x:c>
      <x:c r="W986" s="31" t="n">
        <x:v>8.253549026081215</x:v>
      </x:c>
      <x:c r="X986" s="31" t="n">
        <x:v>5</x:v>
      </x:c>
      <x:c r="Y986" s="40" t="n">
        <x:v>1</x:v>
      </x:c>
      <x:c r="Z986" s="40" t="n">
        <x:v>1</x:v>
      </x:c>
      <x:c r="AA986" s="40" t="n">
        <x:v>1</x:v>
      </x:c>
      <x:c r="AB986" s="31" t="n">
        <x:v>0.24937348610096646</x:v>
      </x:c>
      <x:c r="AC986" s="31" t="n">
        <x:v>6</x:v>
      </x:c>
      <x:c r="AD986" s="44" t="b">
        <x:v>1</x:v>
      </x:c>
    </x:row>
    <x:row r="987">
      <x:c r="A987" s="31" t="str">
        <x:v>36047077600</x:v>
      </x:c>
      <x:c r="B987" s="31" t="str">
        <x:v>Brooklyn</x:v>
      </x:c>
      <x:c r="C987" s="31" t="str">
        <x:v>077600</x:v>
      </x:c>
      <x:c r="D987" s="31" t="str">
        <x:v>BK1801</x:v>
      </x:c>
      <x:c r="E987" s="31" t="str">
        <x:v>Flatlands</x:v>
      </x:c>
      <x:c r="F987" s="31" t="n">
        <x:v>0.07202791944659664</x:v>
      </x:c>
      <x:c r="G987" s="31" t="n">
        <x:v>40.630925536482664</x:v>
      </x:c>
      <x:c r="H987" s="31" t="n">
        <x:v>-73.9411361121609</x:v>
      </x:c>
      <x:c r="I987" s="31" t="n">
        <x:v>3784</x:v>
      </x:c>
      <x:c r="J987" s="31" t="n">
        <x:v>52535.1839824494</x:v>
      </x:c>
      <x:c r="K987" s="31"/>
      <x:c r="L987" s="40"/>
      <x:c r="M987" s="40"/>
      <x:c r="N987" s="31" t="n">
        <x:v>323</x:v>
      </x:c>
      <x:c r="O987" s="31" t="n">
        <x:v>1653</x:v>
      </x:c>
      <x:c r="P987" s="31" t="n">
        <x:v>10.306575922565033</x:v>
      </x:c>
      <x:c r="Q987" s="40" t="n">
        <x:v>0.3835450695704779</x:v>
      </x:c>
      <x:c r="R987" s="40" t="n">
        <x:v>0.3629764065335753</x:v>
      </x:c>
      <x:c r="S987" s="40" t="n">
        <x:v>0.23593466424682397</x:v>
      </x:c>
      <x:c r="T987" s="31" t="n">
        <x:v>97.46068360556565</x:v>
      </x:c>
      <x:c r="U987" s="31" t="n">
        <x:v>178.02</x:v>
      </x:c>
      <x:c r="V987" s="31" t="n">
        <x:v>19</x:v>
      </x:c>
      <x:c r="W987" s="31" t="n">
        <x:v>5.021141649048626</x:v>
      </x:c>
      <x:c r="X987" s="31" t="n">
        <x:v>5</x:v>
      </x:c>
      <x:c r="Y987" s="40" t="n">
        <x:v>1</x:v>
      </x:c>
      <x:c r="Z987" s="40" t="n">
        <x:v>1</x:v>
      </x:c>
      <x:c r="AA987" s="40" t="n">
        <x:v>1</x:v>
      </x:c>
      <x:c r="AB987" s="31" t="n">
        <x:v>0.3582791864303532</x:v>
      </x:c>
      <x:c r="AC987" s="31" t="n">
        <x:v>9</x:v>
      </x:c>
      <x:c r="AD987" s="44" t="b">
        <x:v>1</x:v>
      </x:c>
    </x:row>
    <x:row r="988">
      <x:c r="A988" s="31" t="str">
        <x:v>36047078000</x:v>
      </x:c>
      <x:c r="B988" s="31" t="str">
        <x:v>Brooklyn</x:v>
      </x:c>
      <x:c r="C988" s="31" t="str">
        <x:v>078000</x:v>
      </x:c>
      <x:c r="D988" s="31" t="str">
        <x:v>BK1702</x:v>
      </x:c>
      <x:c r="E988" s="31" t="str">
        <x:v>East Flatbush-Farragut</x:v>
      </x:c>
      <x:c r="F988" s="31" t="n">
        <x:v>0.06352347940448519</x:v>
      </x:c>
      <x:c r="G988" s="31" t="n">
        <x:v>40.63449826223587</x:v>
      </x:c>
      <x:c r="H988" s="31" t="n">
        <x:v>-73.93914917340821</x:v>
      </x:c>
      <x:c r="I988" s="31" t="n">
        <x:v>2197</x:v>
      </x:c>
      <x:c r="J988" s="31" t="n">
        <x:v>34585.63700534446</x:v>
      </x:c>
      <x:c r="K988" s="31"/>
      <x:c r="L988" s="40"/>
      <x:c r="M988" s="40"/>
      <x:c r="N988" s="31" t="n">
        <x:v>463</x:v>
      </x:c>
      <x:c r="O988" s="31" t="n">
        <x:v>611</x:v>
      </x:c>
      <x:c r="P988" s="31" t="n">
        <x:v>2.4170867430441896</x:v>
      </x:c>
      <x:c r="Q988" s="40" t="n">
        <x:v>0</x:v>
      </x:c>
      <x:c r="R988" s="40" t="n">
        <x:v>0.09492635024549918</x:v>
      </x:c>
      <x:c r="S988" s="40" t="n">
        <x:v>0.008183306055646482</x:v>
      </x:c>
      <x:c r="T988" s="31" t="n">
        <x:v>31.33494271685761</x:v>
      </x:c>
      <x:c r="U988" s="31" t="n">
        <x:v>67.17</x:v>
      </x:c>
      <x:c r="V988" s="31" t="n">
        <x:v>1</x:v>
      </x:c>
      <x:c r="W988" s="31" t="n">
        <x:v>0.4551661356395084</x:v>
      </x:c>
      <x:c r="X988" s="31" t="n">
        <x:v>5</x:v>
      </x:c>
      <x:c r="Y988" s="40" t="n">
        <x:v>1</x:v>
      </x:c>
      <x:c r="Z988" s="40" t="n">
        <x:v>1</x:v>
      </x:c>
      <x:c r="AA988" s="40" t="n">
        <x:v>1</x:v>
      </x:c>
      <x:c r="AB988" s="31" t="n">
        <x:v>0.22832205500256864</x:v>
      </x:c>
      <x:c r="AC988" s="31" t="n">
        <x:v>5</x:v>
      </x:c>
      <x:c r="AD988" s="44" t="b">
        <x:v>1</x:v>
      </x:c>
    </x:row>
    <x:row r="989">
      <x:c r="A989" s="31" t="str">
        <x:v>36047078200</x:v>
      </x:c>
      <x:c r="B989" s="31" t="str">
        <x:v>Brooklyn</x:v>
      </x:c>
      <x:c r="C989" s="31" t="str">
        <x:v>078200</x:v>
      </x:c>
      <x:c r="D989" s="31" t="str">
        <x:v>BK1702</x:v>
      </x:c>
      <x:c r="E989" s="31" t="str">
        <x:v>East Flatbush-Farragut</x:v>
      </x:c>
      <x:c r="F989" s="31" t="n">
        <x:v>0.06497411529248451</x:v>
      </x:c>
      <x:c r="G989" s="31" t="n">
        <x:v>40.63785354614458</x:v>
      </x:c>
      <x:c r="H989" s="31" t="n">
        <x:v>-73.94144284507992</x:v>
      </x:c>
      <x:c r="I989" s="31" t="n">
        <x:v>4081</x:v>
      </x:c>
      <x:c r="J989" s="31" t="n">
        <x:v>62809.62782839223</x:v>
      </x:c>
      <x:c r="K989" s="31"/>
      <x:c r="L989" s="40"/>
      <x:c r="M989" s="40"/>
      <x:c r="N989" s="31" t="n">
        <x:v>340</x:v>
      </x:c>
      <x:c r="O989" s="31" t="n">
        <x:v>1677</x:v>
      </x:c>
      <x:c r="P989" s="31" t="n">
        <x:v>4.678537313432836</x:v>
      </x:c>
      <x:c r="Q989" s="40" t="n">
        <x:v>0</x:v>
      </x:c>
      <x:c r="R989" s="40" t="n">
        <x:v>0.7090041741204532</x:v>
      </x:c>
      <x:c r="S989" s="40" t="n">
        <x:v>0.5891472868217055</x:v>
      </x:c>
      <x:c r="T989" s="31" t="n">
        <x:v>52.16728095667269</x:v>
      </x:c>
      <x:c r="U989" s="31" t="n">
        <x:v>70</x:v>
      </x:c>
      <x:c r="V989" s="31" t="n">
        <x:v>26</x:v>
      </x:c>
      <x:c r="W989" s="31" t="n">
        <x:v>6.370987503062975</x:v>
      </x:c>
      <x:c r="X989" s="31" t="n">
        <x:v>5</x:v>
      </x:c>
      <x:c r="Y989" s="40" t="n">
        <x:v>1</x:v>
      </x:c>
      <x:c r="Z989" s="40" t="n">
        <x:v>1</x:v>
      </x:c>
      <x:c r="AA989" s="40" t="n">
        <x:v>0.9892665474060823</x:v>
      </x:c>
      <x:c r="AB989" s="31" t="n">
        <x:v>0.23263157831512224</x:v>
      </x:c>
      <x:c r="AC989" s="31" t="n">
        <x:v>8</x:v>
      </x:c>
      <x:c r="AD989" s="44" t="b">
        <x:v>1</x:v>
      </x:c>
    </x:row>
    <x:row r="990">
      <x:c r="A990" s="31" t="str">
        <x:v>36047078400</x:v>
      </x:c>
      <x:c r="B990" s="31" t="str">
        <x:v>Brooklyn</x:v>
      </x:c>
      <x:c r="C990" s="31" t="str">
        <x:v>078400</x:v>
      </x:c>
      <x:c r="D990" s="31" t="str">
        <x:v>BK1702</x:v>
      </x:c>
      <x:c r="E990" s="31" t="str">
        <x:v>East Flatbush-Farragut</x:v>
      </x:c>
      <x:c r="F990" s="31" t="n">
        <x:v>0.06463340388472796</x:v>
      </x:c>
      <x:c r="G990" s="31" t="n">
        <x:v>40.634262145452034</x:v>
      </x:c>
      <x:c r="H990" s="31" t="n">
        <x:v>-73.94295588985234</x:v>
      </x:c>
      <x:c r="I990" s="31" t="n">
        <x:v>2441</x:v>
      </x:c>
      <x:c r="J990" s="31" t="n">
        <x:v>37766.848924643695</x:v>
      </x:c>
      <x:c r="K990" s="31"/>
      <x:c r="L990" s="40"/>
      <x:c r="M990" s="40"/>
      <x:c r="N990" s="31" t="n">
        <x:v>401</x:v>
      </x:c>
      <x:c r="O990" s="31" t="n">
        <x:v>1133</x:v>
      </x:c>
      <x:c r="P990" s="31" t="n">
        <x:v>3.979448961156278</x:v>
      </x:c>
      <x:c r="Q990" s="40" t="n">
        <x:v>0</x:v>
      </x:c>
      <x:c r="R990" s="40" t="n">
        <x:v>0.5516328331862312</x:v>
      </x:c>
      <x:c r="S990" s="40" t="n">
        <x:v>0.00529567519858782</x:v>
      </x:c>
      <x:c r="T990" s="31" t="n">
        <x:v>47.572240054773964</x:v>
      </x:c>
      <x:c r="U990" s="31" t="n">
        <x:v>117</x:v>
      </x:c>
      <x:c r="V990" s="31" t="n">
        <x:v>12</x:v>
      </x:c>
      <x:c r="W990" s="31" t="n">
        <x:v>4.916018025399427</x:v>
      </x:c>
      <x:c r="X990" s="31" t="n">
        <x:v>5</x:v>
      </x:c>
      <x:c r="Y990" s="40" t="n">
        <x:v>1</x:v>
      </x:c>
      <x:c r="Z990" s="40" t="n">
        <x:v>1</x:v>
      </x:c>
      <x:c r="AA990" s="40" t="n">
        <x:v>0.9761694616063548</x:v>
      </x:c>
      <x:c r="AB990" s="31" t="n">
        <x:v>0.2662425714577233</x:v>
      </x:c>
      <x:c r="AC990" s="31" t="n">
        <x:v>5</x:v>
      </x:c>
      <x:c r="AD990" s="44" t="b">
        <x:v>1</x:v>
      </x:c>
    </x:row>
    <x:row r="991">
      <x:c r="A991" s="31" t="str">
        <x:v>36047078601</x:v>
      </x:c>
      <x:c r="B991" s="31" t="str">
        <x:v>Brooklyn</x:v>
      </x:c>
      <x:c r="C991" s="31" t="str">
        <x:v>078601</x:v>
      </x:c>
      <x:c r="D991" s="31" t="str">
        <x:v>BK1401</x:v>
      </x:c>
      <x:c r="E991" s="31" t="str">
        <x:v>Flatbush</x:v>
      </x:c>
      <x:c r="F991" s="31" t="n">
        <x:v>0.03338704064756227</x:v>
      </x:c>
      <x:c r="G991" s="31" t="n">
        <x:v>40.63419918623355</x:v>
      </x:c>
      <x:c r="H991" s="31" t="n">
        <x:v>-73.94794805125592</x:v>
      </x:c>
      <x:c r="I991" s="31" t="n">
        <x:v>2374</x:v>
      </x:c>
      <x:c r="J991" s="31" t="n">
        <x:v>71105.43354411784</x:v>
      </x:c>
      <x:c r="K991" s="31"/>
      <x:c r="L991" s="40"/>
      <x:c r="M991" s="40"/>
      <x:c r="N991" s="31" t="n">
        <x:v>136</x:v>
      </x:c>
      <x:c r="O991" s="31" t="n">
        <x:v>1056</x:v>
      </x:c>
      <x:c r="P991" s="31" t="n">
        <x:v>5.012322274881517</x:v>
      </x:c>
      <x:c r="Q991" s="40" t="n">
        <x:v>0</x:v>
      </x:c>
      <x:c r="R991" s="40" t="n">
        <x:v>0.9128787878787878</x:v>
      </x:c>
      <x:c r="S991" s="40" t="n">
        <x:v>0</x:v>
      </x:c>
      <x:c r="T991" s="31" t="n">
        <x:v>54.45735161488636</x:v>
      </x:c>
      <x:c r="U991" s="31" t="n">
        <x:v>85</x:v>
      </x:c>
      <x:c r="V991" s="31" t="n">
        <x:v>12</x:v>
      </x:c>
      <x:c r="W991" s="31" t="n">
        <x:v>5.054759898904802</x:v>
      </x:c>
      <x:c r="X991" s="31" t="n">
        <x:v>5</x:v>
      </x:c>
      <x:c r="Y991" s="40" t="n">
        <x:v>1</x:v>
      </x:c>
      <x:c r="Z991" s="40" t="n">
        <x:v>1</x:v>
      </x:c>
      <x:c r="AA991" s="40" t="n">
        <x:v>1</x:v>
      </x:c>
      <x:c r="AB991" s="31" t="n">
        <x:v>0.10844079381025853</x:v>
      </x:c>
      <x:c r="AC991" s="31" t="n">
        <x:v>6</x:v>
      </x:c>
      <x:c r="AD991" s="44" t="b">
        <x:v>1</x:v>
      </x:c>
    </x:row>
    <x:row r="992">
      <x:c r="A992" s="31" t="str">
        <x:v>36047078602</x:v>
      </x:c>
      <x:c r="B992" s="31" t="str">
        <x:v>Brooklyn</x:v>
      </x:c>
      <x:c r="C992" s="31" t="str">
        <x:v>078602</x:v>
      </x:c>
      <x:c r="D992" s="31" t="str">
        <x:v>BK1702</x:v>
      </x:c>
      <x:c r="E992" s="31" t="str">
        <x:v>East Flatbush-Farragut</x:v>
      </x:c>
      <x:c r="F992" s="31" t="n">
        <x:v>0.032409337886248855</x:v>
      </x:c>
      <x:c r="G992" s="31" t="n">
        <x:v>40.63463838525176</x:v>
      </x:c>
      <x:c r="H992" s="31" t="n">
        <x:v>-73.94613554452896</x:v>
      </x:c>
      <x:c r="I992" s="31" t="n">
        <x:v>2073</x:v>
      </x:c>
      <x:c r="J992" s="31" t="n">
        <x:v>63963.04692418801</x:v>
      </x:c>
      <x:c r="K992" s="31"/>
      <x:c r="L992" s="40"/>
      <x:c r="M992" s="40"/>
      <x:c r="N992" s="31" t="n">
        <x:v>155</x:v>
      </x:c>
      <x:c r="O992" s="31" t="n">
        <x:v>1079</x:v>
      </x:c>
      <x:c r="P992" s="31" t="n">
        <x:v>5.783568075117371</x:v>
      </x:c>
      <x:c r="Q992" s="40" t="n">
        <x:v>0.17608897126969417</x:v>
      </x:c>
      <x:c r="R992" s="40" t="n">
        <x:v>0.659870250231696</x:v>
      </x:c>
      <x:c r="S992" s="40" t="n">
        <x:v>0.0018535681186283596</x:v>
      </x:c>
      <x:c r="T992" s="31" t="n">
        <x:v>63.145316590830866</x:v>
      </x:c>
      <x:c r="U992" s="31" t="n">
        <x:v>105.33</x:v>
      </x:c>
      <x:c r="V992" s="31" t="n">
        <x:v>11</x:v>
      </x:c>
      <x:c r="W992" s="31" t="n">
        <x:v>5.3063193439459715</x:v>
      </x:c>
      <x:c r="X992" s="31" t="n">
        <x:v>5</x:v>
      </x:c>
      <x:c r="Y992" s="40" t="n">
        <x:v>1</x:v>
      </x:c>
      <x:c r="Z992" s="40" t="n">
        <x:v>1</x:v>
      </x:c>
      <x:c r="AA992" s="40" t="n">
        <x:v>0.9369786839666358</x:v>
      </x:c>
      <x:c r="AB992" s="31" t="n">
        <x:v>0.1098071017864237</x:v>
      </x:c>
      <x:c r="AC992" s="31" t="n">
        <x:v>6</x:v>
      </x:c>
      <x:c r="AD992" s="44" t="b">
        <x:v>1</x:v>
      </x:c>
    </x:row>
    <x:row r="993">
      <x:c r="A993" s="31" t="str">
        <x:v>36047078801</x:v>
      </x:c>
      <x:c r="B993" s="31" t="str">
        <x:v>Brooklyn</x:v>
      </x:c>
      <x:c r="C993" s="31" t="str">
        <x:v>078801</x:v>
      </x:c>
      <x:c r="D993" s="31" t="str">
        <x:v>BK1401</x:v>
      </x:c>
      <x:c r="E993" s="31" t="str">
        <x:v>Flatbush</x:v>
      </x:c>
      <x:c r="F993" s="31" t="n">
        <x:v>0.035900022094883494</x:v>
      </x:c>
      <x:c r="G993" s="31" t="n">
        <x:v>40.63742235366789</x:v>
      </x:c>
      <x:c r="H993" s="31" t="n">
        <x:v>-73.95030660789975</x:v>
      </x:c>
      <x:c r="I993" s="31" t="n">
        <x:v>2040</x:v>
      </x:c>
      <x:c r="J993" s="31" t="n">
        <x:v>56824.47756183255</x:v>
      </x:c>
      <x:c r="K993" s="31"/>
      <x:c r="L993" s="40"/>
      <x:c r="M993" s="40"/>
      <x:c r="N993" s="31" t="n">
        <x:v>198</x:v>
      </x:c>
      <x:c r="O993" s="31" t="n">
        <x:v>884</x:v>
      </x:c>
      <x:c r="P993" s="31" t="n">
        <x:v>4.373868778280543</x:v>
      </x:c>
      <x:c r="Q993" s="40" t="n">
        <x:v>0</x:v>
      </x:c>
      <x:c r="R993" s="40" t="n">
        <x:v>0.6855203619909502</x:v>
      </x:c>
      <x:c r="S993" s="40" t="n">
        <x:v>0.004524886877828055</x:v>
      </x:c>
      <x:c r="T993" s="31" t="n">
        <x:v>51.240396290249436</x:v>
      </x:c>
      <x:c r="U993" s="31" t="n">
        <x:v>100</x:v>
      </x:c>
      <x:c r="V993" s="31" t="n">
        <x:v>8</x:v>
      </x:c>
      <x:c r="W993" s="31" t="n">
        <x:v>3.9215686274509802</x:v>
      </x:c>
      <x:c r="X993" s="31" t="n">
        <x:v>5</x:v>
      </x:c>
      <x:c r="Y993" s="40" t="n">
        <x:v>1</x:v>
      </x:c>
      <x:c r="Z993" s="40" t="n">
        <x:v>1</x:v>
      </x:c>
      <x:c r="AA993" s="40" t="n">
        <x:v>0.997737556561086</x:v>
      </x:c>
      <x:c r="AB993" s="31" t="n">
        <x:v>0.13762021972774505</x:v>
      </x:c>
      <x:c r="AC993" s="31" t="n">
        <x:v>7</x:v>
      </x:c>
      <x:c r="AD993" s="44" t="b">
        <x:v>1</x:v>
      </x:c>
    </x:row>
    <x:row r="994">
      <x:c r="A994" s="31" t="str">
        <x:v>36047078802</x:v>
      </x:c>
      <x:c r="B994" s="31" t="str">
        <x:v>Brooklyn</x:v>
      </x:c>
      <x:c r="C994" s="31" t="str">
        <x:v>078802</x:v>
      </x:c>
      <x:c r="D994" s="31" t="str">
        <x:v>BK1702</x:v>
      </x:c>
      <x:c r="E994" s="31" t="str">
        <x:v>East Flatbush-Farragut</x:v>
      </x:c>
      <x:c r="F994" s="31" t="n">
        <x:v>0.024700181983542815</x:v>
      </x:c>
      <x:c r="G994" s="31" t="n">
        <x:v>40.637528055266735</x:v>
      </x:c>
      <x:c r="H994" s="31" t="n">
        <x:v>-73.94669401085152</x:v>
      </x:c>
      <x:c r="I994" s="31" t="n">
        <x:v>1328</x:v>
      </x:c>
      <x:c r="J994" s="31" t="n">
        <x:v>53764.786060475875</x:v>
      </x:c>
      <x:c r="K994" s="31"/>
      <x:c r="L994" s="40"/>
      <x:c r="M994" s="40"/>
      <x:c r="N994" s="31" t="n">
        <x:v>56</x:v>
      </x:c>
      <x:c r="O994" s="31" t="n">
        <x:v>658</x:v>
      </x:c>
      <x:c r="P994" s="31" t="n">
        <x:v>5.560790273556231</x:v>
      </x:c>
      <x:c r="Q994" s="40" t="n">
        <x:v>0</x:v>
      </x:c>
      <x:c r="R994" s="40" t="n">
        <x:v>0.8799392097264438</x:v>
      </x:c>
      <x:c r="S994" s="40" t="n">
        <x:v>0.5106382978723404</x:v>
      </x:c>
      <x:c r="T994" s="31" t="n">
        <x:v>59.77835866261399</x:v>
      </x:c>
      <x:c r="U994" s="31" t="n">
        <x:v>74</x:v>
      </x:c>
      <x:c r="V994" s="31" t="n">
        <x:v>13</x:v>
      </x:c>
      <x:c r="W994" s="31" t="n">
        <x:v>9.789156626506024</x:v>
      </x:c>
      <x:c r="X994" s="31" t="n">
        <x:v>5</x:v>
      </x:c>
      <x:c r="Y994" s="40" t="n">
        <x:v>1</x:v>
      </x:c>
      <x:c r="Z994" s="40" t="n">
        <x:v>1</x:v>
      </x:c>
      <x:c r="AA994" s="40" t="n">
        <x:v>1</x:v>
      </x:c>
      <x:c r="AB994" s="31" t="n">
        <x:v>0.05489672518163839</x:v>
      </x:c>
      <x:c r="AC994" s="31" t="n">
        <x:v>7</x:v>
      </x:c>
      <x:c r="AD994" s="44" t="b">
        <x:v>1</x:v>
      </x:c>
    </x:row>
    <x:row r="995">
      <x:c r="A995" s="31" t="str">
        <x:v>36047079001</x:v>
      </x:c>
      <x:c r="B995" s="31" t="str">
        <x:v>Brooklyn</x:v>
      </x:c>
      <x:c r="C995" s="31" t="str">
        <x:v>079001</x:v>
      </x:c>
      <x:c r="D995" s="31" t="str">
        <x:v>BK1401</x:v>
      </x:c>
      <x:c r="E995" s="31" t="str">
        <x:v>Flatbush</x:v>
      </x:c>
      <x:c r="F995" s="31" t="n">
        <x:v>0.023354585520474633</x:v>
      </x:c>
      <x:c r="G995" s="31" t="n">
        <x:v>40.64149916907574</x:v>
      </x:c>
      <x:c r="H995" s="31" t="n">
        <x:v>-73.95545993834718</x:v>
      </x:c>
      <x:c r="I995" s="31" t="n">
        <x:v>1347</x:v>
      </x:c>
      <x:c r="J995" s="31" t="n">
        <x:v>57676.03962909572</x:v>
      </x:c>
      <x:c r="K995" s="31"/>
      <x:c r="L995" s="40"/>
      <x:c r="M995" s="40"/>
      <x:c r="N995" s="31" t="n">
        <x:v>118</x:v>
      </x:c>
      <x:c r="O995" s="31" t="n">
        <x:v>566</x:v>
      </x:c>
      <x:c r="P995" s="31" t="n">
        <x:v>3.90017667844523</x:v>
      </x:c>
      <x:c r="Q995" s="40" t="n">
        <x:v>0</x:v>
      </x:c>
      <x:c r="R995" s="40" t="n">
        <x:v>0.872791519434629</x:v>
      </x:c>
      <x:c r="S995" s="40" t="n">
        <x:v>0.0035335689045936395</x:v>
      </x:c>
      <x:c r="T995" s="31" t="n">
        <x:v>42.396325088339225</x:v>
      </x:c>
      <x:c r="U995" s="31" t="n">
        <x:v>70</x:v>
      </x:c>
      <x:c r="V995" s="31" t="n">
        <x:v>4</x:v>
      </x:c>
      <x:c r="W995" s="31" t="n">
        <x:v>2.969561989606533</x:v>
      </x:c>
      <x:c r="X995" s="31" t="n">
        <x:v>5</x:v>
      </x:c>
      <x:c r="Y995" s="40" t="n">
        <x:v>1</x:v>
      </x:c>
      <x:c r="Z995" s="40" t="n">
        <x:v>1</x:v>
      </x:c>
      <x:c r="AA995" s="40" t="n">
        <x:v>1</x:v>
      </x:c>
      <x:c r="AB995" s="31" t="n">
        <x:v>0.3764028647413206</x:v>
      </x:c>
      <x:c r="AC995" s="31" t="n">
        <x:v>5</x:v>
      </x:c>
      <x:c r="AD995" s="44" t="b">
        <x:v>1</x:v>
      </x:c>
    </x:row>
    <x:row r="996">
      <x:c r="A996" s="31" t="str">
        <x:v>36047079002</x:v>
      </x:c>
      <x:c r="B996" s="31" t="str">
        <x:v>Brooklyn</x:v>
      </x:c>
      <x:c r="C996" s="31" t="str">
        <x:v>079002</x:v>
      </x:c>
      <x:c r="D996" s="31" t="str">
        <x:v>BK1701</x:v>
      </x:c>
      <x:c r="E996" s="31" t="str">
        <x:v>East Flatbush-Erasmus</x:v>
      </x:c>
      <x:c r="F996" s="31" t="n">
        <x:v>0.04729479688504362</x:v>
      </x:c>
      <x:c r="G996" s="31" t="n">
        <x:v>40.640721268190596</x:v>
      </x:c>
      <x:c r="H996" s="31" t="n">
        <x:v>-73.95282595968936</x:v>
      </x:c>
      <x:c r="I996" s="31" t="n">
        <x:v>3769</x:v>
      </x:c>
      <x:c r="J996" s="31" t="n">
        <x:v>79691.64153851982</x:v>
      </x:c>
      <x:c r="K996" s="31"/>
      <x:c r="L996" s="40"/>
      <x:c r="M996" s="40"/>
      <x:c r="N996" s="31" t="n">
        <x:v>303</x:v>
      </x:c>
      <x:c r="O996" s="31" t="n">
        <x:v>1470</x:v>
      </x:c>
      <x:c r="P996" s="31" t="n">
        <x:v>4.226401360544218</x:v>
      </x:c>
      <x:c r="Q996" s="40" t="n">
        <x:v>0.005442176870748299</x:v>
      </x:c>
      <x:c r="R996" s="40" t="n">
        <x:v>0.7081632653061225</x:v>
      </x:c>
      <x:c r="S996" s="40" t="n">
        <x:v>0</x:v>
      </x:c>
      <x:c r="T996" s="31" t="n">
        <x:v>44.42463624200964</x:v>
      </x:c>
      <x:c r="U996" s="31" t="n">
        <x:v>67.94</x:v>
      </x:c>
      <x:c r="V996" s="31" t="n">
        <x:v>11</x:v>
      </x:c>
      <x:c r="W996" s="31" t="n">
        <x:v>2.9185460334306184</x:v>
      </x:c>
      <x:c r="X996" s="31" t="n">
        <x:v>5</x:v>
      </x:c>
      <x:c r="Y996" s="40" t="n">
        <x:v>1</x:v>
      </x:c>
      <x:c r="Z996" s="40" t="n">
        <x:v>1</x:v>
      </x:c>
      <x:c r="AA996" s="40" t="n">
        <x:v>0.9884353741496599</x:v>
      </x:c>
      <x:c r="AB996" s="31" t="n">
        <x:v>0.2279177856777689</x:v>
      </x:c>
      <x:c r="AC996" s="31" t="n">
        <x:v>8</x:v>
      </x:c>
      <x:c r="AD996" s="44" t="b">
        <x:v>1</x:v>
      </x:c>
    </x:row>
    <x:row r="997">
      <x:c r="A997" s="31" t="str">
        <x:v>36047079201</x:v>
      </x:c>
      <x:c r="B997" s="31" t="str">
        <x:v>Brooklyn</x:v>
      </x:c>
      <x:c r="C997" s="31" t="str">
        <x:v>079201</x:v>
      </x:c>
      <x:c r="D997" s="31" t="str">
        <x:v>BK1401</x:v>
      </x:c>
      <x:c r="E997" s="31" t="str">
        <x:v>Flatbush</x:v>
      </x:c>
      <x:c r="F997" s="31" t="n">
        <x:v>0.04196701132955981</x:v>
      </x:c>
      <x:c r="G997" s="31" t="n">
        <x:v>40.64461517959681</x:v>
      </x:c>
      <x:c r="H997" s="31" t="n">
        <x:v>-73.95640872073972</x:v>
      </x:c>
      <x:c r="I997" s="31" t="n">
        <x:v>1743</x:v>
      </x:c>
      <x:c r="J997" s="31" t="n">
        <x:v>41532.62157060738</x:v>
      </x:c>
      <x:c r="K997" s="31"/>
      <x:c r="L997" s="40"/>
      <x:c r="M997" s="40"/>
      <x:c r="N997" s="31" t="n">
        <x:v>159</x:v>
      </x:c>
      <x:c r="O997" s="31" t="n">
        <x:v>1285</x:v>
      </x:c>
      <x:c r="P997" s="31" t="n">
        <x:v>5.468871595330739</x:v>
      </x:c>
      <x:c r="Q997" s="40" t="n">
        <x:v>0</x:v>
      </x:c>
      <x:c r="R997" s="40" t="n">
        <x:v>0.8513618677042801</x:v>
      </x:c>
      <x:c r="S997" s="40" t="n">
        <x:v>0</x:v>
      </x:c>
      <x:c r="T997" s="31" t="n">
        <x:v>60.507234434750785</x:v>
      </x:c>
      <x:c r="U997" s="31" t="n">
        <x:v>98</x:v>
      </x:c>
      <x:c r="V997" s="31" t="n">
        <x:v>13</x:v>
      </x:c>
      <x:c r="W997" s="31" t="n">
        <x:v>7.458405048766495</x:v>
      </x:c>
      <x:c r="X997" s="31" t="n">
        <x:v>5</x:v>
      </x:c>
      <x:c r="Y997" s="40" t="n">
        <x:v>1</x:v>
      </x:c>
      <x:c r="Z997" s="40" t="n">
        <x:v>1</x:v>
      </x:c>
      <x:c r="AA997" s="40" t="n">
        <x:v>0.9992217898832685</x:v>
      </x:c>
      <x:c r="AB997" s="31" t="n">
        <x:v>0.3016650135391828</x:v>
      </x:c>
      <x:c r="AC997" s="31" t="n">
        <x:v>7</x:v>
      </x:c>
      <x:c r="AD997" s="44" t="b">
        <x:v>1</x:v>
      </x:c>
    </x:row>
    <x:row r="998">
      <x:c r="A998" s="31" t="str">
        <x:v>36047079202</x:v>
      </x:c>
      <x:c r="B998" s="31" t="str">
        <x:v>Brooklyn</x:v>
      </x:c>
      <x:c r="C998" s="31" t="str">
        <x:v>079202</x:v>
      </x:c>
      <x:c r="D998" s="31" t="str">
        <x:v>BK1701</x:v>
      </x:c>
      <x:c r="E998" s="31" t="str">
        <x:v>East Flatbush-Erasmus</x:v>
      </x:c>
      <x:c r="F998" s="31" t="n">
        <x:v>0.04168524539284894</x:v>
      </x:c>
      <x:c r="G998" s="31" t="n">
        <x:v>40.644914648267616</x:v>
      </x:c>
      <x:c r="H998" s="31" t="n">
        <x:v>-73.95340105202695</x:v>
      </x:c>
      <x:c r="I998" s="31" t="n">
        <x:v>3171</x:v>
      </x:c>
      <x:c r="J998" s="31" t="n">
        <x:v>76070.0811549974</x:v>
      </x:c>
      <x:c r="K998" s="31"/>
      <x:c r="L998" s="40"/>
      <x:c r="M998" s="40"/>
      <x:c r="N998" s="31" t="n">
        <x:v>234</x:v>
      </x:c>
      <x:c r="O998" s="31" t="n">
        <x:v>1245</x:v>
      </x:c>
      <x:c r="P998" s="31" t="n">
        <x:v>4.510939759036145</x:v>
      </x:c>
      <x:c r="Q998" s="40" t="n">
        <x:v>0.09397590361445783</x:v>
      </x:c>
      <x:c r="R998" s="40" t="n">
        <x:v>0.6771084337349398</x:v>
      </x:c>
      <x:c r="S998" s="40" t="n">
        <x:v>0.0008032128514056225</x:v>
      </x:c>
      <x:c r="T998" s="31" t="n">
        <x:v>48.721661677372815</x:v>
      </x:c>
      <x:c r="U998" s="31" t="n">
        <x:v>91</x:v>
      </x:c>
      <x:c r="V998" s="31" t="n">
        <x:v>10</x:v>
      </x:c>
      <x:c r="W998" s="31" t="n">
        <x:v>3.15357931251971</x:v>
      </x:c>
      <x:c r="X998" s="31" t="n">
        <x:v>5</x:v>
      </x:c>
      <x:c r="Y998" s="40" t="n">
        <x:v>1</x:v>
      </x:c>
      <x:c r="Z998" s="40" t="n">
        <x:v>1</x:v>
      </x:c>
      <x:c r="AA998" s="40" t="n">
        <x:v>0.9630522088353414</x:v>
      </x:c>
      <x:c r="AB998" s="31" t="n">
        <x:v>0.23701806810866805</x:v>
      </x:c>
      <x:c r="AC998" s="31" t="n">
        <x:v>7</x:v>
      </x:c>
      <x:c r="AD998" s="44" t="b">
        <x:v>1</x:v>
      </x:c>
    </x:row>
    <x:row r="999">
      <x:c r="A999" s="31" t="str">
        <x:v>36047079400</x:v>
      </x:c>
      <x:c r="B999" s="31" t="str">
        <x:v>Brooklyn</x:v>
      </x:c>
      <x:c r="C999" s="31" t="str">
        <x:v>079400</x:v>
      </x:c>
      <x:c r="D999" s="31" t="str">
        <x:v>BK1701</x:v>
      </x:c>
      <x:c r="E999" s="31" t="str">
        <x:v>East Flatbush-Erasmus</x:v>
      </x:c>
      <x:c r="F999" s="31" t="n">
        <x:v>0.08579982219137397</x:v>
      </x:c>
      <x:c r="G999" s="31" t="n">
        <x:v>40.64860522999038</x:v>
      </x:c>
      <x:c r="H999" s="31" t="n">
        <x:v>-73.95528662565751</x:v>
      </x:c>
      <x:c r="I999" s="31" t="n">
        <x:v>2742</x:v>
      </x:c>
      <x:c r="J999" s="31" t="n">
        <x:v>31958.108186798454</x:v>
      </x:c>
      <x:c r="K999" s="31"/>
      <x:c r="L999" s="40"/>
      <x:c r="M999" s="40"/>
      <x:c r="N999" s="31" t="n">
        <x:v>200</x:v>
      </x:c>
      <x:c r="O999" s="31" t="n">
        <x:v>955</x:v>
      </x:c>
      <x:c r="P999" s="31" t="n">
        <x:v>4.131413612565445</x:v>
      </x:c>
      <x:c r="Q999" s="40" t="n">
        <x:v>0.04502617801047121</x:v>
      </x:c>
      <x:c r="R999" s="40" t="n">
        <x:v>0.7036649214659686</x:v>
      </x:c>
      <x:c r="S999" s="40" t="n">
        <x:v>0.07958115183246073</x:v>
      </x:c>
      <x:c r="T999" s="31" t="n">
        <x:v>46.815364799284964</x:v>
      </x:c>
      <x:c r="U999" s="31" t="n">
        <x:v>124</x:v>
      </x:c>
      <x:c r="V999" s="31" t="n">
        <x:v>11</x:v>
      </x:c>
      <x:c r="W999" s="31" t="n">
        <x:v>4.011670313639679</x:v>
      </x:c>
      <x:c r="X999" s="31" t="n">
        <x:v>5</x:v>
      </x:c>
      <x:c r="Y999" s="40" t="n">
        <x:v>1</x:v>
      </x:c>
      <x:c r="Z999" s="40" t="n">
        <x:v>1</x:v>
      </x:c>
      <x:c r="AA999" s="40" t="n">
        <x:v>0.9958115183246073</x:v>
      </x:c>
      <x:c r="AB999" s="31" t="n">
        <x:v>0.059047428342231686</x:v>
      </x:c>
      <x:c r="AC999" s="31" t="n">
        <x:v>10</x:v>
      </x:c>
      <x:c r="AD999" s="44" t="b">
        <x:v>1</x:v>
      </x:c>
    </x:row>
    <x:row r="1000">
      <x:c r="A1000" s="31" t="str">
        <x:v>36047079601</x:v>
      </x:c>
      <x:c r="B1000" s="31" t="str">
        <x:v>Brooklyn</x:v>
      </x:c>
      <x:c r="C1000" s="31" t="str">
        <x:v>079601</x:v>
      </x:c>
      <x:c r="D1000" s="31" t="str">
        <x:v>BK0902</x:v>
      </x:c>
      <x:c r="E1000" s="31" t="str">
        <x:v>Prospect Lefferts Gardens-Wingate</x:v>
      </x:c>
      <x:c r="F1000" s="31" t="n">
        <x:v>0.04262649902899736</x:v>
      </x:c>
      <x:c r="G1000" s="31" t="n">
        <x:v>40.65659633070906</x:v>
      </x:c>
      <x:c r="H1000" s="31" t="n">
        <x:v>-73.95827237146317</x:v>
      </x:c>
      <x:c r="I1000" s="31" t="n">
        <x:v>4125</x:v>
      </x:c>
      <x:c r="J1000" s="31" t="n">
        <x:v>96770.79032913077</x:v>
      </x:c>
      <x:c r="K1000" s="31"/>
      <x:c r="L1000" s="40"/>
      <x:c r="M1000" s="40"/>
      <x:c r="N1000" s="31" t="n">
        <x:v>220</x:v>
      </x:c>
      <x:c r="O1000" s="31" t="n">
        <x:v>1970</x:v>
      </x:c>
      <x:c r="P1000" s="31" t="n">
        <x:v>4.7381421319796955</x:v>
      </x:c>
      <x:c r="Q1000" s="40" t="n">
        <x:v>0</x:v>
      </x:c>
      <x:c r="R1000" s="40" t="n">
        <x:v>0.9248730964467005</x:v>
      </x:c>
      <x:c r="S1000" s="40" t="n">
        <x:v>0</x:v>
      </x:c>
      <x:c r="T1000" s="31" t="n">
        <x:v>54.07607791600716</x:v>
      </x:c>
      <x:c r="U1000" s="31" t="n">
        <x:v>85</x:v>
      </x:c>
      <x:c r="V1000" s="31" t="n">
        <x:v>26</x:v>
      </x:c>
      <x:c r="W1000" s="31" t="n">
        <x:v>6.303030303030304</x:v>
      </x:c>
      <x:c r="X1000" s="31" t="n">
        <x:v>5</x:v>
      </x:c>
      <x:c r="Y1000" s="40" t="n">
        <x:v>1</x:v>
      </x:c>
      <x:c r="Z1000" s="40" t="n">
        <x:v>1</x:v>
      </x:c>
      <x:c r="AA1000" s="40" t="n">
        <x:v>0.9928934010152284</x:v>
      </x:c>
      <x:c r="AB1000" s="31" t="n">
        <x:v>0.23198671871998341</x:v>
      </x:c>
      <x:c r="AC1000" s="31" t="n">
        <x:v>6</x:v>
      </x:c>
      <x:c r="AD1000" s="44" t="b">
        <x:v>1</x:v>
      </x:c>
    </x:row>
    <x:row r="1001">
      <x:c r="A1001" s="31" t="str">
        <x:v>36047079602</x:v>
      </x:c>
      <x:c r="B1001" s="31" t="str">
        <x:v>Brooklyn</x:v>
      </x:c>
      <x:c r="C1001" s="31" t="str">
        <x:v>079602</x:v>
      </x:c>
      <x:c r="D1001" s="31" t="str">
        <x:v>BK1401</x:v>
      </x:c>
      <x:c r="E1001" s="31" t="str">
        <x:v>Flatbush</x:v>
      </x:c>
      <x:c r="F1001" s="31" t="n">
        <x:v>0.0521380241089876</x:v>
      </x:c>
      <x:c r="G1001" s="31" t="n">
        <x:v>40.652760250221874</x:v>
      </x:c>
      <x:c r="H1001" s="31" t="n">
        <x:v>-73.95765464315504</x:v>
      </x:c>
      <x:c r="I1001" s="31" t="n">
        <x:v>4489</x:v>
      </x:c>
      <x:c r="J1001" s="31" t="n">
        <x:v>86098.39127421367</x:v>
      </x:c>
      <x:c r="K1001" s="31"/>
      <x:c r="L1001" s="40"/>
      <x:c r="M1001" s="40"/>
      <x:c r="N1001" s="31" t="n">
        <x:v>135</x:v>
      </x:c>
      <x:c r="O1001" s="31" t="n">
        <x:v>2668</x:v>
      </x:c>
      <x:c r="P1001" s="31" t="n">
        <x:v>5.9196875</x:v>
      </x:c>
      <x:c r="Q1001" s="40" t="n">
        <x:v>0.04572713643178411</x:v>
      </x:c>
      <x:c r="R1001" s="40" t="n">
        <x:v>0.8223388305847077</x:v>
      </x:c>
      <x:c r="S1001" s="40" t="n">
        <x:v>0</x:v>
      </x:c>
      <x:c r="T1001" s="31" t="n">
        <x:v>66.40387737003398</x:v>
      </x:c>
      <x:c r="U1001" s="31" t="n">
        <x:v>142</x:v>
      </x:c>
      <x:c r="V1001" s="31" t="n">
        <x:v>48</x:v>
      </x:c>
      <x:c r="W1001" s="31" t="n">
        <x:v>10.692804633548674</x:v>
      </x:c>
      <x:c r="X1001" s="31" t="n">
        <x:v>5</x:v>
      </x:c>
      <x:c r="Y1001" s="40" t="n">
        <x:v>1</x:v>
      </x:c>
      <x:c r="Z1001" s="40" t="n">
        <x:v>1</x:v>
      </x:c>
      <x:c r="AA1001" s="40" t="n">
        <x:v>0.8823088455772113</x:v>
      </x:c>
      <x:c r="AB1001" s="31" t="n">
        <x:v>0.06595347862983503</x:v>
      </x:c>
      <x:c r="AC1001" s="31" t="n">
        <x:v>6</x:v>
      </x:c>
      <x:c r="AD1001" s="44" t="b">
        <x:v>1</x:v>
      </x:c>
    </x:row>
    <x:row r="1002">
      <x:c r="A1002" s="31" t="str">
        <x:v>36047079801</x:v>
      </x:c>
      <x:c r="B1002" s="31" t="str">
        <x:v>Brooklyn</x:v>
      </x:c>
      <x:c r="C1002" s="31" t="str">
        <x:v>079801</x:v>
      </x:c>
      <x:c r="D1002" s="31" t="str">
        <x:v>BK0902</x:v>
      </x:c>
      <x:c r="E1002" s="31" t="str">
        <x:v>Prospect Lefferts Gardens-Wingate</x:v>
      </x:c>
      <x:c r="F1002" s="31" t="n">
        <x:v>0.050117960236598945</x:v>
      </x:c>
      <x:c r="G1002" s="31" t="n">
        <x:v>40.66001182668607</x:v>
      </x:c>
      <x:c r="H1002" s="31" t="n">
        <x:v>-73.95872041910448</x:v>
      </x:c>
      <x:c r="I1002" s="31" t="n">
        <x:v>2957</x:v>
      </x:c>
      <x:c r="J1002" s="31" t="n">
        <x:v>59000.80502160247</x:v>
      </x:c>
      <x:c r="K1002" s="31"/>
      <x:c r="L1002" s="40"/>
      <x:c r="M1002" s="40"/>
      <x:c r="N1002" s="31" t="n">
        <x:v>284</x:v>
      </x:c>
      <x:c r="O1002" s="31" t="n">
        <x:v>1279</x:v>
      </x:c>
      <x:c r="P1002" s="31" t="n">
        <x:v>5.118318999218139</x:v>
      </x:c>
      <x:c r="Q1002" s="40" t="n">
        <x:v>0</x:v>
      </x:c>
      <x:c r="R1002" s="40" t="n">
        <x:v>0.9218139171227522</x:v>
      </x:c>
      <x:c r="S1002" s="40" t="n">
        <x:v>0.06254886630179828</x:v>
      </x:c>
      <x:c r="T1002" s="31" t="n">
        <x:v>60.81391623791243</x:v>
      </x:c>
      <x:c r="U1002" s="31" t="n">
        <x:v>78.38</x:v>
      </x:c>
      <x:c r="V1002" s="31" t="n">
        <x:v>20</x:v>
      </x:c>
      <x:c r="W1002" s="31" t="n">
        <x:v>6.763611768684477</x:v>
      </x:c>
      <x:c r="X1002" s="31" t="n">
        <x:v>5</x:v>
      </x:c>
      <x:c r="Y1002" s="40" t="n">
        <x:v>1</x:v>
      </x:c>
      <x:c r="Z1002" s="40" t="n">
        <x:v>1</x:v>
      </x:c>
      <x:c r="AA1002" s="40" t="n">
        <x:v>1</x:v>
      </x:c>
      <x:c r="AB1002" s="31" t="n">
        <x:v>0.34185936343342715</x:v>
      </x:c>
      <x:c r="AC1002" s="31" t="n">
        <x:v>5</x:v>
      </x:c>
      <x:c r="AD1002" s="44" t="b">
        <x:v>1</x:v>
      </x:c>
    </x:row>
    <x:row r="1003">
      <x:c r="A1003" s="31" t="str">
        <x:v>36047079802</x:v>
      </x:c>
      <x:c r="B1003" s="31" t="str">
        <x:v>Brooklyn</x:v>
      </x:c>
      <x:c r="C1003" s="31" t="str">
        <x:v>079802</x:v>
      </x:c>
      <x:c r="D1003" s="31" t="str">
        <x:v>BK0902</x:v>
      </x:c>
      <x:c r="E1003" s="31" t="str">
        <x:v>Prospect Lefferts Gardens-Wingate</x:v>
      </x:c>
      <x:c r="F1003" s="31" t="n">
        <x:v>0.04107835585650539</x:v>
      </x:c>
      <x:c r="G1003" s="31" t="n">
        <x:v>40.65799618371274</x:v>
      </x:c>
      <x:c r="H1003" s="31" t="n">
        <x:v>-73.96137332791994</x:v>
      </x:c>
      <x:c r="I1003" s="31" t="n">
        <x:v>5647</x:v>
      </x:c>
      <x:c r="J1003" s="31" t="n">
        <x:v>137468.98779800386</x:v>
      </x:c>
      <x:c r="K1003" s="31"/>
      <x:c r="L1003" s="40"/>
      <x:c r="M1003" s="40"/>
      <x:c r="N1003" s="31" t="n">
        <x:v>98</x:v>
      </x:c>
      <x:c r="O1003" s="31" t="n">
        <x:v>2724</x:v>
      </x:c>
      <x:c r="P1003" s="31" t="n">
        <x:v>9.054363905325443</x:v>
      </x:c>
      <x:c r="Q1003" s="40" t="n">
        <x:v>0.2753303964757709</x:v>
      </x:c>
      <x:c r="R1003" s="40" t="n">
        <x:v>0.7030102790014684</x:v>
      </x:c>
      <x:c r="S1003" s="40" t="n">
        <x:v>0</x:v>
      </x:c>
      <x:c r="T1003" s="31" t="n">
        <x:v>93.2899391629956</x:v>
      </x:c>
      <x:c r="U1003" s="31" t="n">
        <x:v>242</x:v>
      </x:c>
      <x:c r="V1003" s="31" t="n">
        <x:v>44</x:v>
      </x:c>
      <x:c r="W1003" s="31" t="n">
        <x:v>7.79174783070657</x:v>
      </x:c>
      <x:c r="X1003" s="31" t="n">
        <x:v>5</x:v>
      </x:c>
      <x:c r="Y1003" s="40" t="n">
        <x:v>1</x:v>
      </x:c>
      <x:c r="Z1003" s="40" t="n">
        <x:v>1</x:v>
      </x:c>
      <x:c r="AA1003" s="40" t="n">
        <x:v>1</x:v>
      </x:c>
      <x:c r="AB1003" s="31" t="n">
        <x:v>0.41168402721801856</x:v>
      </x:c>
      <x:c r="AC1003" s="31" t="n">
        <x:v>6</x:v>
      </x:c>
      <x:c r="AD1003" s="44" t="b">
        <x:v>1</x:v>
      </x:c>
    </x:row>
    <x:row r="1004">
      <x:c r="A1004" s="31" t="str">
        <x:v>36047080000</x:v>
      </x:c>
      <x:c r="B1004" s="31" t="str">
        <x:v>Brooklyn</x:v>
      </x:c>
      <x:c r="C1004" s="31" t="str">
        <x:v>080000</x:v>
      </x:c>
      <x:c r="D1004" s="31" t="str">
        <x:v>BK0902</x:v>
      </x:c>
      <x:c r="E1004" s="31" t="str">
        <x:v>Prospect Lefferts Gardens-Wingate</x:v>
      </x:c>
      <x:c r="F1004" s="31" t="n">
        <x:v>0.06705397068985307</x:v>
      </x:c>
      <x:c r="G1004" s="31" t="n">
        <x:v>40.6606859345329</x:v>
      </x:c>
      <x:c r="H1004" s="31" t="n">
        <x:v>-73.95376667410537</x:v>
      </x:c>
      <x:c r="I1004" s="31" t="n">
        <x:v>3562</x:v>
      </x:c>
      <x:c r="J1004" s="31" t="n">
        <x:v>53121.38809013169</x:v>
      </x:c>
      <x:c r="K1004" s="31"/>
      <x:c r="L1004" s="40"/>
      <x:c r="M1004" s="40"/>
      <x:c r="N1004" s="31" t="n">
        <x:v>560</x:v>
      </x:c>
      <x:c r="O1004" s="31" t="n">
        <x:v>1440</x:v>
      </x:c>
      <x:c r="P1004" s="31" t="n">
        <x:v>3.1418263888888887</x:v>
      </x:c>
      <x:c r="Q1004" s="40" t="n">
        <x:v>0</x:v>
      </x:c>
      <x:c r="R1004" s="40" t="n">
        <x:v>0.5576388888888889</x:v>
      </x:c>
      <x:c r="S1004" s="40" t="n">
        <x:v>0</x:v>
      </x:c>
      <x:c r="T1004" s="31" t="n">
        <x:v>38.92175979514685</x:v>
      </x:c>
      <x:c r="U1004" s="31" t="n">
        <x:v>68.01712183</x:v>
      </x:c>
      <x:c r="V1004" s="31" t="n">
        <x:v>6</x:v>
      </x:c>
      <x:c r="W1004" s="31" t="n">
        <x:v>1.6844469399213924</x:v>
      </x:c>
      <x:c r="X1004" s="31" t="n">
        <x:v>5</x:v>
      </x:c>
      <x:c r="Y1004" s="40" t="n">
        <x:v>1</x:v>
      </x:c>
      <x:c r="Z1004" s="40" t="n">
        <x:v>1</x:v>
      </x:c>
      <x:c r="AA1004" s="40" t="n">
        <x:v>0.9930555555555556</x:v>
      </x:c>
      <x:c r="AB1004" s="31" t="n">
        <x:v>0.2297305197844564</x:v>
      </x:c>
      <x:c r="AC1004" s="31" t="n">
        <x:v>5</x:v>
      </x:c>
      <x:c r="AD1004" s="44" t="b">
        <x:v>1</x:v>
      </x:c>
    </x:row>
    <x:row r="1005">
      <x:c r="A1005" s="31" t="str">
        <x:v>36047080200</x:v>
      </x:c>
      <x:c r="B1005" s="31" t="str">
        <x:v>Brooklyn</x:v>
      </x:c>
      <x:c r="C1005" s="31" t="str">
        <x:v>080200</x:v>
      </x:c>
      <x:c r="D1005" s="31" t="str">
        <x:v>BK0902</x:v>
      </x:c>
      <x:c r="E1005" s="31" t="str">
        <x:v>Prospect Lefferts Gardens-Wingate</x:v>
      </x:c>
      <x:c r="F1005" s="31" t="n">
        <x:v>0.07152905018293733</x:v>
      </x:c>
      <x:c r="G1005" s="31" t="n">
        <x:v>40.657639784767184</x:v>
      </x:c>
      <x:c r="H1005" s="31" t="n">
        <x:v>-73.95344087389988</x:v>
      </x:c>
      <x:c r="I1005" s="31" t="n">
        <x:v>4521</x:v>
      </x:c>
      <x:c r="J1005" s="31" t="n">
        <x:v>63205.08923909139</x:v>
      </x:c>
      <x:c r="K1005" s="31"/>
      <x:c r="L1005" s="40"/>
      <x:c r="M1005" s="40"/>
      <x:c r="N1005" s="31" t="n">
        <x:v>379</x:v>
      </x:c>
      <x:c r="O1005" s="31" t="n">
        <x:v>2027</x:v>
      </x:c>
      <x:c r="P1005" s="31" t="n">
        <x:v>4.551356684755797</x:v>
      </x:c>
      <x:c r="Q1005" s="40" t="n">
        <x:v>0.007893438579181056</x:v>
      </x:c>
      <x:c r="R1005" s="40" t="n">
        <x:v>0.8500246669955599</x:v>
      </x:c>
      <x:c r="S1005" s="40" t="n">
        <x:v>0.001973359644795264</x:v>
      </x:c>
      <x:c r="T1005" s="31" t="n">
        <x:v>51.72720839193035</x:v>
      </x:c>
      <x:c r="U1005" s="31" t="n">
        <x:v>100</x:v>
      </x:c>
      <x:c r="V1005" s="31" t="n">
        <x:v>21</x:v>
      </x:c>
      <x:c r="W1005" s="31" t="n">
        <x:v>4.6449900464499</x:v>
      </x:c>
      <x:c r="X1005" s="31" t="n">
        <x:v>5</x:v>
      </x:c>
      <x:c r="Y1005" s="40" t="n">
        <x:v>1</x:v>
      </x:c>
      <x:c r="Z1005" s="40" t="n">
        <x:v>1</x:v>
      </x:c>
      <x:c r="AA1005" s="40" t="n">
        <x:v>0.9916132215096202</x:v>
      </x:c>
      <x:c r="AB1005" s="31" t="n">
        <x:v>0.09842719363076599</x:v>
      </x:c>
      <x:c r="AC1005" s="31" t="n">
        <x:v>6</x:v>
      </x:c>
      <x:c r="AD1005" s="44" t="b">
        <x:v>1</x:v>
      </x:c>
    </x:row>
    <x:row r="1006">
      <x:c r="A1006" s="31" t="str">
        <x:v>36047080400</x:v>
      </x:c>
      <x:c r="B1006" s="31" t="str">
        <x:v>Brooklyn</x:v>
      </x:c>
      <x:c r="C1006" s="31" t="str">
        <x:v>080400</x:v>
      </x:c>
      <x:c r="D1006" s="31" t="str">
        <x:v>BK0902</x:v>
      </x:c>
      <x:c r="E1006" s="31" t="str">
        <x:v>Prospect Lefferts Gardens-Wingate</x:v>
      </x:c>
      <x:c r="F1006" s="31" t="n">
        <x:v>0.07326615513623451</x:v>
      </x:c>
      <x:c r="G1006" s="31" t="n">
        <x:v>40.65897442449639</x:v>
      </x:c>
      <x:c r="H1006" s="31" t="n">
        <x:v>-73.94899020582942</x:v>
      </x:c>
      <x:c r="I1006" s="31" t="n">
        <x:v>3327</x:v>
      </x:c>
      <x:c r="J1006" s="31" t="n">
        <x:v>45409.78018859623</x:v>
      </x:c>
      <x:c r="K1006" s="31"/>
      <x:c r="L1006" s="40"/>
      <x:c r="M1006" s="40"/>
      <x:c r="N1006" s="31" t="n">
        <x:v>387</x:v>
      </x:c>
      <x:c r="O1006" s="31" t="n">
        <x:v>1629</x:v>
      </x:c>
      <x:c r="P1006" s="31" t="n">
        <x:v>3.990467404674047</x:v>
      </x:c>
      <x:c r="Q1006" s="40" t="n">
        <x:v>0.09208103130755065</x:v>
      </x:c>
      <x:c r="R1006" s="40" t="n">
        <x:v>0.56353591160221</x:v>
      </x:c>
      <x:c r="S1006" s="40" t="n">
        <x:v>0</x:v>
      </x:c>
      <x:c r="T1006" s="31" t="n">
        <x:v>39.46604276090476</x:v>
      </x:c>
      <x:c r="U1006" s="31" t="n">
        <x:v>87</x:v>
      </x:c>
      <x:c r="V1006" s="31" t="n">
        <x:v>18</x:v>
      </x:c>
      <x:c r="W1006" s="31" t="n">
        <x:v>5.410279531109108</x:v>
      </x:c>
      <x:c r="X1006" s="31" t="n">
        <x:v>5</x:v>
      </x:c>
      <x:c r="Y1006" s="40" t="n">
        <x:v>1</x:v>
      </x:c>
      <x:c r="Z1006" s="40" t="n">
        <x:v>1</x:v>
      </x:c>
      <x:c r="AA1006" s="40" t="n">
        <x:v>0.9023941068139963</x:v>
      </x:c>
      <x:c r="AB1006" s="31" t="n">
        <x:v>0.13784320956161203</x:v>
      </x:c>
      <x:c r="AC1006" s="31" t="n">
        <x:v>9</x:v>
      </x:c>
      <x:c r="AD1006" s="44" t="b">
        <x:v>1</x:v>
      </x:c>
    </x:row>
    <x:row r="1007">
      <x:c r="A1007" s="31" t="str">
        <x:v>36047080600</x:v>
      </x:c>
      <x:c r="B1007" s="31" t="str">
        <x:v>Brooklyn</x:v>
      </x:c>
      <x:c r="C1007" s="31" t="str">
        <x:v>080600</x:v>
      </x:c>
      <x:c r="D1007" s="31" t="str">
        <x:v>BK0902</x:v>
      </x:c>
      <x:c r="E1007" s="31" t="str">
        <x:v>Prospect Lefferts Gardens-Wingate</x:v>
      </x:c>
      <x:c r="F1007" s="31" t="n">
        <x:v>0.06421349688934802</x:v>
      </x:c>
      <x:c r="G1007" s="31" t="n">
        <x:v>40.661659164870244</x:v>
      </x:c>
      <x:c r="H1007" s="31" t="n">
        <x:v>-73.94386157394959</x:v>
      </x:c>
      <x:c r="I1007" s="31" t="n">
        <x:v>3781</x:v>
      </x:c>
      <x:c r="J1007" s="31" t="n">
        <x:v>58881.70218350477</x:v>
      </x:c>
      <x:c r="K1007" s="31"/>
      <x:c r="L1007" s="40"/>
      <x:c r="M1007" s="40"/>
      <x:c r="N1007" s="31" t="n">
        <x:v>321</x:v>
      </x:c>
      <x:c r="O1007" s="31" t="n">
        <x:v>1367</x:v>
      </x:c>
      <x:c r="P1007" s="31" t="n">
        <x:v>4.198610095098757</x:v>
      </x:c>
      <x:c r="Q1007" s="40" t="n">
        <x:v>0</x:v>
      </x:c>
      <x:c r="R1007" s="40" t="n">
        <x:v>0.7490855888807608</x:v>
      </x:c>
      <x:c r="S1007" s="40" t="n">
        <x:v>0.012435991221653255</x:v>
      </x:c>
      <x:c r="T1007" s="31" t="n">
        <x:v>45.73625520839623</x:v>
      </x:c>
      <x:c r="U1007" s="31" t="n">
        <x:v>93</x:v>
      </x:c>
      <x:c r="V1007" s="31" t="n">
        <x:v>34</x:v>
      </x:c>
      <x:c r="W1007" s="31" t="n">
        <x:v>8.99233007140968</x:v>
      </x:c>
      <x:c r="X1007" s="31" t="n">
        <x:v>5</x:v>
      </x:c>
      <x:c r="Y1007" s="40" t="n">
        <x:v>1</x:v>
      </x:c>
      <x:c r="Z1007" s="40" t="n">
        <x:v>1</x:v>
      </x:c>
      <x:c r="AA1007" s="40" t="n">
        <x:v>0.93050475493782</x:v>
      </x:c>
      <x:c r="AB1007" s="31" t="n">
        <x:v>0.18268285230585357</x:v>
      </x:c>
      <x:c r="AC1007" s="31" t="n">
        <x:v>5</x:v>
      </x:c>
      <x:c r="AD1007" s="44" t="b">
        <x:v>1</x:v>
      </x:c>
    </x:row>
    <x:row r="1008">
      <x:c r="A1008" s="31" t="str">
        <x:v>36047080800</x:v>
      </x:c>
      <x:c r="B1008" s="31" t="str">
        <x:v>Brooklyn</x:v>
      </x:c>
      <x:c r="C1008" s="31" t="str">
        <x:v>080800</x:v>
      </x:c>
      <x:c r="D1008" s="31" t="str">
        <x:v>BK0902</x:v>
      </x:c>
      <x:c r="E1008" s="31" t="str">
        <x:v>Prospect Lefferts Gardens-Wingate</x:v>
      </x:c>
      <x:c r="F1008" s="31" t="n">
        <x:v>0.1242606951460629</x:v>
      </x:c>
      <x:c r="G1008" s="31" t="n">
        <x:v>40.65730317697331</x:v>
      </x:c>
      <x:c r="H1008" s="31" t="n">
        <x:v>-73.93948736439873</x:v>
      </x:c>
      <x:c r="I1008" s="31" t="n">
        <x:v>1940</x:v>
      </x:c>
      <x:c r="J1008" s="31" t="n">
        <x:v>15612.338219415371</x:v>
      </x:c>
      <x:c r="K1008" s="31"/>
      <x:c r="L1008" s="40"/>
      <x:c r="M1008" s="40"/>
      <x:c r="N1008" s="31" t="n">
        <x:v>3</x:v>
      </x:c>
      <x:c r="O1008" s="31" t="n">
        <x:v>502</x:v>
      </x:c>
      <x:c r="P1008" s="31" t="n">
        <x:v>7.750996015936255</x:v>
      </x:c>
      <x:c r="Q1008" s="40" t="n">
        <x:v>0.5836653386454184</x:v>
      </x:c>
      <x:c r="R1008" s="40" t="n">
        <x:v>0.4163346613545817</x:v>
      </x:c>
      <x:c r="S1008" s="40" t="n">
        <x:v>0</x:v>
      </x:c>
      <x:c r="T1008" s="31" t="n">
        <x:v>82.94223107569721</x:v>
      </x:c>
      <x:c r="U1008" s="31" t="n">
        <x:v>96</x:v>
      </x:c>
      <x:c r="V1008" s="31" t="n">
        <x:v>8</x:v>
      </x:c>
      <x:c r="W1008" s="31" t="n">
        <x:v>4.123711340206186</x:v>
      </x:c>
      <x:c r="X1008" s="31" t="n">
        <x:v>5</x:v>
      </x:c>
      <x:c r="Y1008" s="40" t="n">
        <x:v>1</x:v>
      </x:c>
      <x:c r="Z1008" s="40" t="n">
        <x:v>1</x:v>
      </x:c>
      <x:c r="AA1008" s="40" t="n">
        <x:v>1</x:v>
      </x:c>
      <x:c r="AB1008" s="31" t="n">
        <x:v>0.16570940652505528</x:v>
      </x:c>
      <x:c r="AC1008" s="31" t="n">
        <x:v>11</x:v>
      </x:c>
      <x:c r="AD1008" s="44" t="b">
        <x:v>1</x:v>
      </x:c>
    </x:row>
    <x:row r="1009">
      <x:c r="A1009" s="31" t="str">
        <x:v>36047081000</x:v>
      </x:c>
      <x:c r="B1009" s="31" t="str">
        <x:v>Brooklyn</x:v>
      </x:c>
      <x:c r="C1009" s="31" t="str">
        <x:v>081000</x:v>
      </x:c>
      <x:c r="D1009" s="31" t="str">
        <x:v>BK0902</x:v>
      </x:c>
      <x:c r="E1009" s="31" t="str">
        <x:v>Prospect Lefferts Gardens-Wingate</x:v>
      </x:c>
      <x:c r="F1009" s="31" t="n">
        <x:v>0.06271062765833046</x:v>
      </x:c>
      <x:c r="G1009" s="31" t="n">
        <x:v>40.659113374473314</x:v>
      </x:c>
      <x:c r="H1009" s="31" t="n">
        <x:v>-73.94454832275522</x:v>
      </x:c>
      <x:c r="I1009" s="31" t="n">
        <x:v>2907</x:v>
      </x:c>
      <x:c r="J1009" s="31" t="n">
        <x:v>46355.77905292796</x:v>
      </x:c>
      <x:c r="K1009" s="31"/>
      <x:c r="L1009" s="40"/>
      <x:c r="M1009" s="40"/>
      <x:c r="N1009" s="31" t="n">
        <x:v>216</x:v>
      </x:c>
      <x:c r="O1009" s="31" t="n">
        <x:v>1155</x:v>
      </x:c>
      <x:c r="P1009" s="31" t="n">
        <x:v>5.451515151515151</x:v>
      </x:c>
      <x:c r="Q1009" s="40" t="n">
        <x:v>0.13852813852813853</x:v>
      </x:c>
      <x:c r="R1009" s="40" t="n">
        <x:v>0.5367965367965368</x:v>
      </x:c>
      <x:c r="S1009" s="40" t="n">
        <x:v>0.04242424242424243</x:v>
      </x:c>
      <x:c r="T1009" s="31" t="n">
        <x:v>54.7061206640845</x:v>
      </x:c>
      <x:c r="U1009" s="31" t="n">
        <x:v>139.26</x:v>
      </x:c>
      <x:c r="V1009" s="31" t="n">
        <x:v>12</x:v>
      </x:c>
      <x:c r="W1009" s="31" t="n">
        <x:v>4.127966976264189</x:v>
      </x:c>
      <x:c r="X1009" s="31" t="n">
        <x:v>5</x:v>
      </x:c>
      <x:c r="Y1009" s="40" t="n">
        <x:v>1</x:v>
      </x:c>
      <x:c r="Z1009" s="40" t="n">
        <x:v>1</x:v>
      </x:c>
      <x:c r="AA1009" s="40" t="n">
        <x:v>0.9835497835497835</x:v>
      </x:c>
      <x:c r="AB1009" s="31" t="n">
        <x:v>0.06741328356399641</x:v>
      </x:c>
      <x:c r="AC1009" s="31" t="n">
        <x:v>4</x:v>
      </x:c>
      <x:c r="AD1009" s="44" t="b">
        <x:v>1</x:v>
      </x:c>
    </x:row>
    <x:row r="1010">
      <x:c r="A1010" s="31" t="str">
        <x:v>36047081400</x:v>
      </x:c>
      <x:c r="B1010" s="31" t="str">
        <x:v>Brooklyn</x:v>
      </x:c>
      <x:c r="C1010" s="31" t="str">
        <x:v>081400</x:v>
      </x:c>
      <x:c r="D1010" s="31" t="str">
        <x:v>BK1703</x:v>
      </x:c>
      <x:c r="E1010" s="31" t="str">
        <x:v>East Flatbush-Rugby</x:v>
      </x:c>
      <x:c r="F1010" s="31" t="n">
        <x:v>0.06571247480917126</x:v>
      </x:c>
      <x:c r="G1010" s="31" t="n">
        <x:v>40.653640389224186</x:v>
      </x:c>
      <x:c r="H1010" s="31" t="n">
        <x:v>-73.94023808544712</x:v>
      </x:c>
      <x:c r="I1010" s="31" t="n">
        <x:v>3121</x:v>
      </x:c>
      <x:c r="J1010" s="31" t="n">
        <x:v>47494.78708667373</x:v>
      </x:c>
      <x:c r="K1010" s="31"/>
      <x:c r="L1010" s="40"/>
      <x:c r="M1010" s="40"/>
      <x:c r="N1010" s="31" t="n">
        <x:v>389</x:v>
      </x:c>
      <x:c r="O1010" s="31" t="n">
        <x:v>919</x:v>
      </x:c>
      <x:c r="P1010" s="31" t="n">
        <x:v>2.4518498367791075</x:v>
      </x:c>
      <x:c r="Q1010" s="40" t="n">
        <x:v>0</x:v>
      </x:c>
      <x:c r="R1010" s="40" t="n">
        <x:v>0.29379760609357997</x:v>
      </x:c>
      <x:c r="S1010" s="40" t="n">
        <x:v>0.01088139281828074</x:v>
      </x:c>
      <x:c r="T1010" s="31" t="n">
        <x:v>30.491611007570807</x:v>
      </x:c>
      <x:c r="U1010" s="31" t="n">
        <x:v>46.37</x:v>
      </x:c>
      <x:c r="V1010" s="31" t="n">
        <x:v>0</x:v>
      </x:c>
      <x:c r="W1010" s="31" t="n">
        <x:v>0</x:v>
      </x:c>
      <x:c r="X1010" s="31" t="n">
        <x:v>5</x:v>
      </x:c>
      <x:c r="Y1010" s="40" t="n">
        <x:v>1</x:v>
      </x:c>
      <x:c r="Z1010" s="40" t="n">
        <x:v>1</x:v>
      </x:c>
      <x:c r="AA1010" s="40" t="n">
        <x:v>0.998911860718172</x:v>
      </x:c>
      <x:c r="AB1010" s="31" t="n">
        <x:v>0.1107649970162009</x:v>
      </x:c>
      <x:c r="AC1010" s="31" t="n">
        <x:v>4</x:v>
      </x:c>
      <x:c r="AD1010" s="44" t="b">
        <x:v>1</x:v>
      </x:c>
    </x:row>
    <x:row r="1011">
      <x:c r="A1011" s="31" t="str">
        <x:v>36047081600</x:v>
      </x:c>
      <x:c r="B1011" s="31" t="str">
        <x:v>Brooklyn</x:v>
      </x:c>
      <x:c r="C1011" s="31" t="str">
        <x:v>081600</x:v>
      </x:c>
      <x:c r="D1011" s="31" t="str">
        <x:v>BK1701</x:v>
      </x:c>
      <x:c r="E1011" s="31" t="str">
        <x:v>East Flatbush-Erasmus</x:v>
      </x:c>
      <x:c r="F1011" s="31" t="n">
        <x:v>0.06934237853248393</x:v>
      </x:c>
      <x:c r="G1011" s="31" t="n">
        <x:v>40.65352973626459</x:v>
      </x:c>
      <x:c r="H1011" s="31" t="n">
        <x:v>-73.94420557033366</x:v>
      </x:c>
      <x:c r="I1011" s="31" t="n">
        <x:v>2580</x:v>
      </x:c>
      <x:c r="J1011" s="31" t="n">
        <x:v>37206.68449224569</x:v>
      </x:c>
      <x:c r="K1011" s="31"/>
      <x:c r="L1011" s="40"/>
      <x:c r="M1011" s="40"/>
      <x:c r="N1011" s="31" t="n">
        <x:v>300</x:v>
      </x:c>
      <x:c r="O1011" s="31" t="n">
        <x:v>946</x:v>
      </x:c>
      <x:c r="P1011" s="31" t="n">
        <x:v>3.21723044397463</x:v>
      </x:c>
      <x:c r="Q1011" s="40" t="n">
        <x:v>0</x:v>
      </x:c>
      <x:c r="R1011" s="40" t="n">
        <x:v>0.5496828752642706</x:v>
      </x:c>
      <x:c r="S1011" s="40" t="n">
        <x:v>0.0412262156448203</x:v>
      </x:c>
      <x:c r="T1011" s="31" t="n">
        <x:v>38.43752376952432</x:v>
      </x:c>
      <x:c r="U1011" s="31" t="n">
        <x:v>73</x:v>
      </x:c>
      <x:c r="V1011" s="31" t="n">
        <x:v>1</x:v>
      </x:c>
      <x:c r="W1011" s="31" t="n">
        <x:v>0.3875968992248062</x:v>
      </x:c>
      <x:c r="X1011" s="31" t="n">
        <x:v>5</x:v>
      </x:c>
      <x:c r="Y1011" s="40" t="n">
        <x:v>1</x:v>
      </x:c>
      <x:c r="Z1011" s="40" t="n">
        <x:v>1</x:v>
      </x:c>
      <x:c r="AA1011" s="40" t="n">
        <x:v>1</x:v>
      </x:c>
      <x:c r="AB1011" s="31" t="n">
        <x:v>0.11364346440900215</x:v>
      </x:c>
      <x:c r="AC1011" s="31" t="n">
        <x:v>6</x:v>
      </x:c>
      <x:c r="AD1011" s="44" t="b">
        <x:v>1</x:v>
      </x:c>
    </x:row>
    <x:row r="1012">
      <x:c r="A1012" s="31" t="str">
        <x:v>36047081800</x:v>
      </x:c>
      <x:c r="B1012" s="31" t="str">
        <x:v>Brooklyn</x:v>
      </x:c>
      <x:c r="C1012" s="31" t="str">
        <x:v>081800</x:v>
      </x:c>
      <x:c r="D1012" s="31" t="str">
        <x:v>BK1701</x:v>
      </x:c>
      <x:c r="E1012" s="31" t="str">
        <x:v>East Flatbush-Erasmus</x:v>
      </x:c>
      <x:c r="F1012" s="31" t="n">
        <x:v>0.06096332913474231</x:v>
      </x:c>
      <x:c r="G1012" s="31" t="n">
        <x:v>40.65309237943826</x:v>
      </x:c>
      <x:c r="H1012" s="31" t="n">
        <x:v>-73.94797519992446</x:v>
      </x:c>
      <x:c r="I1012" s="31" t="n">
        <x:v>4830</x:v>
      </x:c>
      <x:c r="J1012" s="31" t="n">
        <x:v>79227.9566840033</x:v>
      </x:c>
      <x:c r="K1012" s="31"/>
      <x:c r="L1012" s="40"/>
      <x:c r="M1012" s="40"/>
      <x:c r="N1012" s="31" t="n">
        <x:v>216</x:v>
      </x:c>
      <x:c r="O1012" s="31" t="n">
        <x:v>2651</x:v>
      </x:c>
      <x:c r="P1012" s="31" t="n">
        <x:v>5.855337608449641</x:v>
      </x:c>
      <x:c r="Q1012" s="40" t="n">
        <x:v>0.03923047906450396</x:v>
      </x:c>
      <x:c r="R1012" s="40" t="n">
        <x:v>0.8781591852131271</x:v>
      </x:c>
      <x:c r="S1012" s="40" t="n">
        <x:v>0.015465861938890985</x:v>
      </x:c>
      <x:c r="T1012" s="31" t="n">
        <x:v>62.98560753148468</x:v>
      </x:c>
      <x:c r="U1012" s="31" t="n">
        <x:v>124</x:v>
      </x:c>
      <x:c r="V1012" s="31" t="n">
        <x:v>49</x:v>
      </x:c>
      <x:c r="W1012" s="31" t="n">
        <x:v>10.144927536231883</x:v>
      </x:c>
      <x:c r="X1012" s="31" t="n">
        <x:v>5</x:v>
      </x:c>
      <x:c r="Y1012" s="40" t="n">
        <x:v>1</x:v>
      </x:c>
      <x:c r="Z1012" s="40" t="n">
        <x:v>1</x:v>
      </x:c>
      <x:c r="AA1012" s="40" t="n">
        <x:v>0.9603923047906451</x:v>
      </x:c>
      <x:c r="AB1012" s="31" t="n">
        <x:v>0.21173999481358924</x:v>
      </x:c>
      <x:c r="AC1012" s="31" t="n">
        <x:v>6</x:v>
      </x:c>
      <x:c r="AD1012" s="44" t="b">
        <x:v>1</x:v>
      </x:c>
    </x:row>
    <x:row r="1013">
      <x:c r="A1013" s="31" t="str">
        <x:v>36047082000</x:v>
      </x:c>
      <x:c r="B1013" s="31" t="str">
        <x:v>Brooklyn</x:v>
      </x:c>
      <x:c r="C1013" s="31" t="str">
        <x:v>082000</x:v>
      </x:c>
      <x:c r="D1013" s="31" t="str">
        <x:v>BK1701</x:v>
      </x:c>
      <x:c r="E1013" s="31" t="str">
        <x:v>East Flatbush-Erasmus</x:v>
      </x:c>
      <x:c r="F1013" s="31" t="n">
        <x:v>0.0573889987144169</x:v>
      </x:c>
      <x:c r="G1013" s="31" t="n">
        <x:v>40.65345353626333</x:v>
      </x:c>
      <x:c r="H1013" s="31" t="n">
        <x:v>-73.95131015790489</x:v>
      </x:c>
      <x:c r="I1013" s="31" t="n">
        <x:v>5495</x:v>
      </x:c>
      <x:c r="J1013" s="31" t="n">
        <x:v>95750.05877597898</x:v>
      </x:c>
      <x:c r="K1013" s="31"/>
      <x:c r="L1013" s="40"/>
      <x:c r="M1013" s="40"/>
      <x:c r="N1013" s="31" t="n">
        <x:v>193</x:v>
      </x:c>
      <x:c r="O1013" s="31" t="n">
        <x:v>2558</x:v>
      </x:c>
      <x:c r="P1013" s="31" t="n">
        <x:v>5.865590304925723</x:v>
      </x:c>
      <x:c r="Q1013" s="40" t="n">
        <x:v>0.049648162627052385</x:v>
      </x:c>
      <x:c r="R1013" s="40" t="n">
        <x:v>0.8893666927286943</x:v>
      </x:c>
      <x:c r="S1013" s="40" t="n">
        <x:v>0.00039093041438623924</x:v>
      </x:c>
      <x:c r="T1013" s="31" t="n">
        <x:v>59.62609905419975</x:v>
      </x:c>
      <x:c r="U1013" s="31" t="n">
        <x:v>172</x:v>
      </x:c>
      <x:c r="V1013" s="31" t="n">
        <x:v>37</x:v>
      </x:c>
      <x:c r="W1013" s="31" t="n">
        <x:v>6.733393994540491</x:v>
      </x:c>
      <x:c r="X1013" s="31" t="n">
        <x:v>5</x:v>
      </x:c>
      <x:c r="Y1013" s="40" t="n">
        <x:v>1</x:v>
      </x:c>
      <x:c r="Z1013" s="40" t="n">
        <x:v>1</x:v>
      </x:c>
      <x:c r="AA1013" s="40" t="n">
        <x:v>0.9354964816262705</x:v>
      </x:c>
      <x:c r="AB1013" s="31" t="n">
        <x:v>0.20177031161957398</x:v>
      </x:c>
      <x:c r="AC1013" s="31" t="n">
        <x:v>6</x:v>
      </x:c>
      <x:c r="AD1013" s="44" t="b">
        <x:v>1</x:v>
      </x:c>
    </x:row>
    <x:row r="1014">
      <x:c r="A1014" s="31" t="str">
        <x:v>36047082200</x:v>
      </x:c>
      <x:c r="B1014" s="31" t="str">
        <x:v>Brooklyn</x:v>
      </x:c>
      <x:c r="C1014" s="31" t="str">
        <x:v>082200</x:v>
      </x:c>
      <x:c r="D1014" s="31" t="str">
        <x:v>BK1701</x:v>
      </x:c>
      <x:c r="E1014" s="31" t="str">
        <x:v>East Flatbush-Erasmus</x:v>
      </x:c>
      <x:c r="F1014" s="31" t="n">
        <x:v>0.0655497771231491</x:v>
      </x:c>
      <x:c r="G1014" s="31" t="n">
        <x:v>40.65328827139184</x:v>
      </x:c>
      <x:c r="H1014" s="31" t="n">
        <x:v>-73.95442806688025</x:v>
      </x:c>
      <x:c r="I1014" s="31" t="n">
        <x:v>7201</x:v>
      </x:c>
      <x:c r="J1014" s="31" t="n">
        <x:v>109855.4459837659</x:v>
      </x:c>
      <x:c r="K1014" s="31"/>
      <x:c r="L1014" s="40"/>
      <x:c r="M1014" s="40"/>
      <x:c r="N1014" s="31" t="n">
        <x:v>233</x:v>
      </x:c>
      <x:c r="O1014" s="31" t="n">
        <x:v>4035</x:v>
      </x:c>
      <x:c r="P1014" s="31" t="n">
        <x:v>7.18857249070632</x:v>
      </x:c>
      <x:c r="Q1014" s="40" t="n">
        <x:v>0.11573729863692689</x:v>
      </x:c>
      <x:c r="R1014" s="40" t="n">
        <x:v>0.836183395291202</x:v>
      </x:c>
      <x:c r="S1014" s="40" t="n">
        <x:v>0</x:v>
      </x:c>
      <x:c r="T1014" s="31" t="n">
        <x:v>88.04781458742397</x:v>
      </x:c>
      <x:c r="U1014" s="31" t="n">
        <x:v>320</x:v>
      </x:c>
      <x:c r="V1014" s="31" t="n">
        <x:v>67</x:v>
      </x:c>
      <x:c r="W1014" s="31" t="n">
        <x:v>9.304263296764338</x:v>
      </x:c>
      <x:c r="X1014" s="31" t="n">
        <x:v>5</x:v>
      </x:c>
      <x:c r="Y1014" s="40" t="n">
        <x:v>1</x:v>
      </x:c>
      <x:c r="Z1014" s="40" t="n">
        <x:v>1</x:v>
      </x:c>
      <x:c r="AA1014" s="40" t="n">
        <x:v>0.9534076827757125</x:v>
      </x:c>
      <x:c r="AB1014" s="31" t="n">
        <x:v>0.2065984913989217</x:v>
      </x:c>
      <x:c r="AC1014" s="31" t="n">
        <x:v>6</x:v>
      </x:c>
      <x:c r="AD1014" s="44" t="b">
        <x:v>1</x:v>
      </x:c>
    </x:row>
    <x:row r="1015">
      <x:c r="A1015" s="31" t="str">
        <x:v>36047082400</x:v>
      </x:c>
      <x:c r="B1015" s="31" t="str">
        <x:v>Brooklyn</x:v>
      </x:c>
      <x:c r="C1015" s="31" t="str">
        <x:v>082400</x:v>
      </x:c>
      <x:c r="D1015" s="31" t="str">
        <x:v>BK1701</x:v>
      </x:c>
      <x:c r="E1015" s="31" t="str">
        <x:v>East Flatbush-Erasmus</x:v>
      </x:c>
      <x:c r="F1015" s="31" t="n">
        <x:v>0.08276151358327594</x:v>
      </x:c>
      <x:c r="G1015" s="31" t="n">
        <x:v>40.64884749422572</x:v>
      </x:c>
      <x:c r="H1015" s="31" t="n">
        <x:v>-73.94935796548484</x:v>
      </x:c>
      <x:c r="I1015" s="31" t="n">
        <x:v>4963</x:v>
      </x:c>
      <x:c r="J1015" s="31" t="n">
        <x:v>59967.48712197188</x:v>
      </x:c>
      <x:c r="K1015" s="31"/>
      <x:c r="L1015" s="40"/>
      <x:c r="M1015" s="40"/>
      <x:c r="N1015" s="31" t="n">
        <x:v>474</x:v>
      </x:c>
      <x:c r="O1015" s="31" t="n">
        <x:v>2482</x:v>
      </x:c>
      <x:c r="P1015" s="31" t="n">
        <x:v>4.086050798852929</x:v>
      </x:c>
      <x:c r="Q1015" s="40" t="n">
        <x:v>0</x:v>
      </x:c>
      <x:c r="R1015" s="40" t="n">
        <x:v>0.7240128928283642</x:v>
      </x:c>
      <x:c r="S1015" s="40" t="n">
        <x:v>0.010475423045930701</x:v>
      </x:c>
      <x:c r="T1015" s="31" t="n">
        <x:v>46.50290278093258</x:v>
      </x:c>
      <x:c r="U1015" s="31" t="n">
        <x:v>85</x:v>
      </x:c>
      <x:c r="V1015" s="31" t="n">
        <x:v>21</x:v>
      </x:c>
      <x:c r="W1015" s="31" t="n">
        <x:v>4.2313117066290555</x:v>
      </x:c>
      <x:c r="X1015" s="31" t="n">
        <x:v>5</x:v>
      </x:c>
      <x:c r="Y1015" s="40" t="n">
        <x:v>1</x:v>
      </x:c>
      <x:c r="Z1015" s="40" t="n">
        <x:v>1</x:v>
      </x:c>
      <x:c r="AA1015" s="40" t="n">
        <x:v>0.9979854955680902</x:v>
      </x:c>
      <x:c r="AB1015" s="31" t="n">
        <x:v>0.13452336599910092</x:v>
      </x:c>
      <x:c r="AC1015" s="31" t="n">
        <x:v>7</x:v>
      </x:c>
      <x:c r="AD1015" s="44" t="b">
        <x:v>1</x:v>
      </x:c>
    </x:row>
    <x:row r="1016">
      <x:c r="A1016" s="31" t="str">
        <x:v>36047082600</x:v>
      </x:c>
      <x:c r="B1016" s="31" t="str">
        <x:v>Brooklyn</x:v>
      </x:c>
      <x:c r="C1016" s="31" t="str">
        <x:v>082600</x:v>
      </x:c>
      <x:c r="D1016" s="31" t="str">
        <x:v>BK1701</x:v>
      </x:c>
      <x:c r="E1016" s="31" t="str">
        <x:v>East Flatbush-Erasmus</x:v>
      </x:c>
      <x:c r="F1016" s="31" t="n">
        <x:v>0.07686376750925449</x:v>
      </x:c>
      <x:c r="G1016" s="31" t="n">
        <x:v>40.64506483449121</x:v>
      </x:c>
      <x:c r="H1016" s="31" t="n">
        <x:v>-73.94897266780694</x:v>
      </x:c>
      <x:c r="I1016" s="31" t="n">
        <x:v>5165</x:v>
      </x:c>
      <x:c r="J1016" s="31" t="n">
        <x:v>67196.81024454244</x:v>
      </x:c>
      <x:c r="K1016" s="31"/>
      <x:c r="L1016" s="40"/>
      <x:c r="M1016" s="40"/>
      <x:c r="N1016" s="31" t="n">
        <x:v>578</x:v>
      </x:c>
      <x:c r="O1016" s="31" t="n">
        <x:v>2146</x:v>
      </x:c>
      <x:c r="P1016" s="31" t="n">
        <x:v>3.372763280521901</x:v>
      </x:c>
      <x:c r="Q1016" s="40" t="n">
        <x:v>0</x:v>
      </x:c>
      <x:c r="R1016" s="40" t="n">
        <x:v>0.6323392357875116</x:v>
      </x:c>
      <x:c r="S1016" s="40" t="n">
        <x:v>0.010251630941286114</x:v>
      </x:c>
      <x:c r="T1016" s="31" t="n">
        <x:v>38.862737461781855</x:v>
      </x:c>
      <x:c r="U1016" s="31" t="n">
        <x:v>78.14</x:v>
      </x:c>
      <x:c r="V1016" s="31" t="n">
        <x:v>6</x:v>
      </x:c>
      <x:c r="W1016" s="31" t="n">
        <x:v>1.1616650532429815</x:v>
      </x:c>
      <x:c r="X1016" s="31" t="n">
        <x:v>5</x:v>
      </x:c>
      <x:c r="Y1016" s="40" t="n">
        <x:v>1</x:v>
      </x:c>
      <x:c r="Z1016" s="40" t="n">
        <x:v>1</x:v>
      </x:c>
      <x:c r="AA1016" s="40" t="n">
        <x:v>0.9911463187325257</x:v>
      </x:c>
      <x:c r="AB1016" s="31" t="n">
        <x:v>0.26486334003749795</x:v>
      </x:c>
      <x:c r="AC1016" s="31" t="n">
        <x:v>8</x:v>
      </x:c>
      <x:c r="AD1016" s="44" t="b">
        <x:v>1</x:v>
      </x:c>
    </x:row>
    <x:row r="1017">
      <x:c r="A1017" s="31" t="str">
        <x:v>36047082800</x:v>
      </x:c>
      <x:c r="B1017" s="31" t="str">
        <x:v>Brooklyn</x:v>
      </x:c>
      <x:c r="C1017" s="31" t="str">
        <x:v>082800</x:v>
      </x:c>
      <x:c r="D1017" s="31" t="str">
        <x:v>BK1701</x:v>
      </x:c>
      <x:c r="E1017" s="31" t="str">
        <x:v>East Flatbush-Erasmus</x:v>
      </x:c>
      <x:c r="F1017" s="31" t="n">
        <x:v>0.06053835499526515</x:v>
      </x:c>
      <x:c r="G1017" s="31" t="n">
        <x:v>40.64098934189818</x:v>
      </x:c>
      <x:c r="H1017" s="31" t="n">
        <x:v>-73.94960525005253</x:v>
      </x:c>
      <x:c r="I1017" s="31" t="n">
        <x:v>4206</x:v>
      </x:c>
      <x:c r="J1017" s="31" t="n">
        <x:v>69476.61528511901</x:v>
      </x:c>
      <x:c r="K1017" s="31"/>
      <x:c r="L1017" s="40"/>
      <x:c r="M1017" s="40"/>
      <x:c r="N1017" s="31" t="n">
        <x:v>363</x:v>
      </x:c>
      <x:c r="O1017" s="31" t="n">
        <x:v>1583</x:v>
      </x:c>
      <x:c r="P1017" s="31" t="n">
        <x:v>3.667624763108023</x:v>
      </x:c>
      <x:c r="Q1017" s="40" t="n">
        <x:v>0</x:v>
      </x:c>
      <x:c r="R1017" s="40" t="n">
        <x:v>0.7795325331648768</x:v>
      </x:c>
      <x:c r="S1017" s="40" t="n">
        <x:v>0.003790271636133923</x:v>
      </x:c>
      <x:c r="T1017" s="31" t="n">
        <x:v>40.43099848161482</x:v>
      </x:c>
      <x:c r="U1017" s="31" t="n">
        <x:v>70</x:v>
      </x:c>
      <x:c r="V1017" s="31" t="n">
        <x:v>10</x:v>
      </x:c>
      <x:c r="W1017" s="31" t="n">
        <x:v>2.3775558725630055</x:v>
      </x:c>
      <x:c r="X1017" s="31" t="n">
        <x:v>5</x:v>
      </x:c>
      <x:c r="Y1017" s="40" t="n">
        <x:v>1</x:v>
      </x:c>
      <x:c r="Z1017" s="40" t="n">
        <x:v>1</x:v>
      </x:c>
      <x:c r="AA1017" s="40" t="n">
        <x:v>0.9545167403663929</x:v>
      </x:c>
      <x:c r="AB1017" s="31" t="n">
        <x:v>0.07441448696189563</x:v>
      </x:c>
      <x:c r="AC1017" s="31" t="n">
        <x:v>6</x:v>
      </x:c>
      <x:c r="AD1017" s="44" t="b">
        <x:v>1</x:v>
      </x:c>
    </x:row>
    <x:row r="1018">
      <x:c r="A1018" s="31" t="str">
        <x:v>36047083000</x:v>
      </x:c>
      <x:c r="B1018" s="31" t="str">
        <x:v>Brooklyn</x:v>
      </x:c>
      <x:c r="C1018" s="31" t="str">
        <x:v>083000</x:v>
      </x:c>
      <x:c r="D1018" s="31" t="str">
        <x:v>BK1702</x:v>
      </x:c>
      <x:c r="E1018" s="31" t="str">
        <x:v>East Flatbush-Farragut</x:v>
      </x:c>
      <x:c r="F1018" s="31" t="n">
        <x:v>0.07790672897332701</x:v>
      </x:c>
      <x:c r="G1018" s="31" t="n">
        <x:v>40.64088716747614</x:v>
      </x:c>
      <x:c r="H1018" s="31" t="n">
        <x:v>-73.94550258429439</x:v>
      </x:c>
      <x:c r="I1018" s="31" t="n">
        <x:v>6167</x:v>
      </x:c>
      <x:c r="J1018" s="31" t="n">
        <x:v>79158.75921464243</x:v>
      </x:c>
      <x:c r="K1018" s="31"/>
      <x:c r="L1018" s="40"/>
      <x:c r="M1018" s="40"/>
      <x:c r="N1018" s="31" t="n">
        <x:v>341</x:v>
      </x:c>
      <x:c r="O1018" s="31" t="n">
        <x:v>2382</x:v>
      </x:c>
      <x:c r="P1018" s="31" t="n">
        <x:v>4.853169605373636</x:v>
      </x:c>
      <x:c r="Q1018" s="40" t="n">
        <x:v>0</x:v>
      </x:c>
      <x:c r="R1018" s="40" t="n">
        <x:v>0.7812762384550798</x:v>
      </x:c>
      <x:c r="S1018" s="40" t="n">
        <x:v>0.49496221662468515</x:v>
      </x:c>
      <x:c r="T1018" s="31" t="n">
        <x:v>52.67417171316344</x:v>
      </x:c>
      <x:c r="U1018" s="31" t="n">
        <x:v>80</x:v>
      </x:c>
      <x:c r="V1018" s="31" t="n">
        <x:v>39</x:v>
      </x:c>
      <x:c r="W1018" s="31" t="n">
        <x:v>6.323982487433112</x:v>
      </x:c>
      <x:c r="X1018" s="31" t="n">
        <x:v>5</x:v>
      </x:c>
      <x:c r="Y1018" s="40" t="n">
        <x:v>1</x:v>
      </x:c>
      <x:c r="Z1018" s="40" t="n">
        <x:v>1</x:v>
      </x:c>
      <x:c r="AA1018" s="40" t="n">
        <x:v>0.9966414777497901</x:v>
      </x:c>
      <x:c r="AB1018" s="31" t="n">
        <x:v>0.08942152525206652</x:v>
      </x:c>
      <x:c r="AC1018" s="31" t="n">
        <x:v>7</x:v>
      </x:c>
      <x:c r="AD1018" s="44" t="b">
        <x:v>1</x:v>
      </x:c>
    </x:row>
    <x:row r="1019">
      <x:c r="A1019" s="31" t="str">
        <x:v>36047083200</x:v>
      </x:c>
      <x:c r="B1019" s="31" t="str">
        <x:v>Brooklyn</x:v>
      </x:c>
      <x:c r="C1019" s="31" t="str">
        <x:v>083200</x:v>
      </x:c>
      <x:c r="D1019" s="31" t="str">
        <x:v>BK1702</x:v>
      </x:c>
      <x:c r="E1019" s="31" t="str">
        <x:v>East Flatbush-Farragut</x:v>
      </x:c>
      <x:c r="F1019" s="31" t="n">
        <x:v>0.05620439090550391</x:v>
      </x:c>
      <x:c r="G1019" s="31" t="n">
        <x:v>40.641523890978156</x:v>
      </x:c>
      <x:c r="H1019" s="31" t="n">
        <x:v>-73.9416241386061</x:v>
      </x:c>
      <x:c r="I1019" s="31" t="n">
        <x:v>2362</x:v>
      </x:c>
      <x:c r="J1019" s="31" t="n">
        <x:v>42025.18632345319</x:v>
      </x:c>
      <x:c r="K1019" s="31"/>
      <x:c r="L1019" s="40"/>
      <x:c r="M1019" s="40"/>
      <x:c r="N1019" s="31" t="n">
        <x:v>416</x:v>
      </x:c>
      <x:c r="O1019" s="31" t="n">
        <x:v>743</x:v>
      </x:c>
      <x:c r="P1019" s="31" t="n">
        <x:v>2.678694481830417</x:v>
      </x:c>
      <x:c r="Q1019" s="40" t="n">
        <x:v>0</x:v>
      </x:c>
      <x:c r="R1019" s="40" t="n">
        <x:v>0.14670255720053835</x:v>
      </x:c>
      <x:c r="S1019" s="40" t="n">
        <x:v>0.004037685060565276</x:v>
      </x:c>
      <x:c r="T1019" s="31" t="n">
        <x:v>32.54401421176312</x:v>
      </x:c>
      <x:c r="U1019" s="31" t="n">
        <x:v>70</x:v>
      </x:c>
      <x:c r="V1019" s="31" t="n">
        <x:v>2</x:v>
      </x:c>
      <x:c r="W1019" s="31" t="n">
        <x:v>0.8467400508044031</x:v>
      </x:c>
      <x:c r="X1019" s="31" t="n">
        <x:v>5</x:v>
      </x:c>
      <x:c r="Y1019" s="40" t="n">
        <x:v>1</x:v>
      </x:c>
      <x:c r="Z1019" s="40" t="n">
        <x:v>1</x:v>
      </x:c>
      <x:c r="AA1019" s="40" t="n">
        <x:v>1</x:v>
      </x:c>
      <x:c r="AB1019" s="31" t="n">
        <x:v>0.2964277405363732</x:v>
      </x:c>
      <x:c r="AC1019" s="31" t="n">
        <x:v>4</x:v>
      </x:c>
      <x:c r="AD1019" s="44" t="b">
        <x:v>1</x:v>
      </x:c>
    </x:row>
    <x:row r="1020">
      <x:c r="A1020" s="31" t="str">
        <x:v>36047083400</x:v>
      </x:c>
      <x:c r="B1020" s="31" t="str">
        <x:v>Brooklyn</x:v>
      </x:c>
      <x:c r="C1020" s="31" t="str">
        <x:v>083400</x:v>
      </x:c>
      <x:c r="D1020" s="31" t="str">
        <x:v>BK1702</x:v>
      </x:c>
      <x:c r="E1020" s="31" t="str">
        <x:v>East Flatbush-Farragut</x:v>
      </x:c>
      <x:c r="F1020" s="31" t="n">
        <x:v>0.048630779872589534</x:v>
      </x:c>
      <x:c r="G1020" s="31" t="n">
        <x:v>40.64154933259643</x:v>
      </x:c>
      <x:c r="H1020" s="31" t="n">
        <x:v>-73.93847492947262</x:v>
      </x:c>
      <x:c r="I1020" s="31" t="n">
        <x:v>1733</x:v>
      </x:c>
      <x:c r="J1020" s="31" t="n">
        <x:v>35635.866925029426</x:v>
      </x:c>
      <x:c r="K1020" s="31"/>
      <x:c r="L1020" s="40"/>
      <x:c r="M1020" s="40"/>
      <x:c r="N1020" s="31" t="n">
        <x:v>400</x:v>
      </x:c>
      <x:c r="O1020" s="31" t="n">
        <x:v>599</x:v>
      </x:c>
      <x:c r="P1020" s="31" t="n">
        <x:v>2.103806343906511</x:v>
      </x:c>
      <x:c r="Q1020" s="40" t="n">
        <x:v>0</x:v>
      </x:c>
      <x:c r="R1020" s="40" t="n">
        <x:v>0.09682804674457429</x:v>
      </x:c>
      <x:c r="S1020" s="40" t="n">
        <x:v>0.02003338898163606</x:v>
      </x:c>
      <x:c r="T1020" s="31" t="n">
        <x:v>26.975475792988313</x:v>
      </x:c>
      <x:c r="U1020" s="31" t="n">
        <x:v>45</x:v>
      </x:c>
      <x:c r="V1020" s="31" t="n">
        <x:v>0</x:v>
      </x:c>
      <x:c r="W1020" s="31" t="n">
        <x:v>0</x:v>
      </x:c>
      <x:c r="X1020" s="31" t="n">
        <x:v>5</x:v>
      </x:c>
      <x:c r="Y1020" s="40" t="n">
        <x:v>1</x:v>
      </x:c>
      <x:c r="Z1020" s="40" t="n">
        <x:v>1</x:v>
      </x:c>
      <x:c r="AA1020" s="40" t="n">
        <x:v>1</x:v>
      </x:c>
      <x:c r="AB1020" s="31" t="n">
        <x:v>0.29595079181820294</x:v>
      </x:c>
      <x:c r="AC1020" s="31" t="n">
        <x:v>6</x:v>
      </x:c>
      <x:c r="AD1020" s="44" t="b">
        <x:v>1</x:v>
      </x:c>
    </x:row>
    <x:row r="1021">
      <x:c r="A1021" s="31" t="str">
        <x:v>36047083600</x:v>
      </x:c>
      <x:c r="B1021" s="31" t="str">
        <x:v>Brooklyn</x:v>
      </x:c>
      <x:c r="C1021" s="31" t="str">
        <x:v>083600</x:v>
      </x:c>
      <x:c r="D1021" s="31" t="str">
        <x:v>BK1702</x:v>
      </x:c>
      <x:c r="E1021" s="31" t="str">
        <x:v>East Flatbush-Farragut</x:v>
      </x:c>
      <x:c r="F1021" s="31" t="n">
        <x:v>0.08038393808217115</x:v>
      </x:c>
      <x:c r="G1021" s="31" t="n">
        <x:v>40.63710286128528</x:v>
      </x:c>
      <x:c r="H1021" s="31" t="n">
        <x:v>-73.93512749635217</x:v>
      </x:c>
      <x:c r="I1021" s="31" t="n">
        <x:v>2160</x:v>
      </x:c>
      <x:c r="J1021" s="31" t="n">
        <x:v>26871.0398063849</x:v>
      </x:c>
      <x:c r="K1021" s="31"/>
      <x:c r="L1021" s="40"/>
      <x:c r="M1021" s="40"/>
      <x:c r="N1021" s="31" t="n">
        <x:v>368</x:v>
      </x:c>
      <x:c r="O1021" s="31" t="n">
        <x:v>704</x:v>
      </x:c>
      <x:c r="P1021" s="31" t="n">
        <x:v>2.0611363636363635</x:v>
      </x:c>
      <x:c r="Q1021" s="40" t="n">
        <x:v>0</x:v>
      </x:c>
      <x:c r="R1021" s="40" t="n">
        <x:v>0.09375</x:v>
      </x:c>
      <x:c r="S1021" s="40" t="n">
        <x:v>0.004261363636363636</x:v>
      </x:c>
      <x:c r="T1021" s="31" t="n">
        <x:v>28.54772857142857</x:v>
      </x:c>
      <x:c r="U1021" s="31" t="n">
        <x:v>38.72</x:v>
      </x:c>
      <x:c r="V1021" s="31" t="n">
        <x:v>0</x:v>
      </x:c>
      <x:c r="W1021" s="31" t="n">
        <x:v>0</x:v>
      </x:c>
      <x:c r="X1021" s="31" t="n">
        <x:v>5</x:v>
      </x:c>
      <x:c r="Y1021" s="40" t="n">
        <x:v>1</x:v>
      </x:c>
      <x:c r="Z1021" s="40" t="n">
        <x:v>1</x:v>
      </x:c>
      <x:c r="AA1021" s="40" t="n">
        <x:v>0.9943181818181818</x:v>
      </x:c>
      <x:c r="AB1021" s="31" t="n">
        <x:v>0.10349032908015204</x:v>
      </x:c>
      <x:c r="AC1021" s="31" t="n">
        <x:v>7</x:v>
      </x:c>
      <x:c r="AD1021" s="44" t="b">
        <x:v>1</x:v>
      </x:c>
    </x:row>
    <x:row r="1022">
      <x:c r="A1022" s="31" t="str">
        <x:v>36047083800</x:v>
      </x:c>
      <x:c r="B1022" s="31" t="str">
        <x:v>Brooklyn</x:v>
      </x:c>
      <x:c r="C1022" s="31" t="str">
        <x:v>083800</x:v>
      </x:c>
      <x:c r="D1022" s="31" t="str">
        <x:v>BK1702</x:v>
      </x:c>
      <x:c r="E1022" s="31" t="str">
        <x:v>East Flatbush-Farragut</x:v>
      </x:c>
      <x:c r="F1022" s="31" t="n">
        <x:v>0.06445333460959023</x:v>
      </x:c>
      <x:c r="G1022" s="31" t="n">
        <x:v>40.641756103622406</x:v>
      </x:c>
      <x:c r="H1022" s="31" t="n">
        <x:v>-73.9351352368833</x:v>
      </x:c>
      <x:c r="I1022" s="31" t="n">
        <x:v>2226</x:v>
      </x:c>
      <x:c r="J1022" s="31" t="n">
        <x:v>34536.614955353856</x:v>
      </x:c>
      <x:c r="K1022" s="31"/>
      <x:c r="L1022" s="40"/>
      <x:c r="M1022" s="40"/>
      <x:c r="N1022" s="31" t="n">
        <x:v>517</x:v>
      </x:c>
      <x:c r="O1022" s="31" t="n">
        <x:v>702</x:v>
      </x:c>
      <x:c r="P1022" s="31" t="n">
        <x:v>1.9443304843304845</x:v>
      </x:c>
      <x:c r="Q1022" s="40" t="n">
        <x:v>0</x:v>
      </x:c>
      <x:c r="R1022" s="40" t="n">
        <x:v>0.021367521367521368</x:v>
      </x:c>
      <x:c r="S1022" s="40" t="n">
        <x:v>0.021367521367521368</x:v>
      </x:c>
      <x:c r="T1022" s="31" t="n">
        <x:v>24.897964381310544</x:v>
      </x:c>
      <x:c r="U1022" s="31" t="n">
        <x:v>33.83</x:v>
      </x:c>
      <x:c r="V1022" s="31" t="n">
        <x:v>0</x:v>
      </x:c>
      <x:c r="W1022" s="31" t="n">
        <x:v>0</x:v>
      </x:c>
      <x:c r="X1022" s="31" t="n">
        <x:v>5</x:v>
      </x:c>
      <x:c r="Y1022" s="40" t="n">
        <x:v>1</x:v>
      </x:c>
      <x:c r="Z1022" s="40" t="n">
        <x:v>1</x:v>
      </x:c>
      <x:c r="AA1022" s="40" t="n">
        <x:v>1</x:v>
      </x:c>
      <x:c r="AB1022" s="31" t="n">
        <x:v>0.2295122082033065</x:v>
      </x:c>
      <x:c r="AC1022" s="31" t="n">
        <x:v>6</x:v>
      </x:c>
      <x:c r="AD1022" s="44" t="b">
        <x:v>1</x:v>
      </x:c>
    </x:row>
    <x:row r="1023">
      <x:c r="A1023" s="31" t="str">
        <x:v>36047084000</x:v>
      </x:c>
      <x:c r="B1023" s="31" t="str">
        <x:v>Brooklyn</x:v>
      </x:c>
      <x:c r="C1023" s="31" t="str">
        <x:v>084000</x:v>
      </x:c>
      <x:c r="D1023" s="31" t="str">
        <x:v>BK1702</x:v>
      </x:c>
      <x:c r="E1023" s="31" t="str">
        <x:v>East Flatbush-Farragut</x:v>
      </x:c>
      <x:c r="F1023" s="31" t="n">
        <x:v>0.06566600855106462</x:v>
      </x:c>
      <x:c r="G1023" s="31" t="n">
        <x:v>40.64199429933131</x:v>
      </x:c>
      <x:c r="H1023" s="31" t="n">
        <x:v>-73.93129227087728</x:v>
      </x:c>
      <x:c r="I1023" s="31" t="n">
        <x:v>2324</x:v>
      </x:c>
      <x:c r="J1023" s="31" t="n">
        <x:v>35391.21763724623</x:v>
      </x:c>
      <x:c r="K1023" s="31"/>
      <x:c r="L1023" s="40"/>
      <x:c r="M1023" s="40"/>
      <x:c r="N1023" s="31" t="n">
        <x:v>400</x:v>
      </x:c>
      <x:c r="O1023" s="31" t="n">
        <x:v>682</x:v>
      </x:c>
      <x:c r="P1023" s="31" t="n">
        <x:v>2.7587976539589443</x:v>
      </x:c>
      <x:c r="Q1023" s="40" t="n">
        <x:v>0</x:v>
      </x:c>
      <x:c r="R1023" s="40" t="n">
        <x:v>0.20821114369501467</x:v>
      </x:c>
      <x:c r="S1023" s="40" t="n">
        <x:v>0.013196480938416423</x:v>
      </x:c>
      <x:c r="T1023" s="31" t="n">
        <x:v>34.23778165468429</x:v>
      </x:c>
      <x:c r="U1023" s="31" t="n">
        <x:v>65.86</x:v>
      </x:c>
      <x:c r="V1023" s="31" t="n">
        <x:v>2</x:v>
      </x:c>
      <x:c r="W1023" s="31" t="n">
        <x:v>0.8605851979345955</x:v>
      </x:c>
      <x:c r="X1023" s="31" t="n">
        <x:v>5</x:v>
      </x:c>
      <x:c r="Y1023" s="40" t="n">
        <x:v>1</x:v>
      </x:c>
      <x:c r="Z1023" s="40" t="n">
        <x:v>1</x:v>
      </x:c>
      <x:c r="AA1023" s="40" t="n">
        <x:v>0.998533724340176</x:v>
      </x:c>
      <x:c r="AB1023" s="31" t="n">
        <x:v>0.039919977915092456</x:v>
      </x:c>
      <x:c r="AC1023" s="31" t="n">
        <x:v>6</x:v>
      </x:c>
      <x:c r="AD1023" s="44" t="b">
        <x:v>1</x:v>
      </x:c>
    </x:row>
    <x:row r="1024">
      <x:c r="A1024" s="31" t="str">
        <x:v>36047084600</x:v>
      </x:c>
      <x:c r="B1024" s="31" t="str">
        <x:v>Brooklyn</x:v>
      </x:c>
      <x:c r="C1024" s="31" t="str">
        <x:v>084600</x:v>
      </x:c>
      <x:c r="D1024" s="31" t="str">
        <x:v>BK1702</x:v>
      </x:c>
      <x:c r="E1024" s="31" t="str">
        <x:v>East Flatbush-Farragut</x:v>
      </x:c>
      <x:c r="F1024" s="31" t="n">
        <x:v>0.06378800358664773</x:v>
      </x:c>
      <x:c r="G1024" s="31" t="n">
        <x:v>40.64227992001215</x:v>
      </x:c>
      <x:c r="H1024" s="31" t="n">
        <x:v>-73.92747024885257</x:v>
      </x:c>
      <x:c r="I1024" s="31" t="n">
        <x:v>1986</x:v>
      </x:c>
      <x:c r="J1024" s="31" t="n">
        <x:v>31134.380891891007</x:v>
      </x:c>
      <x:c r="K1024" s="31"/>
      <x:c r="L1024" s="40"/>
      <x:c r="M1024" s="40"/>
      <x:c r="N1024" s="31" t="n">
        <x:v>403</x:v>
      </x:c>
      <x:c r="O1024" s="31" t="n">
        <x:v>680</x:v>
      </x:c>
      <x:c r="P1024" s="31" t="n">
        <x:v>1.9296759941089838</x:v>
      </x:c>
      <x:c r="Q1024" s="40" t="n">
        <x:v>0</x:v>
      </x:c>
      <x:c r="R1024" s="40" t="n">
        <x:v>0.057352941176470586</x:v>
      </x:c>
      <x:c r="S1024" s="40" t="n">
        <x:v>0.011764705882352941</x:v>
      </x:c>
      <x:c r="T1024" s="31" t="n">
        <x:v>26.2838048295</x:v>
      </x:c>
      <x:c r="U1024" s="31" t="n">
        <x:v>35.23</x:v>
      </x:c>
      <x:c r="V1024" s="31" t="n">
        <x:v>1</x:v>
      </x:c>
      <x:c r="W1024" s="31" t="n">
        <x:v>0.5035246727089627</x:v>
      </x:c>
      <x:c r="X1024" s="31" t="n">
        <x:v>5</x:v>
      </x:c>
      <x:c r="Y1024" s="40" t="n">
        <x:v>1</x:v>
      </x:c>
      <x:c r="Z1024" s="40" t="n">
        <x:v>1</x:v>
      </x:c>
      <x:c r="AA1024" s="40" t="n">
        <x:v>1</x:v>
      </x:c>
      <x:c r="AB1024" s="31" t="n">
        <x:v>0.1793232324944034</x:v>
      </x:c>
      <x:c r="AC1024" s="31" t="n">
        <x:v>6</x:v>
      </x:c>
      <x:c r="AD1024" s="44" t="b">
        <x:v>1</x:v>
      </x:c>
    </x:row>
    <x:row r="1025">
      <x:c r="A1025" s="31" t="str">
        <x:v>36047084800</x:v>
      </x:c>
      <x:c r="B1025" s="31" t="str">
        <x:v>Brooklyn</x:v>
      </x:c>
      <x:c r="C1025" s="31" t="str">
        <x:v>084800</x:v>
      </x:c>
      <x:c r="D1025" s="31" t="str">
        <x:v>BK1703</x:v>
      </x:c>
      <x:c r="E1025" s="31" t="str">
        <x:v>East Flatbush-Rugby</x:v>
      </x:c>
      <x:c r="F1025" s="31" t="n">
        <x:v>0.05308215287893136</x:v>
      </x:c>
      <x:c r="G1025" s="31" t="n">
        <x:v>40.64642690038163</x:v>
      </x:c>
      <x:c r="H1025" s="31" t="n">
        <x:v>-73.92786091041384</x:v>
      </x:c>
      <x:c r="I1025" s="31" t="n">
        <x:v>1728</x:v>
      </x:c>
      <x:c r="J1025" s="31" t="n">
        <x:v>32553.31417964877</x:v>
      </x:c>
      <x:c r="K1025" s="31"/>
      <x:c r="L1025" s="40"/>
      <x:c r="M1025" s="40"/>
      <x:c r="N1025" s="31" t="n">
        <x:v>347</x:v>
      </x:c>
      <x:c r="O1025" s="31" t="n">
        <x:v>564</x:v>
      </x:c>
      <x:c r="P1025" s="31" t="n">
        <x:v>1.9995567375886525</x:v>
      </x:c>
      <x:c r="Q1025" s="40" t="n">
        <x:v>0</x:v>
      </x:c>
      <x:c r="R1025" s="40" t="n">
        <x:v>0.04609929078014184</x:v>
      </x:c>
      <x:c r="S1025" s="40" t="n">
        <x:v>0.010638297872340425</x:v>
      </x:c>
      <x:c r="T1025" s="31" t="n">
        <x:v>27.678939453794328</x:v>
      </x:c>
      <x:c r="U1025" s="31" t="n">
        <x:v>38.1</x:v>
      </x:c>
      <x:c r="V1025" s="31" t="n">
        <x:v>0</x:v>
      </x:c>
      <x:c r="W1025" s="31" t="n">
        <x:v>0</x:v>
      </x:c>
      <x:c r="X1025" s="31" t="n">
        <x:v>5</x:v>
      </x:c>
      <x:c r="Y1025" s="40" t="n">
        <x:v>1</x:v>
      </x:c>
      <x:c r="Z1025" s="40" t="n">
        <x:v>1</x:v>
      </x:c>
      <x:c r="AA1025" s="40" t="n">
        <x:v>1</x:v>
      </x:c>
      <x:c r="AB1025" s="31" t="n">
        <x:v>0.15908042555901852</x:v>
      </x:c>
      <x:c r="AC1025" s="31" t="n">
        <x:v>7</x:v>
      </x:c>
      <x:c r="AD1025" s="44" t="b">
        <x:v>1</x:v>
      </x:c>
    </x:row>
    <x:row r="1026">
      <x:c r="A1026" s="31" t="str">
        <x:v>36047085000</x:v>
      </x:c>
      <x:c r="B1026" s="31" t="str">
        <x:v>Brooklyn</x:v>
      </x:c>
      <x:c r="C1026" s="31" t="str">
        <x:v>085000</x:v>
      </x:c>
      <x:c r="D1026" s="31" t="str">
        <x:v>BK1703</x:v>
      </x:c>
      <x:c r="E1026" s="31" t="str">
        <x:v>East Flatbush-Rugby</x:v>
      </x:c>
      <x:c r="F1026" s="31" t="n">
        <x:v>0.05583920461324896</x:v>
      </x:c>
      <x:c r="G1026" s="31" t="n">
        <x:v>40.645743365060056</x:v>
      </x:c>
      <x:c r="H1026" s="31" t="n">
        <x:v>-73.93231603178671</x:v>
      </x:c>
      <x:c r="I1026" s="31" t="n">
        <x:v>1509</x:v>
      </x:c>
      <x:c r="J1026" s="31" t="n">
        <x:v>27024.02389954458</x:v>
      </x:c>
      <x:c r="K1026" s="31"/>
      <x:c r="L1026" s="40"/>
      <x:c r="M1026" s="40"/>
      <x:c r="N1026" s="31" t="n">
        <x:v>334</x:v>
      </x:c>
      <x:c r="O1026" s="31" t="n">
        <x:v>460</x:v>
      </x:c>
      <x:c r="P1026" s="31" t="n">
        <x:v>1.8277173913043478</x:v>
      </x:c>
      <x:c r="Q1026" s="40" t="n">
        <x:v>0</x:v>
      </x:c>
      <x:c r="R1026" s="40" t="n">
        <x:v>0.008695652173913044</x:v>
      </x:c>
      <x:c r="S1026" s="40" t="n">
        <x:v>0.004347826086956522</x:v>
      </x:c>
      <x:c r="T1026" s="31" t="n">
        <x:v>25.067793138913043</x:v>
      </x:c>
      <x:c r="U1026" s="31" t="n">
        <x:v>32.16</x:v>
      </x:c>
      <x:c r="V1026" s="31" t="n">
        <x:v>0</x:v>
      </x:c>
      <x:c r="W1026" s="31" t="n">
        <x:v>0</x:v>
      </x:c>
      <x:c r="X1026" s="31" t="n">
        <x:v>5</x:v>
      </x:c>
      <x:c r="Y1026" s="40" t="n">
        <x:v>1</x:v>
      </x:c>
      <x:c r="Z1026" s="40" t="n">
        <x:v>1</x:v>
      </x:c>
      <x:c r="AA1026" s="40" t="n">
        <x:v>1</x:v>
      </x:c>
      <x:c r="AB1026" s="31" t="n">
        <x:v>0.22429170211206467</x:v>
      </x:c>
      <x:c r="AC1026" s="31" t="n">
        <x:v>9</x:v>
      </x:c>
      <x:c r="AD1026" s="44" t="b">
        <x:v>1</x:v>
      </x:c>
    </x:row>
    <x:row r="1027">
      <x:c r="A1027" s="31" t="str">
        <x:v>36047085200</x:v>
      </x:c>
      <x:c r="B1027" s="31" t="str">
        <x:v>Brooklyn</x:v>
      </x:c>
      <x:c r="C1027" s="31" t="str">
        <x:v>085200</x:v>
      </x:c>
      <x:c r="D1027" s="31" t="str">
        <x:v>BK1771</x:v>
      </x:c>
      <x:c r="E1027" s="31" t="str">
        <x:v>Holy Cross Cemetery</x:v>
      </x:c>
      <x:c r="F1027" s="31" t="n">
        <x:v>0.15340103121161902</x:v>
      </x:c>
      <x:c r="G1027" s="31" t="n">
        <x:v>40.64698064173972</x:v>
      </x:c>
      <x:c r="H1027" s="31" t="n">
        <x:v>-73.93825306121686</x:v>
      </x:c>
      <x:c r="I1027" s="31" t="n">
        <x:v>32</x:v>
      </x:c>
      <x:c r="J1027" s="31" t="n">
        <x:v>208.60355205732301</x:v>
      </x:c>
      <x:c r="K1027" s="31"/>
      <x:c r="L1027" s="40"/>
      <x:c r="M1027" s="40"/>
      <x:c r="N1027" s="31" t="n">
        <x:v>0</x:v>
      </x:c>
      <x:c r="O1027" s="31"/>
      <x:c r="P1027" s="31"/>
      <x:c r="Q1027" s="40"/>
      <x:c r="R1027" s="40"/>
      <x:c r="S1027" s="40"/>
      <x:c r="T1027" s="31"/>
      <x:c r="U1027" s="31"/>
      <x:c r="V1027" s="31" t="n">
        <x:v>0</x:v>
      </x:c>
      <x:c r="W1027" s="31" t="n">
        <x:v>0</x:v>
      </x:c>
      <x:c r="X1027" s="31"/>
      <x:c r="Y1027" s="40"/>
      <x:c r="Z1027" s="40"/>
      <x:c r="AA1027" s="40"/>
      <x:c r="AB1027" s="31" t="n">
        <x:v>0.41022016839288516</x:v>
      </x:c>
      <x:c r="AC1027" s="31" t="n">
        <x:v>5</x:v>
      </x:c>
      <x:c r="AD1027" s="44" t="b">
        <x:v>0</x:v>
      </x:c>
    </x:row>
    <x:row r="1028">
      <x:c r="A1028" s="31" t="str">
        <x:v>36047085400</x:v>
      </x:c>
      <x:c r="B1028" s="31" t="str">
        <x:v>Brooklyn</x:v>
      </x:c>
      <x:c r="C1028" s="31" t="str">
        <x:v>085400</x:v>
      </x:c>
      <x:c r="D1028" s="31" t="str">
        <x:v>BK1702</x:v>
      </x:c>
      <x:c r="E1028" s="31" t="str">
        <x:v>East Flatbush-Farragut</x:v>
      </x:c>
      <x:c r="F1028" s="31" t="n">
        <x:v>0.04970838059680613</x:v>
      </x:c>
      <x:c r="G1028" s="31" t="n">
        <x:v>40.64467253181482</x:v>
      </x:c>
      <x:c r="H1028" s="31" t="n">
        <x:v>-73.94254938092772</x:v>
      </x:c>
      <x:c r="I1028" s="31" t="n">
        <x:v>1962</x:v>
      </x:c>
      <x:c r="J1028" s="31" t="n">
        <x:v>39470.205555762215</x:v>
      </x:c>
      <x:c r="K1028" s="31"/>
      <x:c r="L1028" s="40"/>
      <x:c r="M1028" s="40"/>
      <x:c r="N1028" s="31" t="n">
        <x:v>378</x:v>
      </x:c>
      <x:c r="O1028" s="31" t="n">
        <x:v>764</x:v>
      </x:c>
      <x:c r="P1028" s="31" t="n">
        <x:v>2.4646596858638743</x:v>
      </x:c>
      <x:c r="Q1028" s="40" t="n">
        <x:v>0</x:v>
      </x:c>
      <x:c r="R1028" s="40" t="n">
        <x:v>0.24476439790575916</x:v>
      </x:c>
      <x:c r="S1028" s="40" t="n">
        <x:v>0.005235602094240838</x:v>
      </x:c>
      <x:c r="T1028" s="31" t="n">
        <x:v>29.94403761</x:v>
      </x:c>
      <x:c r="U1028" s="31" t="n">
        <x:v>65.07866144</x:v>
      </x:c>
      <x:c r="V1028" s="31" t="n">
        <x:v>2</x:v>
      </x:c>
      <x:c r="W1028" s="31" t="n">
        <x:v>1.0193679918450562</x:v>
      </x:c>
      <x:c r="X1028" s="31" t="n">
        <x:v>5</x:v>
      </x:c>
      <x:c r="Y1028" s="40" t="n">
        <x:v>1</x:v>
      </x:c>
      <x:c r="Z1028" s="40" t="n">
        <x:v>1</x:v>
      </x:c>
      <x:c r="AA1028" s="40" t="n">
        <x:v>1</x:v>
      </x:c>
      <x:c r="AB1028" s="31" t="n">
        <x:v>0.2962808685400753</x:v>
      </x:c>
      <x:c r="AC1028" s="31" t="n">
        <x:v>8</x:v>
      </x:c>
      <x:c r="AD1028" s="44" t="b">
        <x:v>1</x:v>
      </x:c>
    </x:row>
    <x:row r="1029">
      <x:c r="A1029" s="31" t="str">
        <x:v>36047085600</x:v>
      </x:c>
      <x:c r="B1029" s="31" t="str">
        <x:v>Brooklyn</x:v>
      </x:c>
      <x:c r="C1029" s="31" t="str">
        <x:v>085600</x:v>
      </x:c>
      <x:c r="D1029" s="31" t="str">
        <x:v>BK1701</x:v>
      </x:c>
      <x:c r="E1029" s="31" t="str">
        <x:v>East Flatbush-Erasmus</x:v>
      </x:c>
      <x:c r="F1029" s="31" t="n">
        <x:v>0.060997461653107786</x:v>
      </x:c>
      <x:c r="G1029" s="31" t="n">
        <x:v>40.64862371523473</x:v>
      </x:c>
      <x:c r="H1029" s="31" t="n">
        <x:v>-73.9448348875299</x:v>
      </x:c>
      <x:c r="I1029" s="31" t="n">
        <x:v>3568</x:v>
      </x:c>
      <x:c r="J1029" s="31" t="n">
        <x:v>58494.23735517382</x:v>
      </x:c>
      <x:c r="K1029" s="31"/>
      <x:c r="L1029" s="40"/>
      <x:c r="M1029" s="40"/>
      <x:c r="N1029" s="31" t="n">
        <x:v>354</x:v>
      </x:c>
      <x:c r="O1029" s="31" t="n">
        <x:v>1461</x:v>
      </x:c>
      <x:c r="P1029" s="31" t="n">
        <x:v>3.880561259411362</x:v>
      </x:c>
      <x:c r="Q1029" s="40" t="n">
        <x:v>0</x:v>
      </x:c>
      <x:c r="R1029" s="40" t="n">
        <x:v>0.6570841889117043</x:v>
      </x:c>
      <x:c r="S1029" s="40" t="n">
        <x:v>0.0013689253935660506</x:v>
      </x:c>
      <x:c r="T1029" s="31" t="n">
        <x:v>43.979367987207205</x:v>
      </x:c>
      <x:c r="U1029" s="31" t="n">
        <x:v>68.27</x:v>
      </x:c>
      <x:c r="V1029" s="31" t="n">
        <x:v>9</x:v>
      </x:c>
      <x:c r="W1029" s="31" t="n">
        <x:v>2.522421524663677</x:v>
      </x:c>
      <x:c r="X1029" s="31" t="n">
        <x:v>5</x:v>
      </x:c>
      <x:c r="Y1029" s="40" t="n">
        <x:v>1</x:v>
      </x:c>
      <x:c r="Z1029" s="40" t="n">
        <x:v>1</x:v>
      </x:c>
      <x:c r="AA1029" s="40" t="n">
        <x:v>0.9876796714579056</x:v>
      </x:c>
      <x:c r="AB1029" s="31" t="n">
        <x:v>0.0666208752620722</x:v>
      </x:c>
      <x:c r="AC1029" s="31" t="n">
        <x:v>7</x:v>
      </x:c>
      <x:c r="AD1029" s="44" t="b">
        <x:v>1</x:v>
      </x:c>
    </x:row>
    <x:row r="1030">
      <x:c r="A1030" s="31" t="str">
        <x:v>36047085800</x:v>
      </x:c>
      <x:c r="B1030" s="31" t="str">
        <x:v>Brooklyn</x:v>
      </x:c>
      <x:c r="C1030" s="31" t="str">
        <x:v>085800</x:v>
      </x:c>
      <x:c r="D1030" s="31" t="str">
        <x:v>BK1703</x:v>
      </x:c>
      <x:c r="E1030" s="31" t="str">
        <x:v>East Flatbush-Rugby</x:v>
      </x:c>
      <x:c r="F1030" s="31" t="n">
        <x:v>0.05340901759641874</x:v>
      </x:c>
      <x:c r="G1030" s="31" t="n">
        <x:v>40.650161263985076</x:v>
      </x:c>
      <x:c r="H1030" s="31" t="n">
        <x:v>-73.93900436779286</x:v>
      </x:c>
      <x:c r="I1030" s="31" t="n">
        <x:v>2474</x:v>
      </x:c>
      <x:c r="J1030" s="31" t="n">
        <x:v>46321.76571182411</x:v>
      </x:c>
      <x:c r="K1030" s="31"/>
      <x:c r="L1030" s="40"/>
      <x:c r="M1030" s="40"/>
      <x:c r="N1030" s="31" t="n">
        <x:v>384</x:v>
      </x:c>
      <x:c r="O1030" s="31" t="n">
        <x:v>786</x:v>
      </x:c>
      <x:c r="P1030" s="31" t="n">
        <x:v>2.7809311224489797</x:v>
      </x:c>
      <x:c r="Q1030" s="40" t="n">
        <x:v>0</x:v>
      </x:c>
      <x:c r="R1030" s="40" t="n">
        <x:v>0.28498727735368956</x:v>
      </x:c>
      <x:c r="S1030" s="40" t="n">
        <x:v>0.005089058524173028</x:v>
      </x:c>
      <x:c r="T1030" s="31" t="n">
        <x:v>32.44976951578344</x:v>
      </x:c>
      <x:c r="U1030" s="31" t="n">
        <x:v>63.32340289</x:v>
      </x:c>
      <x:c r="V1030" s="31" t="n">
        <x:v>2</x:v>
      </x:c>
      <x:c r="W1030" s="31" t="n">
        <x:v>0.8084074373484236</x:v>
      </x:c>
      <x:c r="X1030" s="31" t="n">
        <x:v>5</x:v>
      </x:c>
      <x:c r="Y1030" s="40" t="n">
        <x:v>1</x:v>
      </x:c>
      <x:c r="Z1030" s="40" t="n">
        <x:v>1</x:v>
      </x:c>
      <x:c r="AA1030" s="40" t="n">
        <x:v>0.9987277353689568</x:v>
      </x:c>
      <x:c r="AB1030" s="31" t="n">
        <x:v>0.3592827398939233</x:v>
      </x:c>
      <x:c r="AC1030" s="31" t="n">
        <x:v>6</x:v>
      </x:c>
      <x:c r="AD1030" s="44" t="b">
        <x:v>1</x:v>
      </x:c>
    </x:row>
    <x:row r="1031">
      <x:c r="A1031" s="31" t="str">
        <x:v>36047086000</x:v>
      </x:c>
      <x:c r="B1031" s="31" t="str">
        <x:v>Brooklyn</x:v>
      </x:c>
      <x:c r="C1031" s="31" t="str">
        <x:v>086000</x:v>
      </x:c>
      <x:c r="D1031" s="31" t="str">
        <x:v>BK1703</x:v>
      </x:c>
      <x:c r="E1031" s="31" t="str">
        <x:v>East Flatbush-Rugby</x:v>
      </x:c>
      <x:c r="F1031" s="31" t="n">
        <x:v>0.06742013009247302</x:v>
      </x:c>
      <x:c r="G1031" s="31" t="n">
        <x:v>40.64999172243103</x:v>
      </x:c>
      <x:c r="H1031" s="31" t="n">
        <x:v>-73.93292766066739</x:v>
      </x:c>
      <x:c r="I1031" s="31" t="n">
        <x:v>3809</x:v>
      </x:c>
      <x:c r="J1031" s="31" t="n">
        <x:v>56496.47953475616</x:v>
      </x:c>
      <x:c r="K1031" s="31"/>
      <x:c r="L1031" s="40"/>
      <x:c r="M1031" s="40"/>
      <x:c r="N1031" s="31" t="n">
        <x:v>428</x:v>
      </x:c>
      <x:c r="O1031" s="31" t="n">
        <x:v>1140</x:v>
      </x:c>
      <x:c r="P1031" s="31" t="n">
        <x:v>2.8219298245614035</x:v>
      </x:c>
      <x:c r="Q1031" s="40" t="n">
        <x:v>0</x:v>
      </x:c>
      <x:c r="R1031" s="40" t="n">
        <x:v>0.4</x:v>
      </x:c>
      <x:c r="S1031" s="40" t="n">
        <x:v>0.013157894736842105</x:v>
      </x:c>
      <x:c r="T1031" s="31" t="n">
        <x:v>34.96245167067544</x:v>
      </x:c>
      <x:c r="U1031" s="31" t="n">
        <x:v>65</x:v>
      </x:c>
      <x:c r="V1031" s="31" t="n">
        <x:v>2</x:v>
      </x:c>
      <x:c r="W1031" s="31" t="n">
        <x:v>0.5250721974271463</x:v>
      </x:c>
      <x:c r="X1031" s="31" t="n">
        <x:v>5</x:v>
      </x:c>
      <x:c r="Y1031" s="40" t="n">
        <x:v>1</x:v>
      </x:c>
      <x:c r="Z1031" s="40" t="n">
        <x:v>1</x:v>
      </x:c>
      <x:c r="AA1031" s="40" t="n">
        <x:v>1</x:v>
      </x:c>
      <x:c r="AB1031" s="31" t="n">
        <x:v>0.1630012729729643</x:v>
      </x:c>
      <x:c r="AC1031" s="31" t="n">
        <x:v>8</x:v>
      </x:c>
      <x:c r="AD1031" s="44" t="b">
        <x:v>1</x:v>
      </x:c>
    </x:row>
    <x:row r="1032">
      <x:c r="A1032" s="31" t="str">
        <x:v>36047086200</x:v>
      </x:c>
      <x:c r="B1032" s="31" t="str">
        <x:v>Brooklyn</x:v>
      </x:c>
      <x:c r="C1032" s="31" t="str">
        <x:v>086200</x:v>
      </x:c>
      <x:c r="D1032" s="31" t="str">
        <x:v>BK1703</x:v>
      </x:c>
      <x:c r="E1032" s="31" t="str">
        <x:v>East Flatbush-Rugby</x:v>
      </x:c>
      <x:c r="F1032" s="31" t="n">
        <x:v>0.0541180438059573</x:v>
      </x:c>
      <x:c r="G1032" s="31" t="n">
        <x:v>40.65021629060528</x:v>
      </x:c>
      <x:c r="H1032" s="31" t="n">
        <x:v>-73.92822570457022</x:v>
      </x:c>
      <x:c r="I1032" s="31" t="n">
        <x:v>3427</x:v>
      </x:c>
      <x:c r="J1032" s="31" t="n">
        <x:v>63324.5357553511</x:v>
      </x:c>
      <x:c r="K1032" s="31"/>
      <x:c r="L1032" s="40"/>
      <x:c r="M1032" s="40"/>
      <x:c r="N1032" s="31" t="n">
        <x:v>348</x:v>
      </x:c>
      <x:c r="O1032" s="31" t="n">
        <x:v>1111</x:v>
      </x:c>
      <x:c r="P1032" s="31" t="n">
        <x:v>2.893789378937894</x:v>
      </x:c>
      <x:c r="Q1032" s="40" t="n">
        <x:v>0</x:v>
      </x:c>
      <x:c r="R1032" s="40" t="n">
        <x:v>0.49684968496849685</x:v>
      </x:c>
      <x:c r="S1032" s="40" t="n">
        <x:v>0.0027002700270027003</x:v>
      </x:c>
      <x:c r="T1032" s="31" t="n">
        <x:v>36.88847868539154</x:v>
      </x:c>
      <x:c r="U1032" s="31" t="n">
        <x:v>68.02</x:v>
      </x:c>
      <x:c r="V1032" s="31" t="n">
        <x:v>1</x:v>
      </x:c>
      <x:c r="W1032" s="31" t="n">
        <x:v>0.29180040852057193</x:v>
      </x:c>
      <x:c r="X1032" s="31" t="n">
        <x:v>5</x:v>
      </x:c>
      <x:c r="Y1032" s="40" t="n">
        <x:v>1</x:v>
      </x:c>
      <x:c r="Z1032" s="40" t="n">
        <x:v>1</x:v>
      </x:c>
      <x:c r="AA1032" s="40" t="n">
        <x:v>1</x:v>
      </x:c>
      <x:c r="AB1032" s="31" t="n">
        <x:v>0.157047459780214</x:v>
      </x:c>
      <x:c r="AC1032" s="31" t="n">
        <x:v>7</x:v>
      </x:c>
      <x:c r="AD1032" s="44" t="b">
        <x:v>1</x:v>
      </x:c>
    </x:row>
    <x:row r="1033">
      <x:c r="A1033" s="31" t="str">
        <x:v>36047086400</x:v>
      </x:c>
      <x:c r="B1033" s="31" t="str">
        <x:v>Brooklyn</x:v>
      </x:c>
      <x:c r="C1033" s="31" t="str">
        <x:v>086400</x:v>
      </x:c>
      <x:c r="D1033" s="31" t="str">
        <x:v>BK1703</x:v>
      </x:c>
      <x:c r="E1033" s="31" t="str">
        <x:v>East Flatbush-Rugby</x:v>
      </x:c>
      <x:c r="F1033" s="31" t="n">
        <x:v>0.05803618289930555</x:v>
      </x:c>
      <x:c r="G1033" s="31" t="n">
        <x:v>40.65433802629066</x:v>
      </x:c>
      <x:c r="H1033" s="31" t="n">
        <x:v>-73.92385215809638</x:v>
      </x:c>
      <x:c r="I1033" s="31" t="n">
        <x:v>2499</x:v>
      </x:c>
      <x:c r="J1033" s="31" t="n">
        <x:v>43059.34462188592</x:v>
      </x:c>
      <x:c r="K1033" s="31"/>
      <x:c r="L1033" s="40"/>
      <x:c r="M1033" s="40"/>
      <x:c r="N1033" s="31" t="n">
        <x:v>333</x:v>
      </x:c>
      <x:c r="O1033" s="31" t="n">
        <x:v>854</x:v>
      </x:c>
      <x:c r="P1033" s="31" t="n">
        <x:v>2.8381147540983607</x:v>
      </x:c>
      <x:c r="Q1033" s="40" t="n">
        <x:v>0</x:v>
      </x:c>
      <x:c r="R1033" s="40" t="n">
        <x:v>0.24004683840749413</x:v>
      </x:c>
      <x:c r="S1033" s="40" t="n">
        <x:v>0.00585480093676815</x:v>
      </x:c>
      <x:c r="T1033" s="31" t="n">
        <x:v>29.45814042922061</x:v>
      </x:c>
      <x:c r="U1033" s="31" t="n">
        <x:v>47.81</x:v>
      </x:c>
      <x:c r="V1033" s="31" t="n">
        <x:v>2</x:v>
      </x:c>
      <x:c r="W1033" s="31" t="n">
        <x:v>0.8003201280512205</x:v>
      </x:c>
      <x:c r="X1033" s="31" t="n">
        <x:v>5</x:v>
      </x:c>
      <x:c r="Y1033" s="40" t="n">
        <x:v>1</x:v>
      </x:c>
      <x:c r="Z1033" s="40" t="n">
        <x:v>1</x:v>
      </x:c>
      <x:c r="AA1033" s="40" t="n">
        <x:v>0.8864168618266979</x:v>
      </x:c>
      <x:c r="AB1033" s="31" t="n">
        <x:v>0.28402077218473276</x:v>
      </x:c>
      <x:c r="AC1033" s="31" t="n">
        <x:v>7</x:v>
      </x:c>
      <x:c r="AD1033" s="44" t="b">
        <x:v>1</x:v>
      </x:c>
    </x:row>
    <x:row r="1034">
      <x:c r="A1034" s="31" t="str">
        <x:v>36047086600</x:v>
      </x:c>
      <x:c r="B1034" s="31" t="str">
        <x:v>Brooklyn</x:v>
      </x:c>
      <x:c r="C1034" s="31" t="str">
        <x:v>086600</x:v>
      </x:c>
      <x:c r="D1034" s="31" t="str">
        <x:v>BK1703</x:v>
      </x:c>
      <x:c r="E1034" s="31" t="str">
        <x:v>East Flatbush-Rugby</x:v>
      </x:c>
      <x:c r="F1034" s="31" t="n">
        <x:v>0.060413691309042124</x:v>
      </x:c>
      <x:c r="G1034" s="31" t="n">
        <x:v>40.656374727624105</x:v>
      </x:c>
      <x:c r="H1034" s="31" t="n">
        <x:v>-73.9267620705322</x:v>
      </x:c>
      <x:c r="I1034" s="31" t="n">
        <x:v>3385</x:v>
      </x:c>
      <x:c r="J1034" s="31" t="n">
        <x:v>56030.34555005525</x:v>
      </x:c>
      <x:c r="K1034" s="31"/>
      <x:c r="L1034" s="40"/>
      <x:c r="M1034" s="40"/>
      <x:c r="N1034" s="31" t="n">
        <x:v>378</x:v>
      </x:c>
      <x:c r="O1034" s="31" t="n">
        <x:v>1269</x:v>
      </x:c>
      <x:c r="P1034" s="31" t="n">
        <x:v>2.7742316784869976</x:v>
      </x:c>
      <x:c r="Q1034" s="40" t="n">
        <x:v>0</x:v>
      </x:c>
      <x:c r="R1034" s="40" t="n">
        <x:v>0.4405043341213554</x:v>
      </x:c>
      <x:c r="S1034" s="40" t="n">
        <x:v>0.018912529550827423</x:v>
      </x:c>
      <x:c r="T1034" s="31" t="n">
        <x:v>35.15210296814815</x:v>
      </x:c>
      <x:c r="U1034" s="31" t="n">
        <x:v>70</x:v>
      </x:c>
      <x:c r="V1034" s="31" t="n">
        <x:v>3</x:v>
      </x:c>
      <x:c r="W1034" s="31" t="n">
        <x:v>0.8862629246676514</x:v>
      </x:c>
      <x:c r="X1034" s="31" t="n">
        <x:v>5</x:v>
      </x:c>
      <x:c r="Y1034" s="40" t="n">
        <x:v>1</x:v>
      </x:c>
      <x:c r="Z1034" s="40" t="n">
        <x:v>1</x:v>
      </x:c>
      <x:c r="AA1034" s="40" t="n">
        <x:v>1</x:v>
      </x:c>
      <x:c r="AB1034" s="31" t="n">
        <x:v>0.07707835544473626</x:v>
      </x:c>
      <x:c r="AC1034" s="31" t="n">
        <x:v>7</x:v>
      </x:c>
      <x:c r="AD1034" s="44" t="b">
        <x:v>1</x:v>
      </x:c>
    </x:row>
    <x:row r="1035">
      <x:c r="A1035" s="31" t="str">
        <x:v>36047086800</x:v>
      </x:c>
      <x:c r="B1035" s="31" t="str">
        <x:v>Brooklyn</x:v>
      </x:c>
      <x:c r="C1035" s="31" t="str">
        <x:v>086800</x:v>
      </x:c>
      <x:c r="D1035" s="31" t="str">
        <x:v>BK1703</x:v>
      </x:c>
      <x:c r="E1035" s="31" t="str">
        <x:v>East Flatbush-Rugby</x:v>
      </x:c>
      <x:c r="F1035" s="31" t="n">
        <x:v>0.06741377380480947</x:v>
      </x:c>
      <x:c r="G1035" s="31" t="n">
        <x:v>40.65431270926842</x:v>
      </x:c>
      <x:c r="H1035" s="31" t="n">
        <x:v>-73.92973086686538</x:v>
      </x:c>
      <x:c r="I1035" s="31" t="n">
        <x:v>3413</x:v>
      </x:c>
      <x:c r="J1035" s="31" t="n">
        <x:v>50627.6359766186</x:v>
      </x:c>
      <x:c r="K1035" s="31"/>
      <x:c r="L1035" s="40"/>
      <x:c r="M1035" s="40"/>
      <x:c r="N1035" s="31" t="n">
        <x:v>358</x:v>
      </x:c>
      <x:c r="O1035" s="31" t="n">
        <x:v>1182</x:v>
      </x:c>
      <x:c r="P1035" s="31" t="n">
        <x:v>2.7574027072758036</x:v>
      </x:c>
      <x:c r="Q1035" s="40" t="n">
        <x:v>0</x:v>
      </x:c>
      <x:c r="R1035" s="40" t="n">
        <x:v>0.47884940778341795</x:v>
      </x:c>
      <x:c r="S1035" s="40" t="n">
        <x:v>0.005076142131979695</x:v>
      </x:c>
      <x:c r="T1035" s="31" t="n">
        <x:v>34.63051150895141</x:v>
      </x:c>
      <x:c r="U1035" s="31" t="n">
        <x:v>68.43</x:v>
      </x:c>
      <x:c r="V1035" s="31" t="n">
        <x:v>1</x:v>
      </x:c>
      <x:c r="W1035" s="31" t="n">
        <x:v>0.2929973630237328</x:v>
      </x:c>
      <x:c r="X1035" s="31" t="n">
        <x:v>5</x:v>
      </x:c>
      <x:c r="Y1035" s="40" t="n">
        <x:v>1</x:v>
      </x:c>
      <x:c r="Z1035" s="40" t="n">
        <x:v>1</x:v>
      </x:c>
      <x:c r="AA1035" s="40" t="n">
        <x:v>0.9923857868020305</x:v>
      </x:c>
      <x:c r="AB1035" s="31" t="n">
        <x:v>0.1841861065853598</x:v>
      </x:c>
      <x:c r="AC1035" s="31" t="n">
        <x:v>6</x:v>
      </x:c>
      <x:c r="AD1035" s="44" t="b">
        <x:v>1</x:v>
      </x:c>
    </x:row>
    <x:row r="1036">
      <x:c r="A1036" s="31" t="str">
        <x:v>36047087000</x:v>
      </x:c>
      <x:c r="B1036" s="31" t="str">
        <x:v>Brooklyn</x:v>
      </x:c>
      <x:c r="C1036" s="31" t="str">
        <x:v>087000</x:v>
      </x:c>
      <x:c r="D1036" s="31" t="str">
        <x:v>BK1703</x:v>
      </x:c>
      <x:c r="E1036" s="31" t="str">
        <x:v>East Flatbush-Rugby</x:v>
      </x:c>
      <x:c r="F1036" s="31" t="n">
        <x:v>0.06013086658918733</x:v>
      </x:c>
      <x:c r="G1036" s="31" t="n">
        <x:v>40.65418014645518</x:v>
      </x:c>
      <x:c r="H1036" s="31" t="n">
        <x:v>-73.93340382200176</x:v>
      </x:c>
      <x:c r="I1036" s="31" t="n">
        <x:v>3570</x:v>
      </x:c>
      <x:c r="J1036" s="31" t="n">
        <x:v>59370.506405473185</x:v>
      </x:c>
      <x:c r="K1036" s="31"/>
      <x:c r="L1036" s="40"/>
      <x:c r="M1036" s="40"/>
      <x:c r="N1036" s="31" t="n">
        <x:v>374</x:v>
      </x:c>
      <x:c r="O1036" s="31" t="n">
        <x:v>1128</x:v>
      </x:c>
      <x:c r="P1036" s="31" t="n">
        <x:v>2.6365248226950353</x:v>
      </x:c>
      <x:c r="Q1036" s="40" t="n">
        <x:v>0</x:v>
      </x:c>
      <x:c r="R1036" s="40" t="n">
        <x:v>0.42730496453900707</x:v>
      </x:c>
      <x:c r="S1036" s="40" t="n">
        <x:v>0.007978723404255319</x:v>
      </x:c>
      <x:c r="T1036" s="31" t="n">
        <x:v>33.52334219858156</x:v>
      </x:c>
      <x:c r="U1036" s="31" t="n">
        <x:v>64.79</x:v>
      </x:c>
      <x:c r="V1036" s="31" t="n">
        <x:v>6</x:v>
      </x:c>
      <x:c r="W1036" s="31" t="n">
        <x:v>1.680672268907563</x:v>
      </x:c>
      <x:c r="X1036" s="31" t="n">
        <x:v>5</x:v>
      </x:c>
      <x:c r="Y1036" s="40" t="n">
        <x:v>1</x:v>
      </x:c>
      <x:c r="Z1036" s="40" t="n">
        <x:v>1</x:v>
      </x:c>
      <x:c r="AA1036" s="40" t="n">
        <x:v>1</x:v>
      </x:c>
      <x:c r="AB1036" s="31" t="n">
        <x:v>0.06535832260897582</x:v>
      </x:c>
      <x:c r="AC1036" s="31" t="n">
        <x:v>4</x:v>
      </x:c>
      <x:c r="AD1036" s="44" t="b">
        <x:v>1</x:v>
      </x:c>
    </x:row>
    <x:row r="1037">
      <x:c r="A1037" s="31" t="str">
        <x:v>36047087200</x:v>
      </x:c>
      <x:c r="B1037" s="31" t="str">
        <x:v>Brooklyn</x:v>
      </x:c>
      <x:c r="C1037" s="31" t="str">
        <x:v>087200</x:v>
      </x:c>
      <x:c r="D1037" s="31" t="str">
        <x:v>BK1703</x:v>
      </x:c>
      <x:c r="E1037" s="31" t="str">
        <x:v>East Flatbush-Rugby</x:v>
      </x:c>
      <x:c r="F1037" s="31" t="n">
        <x:v>0.05683307497166265</x:v>
      </x:c>
      <x:c r="G1037" s="31" t="n">
        <x:v>40.65367562052214</x:v>
      </x:c>
      <x:c r="H1037" s="31" t="n">
        <x:v>-73.93664972194772</x:v>
      </x:c>
      <x:c r="I1037" s="31" t="n">
        <x:v>3128</x:v>
      </x:c>
      <x:c r="J1037" s="31" t="n">
        <x:v>55038.37336902221</x:v>
      </x:c>
      <x:c r="K1037" s="31"/>
      <x:c r="L1037" s="40"/>
      <x:c r="M1037" s="40"/>
      <x:c r="N1037" s="31" t="n">
        <x:v>366</x:v>
      </x:c>
      <x:c r="O1037" s="31" t="n">
        <x:v>1017</x:v>
      </x:c>
      <x:c r="P1037" s="31" t="n">
        <x:v>3.26819075712881</x:v>
      </x:c>
      <x:c r="Q1037" s="40" t="n">
        <x:v>0</x:v>
      </x:c>
      <x:c r="R1037" s="40" t="n">
        <x:v>0.39823008849557523</x:v>
      </x:c>
      <x:c r="S1037" s="40" t="n">
        <x:v>0.010816125860373648</x:v>
      </x:c>
      <x:c r="T1037" s="31" t="n">
        <x:v>38.88723038041298</x:v>
      </x:c>
      <x:c r="U1037" s="31" t="n">
        <x:v>65.27</x:v>
      </x:c>
      <x:c r="V1037" s="31" t="n">
        <x:v>6</x:v>
      </x:c>
      <x:c r="W1037" s="31" t="n">
        <x:v>1.9181585677749362</x:v>
      </x:c>
      <x:c r="X1037" s="31" t="n">
        <x:v>5</x:v>
      </x:c>
      <x:c r="Y1037" s="40" t="n">
        <x:v>1</x:v>
      </x:c>
      <x:c r="Z1037" s="40" t="n">
        <x:v>1</x:v>
      </x:c>
      <x:c r="AA1037" s="40" t="n">
        <x:v>1</x:v>
      </x:c>
      <x:c r="AB1037" s="31" t="n">
        <x:v>0.19519296061771438</x:v>
      </x:c>
      <x:c r="AC1037" s="31" t="n">
        <x:v>5</x:v>
      </x:c>
      <x:c r="AD1037" s="44" t="b">
        <x:v>1</x:v>
      </x:c>
    </x:row>
    <x:row r="1038">
      <x:c r="A1038" s="31" t="str">
        <x:v>36047087401</x:v>
      </x:c>
      <x:c r="B1038" s="31" t="str">
        <x:v>Brooklyn</x:v>
      </x:c>
      <x:c r="C1038" s="31" t="str">
        <x:v>087401</x:v>
      </x:c>
      <x:c r="D1038" s="31" t="str">
        <x:v>BK0902</x:v>
      </x:c>
      <x:c r="E1038" s="31" t="str">
        <x:v>Prospect Lefferts Gardens-Wingate</x:v>
      </x:c>
      <x:c r="F1038" s="31" t="n">
        <x:v>0.05041978656379132</x:v>
      </x:c>
      <x:c r="G1038" s="31" t="n">
        <x:v>40.66047427163367</x:v>
      </x:c>
      <x:c r="H1038" s="31" t="n">
        <x:v>-73.93845867812945</x:v>
      </x:c>
      <x:c r="I1038" s="31" t="n">
        <x:v>3740</x:v>
      </x:c>
      <x:c r="J1038" s="31" t="n">
        <x:v>74177.2279275347</x:v>
      </x:c>
      <x:c r="K1038" s="31"/>
      <x:c r="L1038" s="40"/>
      <x:c r="M1038" s="40"/>
      <x:c r="N1038" s="31" t="n">
        <x:v>282</x:v>
      </x:c>
      <x:c r="O1038" s="31" t="n">
        <x:v>1473</x:v>
      </x:c>
      <x:c r="P1038" s="31" t="n">
        <x:v>6.4416157501697215</x:v>
      </x:c>
      <x:c r="Q1038" s="40" t="n">
        <x:v>0.1561439239646979</x:v>
      </x:c>
      <x:c r="R1038" s="40" t="n">
        <x:v>0.517990495587237</x:v>
      </x:c>
      <x:c r="S1038" s="40" t="n">
        <x:v>0.011541072640868975</x:v>
      </x:c>
      <x:c r="T1038" s="31" t="n">
        <x:v>66.23082884579055</x:v>
      </x:c>
      <x:c r="U1038" s="31" t="n">
        <x:v>177.86</x:v>
      </x:c>
      <x:c r="V1038" s="31" t="n">
        <x:v>15</x:v>
      </x:c>
      <x:c r="W1038" s="31" t="n">
        <x:v>4.010695187165775</x:v>
      </x:c>
      <x:c r="X1038" s="31" t="n">
        <x:v>5</x:v>
      </x:c>
      <x:c r="Y1038" s="40" t="n">
        <x:v>1</x:v>
      </x:c>
      <x:c r="Z1038" s="40" t="n">
        <x:v>1</x:v>
      </x:c>
      <x:c r="AA1038" s="40" t="n">
        <x:v>0.9918533604887984</x:v>
      </x:c>
      <x:c r="AB1038" s="31" t="n">
        <x:v>0.1336746736988506</x:v>
      </x:c>
      <x:c r="AC1038" s="31" t="n">
        <x:v>6</x:v>
      </x:c>
      <x:c r="AD1038" s="44" t="b">
        <x:v>1</x:v>
      </x:c>
    </x:row>
    <x:row r="1039">
      <x:c r="A1039" s="31" t="str">
        <x:v>36047087600</x:v>
      </x:c>
      <x:c r="B1039" s="31" t="str">
        <x:v>Brooklyn</x:v>
      </x:c>
      <x:c r="C1039" s="31" t="str">
        <x:v>087600</x:v>
      </x:c>
      <x:c r="D1039" s="31" t="str">
        <x:v>BK0902</x:v>
      </x:c>
      <x:c r="E1039" s="31" t="str">
        <x:v>Prospect Lefferts Gardens-Wingate</x:v>
      </x:c>
      <x:c r="F1039" s="31" t="n">
        <x:v>0.05491467452041724</x:v>
      </x:c>
      <x:c r="G1039" s="31" t="n">
        <x:v>40.66064760361124</x:v>
      </x:c>
      <x:c r="H1039" s="31" t="n">
        <x:v>-73.93570571084767</x:v>
      </x:c>
      <x:c r="I1039" s="31" t="n">
        <x:v>2098</x:v>
      </x:c>
      <x:c r="J1039" s="31" t="n">
        <x:v>38204.72429860191</x:v>
      </x:c>
      <x:c r="K1039" s="31"/>
      <x:c r="L1039" s="40"/>
      <x:c r="M1039" s="40"/>
      <x:c r="N1039" s="31" t="n">
        <x:v>242</x:v>
      </x:c>
      <x:c r="O1039" s="31" t="n">
        <x:v>817</x:v>
      </x:c>
      <x:c r="P1039" s="31" t="n">
        <x:v>3.769889840881273</x:v>
      </x:c>
      <x:c r="Q1039" s="40" t="n">
        <x:v>0</x:v>
      </x:c>
      <x:c r="R1039" s="40" t="n">
        <x:v>0.5703794369645043</x:v>
      </x:c>
      <x:c r="S1039" s="40" t="n">
        <x:v>0.01835985312117503</x:v>
      </x:c>
      <x:c r="T1039" s="31" t="n">
        <x:v>43.59625527318912</x:v>
      </x:c>
      <x:c r="U1039" s="31" t="n">
        <x:v>70</x:v>
      </x:c>
      <x:c r="V1039" s="31" t="n">
        <x:v>15</x:v>
      </x:c>
      <x:c r="W1039" s="31" t="n">
        <x:v>7.149666348903718</x:v>
      </x:c>
      <x:c r="X1039" s="31" t="n">
        <x:v>5</x:v>
      </x:c>
      <x:c r="Y1039" s="40" t="n">
        <x:v>1</x:v>
      </x:c>
      <x:c r="Z1039" s="40" t="n">
        <x:v>1</x:v>
      </x:c>
      <x:c r="AA1039" s="40" t="n">
        <x:v>0.9902080783353733</x:v>
      </x:c>
      <x:c r="AB1039" s="31" t="n">
        <x:v>0.10590347218350404</x:v>
      </x:c>
      <x:c r="AC1039" s="31" t="n">
        <x:v>6</x:v>
      </x:c>
      <x:c r="AD1039" s="44" t="b">
        <x:v>1</x:v>
      </x:c>
    </x:row>
    <x:row r="1040">
      <x:c r="A1040" s="31" t="str">
        <x:v>36047087800</x:v>
      </x:c>
      <x:c r="B1040" s="31" t="str">
        <x:v>Brooklyn</x:v>
      </x:c>
      <x:c r="C1040" s="31" t="str">
        <x:v>087800</x:v>
      </x:c>
      <x:c r="D1040" s="31" t="str">
        <x:v>BK1703</x:v>
      </x:c>
      <x:c r="E1040" s="31" t="str">
        <x:v>East Flatbush-Rugby</x:v>
      </x:c>
      <x:c r="F1040" s="31" t="n">
        <x:v>0.058452175299156334</x:v>
      </x:c>
      <x:c r="G1040" s="31" t="n">
        <x:v>40.658846545676944</x:v>
      </x:c>
      <x:c r="H1040" s="31" t="n">
        <x:v>-73.93103385933735</x:v>
      </x:c>
      <x:c r="I1040" s="31" t="n">
        <x:v>2730</x:v>
      </x:c>
      <x:c r="J1040" s="31" t="n">
        <x:v>46704.84863955787</x:v>
      </x:c>
      <x:c r="K1040" s="31"/>
      <x:c r="L1040" s="40"/>
      <x:c r="M1040" s="40"/>
      <x:c r="N1040" s="31" t="n">
        <x:v>200</x:v>
      </x:c>
      <x:c r="O1040" s="31" t="n">
        <x:v>982</x:v>
      </x:c>
      <x:c r="P1040" s="31" t="n">
        <x:v>3.032110091743119</x:v>
      </x:c>
      <x:c r="Q1040" s="40" t="n">
        <x:v>0.0010183299389002036</x:v>
      </x:c>
      <x:c r="R1040" s="40" t="n">
        <x:v>0.5560081466395111</x:v>
      </x:c>
      <x:c r="S1040" s="40" t="n">
        <x:v>0.014256619144602852</x:v>
      </x:c>
      <x:c r="T1040" s="31" t="n">
        <x:v>35.556119246861925</x:v>
      </x:c>
      <x:c r="U1040" s="31" t="n">
        <x:v>46.97</x:v>
      </x:c>
      <x:c r="V1040" s="31" t="n">
        <x:v>7</x:v>
      </x:c>
      <x:c r="W1040" s="31" t="n">
        <x:v>2.5641025641025643</x:v>
      </x:c>
      <x:c r="X1040" s="31" t="n">
        <x:v>5</x:v>
      </x:c>
      <x:c r="Y1040" s="40" t="n">
        <x:v>1</x:v>
      </x:c>
      <x:c r="Z1040" s="40" t="n">
        <x:v>1</x:v>
      </x:c>
      <x:c r="AA1040" s="40" t="n">
        <x:v>0.9735234215885947</x:v>
      </x:c>
      <x:c r="AB1040" s="31" t="n">
        <x:v>0.12023966050167222</x:v>
      </x:c>
      <x:c r="AC1040" s="31" t="n">
        <x:v>6</x:v>
      </x:c>
      <x:c r="AD1040" s="44" t="b">
        <x:v>1</x:v>
      </x:c>
    </x:row>
    <x:row r="1041">
      <x:c r="A1041" s="31" t="str">
        <x:v>36047088001</x:v>
      </x:c>
      <x:c r="B1041" s="31" t="str">
        <x:v>Brooklyn</x:v>
      </x:c>
      <x:c r="C1041" s="31" t="str">
        <x:v>088001</x:v>
      </x:c>
      <x:c r="D1041" s="31" t="str">
        <x:v>BK0902</x:v>
      </x:c>
      <x:c r="E1041" s="31" t="str">
        <x:v>Prospect Lefferts Gardens-Wingate</x:v>
      </x:c>
      <x:c r="F1041" s="31" t="n">
        <x:v>0.03136136985354253</x:v>
      </x:c>
      <x:c r="G1041" s="31" t="n">
        <x:v>40.66198101177339</x:v>
      </x:c>
      <x:c r="H1041" s="31" t="n">
        <x:v>-73.93293672946321</x:v>
      </x:c>
      <x:c r="I1041" s="31" t="n">
        <x:v>2127</x:v>
      </x:c>
      <x:c r="J1041" s="31" t="n">
        <x:v>67822.29251888809</x:v>
      </x:c>
      <x:c r="K1041" s="31"/>
      <x:c r="L1041" s="40"/>
      <x:c r="M1041" s="40"/>
      <x:c r="N1041" s="31" t="n">
        <x:v>99</x:v>
      </x:c>
      <x:c r="O1041" s="31" t="n">
        <x:v>825</x:v>
      </x:c>
      <x:c r="P1041" s="31" t="n">
        <x:v>5.361212121212121</x:v>
      </x:c>
      <x:c r="Q1041" s="40" t="n">
        <x:v>0</x:v>
      </x:c>
      <x:c r="R1041" s="40" t="n">
        <x:v>0.8024242424242424</x:v>
      </x:c>
      <x:c r="S1041" s="40" t="n">
        <x:v>0.3563636363636364</x:v>
      </x:c>
      <x:c r="T1041" s="31" t="n">
        <x:v>60.084165651644334</x:v>
      </x:c>
      <x:c r="U1041" s="31" t="n">
        <x:v>80</x:v>
      </x:c>
      <x:c r="V1041" s="31" t="n">
        <x:v>16</x:v>
      </x:c>
      <x:c r="W1041" s="31" t="n">
        <x:v>7.522331922896098</x:v>
      </x:c>
      <x:c r="X1041" s="31" t="n">
        <x:v>5</x:v>
      </x:c>
      <x:c r="Y1041" s="40" t="n">
        <x:v>1</x:v>
      </x:c>
      <x:c r="Z1041" s="40" t="n">
        <x:v>1</x:v>
      </x:c>
      <x:c r="AA1041" s="40" t="n">
        <x:v>0.9951515151515151</x:v>
      </x:c>
      <x:c r="AB1041" s="31" t="n">
        <x:v>0.18432281504341957</x:v>
      </x:c>
      <x:c r="AC1041" s="31" t="n">
        <x:v>4</x:v>
      </x:c>
      <x:c r="AD1041" s="44" t="b">
        <x:v>1</x:v>
      </x:c>
    </x:row>
    <x:row r="1042">
      <x:c r="A1042" s="31" t="str">
        <x:v>36047088002</x:v>
      </x:c>
      <x:c r="B1042" s="31" t="str">
        <x:v>Brooklyn</x:v>
      </x:c>
      <x:c r="C1042" s="31" t="str">
        <x:v>088002</x:v>
      </x:c>
      <x:c r="D1042" s="31" t="str">
        <x:v>BK1703</x:v>
      </x:c>
      <x:c r="E1042" s="31" t="str">
        <x:v>East Flatbush-Rugby</x:v>
      </x:c>
      <x:c r="F1042" s="31" t="n">
        <x:v>0.03905735273724461</x:v>
      </x:c>
      <x:c r="G1042" s="31" t="n">
        <x:v>40.66114647372592</x:v>
      </x:c>
      <x:c r="H1042" s="31" t="n">
        <x:v>-73.92948370674901</x:v>
      </x:c>
      <x:c r="I1042" s="31" t="n">
        <x:v>1374</x:v>
      </x:c>
      <x:c r="J1042" s="31" t="n">
        <x:v>35179.03553892864</x:v>
      </x:c>
      <x:c r="K1042" s="31"/>
      <x:c r="L1042" s="40"/>
      <x:c r="M1042" s="40"/>
      <x:c r="N1042" s="31" t="n">
        <x:v>214</x:v>
      </x:c>
      <x:c r="O1042" s="31" t="n">
        <x:v>499</x:v>
      </x:c>
      <x:c r="P1042" s="31" t="n">
        <x:v>2.658152610441767</x:v>
      </x:c>
      <x:c r="Q1042" s="40" t="n">
        <x:v>0</x:v>
      </x:c>
      <x:c r="R1042" s="40" t="n">
        <x:v>0.22044088176352705</x:v>
      </x:c>
      <x:c r="S1042" s="40" t="n">
        <x:v>0</x:v>
      </x:c>
      <x:c r="T1042" s="31" t="n">
        <x:v>31.80452905811623</x:v>
      </x:c>
      <x:c r="U1042" s="31" t="n">
        <x:v>70</x:v>
      </x:c>
      <x:c r="V1042" s="31" t="n">
        <x:v>1</x:v>
      </x:c>
      <x:c r="W1042" s="31" t="n">
        <x:v>0.727802037845706</x:v>
      </x:c>
      <x:c r="X1042" s="31" t="n">
        <x:v>5</x:v>
      </x:c>
      <x:c r="Y1042" s="40" t="n">
        <x:v>1</x:v>
      </x:c>
      <x:c r="Z1042" s="40" t="n">
        <x:v>1</x:v>
      </x:c>
      <x:c r="AA1042" s="40" t="n">
        <x:v>1</x:v>
      </x:c>
      <x:c r="AB1042" s="31" t="n">
        <x:v>0.15949849085071982</x:v>
      </x:c>
      <x:c r="AC1042" s="31" t="n">
        <x:v>5</x:v>
      </x:c>
      <x:c r="AD1042" s="44" t="b">
        <x:v>1</x:v>
      </x:c>
    </x:row>
    <x:row r="1043">
      <x:c r="A1043" s="31" t="str">
        <x:v>36047088200</x:v>
      </x:c>
      <x:c r="B1043" s="31" t="str">
        <x:v>Brooklyn</x:v>
      </x:c>
      <x:c r="C1043" s="31" t="str">
        <x:v>088200</x:v>
      </x:c>
      <x:c r="D1043" s="31" t="str">
        <x:v>BK1704</x:v>
      </x:c>
      <x:c r="E1043" s="31" t="str">
        <x:v>East Flatbush-Remsen Village</x:v>
      </x:c>
      <x:c r="F1043" s="31" t="n">
        <x:v>0.07848471232244318</x:v>
      </x:c>
      <x:c r="G1043" s="31" t="n">
        <x:v>40.660493892064025</x:v>
      </x:c>
      <x:c r="H1043" s="31" t="n">
        <x:v>-73.92598133602775</x:v>
      </x:c>
      <x:c r="I1043" s="31" t="n">
        <x:v>6804</x:v>
      </x:c>
      <x:c r="J1043" s="31" t="n">
        <x:v>86692.04229285751</x:v>
      </x:c>
      <x:c r="K1043" s="31"/>
      <x:c r="L1043" s="40"/>
      <x:c r="M1043" s="40"/>
      <x:c r="N1043" s="31" t="n">
        <x:v>445</x:v>
      </x:c>
      <x:c r="O1043" s="31" t="n">
        <x:v>2538</x:v>
      </x:c>
      <x:c r="P1043" s="31" t="n">
        <x:v>4.67188731284476</x:v>
      </x:c>
      <x:c r="Q1043" s="40" t="n">
        <x:v>0.17257683215130024</x:v>
      </x:c>
      <x:c r="R1043" s="40" t="n">
        <x:v>0.4314420803782506</x:v>
      </x:c>
      <x:c r="S1043" s="40" t="n">
        <x:v>0.2048857368006304</x:v>
      </x:c>
      <x:c r="T1043" s="31" t="n">
        <x:v>52.36451260667061</x:v>
      </x:c>
      <x:c r="U1043" s="31" t="n">
        <x:v>106.98</x:v>
      </x:c>
      <x:c r="V1043" s="31" t="n">
        <x:v>19</x:v>
      </x:c>
      <x:c r="W1043" s="31" t="n">
        <x:v>2.792475014697237</x:v>
      </x:c>
      <x:c r="X1043" s="31" t="n">
        <x:v>5</x:v>
      </x:c>
      <x:c r="Y1043" s="40" t="n">
        <x:v>1</x:v>
      </x:c>
      <x:c r="Z1043" s="40" t="n">
        <x:v>1</x:v>
      </x:c>
      <x:c r="AA1043" s="40" t="n">
        <x:v>1</x:v>
      </x:c>
      <x:c r="AB1043" s="31" t="n">
        <x:v>0.1820783875318398</x:v>
      </x:c>
      <x:c r="AC1043" s="31" t="n">
        <x:v>7</x:v>
      </x:c>
      <x:c r="AD1043" s="44" t="b">
        <x:v>1</x:v>
      </x:c>
    </x:row>
    <x:row r="1044">
      <x:c r="A1044" s="31" t="str">
        <x:v>36047088400</x:v>
      </x:c>
      <x:c r="B1044" s="31" t="str">
        <x:v>Brooklyn</x:v>
      </x:c>
      <x:c r="C1044" s="31" t="str">
        <x:v>088400</x:v>
      </x:c>
      <x:c r="D1044" s="31" t="str">
        <x:v>BK1704</x:v>
      </x:c>
      <x:c r="E1044" s="31" t="str">
        <x:v>East Flatbush-Remsen Village</x:v>
      </x:c>
      <x:c r="F1044" s="31" t="n">
        <x:v>0.06448622902569731</x:v>
      </x:c>
      <x:c r="G1044" s="31" t="n">
        <x:v>40.66222823664224</x:v>
      </x:c>
      <x:c r="H1044" s="31" t="n">
        <x:v>-73.92455034674276</x:v>
      </x:c>
      <x:c r="I1044" s="31" t="n">
        <x:v>5513</x:v>
      </x:c>
      <x:c r="J1044" s="31" t="n">
        <x:v>85491.12086866032</x:v>
      </x:c>
      <x:c r="K1044" s="31"/>
      <x:c r="L1044" s="40"/>
      <x:c r="M1044" s="40"/>
      <x:c r="N1044" s="31" t="n">
        <x:v>432</x:v>
      </x:c>
      <x:c r="O1044" s="31" t="n">
        <x:v>1915</x:v>
      </x:c>
      <x:c r="P1044" s="31" t="n">
        <x:v>2.914360313315927</x:v>
      </x:c>
      <x:c r="Q1044" s="40" t="n">
        <x:v>0</x:v>
      </x:c>
      <x:c r="R1044" s="40" t="n">
        <x:v>0.3373368146214099</x:v>
      </x:c>
      <x:c r="S1044" s="40" t="n">
        <x:v>0.0020887728459530026</x:v>
      </x:c>
      <x:c r="T1044" s="31" t="n">
        <x:v>35.01700643635509</x:v>
      </x:c>
      <x:c r="U1044" s="31" t="n">
        <x:v>79</x:v>
      </x:c>
      <x:c r="V1044" s="31" t="n">
        <x:v>3</x:v>
      </x:c>
      <x:c r="W1044" s="31" t="n">
        <x:v>0.5441683294032287</x:v>
      </x:c>
      <x:c r="X1044" s="31" t="n">
        <x:v>5</x:v>
      </x:c>
      <x:c r="Y1044" s="40" t="n">
        <x:v>1</x:v>
      </x:c>
      <x:c r="Z1044" s="40" t="n">
        <x:v>1</x:v>
      </x:c>
      <x:c r="AA1044" s="40" t="n">
        <x:v>1</x:v>
      </x:c>
      <x:c r="AB1044" s="31" t="n">
        <x:v>0.2017896800214822</x:v>
      </x:c>
      <x:c r="AC1044" s="31" t="n">
        <x:v>4</x:v>
      </x:c>
      <x:c r="AD1044" s="44" t="b">
        <x:v>1</x:v>
      </x:c>
    </x:row>
    <x:row r="1045">
      <x:c r="A1045" s="31" t="str">
        <x:v>36047088600</x:v>
      </x:c>
      <x:c r="B1045" s="31" t="str">
        <x:v>Brooklyn</x:v>
      </x:c>
      <x:c r="C1045" s="31" t="str">
        <x:v>088600</x:v>
      </x:c>
      <x:c r="D1045" s="31" t="str">
        <x:v>BK1704</x:v>
      </x:c>
      <x:c r="E1045" s="31" t="str">
        <x:v>East Flatbush-Remsen Village</x:v>
      </x:c>
      <x:c r="F1045" s="31" t="n">
        <x:v>0.06953779880373336</x:v>
      </x:c>
      <x:c r="G1045" s="31" t="n">
        <x:v>40.65748308935927</x:v>
      </x:c>
      <x:c r="H1045" s="31" t="n">
        <x:v>-73.92068045045328</x:v>
      </x:c>
      <x:c r="I1045" s="31" t="n">
        <x:v>4547</x:v>
      </x:c>
      <x:c r="J1045" s="31" t="n">
        <x:v>65388.89752368578</x:v>
      </x:c>
      <x:c r="K1045" s="31"/>
      <x:c r="L1045" s="40"/>
      <x:c r="M1045" s="40"/>
      <x:c r="N1045" s="31" t="n">
        <x:v>285</x:v>
      </x:c>
      <x:c r="O1045" s="31" t="n">
        <x:v>1739</x:v>
      </x:c>
      <x:c r="P1045" s="31" t="n">
        <x:v>3.703852788959172</x:v>
      </x:c>
      <x:c r="Q1045" s="40" t="n">
        <x:v>0</x:v>
      </x:c>
      <x:c r="R1045" s="40" t="n">
        <x:v>0.5876940770557791</x:v>
      </x:c>
      <x:c r="S1045" s="40" t="n">
        <x:v>0</x:v>
      </x:c>
      <x:c r="T1045" s="31" t="n">
        <x:v>41.01020586301484</x:v>
      </x:c>
      <x:c r="U1045" s="31" t="n">
        <x:v>64.33</x:v>
      </x:c>
      <x:c r="V1045" s="31" t="n">
        <x:v>10</x:v>
      </x:c>
      <x:c r="W1045" s="31" t="n">
        <x:v>2.1992522542335604</x:v>
      </x:c>
      <x:c r="X1045" s="31" t="n">
        <x:v>5</x:v>
      </x:c>
      <x:c r="Y1045" s="40" t="n">
        <x:v>1</x:v>
      </x:c>
      <x:c r="Z1045" s="40" t="n">
        <x:v>1</x:v>
      </x:c>
      <x:c r="AA1045" s="40" t="n">
        <x:v>0.9689476710753306</x:v>
      </x:c>
      <x:c r="AB1045" s="31" t="n">
        <x:v>0.03900869409719302</x:v>
      </x:c>
      <x:c r="AC1045" s="31" t="n">
        <x:v>6</x:v>
      </x:c>
      <x:c r="AD1045" s="44" t="b">
        <x:v>1</x:v>
      </x:c>
    </x:row>
    <x:row r="1046">
      <x:c r="A1046" s="31" t="str">
        <x:v>36047088800</x:v>
      </x:c>
      <x:c r="B1046" s="31" t="str">
        <x:v>Brooklyn</x:v>
      </x:c>
      <x:c r="C1046" s="31" t="str">
        <x:v>088800</x:v>
      </x:c>
      <x:c r="D1046" s="31" t="str">
        <x:v>BK1704</x:v>
      </x:c>
      <x:c r="E1046" s="31" t="str">
        <x:v>East Flatbush-Remsen Village</x:v>
      </x:c>
      <x:c r="F1046" s="31" t="n">
        <x:v>0.07770731569387053</x:v>
      </x:c>
      <x:c r="G1046" s="31" t="n">
        <x:v>40.65393981298493</x:v>
      </x:c>
      <x:c r="H1046" s="31" t="n">
        <x:v>-73.91808843952963</x:v>
      </x:c>
      <x:c r="I1046" s="31" t="n">
        <x:v>4001</x:v>
      </x:c>
      <x:c r="J1046" s="31" t="n">
        <x:v>51488.0737324915</x:v>
      </x:c>
      <x:c r="K1046" s="31"/>
      <x:c r="L1046" s="40"/>
      <x:c r="M1046" s="40"/>
      <x:c r="N1046" s="31" t="n">
        <x:v>357</x:v>
      </x:c>
      <x:c r="O1046" s="31" t="n">
        <x:v>1422</x:v>
      </x:c>
      <x:c r="P1046" s="31" t="n">
        <x:v>2.818917018284107</x:v>
      </x:c>
      <x:c r="Q1046" s="40" t="n">
        <x:v>0</x:v>
      </x:c>
      <x:c r="R1046" s="40" t="n">
        <x:v>0.4704641350210971</x:v>
      </x:c>
      <x:c r="S1046" s="40" t="n">
        <x:v>0</x:v>
      </x:c>
      <x:c r="T1046" s="31" t="n">
        <x:v>35.11050951632135</x:v>
      </x:c>
      <x:c r="U1046" s="31" t="n">
        <x:v>65.03800029</x:v>
      </x:c>
      <x:c r="V1046" s="31" t="n">
        <x:v>3</x:v>
      </x:c>
      <x:c r="W1046" s="31" t="n">
        <x:v>0.7498125468632841</x:v>
      </x:c>
      <x:c r="X1046" s="31" t="n">
        <x:v>5</x:v>
      </x:c>
      <x:c r="Y1046" s="40" t="n">
        <x:v>1</x:v>
      </x:c>
      <x:c r="Z1046" s="40" t="n">
        <x:v>1</x:v>
      </x:c>
      <x:c r="AA1046" s="40" t="n">
        <x:v>0.9978902953586498</x:v>
      </x:c>
      <x:c r="AB1046" s="31" t="n">
        <x:v>0.20577634271114564</x:v>
      </x:c>
      <x:c r="AC1046" s="31" t="n">
        <x:v>7</x:v>
      </x:c>
      <x:c r="AD1046" s="44" t="b">
        <x:v>1</x:v>
      </x:c>
    </x:row>
    <x:row r="1047">
      <x:c r="A1047" s="31" t="str">
        <x:v>36047089000</x:v>
      </x:c>
      <x:c r="B1047" s="31" t="str">
        <x:v>Brooklyn</x:v>
      </x:c>
      <x:c r="C1047" s="31" t="str">
        <x:v>089000</x:v>
      </x:c>
      <x:c r="D1047" s="31" t="str">
        <x:v>BK1704</x:v>
      </x:c>
      <x:c r="E1047" s="31" t="str">
        <x:v>East Flatbush-Remsen Village</x:v>
      </x:c>
      <x:c r="F1047" s="31" t="n">
        <x:v>0.0958488090381801</x:v>
      </x:c>
      <x:c r="G1047" s="31" t="n">
        <x:v>40.65698953300991</x:v>
      </x:c>
      <x:c r="H1047" s="31" t="n">
        <x:v>-73.91549469286622</x:v>
      </x:c>
      <x:c r="I1047" s="31" t="n">
        <x:v>6683</x:v>
      </x:c>
      <x:c r="J1047" s="31" t="n">
        <x:v>69724.39268742416</x:v>
      </x:c>
      <x:c r="K1047" s="31"/>
      <x:c r="L1047" s="40"/>
      <x:c r="M1047" s="40"/>
      <x:c r="N1047" s="31" t="n">
        <x:v>356</x:v>
      </x:c>
      <x:c r="O1047" s="31" t="n">
        <x:v>2114</x:v>
      </x:c>
      <x:c r="P1047" s="31" t="n">
        <x:v>3.2010406811731316</x:v>
      </x:c>
      <x:c r="Q1047" s="40" t="n">
        <x:v>0</x:v>
      </x:c>
      <x:c r="R1047" s="40" t="n">
        <x:v>0.4943235572374645</x:v>
      </x:c>
      <x:c r="S1047" s="40" t="n">
        <x:v>0.001892147587511826</x:v>
      </x:c>
      <x:c r="T1047" s="31" t="n">
        <x:v>38.085771903396406</x:v>
      </x:c>
      <x:c r="U1047" s="31" t="n">
        <x:v>80.80974267</x:v>
      </x:c>
      <x:c r="V1047" s="31" t="n">
        <x:v>7</x:v>
      </x:c>
      <x:c r="W1047" s="31" t="n">
        <x:v>1.0474337872213078</x:v>
      </x:c>
      <x:c r="X1047" s="31" t="n">
        <x:v>5</x:v>
      </x:c>
      <x:c r="Y1047" s="40" t="n">
        <x:v>1</x:v>
      </x:c>
      <x:c r="Z1047" s="40" t="n">
        <x:v>1</x:v>
      </x:c>
      <x:c r="AA1047" s="40" t="n">
        <x:v>1</x:v>
      </x:c>
      <x:c r="AB1047" s="31" t="n">
        <x:v>0.0928009257754967</x:v>
      </x:c>
      <x:c r="AC1047" s="31" t="n">
        <x:v>8</x:v>
      </x:c>
      <x:c r="AD1047" s="44" t="b">
        <x:v>1</x:v>
      </x:c>
    </x:row>
    <x:row r="1048">
      <x:c r="A1048" s="31" t="str">
        <x:v>36047089200</x:v>
      </x:c>
      <x:c r="B1048" s="31" t="str">
        <x:v>Brooklyn</x:v>
      </x:c>
      <x:c r="C1048" s="31" t="str">
        <x:v>089200</x:v>
      </x:c>
      <x:c r="D1048" s="31" t="str">
        <x:v>BK1704</x:v>
      </x:c>
      <x:c r="E1048" s="31" t="str">
        <x:v>East Flatbush-Remsen Village</x:v>
      </x:c>
      <x:c r="F1048" s="31" t="n">
        <x:v>0.06931541312916092</x:v>
      </x:c>
      <x:c r="G1048" s="31" t="n">
        <x:v>40.663280749099336</x:v>
      </x:c>
      <x:c r="H1048" s="31" t="n">
        <x:v>-73.92192184945931</x:v>
      </x:c>
      <x:c r="I1048" s="31" t="n">
        <x:v>3673</x:v>
      </x:c>
      <x:c r="J1048" s="31" t="n">
        <x:v>52989.657482900766</x:v>
      </x:c>
      <x:c r="K1048" s="31"/>
      <x:c r="L1048" s="40"/>
      <x:c r="M1048" s="40"/>
      <x:c r="N1048" s="31" t="n">
        <x:v>170</x:v>
      </x:c>
      <x:c r="O1048" s="31" t="n">
        <x:v>1576</x:v>
      </x:c>
      <x:c r="P1048" s="31" t="n">
        <x:v>3.857687420584498</x:v>
      </x:c>
      <x:c r="Q1048" s="40" t="n">
        <x:v>0</x:v>
      </x:c>
      <x:c r="R1048" s="40" t="n">
        <x:v>0.7309644670050761</x:v>
      </x:c>
      <x:c r="S1048" s="40" t="n">
        <x:v>0.015228426395939087</x:v>
      </x:c>
      <x:c r="T1048" s="31" t="n">
        <x:v>44.83935913705584</x:v>
      </x:c>
      <x:c r="U1048" s="31" t="n">
        <x:v>66.68</x:v>
      </x:c>
      <x:c r="V1048" s="31" t="n">
        <x:v>11</x:v>
      </x:c>
      <x:c r="W1048" s="31" t="n">
        <x:v>2.9948271167982576</x:v>
      </x:c>
      <x:c r="X1048" s="31" t="n">
        <x:v>5</x:v>
      </x:c>
      <x:c r="Y1048" s="40" t="n">
        <x:v>1</x:v>
      </x:c>
      <x:c r="Z1048" s="40" t="n">
        <x:v>1</x:v>
      </x:c>
      <x:c r="AA1048" s="40" t="n">
        <x:v>1</x:v>
      </x:c>
      <x:c r="AB1048" s="31" t="n">
        <x:v>0.06214986167496513</x:v>
      </x:c>
      <x:c r="AC1048" s="31" t="n">
        <x:v>6</x:v>
      </x:c>
      <x:c r="AD1048" s="44" t="b">
        <x:v>1</x:v>
      </x:c>
    </x:row>
    <x:row r="1049">
      <x:c r="A1049" s="31" t="str">
        <x:v>36047089400</x:v>
      </x:c>
      <x:c r="B1049" s="31" t="str">
        <x:v>Brooklyn</x:v>
      </x:c>
      <x:c r="C1049" s="31" t="str">
        <x:v>089400</x:v>
      </x:c>
      <x:c r="D1049" s="31" t="str">
        <x:v>BK1602</x:v>
      </x:c>
      <x:c r="E1049" s="31" t="str">
        <x:v>Brownsville</x:v>
      </x:c>
      <x:c r="F1049" s="31" t="n">
        <x:v>0.06648351676279844</x:v>
      </x:c>
      <x:c r="G1049" s="31" t="n">
        <x:v>40.66150402694363</x:v>
      </x:c>
      <x:c r="H1049" s="31" t="n">
        <x:v>-73.91648517912537</x:v>
      </x:c>
      <x:c r="I1049" s="31" t="n">
        <x:v>3834</x:v>
      </x:c>
      <x:c r="J1049" s="31" t="n">
        <x:v>57668.42950981431</x:v>
      </x:c>
      <x:c r="K1049" s="31"/>
      <x:c r="L1049" s="40"/>
      <x:c r="M1049" s="40"/>
      <x:c r="N1049" s="31" t="n">
        <x:v>470</x:v>
      </x:c>
      <x:c r="O1049" s="31" t="n">
        <x:v>1378</x:v>
      </x:c>
      <x:c r="P1049" s="31" t="n">
        <x:v>2.98022496371553</x:v>
      </x:c>
      <x:c r="Q1049" s="40" t="n">
        <x:v>0</x:v>
      </x:c>
      <x:c r="R1049" s="40" t="n">
        <x:v>0.3606676342525399</x:v>
      </x:c>
      <x:c r="S1049" s="40" t="n">
        <x:v>0.006531204644412192</x:v>
      </x:c>
      <x:c r="T1049" s="31" t="n">
        <x:v>36.12257683888484</x:v>
      </x:c>
      <x:c r="U1049" s="31" t="n">
        <x:v>96</x:v>
      </x:c>
      <x:c r="V1049" s="31" t="n">
        <x:v>3</x:v>
      </x:c>
      <x:c r="W1049" s="31" t="n">
        <x:v>0.7824726134585289</x:v>
      </x:c>
      <x:c r="X1049" s="31" t="n">
        <x:v>5</x:v>
      </x:c>
      <x:c r="Y1049" s="40" t="n">
        <x:v>1</x:v>
      </x:c>
      <x:c r="Z1049" s="40" t="n">
        <x:v>1</x:v>
      </x:c>
      <x:c r="AA1049" s="40" t="n">
        <x:v>0.9956458635703919</x:v>
      </x:c>
      <x:c r="AB1049" s="31" t="n">
        <x:v>0.1184969892080695</x:v>
      </x:c>
      <x:c r="AC1049" s="31" t="n">
        <x:v>6</x:v>
      </x:c>
      <x:c r="AD1049" s="44" t="b">
        <x:v>1</x:v>
      </x:c>
    </x:row>
    <x:row r="1050">
      <x:c r="A1050" s="31" t="str">
        <x:v>36047089600</x:v>
      </x:c>
      <x:c r="B1050" s="31" t="str">
        <x:v>Brooklyn</x:v>
      </x:c>
      <x:c r="C1050" s="31" t="str">
        <x:v>089600</x:v>
      </x:c>
      <x:c r="D1050" s="31" t="str">
        <x:v>BK1602</x:v>
      </x:c>
      <x:c r="E1050" s="31" t="str">
        <x:v>Brownsville</x:v>
      </x:c>
      <x:c r="F1050" s="31" t="n">
        <x:v>0.057604948415619264</x:v>
      </x:c>
      <x:c r="G1050" s="31" t="n">
        <x:v>40.65800493852075</x:v>
      </x:c>
      <x:c r="H1050" s="31" t="n">
        <x:v>-73.91240943017306</x:v>
      </x:c>
      <x:c r="I1050" s="31" t="n">
        <x:v>4081</x:v>
      </x:c>
      <x:c r="J1050" s="31" t="n">
        <x:v>70844.60818462359</x:v>
      </x:c>
      <x:c r="K1050" s="31"/>
      <x:c r="L1050" s="40"/>
      <x:c r="M1050" s="40"/>
      <x:c r="N1050" s="31" t="n">
        <x:v>286</x:v>
      </x:c>
      <x:c r="O1050" s="31" t="n">
        <x:v>1716</x:v>
      </x:c>
      <x:c r="P1050" s="31" t="n">
        <x:v>4.984247374562427</x:v>
      </x:c>
      <x:c r="Q1050" s="40" t="n">
        <x:v>0.10023310023310024</x:v>
      </x:c>
      <x:c r="R1050" s="40" t="n">
        <x:v>0.45104895104895104</x:v>
      </x:c>
      <x:c r="S1050" s="40" t="n">
        <x:v>0</x:v>
      </x:c>
      <x:c r="T1050" s="31" t="n">
        <x:v>52.175627426267525</x:v>
      </x:c>
      <x:c r="U1050" s="31" t="n">
        <x:v>176.60423787</x:v>
      </x:c>
      <x:c r="V1050" s="31" t="n">
        <x:v>9</x:v>
      </x:c>
      <x:c r="W1050" s="31" t="n">
        <x:v>2.205341827983337</x:v>
      </x:c>
      <x:c r="X1050" s="31" t="n">
        <x:v>5</x:v>
      </x:c>
      <x:c r="Y1050" s="40" t="n">
        <x:v>1</x:v>
      </x:c>
      <x:c r="Z1050" s="40" t="n">
        <x:v>1</x:v>
      </x:c>
      <x:c r="AA1050" s="40" t="n">
        <x:v>0.9976689976689976</x:v>
      </x:c>
      <x:c r="AB1050" s="31" t="n">
        <x:v>0.09365219211529656</x:v>
      </x:c>
      <x:c r="AC1050" s="31" t="n">
        <x:v>5</x:v>
      </x:c>
      <x:c r="AD1050" s="44" t="b">
        <x:v>1</x:v>
      </x:c>
    </x:row>
    <x:row r="1051">
      <x:c r="A1051" s="31" t="str">
        <x:v>36047089800</x:v>
      </x:c>
      <x:c r="B1051" s="31" t="str">
        <x:v>Brooklyn</x:v>
      </x:c>
      <x:c r="C1051" s="31" t="str">
        <x:v>089800</x:v>
      </x:c>
      <x:c r="D1051" s="31" t="str">
        <x:v>BK1602</x:v>
      </x:c>
      <x:c r="E1051" s="31" t="str">
        <x:v>Brownsville</x:v>
      </x:c>
      <x:c r="F1051" s="31" t="n">
        <x:v>0.059594526911515726</x:v>
      </x:c>
      <x:c r="G1051" s="31" t="n">
        <x:v>40.6627863260691</x:v>
      </x:c>
      <x:c r="H1051" s="31" t="n">
        <x:v>-73.91370794294079</x:v>
      </x:c>
      <x:c r="I1051" s="31" t="n">
        <x:v>2329</x:v>
      </x:c>
      <x:c r="J1051" s="31" t="n">
        <x:v>39080.77000859548</x:v>
      </x:c>
      <x:c r="K1051" s="31"/>
      <x:c r="L1051" s="40"/>
      <x:c r="M1051" s="40"/>
      <x:c r="N1051" s="31" t="n">
        <x:v>320</x:v>
      </x:c>
      <x:c r="O1051" s="31" t="n">
        <x:v>736</x:v>
      </x:c>
      <x:c r="P1051" s="31" t="n">
        <x:v>2.56986301369863</x:v>
      </x:c>
      <x:c r="Q1051" s="40" t="n">
        <x:v>0</x:v>
      </x:c>
      <x:c r="R1051" s="40" t="n">
        <x:v>0.3967391304347826</x:v>
      </x:c>
      <x:c r="S1051" s="40" t="n">
        <x:v>0</x:v>
      </x:c>
      <x:c r="T1051" s="31" t="n">
        <x:v>28.621679867138887</x:v>
      </x:c>
      <x:c r="U1051" s="31" t="n">
        <x:v>50</x:v>
      </x:c>
      <x:c r="V1051" s="31" t="n">
        <x:v>0</x:v>
      </x:c>
      <x:c r="W1051" s="31" t="n">
        <x:v>0</x:v>
      </x:c>
      <x:c r="X1051" s="31" t="n">
        <x:v>5</x:v>
      </x:c>
      <x:c r="Y1051" s="40" t="n">
        <x:v>1</x:v>
      </x:c>
      <x:c r="Z1051" s="40" t="n">
        <x:v>1</x:v>
      </x:c>
      <x:c r="AA1051" s="40" t="n">
        <x:v>0.9782608695652174</x:v>
      </x:c>
      <x:c r="AB1051" s="31" t="n">
        <x:v>0.17979379572595097</x:v>
      </x:c>
      <x:c r="AC1051" s="31" t="n">
        <x:v>6</x:v>
      </x:c>
      <x:c r="AD1051" s="44" t="b">
        <x:v>1</x:v>
      </x:c>
    </x:row>
    <x:row r="1052">
      <x:c r="A1052" s="31" t="str">
        <x:v>36047090000</x:v>
      </x:c>
      <x:c r="B1052" s="31" t="str">
        <x:v>Brooklyn</x:v>
      </x:c>
      <x:c r="C1052" s="31" t="str">
        <x:v>090000</x:v>
      </x:c>
      <x:c r="D1052" s="31" t="str">
        <x:v>BK1602</x:v>
      </x:c>
      <x:c r="E1052" s="31" t="str">
        <x:v>Brownsville</x:v>
      </x:c>
      <x:c r="F1052" s="31" t="n">
        <x:v>0.09488927331625918</x:v>
      </x:c>
      <x:c r="G1052" s="31" t="n">
        <x:v>40.66624211489383</x:v>
      </x:c>
      <x:c r="H1052" s="31" t="n">
        <x:v>-73.91981432706781</x:v>
      </x:c>
      <x:c r="I1052" s="31" t="n">
        <x:v>5434</x:v>
      </x:c>
      <x:c r="J1052" s="31" t="n">
        <x:v>57266.7469155219</x:v>
      </x:c>
      <x:c r="K1052" s="31"/>
      <x:c r="L1052" s="40"/>
      <x:c r="M1052" s="40"/>
      <x:c r="N1052" s="31" t="n">
        <x:v>364</x:v>
      </x:c>
      <x:c r="O1052" s="31" t="n">
        <x:v>2062</x:v>
      </x:c>
      <x:c r="P1052" s="31" t="n">
        <x:v>3.288027477919529</x:v>
      </x:c>
      <x:c r="Q1052" s="40" t="n">
        <x:v>0</x:v>
      </x:c>
      <x:c r="R1052" s="40" t="n">
        <x:v>0.7172647914645974</x:v>
      </x:c>
      <x:c r="S1052" s="40" t="n">
        <x:v>0.0965082444228904</x:v>
      </x:c>
      <x:c r="T1052" s="31" t="n">
        <x:v>40.081027056291425</x:v>
      </x:c>
      <x:c r="U1052" s="31" t="n">
        <x:v>73.44</x:v>
      </x:c>
      <x:c r="V1052" s="31" t="n">
        <x:v>10</x:v>
      </x:c>
      <x:c r="W1052" s="31" t="n">
        <x:v>1.840264998159735</x:v>
      </x:c>
      <x:c r="X1052" s="31" t="n">
        <x:v>5</x:v>
      </x:c>
      <x:c r="Y1052" s="40" t="n">
        <x:v>1</x:v>
      </x:c>
      <x:c r="Z1052" s="40" t="n">
        <x:v>1</x:v>
      </x:c>
      <x:c r="AA1052" s="40" t="n">
        <x:v>0.9951503394762367</x:v>
      </x:c>
      <x:c r="AB1052" s="31" t="n">
        <x:v>0.116750540034706</x:v>
      </x:c>
      <x:c r="AC1052" s="31" t="n">
        <x:v>7</x:v>
      </x:c>
      <x:c r="AD1052" s="44" t="b">
        <x:v>1</x:v>
      </x:c>
    </x:row>
    <x:row r="1053">
      <x:c r="A1053" s="31" t="str">
        <x:v>36047090200</x:v>
      </x:c>
      <x:c r="B1053" s="31" t="str">
        <x:v>Brooklyn</x:v>
      </x:c>
      <x:c r="C1053" s="31" t="str">
        <x:v>090200</x:v>
      </x:c>
      <x:c r="D1053" s="31" t="str">
        <x:v>BK1602</x:v>
      </x:c>
      <x:c r="E1053" s="31" t="str">
        <x:v>Brownsville</x:v>
      </x:c>
      <x:c r="F1053" s="31" t="n">
        <x:v>0.07357319120752985</x:v>
      </x:c>
      <x:c r="G1053" s="31" t="n">
        <x:v>40.66755316321996</x:v>
      </x:c>
      <x:c r="H1053" s="31" t="n">
        <x:v>-73.91500760432935</x:v>
      </x:c>
      <x:c r="I1053" s="31" t="n">
        <x:v>3817</x:v>
      </x:c>
      <x:c r="J1053" s="31" t="n">
        <x:v>51880.31044124873</x:v>
      </x:c>
      <x:c r="K1053" s="31"/>
      <x:c r="L1053" s="40"/>
      <x:c r="M1053" s="40"/>
      <x:c r="N1053" s="31" t="n">
        <x:v>410</x:v>
      </x:c>
      <x:c r="O1053" s="31" t="n">
        <x:v>1420</x:v>
      </x:c>
      <x:c r="P1053" s="31" t="n">
        <x:v>5.302443609022556</x:v>
      </x:c>
      <x:c r="Q1053" s="40" t="n">
        <x:v>0.16338028169014085</x:v>
      </x:c>
      <x:c r="R1053" s="40" t="n">
        <x:v>0.46549295774647886</x:v>
      </x:c>
      <x:c r="S1053" s="40" t="n">
        <x:v>0.16338028169014085</x:v>
      </x:c>
      <x:c r="T1053" s="31" t="n">
        <x:v>62.16500297174771</x:v>
      </x:c>
      <x:c r="U1053" s="31" t="n">
        <x:v>167.68</x:v>
      </x:c>
      <x:c r="V1053" s="31" t="n">
        <x:v>10</x:v>
      </x:c>
      <x:c r="W1053" s="31" t="n">
        <x:v>2.6198585276395074</x:v>
      </x:c>
      <x:c r="X1053" s="31" t="n">
        <x:v>5</x:v>
      </x:c>
      <x:c r="Y1053" s="40" t="n">
        <x:v>1</x:v>
      </x:c>
      <x:c r="Z1053" s="40" t="n">
        <x:v>1</x:v>
      </x:c>
      <x:c r="AA1053" s="40" t="n">
        <x:v>0.9992957746478873</x:v>
      </x:c>
      <x:c r="AB1053" s="31" t="n">
        <x:v>0.16871210971061043</x:v>
      </x:c>
      <x:c r="AC1053" s="31" t="n">
        <x:v>6</x:v>
      </x:c>
      <x:c r="AD1053" s="44" t="b">
        <x:v>1</x:v>
      </x:c>
    </x:row>
    <x:row r="1054">
      <x:c r="A1054" s="31" t="str">
        <x:v>36047090600</x:v>
      </x:c>
      <x:c r="B1054" s="31" t="str">
        <x:v>Brooklyn</x:v>
      </x:c>
      <x:c r="C1054" s="31" t="str">
        <x:v>090600</x:v>
      </x:c>
      <x:c r="D1054" s="31" t="str">
        <x:v>BK1602</x:v>
      </x:c>
      <x:c r="E1054" s="31" t="str">
        <x:v>Brownsville</x:v>
      </x:c>
      <x:c r="F1054" s="31" t="n">
        <x:v>0.07560515548776113</x:v>
      </x:c>
      <x:c r="G1054" s="31" t="n">
        <x:v>40.67013022332769</x:v>
      </x:c>
      <x:c r="H1054" s="31" t="n">
        <x:v>-73.90885968042576</x:v>
      </x:c>
      <x:c r="I1054" s="31" t="n">
        <x:v>4534</x:v>
      </x:c>
      <x:c r="J1054" s="31" t="n">
        <x:v>59969.45539955881</x:v>
      </x:c>
      <x:c r="K1054" s="31"/>
      <x:c r="L1054" s="40"/>
      <x:c r="M1054" s="40"/>
      <x:c r="N1054" s="31" t="n">
        <x:v>79</x:v>
      </x:c>
      <x:c r="O1054" s="31" t="n">
        <x:v>1685</x:v>
      </x:c>
      <x:c r="P1054" s="31" t="n">
        <x:v>11.055390113162597</x:v>
      </x:c>
      <x:c r="Q1054" s="40" t="n">
        <x:v>0.35074183976261125</x:v>
      </x:c>
      <x:c r="R1054" s="40" t="n">
        <x:v>0.6308605341246291</x:v>
      </x:c>
      <x:c r="S1054" s="40" t="n">
        <x:v>0.7685459940652819</x:v>
      </x:c>
      <x:c r="T1054" s="31" t="n">
        <x:v>156.73997226472187</x:v>
      </x:c>
      <x:c r="U1054" s="31" t="n">
        <x:v>207.79</x:v>
      </x:c>
      <x:c r="V1054" s="31" t="n">
        <x:v>30</x:v>
      </x:c>
      <x:c r="W1054" s="31" t="n">
        <x:v>6.6166740185266875</x:v>
      </x:c>
      <x:c r="X1054" s="31" t="n">
        <x:v>5</x:v>
      </x:c>
      <x:c r="Y1054" s="40" t="n">
        <x:v>1</x:v>
      </x:c>
      <x:c r="Z1054" s="40" t="n">
        <x:v>1</x:v>
      </x:c>
      <x:c r="AA1054" s="40" t="n">
        <x:v>0.9388724035608309</x:v>
      </x:c>
      <x:c r="AB1054" s="31" t="n">
        <x:v>0.05283201561491083</x:v>
      </x:c>
      <x:c r="AC1054" s="31" t="n">
        <x:v>6</x:v>
      </x:c>
      <x:c r="AD1054" s="44" t="b">
        <x:v>1</x:v>
      </x:c>
    </x:row>
    <x:row r="1055">
      <x:c r="A1055" s="31" t="str">
        <x:v>36047090800</x:v>
      </x:c>
      <x:c r="B1055" s="31" t="str">
        <x:v>Brooklyn</x:v>
      </x:c>
      <x:c r="C1055" s="31" t="str">
        <x:v>090800</x:v>
      </x:c>
      <x:c r="D1055" s="31" t="str">
        <x:v>BK1602</x:v>
      </x:c>
      <x:c r="E1055" s="31" t="str">
        <x:v>Brownsville</x:v>
      </x:c>
      <x:c r="F1055" s="31" t="n">
        <x:v>0.11459867026084711</x:v>
      </x:c>
      <x:c r="G1055" s="31" t="n">
        <x:v>40.6713269604035</x:v>
      </x:c>
      <x:c r="H1055" s="31" t="n">
        <x:v>-73.90477134612907</x:v>
      </x:c>
      <x:c r="I1055" s="31" t="n">
        <x:v>5893</x:v>
      </x:c>
      <x:c r="J1055" s="31" t="n">
        <x:v>51422.93524511651</x:v>
      </x:c>
      <x:c r="K1055" s="31"/>
      <x:c r="L1055" s="40"/>
      <x:c r="M1055" s="40"/>
      <x:c r="N1055" s="31" t="n">
        <x:v>86</x:v>
      </x:c>
      <x:c r="O1055" s="31" t="n">
        <x:v>2426</x:v>
      </x:c>
      <x:c r="P1055" s="31" t="n">
        <x:v>12.49108992954828</x:v>
      </x:c>
      <x:c r="Q1055" s="40" t="n">
        <x:v>0.5416323165704864</x:v>
      </x:c>
      <x:c r="R1055" s="40" t="n">
        <x:v>0.44187963726298435</x:v>
      </x:c>
      <x:c r="S1055" s="40" t="n">
        <x:v>0.39159109645507006</x:v>
      </x:c>
      <x:c r="T1055" s="31" t="n">
        <x:v>125.64356812122939</x:v>
      </x:c>
      <x:c r="U1055" s="31" t="n">
        <x:v>210.496448</x:v>
      </x:c>
      <x:c r="V1055" s="31" t="n">
        <x:v>32</x:v>
      </x:c>
      <x:c r="W1055" s="31" t="n">
        <x:v>5.4301713897844905</x:v>
      </x:c>
      <x:c r="X1055" s="31" t="n">
        <x:v>5</x:v>
      </x:c>
      <x:c r="Y1055" s="40" t="n">
        <x:v>1</x:v>
      </x:c>
      <x:c r="Z1055" s="40" t="n">
        <x:v>1</x:v>
      </x:c>
      <x:c r="AA1055" s="40" t="n">
        <x:v>0.8248145094806265</x:v>
      </x:c>
      <x:c r="AB1055" s="31" t="n">
        <x:v>0.09533325378129948</x:v>
      </x:c>
      <x:c r="AC1055" s="31" t="n">
        <x:v>6</x:v>
      </x:c>
      <x:c r="AD1055" s="44" t="b">
        <x:v>1</x:v>
      </x:c>
    </x:row>
    <x:row r="1056">
      <x:c r="A1056" s="31" t="str">
        <x:v>36047091000</x:v>
      </x:c>
      <x:c r="B1056" s="31" t="str">
        <x:v>Brooklyn</x:v>
      </x:c>
      <x:c r="C1056" s="31" t="str">
        <x:v>091000</x:v>
      </x:c>
      <x:c r="D1056" s="31" t="str">
        <x:v>BK1602</x:v>
      </x:c>
      <x:c r="E1056" s="31" t="str">
        <x:v>Brownsville</x:v>
      </x:c>
      <x:c r="F1056" s="31" t="n">
        <x:v>0.08180436219976756</x:v>
      </x:c>
      <x:c r="G1056" s="31" t="n">
        <x:v>40.66575311777252</x:v>
      </x:c>
      <x:c r="H1056" s="31" t="n">
        <x:v>-73.90340897916482</x:v>
      </x:c>
      <x:c r="I1056" s="31" t="n">
        <x:v>5814</x:v>
      </x:c>
      <x:c r="J1056" s="31" t="n">
        <x:v>71072.0045197849</x:v>
      </x:c>
      <x:c r="K1056" s="31"/>
      <x:c r="L1056" s="40"/>
      <x:c r="M1056" s="40"/>
      <x:c r="N1056" s="31" t="n">
        <x:v>28</x:v>
      </x:c>
      <x:c r="O1056" s="31" t="n">
        <x:v>2535</x:v>
      </x:c>
      <x:c r="P1056" s="31" t="n">
        <x:v>14.43826429980276</x:v>
      </x:c>
      <x:c r="Q1056" s="40" t="n">
        <x:v>0.9593688362919132</x:v>
      </x:c>
      <x:c r="R1056" s="40" t="n">
        <x:v>0.03905325443786982</x:v>
      </x:c>
      <x:c r="S1056" s="40" t="n">
        <x:v>0.6879684418145957</x:v>
      </x:c>
      <x:c r="T1056" s="31" t="n">
        <x:v>148.2216004765687</x:v>
      </x:c>
      <x:c r="U1056" s="31" t="n">
        <x:v>238</x:v>
      </x:c>
      <x:c r="V1056" s="31" t="n">
        <x:v>35</x:v>
      </x:c>
      <x:c r="W1056" s="31" t="n">
        <x:v>6.019951840385277</x:v>
      </x:c>
      <x:c r="X1056" s="31" t="n">
        <x:v>5</x:v>
      </x:c>
      <x:c r="Y1056" s="40" t="n">
        <x:v>1</x:v>
      </x:c>
      <x:c r="Z1056" s="40" t="n">
        <x:v>1</x:v>
      </x:c>
      <x:c r="AA1056" s="40" t="n">
        <x:v>0.9932938856015779</x:v>
      </x:c>
      <x:c r="AB1056" s="31" t="n">
        <x:v>0.06386949583916546</x:v>
      </x:c>
      <x:c r="AC1056" s="31" t="n">
        <x:v>6</x:v>
      </x:c>
      <x:c r="AD1056" s="44" t="b">
        <x:v>1</x:v>
      </x:c>
    </x:row>
    <x:row r="1057">
      <x:c r="A1057" s="31" t="str">
        <x:v>36047091200</x:v>
      </x:c>
      <x:c r="B1057" s="31" t="str">
        <x:v>Brooklyn</x:v>
      </x:c>
      <x:c r="C1057" s="31" t="str">
        <x:v>091200</x:v>
      </x:c>
      <x:c r="D1057" s="31" t="str">
        <x:v>BK1602</x:v>
      </x:c>
      <x:c r="E1057" s="31" t="str">
        <x:v>Brownsville</x:v>
      </x:c>
      <x:c r="F1057" s="31" t="n">
        <x:v>0.06458285703663051</x:v>
      </x:c>
      <x:c r="G1057" s="31" t="n">
        <x:v>40.66512915560574</x:v>
      </x:c>
      <x:c r="H1057" s="31" t="n">
        <x:v>-73.90763461472864</x:v>
      </x:c>
      <x:c r="I1057" s="31" t="n">
        <x:v>6572</x:v>
      </x:c>
      <x:c r="J1057" s="31" t="n">
        <x:v>101760.75047705696</x:v>
      </x:c>
      <x:c r="K1057" s="31"/>
      <x:c r="L1057" s="40"/>
      <x:c r="M1057" s="40"/>
      <x:c r="N1057" s="31" t="n">
        <x:v>3</x:v>
      </x:c>
      <x:c r="O1057" s="31" t="n">
        <x:v>2335</x:v>
      </x:c>
      <x:c r="P1057" s="31" t="n">
        <x:v>10.269807280513918</x:v>
      </x:c>
      <x:c r="Q1057" s="40" t="n">
        <x:v>0.42698072805139187</x:v>
      </x:c>
      <x:c r="R1057" s="40" t="n">
        <x:v>0.5730192719486081</x:v>
      </x:c>
      <x:c r="S1057" s="40" t="n">
        <x:v>1</x:v>
      </x:c>
      <x:c r="T1057" s="31" t="n">
        <x:v>110.12262526766595</x:v>
      </x:c>
      <x:c r="U1057" s="31" t="n">
        <x:v>160.41</x:v>
      </x:c>
      <x:c r="V1057" s="31" t="n">
        <x:v>43</x:v>
      </x:c>
      <x:c r="W1057" s="31" t="n">
        <x:v>6.542909312233719</x:v>
      </x:c>
      <x:c r="X1057" s="31" t="n">
        <x:v>5</x:v>
      </x:c>
      <x:c r="Y1057" s="40" t="n">
        <x:v>1</x:v>
      </x:c>
      <x:c r="Z1057" s="40" t="n">
        <x:v>1</x:v>
      </x:c>
      <x:c r="AA1057" s="40" t="n">
        <x:v>1</x:v>
      </x:c>
      <x:c r="AB1057" s="31" t="n">
        <x:v>0.03952386253620416</x:v>
      </x:c>
      <x:c r="AC1057" s="31" t="n">
        <x:v>6</x:v>
      </x:c>
      <x:c r="AD1057" s="44" t="b">
        <x:v>1</x:v>
      </x:c>
    </x:row>
    <x:row r="1058">
      <x:c r="A1058" s="31" t="str">
        <x:v>36047091600</x:v>
      </x:c>
      <x:c r="B1058" s="31" t="str">
        <x:v>Brooklyn</x:v>
      </x:c>
      <x:c r="C1058" s="31" t="str">
        <x:v>091600</x:v>
      </x:c>
      <x:c r="D1058" s="31" t="str">
        <x:v>BK1602</x:v>
      </x:c>
      <x:c r="E1058" s="31" t="str">
        <x:v>Brownsville</x:v>
      </x:c>
      <x:c r="F1058" s="31" t="n">
        <x:v>0.08325749549328512</x:v>
      </x:c>
      <x:c r="G1058" s="31" t="n">
        <x:v>40.659103877724846</x:v>
      </x:c>
      <x:c r="H1058" s="31" t="n">
        <x:v>-73.90910121923815</x:v>
      </x:c>
      <x:c r="I1058" s="31" t="n">
        <x:v>5309</x:v>
      </x:c>
      <x:c r="J1058" s="31" t="n">
        <x:v>63766.03053629185</x:v>
      </x:c>
      <x:c r="K1058" s="31"/>
      <x:c r="L1058" s="40"/>
      <x:c r="M1058" s="40"/>
      <x:c r="N1058" s="31" t="n">
        <x:v>361</x:v>
      </x:c>
      <x:c r="O1058" s="31" t="n">
        <x:v>2308</x:v>
      </x:c>
      <x:c r="P1058" s="31" t="n">
        <x:v>4.3422876949740035</x:v>
      </x:c>
      <x:c r="Q1058" s="40" t="n">
        <x:v>0</x:v>
      </x:c>
      <x:c r="R1058" s="40" t="n">
        <x:v>0.7066724436741768</x:v>
      </x:c>
      <x:c r="S1058" s="40" t="n">
        <x:v>0.13561525129982668</x:v>
      </x:c>
      <x:c r="T1058" s="31" t="n">
        <x:v>46.26959149665511</x:v>
      </x:c>
      <x:c r="U1058" s="31" t="n">
        <x:v>86</x:v>
      </x:c>
      <x:c r="V1058" s="31" t="n">
        <x:v>22</x:v>
      </x:c>
      <x:c r="W1058" s="31" t="n">
        <x:v>4.143906573742701</x:v>
      </x:c>
      <x:c r="X1058" s="31" t="n">
        <x:v>5</x:v>
      </x:c>
      <x:c r="Y1058" s="40" t="n">
        <x:v>1</x:v>
      </x:c>
      <x:c r="Z1058" s="40" t="n">
        <x:v>1</x:v>
      </x:c>
      <x:c r="AA1058" s="40" t="n">
        <x:v>1</x:v>
      </x:c>
      <x:c r="AB1058" s="31" t="n">
        <x:v>0.14044431635916568</x:v>
      </x:c>
      <x:c r="AC1058" s="31" t="n">
        <x:v>8</x:v>
      </x:c>
      <x:c r="AD1058" s="44" t="b">
        <x:v>1</x:v>
      </x:c>
    </x:row>
    <x:row r="1059">
      <x:c r="A1059" s="31" t="str">
        <x:v>36047091800</x:v>
      </x:c>
      <x:c r="B1059" s="31" t="str">
        <x:v>Brooklyn</x:v>
      </x:c>
      <x:c r="C1059" s="31" t="str">
        <x:v>091800</x:v>
      </x:c>
      <x:c r="D1059" s="31" t="str">
        <x:v>BK1602</x:v>
      </x:c>
      <x:c r="E1059" s="31" t="str">
        <x:v>Brownsville</x:v>
      </x:c>
      <x:c r="F1059" s="31" t="n">
        <x:v>0.08092362652985824</x:v>
      </x:c>
      <x:c r="G1059" s="31" t="n">
        <x:v>40.661652619915515</x:v>
      </x:c>
      <x:c r="H1059" s="31" t="n">
        <x:v>-73.90458558948605</x:v>
      </x:c>
      <x:c r="I1059" s="31" t="n">
        <x:v>2703</x:v>
      </x:c>
      <x:c r="J1059" s="31" t="n">
        <x:v>33401.86439868311</x:v>
      </x:c>
      <x:c r="K1059" s="31"/>
      <x:c r="L1059" s="40"/>
      <x:c r="M1059" s="40"/>
      <x:c r="N1059" s="31" t="n">
        <x:v>333</x:v>
      </x:c>
      <x:c r="O1059" s="31" t="n">
        <x:v>1210</x:v>
      </x:c>
      <x:c r="P1059" s="31" t="n">
        <x:v>7.345454545454546</x:v>
      </x:c>
      <x:c r="Q1059" s="40" t="n">
        <x:v>0.6181818181818182</x:v>
      </x:c>
      <x:c r="R1059" s="40" t="n">
        <x:v>0.10743801652892562</x:v>
      </x:c>
      <x:c r="S1059" s="40" t="n">
        <x:v>0.11735537190082644</x:v>
      </x:c>
      <x:c r="T1059" s="31" t="n">
        <x:v>67.45407271709739</x:v>
      </x:c>
      <x:c r="U1059" s="31" t="n">
        <x:v>115</x:v>
      </x:c>
      <x:c r="V1059" s="31" t="n">
        <x:v>13</x:v>
      </x:c>
      <x:c r="W1059" s="31" t="n">
        <x:v>4.8094709581945985</x:v>
      </x:c>
      <x:c r="X1059" s="31" t="n">
        <x:v>5</x:v>
      </x:c>
      <x:c r="Y1059" s="40" t="n">
        <x:v>1</x:v>
      </x:c>
      <x:c r="Z1059" s="40" t="n">
        <x:v>1</x:v>
      </x:c>
      <x:c r="AA1059" s="40" t="n">
        <x:v>0.8826446280991735</x:v>
      </x:c>
      <x:c r="AB1059" s="31" t="n">
        <x:v>0.0998849818087429</x:v>
      </x:c>
      <x:c r="AC1059" s="31" t="n">
        <x:v>6</x:v>
      </x:c>
      <x:c r="AD1059" s="44" t="b">
        <x:v>1</x:v>
      </x:c>
    </x:row>
    <x:row r="1060">
      <x:c r="A1060" s="31" t="str">
        <x:v>36047092000</x:v>
      </x:c>
      <x:c r="B1060" s="31" t="str">
        <x:v>Brooklyn</x:v>
      </x:c>
      <x:c r="C1060" s="31" t="str">
        <x:v>092000</x:v>
      </x:c>
      <x:c r="D1060" s="31" t="str">
        <x:v>BK1602</x:v>
      </x:c>
      <x:c r="E1060" s="31" t="str">
        <x:v>Brownsville</x:v>
      </x:c>
      <x:c r="F1060" s="31" t="n">
        <x:v>0.09169233519427226</x:v>
      </x:c>
      <x:c r="G1060" s="31" t="n">
        <x:v>40.65856428444848</x:v>
      </x:c>
      <x:c r="H1060" s="31" t="n">
        <x:v>-73.902982963111</x:v>
      </x:c>
      <x:c r="I1060" s="31" t="n">
        <x:v>3491</x:v>
      </x:c>
      <x:c r="J1060" s="31" t="n">
        <x:v>38072.97515766696</x:v>
      </x:c>
      <x:c r="K1060" s="31"/>
      <x:c r="L1060" s="40"/>
      <x:c r="M1060" s="40"/>
      <x:c r="N1060" s="31" t="n">
        <x:v>410</x:v>
      </x:c>
      <x:c r="O1060" s="31" t="n">
        <x:v>2029</x:v>
      </x:c>
      <x:c r="P1060" s="31" t="n">
        <x:v>6.184820108427797</x:v>
      </x:c>
      <x:c r="Q1060" s="40" t="n">
        <x:v>0.3336619024149827</x:v>
      </x:c>
      <x:c r="R1060" s="40" t="n">
        <x:v>0.4248398225726959</x:v>
      </x:c>
      <x:c r="S1060" s="40" t="n">
        <x:v>0.33415475603745687</x:v>
      </x:c>
      <x:c r="T1060" s="31" t="n">
        <x:v>62.63596037997229</x:v>
      </x:c>
      <x:c r="U1060" s="31" t="n">
        <x:v>423</x:v>
      </x:c>
      <x:c r="V1060" s="31" t="n">
        <x:v>21</x:v>
      </x:c>
      <x:c r="W1060" s="31" t="n">
        <x:v>6.015468347178459</x:v>
      </x:c>
      <x:c r="X1060" s="31" t="n">
        <x:v>5</x:v>
      </x:c>
      <x:c r="Y1060" s="40" t="n">
        <x:v>1</x:v>
      </x:c>
      <x:c r="Z1060" s="40" t="n">
        <x:v>1</x:v>
      </x:c>
      <x:c r="AA1060" s="40" t="n">
        <x:v>0.8891079349433219</x:v>
      </x:c>
      <x:c r="AB1060" s="31" t="n">
        <x:v>0.15517466719071038</x:v>
      </x:c>
      <x:c r="AC1060" s="31" t="n">
        <x:v>5</x:v>
      </x:c>
      <x:c r="AD1060" s="44" t="b">
        <x:v>1</x:v>
      </x:c>
    </x:row>
    <x:row r="1061">
      <x:c r="A1061" s="31" t="str">
        <x:v>36047092200</x:v>
      </x:c>
      <x:c r="B1061" s="31" t="str">
        <x:v>Brooklyn</x:v>
      </x:c>
      <x:c r="C1061" s="31" t="str">
        <x:v>092200</x:v>
      </x:c>
      <x:c r="D1061" s="31" t="str">
        <x:v>BK1602</x:v>
      </x:c>
      <x:c r="E1061" s="31" t="str">
        <x:v>Brownsville</x:v>
      </x:c>
      <x:c r="F1061" s="31" t="n">
        <x:v>0.06251161732021923</x:v>
      </x:c>
      <x:c r="G1061" s="31" t="n">
        <x:v>40.65523996289379</x:v>
      </x:c>
      <x:c r="H1061" s="31" t="n">
        <x:v>-73.9063489390087</x:v>
      </x:c>
      <x:c r="I1061" s="31" t="n">
        <x:v>3031</x:v>
      </x:c>
      <x:c r="J1061" s="31" t="n">
        <x:v>48486.98737825858</x:v>
      </x:c>
      <x:c r="K1061" s="31"/>
      <x:c r="L1061" s="40"/>
      <x:c r="M1061" s="40"/>
      <x:c r="N1061" s="31" t="n">
        <x:v>153</x:v>
      </x:c>
      <x:c r="O1061" s="31" t="n">
        <x:v>1327</x:v>
      </x:c>
      <x:c r="P1061" s="31" t="n">
        <x:v>10.052750565184628</x:v>
      </x:c>
      <x:c r="Q1061" s="40" t="n">
        <x:v>0.5764883195177091</x:v>
      </x:c>
      <x:c r="R1061" s="40" t="n">
        <x:v>0.09419743782969103</x:v>
      </x:c>
      <x:c r="S1061" s="40" t="n">
        <x:v>0.31876412961567446</x:v>
      </x:c>
      <x:c r="T1061" s="31" t="n">
        <x:v>105.79908355489827</x:v>
      </x:c>
      <x:c r="U1061" s="31" t="n">
        <x:v>173.49511731</x:v>
      </x:c>
      <x:c r="V1061" s="31" t="n">
        <x:v>13</x:v>
      </x:c>
      <x:c r="W1061" s="31" t="n">
        <x:v>4.289013526888816</x:v>
      </x:c>
      <x:c r="X1061" s="31" t="n">
        <x:v>5</x:v>
      </x:c>
      <x:c r="Y1061" s="40" t="n">
        <x:v>1</x:v>
      </x:c>
      <x:c r="Z1061" s="40" t="n">
        <x:v>1</x:v>
      </x:c>
      <x:c r="AA1061" s="40" t="n">
        <x:v>1</x:v>
      </x:c>
      <x:c r="AB1061" s="31" t="n">
        <x:v>0.04084708163385199</x:v>
      </x:c>
      <x:c r="AC1061" s="31" t="n">
        <x:v>6</x:v>
      </x:c>
      <x:c r="AD1061" s="44" t="b">
        <x:v>1</x:v>
      </x:c>
    </x:row>
    <x:row r="1062">
      <x:c r="A1062" s="31" t="str">
        <x:v>36047092400</x:v>
      </x:c>
      <x:c r="B1062" s="31" t="str">
        <x:v>Brooklyn</x:v>
      </x:c>
      <x:c r="C1062" s="31" t="str">
        <x:v>092400</x:v>
      </x:c>
      <x:c r="D1062" s="31" t="str">
        <x:v>BK1602</x:v>
      </x:c>
      <x:c r="E1062" s="31" t="str">
        <x:v>Brownsville</x:v>
      </x:c>
      <x:c r="F1062" s="31" t="n">
        <x:v>0.09717598716604971</x:v>
      </x:c>
      <x:c r="G1062" s="31" t="n">
        <x:v>40.66693299823695</x:v>
      </x:c>
      <x:c r="H1062" s="31" t="n">
        <x:v>-73.9114795593429</x:v>
      </x:c>
      <x:c r="I1062" s="31" t="n">
        <x:v>3628</x:v>
      </x:c>
      <x:c r="J1062" s="31" t="n">
        <x:v>37334.32616229199</x:v>
      </x:c>
      <x:c r="K1062" s="31"/>
      <x:c r="L1062" s="40"/>
      <x:c r="M1062" s="40"/>
      <x:c r="N1062" s="31" t="n">
        <x:v>266</x:v>
      </x:c>
      <x:c r="O1062" s="31" t="n">
        <x:v>1564</x:v>
      </x:c>
      <x:c r="P1062" s="31" t="n">
        <x:v>5.89002557544757</x:v>
      </x:c>
      <x:c r="Q1062" s="40" t="n">
        <x:v>0.13810741687979539</x:v>
      </x:c>
      <x:c r="R1062" s="40" t="n">
        <x:v>0.6879795396419437</x:v>
      </x:c>
      <x:c r="S1062" s="40" t="n">
        <x:v>0.20076726342711</x:v>
      </x:c>
      <x:c r="T1062" s="31" t="n">
        <x:v>48.79362803250936</x:v>
      </x:c>
      <x:c r="U1062" s="31" t="n">
        <x:v>84</x:v>
      </x:c>
      <x:c r="V1062" s="31" t="n">
        <x:v>16</x:v>
      </x:c>
      <x:c r="W1062" s="31" t="n">
        <x:v>4.410143329658214</x:v>
      </x:c>
      <x:c r="X1062" s="31" t="n">
        <x:v>5</x:v>
      </x:c>
      <x:c r="Y1062" s="40" t="n">
        <x:v>1</x:v>
      </x:c>
      <x:c r="Z1062" s="40" t="n">
        <x:v>1</x:v>
      </x:c>
      <x:c r="AA1062" s="40" t="n">
        <x:v>0.8535805626598465</x:v>
      </x:c>
      <x:c r="AB1062" s="31" t="n">
        <x:v>0.04360676920653047</x:v>
      </x:c>
      <x:c r="AC1062" s="31" t="n">
        <x:v>7</x:v>
      </x:c>
      <x:c r="AD1062" s="44" t="b">
        <x:v>1</x:v>
      </x:c>
    </x:row>
    <x:row r="1063">
      <x:c r="A1063" s="31" t="str">
        <x:v>36047092800</x:v>
      </x:c>
      <x:c r="B1063" s="31" t="str">
        <x:v>Brooklyn</x:v>
      </x:c>
      <x:c r="C1063" s="31" t="str">
        <x:v>092800</x:v>
      </x:c>
      <x:c r="D1063" s="31" t="str">
        <x:v>BK1704</x:v>
      </x:c>
      <x:c r="E1063" s="31" t="str">
        <x:v>East Flatbush-Remsen Village</x:v>
      </x:c>
      <x:c r="F1063" s="31" t="n">
        <x:v>0.06067705501535239</x:v>
      </x:c>
      <x:c r="G1063" s="31" t="n">
        <x:v>40.6524787986739</x:v>
      </x:c>
      <x:c r="H1063" s="31" t="n">
        <x:v>-73.91177421758324</x:v>
      </x:c>
      <x:c r="I1063" s="31" t="n">
        <x:v>2861</x:v>
      </x:c>
      <x:c r="J1063" s="31" t="n">
        <x:v>47151.266640678514</x:v>
      </x:c>
      <x:c r="K1063" s="31"/>
      <x:c r="L1063" s="40"/>
      <x:c r="M1063" s="40"/>
      <x:c r="N1063" s="31" t="n">
        <x:v>342</x:v>
      </x:c>
      <x:c r="O1063" s="31" t="n">
        <x:v>1018</x:v>
      </x:c>
      <x:c r="P1063" s="31" t="n">
        <x:v>3.178781925343811</x:v>
      </x:c>
      <x:c r="Q1063" s="40" t="n">
        <x:v>0.11100196463654224</x:v>
      </x:c>
      <x:c r="R1063" s="40" t="n">
        <x:v>0.1719056974459725</x:v>
      </x:c>
      <x:c r="S1063" s="40" t="n">
        <x:v>0.0029469548133595285</x:v>
      </x:c>
      <x:c r="T1063" s="31" t="n">
        <x:v>36.24740772251474</x:v>
      </x:c>
      <x:c r="U1063" s="31" t="n">
        <x:v>107.9</x:v>
      </x:c>
      <x:c r="V1063" s="31" t="n">
        <x:v>3</x:v>
      </x:c>
      <x:c r="W1063" s="31" t="n">
        <x:v>1.0485844110450893</x:v>
      </x:c>
      <x:c r="X1063" s="31" t="n">
        <x:v>5</x:v>
      </x:c>
      <x:c r="Y1063" s="40" t="n">
        <x:v>1</x:v>
      </x:c>
      <x:c r="Z1063" s="40" t="n">
        <x:v>1</x:v>
      </x:c>
      <x:c r="AA1063" s="40" t="n">
        <x:v>1</x:v>
      </x:c>
      <x:c r="AB1063" s="31" t="n">
        <x:v>0.1381083682305092</x:v>
      </x:c>
      <x:c r="AC1063" s="31" t="n">
        <x:v>6</x:v>
      </x:c>
      <x:c r="AD1063" s="44" t="b">
        <x:v>1</x:v>
      </x:c>
    </x:row>
    <x:row r="1064">
      <x:c r="A1064" s="31" t="str">
        <x:v>36047093000</x:v>
      </x:c>
      <x:c r="B1064" s="31" t="str">
        <x:v>Brooklyn</x:v>
      </x:c>
      <x:c r="C1064" s="31" t="str">
        <x:v>093000</x:v>
      </x:c>
      <x:c r="D1064" s="31" t="str">
        <x:v>BK1704</x:v>
      </x:c>
      <x:c r="E1064" s="31" t="str">
        <x:v>East Flatbush-Remsen Village</x:v>
      </x:c>
      <x:c r="F1064" s="31" t="n">
        <x:v>0.07498345901988637</x:v>
      </x:c>
      <x:c r="G1064" s="31" t="n">
        <x:v>40.649929201613816</x:v>
      </x:c>
      <x:c r="H1064" s="31" t="n">
        <x:v>-73.91540727774344</x:v>
      </x:c>
      <x:c r="I1064" s="31" t="n">
        <x:v>2567</x:v>
      </x:c>
      <x:c r="J1064" s="31" t="n">
        <x:v>34234.21690001265</x:v>
      </x:c>
      <x:c r="K1064" s="31"/>
      <x:c r="L1064" s="40"/>
      <x:c r="M1064" s="40"/>
      <x:c r="N1064" s="31" t="n">
        <x:v>442</x:v>
      </x:c>
      <x:c r="O1064" s="31" t="n">
        <x:v>846</x:v>
      </x:c>
      <x:c r="P1064" s="31" t="n">
        <x:v>1.7972813238770686</x:v>
      </x:c>
      <x:c r="Q1064" s="40" t="n">
        <x:v>0</x:v>
      </x:c>
      <x:c r="R1064" s="40" t="n">
        <x:v>0.1702127659574468</x:v>
      </x:c>
      <x:c r="S1064" s="40" t="n">
        <x:v>0</x:v>
      </x:c>
      <x:c r="T1064" s="31" t="n">
        <x:v>25.428228782840236</x:v>
      </x:c>
      <x:c r="U1064" s="31" t="n">
        <x:v>36.29</x:v>
      </x:c>
      <x:c r="V1064" s="31" t="n">
        <x:v>1</x:v>
      </x:c>
      <x:c r="W1064" s="31" t="n">
        <x:v>0.38955979742890534</x:v>
      </x:c>
      <x:c r="X1064" s="31" t="n">
        <x:v>5</x:v>
      </x:c>
      <x:c r="Y1064" s="40" t="n">
        <x:v>1</x:v>
      </x:c>
      <x:c r="Z1064" s="40" t="n">
        <x:v>1</x:v>
      </x:c>
      <x:c r="AA1064" s="40" t="n">
        <x:v>0.9988179669030733</x:v>
      </x:c>
      <x:c r="AB1064" s="31" t="n">
        <x:v>0.12440263434889004</x:v>
      </x:c>
      <x:c r="AC1064" s="31" t="n">
        <x:v>4</x:v>
      </x:c>
      <x:c r="AD1064" s="44" t="b">
        <x:v>1</x:v>
      </x:c>
    </x:row>
    <x:row r="1065">
      <x:c r="A1065" s="31" t="str">
        <x:v>36047093200</x:v>
      </x:c>
      <x:c r="B1065" s="31" t="str">
        <x:v>Brooklyn</x:v>
      </x:c>
      <x:c r="C1065" s="31" t="str">
        <x:v>093200</x:v>
      </x:c>
      <x:c r="D1065" s="31" t="str">
        <x:v>BK1702</x:v>
      </x:c>
      <x:c r="E1065" s="31" t="str">
        <x:v>East Flatbush-Farragut</x:v>
      </x:c>
      <x:c r="F1065" s="31" t="n">
        <x:v>0.10827197737531566</x:v>
      </x:c>
      <x:c r="G1065" s="31" t="n">
        <x:v>40.63756823120017</x:v>
      </x:c>
      <x:c r="H1065" s="31" t="n">
        <x:v>-73.9295091223679</x:v>
      </x:c>
      <x:c r="I1065" s="31" t="n">
        <x:v>1277</x:v>
      </x:c>
      <x:c r="J1065" s="31" t="n">
        <x:v>11794.37220005124</x:v>
      </x:c>
      <x:c r="K1065" s="31"/>
      <x:c r="L1065" s="40"/>
      <x:c r="M1065" s="40"/>
      <x:c r="N1065" s="31" t="n">
        <x:v>247</x:v>
      </x:c>
      <x:c r="O1065" s="31" t="n">
        <x:v>471</x:v>
      </x:c>
      <x:c r="P1065" s="31" t="n">
        <x:v>2.088471337579618</x:v>
      </x:c>
      <x:c r="Q1065" s="40" t="n">
        <x:v>0</x:v>
      </x:c>
      <x:c r="R1065" s="40" t="n">
        <x:v>0.18471337579617833</x:v>
      </x:c>
      <x:c r="S1065" s="40" t="n">
        <x:v>0.0021231422505307855</x:v>
      </x:c>
      <x:c r="T1065" s="31" t="n">
        <x:v>31.75033760144681</x:v>
      </x:c>
      <x:c r="U1065" s="31" t="n">
        <x:v>52</x:v>
      </x:c>
      <x:c r="V1065" s="31" t="n">
        <x:v>2</x:v>
      </x:c>
      <x:c r="W1065" s="31" t="n">
        <x:v>1.5661707126076743</x:v>
      </x:c>
      <x:c r="X1065" s="31" t="n">
        <x:v>4.45859872611465</x:v>
      </x:c>
      <x:c r="Y1065" s="40" t="n">
        <x:v>0.8195329087048833</x:v>
      </x:c>
      <x:c r="Z1065" s="40" t="n">
        <x:v>1</x:v>
      </x:c>
      <x:c r="AA1065" s="40" t="n">
        <x:v>0.9978768577494692</x:v>
      </x:c>
      <x:c r="AB1065" s="31" t="n">
        <x:v>0.21701870214692182</x:v>
      </x:c>
      <x:c r="AC1065" s="31" t="n">
        <x:v>7</x:v>
      </x:c>
      <x:c r="AD1065" s="44" t="b">
        <x:v>1</x:v>
      </x:c>
    </x:row>
    <x:row r="1066">
      <x:c r="A1066" s="31" t="str">
        <x:v>36047093400</x:v>
      </x:c>
      <x:c r="B1066" s="31" t="str">
        <x:v>Brooklyn</x:v>
      </x:c>
      <x:c r="C1066" s="31" t="str">
        <x:v>093400</x:v>
      </x:c>
      <x:c r="D1066" s="31" t="str">
        <x:v>BK1704</x:v>
      </x:c>
      <x:c r="E1066" s="31" t="str">
        <x:v>East Flatbush-Remsen Village</x:v>
      </x:c>
      <x:c r="F1066" s="31" t="n">
        <x:v>0.0686346674102531</x:v>
      </x:c>
      <x:c r="G1066" s="31" t="n">
        <x:v>40.64892425677625</x:v>
      </x:c>
      <x:c r="H1066" s="31" t="n">
        <x:v>-73.91901480460012</x:v>
      </x:c>
      <x:c r="I1066" s="31" t="n">
        <x:v>2466</x:v>
      </x:c>
      <x:c r="J1066" s="31" t="n">
        <x:v>35929.36475177867</x:v>
      </x:c>
      <x:c r="K1066" s="31"/>
      <x:c r="L1066" s="40"/>
      <x:c r="M1066" s="40"/>
      <x:c r="N1066" s="31" t="n">
        <x:v>494</x:v>
      </x:c>
      <x:c r="O1066" s="31" t="n">
        <x:v>896</x:v>
      </x:c>
      <x:c r="P1066" s="31" t="n">
        <x:v>1.615345982142857</x:v>
      </x:c>
      <x:c r="Q1066" s="40" t="n">
        <x:v>0</x:v>
      </x:c>
      <x:c r="R1066" s="40" t="n">
        <x:v>0.09709821428571429</x:v>
      </x:c>
      <x:c r="S1066" s="40" t="n">
        <x:v>0</x:v>
      </x:c>
      <x:c r="T1066" s="31" t="n">
        <x:v>23.130884947868303</x:v>
      </x:c>
      <x:c r="U1066" s="31" t="n">
        <x:v>36.53</x:v>
      </x:c>
      <x:c r="V1066" s="31" t="n">
        <x:v>0</x:v>
      </x:c>
      <x:c r="W1066" s="31" t="n">
        <x:v>0</x:v>
      </x:c>
      <x:c r="X1066" s="31" t="n">
        <x:v>5</x:v>
      </x:c>
      <x:c r="Y1066" s="40" t="n">
        <x:v>1</x:v>
      </x:c>
      <x:c r="Z1066" s="40" t="n">
        <x:v>1</x:v>
      </x:c>
      <x:c r="AA1066" s="40" t="n">
        <x:v>1</x:v>
      </x:c>
      <x:c r="AB1066" s="31" t="n">
        <x:v>0.13530206563012045</x:v>
      </x:c>
      <x:c r="AC1066" s="31" t="n">
        <x:v>6</x:v>
      </x:c>
      <x:c r="AD1066" s="44" t="b">
        <x:v>1</x:v>
      </x:c>
    </x:row>
    <x:row r="1067">
      <x:c r="A1067" s="31" t="str">
        <x:v>36047093600</x:v>
      </x:c>
      <x:c r="B1067" s="31" t="str">
        <x:v>Brooklyn</x:v>
      </x:c>
      <x:c r="C1067" s="31" t="str">
        <x:v>093600</x:v>
      </x:c>
      <x:c r="D1067" s="31" t="str">
        <x:v>BK1703</x:v>
      </x:c>
      <x:c r="E1067" s="31" t="str">
        <x:v>East Flatbush-Rugby</x:v>
      </x:c>
      <x:c r="F1067" s="31" t="n">
        <x:v>0.06374631591447141</x:v>
      </x:c>
      <x:c r="G1067" s="31" t="n">
        <x:v>40.648796504269754</x:v>
      </x:c>
      <x:c r="H1067" s="31" t="n">
        <x:v>-73.9215835564145</x:v>
      </x:c>
      <x:c r="I1067" s="31" t="n">
        <x:v>1854</x:v>
      </x:c>
      <x:c r="J1067" s="31" t="n">
        <x:v>29084.033695178812</x:v>
      </x:c>
      <x:c r="K1067" s="31"/>
      <x:c r="L1067" s="40"/>
      <x:c r="M1067" s="40"/>
      <x:c r="N1067" s="31" t="n">
        <x:v>292</x:v>
      </x:c>
      <x:c r="O1067" s="31" t="n">
        <x:v>616</x:v>
      </x:c>
      <x:c r="P1067" s="31" t="n">
        <x:v>1.9748376623376624</x:v>
      </x:c>
      <x:c r="Q1067" s="40" t="n">
        <x:v>0</x:v>
      </x:c>
      <x:c r="R1067" s="40" t="n">
        <x:v>0.21428571428571427</x:v>
      </x:c>
      <x:c r="S1067" s="40" t="n">
        <x:v>0.09902597402597403</x:v>
      </x:c>
      <x:c r="T1067" s="31" t="n">
        <x:v>28.0580338936526</x:v>
      </x:c>
      <x:c r="U1067" s="31" t="n">
        <x:v>46.36755718</x:v>
      </x:c>
      <x:c r="V1067" s="31" t="n">
        <x:v>0</x:v>
      </x:c>
      <x:c r="W1067" s="31" t="n">
        <x:v>0</x:v>
      </x:c>
      <x:c r="X1067" s="31" t="n">
        <x:v>5</x:v>
      </x:c>
      <x:c r="Y1067" s="40" t="n">
        <x:v>1</x:v>
      </x:c>
      <x:c r="Z1067" s="40" t="n">
        <x:v>1</x:v>
      </x:c>
      <x:c r="AA1067" s="40" t="n">
        <x:v>1</x:v>
      </x:c>
      <x:c r="AB1067" s="31" t="n">
        <x:v>0.06167639656657534</x:v>
      </x:c>
      <x:c r="AC1067" s="31" t="n">
        <x:v>5</x:v>
      </x:c>
      <x:c r="AD1067" s="44" t="b">
        <x:v>1</x:v>
      </x:c>
    </x:row>
    <x:row r="1068">
      <x:c r="A1068" s="31" t="str">
        <x:v>36047093800</x:v>
      </x:c>
      <x:c r="B1068" s="31" t="str">
        <x:v>Brooklyn</x:v>
      </x:c>
      <x:c r="C1068" s="31" t="str">
        <x:v>093800</x:v>
      </x:c>
      <x:c r="D1068" s="31" t="str">
        <x:v>BK1703</x:v>
      </x:c>
      <x:c r="E1068" s="31" t="str">
        <x:v>East Flatbush-Rugby</x:v>
      </x:c>
      <x:c r="F1068" s="31" t="n">
        <x:v>0.05062736494777319</x:v>
      </x:c>
      <x:c r="G1068" s="31" t="n">
        <x:v>40.650447228614325</x:v>
      </x:c>
      <x:c r="H1068" s="31" t="n">
        <x:v>-73.92455790426403</x:v>
      </x:c>
      <x:c r="I1068" s="31" t="n">
        <x:v>2662</x:v>
      </x:c>
      <x:c r="J1068" s="31" t="n">
        <x:v>52580.259761615074</x:v>
      </x:c>
      <x:c r="K1068" s="31"/>
      <x:c r="L1068" s="40"/>
      <x:c r="M1068" s="40"/>
      <x:c r="N1068" s="31" t="n">
        <x:v>322</x:v>
      </x:c>
      <x:c r="O1068" s="31" t="n">
        <x:v>881</x:v>
      </x:c>
      <x:c r="P1068" s="31" t="n">
        <x:v>2.4551645856980704</x:v>
      </x:c>
      <x:c r="Q1068" s="40" t="n">
        <x:v>0</x:v>
      </x:c>
      <x:c r="R1068" s="40" t="n">
        <x:v>0.2849035187287174</x:v>
      </x:c>
      <x:c r="S1068" s="40" t="n">
        <x:v>0.011350737797956867</x:v>
      </x:c>
      <x:c r="T1068" s="31" t="n">
        <x:v>31.691761109761636</x:v>
      </x:c>
      <x:c r="U1068" s="31" t="n">
        <x:v>48.36</x:v>
      </x:c>
      <x:c r="V1068" s="31" t="n">
        <x:v>0</x:v>
      </x:c>
      <x:c r="W1068" s="31" t="n">
        <x:v>0</x:v>
      </x:c>
      <x:c r="X1068" s="31" t="n">
        <x:v>5</x:v>
      </x:c>
      <x:c r="Y1068" s="40" t="n">
        <x:v>1</x:v>
      </x:c>
      <x:c r="Z1068" s="40" t="n">
        <x:v>1</x:v>
      </x:c>
      <x:c r="AA1068" s="40" t="n">
        <x:v>1</x:v>
      </x:c>
      <x:c r="AB1068" s="31" t="n">
        <x:v>0.18115942190262818</x:v>
      </x:c>
      <x:c r="AC1068" s="31" t="n">
        <x:v>6</x:v>
      </x:c>
      <x:c r="AD1068" s="44" t="b">
        <x:v>1</x:v>
      </x:c>
    </x:row>
    <x:row r="1069">
      <x:c r="A1069" s="31" t="str">
        <x:v>36047094401</x:v>
      </x:c>
      <x:c r="B1069" s="31" t="str">
        <x:v>Brooklyn</x:v>
      </x:c>
      <x:c r="C1069" s="31" t="str">
        <x:v>094401</x:v>
      </x:c>
      <x:c r="D1069" s="31" t="str">
        <x:v>BK1801</x:v>
      </x:c>
      <x:c r="E1069" s="31" t="str">
        <x:v>Flatlands</x:v>
      </x:c>
      <x:c r="F1069" s="31" t="n">
        <x:v>0.1401430197611771</x:v>
      </x:c>
      <x:c r="G1069" s="31" t="n">
        <x:v>40.63869991773575</x:v>
      </x:c>
      <x:c r="H1069" s="31" t="n">
        <x:v>-73.92299166973552</x:v>
      </x:c>
      <x:c r="I1069" s="31" t="n">
        <x:v>3447</x:v>
      </x:c>
      <x:c r="J1069" s="31" t="n">
        <x:v>24596.30173428659</x:v>
      </x:c>
      <x:c r="K1069" s="31"/>
      <x:c r="L1069" s="40"/>
      <x:c r="M1069" s="40"/>
      <x:c r="N1069" s="31" t="n">
        <x:v>473</x:v>
      </x:c>
      <x:c r="O1069" s="31" t="n">
        <x:v>1072</x:v>
      </x:c>
      <x:c r="P1069" s="31" t="n">
        <x:v>2.547108208955224</x:v>
      </x:c>
      <x:c r="Q1069" s="40" t="n">
        <x:v>0</x:v>
      </x:c>
      <x:c r="R1069" s="40" t="n">
        <x:v>0.5559701492537313</x:v>
      </x:c>
      <x:c r="S1069" s="40" t="n">
        <x:v>0.20988805970149255</x:v>
      </x:c>
      <x:c r="T1069" s="31" t="n">
        <x:v>30.216479392603382</x:v>
      </x:c>
      <x:c r="U1069" s="31" t="n">
        <x:v>63</x:v>
      </x:c>
      <x:c r="V1069" s="31" t="n">
        <x:v>3</x:v>
      </x:c>
      <x:c r="W1069" s="31" t="n">
        <x:v>0.8703220191470844</x:v>
      </x:c>
      <x:c r="X1069" s="31" t="n">
        <x:v>2.8563432835820897</x:v>
      </x:c>
      <x:c r="Y1069" s="40" t="n">
        <x:v>0.28544776119402987</x:v>
      </x:c>
      <x:c r="Z1069" s="40" t="n">
        <x:v>1</x:v>
      </x:c>
      <x:c r="AA1069" s="40" t="n">
        <x:v>0.9925373134328358</x:v>
      </x:c>
      <x:c r="AB1069" s="31" t="n">
        <x:v>0.21117644584605932</x:v>
      </x:c>
      <x:c r="AC1069" s="31" t="n">
        <x:v>7</x:v>
      </x:c>
      <x:c r="AD1069" s="44" t="b">
        <x:v>1</x:v>
      </x:c>
    </x:row>
    <x:row r="1070">
      <x:c r="A1070" s="31" t="str">
        <x:v>36047094402</x:v>
      </x:c>
      <x:c r="B1070" s="31" t="str">
        <x:v>Brooklyn</x:v>
      </x:c>
      <x:c r="C1070" s="31" t="str">
        <x:v>094402</x:v>
      </x:c>
      <x:c r="D1070" s="31" t="str">
        <x:v>BK1801</x:v>
      </x:c>
      <x:c r="E1070" s="31" t="str">
        <x:v>Flatlands</x:v>
      </x:c>
      <x:c r="F1070" s="31" t="n">
        <x:v>0.041281932894642444</x:v>
      </x:c>
      <x:c r="G1070" s="31" t="n">
        <x:v>40.63508272739009</x:v>
      </x:c>
      <x:c r="H1070" s="31" t="n">
        <x:v>-73.92078079178034</x:v>
      </x:c>
      <x:c r="I1070" s="31" t="n">
        <x:v>2810</x:v>
      </x:c>
      <x:c r="J1070" s="31" t="n">
        <x:v>68068.51818618893</x:v>
      </x:c>
      <x:c r="K1070" s="31"/>
      <x:c r="L1070" s="40"/>
      <x:c r="M1070" s="40"/>
      <x:c r="N1070" s="31" t="n">
        <x:v>1</x:v>
      </x:c>
      <x:c r="O1070" s="31" t="n">
        <x:v>1188</x:v>
      </x:c>
      <x:c r="P1070" s="31" t="n">
        <x:v>6</x:v>
      </x:c>
      <x:c r="Q1070" s="40" t="n">
        <x:v>0</x:v>
      </x:c>
      <x:c r="R1070" s="40" t="n">
        <x:v>1</x:v>
      </x:c>
      <x:c r="S1070" s="40" t="n">
        <x:v>1</x:v>
      </x:c>
      <x:c r="T1070" s="31" t="n">
        <x:v>58</x:v>
      </x:c>
      <x:c r="U1070" s="31" t="n">
        <x:v>58</x:v>
      </x:c>
      <x:c r="V1070" s="31" t="n">
        <x:v>40</x:v>
      </x:c>
      <x:c r="W1070" s="31" t="n">
        <x:v>14.234875444839856</x:v>
      </x:c>
      <x:c r="X1070" s="31" t="n">
        <x:v>2</x:v>
      </x:c>
      <x:c r="Y1070" s="40" t="n">
        <x:v>0</x:v>
      </x:c>
      <x:c r="Z1070" s="40" t="n">
        <x:v>1</x:v>
      </x:c>
      <x:c r="AA1070" s="40" t="n">
        <x:v>1</x:v>
      </x:c>
      <x:c r="AB1070" s="31" t="n">
        <x:v>0.08938762636630256</x:v>
      </x:c>
      <x:c r="AC1070" s="31" t="n">
        <x:v>4</x:v>
      </x:c>
      <x:c r="AD1070" s="44" t="b">
        <x:v>1</x:v>
      </x:c>
    </x:row>
    <x:row r="1071">
      <x:c r="A1071" s="31" t="str">
        <x:v>36047094600</x:v>
      </x:c>
      <x:c r="B1071" s="31" t="str">
        <x:v>Brooklyn</x:v>
      </x:c>
      <x:c r="C1071" s="31" t="str">
        <x:v>094600</x:v>
      </x:c>
      <x:c r="D1071" s="31" t="str">
        <x:v>BK1703</x:v>
      </x:c>
      <x:c r="E1071" s="31" t="str">
        <x:v>East Flatbush-Rugby</x:v>
      </x:c>
      <x:c r="F1071" s="31" t="n">
        <x:v>0.1115602177477904</x:v>
      </x:c>
      <x:c r="G1071" s="31" t="n">
        <x:v>40.64454438823615</x:v>
      </x:c>
      <x:c r="H1071" s="31" t="n">
        <x:v>-73.9232555202553</x:v>
      </x:c>
      <x:c r="I1071" s="31" t="n">
        <x:v>2079</x:v>
      </x:c>
      <x:c r="J1071" s="31" t="n">
        <x:v>18635.675350689045</x:v>
      </x:c>
      <x:c r="K1071" s="31"/>
      <x:c r="L1071" s="40"/>
      <x:c r="M1071" s="40"/>
      <x:c r="N1071" s="31" t="n">
        <x:v>359</x:v>
      </x:c>
      <x:c r="O1071" s="31" t="n">
        <x:v>727</x:v>
      </x:c>
      <x:c r="P1071" s="31" t="n">
        <x:v>2.0983493810178815</x:v>
      </x:c>
      <x:c r="Q1071" s="40" t="n">
        <x:v>0</x:v>
      </x:c>
      <x:c r="R1071" s="40" t="n">
        <x:v>0.14580467675378267</x:v>
      </x:c>
      <x:c r="S1071" s="40" t="n">
        <x:v>0.001375515818431912</x:v>
      </x:c>
      <x:c r="T1071" s="31" t="n">
        <x:v>29.337595795887207</x:v>
      </x:c>
      <x:c r="U1071" s="31" t="n">
        <x:v>66.23</x:v>
      </x:c>
      <x:c r="V1071" s="31" t="n">
        <x:v>3</x:v>
      </x:c>
      <x:c r="W1071" s="31" t="n">
        <x:v>1.443001443001443</x:v>
      </x:c>
      <x:c r="X1071" s="31" t="n">
        <x:v>5</x:v>
      </x:c>
      <x:c r="Y1071" s="40" t="n">
        <x:v>1</x:v>
      </x:c>
      <x:c r="Z1071" s="40" t="n">
        <x:v>1</x:v>
      </x:c>
      <x:c r="AA1071" s="40" t="n">
        <x:v>1</x:v>
      </x:c>
      <x:c r="AB1071" s="31" t="n">
        <x:v>0.24106368189002744</x:v>
      </x:c>
      <x:c r="AC1071" s="31" t="n">
        <x:v>8</x:v>
      </x:c>
      <x:c r="AD1071" s="44" t="b">
        <x:v>1</x:v>
      </x:c>
    </x:row>
    <x:row r="1072">
      <x:c r="A1072" s="31" t="str">
        <x:v>36047095000</x:v>
      </x:c>
      <x:c r="B1072" s="31" t="str">
        <x:v>Brooklyn</x:v>
      </x:c>
      <x:c r="C1072" s="31" t="str">
        <x:v>095000</x:v>
      </x:c>
      <x:c r="D1072" s="31" t="str">
        <x:v>BK1803</x:v>
      </x:c>
      <x:c r="E1072" s="31" t="str">
        <x:v>Canarsie</x:v>
      </x:c>
      <x:c r="F1072" s="31" t="n">
        <x:v>0.09369802320577938</x:v>
      </x:c>
      <x:c r="G1072" s="31" t="n">
        <x:v>40.63624593688343</x:v>
      </x:c>
      <x:c r="H1072" s="31" t="n">
        <x:v>-73.91714645585506</x:v>
      </x:c>
      <x:c r="I1072" s="31" t="n">
        <x:v>3170</x:v>
      </x:c>
      <x:c r="J1072" s="31" t="n">
        <x:v>33832.09049179248</x:v>
      </x:c>
      <x:c r="K1072" s="31"/>
      <x:c r="L1072" s="40"/>
      <x:c r="M1072" s="40"/>
      <x:c r="N1072" s="31" t="n">
        <x:v>438</x:v>
      </x:c>
      <x:c r="O1072" s="31" t="n">
        <x:v>915</x:v>
      </x:c>
      <x:c r="P1072" s="31" t="n">
        <x:v>2.658469945355191</x:v>
      </x:c>
      <x:c r="Q1072" s="40" t="n">
        <x:v>0</x:v>
      </x:c>
      <x:c r="R1072" s="40" t="n">
        <x:v>0.49836065573770494</x:v>
      </x:c>
      <x:c r="S1072" s="40" t="n">
        <x:v>0</x:v>
      </x:c>
      <x:c r="T1072" s="31" t="n">
        <x:v>30.604394082142075</x:v>
      </x:c>
      <x:c r="U1072" s="31" t="n">
        <x:v>75.6159705</x:v>
      </x:c>
      <x:c r="V1072" s="31" t="n">
        <x:v>3</x:v>
      </x:c>
      <x:c r="W1072" s="31" t="n">
        <x:v>0.9463722397476341</x:v>
      </x:c>
      <x:c r="X1072" s="31" t="n">
        <x:v>5</x:v>
      </x:c>
      <x:c r="Y1072" s="40" t="n">
        <x:v>1</x:v>
      </x:c>
      <x:c r="Z1072" s="40" t="n">
        <x:v>1</x:v>
      </x:c>
      <x:c r="AA1072" s="40" t="n">
        <x:v>1</x:v>
      </x:c>
      <x:c r="AB1072" s="31" t="n">
        <x:v>0.1722186563750959</x:v>
      </x:c>
      <x:c r="AC1072" s="31" t="n">
        <x:v>9</x:v>
      </x:c>
      <x:c r="AD1072" s="44" t="b">
        <x:v>1</x:v>
      </x:c>
    </x:row>
    <x:row r="1073">
      <x:c r="A1073" s="31" t="str">
        <x:v>36047095400</x:v>
      </x:c>
      <x:c r="B1073" s="31" t="str">
        <x:v>Brooklyn</x:v>
      </x:c>
      <x:c r="C1073" s="31" t="str">
        <x:v>095400</x:v>
      </x:c>
      <x:c r="D1073" s="31" t="str">
        <x:v>BK1803</x:v>
      </x:c>
      <x:c r="E1073" s="31" t="str">
        <x:v>Canarsie</x:v>
      </x:c>
      <x:c r="F1073" s="31" t="n">
        <x:v>0.09152681925899622</x:v>
      </x:c>
      <x:c r="G1073" s="31" t="n">
        <x:v>40.638966667081874</x:v>
      </x:c>
      <x:c r="H1073" s="31" t="n">
        <x:v>-73.91463256185834</x:v>
      </x:c>
      <x:c r="I1073" s="31" t="n">
        <x:v>5156</x:v>
      </x:c>
      <x:c r="J1073" s="31" t="n">
        <x:v>56333.215135663246</x:v>
      </x:c>
      <x:c r="K1073" s="31"/>
      <x:c r="L1073" s="40"/>
      <x:c r="M1073" s="40"/>
      <x:c r="N1073" s="31" t="n">
        <x:v>677</x:v>
      </x:c>
      <x:c r="O1073" s="31" t="n">
        <x:v>1416</x:v>
      </x:c>
      <x:c r="P1073" s="31" t="n">
        <x:v>2.6652542372881354</x:v>
      </x:c>
      <x:c r="Q1073" s="40" t="n">
        <x:v>0</x:v>
      </x:c>
      <x:c r="R1073" s="40" t="n">
        <x:v>0.6751412429378532</x:v>
      </x:c>
      <x:c r="S1073" s="40" t="n">
        <x:v>0</x:v>
      </x:c>
      <x:c r="T1073" s="31" t="n">
        <x:v>30.76159919228107</x:v>
      </x:c>
      <x:c r="U1073" s="31" t="n">
        <x:v>42.65</x:v>
      </x:c>
      <x:c r="V1073" s="31" t="n">
        <x:v>0</x:v>
      </x:c>
      <x:c r="W1073" s="31" t="n">
        <x:v>0</x:v>
      </x:c>
      <x:c r="X1073" s="31" t="n">
        <x:v>5</x:v>
      </x:c>
      <x:c r="Y1073" s="40" t="n">
        <x:v>1</x:v>
      </x:c>
      <x:c r="Z1073" s="40" t="n">
        <x:v>1</x:v>
      </x:c>
      <x:c r="AA1073" s="40" t="n">
        <x:v>1</x:v>
      </x:c>
      <x:c r="AB1073" s="31" t="n">
        <x:v>0.2995741522256624</x:v>
      </x:c>
      <x:c r="AC1073" s="31" t="n">
        <x:v>4</x:v>
      </x:c>
      <x:c r="AD1073" s="44" t="b">
        <x:v>1</x:v>
      </x:c>
    </x:row>
    <x:row r="1074">
      <x:c r="A1074" s="31" t="str">
        <x:v>36047095600</x:v>
      </x:c>
      <x:c r="B1074" s="31" t="str">
        <x:v>Brooklyn</x:v>
      </x:c>
      <x:c r="C1074" s="31" t="str">
        <x:v>095600</x:v>
      </x:c>
      <x:c r="D1074" s="31" t="str">
        <x:v>BK1803</x:v>
      </x:c>
      <x:c r="E1074" s="31" t="str">
        <x:v>Canarsie</x:v>
      </x:c>
      <x:c r="F1074" s="31" t="n">
        <x:v>0.0917489531755768</x:v>
      </x:c>
      <x:c r="G1074" s="31" t="n">
        <x:v>40.635574698150194</x:v>
      </x:c>
      <x:c r="H1074" s="31" t="n">
        <x:v>-73.91091782676864</x:v>
      </x:c>
      <x:c r="I1074" s="31" t="n">
        <x:v>4391</x:v>
      </x:c>
      <x:c r="J1074" s="31" t="n">
        <x:v>47858.85667378782</x:v>
      </x:c>
      <x:c r="K1074" s="31"/>
      <x:c r="L1074" s="40"/>
      <x:c r="M1074" s="40"/>
      <x:c r="N1074" s="31" t="n">
        <x:v>548</x:v>
      </x:c>
      <x:c r="O1074" s="31" t="n">
        <x:v>1212</x:v>
      </x:c>
      <x:c r="P1074" s="31" t="n">
        <x:v>2.408003300330033</x:v>
      </x:c>
      <x:c r="Q1074" s="40" t="n">
        <x:v>0</x:v>
      </x:c>
      <x:c r="R1074" s="40" t="n">
        <x:v>0.4240924092409241</x:v>
      </x:c>
      <x:c r="S1074" s="40" t="n">
        <x:v>0.04207920792079208</x:v>
      </x:c>
      <x:c r="T1074" s="31" t="n">
        <x:v>29.90360120912541</x:v>
      </x:c>
      <x:c r="U1074" s="31" t="n">
        <x:v>40.45</x:v>
      </x:c>
      <x:c r="V1074" s="31" t="n">
        <x:v>0</x:v>
      </x:c>
      <x:c r="W1074" s="31" t="n">
        <x:v>0</x:v>
      </x:c>
      <x:c r="X1074" s="31" t="n">
        <x:v>5</x:v>
      </x:c>
      <x:c r="Y1074" s="40" t="n">
        <x:v>1</x:v>
      </x:c>
      <x:c r="Z1074" s="40" t="n">
        <x:v>1</x:v>
      </x:c>
      <x:c r="AA1074" s="40" t="n">
        <x:v>1</x:v>
      </x:c>
      <x:c r="AB1074" s="31" t="n">
        <x:v>0.026953816390776333</x:v>
      </x:c>
      <x:c r="AC1074" s="31" t="n">
        <x:v>8</x:v>
      </x:c>
      <x:c r="AD1074" s="44" t="b">
        <x:v>1</x:v>
      </x:c>
    </x:row>
    <x:row r="1075">
      <x:c r="A1075" s="31" t="str">
        <x:v>36047095800</x:v>
      </x:c>
      <x:c r="B1075" s="31" t="str">
        <x:v>Brooklyn</x:v>
      </x:c>
      <x:c r="C1075" s="31" t="str">
        <x:v>095800</x:v>
      </x:c>
      <x:c r="D1075" s="31" t="str">
        <x:v>BK1803</x:v>
      </x:c>
      <x:c r="E1075" s="31" t="str">
        <x:v>Canarsie</x:v>
      </x:c>
      <x:c r="F1075" s="31" t="n">
        <x:v>0.0905131645115932</x:v>
      </x:c>
      <x:c r="G1075" s="31" t="n">
        <x:v>40.64082383831567</x:v>
      </x:c>
      <x:c r="H1075" s="31" t="n">
        <x:v>-73.91168739879454</x:v>
      </x:c>
      <x:c r="I1075" s="31" t="n">
        <x:v>3770</x:v>
      </x:c>
      <x:c r="J1075" s="31" t="n">
        <x:v>41651.39977530149</x:v>
      </x:c>
      <x:c r="K1075" s="31"/>
      <x:c r="L1075" s="40"/>
      <x:c r="M1075" s="40"/>
      <x:c r="N1075" s="31" t="n">
        <x:v>530</x:v>
      </x:c>
      <x:c r="O1075" s="31" t="n">
        <x:v>1137</x:v>
      </x:c>
      <x:c r="P1075" s="31" t="n">
        <x:v>2.2180335097001764</x:v>
      </x:c>
      <x:c r="Q1075" s="40" t="n">
        <x:v>0</x:v>
      </x:c>
      <x:c r="R1075" s="40" t="n">
        <x:v>0.28232189973614774</x:v>
      </x:c>
      <x:c r="S1075" s="40" t="n">
        <x:v>0.10993843447669305</x:v>
      </x:c>
      <x:c r="T1075" s="31" t="n">
        <x:v>28.097230393867843</x:v>
      </x:c>
      <x:c r="U1075" s="31" t="n">
        <x:v>50</x:v>
      </x:c>
      <x:c r="V1075" s="31" t="n">
        <x:v>1</x:v>
      </x:c>
      <x:c r="W1075" s="31" t="n">
        <x:v>0.2652519893899204</x:v>
      </x:c>
      <x:c r="X1075" s="31" t="n">
        <x:v>5</x:v>
      </x:c>
      <x:c r="Y1075" s="40" t="n">
        <x:v>1</x:v>
      </x:c>
      <x:c r="Z1075" s="40" t="n">
        <x:v>1</x:v>
      </x:c>
      <x:c r="AA1075" s="40" t="n">
        <x:v>0.9982409850483729</x:v>
      </x:c>
      <x:c r="AB1075" s="31" t="n">
        <x:v>0.18208779461691985</x:v>
      </x:c>
      <x:c r="AC1075" s="31" t="n">
        <x:v>6</x:v>
      </x:c>
      <x:c r="AD1075" s="44" t="b">
        <x:v>1</x:v>
      </x:c>
    </x:row>
    <x:row r="1076">
      <x:c r="A1076" s="31" t="str">
        <x:v>36047096000</x:v>
      </x:c>
      <x:c r="B1076" s="31" t="str">
        <x:v>Brooklyn</x:v>
      </x:c>
      <x:c r="C1076" s="31" t="str">
        <x:v>096000</x:v>
      </x:c>
      <x:c r="D1076" s="31" t="str">
        <x:v>BK1803</x:v>
      </x:c>
      <x:c r="E1076" s="31" t="str">
        <x:v>Canarsie</x:v>
      </x:c>
      <x:c r="F1076" s="31" t="n">
        <x:v>0.16404541256958793</x:v>
      </x:c>
      <x:c r="G1076" s="31" t="n">
        <x:v>40.64593197022543</x:v>
      </x:c>
      <x:c r="H1076" s="31" t="n">
        <x:v>-73.9147575198979</x:v>
      </x:c>
      <x:c r="I1076" s="31" t="n">
        <x:v>6</x:v>
      </x:c>
      <x:c r="J1076" s="31" t="n">
        <x:v>36.57523795403181</x:v>
      </x:c>
      <x:c r="K1076" s="31"/>
      <x:c r="L1076" s="40"/>
      <x:c r="M1076" s="40"/>
      <x:c r="N1076" s="31" t="n">
        <x:v>0</x:v>
      </x:c>
      <x:c r="O1076" s="31"/>
      <x:c r="P1076" s="31"/>
      <x:c r="Q1076" s="40"/>
      <x:c r="R1076" s="40"/>
      <x:c r="S1076" s="40"/>
      <x:c r="T1076" s="31"/>
      <x:c r="U1076" s="31"/>
      <x:c r="V1076" s="31" t="n">
        <x:v>0</x:v>
      </x:c>
      <x:c r="W1076" s="31" t="n">
        <x:v>0</x:v>
      </x:c>
      <x:c r="X1076" s="31"/>
      <x:c r="Y1076" s="40"/>
      <x:c r="Z1076" s="40"/>
      <x:c r="AA1076" s="40"/>
      <x:c r="AB1076" s="31" t="n">
        <x:v>0.3306957375601853</x:v>
      </x:c>
      <x:c r="AC1076" s="31" t="n">
        <x:v>11</x:v>
      </x:c>
      <x:c r="AD1076" s="44" t="b">
        <x:v>0</x:v>
      </x:c>
    </x:row>
    <x:row r="1077">
      <x:c r="A1077" s="31" t="str">
        <x:v>36047096200</x:v>
      </x:c>
      <x:c r="B1077" s="31" t="str">
        <x:v>Brooklyn</x:v>
      </x:c>
      <x:c r="C1077" s="31" t="str">
        <x:v>096200</x:v>
      </x:c>
      <x:c r="D1077" s="31" t="str">
        <x:v>BK1803</x:v>
      </x:c>
      <x:c r="E1077" s="31" t="str">
        <x:v>Canarsie</x:v>
      </x:c>
      <x:c r="F1077" s="31" t="n">
        <x:v>0.06889822156866965</x:v>
      </x:c>
      <x:c r="G1077" s="31" t="n">
        <x:v>40.645022287096864</x:v>
      </x:c>
      <x:c r="H1077" s="31" t="n">
        <x:v>-73.91050910110447</x:v>
      </x:c>
      <x:c r="I1077" s="31" t="n">
        <x:v>1701</x:v>
      </x:c>
      <x:c r="J1077" s="31" t="n">
        <x:v>24688.590812240967</x:v>
      </x:c>
      <x:c r="K1077" s="31"/>
      <x:c r="L1077" s="40"/>
      <x:c r="M1077" s="40"/>
      <x:c r="N1077" s="31" t="n">
        <x:v>253</x:v>
      </x:c>
      <x:c r="O1077" s="31" t="n">
        <x:v>494</x:v>
      </x:c>
      <x:c r="P1077" s="31" t="n">
        <x:v>2.16497975708502</x:v>
      </x:c>
      <x:c r="Q1077" s="40" t="n">
        <x:v>0</x:v>
      </x:c>
      <x:c r="R1077" s="40" t="n">
        <x:v>0.17611336032388664</x:v>
      </x:c>
      <x:c r="S1077" s="40" t="n">
        <x:v>0.02631578947368421</x:v>
      </x:c>
      <x:c r="T1077" s="31" t="n">
        <x:v>27.12851287708502</x:v>
      </x:c>
      <x:c r="U1077" s="31" t="n">
        <x:v>38.72</x:v>
      </x:c>
      <x:c r="V1077" s="31" t="n">
        <x:v>1</x:v>
      </x:c>
      <x:c r="W1077" s="31" t="n">
        <x:v>0.5878894767783657</x:v>
      </x:c>
      <x:c r="X1077" s="31" t="n">
        <x:v>5</x:v>
      </x:c>
      <x:c r="Y1077" s="40" t="n">
        <x:v>1</x:v>
      </x:c>
      <x:c r="Z1077" s="40" t="n">
        <x:v>1</x:v>
      </x:c>
      <x:c r="AA1077" s="40" t="n">
        <x:v>1</x:v>
      </x:c>
      <x:c r="AB1077" s="31" t="n">
        <x:v>0.21070978583087502</x:v>
      </x:c>
      <x:c r="AC1077" s="31" t="n">
        <x:v>5</x:v>
      </x:c>
      <x:c r="AD1077" s="44" t="b">
        <x:v>1</x:v>
      </x:c>
    </x:row>
    <x:row r="1078">
      <x:c r="A1078" s="31" t="str">
        <x:v>36047096400</x:v>
      </x:c>
      <x:c r="B1078" s="31" t="str">
        <x:v>Brooklyn</x:v>
      </x:c>
      <x:c r="C1078" s="31" t="str">
        <x:v>096400</x:v>
      </x:c>
      <x:c r="D1078" s="31" t="str">
        <x:v>BK1803</x:v>
      </x:c>
      <x:c r="E1078" s="31" t="str">
        <x:v>Canarsie</x:v>
      </x:c>
      <x:c r="F1078" s="31" t="n">
        <x:v>0.06818154516579143</x:v>
      </x:c>
      <x:c r="G1078" s="31" t="n">
        <x:v>40.64195002948476</x:v>
      </x:c>
      <x:c r="H1078" s="31" t="n">
        <x:v>-73.90726862441984</x:v>
      </x:c>
      <x:c r="I1078" s="31" t="n">
        <x:v>2621</x:v>
      </x:c>
      <x:c r="J1078" s="31" t="n">
        <x:v>38441.487262084345</x:v>
      </x:c>
      <x:c r="K1078" s="31"/>
      <x:c r="L1078" s="40"/>
      <x:c r="M1078" s="40"/>
      <x:c r="N1078" s="31" t="n">
        <x:v>366</x:v>
      </x:c>
      <x:c r="O1078" s="31" t="n">
        <x:v>733</x:v>
      </x:c>
      <x:c r="P1078" s="31" t="n">
        <x:v>2.0424076607387143</x:v>
      </x:c>
      <x:c r="Q1078" s="40" t="n">
        <x:v>0</x:v>
      </x:c>
      <x:c r="R1078" s="40" t="n">
        <x:v>0.13506139154160982</x:v>
      </x:c>
      <x:c r="S1078" s="40" t="n">
        <x:v>0.027285129604365622</x:v>
      </x:c>
      <x:c r="T1078" s="31" t="n">
        <x:v>26.657860446584696</x:v>
      </x:c>
      <x:c r="U1078" s="31" t="n">
        <x:v>39.15</x:v>
      </x:c>
      <x:c r="V1078" s="31" t="n">
        <x:v>0</x:v>
      </x:c>
      <x:c r="W1078" s="31" t="n">
        <x:v>0</x:v>
      </x:c>
      <x:c r="X1078" s="31" t="n">
        <x:v>5</x:v>
      </x:c>
      <x:c r="Y1078" s="40" t="n">
        <x:v>1</x:v>
      </x:c>
      <x:c r="Z1078" s="40" t="n">
        <x:v>1</x:v>
      </x:c>
      <x:c r="AA1078" s="40" t="n">
        <x:v>0.9986357435197817</x:v>
      </x:c>
      <x:c r="AB1078" s="31" t="n">
        <x:v>0.061638001168569545</x:v>
      </x:c>
      <x:c r="AC1078" s="31" t="n">
        <x:v>6</x:v>
      </x:c>
      <x:c r="AD1078" s="44" t="b">
        <x:v>1</x:v>
      </x:c>
    </x:row>
    <x:row r="1079">
      <x:c r="A1079" s="31" t="str">
        <x:v>36047096600</x:v>
      </x:c>
      <x:c r="B1079" s="31" t="str">
        <x:v>Brooklyn</x:v>
      </x:c>
      <x:c r="C1079" s="31" t="str">
        <x:v>096600</x:v>
      </x:c>
      <x:c r="D1079" s="31" t="str">
        <x:v>BK1803</x:v>
      </x:c>
      <x:c r="E1079" s="31" t="str">
        <x:v>Canarsie</x:v>
      </x:c>
      <x:c r="F1079" s="31" t="n">
        <x:v>0.0699758088136335</x:v>
      </x:c>
      <x:c r="G1079" s="31" t="n">
        <x:v>40.64064005728465</x:v>
      </x:c>
      <x:c r="H1079" s="31" t="n">
        <x:v>-73.90314190977196</x:v>
      </x:c>
      <x:c r="I1079" s="31" t="n">
        <x:v>2353</x:v>
      </x:c>
      <x:c r="J1079" s="31" t="n">
        <x:v>33625.906436705045</x:v>
      </x:c>
      <x:c r="K1079" s="31"/>
      <x:c r="L1079" s="40"/>
      <x:c r="M1079" s="40"/>
      <x:c r="N1079" s="31" t="n">
        <x:v>379</x:v>
      </x:c>
      <x:c r="O1079" s="31" t="n">
        <x:v>715</x:v>
      </x:c>
      <x:c r="P1079" s="31" t="n">
        <x:v>2.100406732117812</x:v>
      </x:c>
      <x:c r="Q1079" s="40" t="n">
        <x:v>0</x:v>
      </x:c>
      <x:c r="R1079" s="40" t="n">
        <x:v>0.1020979020979021</x:v>
      </x:c>
      <x:c r="S1079" s="40" t="n">
        <x:v>0.04195804195804196</x:v>
      </x:c>
      <x:c r="T1079" s="31" t="n">
        <x:v>27.30540605680791</x:v>
      </x:c>
      <x:c r="U1079" s="31" t="n">
        <x:v>40</x:v>
      </x:c>
      <x:c r="V1079" s="31" t="n">
        <x:v>1</x:v>
      </x:c>
      <x:c r="W1079" s="31" t="n">
        <x:v>0.42498937526561836</x:v>
      </x:c>
      <x:c r="X1079" s="31" t="n">
        <x:v>5</x:v>
      </x:c>
      <x:c r="Y1079" s="40" t="n">
        <x:v>1</x:v>
      </x:c>
      <x:c r="Z1079" s="40" t="n">
        <x:v>1</x:v>
      </x:c>
      <x:c r="AA1079" s="40" t="n">
        <x:v>0.9902097902097902</x:v>
      </x:c>
      <x:c r="AB1079" s="31" t="n">
        <x:v>0.21741031803588753</x:v>
      </x:c>
      <x:c r="AC1079" s="31" t="n">
        <x:v>9</x:v>
      </x:c>
      <x:c r="AD1079" s="44" t="b">
        <x:v>1</x:v>
      </x:c>
    </x:row>
    <x:row r="1080">
      <x:c r="A1080" s="31" t="str">
        <x:v>36047096800</x:v>
      </x:c>
      <x:c r="B1080" s="31" t="str">
        <x:v>Brooklyn</x:v>
      </x:c>
      <x:c r="C1080" s="31" t="str">
        <x:v>096800</x:v>
      </x:c>
      <x:c r="D1080" s="31" t="str">
        <x:v>BK1803</x:v>
      </x:c>
      <x:c r="E1080" s="31" t="str">
        <x:v>Canarsie</x:v>
      </x:c>
      <x:c r="F1080" s="31" t="n">
        <x:v>0.05752793825076045</x:v>
      </x:c>
      <x:c r="G1080" s="31" t="n">
        <x:v>40.64414200263221</x:v>
      </x:c>
      <x:c r="H1080" s="31" t="n">
        <x:v>-73.90387687847118</x:v>
      </x:c>
      <x:c r="I1080" s="31" t="n">
        <x:v>1555</x:v>
      </x:c>
      <x:c r="J1080" s="31" t="n">
        <x:v>27030.344686122047</x:v>
      </x:c>
      <x:c r="K1080" s="31"/>
      <x:c r="L1080" s="40"/>
      <x:c r="M1080" s="40"/>
      <x:c r="N1080" s="31" t="n">
        <x:v>242</x:v>
      </x:c>
      <x:c r="O1080" s="31" t="n">
        <x:v>429</x:v>
      </x:c>
      <x:c r="P1080" s="31" t="n">
        <x:v>2.182242990654206</x:v>
      </x:c>
      <x:c r="Q1080" s="40" t="n">
        <x:v>0</x:v>
      </x:c>
      <x:c r="R1080" s="40" t="n">
        <x:v>0.11888111888111888</x:v>
      </x:c>
      <x:c r="S1080" s="40" t="n">
        <x:v>0.10023310023310024</x:v>
      </x:c>
      <x:c r="T1080" s="31" t="n">
        <x:v>28.235283149392522</x:v>
      </x:c>
      <x:c r="U1080" s="31" t="n">
        <x:v>38</x:v>
      </x:c>
      <x:c r="V1080" s="31" t="n">
        <x:v>0</x:v>
      </x:c>
      <x:c r="W1080" s="31" t="n">
        <x:v>0</x:v>
      </x:c>
      <x:c r="X1080" s="31" t="n">
        <x:v>5</x:v>
      </x:c>
      <x:c r="Y1080" s="40" t="n">
        <x:v>1</x:v>
      </x:c>
      <x:c r="Z1080" s="40" t="n">
        <x:v>1</x:v>
      </x:c>
      <x:c r="AA1080" s="40" t="n">
        <x:v>0.9976689976689976</x:v>
      </x:c>
      <x:c r="AB1080" s="31" t="n">
        <x:v>0.2339999730128248</x:v>
      </x:c>
      <x:c r="AC1080" s="31" t="n">
        <x:v>7</x:v>
      </x:c>
      <x:c r="AD1080" s="44" t="b">
        <x:v>1</x:v>
      </x:c>
    </x:row>
    <x:row r="1081">
      <x:c r="A1081" s="31" t="str">
        <x:v>36047097000</x:v>
      </x:c>
      <x:c r="B1081" s="31" t="str">
        <x:v>Brooklyn</x:v>
      </x:c>
      <x:c r="C1081" s="31" t="str">
        <x:v>097000</x:v>
      </x:c>
      <x:c r="D1081" s="31" t="str">
        <x:v>BK1803</x:v>
      </x:c>
      <x:c r="E1081" s="31" t="str">
        <x:v>Canarsie</x:v>
      </x:c>
      <x:c r="F1081" s="31" t="n">
        <x:v>0.06310676253048955</x:v>
      </x:c>
      <x:c r="G1081" s="31" t="n">
        <x:v>40.6472599937675</x:v>
      </x:c>
      <x:c r="H1081" s="31" t="n">
        <x:v>-73.90735296083629</x:v>
      </x:c>
      <x:c r="I1081" s="31" t="n">
        <x:v>2357</x:v>
      </x:c>
      <x:c r="J1081" s="31" t="n">
        <x:v>37349.404493080016</x:v>
      </x:c>
      <x:c r="K1081" s="31"/>
      <x:c r="L1081" s="40"/>
      <x:c r="M1081" s="40"/>
      <x:c r="N1081" s="31" t="n">
        <x:v>330</x:v>
      </x:c>
      <x:c r="O1081" s="31" t="n">
        <x:v>676</x:v>
      </x:c>
      <x:c r="P1081" s="31" t="n">
        <x:v>2.1894822485207097</x:v>
      </x:c>
      <x:c r="Q1081" s="40" t="n">
        <x:v>0</x:v>
      </x:c>
      <x:c r="R1081" s="40" t="n">
        <x:v>0.14940828402366865</x:v>
      </x:c>
      <x:c r="S1081" s="40" t="n">
        <x:v>0.010355029585798817</x:v>
      </x:c>
      <x:c r="T1081" s="31" t="n">
        <x:v>27.527876439970235</x:v>
      </x:c>
      <x:c r="U1081" s="31" t="n">
        <x:v>46.76</x:v>
      </x:c>
      <x:c r="V1081" s="31" t="n">
        <x:v>2</x:v>
      </x:c>
      <x:c r="W1081" s="31" t="n">
        <x:v>0.848536274925753</x:v>
      </x:c>
      <x:c r="X1081" s="31" t="n">
        <x:v>5</x:v>
      </x:c>
      <x:c r="Y1081" s="40" t="n">
        <x:v>1</x:v>
      </x:c>
      <x:c r="Z1081" s="40" t="n">
        <x:v>1</x:v>
      </x:c>
      <x:c r="AA1081" s="40" t="n">
        <x:v>0.9940828402366864</x:v>
      </x:c>
      <x:c r="AB1081" s="31" t="n">
        <x:v>0.09793506621170575</x:v>
      </x:c>
      <x:c r="AC1081" s="31" t="n">
        <x:v>6</x:v>
      </x:c>
      <x:c r="AD1081" s="44" t="b">
        <x:v>1</x:v>
      </x:c>
    </x:row>
    <x:row r="1082">
      <x:c r="A1082" s="31" t="str">
        <x:v>36047097400</x:v>
      </x:c>
      <x:c r="B1082" s="31" t="str">
        <x:v>Brooklyn</x:v>
      </x:c>
      <x:c r="C1082" s="31" t="str">
        <x:v>097400</x:v>
      </x:c>
      <x:c r="D1082" s="31" t="str">
        <x:v>BK1803</x:v>
      </x:c>
      <x:c r="E1082" s="31" t="str">
        <x:v>Canarsie</x:v>
      </x:c>
      <x:c r="F1082" s="31" t="n">
        <x:v>0.09728236245480372</x:v>
      </x:c>
      <x:c r="G1082" s="31" t="n">
        <x:v>40.646979405509725</x:v>
      </x:c>
      <x:c r="H1082" s="31" t="n">
        <x:v>-73.89976943839027</x:v>
      </x:c>
      <x:c r="I1082" s="31" t="n">
        <x:v>2911</x:v>
      </x:c>
      <x:c r="J1082" s="31" t="n">
        <x:v>29923.204232960703</x:v>
      </x:c>
      <x:c r="K1082" s="31"/>
      <x:c r="L1082" s="40"/>
      <x:c r="M1082" s="40"/>
      <x:c r="N1082" s="31" t="n">
        <x:v>315</x:v>
      </x:c>
      <x:c r="O1082" s="31" t="n">
        <x:v>630</x:v>
      </x:c>
      <x:c r="P1082" s="31" t="n">
        <x:v>1.8753968253968254</x:v>
      </x:c>
      <x:c r="Q1082" s="40" t="n">
        <x:v>0</x:v>
      </x:c>
      <x:c r="R1082" s="40" t="n">
        <x:v>0.1746031746031746</x:v>
      </x:c>
      <x:c r="S1082" s="40" t="n">
        <x:v>0.007936507936507936</x:v>
      </x:c>
      <x:c r="T1082" s="31" t="n">
        <x:v>27.411022135878593</x:v>
      </x:c>
      <x:c r="U1082" s="31" t="n">
        <x:v>42</x:v>
      </x:c>
      <x:c r="V1082" s="31" t="n">
        <x:v>0</x:v>
      </x:c>
      <x:c r="W1082" s="31" t="n">
        <x:v>0</x:v>
      </x:c>
      <x:c r="X1082" s="31" t="n">
        <x:v>5</x:v>
      </x:c>
      <x:c r="Y1082" s="40" t="n">
        <x:v>1</x:v>
      </x:c>
      <x:c r="Z1082" s="40" t="n">
        <x:v>1</x:v>
      </x:c>
      <x:c r="AA1082" s="40" t="n">
        <x:v>0.9936507936507937</x:v>
      </x:c>
      <x:c r="AB1082" s="31" t="n">
        <x:v>0.1054524880722625</x:v>
      </x:c>
      <x:c r="AC1082" s="31" t="n">
        <x:v>7</x:v>
      </x:c>
      <x:c r="AD1082" s="44" t="b">
        <x:v>1</x:v>
      </x:c>
    </x:row>
    <x:row r="1083">
      <x:c r="A1083" s="31" t="str">
        <x:v>36047098200</x:v>
      </x:c>
      <x:c r="B1083" s="31" t="str">
        <x:v>Brooklyn</x:v>
      </x:c>
      <x:c r="C1083" s="31" t="str">
        <x:v>098200</x:v>
      </x:c>
      <x:c r="D1083" s="31" t="str">
        <x:v>BK1803</x:v>
      </x:c>
      <x:c r="E1083" s="31" t="str">
        <x:v>Canarsie</x:v>
      </x:c>
      <x:c r="F1083" s="31" t="n">
        <x:v>0.13341943956216998</x:v>
      </x:c>
      <x:c r="G1083" s="31" t="n">
        <x:v>40.650995348334554</x:v>
      </x:c>
      <x:c r="H1083" s="31" t="n">
        <x:v>-73.89437437094521</x:v>
      </x:c>
      <x:c r="I1083" s="31" t="n">
        <x:v>4076</x:v>
      </x:c>
      <x:c r="J1083" s="31" t="n">
        <x:v>30550.270735477723</x:v>
      </x:c>
      <x:c r="K1083" s="31"/>
      <x:c r="L1083" s="40"/>
      <x:c r="M1083" s="40"/>
      <x:c r="N1083" s="31" t="n">
        <x:v>5</x:v>
      </x:c>
      <x:c r="O1083" s="31" t="n">
        <x:v>1620</x:v>
      </x:c>
      <x:c r="P1083" s="31" t="n">
        <x:v>5.10679012345679</x:v>
      </x:c>
      <x:c r="Q1083" s="40" t="n">
        <x:v>0</x:v>
      </x:c>
      <x:c r="R1083" s="40" t="n">
        <x:v>1</x:v>
      </x:c>
      <x:c r="S1083" s="40" t="n">
        <x:v>1</x:v>
      </x:c>
      <x:c r="T1083" s="31" t="n">
        <x:v>59.657557402716044</x:v>
      </x:c>
      <x:c r="U1083" s="31" t="n">
        <x:v>69.21</x:v>
      </x:c>
      <x:c r="V1083" s="31" t="n">
        <x:v>24</x:v>
      </x:c>
      <x:c r="W1083" s="31" t="n">
        <x:v>5.888125613346418</x:v>
      </x:c>
      <x:c r="X1083" s="31" t="n">
        <x:v>5</x:v>
      </x:c>
      <x:c r="Y1083" s="40" t="n">
        <x:v>1</x:v>
      </x:c>
      <x:c r="Z1083" s="40" t="n">
        <x:v>1</x:v>
      </x:c>
      <x:c r="AA1083" s="40" t="n">
        <x:v>1</x:v>
      </x:c>
      <x:c r="AB1083" s="31" t="n">
        <x:v>0.15635721322992654</x:v>
      </x:c>
      <x:c r="AC1083" s="31" t="n">
        <x:v>7</x:v>
      </x:c>
      <x:c r="AD1083" s="44" t="b">
        <x:v>1</x:v>
      </x:c>
    </x:row>
    <x:row r="1084">
      <x:c r="A1084" s="31" t="str">
        <x:v>36047098400</x:v>
      </x:c>
      <x:c r="B1084" s="31" t="str">
        <x:v>Brooklyn</x:v>
      </x:c>
      <x:c r="C1084" s="31" t="str">
        <x:v>098400</x:v>
      </x:c>
      <x:c r="D1084" s="31" t="str">
        <x:v>BK1803</x:v>
      </x:c>
      <x:c r="E1084" s="31" t="str">
        <x:v>Canarsie</x:v>
      </x:c>
      <x:c r="F1084" s="31" t="n">
        <x:v>0.043574473285410927</x:v>
      </x:c>
      <x:c r="G1084" s="31" t="n">
        <x:v>40.646577569914335</x:v>
      </x:c>
      <x:c r="H1084" s="31" t="n">
        <x:v>-73.89179023200572</x:v>
      </x:c>
      <x:c r="I1084" s="31" t="n">
        <x:v>2074</x:v>
      </x:c>
      <x:c r="J1084" s="31" t="n">
        <x:v>47596.67400717363</x:v>
      </x:c>
      <x:c r="K1084" s="31"/>
      <x:c r="L1084" s="40"/>
      <x:c r="M1084" s="40"/>
      <x:c r="N1084" s="31" t="n">
        <x:v>322</x:v>
      </x:c>
      <x:c r="O1084" s="31" t="n">
        <x:v>582</x:v>
      </x:c>
      <x:c r="P1084" s="31" t="n">
        <x:v>2.189003436426117</x:v>
      </x:c>
      <x:c r="Q1084" s="40" t="n">
        <x:v>0</x:v>
      </x:c>
      <x:c r="R1084" s="40" t="n">
        <x:v>0.21649484536082475</x:v>
      </x:c>
      <x:c r="S1084" s="40" t="n">
        <x:v>0.04639175257731959</x:v>
      </x:c>
      <x:c r="T1084" s="31" t="n">
        <x:v>27.522806427371133</x:v>
      </x:c>
      <x:c r="U1084" s="31" t="n">
        <x:v>37</x:v>
      </x:c>
      <x:c r="V1084" s="31" t="n">
        <x:v>0</x:v>
      </x:c>
      <x:c r="W1084" s="31" t="n">
        <x:v>0</x:v>
      </x:c>
      <x:c r="X1084" s="31" t="n">
        <x:v>5</x:v>
      </x:c>
      <x:c r="Y1084" s="40" t="n">
        <x:v>1</x:v>
      </x:c>
      <x:c r="Z1084" s="40" t="n">
        <x:v>1</x:v>
      </x:c>
      <x:c r="AA1084" s="40" t="n">
        <x:v>1</x:v>
      </x:c>
      <x:c r="AB1084" s="31" t="n">
        <x:v>0.058206259656294675</x:v>
      </x:c>
      <x:c r="AC1084" s="31" t="n">
        <x:v>5</x:v>
      </x:c>
      <x:c r="AD1084" s="44" t="b">
        <x:v>1</x:v>
      </x:c>
    </x:row>
    <x:row r="1085">
      <x:c r="A1085" s="31" t="str">
        <x:v>36047098600</x:v>
      </x:c>
      <x:c r="B1085" s="31" t="str">
        <x:v>Brooklyn</x:v>
      </x:c>
      <x:c r="C1085" s="31" t="str">
        <x:v>098600</x:v>
      </x:c>
      <x:c r="D1085" s="31" t="str">
        <x:v>BK1803</x:v>
      </x:c>
      <x:c r="E1085" s="31" t="str">
        <x:v>Canarsie</x:v>
      </x:c>
      <x:c r="F1085" s="31" t="n">
        <x:v>0.06018249724159205</x:v>
      </x:c>
      <x:c r="G1085" s="31" t="n">
        <x:v>40.644935937109715</x:v>
      </x:c>
      <x:c r="H1085" s="31" t="n">
        <x:v>-73.89431971149617</x:v>
      </x:c>
      <x:c r="I1085" s="31" t="n">
        <x:v>2814</x:v>
      </x:c>
      <x:c r="J1085" s="31" t="n">
        <x:v>46757.78056705909</x:v>
      </x:c>
      <x:c r="K1085" s="31"/>
      <x:c r="L1085" s="40"/>
      <x:c r="M1085" s="40"/>
      <x:c r="N1085" s="31" t="n">
        <x:v>446</x:v>
      </x:c>
      <x:c r="O1085" s="31" t="n">
        <x:v>893</x:v>
      </x:c>
      <x:c r="P1085" s="31" t="n">
        <x:v>2.0268756998880177</x:v>
      </x:c>
      <x:c r="Q1085" s="40" t="n">
        <x:v>0</x:v>
      </x:c>
      <x:c r="R1085" s="40" t="n">
        <x:v>0.22396416573348266</x:v>
      </x:c>
      <x:c r="S1085" s="40" t="n">
        <x:v>0.0022396416573348264</x:v>
      </x:c>
      <x:c r="T1085" s="31" t="n">
        <x:v>26.07252595535274</x:v>
      </x:c>
      <x:c r="U1085" s="31" t="n">
        <x:v>34.61</x:v>
      </x:c>
      <x:c r="V1085" s="31" t="n">
        <x:v>0</x:v>
      </x:c>
      <x:c r="W1085" s="31" t="n">
        <x:v>0</x:v>
      </x:c>
      <x:c r="X1085" s="31" t="n">
        <x:v>5</x:v>
      </x:c>
      <x:c r="Y1085" s="40" t="n">
        <x:v>1</x:v>
      </x:c>
      <x:c r="Z1085" s="40" t="n">
        <x:v>1</x:v>
      </x:c>
      <x:c r="AA1085" s="40" t="n">
        <x:v>1</x:v>
      </x:c>
      <x:c r="AB1085" s="31" t="n">
        <x:v>0.10507195487747606</x:v>
      </x:c>
      <x:c r="AC1085" s="31" t="n">
        <x:v>7</x:v>
      </x:c>
      <x:c r="AD1085" s="44" t="b">
        <x:v>1</x:v>
      </x:c>
    </x:row>
    <x:row r="1086">
      <x:c r="A1086" s="31" t="str">
        <x:v>36047098800</x:v>
      </x:c>
      <x:c r="B1086" s="31" t="str">
        <x:v>Brooklyn</x:v>
      </x:c>
      <x:c r="C1086" s="31" t="str">
        <x:v>098800</x:v>
      </x:c>
      <x:c r="D1086" s="31" t="str">
        <x:v>BK1803</x:v>
      </x:c>
      <x:c r="E1086" s="31" t="str">
        <x:v>Canarsie</x:v>
      </x:c>
      <x:c r="F1086" s="31" t="n">
        <x:v>0.06252988246025597</x:v>
      </x:c>
      <x:c r="G1086" s="31" t="n">
        <x:v>40.64300200685703</x:v>
      </x:c>
      <x:c r="H1086" s="31" t="n">
        <x:v>-73.89731491953835</x:v>
      </x:c>
      <x:c r="I1086" s="31" t="n">
        <x:v>3083</x:v>
      </x:c>
      <x:c r="J1086" s="31" t="n">
        <x:v>49304.42659890744</x:v>
      </x:c>
      <x:c r="K1086" s="31"/>
      <x:c r="L1086" s="40"/>
      <x:c r="M1086" s="40"/>
      <x:c r="N1086" s="31" t="n">
        <x:v>384</x:v>
      </x:c>
      <x:c r="O1086" s="31" t="n">
        <x:v>972</x:v>
      </x:c>
      <x:c r="P1086" s="31" t="n">
        <x:v>2.763374485596708</x:v>
      </x:c>
      <x:c r="Q1086" s="40" t="n">
        <x:v>0</x:v>
      </x:c>
      <x:c r="R1086" s="40" t="n">
        <x:v>0.25823045267489714</x:v>
      </x:c>
      <x:c r="S1086" s="40" t="n">
        <x:v>0.00102880658436214</x:v>
      </x:c>
      <x:c r="T1086" s="31" t="n">
        <x:v>33.154394859154635</x:v>
      </x:c>
      <x:c r="U1086" s="31" t="n">
        <x:v>69.52804624</x:v>
      </x:c>
      <x:c r="V1086" s="31" t="n">
        <x:v>3</x:v>
      </x:c>
      <x:c r="W1086" s="31" t="n">
        <x:v>0.9730781706130393</x:v>
      </x:c>
      <x:c r="X1086" s="31" t="n">
        <x:v>5</x:v>
      </x:c>
      <x:c r="Y1086" s="40" t="n">
        <x:v>1</x:v>
      </x:c>
      <x:c r="Z1086" s="40" t="n">
        <x:v>1</x:v>
      </x:c>
      <x:c r="AA1086" s="40" t="n">
        <x:v>0.9979423868312757</x:v>
      </x:c>
      <x:c r="AB1086" s="31" t="n">
        <x:v>0.08804739120995289</x:v>
      </x:c>
      <x:c r="AC1086" s="31" t="n">
        <x:v>7</x:v>
      </x:c>
      <x:c r="AD1086" s="44" t="b">
        <x:v>1</x:v>
      </x:c>
    </x:row>
    <x:row r="1087">
      <x:c r="A1087" s="31" t="str">
        <x:v>36047099000</x:v>
      </x:c>
      <x:c r="B1087" s="31" t="str">
        <x:v>Brooklyn</x:v>
      </x:c>
      <x:c r="C1087" s="31" t="str">
        <x:v>099000</x:v>
      </x:c>
      <x:c r="D1087" s="31" t="str">
        <x:v>BK1803</x:v>
      </x:c>
      <x:c r="E1087" s="31" t="str">
        <x:v>Canarsie</x:v>
      </x:c>
      <x:c r="F1087" s="31" t="n">
        <x:v>0.0632066673532197</x:v>
      </x:c>
      <x:c r="G1087" s="31" t="n">
        <x:v>40.6393704329187</x:v>
      </x:c>
      <x:c r="H1087" s="31" t="n">
        <x:v>-73.89856212982109</x:v>
      </x:c>
      <x:c r="I1087" s="31" t="n">
        <x:v>1652</x:v>
      </x:c>
      <x:c r="J1087" s="31" t="n">
        <x:v>26136.483209406997</x:v>
      </x:c>
      <x:c r="K1087" s="31"/>
      <x:c r="L1087" s="40"/>
      <x:c r="M1087" s="40"/>
      <x:c r="N1087" s="31" t="n">
        <x:v>271</x:v>
      </x:c>
      <x:c r="O1087" s="31" t="n">
        <x:v>473</x:v>
      </x:c>
      <x:c r="P1087" s="31" t="n">
        <x:v>2.0174418604651163</x:v>
      </x:c>
      <x:c r="Q1087" s="40" t="n">
        <x:v>0</x:v>
      </x:c>
      <x:c r="R1087" s="40" t="n">
        <x:v>0.09513742071881606</x:v>
      </x:c>
      <x:c r="S1087" s="40" t="n">
        <x:v>0.03382663847780127</x:v>
      </x:c>
      <x:c r="T1087" s="31" t="n">
        <x:v>26.021480867881355</x:v>
      </x:c>
      <x:c r="U1087" s="31" t="n">
        <x:v>36.65</x:v>
      </x:c>
      <x:c r="V1087" s="31" t="n">
        <x:v>0</x:v>
      </x:c>
      <x:c r="W1087" s="31" t="n">
        <x:v>0</x:v>
      </x:c>
      <x:c r="X1087" s="31" t="n">
        <x:v>5</x:v>
      </x:c>
      <x:c r="Y1087" s="40" t="n">
        <x:v>1</x:v>
      </x:c>
      <x:c r="Z1087" s="40" t="n">
        <x:v>1</x:v>
      </x:c>
      <x:c r="AA1087" s="40" t="n">
        <x:v>0.9978858350951374</x:v>
      </x:c>
      <x:c r="AB1087" s="31" t="n">
        <x:v>0.0740043674128641</x:v>
      </x:c>
      <x:c r="AC1087" s="31" t="n">
        <x:v>6</x:v>
      </x:c>
      <x:c r="AD1087" s="44" t="b">
        <x:v>1</x:v>
      </x:c>
    </x:row>
    <x:row r="1088">
      <x:c r="A1088" s="31" t="str">
        <x:v>36047099200</x:v>
      </x:c>
      <x:c r="B1088" s="31" t="str">
        <x:v>Brooklyn</x:v>
      </x:c>
      <x:c r="C1088" s="31" t="str">
        <x:v>099200</x:v>
      </x:c>
      <x:c r="D1088" s="31" t="str">
        <x:v>BK1803</x:v>
      </x:c>
      <x:c r="E1088" s="31" t="str">
        <x:v>Canarsie</x:v>
      </x:c>
      <x:c r="F1088" s="31" t="n">
        <x:v>0.05197432966310835</x:v>
      </x:c>
      <x:c r="G1088" s="31" t="n">
        <x:v>40.63740342971745</x:v>
      </x:c>
      <x:c r="H1088" s="31" t="n">
        <x:v>-73.90128443618077</x:v>
      </x:c>
      <x:c r="I1088" s="31" t="n">
        <x:v>2056</x:v>
      </x:c>
      <x:c r="J1088" s="31" t="n">
        <x:v>39557.98974853079</x:v>
      </x:c>
      <x:c r="K1088" s="31"/>
      <x:c r="L1088" s="40"/>
      <x:c r="M1088" s="40"/>
      <x:c r="N1088" s="31" t="n">
        <x:v>306</x:v>
      </x:c>
      <x:c r="O1088" s="31" t="n">
        <x:v>586</x:v>
      </x:c>
      <x:c r="P1088" s="31" t="n">
        <x:v>2.1851535836177476</x:v>
      </x:c>
      <x:c r="Q1088" s="40" t="n">
        <x:v>0</x:v>
      </x:c>
      <x:c r="R1088" s="40" t="n">
        <x:v>0.2150170648464164</x:v>
      </x:c>
      <x:c r="S1088" s="40" t="n">
        <x:v>0.11092150170648464</x:v>
      </x:c>
      <x:c r="T1088" s="31" t="n">
        <x:v>28.90126759910499</x:v>
      </x:c>
      <x:c r="U1088" s="31" t="n">
        <x:v>41</x:v>
      </x:c>
      <x:c r="V1088" s="31" t="n">
        <x:v>0</x:v>
      </x:c>
      <x:c r="W1088" s="31" t="n">
        <x:v>0</x:v>
      </x:c>
      <x:c r="X1088" s="31" t="n">
        <x:v>5</x:v>
      </x:c>
      <x:c r="Y1088" s="40" t="n">
        <x:v>1</x:v>
      </x:c>
      <x:c r="Z1088" s="40" t="n">
        <x:v>1</x:v>
      </x:c>
      <x:c r="AA1088" s="40" t="n">
        <x:v>0.9914675767918089</x:v>
      </x:c>
      <x:c r="AB1088" s="31" t="n">
        <x:v>0.24879205829507856</x:v>
      </x:c>
      <x:c r="AC1088" s="31" t="n">
        <x:v>6</x:v>
      </x:c>
      <x:c r="AD1088" s="44" t="b">
        <x:v>1</x:v>
      </x:c>
    </x:row>
    <x:row r="1089">
      <x:c r="A1089" s="31" t="str">
        <x:v>36047099400</x:v>
      </x:c>
      <x:c r="B1089" s="31" t="str">
        <x:v>Brooklyn</x:v>
      </x:c>
      <x:c r="C1089" s="31" t="str">
        <x:v>099400</x:v>
      </x:c>
      <x:c r="D1089" s="31" t="str">
        <x:v>BK1803</x:v>
      </x:c>
      <x:c r="E1089" s="31" t="str">
        <x:v>Canarsie</x:v>
      </x:c>
      <x:c r="F1089" s="31" t="n">
        <x:v>0.06716729947593836</x:v>
      </x:c>
      <x:c r="G1089" s="31" t="n">
        <x:v>40.63575958016078</x:v>
      </x:c>
      <x:c r="H1089" s="31" t="n">
        <x:v>-73.90439905678889</x:v>
      </x:c>
      <x:c r="I1089" s="31" t="n">
        <x:v>2116</x:v>
      </x:c>
      <x:c r="J1089" s="31" t="n">
        <x:v>31503.42527553939</x:v>
      </x:c>
      <x:c r="K1089" s="31"/>
      <x:c r="L1089" s="40"/>
      <x:c r="M1089" s="40"/>
      <x:c r="N1089" s="31" t="n">
        <x:v>276</x:v>
      </x:c>
      <x:c r="O1089" s="31" t="n">
        <x:v>623</x:v>
      </x:c>
      <x:c r="P1089" s="31" t="n">
        <x:v>2.259630818619583</x:v>
      </x:c>
      <x:c r="Q1089" s="40" t="n">
        <x:v>0</x:v>
      </x:c>
      <x:c r="R1089" s="40" t="n">
        <x:v>0.44141252006420545</x:v>
      </x:c>
      <x:c r="S1089" s="40" t="n">
        <x:v>0.12038523274478331</x:v>
      </x:c>
      <x:c r="T1089" s="31" t="n">
        <x:v>28.265906902086677</x:v>
      </x:c>
      <x:c r="U1089" s="31" t="n">
        <x:v>44</x:v>
      </x:c>
      <x:c r="V1089" s="31" t="n">
        <x:v>0</x:v>
      </x:c>
      <x:c r="W1089" s="31" t="n">
        <x:v>0</x:v>
      </x:c>
      <x:c r="X1089" s="31" t="n">
        <x:v>5</x:v>
      </x:c>
      <x:c r="Y1089" s="40" t="n">
        <x:v>1</x:v>
      </x:c>
      <x:c r="Z1089" s="40" t="n">
        <x:v>1</x:v>
      </x:c>
      <x:c r="AA1089" s="40" t="n">
        <x:v>1</x:v>
      </x:c>
      <x:c r="AB1089" s="31" t="n">
        <x:v>0.23851378674737622</x:v>
      </x:c>
      <x:c r="AC1089" s="31" t="n">
        <x:v>7</x:v>
      </x:c>
      <x:c r="AD1089" s="44" t="b">
        <x:v>1</x:v>
      </x:c>
    </x:row>
    <x:row r="1090">
      <x:c r="A1090" s="31" t="str">
        <x:v>36047099600</x:v>
      </x:c>
      <x:c r="B1090" s="31" t="str">
        <x:v>Brooklyn</x:v>
      </x:c>
      <x:c r="C1090" s="31" t="str">
        <x:v>099600</x:v>
      </x:c>
      <x:c r="D1090" s="31" t="str">
        <x:v>BK1803</x:v>
      </x:c>
      <x:c r="E1090" s="31" t="str">
        <x:v>Canarsie</x:v>
      </x:c>
      <x:c r="F1090" s="31" t="n">
        <x:v>0.07331210127805039</x:v>
      </x:c>
      <x:c r="G1090" s="31" t="n">
        <x:v>40.63344166920075</x:v>
      </x:c>
      <x:c r="H1090" s="31" t="n">
        <x:v>-73.9077887067078</x:v>
      </x:c>
      <x:c r="I1090" s="31" t="n">
        <x:v>4052</x:v>
      </x:c>
      <x:c r="J1090" s="31" t="n">
        <x:v>55270.547827186165</x:v>
      </x:c>
      <x:c r="K1090" s="31"/>
      <x:c r="L1090" s="40"/>
      <x:c r="M1090" s="40"/>
      <x:c r="N1090" s="31" t="n">
        <x:v>556</x:v>
      </x:c>
      <x:c r="O1090" s="31" t="n">
        <x:v>1117</x:v>
      </x:c>
      <x:c r="P1090" s="31" t="n">
        <x:v>2.405085201793722</x:v>
      </x:c>
      <x:c r="Q1090" s="40" t="n">
        <x:v>0</x:v>
      </x:c>
      <x:c r="R1090" s="40" t="n">
        <x:v>0.4762757385854969</x:v>
      </x:c>
      <x:c r="S1090" s="40" t="n">
        <x:v>0.0008952551477170994</x:v>
      </x:c>
      <x:c r="T1090" s="31" t="n">
        <x:v>28.998276454834375</x:v>
      </x:c>
      <x:c r="U1090" s="31" t="n">
        <x:v>65</x:v>
      </x:c>
      <x:c r="V1090" s="31" t="n">
        <x:v>1</x:v>
      </x:c>
      <x:c r="W1090" s="31" t="n">
        <x:v>0.24679170779861795</x:v>
      </x:c>
      <x:c r="X1090" s="31" t="n">
        <x:v>5</x:v>
      </x:c>
      <x:c r="Y1090" s="40" t="n">
        <x:v>1</x:v>
      </x:c>
      <x:c r="Z1090" s="40" t="n">
        <x:v>1</x:v>
      </x:c>
      <x:c r="AA1090" s="40" t="n">
        <x:v>1</x:v>
      </x:c>
      <x:c r="AB1090" s="31" t="n">
        <x:v>0.0421567218621675</x:v>
      </x:c>
      <x:c r="AC1090" s="31" t="n">
        <x:v>5</x:v>
      </x:c>
      <x:c r="AD1090" s="44" t="b">
        <x:v>1</x:v>
      </x:c>
    </x:row>
    <x:row r="1091">
      <x:c r="A1091" s="31" t="str">
        <x:v>36047099800</x:v>
      </x:c>
      <x:c r="B1091" s="31" t="str">
        <x:v>Brooklyn</x:v>
      </x:c>
      <x:c r="C1091" s="31" t="str">
        <x:v>099800</x:v>
      </x:c>
      <x:c r="D1091" s="31" t="str">
        <x:v>BK1803</x:v>
      </x:c>
      <x:c r="E1091" s="31" t="str">
        <x:v>Canarsie</x:v>
      </x:c>
      <x:c r="F1091" s="31" t="n">
        <x:v>0.16659789327292815</x:v>
      </x:c>
      <x:c r="G1091" s="31" t="n">
        <x:v>40.62969802381623</x:v>
      </x:c>
      <x:c r="H1091" s="31" t="n">
        <x:v>-73.90823602822857</x:v>
      </x:c>
      <x:c r="I1091" s="31" t="n">
        <x:v>4234</x:v>
      </x:c>
      <x:c r="J1091" s="31" t="n">
        <x:v>25414.487043144483</x:v>
      </x:c>
      <x:c r="K1091" s="31"/>
      <x:c r="L1091" s="40"/>
      <x:c r="M1091" s="40"/>
      <x:c r="N1091" s="31" t="n">
        <x:v>531</x:v>
      </x:c>
      <x:c r="O1091" s="31" t="n">
        <x:v>1242</x:v>
      </x:c>
      <x:c r="P1091" s="31" t="n">
        <x:v>2.4838969404186795</x:v>
      </x:c>
      <x:c r="Q1091" s="40" t="n">
        <x:v>0</x:v>
      </x:c>
      <x:c r="R1091" s="40" t="n">
        <x:v>0.48470209339774556</x:v>
      </x:c>
      <x:c r="S1091" s="40" t="n">
        <x:v>0.0644122383252818</x:v>
      </x:c>
      <x:c r="T1091" s="31" t="n">
        <x:v>31.882962962962964</x:v>
      </x:c>
      <x:c r="U1091" s="31" t="n">
        <x:v>39.09</x:v>
      </x:c>
      <x:c r="V1091" s="31" t="n">
        <x:v>1</x:v>
      </x:c>
      <x:c r="W1091" s="31" t="n">
        <x:v>0.23618327822390175</x:v>
      </x:c>
      <x:c r="X1091" s="31" t="n">
        <x:v>5</x:v>
      </x:c>
      <x:c r="Y1091" s="40" t="n">
        <x:v>1</x:v>
      </x:c>
      <x:c r="Z1091" s="40" t="n">
        <x:v>1</x:v>
      </x:c>
      <x:c r="AA1091" s="40" t="n">
        <x:v>1</x:v>
      </x:c>
      <x:c r="AB1091" s="31" t="n">
        <x:v>0.29259375139959615</x:v>
      </x:c>
      <x:c r="AC1091" s="31" t="n">
        <x:v>9</x:v>
      </x:c>
      <x:c r="AD1091" s="44" t="b">
        <x:v>1</x:v>
      </x:c>
    </x:row>
    <x:row r="1092">
      <x:c r="A1092" s="31" t="str">
        <x:v>36047100400</x:v>
      </x:c>
      <x:c r="B1092" s="31" t="str">
        <x:v>Brooklyn</x:v>
      </x:c>
      <x:c r="C1092" s="31" t="str">
        <x:v>100400</x:v>
      </x:c>
      <x:c r="D1092" s="31" t="str">
        <x:v>BK1803</x:v>
      </x:c>
      <x:c r="E1092" s="31" t="str">
        <x:v>Canarsie</x:v>
      </x:c>
      <x:c r="F1092" s="31" t="n">
        <x:v>0.05098944996699954</x:v>
      </x:c>
      <x:c r="G1092" s="31" t="n">
        <x:v>40.63064949692407</x:v>
      </x:c>
      <x:c r="H1092" s="31" t="n">
        <x:v>-73.90380001994598</x:v>
      </x:c>
      <x:c r="I1092" s="31" t="n">
        <x:v>2901</x:v>
      </x:c>
      <x:c r="J1092" s="31" t="n">
        <x:v>56894.12225229988</x:v>
      </x:c>
      <x:c r="K1092" s="31"/>
      <x:c r="L1092" s="40"/>
      <x:c r="M1092" s="40"/>
      <x:c r="N1092" s="31" t="n">
        <x:v>371</x:v>
      </x:c>
      <x:c r="O1092" s="31" t="n">
        <x:v>937</x:v>
      </x:c>
      <x:c r="P1092" s="31" t="n">
        <x:v>1.9834394904458599</x:v>
      </x:c>
      <x:c r="Q1092" s="40" t="n">
        <x:v>0</x:v>
      </x:c>
      <x:c r="R1092" s="40" t="n">
        <x:v>0.21237993596584845</x:v>
      </x:c>
      <x:c r="S1092" s="40" t="n">
        <x:v>0.1622198505869797</x:v>
      </x:c>
      <x:c r="T1092" s="31" t="n">
        <x:v>27.821462113127</x:v>
      </x:c>
      <x:c r="U1092" s="31" t="n">
        <x:v>37.31</x:v>
      </x:c>
      <x:c r="V1092" s="31" t="n">
        <x:v>0</x:v>
      </x:c>
      <x:c r="W1092" s="31" t="n">
        <x:v>0</x:v>
      </x:c>
      <x:c r="X1092" s="31" t="n">
        <x:v>5</x:v>
      </x:c>
      <x:c r="Y1092" s="40" t="n">
        <x:v>1</x:v>
      </x:c>
      <x:c r="Z1092" s="40" t="n">
        <x:v>1</x:v>
      </x:c>
      <x:c r="AA1092" s="40" t="n">
        <x:v>1</x:v>
      </x:c>
      <x:c r="AB1092" s="31" t="n">
        <x:v>0.3261319740738945</x:v>
      </x:c>
      <x:c r="AC1092" s="31" t="n">
        <x:v>5</x:v>
      </x:c>
      <x:c r="AD1092" s="44" t="b">
        <x:v>1</x:v>
      </x:c>
    </x:row>
    <x:row r="1093">
      <x:c r="A1093" s="31" t="str">
        <x:v>36047100600</x:v>
      </x:c>
      <x:c r="B1093" s="31" t="str">
        <x:v>Brooklyn</x:v>
      </x:c>
      <x:c r="C1093" s="31" t="str">
        <x:v>100600</x:v>
      </x:c>
      <x:c r="D1093" s="31" t="str">
        <x:v>BK1803</x:v>
      </x:c>
      <x:c r="E1093" s="31" t="str">
        <x:v>Canarsie</x:v>
      </x:c>
      <x:c r="F1093" s="31" t="n">
        <x:v>0.058724461471246554</x:v>
      </x:c>
      <x:c r="G1093" s="31" t="n">
        <x:v>40.63225307600678</x:v>
      </x:c>
      <x:c r="H1093" s="31" t="n">
        <x:v>-73.90088954941963</x:v>
      </x:c>
      <x:c r="I1093" s="31" t="n">
        <x:v>2662</x:v>
      </x:c>
      <x:c r="J1093" s="31" t="n">
        <x:v>45330.343323853274</x:v>
      </x:c>
      <x:c r="K1093" s="31"/>
      <x:c r="L1093" s="40"/>
      <x:c r="M1093" s="40"/>
      <x:c r="N1093" s="31" t="n">
        <x:v>452</x:v>
      </x:c>
      <x:c r="O1093" s="31" t="n">
        <x:v>835</x:v>
      </x:c>
      <x:c r="P1093" s="31" t="n">
        <x:v>1.7505988023952095</x:v>
      </x:c>
      <x:c r="Q1093" s="40" t="n">
        <x:v>0</x:v>
      </x:c>
      <x:c r="R1093" s="40" t="n">
        <x:v>0.10179640718562874</x:v>
      </x:c>
      <x:c r="S1093" s="40" t="n">
        <x:v>0.0407185628742515</x:v>
      </x:c>
      <x:c r="T1093" s="31" t="n">
        <x:v>24.657550592023952</x:v>
      </x:c>
      <x:c r="U1093" s="31" t="n">
        <x:v>38.81</x:v>
      </x:c>
      <x:c r="V1093" s="31" t="n">
        <x:v>0</x:v>
      </x:c>
      <x:c r="W1093" s="31" t="n">
        <x:v>0</x:v>
      </x:c>
      <x:c r="X1093" s="31" t="n">
        <x:v>5</x:v>
      </x:c>
      <x:c r="Y1093" s="40" t="n">
        <x:v>1</x:v>
      </x:c>
      <x:c r="Z1093" s="40" t="n">
        <x:v>1</x:v>
      </x:c>
      <x:c r="AA1093" s="40" t="n">
        <x:v>1</x:v>
      </x:c>
      <x:c r="AB1093" s="31" t="n">
        <x:v>0.2406505411271059</x:v>
      </x:c>
      <x:c r="AC1093" s="31" t="n">
        <x:v>6</x:v>
      </x:c>
      <x:c r="AD1093" s="44" t="b">
        <x:v>1</x:v>
      </x:c>
    </x:row>
    <x:row r="1094">
      <x:c r="A1094" s="31" t="str">
        <x:v>36047100800</x:v>
      </x:c>
      <x:c r="B1094" s="31" t="str">
        <x:v>Brooklyn</x:v>
      </x:c>
      <x:c r="C1094" s="31" t="str">
        <x:v>100800</x:v>
      </x:c>
      <x:c r="D1094" s="31" t="str">
        <x:v>BK1803</x:v>
      </x:c>
      <x:c r="E1094" s="31" t="str">
        <x:v>Canarsie</x:v>
      </x:c>
      <x:c r="F1094" s="31" t="n">
        <x:v>0.05749372598212236</x:v>
      </x:c>
      <x:c r="G1094" s="31" t="n">
        <x:v>40.634133009192766</x:v>
      </x:c>
      <x:c r="H1094" s="31" t="n">
        <x:v>-73.89806658254291</x:v>
      </x:c>
      <x:c r="I1094" s="31" t="n">
        <x:v>2189</x:v>
      </x:c>
      <x:c r="J1094" s="31" t="n">
        <x:v>38073.719568647684</x:v>
      </x:c>
      <x:c r="K1094" s="31"/>
      <x:c r="L1094" s="40"/>
      <x:c r="M1094" s="40"/>
      <x:c r="N1094" s="31" t="n">
        <x:v>369</x:v>
      </x:c>
      <x:c r="O1094" s="31" t="n">
        <x:v>678</x:v>
      </x:c>
      <x:c r="P1094" s="31" t="n">
        <x:v>1.8348082595870205</x:v>
      </x:c>
      <x:c r="Q1094" s="40" t="n">
        <x:v>0</x:v>
      </x:c>
      <x:c r="R1094" s="40" t="n">
        <x:v>0.05014749262536873</x:v>
      </x:c>
      <x:c r="S1094" s="40" t="n">
        <x:v>0.007374631268436578</x:v>
      </x:c>
      <x:c r="T1094" s="31" t="n">
        <x:v>24.93800974908555</x:v>
      </x:c>
      <x:c r="U1094" s="31" t="n">
        <x:v>35.4</x:v>
      </x:c>
      <x:c r="V1094" s="31" t="n">
        <x:v>0</x:v>
      </x:c>
      <x:c r="W1094" s="31" t="n">
        <x:v>0</x:v>
      </x:c>
      <x:c r="X1094" s="31" t="n">
        <x:v>5</x:v>
      </x:c>
      <x:c r="Y1094" s="40" t="n">
        <x:v>1</x:v>
      </x:c>
      <x:c r="Z1094" s="40" t="n">
        <x:v>1</x:v>
      </x:c>
      <x:c r="AA1094" s="40" t="n">
        <x:v>1</x:v>
      </x:c>
      <x:c r="AB1094" s="31" t="n">
        <x:v>0.05297338252665179</x:v>
      </x:c>
      <x:c r="AC1094" s="31" t="n">
        <x:v>7</x:v>
      </x:c>
      <x:c r="AD1094" s="44" t="b">
        <x:v>1</x:v>
      </x:c>
    </x:row>
    <x:row r="1095">
      <x:c r="A1095" s="31" t="str">
        <x:v>36047101000</x:v>
      </x:c>
      <x:c r="B1095" s="31" t="str">
        <x:v>Brooklyn</x:v>
      </x:c>
      <x:c r="C1095" s="31" t="str">
        <x:v>101000</x:v>
      </x:c>
      <x:c r="D1095" s="31" t="str">
        <x:v>BK1803</x:v>
      </x:c>
      <x:c r="E1095" s="31" t="str">
        <x:v>Canarsie</x:v>
      </x:c>
      <x:c r="F1095" s="31" t="n">
        <x:v>0.06615877538667929</x:v>
      </x:c>
      <x:c r="G1095" s="31" t="n">
        <x:v>40.636028023660415</x:v>
      </x:c>
      <x:c r="H1095" s="31" t="n">
        <x:v>-73.89497195598811</x:v>
      </x:c>
      <x:c r="I1095" s="31" t="n">
        <x:v>2605</x:v>
      </x:c>
      <x:c r="J1095" s="31" t="n">
        <x:v>39374.9730821726</x:v>
      </x:c>
      <x:c r="K1095" s="31"/>
      <x:c r="L1095" s="40"/>
      <x:c r="M1095" s="40"/>
      <x:c r="N1095" s="31" t="n">
        <x:v>389</x:v>
      </x:c>
      <x:c r="O1095" s="31" t="n">
        <x:v>720</x:v>
      </x:c>
      <x:c r="P1095" s="31" t="n">
        <x:v>2.016458333333333</x:v>
      </x:c>
      <x:c r="Q1095" s="40" t="n">
        <x:v>0</x:v>
      </x:c>
      <x:c r="R1095" s="40" t="n">
        <x:v>0.07222222222222222</x:v>
      </x:c>
      <x:c r="S1095" s="40" t="n">
        <x:v>0.019444444444444445</x:v>
      </x:c>
      <x:c r="T1095" s="31" t="n">
        <x:v>27.09728045797222</x:v>
      </x:c>
      <x:c r="U1095" s="31" t="n">
        <x:v>40.76</x:v>
      </x:c>
      <x:c r="V1095" s="31" t="n">
        <x:v>0</x:v>
      </x:c>
      <x:c r="W1095" s="31" t="n">
        <x:v>0</x:v>
      </x:c>
      <x:c r="X1095" s="31" t="n">
        <x:v>5</x:v>
      </x:c>
      <x:c r="Y1095" s="40" t="n">
        <x:v>1</x:v>
      </x:c>
      <x:c r="Z1095" s="40" t="n">
        <x:v>1</x:v>
      </x:c>
      <x:c r="AA1095" s="40" t="n">
        <x:v>1</x:v>
      </x:c>
      <x:c r="AB1095" s="31" t="n">
        <x:v>0.17244622678520624</x:v>
      </x:c>
      <x:c r="AC1095" s="31" t="n">
        <x:v>6</x:v>
      </x:c>
      <x:c r="AD1095" s="44" t="b">
        <x:v>1</x:v>
      </x:c>
    </x:row>
    <x:row r="1096">
      <x:c r="A1096" s="31" t="str">
        <x:v>36047101200</x:v>
      </x:c>
      <x:c r="B1096" s="31" t="str">
        <x:v>Brooklyn</x:v>
      </x:c>
      <x:c r="C1096" s="31" t="str">
        <x:v>101200</x:v>
      </x:c>
      <x:c r="D1096" s="31" t="str">
        <x:v>BK1803</x:v>
      </x:c>
      <x:c r="E1096" s="31" t="str">
        <x:v>Canarsie</x:v>
      </x:c>
      <x:c r="F1096" s="31" t="n">
        <x:v>0.06207881657806761</x:v>
      </x:c>
      <x:c r="G1096" s="31" t="n">
        <x:v>40.63972648747184</x:v>
      </x:c>
      <x:c r="H1096" s="31" t="n">
        <x:v>-73.89366790077575</x:v>
      </x:c>
      <x:c r="I1096" s="31" t="n">
        <x:v>2115</x:v>
      </x:c>
      <x:c r="J1096" s="31" t="n">
        <x:v>34069.592762617634</x:v>
      </x:c>
      <x:c r="K1096" s="31"/>
      <x:c r="L1096" s="40"/>
      <x:c r="M1096" s="40"/>
      <x:c r="N1096" s="31" t="n">
        <x:v>442</x:v>
      </x:c>
      <x:c r="O1096" s="31" t="n">
        <x:v>738</x:v>
      </x:c>
      <x:c r="P1096" s="31" t="n">
        <x:v>1.3816666666666666</x:v>
      </x:c>
      <x:c r="Q1096" s="40" t="n">
        <x:v>0</x:v>
      </x:c>
      <x:c r="R1096" s="40" t="n">
        <x:v>0.005420054200542005</x:v>
      </x:c>
      <x:c r="S1096" s="40" t="n">
        <x:v>0</x:v>
      </x:c>
      <x:c r="T1096" s="31" t="n">
        <x:v>20.844236926598917</x:v>
      </x:c>
      <x:c r="U1096" s="31" t="n">
        <x:v>33.52099297</x:v>
      </x:c>
      <x:c r="V1096" s="31" t="n">
        <x:v>1</x:v>
      </x:c>
      <x:c r="W1096" s="31" t="n">
        <x:v>0.47281323877068554</x:v>
      </x:c>
      <x:c r="X1096" s="31" t="n">
        <x:v>5</x:v>
      </x:c>
      <x:c r="Y1096" s="40" t="n">
        <x:v>1</x:v>
      </x:c>
      <x:c r="Z1096" s="40" t="n">
        <x:v>1</x:v>
      </x:c>
      <x:c r="AA1096" s="40" t="n">
        <x:v>1</x:v>
      </x:c>
      <x:c r="AB1096" s="31" t="n">
        <x:v>0.2590023798086569</x:v>
      </x:c>
      <x:c r="AC1096" s="31" t="n">
        <x:v>7</x:v>
      </x:c>
      <x:c r="AD1096" s="44" t="b">
        <x:v>1</x:v>
      </x:c>
    </x:row>
    <x:row r="1097">
      <x:c r="A1097" s="31" t="str">
        <x:v>36047101400</x:v>
      </x:c>
      <x:c r="B1097" s="31" t="str">
        <x:v>Brooklyn</x:v>
      </x:c>
      <x:c r="C1097" s="31" t="str">
        <x:v>101400</x:v>
      </x:c>
      <x:c r="D1097" s="31" t="str">
        <x:v>BK1803</x:v>
      </x:c>
      <x:c r="E1097" s="31" t="str">
        <x:v>Canarsie</x:v>
      </x:c>
      <x:c r="F1097" s="31" t="n">
        <x:v>0.059832644343649564</x:v>
      </x:c>
      <x:c r="G1097" s="31" t="n">
        <x:v>40.641662441753795</x:v>
      </x:c>
      <x:c r="H1097" s="31" t="n">
        <x:v>-73.89067330442441</x:v>
      </x:c>
      <x:c r="I1097" s="31" t="n">
        <x:v>2268</x:v>
      </x:c>
      <x:c r="J1097" s="31" t="n">
        <x:v>37905.72896918466</x:v>
      </x:c>
      <x:c r="K1097" s="31"/>
      <x:c r="L1097" s="40"/>
      <x:c r="M1097" s="40"/>
      <x:c r="N1097" s="31" t="n">
        <x:v>459</x:v>
      </x:c>
      <x:c r="O1097" s="31" t="n">
        <x:v>755</x:v>
      </x:c>
      <x:c r="P1097" s="31" t="n">
        <x:v>1.4086092715231788</x:v>
      </x:c>
      <x:c r="Q1097" s="40" t="n">
        <x:v>0</x:v>
      </x:c>
      <x:c r="R1097" s="40" t="n">
        <x:v>0.12185430463576159</x:v>
      </x:c>
      <x:c r="S1097" s="40" t="n">
        <x:v>0</x:v>
      </x:c>
      <x:c r="T1097" s="31" t="n">
        <x:v>23.423590692543048</x:v>
      </x:c>
      <x:c r="U1097" s="31" t="n">
        <x:v>35.01</x:v>
      </x:c>
      <x:c r="V1097" s="31" t="n">
        <x:v>0</x:v>
      </x:c>
      <x:c r="W1097" s="31" t="n">
        <x:v>0</x:v>
      </x:c>
      <x:c r="X1097" s="31" t="n">
        <x:v>5</x:v>
      </x:c>
      <x:c r="Y1097" s="40" t="n">
        <x:v>1</x:v>
      </x:c>
      <x:c r="Z1097" s="40" t="n">
        <x:v>1</x:v>
      </x:c>
      <x:c r="AA1097" s="40" t="n">
        <x:v>1</x:v>
      </x:c>
      <x:c r="AB1097" s="31" t="n">
        <x:v>0.19700073577824959</x:v>
      </x:c>
      <x:c r="AC1097" s="31" t="n">
        <x:v>8</x:v>
      </x:c>
      <x:c r="AD1097" s="44" t="b">
        <x:v>1</x:v>
      </x:c>
    </x:row>
    <x:row r="1098">
      <x:c r="A1098" s="31" t="str">
        <x:v>36047101600</x:v>
      </x:c>
      <x:c r="B1098" s="31" t="str">
        <x:v>Brooklyn</x:v>
      </x:c>
      <x:c r="C1098" s="31" t="str">
        <x:v>101600</x:v>
      </x:c>
      <x:c r="D1098" s="31" t="str">
        <x:v>BK1803</x:v>
      </x:c>
      <x:c r="E1098" s="31" t="str">
        <x:v>Canarsie</x:v>
      </x:c>
      <x:c r="F1098" s="31" t="n">
        <x:v>0.0434049384469697</x:v>
      </x:c>
      <x:c r="G1098" s="31" t="n">
        <x:v>40.643302847045604</x:v>
      </x:c>
      <x:c r="H1098" s="31" t="n">
        <x:v>-73.88814095844434</x:v>
      </x:c>
      <x:c r="I1098" s="31" t="n">
        <x:v>1551</x:v>
      </x:c>
      <x:c r="J1098" s="31" t="n">
        <x:v>35733.26113329121</x:v>
      </x:c>
      <x:c r="K1098" s="31"/>
      <x:c r="L1098" s="40"/>
      <x:c r="M1098" s="40"/>
      <x:c r="N1098" s="31" t="n">
        <x:v>272</x:v>
      </x:c>
      <x:c r="O1098" s="31" t="n">
        <x:v>451</x:v>
      </x:c>
      <x:c r="P1098" s="31" t="n">
        <x:v>1.7893569844789357</x:v>
      </x:c>
      <x:c r="Q1098" s="40" t="n">
        <x:v>0</x:v>
      </x:c>
      <x:c r="R1098" s="40" t="n">
        <x:v>0.15077605321507762</x:v>
      </x:c>
      <x:c r="S1098" s="40" t="n">
        <x:v>0</x:v>
      </x:c>
      <x:c r="T1098" s="31" t="n">
        <x:v>28.781019955654102</x:v>
      </x:c>
      <x:c r="U1098" s="31" t="n">
        <x:v>39.34</x:v>
      </x:c>
      <x:c r="V1098" s="31" t="n">
        <x:v>1</x:v>
      </x:c>
      <x:c r="W1098" s="31" t="n">
        <x:v>0.6447453255963894</x:v>
      </x:c>
      <x:c r="X1098" s="31" t="n">
        <x:v>5</x:v>
      </x:c>
      <x:c r="Y1098" s="40" t="n">
        <x:v>1</x:v>
      </x:c>
      <x:c r="Z1098" s="40" t="n">
        <x:v>1</x:v>
      </x:c>
      <x:c r="AA1098" s="40" t="n">
        <x:v>1</x:v>
      </x:c>
      <x:c r="AB1098" s="31" t="n">
        <x:v>0.2437993795551513</x:v>
      </x:c>
      <x:c r="AC1098" s="31" t="n">
        <x:v>5</x:v>
      </x:c>
      <x:c r="AD1098" s="44" t="b">
        <x:v>1</x:v>
      </x:c>
    </x:row>
    <x:row r="1099">
      <x:c r="A1099" s="31" t="str">
        <x:v>36047101800</x:v>
      </x:c>
      <x:c r="B1099" s="31" t="str">
        <x:v>Brooklyn</x:v>
      </x:c>
      <x:c r="C1099" s="31" t="str">
        <x:v>101800</x:v>
      </x:c>
      <x:c r="D1099" s="31" t="str">
        <x:v>BK1803</x:v>
      </x:c>
      <x:c r="E1099" s="31" t="str">
        <x:v>Canarsie</x:v>
      </x:c>
      <x:c r="F1099" s="31" t="n">
        <x:v>0.09409662815154385</x:v>
      </x:c>
      <x:c r="G1099" s="31" t="n">
        <x:v>40.64229241759353</x:v>
      </x:c>
      <x:c r="H1099" s="31" t="n">
        <x:v>-73.88563224901517</x:v>
      </x:c>
      <x:c r="I1099" s="31" t="n">
        <x:v>2030</x:v>
      </x:c>
      <x:c r="J1099" s="31" t="n">
        <x:v>21573.56793625653</x:v>
      </x:c>
      <x:c r="K1099" s="31"/>
      <x:c r="L1099" s="40"/>
      <x:c r="M1099" s="40"/>
      <x:c r="N1099" s="31" t="n">
        <x:v>266</x:v>
      </x:c>
      <x:c r="O1099" s="31" t="n">
        <x:v>768</x:v>
      </x:c>
      <x:c r="P1099" s="31" t="n">
        <x:v>2.3307291666666665</x:v>
      </x:c>
      <x:c r="Q1099" s="40" t="n">
        <x:v>0</x:v>
      </x:c>
      <x:c r="R1099" s="40" t="n">
        <x:v>0.4895833333333333</x:v>
      </x:c>
      <x:c r="S1099" s="40" t="n">
        <x:v>0.2760416666666667</x:v>
      </x:c>
      <x:c r="T1099" s="31" t="n">
        <x:v>34.67204033804688</x:v>
      </x:c>
      <x:c r="U1099" s="31" t="n">
        <x:v>44</x:v>
      </x:c>
      <x:c r="V1099" s="31" t="n">
        <x:v>1</x:v>
      </x:c>
      <x:c r="W1099" s="31" t="n">
        <x:v>0.4926108374384236</x:v>
      </x:c>
      <x:c r="X1099" s="31" t="n">
        <x:v>5</x:v>
      </x:c>
      <x:c r="Y1099" s="40" t="n">
        <x:v>1</x:v>
      </x:c>
      <x:c r="Z1099" s="40" t="n">
        <x:v>1</x:v>
      </x:c>
      <x:c r="AA1099" s="40" t="n">
        <x:v>1</x:v>
      </x:c>
      <x:c r="AB1099" s="31" t="n">
        <x:v>0.367010923381916</x:v>
      </x:c>
      <x:c r="AC1099" s="31" t="n">
        <x:v>7</x:v>
      </x:c>
      <x:c r="AD1099" s="44" t="b">
        <x:v>1</x:v>
      </x:c>
    </x:row>
    <x:row r="1100">
      <x:c r="A1100" s="31" t="str">
        <x:v>36047102000</x:v>
      </x:c>
      <x:c r="B1100" s="31" t="str">
        <x:v>Brooklyn</x:v>
      </x:c>
      <x:c r="C1100" s="31" t="str">
        <x:v>102000</x:v>
      </x:c>
      <x:c r="D1100" s="31" t="str">
        <x:v>BK1803</x:v>
      </x:c>
      <x:c r="E1100" s="31" t="str">
        <x:v>Canarsie</x:v>
      </x:c>
      <x:c r="F1100" s="31" t="n">
        <x:v>0.06065609833957472</x:v>
      </x:c>
      <x:c r="G1100" s="31" t="n">
        <x:v>40.6383776512425</x:v>
      </x:c>
      <x:c r="H1100" s="31" t="n">
        <x:v>-73.88701745181602</x:v>
      </x:c>
      <x:c r="I1100" s="31" t="n">
        <x:v>2186</x:v>
      </x:c>
      <x:c r="J1100" s="31" t="n">
        <x:v>36039.24518458117</x:v>
      </x:c>
      <x:c r="K1100" s="31"/>
      <x:c r="L1100" s="40"/>
      <x:c r="M1100" s="40"/>
      <x:c r="N1100" s="31" t="n">
        <x:v>408</x:v>
      </x:c>
      <x:c r="O1100" s="31" t="n">
        <x:v>599</x:v>
      </x:c>
      <x:c r="P1100" s="31" t="n">
        <x:v>2.2278797996661104</x:v>
      </x:c>
      <x:c r="Q1100" s="40" t="n">
        <x:v>0</x:v>
      </x:c>
      <x:c r="R1100" s="40" t="n">
        <x:v>0.4006677796327212</x:v>
      </x:c>
      <x:c r="S1100" s="40" t="n">
        <x:v>0</x:v>
      </x:c>
      <x:c r="T1100" s="31" t="n">
        <x:v>29.61844969973289</x:v>
      </x:c>
      <x:c r="U1100" s="31" t="n">
        <x:v>39</x:v>
      </x:c>
      <x:c r="V1100" s="31" t="n">
        <x:v>0</x:v>
      </x:c>
      <x:c r="W1100" s="31" t="n">
        <x:v>0</x:v>
      </x:c>
      <x:c r="X1100" s="31" t="n">
        <x:v>5</x:v>
      </x:c>
      <x:c r="Y1100" s="40" t="n">
        <x:v>1</x:v>
      </x:c>
      <x:c r="Z1100" s="40" t="n">
        <x:v>1</x:v>
      </x:c>
      <x:c r="AA1100" s="40" t="n">
        <x:v>1</x:v>
      </x:c>
      <x:c r="AB1100" s="31" t="n">
        <x:v>0.20115792064161253</x:v>
      </x:c>
      <x:c r="AC1100" s="31" t="n">
        <x:v>7</x:v>
      </x:c>
      <x:c r="AD1100" s="44" t="b">
        <x:v>1</x:v>
      </x:c>
    </x:row>
    <x:row r="1101">
      <x:c r="A1101" s="31" t="str">
        <x:v>36047102200</x:v>
      </x:c>
      <x:c r="B1101" s="31" t="str">
        <x:v>Brooklyn</x:v>
      </x:c>
      <x:c r="C1101" s="31" t="str">
        <x:v>102200</x:v>
      </x:c>
      <x:c r="D1101" s="31" t="str">
        <x:v>BK1803</x:v>
      </x:c>
      <x:c r="E1101" s="31" t="str">
        <x:v>Canarsie</x:v>
      </x:c>
      <x:c r="F1101" s="31" t="n">
        <x:v>0.06286539015868917</x:v>
      </x:c>
      <x:c r="G1101" s="31" t="n">
        <x:v>40.63644126125556</x:v>
      </x:c>
      <x:c r="H1101" s="31" t="n">
        <x:v>-73.89001062011702</x:v>
      </x:c>
      <x:c r="I1101" s="31" t="n">
        <x:v>2313</x:v>
      </x:c>
      <x:c r="J1101" s="31" t="n">
        <x:v>36792.89978414777</x:v>
      </x:c>
      <x:c r="K1101" s="31"/>
      <x:c r="L1101" s="40"/>
      <x:c r="M1101" s="40"/>
      <x:c r="N1101" s="31" t="n">
        <x:v>386</x:v>
      </x:c>
      <x:c r="O1101" s="31" t="n">
        <x:v>719</x:v>
      </x:c>
      <x:c r="P1101" s="31" t="n">
        <x:v>1.9310431154381087</x:v>
      </x:c>
      <x:c r="Q1101" s="40" t="n">
        <x:v>0</x:v>
      </x:c>
      <x:c r="R1101" s="40" t="n">
        <x:v>0.12239221140472879</x:v>
      </x:c>
      <x:c r="S1101" s="40" t="n">
        <x:v>0</x:v>
      </x:c>
      <x:c r="T1101" s="31" t="n">
        <x:v>24.73862166122392</x:v>
      </x:c>
      <x:c r="U1101" s="31" t="n">
        <x:v>42.59</x:v>
      </x:c>
      <x:c r="V1101" s="31" t="n">
        <x:v>0</x:v>
      </x:c>
      <x:c r="W1101" s="31" t="n">
        <x:v>0</x:v>
      </x:c>
      <x:c r="X1101" s="31" t="n">
        <x:v>5</x:v>
      </x:c>
      <x:c r="Y1101" s="40" t="n">
        <x:v>1</x:v>
      </x:c>
      <x:c r="Z1101" s="40" t="n">
        <x:v>1</x:v>
      </x:c>
      <x:c r="AA1101" s="40" t="n">
        <x:v>1</x:v>
      </x:c>
      <x:c r="AB1101" s="31" t="n">
        <x:v>0.14047212512955315</x:v>
      </x:c>
      <x:c r="AC1101" s="31" t="n">
        <x:v>7</x:v>
      </x:c>
      <x:c r="AD1101" s="44" t="b">
        <x:v>1</x:v>
      </x:c>
    </x:row>
    <x:row r="1102">
      <x:c r="A1102" s="31" t="str">
        <x:v>36047102400</x:v>
      </x:c>
      <x:c r="B1102" s="31" t="str">
        <x:v>Brooklyn</x:v>
      </x:c>
      <x:c r="C1102" s="31" t="str">
        <x:v>102400</x:v>
      </x:c>
      <x:c r="D1102" s="31" t="str">
        <x:v>BK1803</x:v>
      </x:c>
      <x:c r="E1102" s="31" t="str">
        <x:v>Canarsie</x:v>
      </x:c>
      <x:c r="F1102" s="31" t="n">
        <x:v>0.055247765594869144</x:v>
      </x:c>
      <x:c r="G1102" s="31" t="n">
        <x:v>40.63292841417952</x:v>
      </x:c>
      <x:c r="H1102" s="31" t="n">
        <x:v>-73.89327607874955</x:v>
      </x:c>
      <x:c r="I1102" s="31" t="n">
        <x:v>2257</x:v>
      </x:c>
      <x:c r="J1102" s="31" t="n">
        <x:v>40852.33087163271</x:v>
      </x:c>
      <x:c r="K1102" s="31"/>
      <x:c r="L1102" s="40"/>
      <x:c r="M1102" s="40"/>
      <x:c r="N1102" s="31" t="n">
        <x:v>347</x:v>
      </x:c>
      <x:c r="O1102" s="31" t="n">
        <x:v>623</x:v>
      </x:c>
      <x:c r="P1102" s="31" t="n">
        <x:v>2.183852327447833</x:v>
      </x:c>
      <x:c r="Q1102" s="40" t="n">
        <x:v>0</x:v>
      </x:c>
      <x:c r="R1102" s="40" t="n">
        <x:v>0.22150882825040127</x:v>
      </x:c>
      <x:c r="S1102" s="40" t="n">
        <x:v>0.02247191011235955</x:v>
      </x:c>
      <x:c r="T1102" s="31" t="n">
        <x:v>27.76518743929374</x:v>
      </x:c>
      <x:c r="U1102" s="31" t="n">
        <x:v>39</x:v>
      </x:c>
      <x:c r="V1102" s="31" t="n">
        <x:v>0</x:v>
      </x:c>
      <x:c r="W1102" s="31" t="n">
        <x:v>0</x:v>
      </x:c>
      <x:c r="X1102" s="31" t="n">
        <x:v>5</x:v>
      </x:c>
      <x:c r="Y1102" s="40" t="n">
        <x:v>1</x:v>
      </x:c>
      <x:c r="Z1102" s="40" t="n">
        <x:v>1</x:v>
      </x:c>
      <x:c r="AA1102" s="40" t="n">
        <x:v>1</x:v>
      </x:c>
      <x:c r="AB1102" s="31" t="n">
        <x:v>0.23635145960694165</x:v>
      </x:c>
      <x:c r="AC1102" s="31" t="n">
        <x:v>7</x:v>
      </x:c>
      <x:c r="AD1102" s="44" t="b">
        <x:v>1</x:v>
      </x:c>
    </x:row>
    <x:row r="1103">
      <x:c r="A1103" s="31" t="str">
        <x:v>36047102600</x:v>
      </x:c>
      <x:c r="B1103" s="31" t="str">
        <x:v>Brooklyn</x:v>
      </x:c>
      <x:c r="C1103" s="31" t="str">
        <x:v>102600</x:v>
      </x:c>
      <x:c r="D1103" s="31" t="str">
        <x:v>BK1803</x:v>
      </x:c>
      <x:c r="E1103" s="31" t="str">
        <x:v>Canarsie</x:v>
      </x:c>
      <x:c r="F1103" s="31" t="n">
        <x:v>0.05244247214653639</x:v>
      </x:c>
      <x:c r="G1103" s="31" t="n">
        <x:v>40.629608071185324</x:v>
      </x:c>
      <x:c r="H1103" s="31" t="n">
        <x:v>-73.89847986142038</x:v>
      </x:c>
      <x:c r="I1103" s="31" t="n">
        <x:v>2973</x:v>
      </x:c>
      <x:c r="J1103" s="31" t="n">
        <x:v>56690.69131014172</x:v>
      </x:c>
      <x:c r="K1103" s="31"/>
      <x:c r="L1103" s="40"/>
      <x:c r="M1103" s="40"/>
      <x:c r="N1103" s="31" t="n">
        <x:v>409</x:v>
      </x:c>
      <x:c r="O1103" s="31" t="n">
        <x:v>851</x:v>
      </x:c>
      <x:c r="P1103" s="31" t="n">
        <x:v>2.4841363102232665</x:v>
      </x:c>
      <x:c r="Q1103" s="40" t="n">
        <x:v>0</x:v>
      </x:c>
      <x:c r="R1103" s="40" t="n">
        <x:v>0.5287896592244419</x:v>
      </x:c>
      <x:c r="S1103" s="40" t="n">
        <x:v>0</x:v>
      </x:c>
      <x:c r="T1103" s="31" t="n">
        <x:v>31.15088792211516</x:v>
      </x:c>
      <x:c r="U1103" s="31" t="n">
        <x:v>37.56</x:v>
      </x:c>
      <x:c r="V1103" s="31" t="n">
        <x:v>0</x:v>
      </x:c>
      <x:c r="W1103" s="31" t="n">
        <x:v>0</x:v>
      </x:c>
      <x:c r="X1103" s="31" t="n">
        <x:v>5</x:v>
      </x:c>
      <x:c r="Y1103" s="40" t="n">
        <x:v>1</x:v>
      </x:c>
      <x:c r="Z1103" s="40" t="n">
        <x:v>1</x:v>
      </x:c>
      <x:c r="AA1103" s="40" t="n">
        <x:v>1</x:v>
      </x:c>
      <x:c r="AB1103" s="31" t="n">
        <x:v>0.3657073165132031</x:v>
      </x:c>
      <x:c r="AC1103" s="31" t="n">
        <x:v>6</x:v>
      </x:c>
      <x:c r="AD1103" s="44" t="b">
        <x:v>1</x:v>
      </x:c>
    </x:row>
    <x:row r="1104">
      <x:c r="A1104" s="31" t="str">
        <x:v>36047102801</x:v>
      </x:c>
      <x:c r="B1104" s="31" t="str">
        <x:v>Brooklyn</x:v>
      </x:c>
      <x:c r="C1104" s="31" t="str">
        <x:v>102801</x:v>
      </x:c>
      <x:c r="D1104" s="31" t="str">
        <x:v>BK1803</x:v>
      </x:c>
      <x:c r="E1104" s="31" t="str">
        <x:v>Canarsie</x:v>
      </x:c>
      <x:c r="F1104" s="31" t="n">
        <x:v>0.05957370575642792</x:v>
      </x:c>
      <x:c r="G1104" s="31" t="n">
        <x:v>40.63117042147062</x:v>
      </x:c>
      <x:c r="H1104" s="31" t="n">
        <x:v>-73.88975703060353</x:v>
      </x:c>
      <x:c r="I1104" s="31" t="n">
        <x:v>1754</x:v>
      </x:c>
      <x:c r="J1104" s="31" t="n">
        <x:v>29442.519610436455</x:v>
      </x:c>
      <x:c r="K1104" s="31"/>
      <x:c r="L1104" s="40"/>
      <x:c r="M1104" s="40"/>
      <x:c r="N1104" s="31" t="n">
        <x:v>228</x:v>
      </x:c>
      <x:c r="O1104" s="31" t="n">
        <x:v>499</x:v>
      </x:c>
      <x:c r="P1104" s="31" t="n">
        <x:v>2.467935871743487</x:v>
      </x:c>
      <x:c r="Q1104" s="40" t="n">
        <x:v>0</x:v>
      </x:c>
      <x:c r="R1104" s="40" t="n">
        <x:v>0.46893787575150303</x:v>
      </x:c>
      <x:c r="S1104" s="40" t="n">
        <x:v>0.05410821643286573</x:v>
      </x:c>
      <x:c r="T1104" s="31" t="n">
        <x:v>32.61584677419355</x:v>
      </x:c>
      <x:c r="U1104" s="31" t="n">
        <x:v>40.14</x:v>
      </x:c>
      <x:c r="V1104" s="31" t="n">
        <x:v>0</x:v>
      </x:c>
      <x:c r="W1104" s="31" t="n">
        <x:v>0</x:v>
      </x:c>
      <x:c r="X1104" s="31" t="n">
        <x:v>5</x:v>
      </x:c>
      <x:c r="Y1104" s="40" t="n">
        <x:v>1</x:v>
      </x:c>
      <x:c r="Z1104" s="40" t="n">
        <x:v>1</x:v>
      </x:c>
      <x:c r="AA1104" s="40" t="n">
        <x:v>0.9939879759519038</x:v>
      </x:c>
      <x:c r="AB1104" s="31" t="n">
        <x:v>0.23013290580316897</x:v>
      </x:c>
      <x:c r="AC1104" s="31" t="n">
        <x:v>5</x:v>
      </x:c>
      <x:c r="AD1104" s="44" t="b">
        <x:v>1</x:v>
      </x:c>
    </x:row>
    <x:row r="1105">
      <x:c r="A1105" s="31" t="str">
        <x:v>36047102802</x:v>
      </x:c>
      <x:c r="B1105" s="31" t="str">
        <x:v>Brooklyn</x:v>
      </x:c>
      <x:c r="C1105" s="31" t="str">
        <x:v>102802</x:v>
      </x:c>
      <x:c r="D1105" s="31" t="str">
        <x:v>BK1893</x:v>
      </x:c>
      <x:c r="E1105" s="31" t="str">
        <x:v>Canarsie Park &amp; Pier</x:v>
      </x:c>
      <x:c r="F1105" s="31" t="n">
        <x:v>0.25941626243364035</x:v>
      </x:c>
      <x:c r="G1105" s="31" t="n">
        <x:v>40.62710693260598</x:v>
      </x:c>
      <x:c r="H1105" s="31" t="n">
        <x:v>-73.89376103333376</x:v>
      </x:c>
      <x:c r="I1105" s="31" t="n">
        <x:v>5</x:v>
      </x:c>
      <x:c r="J1105" s="31" t="n">
        <x:v>19.274042240428233</x:v>
      </x:c>
      <x:c r="K1105" s="31"/>
      <x:c r="L1105" s="40"/>
      <x:c r="M1105" s="40"/>
      <x:c r="N1105" s="31" t="n">
        <x:v>0</x:v>
      </x:c>
      <x:c r="O1105" s="31"/>
      <x:c r="P1105" s="31"/>
      <x:c r="Q1105" s="40"/>
      <x:c r="R1105" s="40"/>
      <x:c r="S1105" s="40"/>
      <x:c r="T1105" s="31"/>
      <x:c r="U1105" s="31"/>
      <x:c r="V1105" s="31" t="n">
        <x:v>0</x:v>
      </x:c>
      <x:c r="W1105" s="31" t="n">
        <x:v>0</x:v>
      </x:c>
      <x:c r="X1105" s="31"/>
      <x:c r="Y1105" s="40"/>
      <x:c r="Z1105" s="40"/>
      <x:c r="AA1105" s="40"/>
      <x:c r="AB1105" s="31" t="n">
        <x:v>0.5611540327992616</x:v>
      </x:c>
      <x:c r="AC1105" s="31" t="n">
        <x:v>6</x:v>
      </x:c>
      <x:c r="AD1105" s="44" t="b">
        <x:v>0</x:v>
      </x:c>
    </x:row>
    <x:row r="1106">
      <x:c r="A1106" s="31" t="str">
        <x:v>36047103401</x:v>
      </x:c>
      <x:c r="B1106" s="31" t="str">
        <x:v>Brooklyn</x:v>
      </x:c>
      <x:c r="C1106" s="31" t="str">
        <x:v>103401</x:v>
      </x:c>
      <x:c r="D1106" s="31" t="str">
        <x:v>BK1803</x:v>
      </x:c>
      <x:c r="E1106" s="31" t="str">
        <x:v>Canarsie</x:v>
      </x:c>
      <x:c r="F1106" s="31" t="n">
        <x:v>0.06800256363672233</x:v>
      </x:c>
      <x:c r="G1106" s="31" t="n">
        <x:v>40.63352370252162</x:v>
      </x:c>
      <x:c r="H1106" s="31" t="n">
        <x:v>-73.88622692429566</x:v>
      </x:c>
      <x:c r="I1106" s="31" t="n">
        <x:v>3980</x:v>
      </x:c>
      <x:c r="J1106" s="31" t="n">
        <x:v>58527.20525746098</x:v>
      </x:c>
      <x:c r="K1106" s="31"/>
      <x:c r="L1106" s="40"/>
      <x:c r="M1106" s="40"/>
      <x:c r="N1106" s="31" t="n">
        <x:v>1</x:v>
      </x:c>
      <x:c r="O1106" s="31" t="n">
        <x:v>1610</x:v>
      </x:c>
      <x:c r="P1106" s="31" t="n">
        <x:v>8</x:v>
      </x:c>
      <x:c r="Q1106" s="40" t="n">
        <x:v>0</x:v>
      </x:c>
      <x:c r="R1106" s="40" t="n">
        <x:v>1</x:v>
      </x:c>
      <x:c r="S1106" s="40" t="n">
        <x:v>1</x:v>
      </x:c>
      <x:c r="T1106" s="31" t="n">
        <x:v>76.17</x:v>
      </x:c>
      <x:c r="U1106" s="31" t="n">
        <x:v>76.17</x:v>
      </x:c>
      <x:c r="V1106" s="31" t="n">
        <x:v>33</x:v>
      </x:c>
      <x:c r="W1106" s="31" t="n">
        <x:v>8.291457286432161</x:v>
      </x:c>
      <x:c r="X1106" s="31" t="n">
        <x:v>5</x:v>
      </x:c>
      <x:c r="Y1106" s="40" t="n">
        <x:v>1</x:v>
      </x:c>
      <x:c r="Z1106" s="40" t="n">
        <x:v>1</x:v>
      </x:c>
      <x:c r="AA1106" s="40" t="n">
        <x:v>1</x:v>
      </x:c>
      <x:c r="AB1106" s="31" t="n">
        <x:v>0.11112301863658615</x:v>
      </x:c>
      <x:c r="AC1106" s="31" t="n">
        <x:v>6</x:v>
      </x:c>
      <x:c r="AD1106" s="44" t="b">
        <x:v>1</x:v>
      </x:c>
    </x:row>
    <x:row r="1107">
      <x:c r="A1107" s="31" t="str">
        <x:v>36047103402</x:v>
      </x:c>
      <x:c r="B1107" s="31" t="str">
        <x:v>Brooklyn</x:v>
      </x:c>
      <x:c r="C1107" s="31" t="str">
        <x:v>103402</x:v>
      </x:c>
      <x:c r="D1107" s="31" t="str">
        <x:v>BK1893</x:v>
      </x:c>
      <x:c r="E1107" s="31" t="str">
        <x:v>Canarsie Park &amp; Pier</x:v>
      </x:c>
      <x:c r="F1107" s="31" t="n">
        <x:v>0.1549564894000373</x:v>
      </x:c>
      <x:c r="G1107" s="31" t="n">
        <x:v>40.63493087803073</x:v>
      </x:c>
      <x:c r="H1107" s="31" t="n">
        <x:v>-73.88185351751653</x:v>
      </x:c>
      <x:c r="I1107" s="31" t="n">
        <x:v>0</x:v>
      </x:c>
      <x:c r="J1107" s="31" t="n">
        <x:v>0</x:v>
      </x:c>
      <x:c r="K1107" s="31"/>
      <x:c r="L1107" s="40"/>
      <x:c r="M1107" s="40"/>
      <x:c r="N1107" s="31" t="n">
        <x:v>0</x:v>
      </x:c>
      <x:c r="O1107" s="31"/>
      <x:c r="P1107" s="31"/>
      <x:c r="Q1107" s="40"/>
      <x:c r="R1107" s="40"/>
      <x:c r="S1107" s="40"/>
      <x:c r="T1107" s="31"/>
      <x:c r="U1107" s="31"/>
      <x:c r="V1107" s="31" t="n">
        <x:v>0</x:v>
      </x:c>
      <x:c r="W1107" s="31"/>
      <x:c r="X1107" s="31"/>
      <x:c r="Y1107" s="40"/>
      <x:c r="Z1107" s="40"/>
      <x:c r="AA1107" s="40"/>
      <x:c r="AB1107" s="31" t="n">
        <x:v>0.18338760756898348</x:v>
      </x:c>
      <x:c r="AC1107" s="31" t="n">
        <x:v>5</x:v>
      </x:c>
      <x:c r="AD1107" s="44" t="b">
        <x:v>0</x:v>
      </x:c>
    </x:row>
    <x:row r="1108">
      <x:c r="A1108" s="31" t="str">
        <x:v>36047105801</x:v>
      </x:c>
      <x:c r="B1108" s="31" t="str">
        <x:v>Brooklyn</x:v>
      </x:c>
      <x:c r="C1108" s="31" t="str">
        <x:v>105801</x:v>
      </x:c>
      <x:c r="D1108" s="31" t="str">
        <x:v>BK0504</x:v>
      </x:c>
      <x:c r="E1108" s="31" t="str">
        <x:v>Spring Creek-Starrett City</x:v>
      </x:c>
      <x:c r="F1108" s="31" t="n">
        <x:v>0.16075194216956495</x:v>
      </x:c>
      <x:c r="G1108" s="31" t="n">
        <x:v>40.64921748497199</x:v>
      </x:c>
      <x:c r="H1108" s="31" t="n">
        <x:v>-73.88060214948311</x:v>
      </x:c>
      <x:c r="I1108" s="31" t="n">
        <x:v>7013</x:v>
      </x:c>
      <x:c r="J1108" s="31" t="n">
        <x:v>43626.22252241607</x:v>
      </x:c>
      <x:c r="K1108" s="31"/>
      <x:c r="L1108" s="40"/>
      <x:c r="M1108" s="40"/>
      <x:c r="N1108" s="31" t="n">
        <x:v>3</x:v>
      </x:c>
      <x:c r="O1108" s="31" t="n">
        <x:v>6247</x:v>
      </x:c>
      <x:c r="P1108" s="31" t="n">
        <x:v>18.92956619177205</x:v>
      </x:c>
      <x:c r="Q1108" s="40" t="n">
        <x:v>1</x:v>
      </x:c>
      <x:c r="R1108" s="40" t="n">
        <x:v>0</x:v>
      </x:c>
      <x:c r="S1108" s="40" t="n">
        <x:v>1</x:v>
      </x:c>
      <x:c r="T1108" s="31" t="n">
        <x:v>170.03347316713942</x:v>
      </x:c>
      <x:c r="U1108" s="31" t="n">
        <x:v>179.48007412</x:v>
      </x:c>
      <x:c r="V1108" s="31" t="n">
        <x:v>57</x:v>
      </x:c>
      <x:c r="W1108" s="31" t="n">
        <x:v>8.127762726365322</x:v>
      </x:c>
      <x:c r="X1108" s="31" t="n">
        <x:v>3</x:v>
      </x:c>
      <x:c r="Y1108" s="40" t="n">
        <x:v>0</x:v>
      </x:c>
      <x:c r="Z1108" s="40" t="n">
        <x:v>1</x:v>
      </x:c>
      <x:c r="AA1108" s="40" t="n">
        <x:v>1</x:v>
      </x:c>
      <x:c r="AB1108" s="31" t="n">
        <x:v>0.18163664699935952</x:v>
      </x:c>
      <x:c r="AC1108" s="31" t="n">
        <x:v>5</x:v>
      </x:c>
      <x:c r="AD1108" s="44" t="b">
        <x:v>1</x:v>
      </x:c>
    </x:row>
    <x:row r="1109">
      <x:c r="A1109" s="31" t="str">
        <x:v>36047105804</x:v>
      </x:c>
      <x:c r="B1109" s="31" t="str">
        <x:v>Brooklyn</x:v>
      </x:c>
      <x:c r="C1109" s="31" t="str">
        <x:v>105804</x:v>
      </x:c>
      <x:c r="D1109" s="31" t="str">
        <x:v>BK0504</x:v>
      </x:c>
      <x:c r="E1109" s="31" t="str">
        <x:v>Spring Creek-Starrett City</x:v>
      </x:c>
      <x:c r="F1109" s="31" t="n">
        <x:v>0.2556171984773158</x:v>
      </x:c>
      <x:c r="G1109" s="31" t="n">
        <x:v>40.646431617680754</x:v>
      </x:c>
      <x:c r="H1109" s="31" t="n">
        <x:v>-73.88355421209303</x:v>
      </x:c>
      <x:c r="I1109" s="31" t="n">
        <x:v>6482</x:v>
      </x:c>
      <x:c r="J1109" s="31" t="n">
        <x:v>25358.231130818185</x:v>
      </x:c>
      <x:c r="K1109" s="31"/>
      <x:c r="L1109" s="40"/>
      <x:c r="M1109" s="40"/>
      <x:c r="N1109" s="31" t="n">
        <x:v>41</x:v>
      </x:c>
      <x:c r="O1109" s="31" t="n">
        <x:v>4688</x:v>
      </x:c>
      <x:c r="P1109" s="31" t="n">
        <x:v>16.414954088325317</x:v>
      </x:c>
      <x:c r="Q1109" s="40" t="n">
        <x:v>0.96160409556314</x:v>
      </x:c>
      <x:c r="R1109" s="40" t="n">
        <x:v>0.014078498293515358</x:v>
      </x:c>
      <x:c r="S1109" s="40" t="n">
        <x:v>0.8099402730375427</x:v>
      </x:c>
      <x:c r="T1109" s="31" t="n">
        <x:v>150.51168346238023</x:v>
      </x:c>
      <x:c r="U1109" s="31" t="n">
        <x:v>180.18715219</x:v>
      </x:c>
      <x:c r="V1109" s="31" t="n">
        <x:v>49</x:v>
      </x:c>
      <x:c r="W1109" s="31" t="n">
        <x:v>7.55939524838013</x:v>
      </x:c>
      <x:c r="X1109" s="31" t="n">
        <x:v>3.321245733788396</x:v>
      </x:c>
      <x:c r="Y1109" s="40" t="n">
        <x:v>0.16062286689419794</x:v>
      </x:c>
      <x:c r="Z1109" s="40" t="n">
        <x:v>1</x:v>
      </x:c>
      <x:c r="AA1109" s="40" t="n">
        <x:v>0.9974402730375427</x:v>
      </x:c>
      <x:c r="AB1109" s="31" t="n">
        <x:v>0.09262369216803792</x:v>
      </x:c>
      <x:c r="AC1109" s="31" t="n">
        <x:v>5</x:v>
      </x:c>
      <x:c r="AD1109" s="44" t="b">
        <x:v>1</x:v>
      </x:c>
    </x:row>
    <x:row r="1110">
      <x:c r="A1110" s="31" t="str">
        <x:v>36047107001</x:v>
      </x:c>
      <x:c r="B1110" s="31" t="str">
        <x:v>Brooklyn</x:v>
      </x:c>
      <x:c r="C1110" s="31" t="str">
        <x:v>107001</x:v>
      </x:c>
      <x:c r="D1110" s="31" t="str">
        <x:v>BK0504</x:v>
      </x:c>
      <x:c r="E1110" s="31" t="str">
        <x:v>Spring Creek-Starrett City</x:v>
      </x:c>
      <x:c r="F1110" s="31" t="n">
        <x:v>0.4704540548991334</x:v>
      </x:c>
      <x:c r="G1110" s="31" t="n">
        <x:v>40.65419101124981</x:v>
      </x:c>
      <x:c r="H1110" s="31" t="n">
        <x:v>-73.87076646222762</x:v>
      </x:c>
      <x:c r="I1110" s="31" t="n">
        <x:v>3543</x:v>
      </x:c>
      <x:c r="J1110" s="31" t="n">
        <x:v>7531.022345550043</x:v>
      </x:c>
      <x:c r="K1110" s="31"/>
      <x:c r="L1110" s="40"/>
      <x:c r="M1110" s="40"/>
      <x:c r="N1110" s="31" t="n">
        <x:v>522</x:v>
      </x:c>
      <x:c r="O1110" s="31" t="n">
        <x:v>4243</x:v>
      </x:c>
      <x:c r="P1110" s="31" t="n">
        <x:v>8.462156242394743</x:v>
      </x:c>
      <x:c r="Q1110" s="40" t="n">
        <x:v>0.4673580014140938</x:v>
      </x:c>
      <x:c r="R1110" s="40" t="n">
        <x:v>0.4444968182889465</x:v>
      </x:c>
      <x:c r="S1110" s="40" t="n">
        <x:v>0.003535234503888758</x:v>
      </x:c>
      <x:c r="T1110" s="31" t="n">
        <x:v>86.52326599614454</x:v>
      </x:c>
      <x:c r="U1110" s="31" t="n">
        <x:v>160</x:v>
      </x:c>
      <x:c r="V1110" s="31" t="n">
        <x:v>47</x:v>
      </x:c>
      <x:c r="W1110" s="31" t="n">
        <x:v>13.265594129268981</x:v>
      </x:c>
      <x:c r="X1110" s="31" t="n">
        <x:v>3</x:v>
      </x:c>
      <x:c r="Y1110" s="40" t="n">
        <x:v>0</x:v>
      </x:c>
      <x:c r="Z1110" s="40" t="n">
        <x:v>1</x:v>
      </x:c>
      <x:c r="AA1110" s="40" t="n">
        <x:v>0.9163327834079661</x:v>
      </x:c>
      <x:c r="AB1110" s="31" t="n">
        <x:v>0.2755085686665491</x:v>
      </x:c>
      <x:c r="AC1110" s="31" t="n">
        <x:v>6</x:v>
      </x:c>
      <x:c r="AD1110" s="44" t="b">
        <x:v>1</x:v>
      </x:c>
    </x:row>
    <x:row r="1111">
      <x:c r="A1111" s="31" t="str">
        <x:v>36047107002</x:v>
      </x:c>
      <x:c r="B1111" s="31" t="str">
        <x:v>Brooklyn</x:v>
      </x:c>
      <x:c r="C1111" s="31" t="str">
        <x:v>107002</x:v>
      </x:c>
      <x:c r="D1111" s="31" t="str">
        <x:v>BK5693</x:v>
      </x:c>
      <x:c r="E1111" s="31" t="str">
        <x:v>Shirley Chisholm State Park</x:v>
      </x:c>
      <x:c r="F1111" s="31" t="n">
        <x:v>0.6558805745021236</x:v>
      </x:c>
      <x:c r="G1111" s="31" t="n">
        <x:v>40.64532511177451</x:v>
      </x:c>
      <x:c r="H1111" s="31" t="n">
        <x:v>-73.86674138559334</x:v>
      </x:c>
      <x:c r="I1111" s="31" t="n">
        <x:v>0</x:v>
      </x:c>
      <x:c r="J1111" s="31" t="n">
        <x:v>0</x:v>
      </x:c>
      <x:c r="K1111" s="31"/>
      <x:c r="L1111" s="40"/>
      <x:c r="M1111" s="40"/>
      <x:c r="N1111" s="31" t="n">
        <x:v>0</x:v>
      </x:c>
      <x:c r="O1111" s="31"/>
      <x:c r="P1111" s="31"/>
      <x:c r="Q1111" s="40"/>
      <x:c r="R1111" s="40"/>
      <x:c r="S1111" s="40"/>
      <x:c r="T1111" s="31"/>
      <x:c r="U1111" s="31"/>
      <x:c r="V1111" s="31" t="n">
        <x:v>0</x:v>
      </x:c>
      <x:c r="W1111" s="31"/>
      <x:c r="X1111" s="31"/>
      <x:c r="Y1111" s="40"/>
      <x:c r="Z1111" s="40"/>
      <x:c r="AA1111" s="40"/>
      <x:c r="AB1111" s="31" t="n">
        <x:v>0.8000245290575073</x:v>
      </x:c>
      <x:c r="AC1111" s="31" t="n">
        <x:v>6</x:v>
      </x:c>
      <x:c r="AD1111" s="44" t="b">
        <x:v>0</x:v>
      </x:c>
    </x:row>
    <x:row r="1112">
      <x:c r="A1112" s="31" t="str">
        <x:v>36047107003</x:v>
      </x:c>
      <x:c r="B1112" s="31" t="str">
        <x:v>Brooklyn</x:v>
      </x:c>
      <x:c r="C1112" s="31" t="str">
        <x:v>107003</x:v>
      </x:c>
      <x:c r="D1112" s="31" t="str">
        <x:v>BK0504</x:v>
      </x:c>
      <x:c r="E1112" s="31" t="str">
        <x:v>Spring Creek-Starrett City</x:v>
      </x:c>
      <x:c r="F1112" s="31" t="n">
        <x:v>0.0847627308618859</x:v>
      </x:c>
      <x:c r="G1112" s="31" t="n">
        <x:v>40.65052247062854</x:v>
      </x:c>
      <x:c r="H1112" s="31" t="n">
        <x:v>-73.87802939248823</x:v>
      </x:c>
      <x:c r="I1112" s="31" t="n">
        <x:v>0</x:v>
      </x:c>
      <x:c r="J1112" s="31" t="n">
        <x:v>0</x:v>
      </x:c>
      <x:c r="K1112" s="31"/>
      <x:c r="L1112" s="40"/>
      <x:c r="M1112" s="40"/>
      <x:c r="N1112" s="31" t="n">
        <x:v>0</x:v>
      </x:c>
      <x:c r="O1112" s="31"/>
      <x:c r="P1112" s="31"/>
      <x:c r="Q1112" s="40"/>
      <x:c r="R1112" s="40"/>
      <x:c r="S1112" s="40"/>
      <x:c r="T1112" s="31"/>
      <x:c r="U1112" s="31"/>
      <x:c r="V1112" s="31" t="n">
        <x:v>0</x:v>
      </x:c>
      <x:c r="W1112" s="31"/>
      <x:c r="X1112" s="31"/>
      <x:c r="Y1112" s="40"/>
      <x:c r="Z1112" s="40"/>
      <x:c r="AA1112" s="40"/>
      <x:c r="AB1112" s="31" t="n">
        <x:v>0.3279927663903949</x:v>
      </x:c>
      <x:c r="AC1112" s="31" t="n">
        <x:v>4</x:v>
      </x:c>
      <x:c r="AD1112" s="44" t="b">
        <x:v>0</x:v>
      </x:c>
    </x:row>
    <x:row r="1113">
      <x:c r="A1113" s="31" t="str">
        <x:v>36047107800</x:v>
      </x:c>
      <x:c r="B1113" s="31" t="str">
        <x:v>Brooklyn</x:v>
      </x:c>
      <x:c r="C1113" s="31" t="str">
        <x:v>107800</x:v>
      </x:c>
      <x:c r="D1113" s="31" t="str">
        <x:v>BK0503</x:v>
      </x:c>
      <x:c r="E1113" s="31" t="str">
        <x:v>East New York-New Lots</x:v>
      </x:c>
      <x:c r="F1113" s="31" t="n">
        <x:v>0.1954730446908718</x:v>
      </x:c>
      <x:c r="G1113" s="31" t="n">
        <x:v>40.65884582542695</x:v>
      </x:c>
      <x:c r="H1113" s="31" t="n">
        <x:v>-73.87595643304695</x:v>
      </x:c>
      <x:c r="I1113" s="31" t="n">
        <x:v>4112</x:v>
      </x:c>
      <x:c r="J1113" s="31" t="n">
        <x:v>21036.148521157313</x:v>
      </x:c>
      <x:c r="K1113" s="31"/>
      <x:c r="L1113" s="40"/>
      <x:c r="M1113" s="40"/>
      <x:c r="N1113" s="31" t="n">
        <x:v>389</x:v>
      </x:c>
      <x:c r="O1113" s="31" t="n">
        <x:v>1750</x:v>
      </x:c>
      <x:c r="P1113" s="31" t="n">
        <x:v>2.727272727272727</x:v>
      </x:c>
      <x:c r="Q1113" s="40" t="n">
        <x:v>0</x:v>
      </x:c>
      <x:c r="R1113" s="40" t="n">
        <x:v>0.2742857142857143</x:v>
      </x:c>
      <x:c r="S1113" s="40" t="n">
        <x:v>0.6228571428571429</x:v>
      </x:c>
      <x:c r="T1113" s="31" t="n">
        <x:v>67.1234</x:v>
      </x:c>
      <x:c r="U1113" s="31" t="n">
        <x:v>91</x:v>
      </x:c>
      <x:c r="V1113" s="31" t="n">
        <x:v>22</x:v>
      </x:c>
      <x:c r="W1113" s="31" t="n">
        <x:v>5.3501945525291825</x:v>
      </x:c>
      <x:c r="X1113" s="31" t="n">
        <x:v>4.998857142857143</x:v>
      </x:c>
      <x:c r="Y1113" s="40" t="n">
        <x:v>1</x:v>
      </x:c>
      <x:c r="Z1113" s="40" t="n">
        <x:v>1</x:v>
      </x:c>
      <x:c r="AA1113" s="40" t="n">
        <x:v>1</x:v>
      </x:c>
      <x:c r="AB1113" s="31" t="n">
        <x:v>0.1462051391580995</x:v>
      </x:c>
      <x:c r="AC1113" s="31" t="n">
        <x:v>8</x:v>
      </x:c>
      <x:c r="AD1113" s="44" t="b">
        <x:v>1</x:v>
      </x:c>
    </x:row>
    <x:row r="1114">
      <x:c r="A1114" s="31" t="str">
        <x:v>36047109800</x:v>
      </x:c>
      <x:c r="B1114" s="31" t="str">
        <x:v>Brooklyn</x:v>
      </x:c>
      <x:c r="C1114" s="31" t="str">
        <x:v>109800</x:v>
      </x:c>
      <x:c r="D1114" s="31" t="str">
        <x:v>BK0503</x:v>
      </x:c>
      <x:c r="E1114" s="31" t="str">
        <x:v>East New York-New Lots</x:v>
      </x:c>
      <x:c r="F1114" s="31" t="n">
        <x:v>0.32970114261220157</x:v>
      </x:c>
      <x:c r="G1114" s="31" t="n">
        <x:v>40.65266336892335</x:v>
      </x:c>
      <x:c r="H1114" s="31" t="n">
        <x:v>-73.90164524155179</x:v>
      </x:c>
      <x:c r="I1114" s="31" t="n">
        <x:v>2290</x:v>
      </x:c>
      <x:c r="J1114" s="31" t="n">
        <x:v>6945.684148548813</x:v>
      </x:c>
      <x:c r="K1114" s="31"/>
      <x:c r="L1114" s="40"/>
      <x:c r="M1114" s="40"/>
      <x:c r="N1114" s="31" t="n">
        <x:v>236</x:v>
      </x:c>
      <x:c r="O1114" s="31" t="n">
        <x:v>716</x:v>
      </x:c>
      <x:c r="P1114" s="31" t="n">
        <x:v>2.686087570621469</x:v>
      </x:c>
      <x:c r="Q1114" s="40" t="n">
        <x:v>0</x:v>
      </x:c>
      <x:c r="R1114" s="40" t="n">
        <x:v>0.3715083798882682</x:v>
      </x:c>
      <x:c r="S1114" s="40" t="n">
        <x:v>0.002793296089385475</x:v>
      </x:c>
      <x:c r="T1114" s="31" t="n">
        <x:v>30.08203573927431</x:v>
      </x:c>
      <x:c r="U1114" s="31" t="n">
        <x:v>56.57735743</x:v>
      </x:c>
      <x:c r="V1114" s="31" t="n">
        <x:v>3</x:v>
      </x:c>
      <x:c r="W1114" s="31" t="n">
        <x:v>1.3100436681222707</x:v>
      </x:c>
      <x:c r="X1114" s="31" t="n">
        <x:v>5</x:v>
      </x:c>
      <x:c r="Y1114" s="40" t="n">
        <x:v>1</x:v>
      </x:c>
      <x:c r="Z1114" s="40" t="n">
        <x:v>1</x:v>
      </x:c>
      <x:c r="AA1114" s="40" t="n">
        <x:v>0.9622905027932961</x:v>
      </x:c>
      <x:c r="AB1114" s="31" t="n">
        <x:v>0.3409903830986565</x:v>
      </x:c>
      <x:c r="AC1114" s="31" t="n">
        <x:v>10</x:v>
      </x:c>
      <x:c r="AD1114" s="44" t="b">
        <x:v>1</x:v>
      </x:c>
    </x:row>
    <x:row r="1115">
      <x:c r="A1115" s="31" t="str">
        <x:v>36047110400</x:v>
      </x:c>
      <x:c r="B1115" s="31" t="str">
        <x:v>Brooklyn</x:v>
      </x:c>
      <x:c r="C1115" s="31" t="str">
        <x:v>110400</x:v>
      </x:c>
      <x:c r="D1115" s="31" t="str">
        <x:v>BK0503</x:v>
      </x:c>
      <x:c r="E1115" s="31" t="str">
        <x:v>East New York-New Lots</x:v>
      </x:c>
      <x:c r="F1115" s="31" t="n">
        <x:v>0.28660308231390613</x:v>
      </x:c>
      <x:c r="G1115" s="31" t="n">
        <x:v>40.65739911088082</x:v>
      </x:c>
      <x:c r="H1115" s="31" t="n">
        <x:v>-73.88878994659598</x:v>
      </x:c>
      <x:c r="I1115" s="31" t="n">
        <x:v>5068</x:v>
      </x:c>
      <x:c r="J1115" s="31" t="n">
        <x:v>17682.99195906484</x:v>
      </x:c>
      <x:c r="K1115" s="31"/>
      <x:c r="L1115" s="40"/>
      <x:c r="M1115" s="40"/>
      <x:c r="N1115" s="31" t="n">
        <x:v>486</x:v>
      </x:c>
      <x:c r="O1115" s="31" t="n">
        <x:v>1735</x:v>
      </x:c>
      <x:c r="P1115" s="31" t="n">
        <x:v>5.20935080405003</x:v>
      </x:c>
      <x:c r="Q1115" s="40" t="n">
        <x:v>0.1936599423631124</x:v>
      </x:c>
      <x:c r="R1115" s="40" t="n">
        <x:v>0.2512968299711816</x:v>
      </x:c>
      <x:c r="S1115" s="40" t="n">
        <x:v>0.2340057636887608</x:v>
      </x:c>
      <x:c r="T1115" s="31" t="n">
        <x:v>51.33741517543633</x:v>
      </x:c>
      <x:c r="U1115" s="31" t="n">
        <x:v>139.66</x:v>
      </x:c>
      <x:c r="V1115" s="31" t="n">
        <x:v>8</x:v>
      </x:c>
      <x:c r="W1115" s="31" t="n">
        <x:v>1.5785319652722967</x:v>
      </x:c>
      <x:c r="X1115" s="31" t="n">
        <x:v>5</x:v>
      </x:c>
      <x:c r="Y1115" s="40" t="n">
        <x:v>1</x:v>
      </x:c>
      <x:c r="Z1115" s="40" t="n">
        <x:v>1</x:v>
      </x:c>
      <x:c r="AA1115" s="40" t="n">
        <x:v>0.9775216138328531</x:v>
      </x:c>
      <x:c r="AB1115" s="31" t="n">
        <x:v>0.1468547325717453</x:v>
      </x:c>
      <x:c r="AC1115" s="31" t="n">
        <x:v>13</x:v>
      </x:c>
      <x:c r="AD1115" s="44" t="b">
        <x:v>1</x:v>
      </x:c>
    </x:row>
    <x:row r="1116">
      <x:c r="A1116" s="31" t="str">
        <x:v>36047110600</x:v>
      </x:c>
      <x:c r="B1116" s="31" t="str">
        <x:v>Brooklyn</x:v>
      </x:c>
      <x:c r="C1116" s="31" t="str">
        <x:v>110600</x:v>
      </x:c>
      <x:c r="D1116" s="31" t="str">
        <x:v>BK0503</x:v>
      </x:c>
      <x:c r="E1116" s="31" t="str">
        <x:v>East New York-New Lots</x:v>
      </x:c>
      <x:c r="F1116" s="31" t="n">
        <x:v>0.0660486940925591</x:v>
      </x:c>
      <x:c r="G1116" s="31" t="n">
        <x:v>40.65731434255631</x:v>
      </x:c>
      <x:c r="H1116" s="31" t="n">
        <x:v>-73.8842981479869</x:v>
      </x:c>
      <x:c r="I1116" s="31" t="n">
        <x:v>4558</x:v>
      </x:c>
      <x:c r="J1116" s="31" t="n">
        <x:v>69009.69144995547</x:v>
      </x:c>
      <x:c r="K1116" s="31"/>
      <x:c r="L1116" s="40"/>
      <x:c r="M1116" s="40"/>
      <x:c r="N1116" s="31" t="n">
        <x:v>5</x:v>
      </x:c>
      <x:c r="O1116" s="31" t="n">
        <x:v>1899</x:v>
      </x:c>
      <x:c r="P1116" s="31" t="n">
        <x:v>9.840968931016324</x:v>
      </x:c>
      <x:c r="Q1116" s="40" t="n">
        <x:v>0.3981042654028436</x:v>
      </x:c>
      <x:c r="R1116" s="40" t="n">
        <x:v>0.6018957345971564</x:v>
      </x:c>
      <x:c r="S1116" s="40" t="n">
        <x:v>0.9578725645076356</x:v>
      </x:c>
      <x:c r="T1116" s="31" t="n">
        <x:v>129.90285939968405</x:v>
      </x:c>
      <x:c r="U1116" s="31" t="n">
        <x:v>166.19</x:v>
      </x:c>
      <x:c r="V1116" s="31" t="n">
        <x:v>24</x:v>
      </x:c>
      <x:c r="W1116" s="31" t="n">
        <x:v>5.265467310223783</x:v>
      </x:c>
      <x:c r="X1116" s="31" t="n">
        <x:v>5</x:v>
      </x:c>
      <x:c r="Y1116" s="40" t="n">
        <x:v>1</x:v>
      </x:c>
      <x:c r="Z1116" s="40" t="n">
        <x:v>1</x:v>
      </x:c>
      <x:c r="AA1116" s="40" t="n">
        <x:v>1</x:v>
      </x:c>
      <x:c r="AB1116" s="31" t="n">
        <x:v>0.18276780775391424</x:v>
      </x:c>
      <x:c r="AC1116" s="31" t="n">
        <x:v>3</x:v>
      </x:c>
      <x:c r="AD1116" s="44" t="b">
        <x:v>1</x:v>
      </x:c>
    </x:row>
    <x:row r="1117">
      <x:c r="A1117" s="31" t="str">
        <x:v>36047111000</x:v>
      </x:c>
      <x:c r="B1117" s="31" t="str">
        <x:v>Brooklyn</x:v>
      </x:c>
      <x:c r="C1117" s="31" t="str">
        <x:v>111000</x:v>
      </x:c>
      <x:c r="D1117" s="31" t="str">
        <x:v>BK0503</x:v>
      </x:c>
      <x:c r="E1117" s="31" t="str">
        <x:v>East New York-New Lots</x:v>
      </x:c>
      <x:c r="F1117" s="31" t="n">
        <x:v>0.04836679194645317</x:v>
      </x:c>
      <x:c r="G1117" s="31" t="n">
        <x:v>40.66057032407071</x:v>
      </x:c>
      <x:c r="H1117" s="31" t="n">
        <x:v>-73.88136440014986</x:v>
      </x:c>
      <x:c r="I1117" s="31" t="n">
        <x:v>3037</x:v>
      </x:c>
      <x:c r="J1117" s="31" t="n">
        <x:v>62791.015855718935</x:v>
      </x:c>
      <x:c r="K1117" s="31"/>
      <x:c r="L1117" s="40"/>
      <x:c r="M1117" s="40"/>
      <x:c r="N1117" s="31" t="n">
        <x:v>2</x:v>
      </x:c>
      <x:c r="O1117" s="31" t="n">
        <x:v>1316</x:v>
      </x:c>
      <x:c r="P1117" s="31" t="n">
        <x:v>6</x:v>
      </x:c>
      <x:c r="Q1117" s="40" t="n">
        <x:v>0</x:v>
      </x:c>
      <x:c r="R1117" s="40" t="n">
        <x:v>1</x:v>
      </x:c>
      <x:c r="S1117" s="40" t="n">
        <x:v>1</x:v>
      </x:c>
      <x:c r="T1117" s="31" t="n">
        <x:v>95.63662613981764</x:v>
      </x:c>
      <x:c r="U1117" s="31" t="n">
        <x:v>125.01</x:v>
      </x:c>
      <x:c r="V1117" s="31" t="n">
        <x:v>36</x:v>
      </x:c>
      <x:c r="W1117" s="31" t="n">
        <x:v>11.853803095159698</x:v>
      </x:c>
      <x:c r="X1117" s="31" t="n">
        <x:v>5</x:v>
      </x:c>
      <x:c r="Y1117" s="40" t="n">
        <x:v>1</x:v>
      </x:c>
      <x:c r="Z1117" s="40" t="n">
        <x:v>1</x:v>
      </x:c>
      <x:c r="AA1117" s="40" t="n">
        <x:v>1</x:v>
      </x:c>
      <x:c r="AB1117" s="31" t="n">
        <x:v>0.1911952101165085</x:v>
      </x:c>
      <x:c r="AC1117" s="31" t="n">
        <x:v>4</x:v>
      </x:c>
      <x:c r="AD1117" s="44" t="b">
        <x:v>1</x:v>
      </x:c>
    </x:row>
    <x:row r="1118">
      <x:c r="A1118" s="31" t="str">
        <x:v>36047111600</x:v>
      </x:c>
      <x:c r="B1118" s="31" t="str">
        <x:v>Brooklyn</x:v>
      </x:c>
      <x:c r="C1118" s="31" t="str">
        <x:v>111600</x:v>
      </x:c>
      <x:c r="D1118" s="31" t="str">
        <x:v>BK0503</x:v>
      </x:c>
      <x:c r="E1118" s="31" t="str">
        <x:v>East New York-New Lots</x:v>
      </x:c>
      <x:c r="F1118" s="31" t="n">
        <x:v>0.19283520735910237</x:v>
      </x:c>
      <x:c r="G1118" s="31" t="n">
        <x:v>40.66386603371485</x:v>
      </x:c>
      <x:c r="H1118" s="31" t="n">
        <x:v>-73.87568630478306</x:v>
      </x:c>
      <x:c r="I1118" s="31" t="n">
        <x:v>3434</x:v>
      </x:c>
      <x:c r="J1118" s="31" t="n">
        <x:v>17807.951395541182</x:v>
      </x:c>
      <x:c r="K1118" s="31"/>
      <x:c r="L1118" s="40"/>
      <x:c r="M1118" s="40"/>
      <x:c r="N1118" s="31" t="n">
        <x:v>404</x:v>
      </x:c>
      <x:c r="O1118" s="31" t="n">
        <x:v>1004</x:v>
      </x:c>
      <x:c r="P1118" s="31" t="n">
        <x:v>2.906813627254509</x:v>
      </x:c>
      <x:c r="Q1118" s="40" t="n">
        <x:v>0</x:v>
      </x:c>
      <x:c r="R1118" s="40" t="n">
        <x:v>0.42330677290836655</x:v>
      </x:c>
      <x:c r="S1118" s="40" t="n">
        <x:v>0.1344621513944223</x:v>
      </x:c>
      <x:c r="T1118" s="31" t="n">
        <x:v>32.55631167563819</x:v>
      </x:c>
      <x:c r="U1118" s="31" t="n">
        <x:v>65</x:v>
      </x:c>
      <x:c r="V1118" s="31" t="n">
        <x:v>2</x:v>
      </x:c>
      <x:c r="W1118" s="31" t="n">
        <x:v>0.5824111822947001</x:v>
      </x:c>
      <x:c r="X1118" s="31" t="n">
        <x:v>4.0936254980079685</x:v>
      </x:c>
      <x:c r="Y1118" s="40" t="n">
        <x:v>1</x:v>
      </x:c>
      <x:c r="Z1118" s="40" t="n">
        <x:v>1</x:v>
      </x:c>
      <x:c r="AA1118" s="40" t="n">
        <x:v>0.9910358565737052</x:v>
      </x:c>
      <x:c r="AB1118" s="31" t="n">
        <x:v>0.11230872713798996</x:v>
      </x:c>
      <x:c r="AC1118" s="31" t="n">
        <x:v>8</x:v>
      </x:c>
      <x:c r="AD1118" s="44" t="b">
        <x:v>1</x:v>
      </x:c>
    </x:row>
    <x:row r="1119">
      <x:c r="A1119" s="31" t="str">
        <x:v>36047111800</x:v>
      </x:c>
      <x:c r="B1119" s="31" t="str">
        <x:v>Brooklyn</x:v>
      </x:c>
      <x:c r="C1119" s="31" t="str">
        <x:v>111800</x:v>
      </x:c>
      <x:c r="D1119" s="31" t="str">
        <x:v>BK0503</x:v>
      </x:c>
      <x:c r="E1119" s="31" t="str">
        <x:v>East New York-New Lots</x:v>
      </x:c>
      <x:c r="F1119" s="31" t="n">
        <x:v>0.06277078228592746</x:v>
      </x:c>
      <x:c r="G1119" s="31" t="n">
        <x:v>40.668750931166166</x:v>
      </x:c>
      <x:c r="H1119" s="31" t="n">
        <x:v>-73.87602373287808</x:v>
      </x:c>
      <x:c r="I1119" s="31" t="n">
        <x:v>3507</x:v>
      </x:c>
      <x:c r="J1119" s="31" t="n">
        <x:v>55869.942547876</x:v>
      </x:c>
      <x:c r="K1119" s="31"/>
      <x:c r="L1119" s="40"/>
      <x:c r="M1119" s="40"/>
      <x:c r="N1119" s="31" t="n">
        <x:v>389</x:v>
      </x:c>
      <x:c r="O1119" s="31" t="n">
        <x:v>1023</x:v>
      </x:c>
      <x:c r="P1119" s="31" t="n">
        <x:v>2.2751710654936463</x:v>
      </x:c>
      <x:c r="Q1119" s="40" t="n">
        <x:v>0</x:v>
      </x:c>
      <x:c r="R1119" s="40" t="n">
        <x:v>0.2991202346041056</x:v>
      </x:c>
      <x:c r="S1119" s="40" t="n">
        <x:v>0.019550342130987292</x:v>
      </x:c>
      <x:c r="T1119" s="31" t="n">
        <x:v>28.08533275239686</x:v>
      </x:c>
      <x:c r="U1119" s="31" t="n">
        <x:v>42.81310605</x:v>
      </x:c>
      <x:c r="V1119" s="31" t="n">
        <x:v>0</x:v>
      </x:c>
      <x:c r="W1119" s="31" t="n">
        <x:v>0</x:v>
      </x:c>
      <x:c r="X1119" s="31" t="n">
        <x:v>4</x:v>
      </x:c>
      <x:c r="Y1119" s="40" t="n">
        <x:v>1</x:v>
      </x:c>
      <x:c r="Z1119" s="40" t="n">
        <x:v>1</x:v>
      </x:c>
      <x:c r="AA1119" s="40" t="n">
        <x:v>0.9951124144672532</x:v>
      </x:c>
      <x:c r="AB1119" s="31" t="n">
        <x:v>0.12517287099942637</x:v>
      </x:c>
      <x:c r="AC1119" s="31" t="n">
        <x:v>5</x:v>
      </x:c>
      <x:c r="AD1119" s="44" t="b">
        <x:v>1</x:v>
      </x:c>
    </x:row>
    <x:row r="1120">
      <x:c r="A1120" s="31" t="str">
        <x:v>36047112000</x:v>
      </x:c>
      <x:c r="B1120" s="31" t="str">
        <x:v>Brooklyn</x:v>
      </x:c>
      <x:c r="C1120" s="31" t="str">
        <x:v>112000</x:v>
      </x:c>
      <x:c r="D1120" s="31" t="str">
        <x:v>BK0503</x:v>
      </x:c>
      <x:c r="E1120" s="31" t="str">
        <x:v>East New York-New Lots</x:v>
      </x:c>
      <x:c r="F1120" s="31" t="n">
        <x:v>0.0666400217652376</x:v>
      </x:c>
      <x:c r="G1120" s="31" t="n">
        <x:v>40.666625248935766</x:v>
      </x:c>
      <x:c r="H1120" s="31" t="n">
        <x:v>-73.88052561832609</x:v>
      </x:c>
      <x:c r="I1120" s="31" t="n">
        <x:v>3480</x:v>
      </x:c>
      <x:c r="J1120" s="31" t="n">
        <x:v>52220.87129952473</x:v>
      </x:c>
      <x:c r="K1120" s="31"/>
      <x:c r="L1120" s="40"/>
      <x:c r="M1120" s="40"/>
      <x:c r="N1120" s="31" t="n">
        <x:v>407</x:v>
      </x:c>
      <x:c r="O1120" s="31" t="n">
        <x:v>1062</x:v>
      </x:c>
      <x:c r="P1120" s="31" t="n">
        <x:v>2.4030131826742</x:v>
      </x:c>
      <x:c r="Q1120" s="40" t="n">
        <x:v>0</x:v>
      </x:c>
      <x:c r="R1120" s="40" t="n">
        <x:v>0.3248587570621469</x:v>
      </x:c>
      <x:c r="S1120" s="40" t="n">
        <x:v>0.01224105461393597</x:v>
      </x:c>
      <x:c r="T1120" s="31" t="n">
        <x:v>29.61656718711321</x:v>
      </x:c>
      <x:c r="U1120" s="31" t="n">
        <x:v>46.92</x:v>
      </x:c>
      <x:c r="V1120" s="31" t="n">
        <x:v>0</x:v>
      </x:c>
      <x:c r="W1120" s="31" t="n">
        <x:v>0</x:v>
      </x:c>
      <x:c r="X1120" s="31" t="n">
        <x:v>4.12241054613936</x:v>
      </x:c>
      <x:c r="Y1120" s="40" t="n">
        <x:v>1</x:v>
      </x:c>
      <x:c r="Z1120" s="40" t="n">
        <x:v>1</x:v>
      </x:c>
      <x:c r="AA1120" s="40" t="n">
        <x:v>0.9981167608286252</x:v>
      </x:c>
      <x:c r="AB1120" s="31" t="n">
        <x:v>0.2135892498877591</x:v>
      </x:c>
      <x:c r="AC1120" s="31" t="n">
        <x:v>7</x:v>
      </x:c>
      <x:c r="AD1120" s="44" t="b">
        <x:v>1</x:v>
      </x:c>
    </x:row>
    <x:row r="1121">
      <x:c r="A1121" s="31" t="str">
        <x:v>36047112200</x:v>
      </x:c>
      <x:c r="B1121" s="31" t="str">
        <x:v>Brooklyn</x:v>
      </x:c>
      <x:c r="C1121" s="31" t="str">
        <x:v>112200</x:v>
      </x:c>
      <x:c r="D1121" s="31" t="str">
        <x:v>BK0503</x:v>
      </x:c>
      <x:c r="E1121" s="31" t="str">
        <x:v>East New York-New Lots</x:v>
      </x:c>
      <x:c r="F1121" s="31" t="n">
        <x:v>0.06266945719553489</x:v>
      </x:c>
      <x:c r="G1121" s="31" t="n">
        <x:v>40.66372785675619</x:v>
      </x:c>
      <x:c r="H1121" s="31" t="n">
        <x:v>-73.8859224265938</x:v>
      </x:c>
      <x:c r="I1121" s="31" t="n">
        <x:v>3514</x:v>
      </x:c>
      <x:c r="J1121" s="31" t="n">
        <x:v>56071.97121615356</x:v>
      </x:c>
      <x:c r="K1121" s="31"/>
      <x:c r="L1121" s="40"/>
      <x:c r="M1121" s="40"/>
      <x:c r="N1121" s="31" t="n">
        <x:v>376</x:v>
      </x:c>
      <x:c r="O1121" s="31" t="n">
        <x:v>1124</x:v>
      </x:c>
      <x:c r="P1121" s="31" t="n">
        <x:v>2.482827832292596</x:v>
      </x:c>
      <x:c r="Q1121" s="40" t="n">
        <x:v>0</x:v>
      </x:c>
      <x:c r="R1121" s="40" t="n">
        <x:v>0.452846975088968</x:v>
      </x:c>
      <x:c r="S1121" s="40" t="n">
        <x:v>0.004448398576512456</x:v>
      </x:c>
      <x:c r="T1121" s="31" t="n">
        <x:v>29.49977978824733</x:v>
      </x:c>
      <x:c r="U1121" s="31" t="n">
        <x:v>46.74280646</x:v>
      </x:c>
      <x:c r="V1121" s="31" t="n">
        <x:v>3</x:v>
      </x:c>
      <x:c r="W1121" s="31" t="n">
        <x:v>0.8537279453614115</x:v>
      </x:c>
      <x:c r="X1121" s="31" t="n">
        <x:v>5</x:v>
      </x:c>
      <x:c r="Y1121" s="40" t="n">
        <x:v>1</x:v>
      </x:c>
      <x:c r="Z1121" s="40" t="n">
        <x:v>1</x:v>
      </x:c>
      <x:c r="AA1121" s="40" t="n">
        <x:v>1</x:v>
      </x:c>
      <x:c r="AB1121" s="31" t="n">
        <x:v>0.09647217243459698</x:v>
      </x:c>
      <x:c r="AC1121" s="31" t="n">
        <x:v>6</x:v>
      </x:c>
      <x:c r="AD1121" s="44" t="b">
        <x:v>1</x:v>
      </x:c>
    </x:row>
    <x:row r="1122">
      <x:c r="A1122" s="31" t="str">
        <x:v>36047112400</x:v>
      </x:c>
      <x:c r="B1122" s="31" t="str">
        <x:v>Brooklyn</x:v>
      </x:c>
      <x:c r="C1122" s="31" t="str">
        <x:v>112400</x:v>
      </x:c>
      <x:c r="D1122" s="31" t="str">
        <x:v>BK0503</x:v>
      </x:c>
      <x:c r="E1122" s="31" t="str">
        <x:v>East New York-New Lots</x:v>
      </x:c>
      <x:c r="F1122" s="31" t="n">
        <x:v>0.06866745589129936</x:v>
      </x:c>
      <x:c r="G1122" s="31" t="n">
        <x:v>40.66600386321327</x:v>
      </x:c>
      <x:c r="H1122" s="31" t="n">
        <x:v>-73.88715352601818</x:v>
      </x:c>
      <x:c r="I1122" s="31" t="n">
        <x:v>4288</x:v>
      </x:c>
      <x:c r="J1122" s="31" t="n">
        <x:v>62445.884216067476</x:v>
      </x:c>
      <x:c r="K1122" s="31"/>
      <x:c r="L1122" s="40"/>
      <x:c r="M1122" s="40"/>
      <x:c r="N1122" s="31" t="n">
        <x:v>464</x:v>
      </x:c>
      <x:c r="O1122" s="31" t="n">
        <x:v>1327</x:v>
      </x:c>
      <x:c r="P1122" s="31" t="n">
        <x:v>2.7029012810851545</x:v>
      </x:c>
      <x:c r="Q1122" s="40" t="n">
        <x:v>0</x:v>
      </x:c>
      <x:c r="R1122" s="40" t="n">
        <x:v>0.3421250941974378</x:v>
      </x:c>
      <x:c r="S1122" s="40" t="n">
        <x:v>0.00904295403165034</x:v>
      </x:c>
      <x:c r="T1122" s="31" t="n">
        <x:v>33.1807017851559</x:v>
      </x:c>
      <x:c r="U1122" s="31" t="n">
        <x:v>84.1797578</x:v>
      </x:c>
      <x:c r="V1122" s="31" t="n">
        <x:v>4</x:v>
      </x:c>
      <x:c r="W1122" s="31" t="n">
        <x:v>0.9328358208955224</x:v>
      </x:c>
      <x:c r="X1122" s="31" t="n">
        <x:v>5</x:v>
      </x:c>
      <x:c r="Y1122" s="40" t="n">
        <x:v>1</x:v>
      </x:c>
      <x:c r="Z1122" s="40" t="n">
        <x:v>1</x:v>
      </x:c>
      <x:c r="AA1122" s="40" t="n">
        <x:v>0.9909570459683497</x:v>
      </x:c>
      <x:c r="AB1122" s="31" t="n">
        <x:v>0.08093675790315276</x:v>
      </x:c>
      <x:c r="AC1122" s="31" t="n">
        <x:v>7</x:v>
      </x:c>
      <x:c r="AD1122" s="44" t="b">
        <x:v>1</x:v>
      </x:c>
    </x:row>
    <x:row r="1123">
      <x:c r="A1123" s="31" t="str">
        <x:v>36047112600</x:v>
      </x:c>
      <x:c r="B1123" s="31" t="str">
        <x:v>Brooklyn</x:v>
      </x:c>
      <x:c r="C1123" s="31" t="str">
        <x:v>112600</x:v>
      </x:c>
      <x:c r="D1123" s="31" t="str">
        <x:v>BK0503</x:v>
      </x:c>
      <x:c r="E1123" s="31" t="str">
        <x:v>East New York-New Lots</x:v>
      </x:c>
      <x:c r="F1123" s="31" t="n">
        <x:v>0.06504935841655189</x:v>
      </x:c>
      <x:c r="G1123" s="31" t="n">
        <x:v>40.664898639223395</x:v>
      </x:c>
      <x:c r="H1123" s="31" t="n">
        <x:v>-73.89311170500075</x:v>
      </x:c>
      <x:c r="I1123" s="31" t="n">
        <x:v>4368</x:v>
      </x:c>
      <x:c r="J1123" s="31" t="n">
        <x:v>67149.00971088682</x:v>
      </x:c>
      <x:c r="K1123" s="31"/>
      <x:c r="L1123" s="40"/>
      <x:c r="M1123" s="40"/>
      <x:c r="N1123" s="31" t="n">
        <x:v>367</x:v>
      </x:c>
      <x:c r="O1123" s="31" t="n">
        <x:v>1466</x:v>
      </x:c>
      <x:c r="P1123" s="31" t="n">
        <x:v>3.1004243281471005</x:v>
      </x:c>
      <x:c r="Q1123" s="40" t="n">
        <x:v>0</x:v>
      </x:c>
      <x:c r="R1123" s="40" t="n">
        <x:v>0.4781718963165075</x:v>
      </x:c>
      <x:c r="S1123" s="40" t="n">
        <x:v>0.018417462482946793</x:v>
      </x:c>
      <x:c r="T1123" s="31" t="n">
        <x:v>39.28630998491132</x:v>
      </x:c>
      <x:c r="U1123" s="31" t="n">
        <x:v>81</x:v>
      </x:c>
      <x:c r="V1123" s="31" t="n">
        <x:v>6</x:v>
      </x:c>
      <x:c r="W1123" s="31" t="n">
        <x:v>1.3736263736263736</x:v>
      </x:c>
      <x:c r="X1123" s="31" t="n">
        <x:v>5</x:v>
      </x:c>
      <x:c r="Y1123" s="40" t="n">
        <x:v>1</x:v>
      </x:c>
      <x:c r="Z1123" s="40" t="n">
        <x:v>1</x:v>
      </x:c>
      <x:c r="AA1123" s="40" t="n">
        <x:v>1</x:v>
      </x:c>
      <x:c r="AB1123" s="31" t="n">
        <x:v>0.07011413752896523</x:v>
      </x:c>
      <x:c r="AC1123" s="31" t="n">
        <x:v>6</x:v>
      </x:c>
      <x:c r="AD1123" s="44" t="b">
        <x:v>1</x:v>
      </x:c>
    </x:row>
    <x:row r="1124">
      <x:c r="A1124" s="31" t="str">
        <x:v>36047112800</x:v>
      </x:c>
      <x:c r="B1124" s="31" t="str">
        <x:v>Brooklyn</x:v>
      </x:c>
      <x:c r="C1124" s="31" t="str">
        <x:v>112800</x:v>
      </x:c>
      <x:c r="D1124" s="31" t="str">
        <x:v>BK0503</x:v>
      </x:c>
      <x:c r="E1124" s="31" t="str">
        <x:v>East New York-New Lots</x:v>
      </x:c>
      <x:c r="F1124" s="31" t="n">
        <x:v>0.07112309283674817</x:v>
      </x:c>
      <x:c r="G1124" s="31" t="n">
        <x:v>40.66174111403621</x:v>
      </x:c>
      <x:c r="H1124" s="31" t="n">
        <x:v>-73.89210886533746</x:v>
      </x:c>
      <x:c r="I1124" s="31" t="n">
        <x:v>4461</x:v>
      </x:c>
      <x:c r="J1124" s="31" t="n">
        <x:v>62722.24423984937</x:v>
      </x:c>
      <x:c r="K1124" s="31"/>
      <x:c r="L1124" s="40"/>
      <x:c r="M1124" s="40"/>
      <x:c r="N1124" s="31" t="n">
        <x:v>528</x:v>
      </x:c>
      <x:c r="O1124" s="31" t="n">
        <x:v>1453</x:v>
      </x:c>
      <x:c r="P1124" s="31" t="n">
        <x:v>2.233103448275862</x:v>
      </x:c>
      <x:c r="Q1124" s="40" t="n">
        <x:v>0</x:v>
      </x:c>
      <x:c r="R1124" s="40" t="n">
        <x:v>0.1988988300068823</x:v>
      </x:c>
      <x:c r="S1124" s="40" t="n">
        <x:v>0.011011699931176875</x:v>
      </x:c>
      <x:c r="T1124" s="31" t="n">
        <x:v>27.99351959544391</x:v>
      </x:c>
      <x:c r="U1124" s="31" t="n">
        <x:v>47.83</x:v>
      </x:c>
      <x:c r="V1124" s="31" t="n">
        <x:v>0</x:v>
      </x:c>
      <x:c r="W1124" s="31" t="n">
        <x:v>0</x:v>
      </x:c>
      <x:c r="X1124" s="31" t="n">
        <x:v>5</x:v>
      </x:c>
      <x:c r="Y1124" s="40" t="n">
        <x:v>1</x:v>
      </x:c>
      <x:c r="Z1124" s="40" t="n">
        <x:v>1</x:v>
      </x:c>
      <x:c r="AA1124" s="40" t="n">
        <x:v>1</x:v>
      </x:c>
      <x:c r="AB1124" s="31" t="n">
        <x:v>0.1437124637813576</x:v>
      </x:c>
      <x:c r="AC1124" s="31" t="n">
        <x:v>5</x:v>
      </x:c>
      <x:c r="AD1124" s="44" t="b">
        <x:v>1</x:v>
      </x:c>
    </x:row>
    <x:row r="1125">
      <x:c r="A1125" s="31" t="str">
        <x:v>36047113000</x:v>
      </x:c>
      <x:c r="B1125" s="31" t="str">
        <x:v>Brooklyn</x:v>
      </x:c>
      <x:c r="C1125" s="31" t="str">
        <x:v>113000</x:v>
      </x:c>
      <x:c r="D1125" s="31" t="str">
        <x:v>BK0503</x:v>
      </x:c>
      <x:c r="E1125" s="31" t="str">
        <x:v>East New York-New Lots</x:v>
      </x:c>
      <x:c r="F1125" s="31" t="n">
        <x:v>0.07483501702895431</x:v>
      </x:c>
      <x:c r="G1125" s="31" t="n">
        <x:v>40.66217243122947</x:v>
      </x:c>
      <x:c r="H1125" s="31" t="n">
        <x:v>-73.8964710066464</x:v>
      </x:c>
      <x:c r="I1125" s="31" t="n">
        <x:v>4460</x:v>
      </x:c>
      <x:c r="J1125" s="31" t="n">
        <x:v>59597.76822492587</x:v>
      </x:c>
      <x:c r="K1125" s="31"/>
      <x:c r="L1125" s="40"/>
      <x:c r="M1125" s="40"/>
      <x:c r="N1125" s="31" t="n">
        <x:v>470</x:v>
      </x:c>
      <x:c r="O1125" s="31" t="n">
        <x:v>1648</x:v>
      </x:c>
      <x:c r="P1125" s="31" t="n">
        <x:v>3.152058432934927</x:v>
      </x:c>
      <x:c r="Q1125" s="40" t="n">
        <x:v>0</x:v>
      </x:c>
      <x:c r="R1125" s="40" t="n">
        <x:v>0.44478155339805825</x:v>
      </x:c>
      <x:c r="S1125" s="40" t="n">
        <x:v>0.11286407766990292</x:v>
      </x:c>
      <x:c r="T1125" s="31" t="n">
        <x:v>41.463673293732526</x:v>
      </x:c>
      <x:c r="U1125" s="31" t="n">
        <x:v>80</x:v>
      </x:c>
      <x:c r="V1125" s="31" t="n">
        <x:v>8</x:v>
      </x:c>
      <x:c r="W1125" s="31" t="n">
        <x:v>1.7937219730941705</x:v>
      </x:c>
      <x:c r="X1125" s="31" t="n">
        <x:v>5</x:v>
      </x:c>
      <x:c r="Y1125" s="40" t="n">
        <x:v>1</x:v>
      </x:c>
      <x:c r="Z1125" s="40" t="n">
        <x:v>1</x:v>
      </x:c>
      <x:c r="AA1125" s="40" t="n">
        <x:v>0.9981796116504854</x:v>
      </x:c>
      <x:c r="AB1125" s="31" t="n">
        <x:v>0.09028704933980987</x:v>
      </x:c>
      <x:c r="AC1125" s="31" t="n">
        <x:v>6</x:v>
      </x:c>
      <x:c r="AD1125" s="44" t="b">
        <x:v>1</x:v>
      </x:c>
    </x:row>
    <x:row r="1126">
      <x:c r="A1126" s="31" t="str">
        <x:v>36047113200</x:v>
      </x:c>
      <x:c r="B1126" s="31" t="str">
        <x:v>Brooklyn</x:v>
      </x:c>
      <x:c r="C1126" s="31" t="str">
        <x:v>113200</x:v>
      </x:c>
      <x:c r="D1126" s="31" t="str">
        <x:v>BK0503</x:v>
      </x:c>
      <x:c r="E1126" s="31" t="str">
        <x:v>East New York-New Lots</x:v>
      </x:c>
      <x:c r="F1126" s="31" t="n">
        <x:v>0.075652642194674</x:v>
      </x:c>
      <x:c r="G1126" s="31" t="n">
        <x:v>40.66129781737123</x:v>
      </x:c>
      <x:c r="H1126" s="31" t="n">
        <x:v>-73.8988929493787</x:v>
      </x:c>
      <x:c r="I1126" s="31" t="n">
        <x:v>2427</x:v>
      </x:c>
      <x:c r="J1126" s="31" t="n">
        <x:v>32080.835904642896</x:v>
      </x:c>
      <x:c r="K1126" s="31"/>
      <x:c r="L1126" s="40"/>
      <x:c r="M1126" s="40"/>
      <x:c r="N1126" s="31" t="n">
        <x:v>419</x:v>
      </x:c>
      <x:c r="O1126" s="31" t="n">
        <x:v>1083</x:v>
      </x:c>
      <x:c r="P1126" s="31" t="n">
        <x:v>4.126629422718808</x:v>
      </x:c>
      <x:c r="Q1126" s="40" t="n">
        <x:v>0</x:v>
      </x:c>
      <x:c r="R1126" s="40" t="n">
        <x:v>0.5281625115420129</x:v>
      </x:c>
      <x:c r="S1126" s="40" t="n">
        <x:v>0</x:v>
      </x:c>
      <x:c r="T1126" s="31" t="n">
        <x:v>45.17529278150685</x:v>
      </x:c>
      <x:c r="U1126" s="31" t="n">
        <x:v>85</x:v>
      </x:c>
      <x:c r="V1126" s="31" t="n">
        <x:v>14</x:v>
      </x:c>
      <x:c r="W1126" s="31" t="n">
        <x:v>5.7684384013185</x:v>
      </x:c>
      <x:c r="X1126" s="31" t="n">
        <x:v>5</x:v>
      </x:c>
      <x:c r="Y1126" s="40" t="n">
        <x:v>1</x:v>
      </x:c>
      <x:c r="Z1126" s="40" t="n">
        <x:v>1</x:v>
      </x:c>
      <x:c r="AA1126" s="40" t="n">
        <x:v>0.9436749769159741</x:v>
      </x:c>
      <x:c r="AB1126" s="31" t="n">
        <x:v>0.22730052568880824</x:v>
      </x:c>
      <x:c r="AC1126" s="31" t="n">
        <x:v>7</x:v>
      </x:c>
      <x:c r="AD1126" s="44" t="b">
        <x:v>1</x:v>
      </x:c>
    </x:row>
    <x:row r="1127">
      <x:c r="A1127" s="31" t="str">
        <x:v>36047113400</x:v>
      </x:c>
      <x:c r="B1127" s="31" t="str">
        <x:v>Brooklyn</x:v>
      </x:c>
      <x:c r="C1127" s="31" t="str">
        <x:v>113400</x:v>
      </x:c>
      <x:c r="D1127" s="31" t="str">
        <x:v>BK0502</x:v>
      </x:c>
      <x:c r="E1127" s="31" t="str">
        <x:v>East New York (North)</x:v>
      </x:c>
      <x:c r="F1127" s="31" t="n">
        <x:v>0.059228583401486457</x:v>
      </x:c>
      <x:c r="G1127" s="31" t="n">
        <x:v>40.66777928114764</x:v>
      </x:c>
      <x:c r="H1127" s="31" t="n">
        <x:v>-73.89960811363444</x:v>
      </x:c>
      <x:c r="I1127" s="31" t="n">
        <x:v>2658</x:v>
      </x:c>
      <x:c r="J1127" s="31" t="n">
        <x:v>44876.98079797891</x:v>
      </x:c>
      <x:c r="K1127" s="31"/>
      <x:c r="L1127" s="40"/>
      <x:c r="M1127" s="40"/>
      <x:c r="N1127" s="31" t="n">
        <x:v>88</x:v>
      </x:c>
      <x:c r="O1127" s="31" t="n">
        <x:v>1141</x:v>
      </x:c>
      <x:c r="P1127" s="31" t="n">
        <x:v>5.818101933216169</x:v>
      </x:c>
      <x:c r="Q1127" s="40" t="n">
        <x:v>0.16126205083260298</x:v>
      </x:c>
      <x:c r="R1127" s="40" t="n">
        <x:v>0.7677475898334793</x:v>
      </x:c>
      <x:c r="S1127" s="40" t="n">
        <x:v>0</x:v>
      </x:c>
      <x:c r="T1127" s="31" t="n">
        <x:v>65.27266954230222</x:v>
      </x:c>
      <x:c r="U1127" s="31" t="n">
        <x:v>118</x:v>
      </x:c>
      <x:c r="V1127" s="31" t="n">
        <x:v>18</x:v>
      </x:c>
      <x:c r="W1127" s="31" t="n">
        <x:v>6.772009029345372</x:v>
      </x:c>
      <x:c r="X1127" s="31" t="n">
        <x:v>5</x:v>
      </x:c>
      <x:c r="Y1127" s="40" t="n">
        <x:v>1</x:v>
      </x:c>
      <x:c r="Z1127" s="40" t="n">
        <x:v>1</x:v>
      </x:c>
      <x:c r="AA1127" s="40" t="n">
        <x:v>0.985977212971078</x:v>
      </x:c>
      <x:c r="AB1127" s="31" t="n">
        <x:v>0.07410558068586644</x:v>
      </x:c>
      <x:c r="AC1127" s="31" t="n">
        <x:v>6</x:v>
      </x:c>
      <x:c r="AD1127" s="44" t="b">
        <x:v>1</x:v>
      </x:c>
    </x:row>
    <x:row r="1128">
      <x:c r="A1128" s="31" t="str">
        <x:v>36047114201</x:v>
      </x:c>
      <x:c r="B1128" s="31" t="str">
        <x:v>Brooklyn</x:v>
      </x:c>
      <x:c r="C1128" s="31" t="str">
        <x:v>114201</x:v>
      </x:c>
      <x:c r="D1128" s="31" t="str">
        <x:v>BK0501</x:v>
      </x:c>
      <x:c r="E1128" s="31" t="str">
        <x:v>Cypress Hills</x:v>
      </x:c>
      <x:c r="F1128" s="31" t="n">
        <x:v>0.11565432222760273</x:v>
      </x:c>
      <x:c r="G1128" s="31" t="n">
        <x:v>40.680464079598494</x:v>
      </x:c>
      <x:c r="H1128" s="31" t="n">
        <x:v>-73.89729477026803</x:v>
      </x:c>
      <x:c r="I1128" s="31" t="n">
        <x:v>1880</x:v>
      </x:c>
      <x:c r="J1128" s="31" t="n">
        <x:v>16255.337144255109</x:v>
      </x:c>
      <x:c r="K1128" s="31"/>
      <x:c r="L1128" s="40"/>
      <x:c r="M1128" s="40"/>
      <x:c r="N1128" s="31" t="n">
        <x:v>255</x:v>
      </x:c>
      <x:c r="O1128" s="31" t="n">
        <x:v>515</x:v>
      </x:c>
      <x:c r="P1128" s="31" t="n">
        <x:v>2.5529126213592233</x:v>
      </x:c>
      <x:c r="Q1128" s="40" t="n">
        <x:v>0</x:v>
      </x:c>
      <x:c r="R1128" s="40" t="n">
        <x:v>0.23300970873786409</x:v>
      </x:c>
      <x:c r="S1128" s="40" t="n">
        <x:v>0.011650485436893204</x:v>
      </x:c>
      <x:c r="T1128" s="31" t="n">
        <x:v>31.965433541536964</x:v>
      </x:c>
      <x:c r="U1128" s="31" t="n">
        <x:v>54</x:v>
      </x:c>
      <x:c r="V1128" s="31" t="n">
        <x:v>2</x:v>
      </x:c>
      <x:c r="W1128" s="31" t="n">
        <x:v>1.0638297872340425</x:v>
      </x:c>
      <x:c r="X1128" s="31" t="n">
        <x:v>5</x:v>
      </x:c>
      <x:c r="Y1128" s="40" t="n">
        <x:v>1</x:v>
      </x:c>
      <x:c r="Z1128" s="40" t="n">
        <x:v>1</x:v>
      </x:c>
      <x:c r="AA1128" s="40" t="n">
        <x:v>0.9980582524271845</x:v>
      </x:c>
      <x:c r="AB1128" s="31" t="n">
        <x:v>0.12122850999560544</x:v>
      </x:c>
      <x:c r="AC1128" s="31" t="n">
        <x:v>8</x:v>
      </x:c>
      <x:c r="AD1128" s="44" t="b">
        <x:v>1</x:v>
      </x:c>
    </x:row>
    <x:row r="1129">
      <x:c r="A1129" s="31" t="str">
        <x:v>36047114202</x:v>
      </x:c>
      <x:c r="B1129" s="31" t="str">
        <x:v>Brooklyn</x:v>
      </x:c>
      <x:c r="C1129" s="31" t="str">
        <x:v>114202</x:v>
      </x:c>
      <x:c r="D1129" s="31" t="str">
        <x:v>BK0501</x:v>
      </x:c>
      <x:c r="E1129" s="31" t="str">
        <x:v>Cypress Hills</x:v>
      </x:c>
      <x:c r="F1129" s="31" t="n">
        <x:v>0.04615517460542929</x:v>
      </x:c>
      <x:c r="G1129" s="31" t="n">
        <x:v>40.682483154548926</x:v>
      </x:c>
      <x:c r="H1129" s="31" t="n">
        <x:v>-73.89122600687838</x:v>
      </x:c>
      <x:c r="I1129" s="31" t="n">
        <x:v>2670</x:v>
      </x:c>
      <x:c r="J1129" s="31" t="n">
        <x:v>57848.33494457032</x:v>
      </x:c>
      <x:c r="K1129" s="31"/>
      <x:c r="L1129" s="40"/>
      <x:c r="M1129" s="40"/>
      <x:c r="N1129" s="31" t="n">
        <x:v>236</x:v>
      </x:c>
      <x:c r="O1129" s="31" t="n">
        <x:v>786</x:v>
      </x:c>
      <x:c r="P1129" s="31" t="n">
        <x:v>4.001908396946565</x:v>
      </x:c>
      <x:c r="Q1129" s="40" t="n">
        <x:v>0</x:v>
      </x:c>
      <x:c r="R1129" s="40" t="n">
        <x:v>0.5292620865139949</x:v>
      </x:c>
      <x:c r="S1129" s="40" t="n">
        <x:v>0.11195928753180662</x:v>
      </x:c>
      <x:c r="T1129" s="31" t="n">
        <x:v>48.65109741793893</x:v>
      </x:c>
      <x:c r="U1129" s="31" t="n">
        <x:v>81.08615594</x:v>
      </x:c>
      <x:c r="V1129" s="31" t="n">
        <x:v>7</x:v>
      </x:c>
      <x:c r="W1129" s="31" t="n">
        <x:v>2.6217228464419478</x:v>
      </x:c>
      <x:c r="X1129" s="31" t="n">
        <x:v>5</x:v>
      </x:c>
      <x:c r="Y1129" s="40" t="n">
        <x:v>1</x:v>
      </x:c>
      <x:c r="Z1129" s="40" t="n">
        <x:v>1</x:v>
      </x:c>
      <x:c r="AA1129" s="40" t="n">
        <x:v>1</x:v>
      </x:c>
      <x:c r="AB1129" s="31" t="n">
        <x:v>0.2395758690954968</x:v>
      </x:c>
      <x:c r="AC1129" s="31" t="n">
        <x:v>5</x:v>
      </x:c>
      <x:c r="AD1129" s="44" t="b">
        <x:v>1</x:v>
      </x:c>
    </x:row>
    <x:row r="1130">
      <x:c r="A1130" s="31" t="str">
        <x:v>36047114400</x:v>
      </x:c>
      <x:c r="B1130" s="31" t="str">
        <x:v>Brooklyn</x:v>
      </x:c>
      <x:c r="C1130" s="31" t="str">
        <x:v>114400</x:v>
      </x:c>
      <x:c r="D1130" s="31" t="str">
        <x:v>BK0502</x:v>
      </x:c>
      <x:c r="E1130" s="31" t="str">
        <x:v>East New York (North)</x:v>
      </x:c>
      <x:c r="F1130" s="31" t="n">
        <x:v>0.16563325623816288</x:v>
      </x:c>
      <x:c r="G1130" s="31" t="n">
        <x:v>40.67280279829385</x:v>
      </x:c>
      <x:c r="H1130" s="31" t="n">
        <x:v>-73.89854721211171</x:v>
      </x:c>
      <x:c r="I1130" s="31" t="n">
        <x:v>2414</x:v>
      </x:c>
      <x:c r="J1130" s="31" t="n">
        <x:v>14574.36782217773</x:v>
      </x:c>
      <x:c r="K1130" s="31"/>
      <x:c r="L1130" s="40"/>
      <x:c r="M1130" s="40"/>
      <x:c r="N1130" s="31" t="n">
        <x:v>184</x:v>
      </x:c>
      <x:c r="O1130" s="31" t="n">
        <x:v>877</x:v>
      </x:c>
      <x:c r="P1130" s="31" t="n">
        <x:v>3.7611850060459493</x:v>
      </x:c>
      <x:c r="Q1130" s="40" t="n">
        <x:v>0</x:v>
      </x:c>
      <x:c r="R1130" s="40" t="n">
        <x:v>0.6499429874572406</x:v>
      </x:c>
      <x:c r="S1130" s="40" t="n">
        <x:v>0</x:v>
      </x:c>
      <x:c r="T1130" s="31" t="n">
        <x:v>43.87539253222733</x:v>
      </x:c>
      <x:c r="U1130" s="31" t="n">
        <x:v>80</x:v>
      </x:c>
      <x:c r="V1130" s="31" t="n">
        <x:v>9</x:v>
      </x:c>
      <x:c r="W1130" s="31" t="n">
        <x:v>3.728251864125932</x:v>
      </x:c>
      <x:c r="X1130" s="31" t="n">
        <x:v>5</x:v>
      </x:c>
      <x:c r="Y1130" s="40" t="n">
        <x:v>1</x:v>
      </x:c>
      <x:c r="Z1130" s="40" t="n">
        <x:v>1</x:v>
      </x:c>
      <x:c r="AA1130" s="40" t="n">
        <x:v>0.9931584948688712</x:v>
      </x:c>
      <x:c r="AB1130" s="31" t="n">
        <x:v>0.15275682842657723</x:v>
      </x:c>
      <x:c r="AC1130" s="31" t="n">
        <x:v>9</x:v>
      </x:c>
      <x:c r="AD1130" s="44" t="b">
        <x:v>1</x:v>
      </x:c>
    </x:row>
    <x:row r="1131">
      <x:c r="A1131" s="31" t="str">
        <x:v>36047114600</x:v>
      </x:c>
      <x:c r="B1131" s="31" t="str">
        <x:v>Brooklyn</x:v>
      </x:c>
      <x:c r="C1131" s="31" t="str">
        <x:v>114600</x:v>
      </x:c>
      <x:c r="D1131" s="31" t="str">
        <x:v>BK0501</x:v>
      </x:c>
      <x:c r="E1131" s="31" t="str">
        <x:v>Cypress Hills</x:v>
      </x:c>
      <x:c r="F1131" s="31" t="n">
        <x:v>0.061910755882331844</x:v>
      </x:c>
      <x:c r="G1131" s="31" t="n">
        <x:v>40.67920684062296</x:v>
      </x:c>
      <x:c r="H1131" s="31" t="n">
        <x:v>-73.89234581699061</x:v>
      </x:c>
      <x:c r="I1131" s="31" t="n">
        <x:v>3134</x:v>
      </x:c>
      <x:c r="J1131" s="31" t="n">
        <x:v>50621.25240332245</x:v>
      </x:c>
      <x:c r="K1131" s="31"/>
      <x:c r="L1131" s="40"/>
      <x:c r="M1131" s="40"/>
      <x:c r="N1131" s="31" t="n">
        <x:v>353</x:v>
      </x:c>
      <x:c r="O1131" s="31" t="n">
        <x:v>1100</x:v>
      </x:c>
      <x:c r="P1131" s="31" t="n">
        <x:v>3.403921971252567</x:v>
      </x:c>
      <x:c r="Q1131" s="40" t="n">
        <x:v>0</x:v>
      </x:c>
      <x:c r="R1131" s="40" t="n">
        <x:v>0.41545454545454547</x:v>
      </x:c>
      <x:c r="S1131" s="40" t="n">
        <x:v>0.011818181818181818</x:v>
      </x:c>
      <x:c r="T1131" s="31" t="n">
        <x:v>46.66238791193431</x:v>
      </x:c>
      <x:c r="U1131" s="31" t="n">
        <x:v>96</x:v>
      </x:c>
      <x:c r="V1131" s="31" t="n">
        <x:v>6</x:v>
      </x:c>
      <x:c r="W1131" s="31" t="n">
        <x:v>1.9144862795149968</x:v>
      </x:c>
      <x:c r="X1131" s="31" t="n">
        <x:v>5</x:v>
      </x:c>
      <x:c r="Y1131" s="40" t="n">
        <x:v>1</x:v>
      </x:c>
      <x:c r="Z1131" s="40" t="n">
        <x:v>1</x:v>
      </x:c>
      <x:c r="AA1131" s="40" t="n">
        <x:v>0.9963636363636363</x:v>
      </x:c>
      <x:c r="AB1131" s="31" t="n">
        <x:v>0.16642674991977552</x:v>
      </x:c>
      <x:c r="AC1131" s="31" t="n">
        <x:v>5</x:v>
      </x:c>
      <x:c r="AD1131" s="44" t="b">
        <x:v>1</x:v>
      </x:c>
    </x:row>
    <x:row r="1132">
      <x:c r="A1132" s="31" t="str">
        <x:v>36047115000</x:v>
      </x:c>
      <x:c r="B1132" s="31" t="str">
        <x:v>Brooklyn</x:v>
      </x:c>
      <x:c r="C1132" s="31" t="str">
        <x:v>115000</x:v>
      </x:c>
      <x:c r="D1132" s="31" t="str">
        <x:v>BK0502</x:v>
      </x:c>
      <x:c r="E1132" s="31" t="str">
        <x:v>East New York (North)</x:v>
      </x:c>
      <x:c r="F1132" s="31" t="n">
        <x:v>0.06109871276221017</x:v>
      </x:c>
      <x:c r="G1132" s="31" t="n">
        <x:v>40.67392241479091</x:v>
      </x:c>
      <x:c r="H1132" s="31" t="n">
        <x:v>-73.88652249923626</x:v>
      </x:c>
      <x:c r="I1132" s="31" t="n">
        <x:v>3123</x:v>
      </x:c>
      <x:c r="J1132" s="31" t="n">
        <x:v>51114.006479226344</x:v>
      </x:c>
      <x:c r="K1132" s="31"/>
      <x:c r="L1132" s="40"/>
      <x:c r="M1132" s="40"/>
      <x:c r="N1132" s="31" t="n">
        <x:v>356</x:v>
      </x:c>
      <x:c r="O1132" s="31" t="n">
        <x:v>976</x:v>
      </x:c>
      <x:c r="P1132" s="31" t="n">
        <x:v>2.779214064115822</x:v>
      </x:c>
      <x:c r="Q1132" s="40" t="n">
        <x:v>0</x:v>
      </x:c>
      <x:c r="R1132" s="40" t="n">
        <x:v>0.48770491803278687</x:v>
      </x:c>
      <x:c r="S1132" s="40" t="n">
        <x:v>0.005122950819672131</x:v>
      </x:c>
      <x:c r="T1132" s="31" t="n">
        <x:v>33.02814700676379</x:v>
      </x:c>
      <x:c r="U1132" s="31" t="n">
        <x:v>72</x:v>
      </x:c>
      <x:c r="V1132" s="31" t="n">
        <x:v>3</x:v>
      </x:c>
      <x:c r="W1132" s="31" t="n">
        <x:v>0.9606147934678194</x:v>
      </x:c>
      <x:c r="X1132" s="31" t="n">
        <x:v>4.933401639344262</x:v>
      </x:c>
      <x:c r="Y1132" s="40" t="n">
        <x:v>1</x:v>
      </x:c>
      <x:c r="Z1132" s="40" t="n">
        <x:v>1</x:v>
      </x:c>
      <x:c r="AA1132" s="40" t="n">
        <x:v>0.9846311475409836</x:v>
      </x:c>
      <x:c r="AB1132" s="31" t="n">
        <x:v>0.11370096186609893</x:v>
      </x:c>
      <x:c r="AC1132" s="31" t="n">
        <x:v>7</x:v>
      </x:c>
      <x:c r="AD1132" s="44" t="b">
        <x:v>1</x:v>
      </x:c>
    </x:row>
    <x:row r="1133">
      <x:c r="A1133" s="31" t="str">
        <x:v>36047115200</x:v>
      </x:c>
      <x:c r="B1133" s="31" t="str">
        <x:v>Brooklyn</x:v>
      </x:c>
      <x:c r="C1133" s="31" t="str">
        <x:v>115200</x:v>
      </x:c>
      <x:c r="D1133" s="31" t="str">
        <x:v>BK0502</x:v>
      </x:c>
      <x:c r="E1133" s="31" t="str">
        <x:v>East New York (North)</x:v>
      </x:c>
      <x:c r="F1133" s="31" t="n">
        <x:v>0.06414470975952709</x:v>
      </x:c>
      <x:c r="G1133" s="31" t="n">
        <x:v>40.67326927194711</x:v>
      </x:c>
      <x:c r="H1133" s="31" t="n">
        <x:v>-73.89092997675587</x:v>
      </x:c>
      <x:c r="I1133" s="31" t="n">
        <x:v>3496</x:v>
      </x:c>
      <x:c r="J1133" s="31" t="n">
        <x:v>54501.76660095897</x:v>
      </x:c>
      <x:c r="K1133" s="31"/>
      <x:c r="L1133" s="40"/>
      <x:c r="M1133" s="40"/>
      <x:c r="N1133" s="31" t="n">
        <x:v>378</x:v>
      </x:c>
      <x:c r="O1133" s="31" t="n">
        <x:v>985</x:v>
      </x:c>
      <x:c r="P1133" s="31" t="n">
        <x:v>2.784517766497462</x:v>
      </x:c>
      <x:c r="Q1133" s="40" t="n">
        <x:v>0</x:v>
      </x:c>
      <x:c r="R1133" s="40" t="n">
        <x:v>0.5147208121827411</x:v>
      </x:c>
      <x:c r="S1133" s="40" t="n">
        <x:v>0.08730964467005076</x:v>
      </x:c>
      <x:c r="T1133" s="31" t="n">
        <x:v>32.698987801033056</x:v>
      </x:c>
      <x:c r="U1133" s="31" t="n">
        <x:v>56.74</x:v>
      </x:c>
      <x:c r="V1133" s="31" t="n">
        <x:v>2</x:v>
      </x:c>
      <x:c r="W1133" s="31" t="n">
        <x:v>0.5720823798627003</x:v>
      </x:c>
      <x:c r="X1133" s="31" t="n">
        <x:v>5</x:v>
      </x:c>
      <x:c r="Y1133" s="40" t="n">
        <x:v>1</x:v>
      </x:c>
      <x:c r="Z1133" s="40" t="n">
        <x:v>1</x:v>
      </x:c>
      <x:c r="AA1133" s="40" t="n">
        <x:v>0.9827411167512691</x:v>
      </x:c>
      <x:c r="AB1133" s="31" t="n">
        <x:v>0.1691357467059216</x:v>
      </x:c>
      <x:c r="AC1133" s="31" t="n">
        <x:v>5</x:v>
      </x:c>
      <x:c r="AD1133" s="44" t="b">
        <x:v>1</x:v>
      </x:c>
    </x:row>
    <x:row r="1134">
      <x:c r="A1134" s="31" t="str">
        <x:v>36047115600</x:v>
      </x:c>
      <x:c r="B1134" s="31" t="str">
        <x:v>Brooklyn</x:v>
      </x:c>
      <x:c r="C1134" s="31" t="str">
        <x:v>115600</x:v>
      </x:c>
      <x:c r="D1134" s="31" t="str">
        <x:v>BK0502</x:v>
      </x:c>
      <x:c r="E1134" s="31" t="str">
        <x:v>East New York (North)</x:v>
      </x:c>
      <x:c r="F1134" s="31" t="n">
        <x:v>0.06173023405611513</x:v>
      </x:c>
      <x:c r="G1134" s="31" t="n">
        <x:v>40.66832633227703</x:v>
      </x:c>
      <x:c r="H1134" s="31" t="n">
        <x:v>-73.8958948883821</x:v>
      </x:c>
      <x:c r="I1134" s="31" t="n">
        <x:v>4452</x:v>
      </x:c>
      <x:c r="J1134" s="31" t="n">
        <x:v>72120.25141445216</x:v>
      </x:c>
      <x:c r="K1134" s="31"/>
      <x:c r="L1134" s="40"/>
      <x:c r="M1134" s="40"/>
      <x:c r="N1134" s="31" t="n">
        <x:v>186</x:v>
      </x:c>
      <x:c r="O1134" s="31" t="n">
        <x:v>1792</x:v>
      </x:c>
      <x:c r="P1134" s="31" t="n">
        <x:v>5.129464285714286</x:v>
      </x:c>
      <x:c r="Q1134" s="40" t="n">
        <x:v>0</x:v>
      </x:c>
      <x:c r="R1134" s="40" t="n">
        <x:v>0.9246651785714286</x:v>
      </x:c>
      <x:c r="S1134" s="40" t="n">
        <x:v>0.11551339285714286</x:v>
      </x:c>
      <x:c r="T1134" s="31" t="n">
        <x:v>53.753488385033975</x:v>
      </x:c>
      <x:c r="U1134" s="31" t="n">
        <x:v>80</x:v>
      </x:c>
      <x:c r="V1134" s="31" t="n">
        <x:v>28</x:v>
      </x:c>
      <x:c r="W1134" s="31" t="n">
        <x:v>6.289308176100629</x:v>
      </x:c>
      <x:c r="X1134" s="31" t="n">
        <x:v>5</x:v>
      </x:c>
      <x:c r="Y1134" s="40" t="n">
        <x:v>1</x:v>
      </x:c>
      <x:c r="Z1134" s="40" t="n">
        <x:v>1</x:v>
      </x:c>
      <x:c r="AA1134" s="40" t="n">
        <x:v>0.9854910714285714</x:v>
      </x:c>
      <x:c r="AB1134" s="31" t="n">
        <x:v>0.10827559204359899</x:v>
      </x:c>
      <x:c r="AC1134" s="31" t="n">
        <x:v>5</x:v>
      </x:c>
      <x:c r="AD1134" s="44" t="b">
        <x:v>1</x:v>
      </x:c>
    </x:row>
    <x:row r="1135">
      <x:c r="A1135" s="31" t="str">
        <x:v>36047115800</x:v>
      </x:c>
      <x:c r="B1135" s="31" t="str">
        <x:v>Brooklyn</x:v>
      </x:c>
      <x:c r="C1135" s="31" t="str">
        <x:v>115800</x:v>
      </x:c>
      <x:c r="D1135" s="31" t="str">
        <x:v>BK0502</x:v>
      </x:c>
      <x:c r="E1135" s="31" t="str">
        <x:v>East New York (North)</x:v>
      </x:c>
      <x:c r="F1135" s="31" t="n">
        <x:v>0.05983757705930039</x:v>
      </x:c>
      <x:c r="G1135" s="31" t="n">
        <x:v>40.668880866978235</x:v>
      </x:c>
      <x:c r="H1135" s="31" t="n">
        <x:v>-73.89216260710829</x:v>
      </x:c>
      <x:c r="I1135" s="31" t="n">
        <x:v>3260</x:v>
      </x:c>
      <x:c r="J1135" s="31" t="n">
        <x:v>54480.81557128001</x:v>
      </x:c>
      <x:c r="K1135" s="31"/>
      <x:c r="L1135" s="40"/>
      <x:c r="M1135" s="40"/>
      <x:c r="N1135" s="31" t="n">
        <x:v>438</x:v>
      </x:c>
      <x:c r="O1135" s="31" t="n">
        <x:v>1032</x:v>
      </x:c>
      <x:c r="P1135" s="31" t="n">
        <x:v>2.6365403304178816</x:v>
      </x:c>
      <x:c r="Q1135" s="40" t="n">
        <x:v>0</x:v>
      </x:c>
      <x:c r="R1135" s="40" t="n">
        <x:v>0.4883720930232558</x:v>
      </x:c>
      <x:c r="S1135" s="40" t="n">
        <x:v>0.0009689922480620155</x:v>
      </x:c>
      <x:c r="T1135" s="31" t="n">
        <x:v>32.47290071515213</x:v>
      </x:c>
      <x:c r="U1135" s="31" t="n">
        <x:v>55</x:v>
      </x:c>
      <x:c r="V1135" s="31" t="n">
        <x:v>1</x:v>
      </x:c>
      <x:c r="W1135" s="31" t="n">
        <x:v>0.3067484662576687</x:v>
      </x:c>
      <x:c r="X1135" s="31" t="n">
        <x:v>5</x:v>
      </x:c>
      <x:c r="Y1135" s="40" t="n">
        <x:v>1</x:v>
      </x:c>
      <x:c r="Z1135" s="40" t="n">
        <x:v>1</x:v>
      </x:c>
      <x:c r="AA1135" s="40" t="n">
        <x:v>0.9554263565891473</x:v>
      </x:c>
      <x:c r="AB1135" s="31" t="n">
        <x:v>0.04581476082849938</x:v>
      </x:c>
      <x:c r="AC1135" s="31" t="n">
        <x:v>6</x:v>
      </x:c>
      <x:c r="AD1135" s="44" t="b">
        <x:v>1</x:v>
      </x:c>
    </x:row>
    <x:row r="1136">
      <x:c r="A1136" s="31" t="str">
        <x:v>36047116000</x:v>
      </x:c>
      <x:c r="B1136" s="31" t="str">
        <x:v>Brooklyn</x:v>
      </x:c>
      <x:c r="C1136" s="31" t="str">
        <x:v>116000</x:v>
      </x:c>
      <x:c r="D1136" s="31" t="str">
        <x:v>BK0502</x:v>
      </x:c>
      <x:c r="E1136" s="31" t="str">
        <x:v>East New York (North)</x:v>
      </x:c>
      <x:c r="F1136" s="31" t="n">
        <x:v>0.058462203225077475</x:v>
      </x:c>
      <x:c r="G1136" s="31" t="n">
        <x:v>40.66941966631318</x:v>
      </x:c>
      <x:c r="H1136" s="31" t="n">
        <x:v>-73.8885304884355</x:v>
      </x:c>
      <x:c r="I1136" s="31" t="n">
        <x:v>2630</x:v>
      </x:c>
      <x:c r="J1136" s="31" t="n">
        <x:v>44986.33056771039</x:v>
      </x:c>
      <x:c r="K1136" s="31"/>
      <x:c r="L1136" s="40"/>
      <x:c r="M1136" s="40"/>
      <x:c r="N1136" s="31" t="n">
        <x:v>339</x:v>
      </x:c>
      <x:c r="O1136" s="31" t="n">
        <x:v>857</x:v>
      </x:c>
      <x:c r="P1136" s="31" t="n">
        <x:v>2.5157894736842104</x:v>
      </x:c>
      <x:c r="Q1136" s="40" t="n">
        <x:v>0</x:v>
      </x:c>
      <x:c r="R1136" s="40" t="n">
        <x:v>0.43173862310385064</x:v>
      </x:c>
      <x:c r="S1136" s="40" t="n">
        <x:v>0.3057176196032672</x:v>
      </x:c>
      <x:c r="T1136" s="31" t="n">
        <x:v>31.748536848549705</x:v>
      </x:c>
      <x:c r="U1136" s="31" t="n">
        <x:v>50.24099772</x:v>
      </x:c>
      <x:c r="V1136" s="31" t="n">
        <x:v>1</x:v>
      </x:c>
      <x:c r="W1136" s="31" t="n">
        <x:v>0.38022813688212925</x:v>
      </x:c>
      <x:c r="X1136" s="31" t="n">
        <x:v>5</x:v>
      </x:c>
      <x:c r="Y1136" s="40" t="n">
        <x:v>1</x:v>
      </x:c>
      <x:c r="Z1136" s="40" t="n">
        <x:v>1</x:v>
      </x:c>
      <x:c r="AA1136" s="40" t="n">
        <x:v>0.9976662777129521</x:v>
      </x:c>
      <x:c r="AB1136" s="31" t="n">
        <x:v>0.2222466885689517</x:v>
      </x:c>
      <x:c r="AC1136" s="31" t="n">
        <x:v>5</x:v>
      </x:c>
      <x:c r="AD1136" s="44" t="b">
        <x:v>1</x:v>
      </x:c>
    </x:row>
    <x:row r="1137">
      <x:c r="A1137" s="31" t="str">
        <x:v>36047116200</x:v>
      </x:c>
      <x:c r="B1137" s="31" t="str">
        <x:v>Brooklyn</x:v>
      </x:c>
      <x:c r="C1137" s="31" t="str">
        <x:v>116200</x:v>
      </x:c>
      <x:c r="D1137" s="31" t="str">
        <x:v>BK0502</x:v>
      </x:c>
      <x:c r="E1137" s="31" t="str">
        <x:v>East New York (North)</x:v>
      </x:c>
      <x:c r="F1137" s="31" t="n">
        <x:v>0.05537656840206038</x:v>
      </x:c>
      <x:c r="G1137" s="31" t="n">
        <x:v>40.669938006953466</x:v>
      </x:c>
      <x:c r="H1137" s="31" t="n">
        <x:v>-73.88503497133047</x:v>
      </x:c>
      <x:c r="I1137" s="31" t="n">
        <x:v>2374</x:v>
      </x:c>
      <x:c r="J1137" s="31" t="n">
        <x:v>42870.117605764666</x:v>
      </x:c>
      <x:c r="K1137" s="31"/>
      <x:c r="L1137" s="40"/>
      <x:c r="M1137" s="40"/>
      <x:c r="N1137" s="31" t="n">
        <x:v>442</x:v>
      </x:c>
      <x:c r="O1137" s="31" t="n">
        <x:v>799</x:v>
      </x:c>
      <x:c r="P1137" s="31" t="n">
        <x:v>2.21267252195734</x:v>
      </x:c>
      <x:c r="Q1137" s="40" t="n">
        <x:v>0</x:v>
      </x:c>
      <x:c r="R1137" s="40" t="n">
        <x:v>0.20275344180225283</x:v>
      </x:c>
      <x:c r="S1137" s="40" t="n">
        <x:v>0.09011264080100125</x:v>
      </x:c>
      <x:c r="T1137" s="31" t="n">
        <x:v>27.39727467706918</x:v>
      </x:c>
      <x:c r="U1137" s="31" t="n">
        <x:v>39.2</x:v>
      </x:c>
      <x:c r="V1137" s="31" t="n">
        <x:v>1</x:v>
      </x:c>
      <x:c r="W1137" s="31" t="n">
        <x:v>0.42122999157540014</x:v>
      </x:c>
      <x:c r="X1137" s="31" t="n">
        <x:v>4.8986232790988735</x:v>
      </x:c>
      <x:c r="Y1137" s="40" t="n">
        <x:v>1</x:v>
      </x:c>
      <x:c r="Z1137" s="40" t="n">
        <x:v>1</x:v>
      </x:c>
      <x:c r="AA1137" s="40" t="n">
        <x:v>0.9949937421777222</x:v>
      </x:c>
      <x:c r="AB1137" s="31" t="n">
        <x:v>0.18434681501844252</x:v>
      </x:c>
      <x:c r="AC1137" s="31" t="n">
        <x:v>6</x:v>
      </x:c>
      <x:c r="AD1137" s="44" t="b">
        <x:v>1</x:v>
      </x:c>
    </x:row>
    <x:row r="1138">
      <x:c r="A1138" s="31" t="str">
        <x:v>36047116400</x:v>
      </x:c>
      <x:c r="B1138" s="31" t="str">
        <x:v>Brooklyn</x:v>
      </x:c>
      <x:c r="C1138" s="31" t="str">
        <x:v>116400</x:v>
      </x:c>
      <x:c r="D1138" s="31" t="str">
        <x:v>BK0502</x:v>
      </x:c>
      <x:c r="E1138" s="31" t="str">
        <x:v>East New York (North)</x:v>
      </x:c>
      <x:c r="F1138" s="31" t="n">
        <x:v>0.0701056171369232</x:v>
      </x:c>
      <x:c r="G1138" s="31" t="n">
        <x:v>40.67050964962815</x:v>
      </x:c>
      <x:c r="H1138" s="31" t="n">
        <x:v>-73.88118247768854</x:v>
      </x:c>
      <x:c r="I1138" s="31" t="n">
        <x:v>3275</x:v>
      </x:c>
      <x:c r="J1138" s="31" t="n">
        <x:v>46715.22958857349</x:v>
      </x:c>
      <x:c r="K1138" s="31"/>
      <x:c r="L1138" s="40"/>
      <x:c r="M1138" s="40"/>
      <x:c r="N1138" s="31" t="n">
        <x:v>525</x:v>
      </x:c>
      <x:c r="O1138" s="31" t="n">
        <x:v>988</x:v>
      </x:c>
      <x:c r="P1138" s="31" t="n">
        <x:v>2.3339285714285714</x:v>
      </x:c>
      <x:c r="Q1138" s="40" t="n">
        <x:v>0</x:v>
      </x:c>
      <x:c r="R1138" s="40" t="n">
        <x:v>0.26720647773279355</x:v>
      </x:c>
      <x:c r="S1138" s="40" t="n">
        <x:v>0.020242914979757085</x:v>
      </x:c>
      <x:c r="T1138" s="31" t="n">
        <x:v>28.76669721161421</x:v>
      </x:c>
      <x:c r="U1138" s="31" t="n">
        <x:v>47.83</x:v>
      </x:c>
      <x:c r="V1138" s="31" t="n">
        <x:v>1</x:v>
      </x:c>
      <x:c r="W1138" s="31" t="n">
        <x:v>0.3053435114503817</x:v>
      </x:c>
      <x:c r="X1138" s="31" t="n">
        <x:v>4</x:v>
      </x:c>
      <x:c r="Y1138" s="40" t="n">
        <x:v>1</x:v>
      </x:c>
      <x:c r="Z1138" s="40" t="n">
        <x:v>1</x:v>
      </x:c>
      <x:c r="AA1138" s="40" t="n">
        <x:v>0.9969635627530364</x:v>
      </x:c>
      <x:c r="AB1138" s="31" t="n">
        <x:v>0.12360000209391082</x:v>
      </x:c>
      <x:c r="AC1138" s="31" t="n">
        <x:v>6</x:v>
      </x:c>
      <x:c r="AD1138" s="44" t="b">
        <x:v>1</x:v>
      </x:c>
    </x:row>
    <x:row r="1139">
      <x:c r="A1139" s="31" t="str">
        <x:v>36047116600</x:v>
      </x:c>
      <x:c r="B1139" s="31" t="str">
        <x:v>Brooklyn</x:v>
      </x:c>
      <x:c r="C1139" s="31" t="str">
        <x:v>116600</x:v>
      </x:c>
      <x:c r="D1139" s="31" t="str">
        <x:v>BK0502</x:v>
      </x:c>
      <x:c r="E1139" s="31" t="str">
        <x:v>East New York (North)</x:v>
      </x:c>
      <x:c r="F1139" s="31" t="n">
        <x:v>0.06154417616111398</x:v>
      </x:c>
      <x:c r="G1139" s="31" t="n">
        <x:v>40.67456260489139</x:v>
      </x:c>
      <x:c r="H1139" s="31" t="n">
        <x:v>-73.88220523653844</x:v>
      </x:c>
      <x:c r="I1139" s="31" t="n">
        <x:v>3484</x:v>
      </x:c>
      <x:c r="J1139" s="31" t="n">
        <x:v>56609.74307104833</x:v>
      </x:c>
      <x:c r="K1139" s="31"/>
      <x:c r="L1139" s="40"/>
      <x:c r="M1139" s="40"/>
      <x:c r="N1139" s="31" t="n">
        <x:v>380</x:v>
      </x:c>
      <x:c r="O1139" s="31" t="n">
        <x:v>1338</x:v>
      </x:c>
      <x:c r="P1139" s="31" t="n">
        <x:v>3.699359939759036</x:v>
      </x:c>
      <x:c r="Q1139" s="40" t="n">
        <x:v>0</x:v>
      </x:c>
      <x:c r="R1139" s="40" t="n">
        <x:v>0.5366218236173393</x:v>
      </x:c>
      <x:c r="S1139" s="40" t="n">
        <x:v>0.014947683109118086</x:v>
      </x:c>
      <x:c r="T1139" s="31" t="n">
        <x:v>36.8804673413577</x:v>
      </x:c>
      <x:c r="U1139" s="31" t="n">
        <x:v>90</x:v>
      </x:c>
      <x:c r="V1139" s="31" t="n">
        <x:v>7</x:v>
      </x:c>
      <x:c r="W1139" s="31" t="n">
        <x:v>2.0091848450057403</x:v>
      </x:c>
      <x:c r="X1139" s="31" t="n">
        <x:v>4</x:v>
      </x:c>
      <x:c r="Y1139" s="40" t="n">
        <x:v>1</x:v>
      </x:c>
      <x:c r="Z1139" s="40" t="n">
        <x:v>1</x:v>
      </x:c>
      <x:c r="AA1139" s="40" t="n">
        <x:v>0.8587443946188341</x:v>
      </x:c>
      <x:c r="AB1139" s="31" t="n">
        <x:v>0.11849990713291023</x:v>
      </x:c>
      <x:c r="AC1139" s="31" t="n">
        <x:v>7</x:v>
      </x:c>
      <x:c r="AD1139" s="44" t="b">
        <x:v>1</x:v>
      </x:c>
    </x:row>
    <x:row r="1140">
      <x:c r="A1140" s="31" t="str">
        <x:v>36047116800</x:v>
      </x:c>
      <x:c r="B1140" s="31" t="str">
        <x:v>Brooklyn</x:v>
      </x:c>
      <x:c r="C1140" s="31" t="str">
        <x:v>116800</x:v>
      </x:c>
      <x:c r="D1140" s="31" t="str">
        <x:v>BK0501</x:v>
      </x:c>
      <x:c r="E1140" s="31" t="str">
        <x:v>Cypress Hills</x:v>
      </x:c>
      <x:c r="F1140" s="31" t="n">
        <x:v>0.05557162508393595</x:v>
      </x:c>
      <x:c r="G1140" s="31" t="n">
        <x:v>40.67898907772322</x:v>
      </x:c>
      <x:c r="H1140" s="31" t="n">
        <x:v>-73.88251916254984</x:v>
      </x:c>
      <x:c r="I1140" s="31" t="n">
        <x:v>2273</x:v>
      </x:c>
      <x:c r="J1140" s="31" t="n">
        <x:v>40902.168985823926</x:v>
      </x:c>
      <x:c r="K1140" s="31"/>
      <x:c r="L1140" s="40"/>
      <x:c r="M1140" s="40"/>
      <x:c r="N1140" s="31" t="n">
        <x:v>269</x:v>
      </x:c>
      <x:c r="O1140" s="31" t="n">
        <x:v>857</x:v>
      </x:c>
      <x:c r="P1140" s="31" t="n">
        <x:v>3.98220536756126</x:v>
      </x:c>
      <x:c r="Q1140" s="40" t="n">
        <x:v>0.17269544924154026</x:v>
      </x:c>
      <x:c r="R1140" s="40" t="n">
        <x:v>0.41540256709451573</x:v>
      </x:c>
      <x:c r="S1140" s="40" t="n">
        <x:v>0.009334889148191364</x:v>
      </x:c>
      <x:c r="T1140" s="31" t="n">
        <x:v>45.14470948344418</x:v>
      </x:c>
      <x:c r="U1140" s="31" t="n">
        <x:v>124</x:v>
      </x:c>
      <x:c r="V1140" s="31" t="n">
        <x:v>4</x:v>
      </x:c>
      <x:c r="W1140" s="31" t="n">
        <x:v>1.7597888253409593</x:v>
      </x:c>
      <x:c r="X1140" s="31" t="n">
        <x:v>4</x:v>
      </x:c>
      <x:c r="Y1140" s="40" t="n">
        <x:v>1</x:v>
      </x:c>
      <x:c r="Z1140" s="40" t="n">
        <x:v>1</x:v>
      </x:c>
      <x:c r="AA1140" s="40" t="n">
        <x:v>0.9824970828471412</x:v>
      </x:c>
      <x:c r="AB1140" s="31" t="n">
        <x:v>0.15664886207357465</x:v>
      </x:c>
      <x:c r="AC1140" s="31" t="n">
        <x:v>6</x:v>
      </x:c>
      <x:c r="AD1140" s="44" t="b">
        <x:v>1</x:v>
      </x:c>
    </x:row>
    <x:row r="1141">
      <x:c r="A1141" s="31" t="str">
        <x:v>36047117000</x:v>
      </x:c>
      <x:c r="B1141" s="31" t="str">
        <x:v>Brooklyn</x:v>
      </x:c>
      <x:c r="C1141" s="31" t="str">
        <x:v>117000</x:v>
      </x:c>
      <x:c r="D1141" s="31" t="str">
        <x:v>BK0501</x:v>
      </x:c>
      <x:c r="E1141" s="31" t="str">
        <x:v>Cypress Hills</x:v>
      </x:c>
      <x:c r="F1141" s="31" t="n">
        <x:v>0.05932708275008609</x:v>
      </x:c>
      <x:c r="G1141" s="31" t="n">
        <x:v>40.67760012761455</x:v>
      </x:c>
      <x:c r="H1141" s="31" t="n">
        <x:v>-73.88618365623581</x:v>
      </x:c>
      <x:c r="I1141" s="31" t="n">
        <x:v>1974</x:v>
      </x:c>
      <x:c r="J1141" s="31" t="n">
        <x:v>33273.168146753946</x:v>
      </x:c>
      <x:c r="K1141" s="31"/>
      <x:c r="L1141" s="40"/>
      <x:c r="M1141" s="40"/>
      <x:c r="N1141" s="31" t="n">
        <x:v>224</x:v>
      </x:c>
      <x:c r="O1141" s="31" t="n">
        <x:v>761</x:v>
      </x:c>
      <x:c r="P1141" s="31" t="n">
        <x:v>4.490450204638472</x:v>
      </x:c>
      <x:c r="Q1141" s="40" t="n">
        <x:v>0.240473061760841</x:v>
      </x:c>
      <x:c r="R1141" s="40" t="n">
        <x:v>0.2996057818659658</x:v>
      </x:c>
      <x:c r="S1141" s="40" t="n">
        <x:v>0.001314060446780552</x:v>
      </x:c>
      <x:c r="T1141" s="31" t="n">
        <x:v>51.919449892510286</x:v>
      </x:c>
      <x:c r="U1141" s="31" t="n">
        <x:v>108</x:v>
      </x:c>
      <x:c r="V1141" s="31" t="n">
        <x:v>3</x:v>
      </x:c>
      <x:c r="W1141" s="31" t="n">
        <x:v>1.5197568389057752</x:v>
      </x:c>
      <x:c r="X1141" s="31" t="n">
        <x:v>4.83311432325887</x:v>
      </x:c>
      <x:c r="Y1141" s="40" t="n">
        <x:v>1</x:v>
      </x:c>
      <x:c r="Z1141" s="40" t="n">
        <x:v>1</x:v>
      </x:c>
      <x:c r="AA1141" s="40" t="n">
        <x:v>0.9579500657030223</x:v>
      </x:c>
      <x:c r="AB1141" s="31" t="n">
        <x:v>0.030213273727773146</x:v>
      </x:c>
      <x:c r="AC1141" s="31" t="n">
        <x:v>6</x:v>
      </x:c>
      <x:c r="AD1141" s="44" t="b">
        <x:v>1</x:v>
      </x:c>
    </x:row>
    <x:row r="1142">
      <x:c r="A1142" s="31" t="str">
        <x:v>36047117201</x:v>
      </x:c>
      <x:c r="B1142" s="31" t="str">
        <x:v>Brooklyn</x:v>
      </x:c>
      <x:c r="C1142" s="31" t="str">
        <x:v>117201</x:v>
      </x:c>
      <x:c r="D1142" s="31" t="str">
        <x:v>BK0501</x:v>
      </x:c>
      <x:c r="E1142" s="31" t="str">
        <x:v>Cypress Hills</x:v>
      </x:c>
      <x:c r="F1142" s="31" t="n">
        <x:v>0.04986004164514463</x:v>
      </x:c>
      <x:c r="G1142" s="31" t="n">
        <x:v>40.680811566703724</x:v>
      </x:c>
      <x:c r="H1142" s="31" t="n">
        <x:v>-73.88751490543885</x:v>
      </x:c>
      <x:c r="I1142" s="31" t="n">
        <x:v>2602</x:v>
      </x:c>
      <x:c r="J1142" s="31" t="n">
        <x:v>52186.07755120844</x:v>
      </x:c>
      <x:c r="K1142" s="31"/>
      <x:c r="L1142" s="40"/>
      <x:c r="M1142" s="40"/>
      <x:c r="N1142" s="31" t="n">
        <x:v>299</x:v>
      </x:c>
      <x:c r="O1142" s="31" t="n">
        <x:v>655</x:v>
      </x:c>
      <x:c r="P1142" s="31" t="n">
        <x:v>2.610229007633588</x:v>
      </x:c>
      <x:c r="Q1142" s="40" t="n">
        <x:v>0</x:v>
      </x:c>
      <x:c r="R1142" s="40" t="n">
        <x:v>0.2381679389312977</x:v>
      </x:c>
      <x:c r="S1142" s="40" t="n">
        <x:v>0.012213740458015267</x:v>
      </x:c>
      <x:c r="T1142" s="31" t="n">
        <x:v>34.80887810083077</x:v>
      </x:c>
      <x:c r="U1142" s="31" t="n">
        <x:v>45.38</x:v>
      </x:c>
      <x:c r="V1142" s="31" t="n">
        <x:v>0</x:v>
      </x:c>
      <x:c r="W1142" s="31" t="n">
        <x:v>0</x:v>
      </x:c>
      <x:c r="X1142" s="31" t="n">
        <x:v>4.798473282442748</x:v>
      </x:c>
      <x:c r="Y1142" s="40" t="n">
        <x:v>1</x:v>
      </x:c>
      <x:c r="Z1142" s="40" t="n">
        <x:v>1</x:v>
      </x:c>
      <x:c r="AA1142" s="40" t="n">
        <x:v>0.9923664122137404</x:v>
      </x:c>
      <x:c r="AB1142" s="31" t="n">
        <x:v>0.013687613300333282</x:v>
      </x:c>
      <x:c r="AC1142" s="31" t="n">
        <x:v>7</x:v>
      </x:c>
      <x:c r="AD1142" s="44" t="b">
        <x:v>1</x:v>
      </x:c>
    </x:row>
    <x:row r="1143">
      <x:c r="A1143" s="31" t="str">
        <x:v>36047117202</x:v>
      </x:c>
      <x:c r="B1143" s="31" t="str">
        <x:v>Brooklyn</x:v>
      </x:c>
      <x:c r="C1143" s="31" t="str">
        <x:v>117202</x:v>
      </x:c>
      <x:c r="D1143" s="31" t="str">
        <x:v>BK0501</x:v>
      </x:c>
      <x:c r="E1143" s="31" t="str">
        <x:v>Cypress Hills</x:v>
      </x:c>
      <x:c r="F1143" s="31" t="n">
        <x:v>0.05863400319566403</x:v>
      </x:c>
      <x:c r="G1143" s="31" t="n">
        <x:v>40.68273666802936</x:v>
      </x:c>
      <x:c r="H1143" s="31" t="n">
        <x:v>-73.88376468044378</x:v>
      </x:c>
      <x:c r="I1143" s="31" t="n">
        <x:v>4266</x:v>
      </x:c>
      <x:c r="J1143" s="31" t="n">
        <x:v>72756.41722370868</x:v>
      </x:c>
      <x:c r="K1143" s="31"/>
      <x:c r="L1143" s="40"/>
      <x:c r="M1143" s="40"/>
      <x:c r="N1143" s="31" t="n">
        <x:v>464</x:v>
      </x:c>
      <x:c r="O1143" s="31" t="n">
        <x:v>1118</x:v>
      </x:c>
      <x:c r="P1143" s="31" t="n">
        <x:v>2.6140429338103757</x:v>
      </x:c>
      <x:c r="Q1143" s="40" t="n">
        <x:v>0</x:v>
      </x:c>
      <x:c r="R1143" s="40" t="n">
        <x:v>0.2549194991055456</x:v>
      </x:c>
      <x:c r="S1143" s="40" t="n">
        <x:v>0.0035778175313059034</x:v>
      </x:c>
      <x:c r="T1143" s="31" t="n">
        <x:v>33.82093730644986</x:v>
      </x:c>
      <x:c r="U1143" s="31" t="n">
        <x:v>76.98</x:v>
      </x:c>
      <x:c r="V1143" s="31" t="n">
        <x:v>1</x:v>
      </x:c>
      <x:c r="W1143" s="31" t="n">
        <x:v>0.23441162681669012</x:v>
      </x:c>
      <x:c r="X1143" s="31" t="n">
        <x:v>4</x:v>
      </x:c>
      <x:c r="Y1143" s="40" t="n">
        <x:v>1</x:v>
      </x:c>
      <x:c r="Z1143" s="40" t="n">
        <x:v>1</x:v>
      </x:c>
      <x:c r="AA1143" s="40" t="n">
        <x:v>0.9901610017889088</x:v>
      </x:c>
      <x:c r="AB1143" s="31" t="n">
        <x:v>0.10425721515818501</x:v>
      </x:c>
      <x:c r="AC1143" s="31" t="n">
        <x:v>4</x:v>
      </x:c>
      <x:c r="AD1143" s="44" t="b">
        <x:v>1</x:v>
      </x:c>
    </x:row>
    <x:row r="1144">
      <x:c r="A1144" s="31" t="str">
        <x:v>36047117400</x:v>
      </x:c>
      <x:c r="B1144" s="31" t="str">
        <x:v>Brooklyn</x:v>
      </x:c>
      <x:c r="C1144" s="31" t="str">
        <x:v>117400</x:v>
      </x:c>
      <x:c r="D1144" s="31" t="str">
        <x:v>BK0501</x:v>
      </x:c>
      <x:c r="E1144" s="31" t="str">
        <x:v>Cypress Hills</x:v>
      </x:c>
      <x:c r="F1144" s="31" t="n">
        <x:v>0.08232736784535698</x:v>
      </x:c>
      <x:c r="G1144" s="31" t="n">
        <x:v>40.68285480371804</x:v>
      </x:c>
      <x:c r="H1144" s="31" t="n">
        <x:v>-73.87978402048793</x:v>
      </x:c>
      <x:c r="I1144" s="31" t="n">
        <x:v>4331</x:v>
      </x:c>
      <x:c r="J1144" s="31" t="n">
        <x:v>52607.050527053325</x:v>
      </x:c>
      <x:c r="K1144" s="31"/>
      <x:c r="L1144" s="40"/>
      <x:c r="M1144" s="40"/>
      <x:c r="N1144" s="31" t="n">
        <x:v>501</x:v>
      </x:c>
      <x:c r="O1144" s="31" t="n">
        <x:v>1126</x:v>
      </x:c>
      <x:c r="P1144" s="31" t="n">
        <x:v>2.3445825932504443</x:v>
      </x:c>
      <x:c r="Q1144" s="40" t="n">
        <x:v>0</x:v>
      </x:c>
      <x:c r="R1144" s="40" t="n">
        <x:v>0.327708703374778</x:v>
      </x:c>
      <x:c r="S1144" s="40" t="n">
        <x:v>0.019538188277087035</x:v>
      </x:c>
      <x:c r="T1144" s="31" t="n">
        <x:v>29.65112722568306</x:v>
      </x:c>
      <x:c r="U1144" s="31" t="n">
        <x:v>41.25</x:v>
      </x:c>
      <x:c r="V1144" s="31" t="n">
        <x:v>1</x:v>
      </x:c>
      <x:c r="W1144" s="31" t="n">
        <x:v>0.23089355806972986</x:v>
      </x:c>
      <x:c r="X1144" s="31" t="n">
        <x:v>4</x:v>
      </x:c>
      <x:c r="Y1144" s="40" t="n">
        <x:v>1</x:v>
      </x:c>
      <x:c r="Z1144" s="40" t="n">
        <x:v>1</x:v>
      </x:c>
      <x:c r="AA1144" s="40" t="n">
        <x:v>0.9751332149200711</x:v>
      </x:c>
      <x:c r="AB1144" s="31" t="n">
        <x:v>0.13843179987866575</x:v>
      </x:c>
      <x:c r="AC1144" s="31" t="n">
        <x:v>7</x:v>
      </x:c>
      <x:c r="AD1144" s="44" t="b">
        <x:v>1</x:v>
      </x:c>
    </x:row>
    <x:row r="1145">
      <x:c r="A1145" s="31" t="str">
        <x:v>36047117601</x:v>
      </x:c>
      <x:c r="B1145" s="31" t="str">
        <x:v>Brooklyn</x:v>
      </x:c>
      <x:c r="C1145" s="31" t="str">
        <x:v>117601</x:v>
      </x:c>
      <x:c r="D1145" s="31" t="str">
        <x:v>BK0501</x:v>
      </x:c>
      <x:c r="E1145" s="31" t="str">
        <x:v>Cypress Hills</x:v>
      </x:c>
      <x:c r="F1145" s="31" t="n">
        <x:v>0.05882648179917068</x:v>
      </x:c>
      <x:c r="G1145" s="31" t="n">
        <x:v>40.68477991677707</x:v>
      </x:c>
      <x:c r="H1145" s="31" t="n">
        <x:v>-73.87687949750975</x:v>
      </x:c>
      <x:c r="I1145" s="31" t="n">
        <x:v>2760</x:v>
      </x:c>
      <x:c r="J1145" s="31" t="n">
        <x:v>46917.6451758995</x:v>
      </x:c>
      <x:c r="K1145" s="31"/>
      <x:c r="L1145" s="40"/>
      <x:c r="M1145" s="40"/>
      <x:c r="N1145" s="31" t="n">
        <x:v>296</x:v>
      </x:c>
      <x:c r="O1145" s="31" t="n">
        <x:v>740</x:v>
      </x:c>
      <x:c r="P1145" s="31" t="n">
        <x:v>2.717810810810811</x:v>
      </x:c>
      <x:c r="Q1145" s="40" t="n">
        <x:v>0</x:v>
      </x:c>
      <x:c r="R1145" s="40" t="n">
        <x:v>0.42027027027027025</x:v>
      </x:c>
      <x:c r="S1145" s="40" t="n">
        <x:v>0.03513513513513514</x:v>
      </x:c>
      <x:c r="T1145" s="31" t="n">
        <x:v>33.66690109275675</x:v>
      </x:c>
      <x:c r="U1145" s="31" t="n">
        <x:v>64.43</x:v>
      </x:c>
      <x:c r="V1145" s="31" t="n">
        <x:v>1</x:v>
      </x:c>
      <x:c r="W1145" s="31" t="n">
        <x:v>0.36231884057971014</x:v>
      </x:c>
      <x:c r="X1145" s="31" t="n">
        <x:v>4</x:v>
      </x:c>
      <x:c r="Y1145" s="40" t="n">
        <x:v>1</x:v>
      </x:c>
      <x:c r="Z1145" s="40" t="n">
        <x:v>1</x:v>
      </x:c>
      <x:c r="AA1145" s="40" t="n">
        <x:v>1</x:v>
      </x:c>
      <x:c r="AB1145" s="31" t="n">
        <x:v>0.09695090266646857</x:v>
      </x:c>
      <x:c r="AC1145" s="31" t="n">
        <x:v>4</x:v>
      </x:c>
      <x:c r="AD1145" s="44" t="b">
        <x:v>1</x:v>
      </x:c>
    </x:row>
    <x:row r="1146">
      <x:c r="A1146" s="31" t="str">
        <x:v>36047117602</x:v>
      </x:c>
      <x:c r="B1146" s="31" t="str">
        <x:v>Brooklyn</x:v>
      </x:c>
      <x:c r="C1146" s="31" t="str">
        <x:v>117602</x:v>
      </x:c>
      <x:c r="D1146" s="31" t="str">
        <x:v>BK0501</x:v>
      </x:c>
      <x:c r="E1146" s="31" t="str">
        <x:v>Cypress Hills</x:v>
      </x:c>
      <x:c r="F1146" s="31" t="n">
        <x:v>0.05552714721576561</x:v>
      </x:c>
      <x:c r="G1146" s="31" t="n">
        <x:v>40.68623460242892</x:v>
      </x:c>
      <x:c r="H1146" s="31" t="n">
        <x:v>-73.87444760459329</x:v>
      </x:c>
      <x:c r="I1146" s="31" t="n">
        <x:v>3492</x:v>
      </x:c>
      <x:c r="J1146" s="31" t="n">
        <x:v>62888.157866834</x:v>
      </x:c>
      <x:c r="K1146" s="31"/>
      <x:c r="L1146" s="40"/>
      <x:c r="M1146" s="40"/>
      <x:c r="N1146" s="31" t="n">
        <x:v>366</x:v>
      </x:c>
      <x:c r="O1146" s="31" t="n">
        <x:v>891</x:v>
      </x:c>
      <x:c r="P1146" s="31" t="n">
        <x:v>2.404320987654321</x:v>
      </x:c>
      <x:c r="Q1146" s="40" t="n">
        <x:v>0</x:v>
      </x:c>
      <x:c r="R1146" s="40" t="n">
        <x:v>0.31313131313131315</x:v>
      </x:c>
      <x:c r="S1146" s="40" t="n">
        <x:v>0.02356902356902357</x:v>
      </x:c>
      <x:c r="T1146" s="31" t="n">
        <x:v>31.813674522807215</x:v>
      </x:c>
      <x:c r="U1146" s="31" t="n">
        <x:v>108</x:v>
      </x:c>
      <x:c r="V1146" s="31" t="n">
        <x:v>0</x:v>
      </x:c>
      <x:c r="W1146" s="31" t="n">
        <x:v>0</x:v>
      </x:c>
      <x:c r="X1146" s="31" t="n">
        <x:v>4</x:v>
      </x:c>
      <x:c r="Y1146" s="40" t="n">
        <x:v>1</x:v>
      </x:c>
      <x:c r="Z1146" s="40" t="n">
        <x:v>1</x:v>
      </x:c>
      <x:c r="AA1146" s="40" t="n">
        <x:v>0.9955106621773289</x:v>
      </x:c>
      <x:c r="AB1146" s="31" t="n">
        <x:v>0.14163399925981346</x:v>
      </x:c>
      <x:c r="AC1146" s="31" t="n">
        <x:v>5</x:v>
      </x:c>
      <x:c r="AD1146" s="44" t="b">
        <x:v>1</x:v>
      </x:c>
    </x:row>
    <x:row r="1147">
      <x:c r="A1147" s="31" t="str">
        <x:v>36047117800</x:v>
      </x:c>
      <x:c r="B1147" s="31" t="str">
        <x:v>Brooklyn</x:v>
      </x:c>
      <x:c r="C1147" s="31" t="str">
        <x:v>117800</x:v>
      </x:c>
      <x:c r="D1147" s="31" t="str">
        <x:v>BK0501</x:v>
      </x:c>
      <x:c r="E1147" s="31" t="str">
        <x:v>Cypress Hills</x:v>
      </x:c>
      <x:c r="F1147" s="31" t="n">
        <x:v>0.05482424287225953</x:v>
      </x:c>
      <x:c r="G1147" s="31" t="n">
        <x:v>40.6816448823877</x:v>
      </x:c>
      <x:c r="H1147" s="31" t="n">
        <x:v>-73.87428429009088</x:v>
      </x:c>
      <x:c r="I1147" s="31" t="n">
        <x:v>1820</x:v>
      </x:c>
      <x:c r="J1147" s="31" t="n">
        <x:v>33196.992874860116</x:v>
      </x:c>
      <x:c r="K1147" s="31"/>
      <x:c r="L1147" s="40"/>
      <x:c r="M1147" s="40"/>
      <x:c r="N1147" s="31" t="n">
        <x:v>204</x:v>
      </x:c>
      <x:c r="O1147" s="31" t="n">
        <x:v>1552</x:v>
      </x:c>
      <x:c r="P1147" s="31" t="n">
        <x:v>10.67896262886598</x:v>
      </x:c>
      <x:c r="Q1147" s="40" t="n">
        <x:v>0.717139175257732</x:v>
      </x:c>
      <x:c r="R1147" s="40" t="n">
        <x:v>0.053479381443298966</x:v>
      </x:c>
      <x:c r="S1147" s="40" t="n">
        <x:v>0.007087628865979381</x:v>
      </x:c>
      <x:c r="T1147" s="31" t="n">
        <x:v>97.12338797227096</x:v>
      </x:c>
      <x:c r="U1147" s="31" t="n">
        <x:v>145</x:v>
      </x:c>
      <x:c r="V1147" s="31" t="n">
        <x:v>10</x:v>
      </x:c>
      <x:c r="W1147" s="31" t="n">
        <x:v>5.4945054945054945</x:v>
      </x:c>
      <x:c r="X1147" s="31" t="n">
        <x:v>4</x:v>
      </x:c>
      <x:c r="Y1147" s="40" t="n">
        <x:v>1</x:v>
      </x:c>
      <x:c r="Z1147" s="40" t="n">
        <x:v>1</x:v>
      </x:c>
      <x:c r="AA1147" s="40" t="n">
        <x:v>0.9987113402061856</x:v>
      </x:c>
      <x:c r="AB1147" s="31" t="n">
        <x:v>0.10401121972781258</x:v>
      </x:c>
      <x:c r="AC1147" s="31" t="n">
        <x:v>6</x:v>
      </x:c>
      <x:c r="AD1147" s="44" t="b">
        <x:v>1</x:v>
      </x:c>
    </x:row>
    <x:row r="1148">
      <x:c r="A1148" s="31" t="str">
        <x:v>36047118000</x:v>
      </x:c>
      <x:c r="B1148" s="31" t="str">
        <x:v>Brooklyn</x:v>
      </x:c>
      <x:c r="C1148" s="31" t="str">
        <x:v>118000</x:v>
      </x:c>
      <x:c r="D1148" s="31" t="str">
        <x:v>BK0571</x:v>
      </x:c>
      <x:c r="E1148" s="31" t="str">
        <x:v>Highland Park-Cypress Hills Cemeteries (South)</x:v>
      </x:c>
      <x:c r="F1148" s="31" t="n">
        <x:v>0.2905819660737345</x:v>
      </x:c>
      <x:c r="G1148" s="31" t="n">
        <x:v>40.68949494529192</x:v>
      </x:c>
      <x:c r="H1148" s="31" t="n">
        <x:v>-73.87770258402625</x:v>
      </x:c>
      <x:c r="I1148" s="31" t="n">
        <x:v>7</x:v>
      </x:c>
      <x:c r="J1148" s="31" t="n">
        <x:v>24.08958854048006</x:v>
      </x:c>
      <x:c r="K1148" s="31"/>
      <x:c r="L1148" s="40"/>
      <x:c r="M1148" s="40"/>
      <x:c r="N1148" s="31" t="n">
        <x:v>0</x:v>
      </x:c>
      <x:c r="O1148" s="31"/>
      <x:c r="P1148" s="31"/>
      <x:c r="Q1148" s="40"/>
      <x:c r="R1148" s="40"/>
      <x:c r="S1148" s="40"/>
      <x:c r="T1148" s="31"/>
      <x:c r="U1148" s="31"/>
      <x:c r="V1148" s="31" t="n">
        <x:v>0</x:v>
      </x:c>
      <x:c r="W1148" s="31" t="n">
        <x:v>0</x:v>
      </x:c>
      <x:c r="X1148" s="31"/>
      <x:c r="Y1148" s="40"/>
      <x:c r="Z1148" s="40"/>
      <x:c r="AA1148" s="40"/>
      <x:c r="AB1148" s="31" t="n">
        <x:v>0.1798819731289608</x:v>
      </x:c>
      <x:c r="AC1148" s="31" t="n">
        <x:v>12</x:v>
      </x:c>
      <x:c r="AD1148" s="44" t="b">
        <x:v>0</x:v>
      </x:c>
    </x:row>
    <x:row r="1149">
      <x:c r="A1149" s="31" t="str">
        <x:v>36047118201</x:v>
      </x:c>
      <x:c r="B1149" s="31" t="str">
        <x:v>Brooklyn</x:v>
      </x:c>
      <x:c r="C1149" s="31" t="str">
        <x:v>118201</x:v>
      </x:c>
      <x:c r="D1149" s="31" t="str">
        <x:v>BK0501</x:v>
      </x:c>
      <x:c r="E1149" s="31" t="str">
        <x:v>Cypress Hills</x:v>
      </x:c>
      <x:c r="F1149" s="31" t="n">
        <x:v>0.04879549052492252</x:v>
      </x:c>
      <x:c r="G1149" s="31" t="n">
        <x:v>40.68790853129779</x:v>
      </x:c>
      <x:c r="H1149" s="31" t="n">
        <x:v>-73.87189766946146</x:v>
      </x:c>
      <x:c r="I1149" s="31" t="n">
        <x:v>3345</x:v>
      </x:c>
      <x:c r="J1149" s="31" t="n">
        <x:v>68551.41661690082</x:v>
      </x:c>
      <x:c r="K1149" s="31"/>
      <x:c r="L1149" s="40"/>
      <x:c r="M1149" s="40"/>
      <x:c r="N1149" s="31" t="n">
        <x:v>361</x:v>
      </x:c>
      <x:c r="O1149" s="31" t="n">
        <x:v>777</x:v>
      </x:c>
      <x:c r="P1149" s="31" t="n">
        <x:v>2.1927284427284426</x:v>
      </x:c>
      <x:c r="Q1149" s="40" t="n">
        <x:v>0</x:v>
      </x:c>
      <x:c r="R1149" s="40" t="n">
        <x:v>0.16988416988416988</x:v>
      </x:c>
      <x:c r="S1149" s="40" t="n">
        <x:v>0.015444015444015444</x:v>
      </x:c>
      <x:c r="T1149" s="31" t="n">
        <x:v>28.325001078970402</x:v>
      </x:c>
      <x:c r="U1149" s="31" t="n">
        <x:v>40.5</x:v>
      </x:c>
      <x:c r="V1149" s="31" t="n">
        <x:v>0</x:v>
      </x:c>
      <x:c r="W1149" s="31" t="n">
        <x:v>0</x:v>
      </x:c>
      <x:c r="X1149" s="31" t="n">
        <x:v>4</x:v>
      </x:c>
      <x:c r="Y1149" s="40" t="n">
        <x:v>1</x:v>
      </x:c>
      <x:c r="Z1149" s="40" t="n">
        <x:v>1</x:v>
      </x:c>
      <x:c r="AA1149" s="40" t="n">
        <x:v>1</x:v>
      </x:c>
      <x:c r="AB1149" s="31" t="n">
        <x:v>0.11397167309720374</x:v>
      </x:c>
      <x:c r="AC1149" s="31" t="n">
        <x:v>4</x:v>
      </x:c>
      <x:c r="AD1149" s="44" t="b">
        <x:v>1</x:v>
      </x:c>
    </x:row>
    <x:row r="1150">
      <x:c r="A1150" s="31" t="str">
        <x:v>36047118202</x:v>
      </x:c>
      <x:c r="B1150" s="31" t="str">
        <x:v>Brooklyn</x:v>
      </x:c>
      <x:c r="C1150" s="31" t="str">
        <x:v>118202</x:v>
      </x:c>
      <x:c r="D1150" s="31" t="str">
        <x:v>BK0501</x:v>
      </x:c>
      <x:c r="E1150" s="31" t="str">
        <x:v>Cypress Hills</x:v>
      </x:c>
      <x:c r="F1150" s="31" t="n">
        <x:v>0.04798947437048037</x:v>
      </x:c>
      <x:c r="G1150" s="31" t="n">
        <x:v>40.68866463624738</x:v>
      </x:c>
      <x:c r="H1150" s="31" t="n">
        <x:v>-73.869002403864</x:v>
      </x:c>
      <x:c r="I1150" s="31" t="n">
        <x:v>3275</x:v>
      </x:c>
      <x:c r="J1150" s="31" t="n">
        <x:v>68244.13150927407</x:v>
      </x:c>
      <x:c r="K1150" s="31"/>
      <x:c r="L1150" s="40"/>
      <x:c r="M1150" s="40"/>
      <x:c r="N1150" s="31" t="n">
        <x:v>348</x:v>
      </x:c>
      <x:c r="O1150" s="31" t="n">
        <x:v>827</x:v>
      </x:c>
      <x:c r="P1150" s="31" t="n">
        <x:v>2.346432889963724</x:v>
      </x:c>
      <x:c r="Q1150" s="40" t="n">
        <x:v>0</x:v>
      </x:c>
      <x:c r="R1150" s="40" t="n">
        <x:v>0.22128174123337363</x:v>
      </x:c>
      <x:c r="S1150" s="40" t="n">
        <x:v>0.009673518742442563</x:v>
      </x:c>
      <x:c r="T1150" s="31" t="n">
        <x:v>30.804039835036406</x:v>
      </x:c>
      <x:c r="U1150" s="31" t="n">
        <x:v>47.42</x:v>
      </x:c>
      <x:c r="V1150" s="31" t="n">
        <x:v>0</x:v>
      </x:c>
      <x:c r="W1150" s="31" t="n">
        <x:v>0</x:v>
      </x:c>
      <x:c r="X1150" s="31" t="n">
        <x:v>4</x:v>
      </x:c>
      <x:c r="Y1150" s="40" t="n">
        <x:v>1</x:v>
      </x:c>
      <x:c r="Z1150" s="40" t="n">
        <x:v>1</x:v>
      </x:c>
      <x:c r="AA1150" s="40" t="n">
        <x:v>0.9963724304715841</x:v>
      </x:c>
      <x:c r="AB1150" s="31" t="n">
        <x:v>0.19300441740157553</x:v>
      </x:c>
      <x:c r="AC1150" s="31" t="n">
        <x:v>6</x:v>
      </x:c>
      <x:c r="AD1150" s="44" t="b">
        <x:v>1</x:v>
      </x:c>
    </x:row>
    <x:row r="1151">
      <x:c r="A1151" s="31" t="str">
        <x:v>36047118400</x:v>
      </x:c>
      <x:c r="B1151" s="31" t="str">
        <x:v>Brooklyn</x:v>
      </x:c>
      <x:c r="C1151" s="31" t="str">
        <x:v>118400</x:v>
      </x:c>
      <x:c r="D1151" s="31" t="str">
        <x:v>BK0501</x:v>
      </x:c>
      <x:c r="E1151" s="31" t="str">
        <x:v>Cypress Hills</x:v>
      </x:c>
      <x:c r="F1151" s="31" t="n">
        <x:v>0.07906902376212407</x:v>
      </x:c>
      <x:c r="G1151" s="31" t="n">
        <x:v>40.68430519937316</x:v>
      </x:c>
      <x:c r="H1151" s="31" t="n">
        <x:v>-73.86941016545599</x:v>
      </x:c>
      <x:c r="I1151" s="31" t="n">
        <x:v>5434</x:v>
      </x:c>
      <x:c r="J1151" s="31" t="n">
        <x:v>68724.76402829972</x:v>
      </x:c>
      <x:c r="K1151" s="31"/>
      <x:c r="L1151" s="40"/>
      <x:c r="M1151" s="40"/>
      <x:c r="N1151" s="31" t="n">
        <x:v>630</x:v>
      </x:c>
      <x:c r="O1151" s="31" t="n">
        <x:v>1355</x:v>
      </x:c>
      <x:c r="P1151" s="31" t="n">
        <x:v>2.1878228782287823</x:v>
      </x:c>
      <x:c r="Q1151" s="40" t="n">
        <x:v>0</x:v>
      </x:c>
      <x:c r="R1151" s="40" t="n">
        <x:v>0.1859778597785978</x:v>
      </x:c>
      <x:c r="S1151" s="40" t="n">
        <x:v>0</x:v>
      </x:c>
      <x:c r="T1151" s="31" t="n">
        <x:v>30.185885634487086</x:v>
      </x:c>
      <x:c r="U1151" s="31" t="n">
        <x:v>39.56617941</x:v>
      </x:c>
      <x:c r="V1151" s="31" t="n">
        <x:v>0</x:v>
      </x:c>
      <x:c r="W1151" s="31" t="n">
        <x:v>0</x:v>
      </x:c>
      <x:c r="X1151" s="31" t="n">
        <x:v>4</x:v>
      </x:c>
      <x:c r="Y1151" s="40" t="n">
        <x:v>1</x:v>
      </x:c>
      <x:c r="Z1151" s="40" t="n">
        <x:v>1</x:v>
      </x:c>
      <x:c r="AA1151" s="40" t="n">
        <x:v>1</x:v>
      </x:c>
      <x:c r="AB1151" s="31" t="n">
        <x:v>0.10920565286598409</x:v>
      </x:c>
      <x:c r="AC1151" s="31" t="n">
        <x:v>8</x:v>
      </x:c>
      <x:c r="AD1151" s="44" t="b">
        <x:v>1</x:v>
      </x:c>
    </x:row>
    <x:row r="1152">
      <x:c r="A1152" s="31" t="str">
        <x:v>36047118600</x:v>
      </x:c>
      <x:c r="B1152" s="31" t="str">
        <x:v>Brooklyn</x:v>
      </x:c>
      <x:c r="C1152" s="31" t="str">
        <x:v>118600</x:v>
      </x:c>
      <x:c r="D1152" s="31" t="str">
        <x:v>BK0505</x:v>
      </x:c>
      <x:c r="E1152" s="31" t="str">
        <x:v>East New York-City Line</x:v>
      </x:c>
      <x:c r="F1152" s="31" t="n">
        <x:v>0.05076358264785641</x:v>
      </x:c>
      <x:c r="G1152" s="31" t="n">
        <x:v>40.681465620794974</x:v>
      </x:c>
      <x:c r="H1152" s="31" t="n">
        <x:v>-73.86777986498679</x:v>
      </x:c>
      <x:c r="I1152" s="31" t="n">
        <x:v>3147</x:v>
      </x:c>
      <x:c r="J1152" s="31" t="n">
        <x:v>61993.26044086623</x:v>
      </x:c>
      <x:c r="K1152" s="31"/>
      <x:c r="L1152" s="40"/>
      <x:c r="M1152" s="40"/>
      <x:c r="N1152" s="31" t="n">
        <x:v>374</x:v>
      </x:c>
      <x:c r="O1152" s="31" t="n">
        <x:v>759</x:v>
      </x:c>
      <x:c r="P1152" s="31" t="n">
        <x:v>2.214756258234519</x:v>
      </x:c>
      <x:c r="Q1152" s="40" t="n">
        <x:v>0</x:v>
      </x:c>
      <x:c r="R1152" s="40" t="n">
        <x:v>0.12384716732542819</x:v>
      </x:c>
      <x:c r="S1152" s="40" t="n">
        <x:v>0.005270092226613966</x:v>
      </x:c>
      <x:c r="T1152" s="31" t="n">
        <x:v>28.98065465519789</x:v>
      </x:c>
      <x:c r="U1152" s="31" t="n">
        <x:v>47.03</x:v>
      </x:c>
      <x:c r="V1152" s="31" t="n">
        <x:v>1</x:v>
      </x:c>
      <x:c r="W1152" s="31" t="n">
        <x:v>0.31776294884016526</x:v>
      </x:c>
      <x:c r="X1152" s="31" t="n">
        <x:v>4</x:v>
      </x:c>
      <x:c r="Y1152" s="40" t="n">
        <x:v>1</x:v>
      </x:c>
      <x:c r="Z1152" s="40" t="n">
        <x:v>1</x:v>
      </x:c>
      <x:c r="AA1152" s="40" t="n">
        <x:v>0.9986824769433466</x:v>
      </x:c>
      <x:c r="AB1152" s="31" t="n">
        <x:v>0.3173787502513178</x:v>
      </x:c>
      <x:c r="AC1152" s="31" t="n">
        <x:v>8</x:v>
      </x:c>
      <x:c r="AD1152" s="44" t="b">
        <x:v>1</x:v>
      </x:c>
    </x:row>
    <x:row r="1153">
      <x:c r="A1153" s="31" t="str">
        <x:v>36047118800</x:v>
      </x:c>
      <x:c r="B1153" s="31" t="str">
        <x:v>Brooklyn</x:v>
      </x:c>
      <x:c r="C1153" s="31" t="str">
        <x:v>118800</x:v>
      </x:c>
      <x:c r="D1153" s="31" t="str">
        <x:v>BK0505</x:v>
      </x:c>
      <x:c r="E1153" s="31" t="str">
        <x:v>East New York-City Line</x:v>
      </x:c>
      <x:c r="F1153" s="31" t="n">
        <x:v>0.067335765621413</x:v>
      </x:c>
      <x:c r="G1153" s="31" t="n">
        <x:v>40.67904119458521</x:v>
      </x:c>
      <x:c r="H1153" s="31" t="n">
        <x:v>-73.86591321654748</x:v>
      </x:c>
      <x:c r="I1153" s="31" t="n">
        <x:v>5156</x:v>
      </x:c>
      <x:c r="J1153" s="31" t="n">
        <x:v>76571.49142684396</x:v>
      </x:c>
      <x:c r="K1153" s="31"/>
      <x:c r="L1153" s="40"/>
      <x:c r="M1153" s="40"/>
      <x:c r="N1153" s="31" t="n">
        <x:v>457</x:v>
      </x:c>
      <x:c r="O1153" s="31" t="n">
        <x:v>1193</x:v>
      </x:c>
      <x:c r="P1153" s="31" t="n">
        <x:v>2.461441743503772</x:v>
      </x:c>
      <x:c r="Q1153" s="40" t="n">
        <x:v>0</x:v>
      </x:c>
      <x:c r="R1153" s="40" t="n">
        <x:v>0.37720033528918695</x:v>
      </x:c>
      <x:c r="S1153" s="40" t="n">
        <x:v>0.005029337803855826</x:v>
      </x:c>
      <x:c r="T1153" s="31" t="n">
        <x:v>30.270652022767933</x:v>
      </x:c>
      <x:c r="U1153" s="31" t="n">
        <x:v>49.37</x:v>
      </x:c>
      <x:c r="V1153" s="31" t="n">
        <x:v>1</x:v>
      </x:c>
      <x:c r="W1153" s="31" t="n">
        <x:v>0.1939487975174554</x:v>
      </x:c>
      <x:c r="X1153" s="31" t="n">
        <x:v>4</x:v>
      </x:c>
      <x:c r="Y1153" s="40" t="n">
        <x:v>1</x:v>
      </x:c>
      <x:c r="Z1153" s="40" t="n">
        <x:v>1</x:v>
      </x:c>
      <x:c r="AA1153" s="40" t="n">
        <x:v>0.9932942162615256</x:v>
      </x:c>
      <x:c r="AB1153" s="31" t="n">
        <x:v>0.24549592178932567</x:v>
      </x:c>
      <x:c r="AC1153" s="31" t="n">
        <x:v>6</x:v>
      </x:c>
      <x:c r="AD1153" s="44" t="b">
        <x:v>1</x:v>
      </x:c>
    </x:row>
    <x:row r="1154">
      <x:c r="A1154" s="31" t="str">
        <x:v>36047119000</x:v>
      </x:c>
      <x:c r="B1154" s="31" t="str">
        <x:v>Brooklyn</x:v>
      </x:c>
      <x:c r="C1154" s="31" t="str">
        <x:v>119000</x:v>
      </x:c>
      <x:c r="D1154" s="31" t="str">
        <x:v>BK0505</x:v>
      </x:c>
      <x:c r="E1154" s="31" t="str">
        <x:v>East New York-City Line</x:v>
      </x:c>
      <x:c r="F1154" s="31" t="n">
        <x:v>0.054186772669163226</x:v>
      </x:c>
      <x:c r="G1154" s="31" t="n">
        <x:v>40.67904383596851</x:v>
      </x:c>
      <x:c r="H1154" s="31" t="n">
        <x:v>-73.87162874563859</x:v>
      </x:c>
      <x:c r="I1154" s="31" t="n">
        <x:v>2217</x:v>
      </x:c>
      <x:c r="J1154" s="31" t="n">
        <x:v>40914.04397777794</x:v>
      </x:c>
      <x:c r="K1154" s="31"/>
      <x:c r="L1154" s="40"/>
      <x:c r="M1154" s="40"/>
      <x:c r="N1154" s="31" t="n">
        <x:v>241</x:v>
      </x:c>
      <x:c r="O1154" s="31" t="n">
        <x:v>593</x:v>
      </x:c>
      <x:c r="P1154" s="31" t="n">
        <x:v>2.652027027027027</x:v>
      </x:c>
      <x:c r="Q1154" s="40" t="n">
        <x:v>0</x:v>
      </x:c>
      <x:c r="R1154" s="40" t="n">
        <x:v>0.44013490725126475</x:v>
      </x:c>
      <x:c r="S1154" s="40" t="n">
        <x:v>0.011804384485666104</x:v>
      </x:c>
      <x:c r="T1154" s="31" t="n">
        <x:v>32.821376005856166</x:v>
      </x:c>
      <x:c r="U1154" s="31" t="n">
        <x:v>50.44</x:v>
      </x:c>
      <x:c r="V1154" s="31" t="n">
        <x:v>1</x:v>
      </x:c>
      <x:c r="W1154" s="31" t="n">
        <x:v>0.4510599909788002</x:v>
      </x:c>
      <x:c r="X1154" s="31" t="n">
        <x:v>4</x:v>
      </x:c>
      <x:c r="Y1154" s="40" t="n">
        <x:v>1</x:v>
      </x:c>
      <x:c r="Z1154" s="40" t="n">
        <x:v>1</x:v>
      </x:c>
      <x:c r="AA1154" s="40" t="n">
        <x:v>0.984822934232715</x:v>
      </x:c>
      <x:c r="AB1154" s="31" t="n">
        <x:v>0.20396727233412468</x:v>
      </x:c>
      <x:c r="AC1154" s="31" t="n">
        <x:v>8</x:v>
      </x:c>
      <x:c r="AD1154" s="44" t="b">
        <x:v>1</x:v>
      </x:c>
    </x:row>
    <x:row r="1155">
      <x:c r="A1155" s="31" t="str">
        <x:v>36047119200</x:v>
      </x:c>
      <x:c r="B1155" s="31" t="str">
        <x:v>Brooklyn</x:v>
      </x:c>
      <x:c r="C1155" s="31" t="str">
        <x:v>119200</x:v>
      </x:c>
      <x:c r="D1155" s="31" t="str">
        <x:v>BK0502</x:v>
      </x:c>
      <x:c r="E1155" s="31" t="str">
        <x:v>East New York (North)</x:v>
      </x:c>
      <x:c r="F1155" s="31" t="n">
        <x:v>0.08685861723305499</x:v>
      </x:c>
      <x:c r="G1155" s="31" t="n">
        <x:v>40.67710367161957</x:v>
      </x:c>
      <x:c r="H1155" s="31" t="n">
        <x:v>-73.87816081901092</x:v>
      </x:c>
      <x:c r="I1155" s="31" t="n">
        <x:v>3636</x:v>
      </x:c>
      <x:c r="J1155" s="31" t="n">
        <x:v>41861.131524164775</x:v>
      </x:c>
      <x:c r="K1155" s="31"/>
      <x:c r="L1155" s="40"/>
      <x:c r="M1155" s="40"/>
      <x:c r="N1155" s="31" t="n">
        <x:v>409</x:v>
      </x:c>
      <x:c r="O1155" s="31" t="n">
        <x:v>1471</x:v>
      </x:c>
      <x:c r="P1155" s="31" t="n">
        <x:v>3.939584751531654</x:v>
      </x:c>
      <x:c r="Q1155" s="40" t="n">
        <x:v>0.11760707002039429</x:v>
      </x:c>
      <x:c r="R1155" s="40" t="n">
        <x:v>0.3127124405166553</x:v>
      </x:c>
      <x:c r="S1155" s="40" t="n">
        <x:v>0.14819850441876276</x:v>
      </x:c>
      <x:c r="T1155" s="31" t="n">
        <x:v>32.86463049506231</x:v>
      </x:c>
      <x:c r="U1155" s="31" t="n">
        <x:v>80</x:v>
      </x:c>
      <x:c r="V1155" s="31" t="n">
        <x:v>10</x:v>
      </x:c>
      <x:c r="W1155" s="31" t="n">
        <x:v>2.7502750275027505</x:v>
      </x:c>
      <x:c r="X1155" s="31" t="n">
        <x:v>4</x:v>
      </x:c>
      <x:c r="Y1155" s="40" t="n">
        <x:v>1</x:v>
      </x:c>
      <x:c r="Z1155" s="40" t="n">
        <x:v>1</x:v>
      </x:c>
      <x:c r="AA1155" s="40" t="n">
        <x:v>0.8728755948334467</x:v>
      </x:c>
      <x:c r="AB1155" s="31" t="n">
        <x:v>0.10726342094644795</x:v>
      </x:c>
      <x:c r="AC1155" s="31" t="n">
        <x:v>6</x:v>
      </x:c>
      <x:c r="AD1155" s="44" t="b">
        <x:v>1</x:v>
      </x:c>
    </x:row>
    <x:row r="1156">
      <x:c r="A1156" s="31" t="str">
        <x:v>36047119400</x:v>
      </x:c>
      <x:c r="B1156" s="31" t="str">
        <x:v>Brooklyn</x:v>
      </x:c>
      <x:c r="C1156" s="31" t="str">
        <x:v>119400</x:v>
      </x:c>
      <x:c r="D1156" s="31" t="str">
        <x:v>BK0502</x:v>
      </x:c>
      <x:c r="E1156" s="31" t="str">
        <x:v>East New York (North)</x:v>
      </x:c>
      <x:c r="F1156" s="31" t="n">
        <x:v>0.07046803096483299</x:v>
      </x:c>
      <x:c r="G1156" s="31" t="n">
        <x:v>40.6725542598225</x:v>
      </x:c>
      <x:c r="H1156" s="31" t="n">
        <x:v>-73.87706531337066</x:v>
      </x:c>
      <x:c r="I1156" s="31" t="n">
        <x:v>4320</x:v>
      </x:c>
      <x:c r="J1156" s="31" t="n">
        <x:v>61304.39492705411</x:v>
      </x:c>
      <x:c r="K1156" s="31"/>
      <x:c r="L1156" s="40"/>
      <x:c r="M1156" s="40"/>
      <x:c r="N1156" s="31" t="n">
        <x:v>508</x:v>
      </x:c>
      <x:c r="O1156" s="31" t="n">
        <x:v>1358</x:v>
      </x:c>
      <x:c r="P1156" s="31" t="n">
        <x:v>2.629793510324484</x:v>
      </x:c>
      <x:c r="Q1156" s="40" t="n">
        <x:v>0.048600883652430045</x:v>
      </x:c>
      <x:c r="R1156" s="40" t="n">
        <x:v>0.24079528718703977</x:v>
      </x:c>
      <x:c r="S1156" s="40" t="n">
        <x:v>0.012518409425625921</x:v>
      </x:c>
      <x:c r="T1156" s="31" t="n">
        <x:v>32.7327820850295</x:v>
      </x:c>
      <x:c r="U1156" s="31" t="n">
        <x:v>92</x:v>
      </x:c>
      <x:c r="V1156" s="31" t="n">
        <x:v>2</x:v>
      </x:c>
      <x:c r="W1156" s="31" t="n">
        <x:v>0.46296296296296297</x:v>
      </x:c>
      <x:c r="X1156" s="31" t="n">
        <x:v>4</x:v>
      </x:c>
      <x:c r="Y1156" s="40" t="n">
        <x:v>1</x:v>
      </x:c>
      <x:c r="Z1156" s="40" t="n">
        <x:v>1</x:v>
      </x:c>
      <x:c r="AA1156" s="40" t="n">
        <x:v>0.9985272459499264</x:v>
      </x:c>
      <x:c r="AB1156" s="31" t="n">
        <x:v>0.06057749989241472</x:v>
      </x:c>
      <x:c r="AC1156" s="31" t="n">
        <x:v>6</x:v>
      </x:c>
      <x:c r="AD1156" s="44" t="b">
        <x:v>1</x:v>
      </x:c>
    </x:row>
    <x:row r="1157">
      <x:c r="A1157" s="31" t="str">
        <x:v>36047119600</x:v>
      </x:c>
      <x:c r="B1157" s="31" t="str">
        <x:v>Brooklyn</x:v>
      </x:c>
      <x:c r="C1157" s="31" t="str">
        <x:v>119600</x:v>
      </x:c>
      <x:c r="D1157" s="31" t="str">
        <x:v>BK0505</x:v>
      </x:c>
      <x:c r="E1157" s="31" t="str">
        <x:v>East New York-City Line</x:v>
      </x:c>
      <x:c r="F1157" s="31" t="n">
        <x:v>0.11804278009390783</x:v>
      </x:c>
      <x:c r="G1157" s="31" t="n">
        <x:v>40.67588834319052</x:v>
      </x:c>
      <x:c r="H1157" s="31" t="n">
        <x:v>-73.87316271890147</x:v>
      </x:c>
      <x:c r="I1157" s="31" t="n">
        <x:v>6458</x:v>
      </x:c>
      <x:c r="J1157" s="31" t="n">
        <x:v>54708.97919264862</x:v>
      </x:c>
      <x:c r="K1157" s="31"/>
      <x:c r="L1157" s="40"/>
      <x:c r="M1157" s="40"/>
      <x:c r="N1157" s="31" t="n">
        <x:v>626</x:v>
      </x:c>
      <x:c r="O1157" s="31" t="n">
        <x:v>2003</x:v>
      </x:c>
      <x:c r="P1157" s="31" t="n">
        <x:v>3.0387306346826586</x:v>
      </x:c>
      <x:c r="Q1157" s="40" t="n">
        <x:v>0</x:v>
      </x:c>
      <x:c r="R1157" s="40" t="n">
        <x:v>0.4767848227658512</x:v>
      </x:c>
      <x:c r="S1157" s="40" t="n">
        <x:v>0.03594608087868198</x:v>
      </x:c>
      <x:c r="T1157" s="31" t="n">
        <x:v>36.17969800927391</x:v>
      </x:c>
      <x:c r="U1157" s="31" t="n">
        <x:v>95</x:v>
      </x:c>
      <x:c r="V1157" s="31" t="n">
        <x:v>2</x:v>
      </x:c>
      <x:c r="W1157" s="31" t="n">
        <x:v>0.3096934035305048</x:v>
      </x:c>
      <x:c r="X1157" s="31" t="n">
        <x:v>4</x:v>
      </x:c>
      <x:c r="Y1157" s="40" t="n">
        <x:v>1</x:v>
      </x:c>
      <x:c r="Z1157" s="40" t="n">
        <x:v>1</x:v>
      </x:c>
      <x:c r="AA1157" s="40" t="n">
        <x:v>0.9970044932601099</x:v>
      </x:c>
      <x:c r="AB1157" s="31" t="n">
        <x:v>0.08716694162868323</x:v>
      </x:c>
      <x:c r="AC1157" s="31" t="n">
        <x:v>6</x:v>
      </x:c>
      <x:c r="AD1157" s="44" t="b">
        <x:v>1</x:v>
      </x:c>
    </x:row>
    <x:row r="1158">
      <x:c r="A1158" s="31" t="str">
        <x:v>36047119800</x:v>
      </x:c>
      <x:c r="B1158" s="31" t="str">
        <x:v>Brooklyn</x:v>
      </x:c>
      <x:c r="C1158" s="31" t="str">
        <x:v>119800</x:v>
      </x:c>
      <x:c r="D1158" s="31" t="str">
        <x:v>BK0502</x:v>
      </x:c>
      <x:c r="E1158" s="31" t="str">
        <x:v>East New York (North)</x:v>
      </x:c>
      <x:c r="F1158" s="31" t="n">
        <x:v>0.12653708561897384</x:v>
      </x:c>
      <x:c r="G1158" s="31" t="n">
        <x:v>40.67631533640516</x:v>
      </x:c>
      <x:c r="H1158" s="31" t="n">
        <x:v>-73.89439824913201</x:v>
      </x:c>
      <x:c r="I1158" s="31" t="n">
        <x:v>3696</x:v>
      </x:c>
      <x:c r="J1158" s="31" t="n">
        <x:v>29208.8282413057</x:v>
      </x:c>
      <x:c r="K1158" s="31"/>
      <x:c r="L1158" s="40"/>
      <x:c r="M1158" s="40"/>
      <x:c r="N1158" s="31" t="n">
        <x:v>360</x:v>
      </x:c>
      <x:c r="O1158" s="31" t="n">
        <x:v>2326</x:v>
      </x:c>
      <x:c r="P1158" s="31" t="n">
        <x:v>7.341709844559586</x:v>
      </x:c>
      <x:c r="Q1158" s="40" t="n">
        <x:v>0.36070507308684435</x:v>
      </x:c>
      <x:c r="R1158" s="40" t="n">
        <x:v>0.28073946689595874</x:v>
      </x:c>
      <x:c r="S1158" s="40" t="n">
        <x:v>0.009888220120378332</x:v>
      </x:c>
      <x:c r="T1158" s="31" t="n">
        <x:v>70.65370649371158</x:v>
      </x:c>
      <x:c r="U1158" s="31" t="n">
        <x:v>150</x:v>
      </x:c>
      <x:c r="V1158" s="31" t="n">
        <x:v>10</x:v>
      </x:c>
      <x:c r="W1158" s="31" t="n">
        <x:v>2.7056277056277054</x:v>
      </x:c>
      <x:c r="X1158" s="31" t="n">
        <x:v>5</x:v>
      </x:c>
      <x:c r="Y1158" s="40" t="n">
        <x:v>1</x:v>
      </x:c>
      <x:c r="Z1158" s="40" t="n">
        <x:v>1</x:v>
      </x:c>
      <x:c r="AA1158" s="40" t="n">
        <x:v>0.7274290627687017</x:v>
      </x:c>
      <x:c r="AB1158" s="31" t="n">
        <x:v>0.17922955538250987</x:v>
      </x:c>
      <x:c r="AC1158" s="31" t="n">
        <x:v>8</x:v>
      </x:c>
      <x:c r="AD1158" s="44" t="b">
        <x:v>1</x:v>
      </x:c>
    </x:row>
    <x:row r="1159">
      <x:c r="A1159" s="31" t="str">
        <x:v>36047120000</x:v>
      </x:c>
      <x:c r="B1159" s="31" t="str">
        <x:v>Brooklyn</x:v>
      </x:c>
      <x:c r="C1159" s="31" t="str">
        <x:v>120000</x:v>
      </x:c>
      <x:c r="D1159" s="31" t="str">
        <x:v>BK0505</x:v>
      </x:c>
      <x:c r="E1159" s="31" t="str">
        <x:v>East New York-City Line</x:v>
      </x:c>
      <x:c r="F1159" s="31" t="n">
        <x:v>0.0582459559153323</x:v>
      </x:c>
      <x:c r="G1159" s="31" t="n">
        <x:v>40.67488037040454</x:v>
      </x:c>
      <x:c r="H1159" s="31" t="n">
        <x:v>-73.86727308112</x:v>
      </x:c>
      <x:c r="I1159" s="31" t="n">
        <x:v>2873</x:v>
      </x:c>
      <x:c r="J1159" s="31" t="n">
        <x:v>49325.31288826749</x:v>
      </x:c>
      <x:c r="K1159" s="31"/>
      <x:c r="L1159" s="40"/>
      <x:c r="M1159" s="40"/>
      <x:c r="N1159" s="31" t="n">
        <x:v>243</x:v>
      </x:c>
      <x:c r="O1159" s="31" t="n">
        <x:v>810</x:v>
      </x:c>
      <x:c r="P1159" s="31" t="n">
        <x:v>3.364071782178218</x:v>
      </x:c>
      <x:c r="Q1159" s="40" t="n">
        <x:v>0</x:v>
      </x:c>
      <x:c r="R1159" s="40" t="n">
        <x:v>0.4123456790123457</x:v>
      </x:c>
      <x:c r="S1159" s="40" t="n">
        <x:v>0.003703703703703704</x:v>
      </x:c>
      <x:c r="T1159" s="31" t="n">
        <x:v>39.208866070444444</x:v>
      </x:c>
      <x:c r="U1159" s="31" t="n">
        <x:v>75</x:v>
      </x:c>
      <x:c r="V1159" s="31" t="n">
        <x:v>6</x:v>
      </x:c>
      <x:c r="W1159" s="31" t="n">
        <x:v>2.088409328228333</x:v>
      </x:c>
      <x:c r="X1159" s="31" t="n">
        <x:v>4</x:v>
      </x:c>
      <x:c r="Y1159" s="40" t="n">
        <x:v>1</x:v>
      </x:c>
      <x:c r="Z1159" s="40" t="n">
        <x:v>1</x:v>
      </x:c>
      <x:c r="AA1159" s="40" t="n">
        <x:v>1</x:v>
      </x:c>
      <x:c r="AB1159" s="31" t="n">
        <x:v>0.14904324870382976</x:v>
      </x:c>
      <x:c r="AC1159" s="31" t="n">
        <x:v>6</x:v>
      </x:c>
      <x:c r="AD1159" s="44" t="b">
        <x:v>1</x:v>
      </x:c>
    </x:row>
    <x:row r="1160">
      <x:c r="A1160" s="31" t="str">
        <x:v>36047120200</x:v>
      </x:c>
      <x:c r="B1160" s="31" t="str">
        <x:v>Brooklyn</x:v>
      </x:c>
      <x:c r="C1160" s="31" t="str">
        <x:v>120200</x:v>
      </x:c>
      <x:c r="D1160" s="31" t="str">
        <x:v>BK0505</x:v>
      </x:c>
      <x:c r="E1160" s="31" t="str">
        <x:v>East New York-City Line</x:v>
      </x:c>
      <x:c r="F1160" s="31" t="n">
        <x:v>0.05887115204100665</x:v>
      </x:c>
      <x:c r="G1160" s="31" t="n">
        <x:v>40.676344919625244</x:v>
      </x:c>
      <x:c r="H1160" s="31" t="n">
        <x:v>-73.86436362049655</x:v>
      </x:c>
      <x:c r="I1160" s="31" t="n">
        <x:v>1972</x:v>
      </x:c>
      <x:c r="J1160" s="31" t="n">
        <x:v>33496.88143738728</x:v>
      </x:c>
      <x:c r="K1160" s="31"/>
      <x:c r="L1160" s="40"/>
      <x:c r="M1160" s="40"/>
      <x:c r="N1160" s="31" t="n">
        <x:v>216</x:v>
      </x:c>
      <x:c r="O1160" s="31" t="n">
        <x:v>437</x:v>
      </x:c>
      <x:c r="P1160" s="31" t="n">
        <x:v>2.2025171624713957</x:v>
      </x:c>
      <x:c r="Q1160" s="40" t="n">
        <x:v>0</x:v>
      </x:c>
      <x:c r="R1160" s="40" t="n">
        <x:v>0.20594965675057209</x:v>
      </x:c>
      <x:c r="S1160" s="40" t="n">
        <x:v>0.029748283752860413</x:v>
      </x:c>
      <x:c r="T1160" s="31" t="n">
        <x:v>26.717139588100686</x:v>
      </x:c>
      <x:c r="U1160" s="31" t="n">
        <x:v>37.12</x:v>
      </x:c>
      <x:c r="V1160" s="31" t="n">
        <x:v>0</x:v>
      </x:c>
      <x:c r="W1160" s="31" t="n">
        <x:v>0</x:v>
      </x:c>
      <x:c r="X1160" s="31" t="n">
        <x:v>4</x:v>
      </x:c>
      <x:c r="Y1160" s="40" t="n">
        <x:v>1</x:v>
      </x:c>
      <x:c r="Z1160" s="40" t="n">
        <x:v>1</x:v>
      </x:c>
      <x:c r="AA1160" s="40" t="n">
        <x:v>1</x:v>
      </x:c>
      <x:c r="AB1160" s="31" t="n">
        <x:v>0.06578451377204687</x:v>
      </x:c>
      <x:c r="AC1160" s="31" t="n">
        <x:v>6</x:v>
      </x:c>
      <x:c r="AD1160" s="44" t="b">
        <x:v>1</x:v>
      </x:c>
    </x:row>
    <x:row r="1161">
      <x:c r="A1161" s="31" t="str">
        <x:v>36047120801</x:v>
      </x:c>
      <x:c r="B1161" s="31" t="str">
        <x:v>Brooklyn</x:v>
      </x:c>
      <x:c r="C1161" s="31" t="str">
        <x:v>120801</x:v>
      </x:c>
      <x:c r="D1161" s="31" t="str">
        <x:v>BK0505</x:v>
      </x:c>
      <x:c r="E1161" s="31" t="str">
        <x:v>East New York-City Line</x:v>
      </x:c>
      <x:c r="F1161" s="31" t="n">
        <x:v>0.07776529229869719</x:v>
      </x:c>
      <x:c r="G1161" s="31" t="n">
        <x:v>40.67097640304729</x:v>
      </x:c>
      <x:c r="H1161" s="31" t="n">
        <x:v>-73.8684523492935</x:v>
      </x:c>
      <x:c r="I1161" s="31" t="n">
        <x:v>3999</x:v>
      </x:c>
      <x:c r="J1161" s="31" t="n">
        <x:v>51423.969251472816</x:v>
      </x:c>
      <x:c r="K1161" s="31"/>
      <x:c r="L1161" s="40"/>
      <x:c r="M1161" s="40"/>
      <x:c r="N1161" s="31" t="n">
        <x:v>543</x:v>
      </x:c>
      <x:c r="O1161" s="31" t="n">
        <x:v>1237</x:v>
      </x:c>
      <x:c r="P1161" s="31" t="n">
        <x:v>2.076596604688763</x:v>
      </x:c>
      <x:c r="Q1161" s="40" t="n">
        <x:v>0</x:v>
      </x:c>
      <x:c r="R1161" s="40" t="n">
        <x:v>0.14551333872271624</x:v>
      </x:c>
      <x:c r="S1161" s="40" t="n">
        <x:v>0.0016168148746968471</x:v>
      </x:c>
      <x:c r="T1161" s="31" t="n">
        <x:v>25.673498264943092</x:v>
      </x:c>
      <x:c r="U1161" s="31" t="n">
        <x:v>42</x:v>
      </x:c>
      <x:c r="V1161" s="31" t="n">
        <x:v>0</x:v>
      </x:c>
      <x:c r="W1161" s="31" t="n">
        <x:v>0</x:v>
      </x:c>
      <x:c r="X1161" s="31" t="n">
        <x:v>4</x:v>
      </x:c>
      <x:c r="Y1161" s="40" t="n">
        <x:v>1</x:v>
      </x:c>
      <x:c r="Z1161" s="40" t="n">
        <x:v>1</x:v>
      </x:c>
      <x:c r="AA1161" s="40" t="n">
        <x:v>0.994341147938561</x:v>
      </x:c>
      <x:c r="AB1161" s="31" t="n">
        <x:v>0.254732298234055</x:v>
      </x:c>
      <x:c r="AC1161" s="31" t="n">
        <x:v>6</x:v>
      </x:c>
      <x:c r="AD1161" s="44" t="b">
        <x:v>1</x:v>
      </x:c>
    </x:row>
    <x:row r="1162">
      <x:c r="A1162" s="31" t="str">
        <x:v>36047120802</x:v>
      </x:c>
      <x:c r="B1162" s="31" t="str">
        <x:v>Brooklyn</x:v>
      </x:c>
      <x:c r="C1162" s="31" t="str">
        <x:v>120802</x:v>
      </x:c>
      <x:c r="D1162" s="31" t="str">
        <x:v>BK0505</x:v>
      </x:c>
      <x:c r="E1162" s="31" t="str">
        <x:v>East New York-City Line</x:v>
      </x:c>
      <x:c r="F1162" s="31" t="n">
        <x:v>0.045496140565096994</x:v>
      </x:c>
      <x:c r="G1162" s="31" t="n">
        <x:v>40.67153099335365</x:v>
      </x:c>
      <x:c r="H1162" s="31" t="n">
        <x:v>-73.86474929358273</x:v>
      </x:c>
      <x:c r="I1162" s="31" t="n">
        <x:v>3770</x:v>
      </x:c>
      <x:c r="J1162" s="31" t="n">
        <x:v>82864.17162365215</x:v>
      </x:c>
      <x:c r="K1162" s="31"/>
      <x:c r="L1162" s="40"/>
      <x:c r="M1162" s="40"/>
      <x:c r="N1162" s="31" t="n">
        <x:v>1</x:v>
      </x:c>
      <x:c r="O1162" s="31" t="n">
        <x:v>319</x:v>
      </x:c>
      <x:c r="P1162" s="31" t="n">
        <x:v>20</x:v>
      </x:c>
      <x:c r="Q1162" s="40" t="n">
        <x:v>1</x:v>
      </x:c>
      <x:c r="R1162" s="40" t="n">
        <x:v>0</x:v>
      </x:c>
      <x:c r="S1162" s="40" t="n">
        <x:v>0</x:v>
      </x:c>
      <x:c r="T1162" s="31" t="n">
        <x:v>179.14990429</x:v>
      </x:c>
      <x:c r="U1162" s="31" t="n">
        <x:v>179.14990429</x:v>
      </x:c>
      <x:c r="V1162" s="31" t="n">
        <x:v>3</x:v>
      </x:c>
      <x:c r="W1162" s="31" t="n">
        <x:v>0.7957559681697612</x:v>
      </x:c>
      <x:c r="X1162" s="31" t="n">
        <x:v>4</x:v>
      </x:c>
      <x:c r="Y1162" s="40" t="n">
        <x:v>1</x:v>
      </x:c>
      <x:c r="Z1162" s="40" t="n">
        <x:v>1</x:v>
      </x:c>
      <x:c r="AA1162" s="40" t="n">
        <x:v>1</x:v>
      </x:c>
      <x:c r="AB1162" s="31" t="n">
        <x:v>0.19081630202133673</x:v>
      </x:c>
      <x:c r="AC1162" s="31" t="n">
        <x:v>5</x:v>
      </x:c>
      <x:c r="AD1162" s="44" t="b">
        <x:v>1</x:v>
      </x:c>
    </x:row>
    <x:row r="1163">
      <x:c r="A1163" s="31" t="str">
        <x:v>36047120803</x:v>
      </x:c>
      <x:c r="B1163" s="31" t="str">
        <x:v>Brooklyn</x:v>
      </x:c>
      <x:c r="C1163" s="31" t="str">
        <x:v>120803</x:v>
      </x:c>
      <x:c r="D1163" s="31" t="str">
        <x:v>BK0505</x:v>
      </x:c>
      <x:c r="E1163" s="31" t="str">
        <x:v>East New York-City Line</x:v>
      </x:c>
      <x:c r="F1163" s="31" t="n">
        <x:v>0.05975016480070593</x:v>
      </x:c>
      <x:c r="G1163" s="31" t="n">
        <x:v>40.67166510920448</x:v>
      </x:c>
      <x:c r="H1163" s="31" t="n">
        <x:v>-73.86126893548187</x:v>
      </x:c>
      <x:c r="I1163" s="31" t="n">
        <x:v>2010</x:v>
      </x:c>
      <x:c r="J1163" s="31" t="n">
        <x:v>33640.07457894497</x:v>
      </x:c>
      <x:c r="K1163" s="31"/>
      <x:c r="L1163" s="40"/>
      <x:c r="M1163" s="40"/>
      <x:c r="N1163" s="31" t="n">
        <x:v>170</x:v>
      </x:c>
      <x:c r="O1163" s="31" t="n">
        <x:v>581</x:v>
      </x:c>
      <x:c r="P1163" s="31" t="n">
        <x:v>3.9558823529411766</x:v>
      </x:c>
      <x:c r="Q1163" s="40" t="n">
        <x:v>0</x:v>
      </x:c>
      <x:c r="R1163" s="40" t="n">
        <x:v>0.4629948364888124</x:v>
      </x:c>
      <x:c r="S1163" s="40" t="n">
        <x:v>0.08777969018932874</x:v>
      </x:c>
      <x:c r="T1163" s="31" t="n">
        <x:v>44.67177042095406</x:v>
      </x:c>
      <x:c r="U1163" s="31" t="n">
        <x:v>77.48421739</x:v>
      </x:c>
      <x:c r="V1163" s="31" t="n">
        <x:v>4</x:v>
      </x:c>
      <x:c r="W1163" s="31" t="n">
        <x:v>1.990049751243781</x:v>
      </x:c>
      <x:c r="X1163" s="31" t="n">
        <x:v>4</x:v>
      </x:c>
      <x:c r="Y1163" s="40" t="n">
        <x:v>1</x:v>
      </x:c>
      <x:c r="Z1163" s="40" t="n">
        <x:v>1</x:v>
      </x:c>
      <x:c r="AA1163" s="40" t="n">
        <x:v>0.9741824440619621</x:v>
      </x:c>
      <x:c r="AB1163" s="31" t="n">
        <x:v>0.2644567945223784</x:v>
      </x:c>
      <x:c r="AC1163" s="31" t="n">
        <x:v>6</x:v>
      </x:c>
      <x:c r="AD1163" s="44" t="b">
        <x:v>1</x:v>
      </x:c>
    </x:row>
    <x:row r="1164">
      <x:c r="A1164" s="31" t="str">
        <x:v>36047121000</x:v>
      </x:c>
      <x:c r="B1164" s="31" t="str">
        <x:v>Brooklyn</x:v>
      </x:c>
      <x:c r="C1164" s="31" t="str">
        <x:v>121000</x:v>
      </x:c>
      <x:c r="D1164" s="31" t="str">
        <x:v>BK0505</x:v>
      </x:c>
      <x:c r="E1164" s="31" t="str">
        <x:v>East New York-City Line</x:v>
      </x:c>
      <x:c r="F1164" s="31" t="n">
        <x:v>0.06158196123629764</x:v>
      </x:c>
      <x:c r="G1164" s="31" t="n">
        <x:v>40.67009860029867</x:v>
      </x:c>
      <x:c r="H1164" s="31" t="n">
        <x:v>-73.87224831599192</x:v>
      </x:c>
      <x:c r="I1164" s="31" t="n">
        <x:v>3688</x:v>
      </x:c>
      <x:c r="J1164" s="31" t="n">
        <x:v>59887.66719930672</x:v>
      </x:c>
      <x:c r="K1164" s="31"/>
      <x:c r="L1164" s="40"/>
      <x:c r="M1164" s="40"/>
      <x:c r="N1164" s="31" t="n">
        <x:v>1</x:v>
      </x:c>
      <x:c r="O1164" s="31" t="n">
        <x:v>1444</x:v>
      </x:c>
      <x:c r="P1164" s="31" t="n">
        <x:v>7</x:v>
      </x:c>
      <x:c r="Q1164" s="40" t="n">
        <x:v>0</x:v>
      </x:c>
      <x:c r="R1164" s="40" t="n">
        <x:v>1</x:v>
      </x:c>
      <x:c r="S1164" s="40" t="n">
        <x:v>1</x:v>
      </x:c>
      <x:c r="T1164" s="31" t="n">
        <x:v>68.48</x:v>
      </x:c>
      <x:c r="U1164" s="31" t="n">
        <x:v>68.48</x:v>
      </x:c>
      <x:c r="V1164" s="31" t="n">
        <x:v>30</x:v>
      </x:c>
      <x:c r="W1164" s="31" t="n">
        <x:v>8.134490238611713</x:v>
      </x:c>
      <x:c r="X1164" s="31" t="n">
        <x:v>4</x:v>
      </x:c>
      <x:c r="Y1164" s="40" t="n">
        <x:v>1</x:v>
      </x:c>
      <x:c r="Z1164" s="40" t="n">
        <x:v>1</x:v>
      </x:c>
      <x:c r="AA1164" s="40" t="n">
        <x:v>1</x:v>
      </x:c>
      <x:c r="AB1164" s="31" t="n">
        <x:v>0.11967097560609545</x:v>
      </x:c>
      <x:c r="AC1164" s="31" t="n">
        <x:v>6</x:v>
      </x:c>
      <x:c r="AD1164" s="44" t="b">
        <x:v>1</x:v>
      </x:c>
    </x:row>
    <x:row r="1165">
      <x:c r="A1165" s="31" t="str">
        <x:v>36047121400</x:v>
      </x:c>
      <x:c r="B1165" s="31" t="str">
        <x:v>Brooklyn</x:v>
      </x:c>
      <x:c r="C1165" s="31" t="str">
        <x:v>121400</x:v>
      </x:c>
      <x:c r="D1165" s="31" t="str">
        <x:v>BK0505</x:v>
      </x:c>
      <x:c r="E1165" s="31" t="str">
        <x:v>East New York-City Line</x:v>
      </x:c>
      <x:c r="F1165" s="31" t="n">
        <x:v>0.06686373304457932</x:v>
      </x:c>
      <x:c r="G1165" s="31" t="n">
        <x:v>40.66749278853006</x:v>
      </x:c>
      <x:c r="H1165" s="31" t="n">
        <x:v>-73.86517951033392</x:v>
      </x:c>
      <x:c r="I1165" s="31" t="n">
        <x:v>4100</x:v>
      </x:c>
      <x:c r="J1165" s="31" t="n">
        <x:v>61318.74206404916</x:v>
      </x:c>
      <x:c r="K1165" s="31"/>
      <x:c r="L1165" s="40"/>
      <x:c r="M1165" s="40"/>
      <x:c r="N1165" s="31" t="n">
        <x:v>4</x:v>
      </x:c>
      <x:c r="O1165" s="31" t="n">
        <x:v>1919</x:v>
      </x:c>
      <x:c r="P1165" s="31" t="n">
        <x:v>8</x:v>
      </x:c>
      <x:c r="Q1165" s="40" t="n">
        <x:v>0</x:v>
      </x:c>
      <x:c r="R1165" s="40" t="n">
        <x:v>1</x:v>
      </x:c>
      <x:c r="S1165" s="40" t="n">
        <x:v>1</x:v>
      </x:c>
      <x:c r="T1165" s="31" t="n">
        <x:v>75.56595622720167</x:v>
      </x:c>
      <x:c r="U1165" s="31" t="n">
        <x:v>83.19</x:v>
      </x:c>
      <x:c r="V1165" s="31" t="n">
        <x:v>21</x:v>
      </x:c>
      <x:c r="W1165" s="31" t="n">
        <x:v>5.121951219512195</x:v>
      </x:c>
      <x:c r="X1165" s="31" t="n">
        <x:v>4</x:v>
      </x:c>
      <x:c r="Y1165" s="40" t="n">
        <x:v>1</x:v>
      </x:c>
      <x:c r="Z1165" s="40" t="n">
        <x:v>1</x:v>
      </x:c>
      <x:c r="AA1165" s="40" t="n">
        <x:v>1</x:v>
      </x:c>
      <x:c r="AB1165" s="31" t="n">
        <x:v>0.0937830410257553</x:v>
      </x:c>
      <x:c r="AC1165" s="31" t="n">
        <x:v>4</x:v>
      </x:c>
      <x:c r="AD1165" s="44" t="b">
        <x:v>1</x:v>
      </x:c>
    </x:row>
    <x:row r="1166">
      <x:c r="A1166" s="31" t="str">
        <x:v>36047122000</x:v>
      </x:c>
      <x:c r="B1166" s="31" t="str">
        <x:v>Brooklyn</x:v>
      </x:c>
      <x:c r="C1166" s="31" t="str">
        <x:v>122000</x:v>
      </x:c>
      <x:c r="D1166" s="31" t="str">
        <x:v>BK0505</x:v>
      </x:c>
      <x:c r="E1166" s="31" t="str">
        <x:v>East New York-City Line</x:v>
      </x:c>
      <x:c r="F1166" s="31" t="n">
        <x:v>0.4120499782986111</x:v>
      </x:c>
      <x:c r="G1166" s="31" t="n">
        <x:v>40.66391687777902</x:v>
      </x:c>
      <x:c r="H1166" s="31" t="n">
        <x:v>-73.86288615137182</x:v>
      </x:c>
      <x:c r="I1166" s="31" t="n">
        <x:v>6169</x:v>
      </x:c>
      <x:c r="J1166" s="31" t="n">
        <x:v>14971.484831700072</x:v>
      </x:c>
      <x:c r="K1166" s="31"/>
      <x:c r="L1166" s="40"/>
      <x:c r="M1166" s="40"/>
      <x:c r="N1166" s="31" t="n">
        <x:v>576</x:v>
      </x:c>
      <x:c r="O1166" s="31" t="n">
        <x:v>2619</x:v>
      </x:c>
      <x:c r="P1166" s="31" t="n">
        <x:v>4.506536753823385</x:v>
      </x:c>
      <x:c r="Q1166" s="40" t="n">
        <x:v>0.08934707903780069</x:v>
      </x:c>
      <x:c r="R1166" s="40" t="n">
        <x:v>0.39709812905689196</x:v>
      </x:c>
      <x:c r="S1166" s="40" t="n">
        <x:v>0.001145475372279496</x:v>
      </x:c>
      <x:c r="T1166" s="31" t="n">
        <x:v>55.29604758769884</x:v>
      </x:c>
      <x:c r="U1166" s="31" t="n">
        <x:v>136</x:v>
      </x:c>
      <x:c r="V1166" s="31" t="n">
        <x:v>12</x:v>
      </x:c>
      <x:c r="W1166" s="31" t="n">
        <x:v>1.9452099205705948</x:v>
      </x:c>
      <x:c r="X1166" s="31" t="n">
        <x:v>4</x:v>
      </x:c>
      <x:c r="Y1166" s="40" t="n">
        <x:v>1</x:v>
      </x:c>
      <x:c r="Z1166" s="40" t="n">
        <x:v>1</x:v>
      </x:c>
      <x:c r="AA1166" s="40" t="n">
        <x:v>0.9889270714012982</x:v>
      </x:c>
      <x:c r="AB1166" s="31" t="n">
        <x:v>0.1683386200522625</x:v>
      </x:c>
      <x:c r="AC1166" s="31" t="n">
        <x:v>9</x:v>
      </x:c>
      <x:c r="AD1166" s="44" t="b">
        <x:v>1</x:v>
      </x:c>
    </x:row>
    <x:row r="1167">
      <x:c r="A1167" s="31" t="str">
        <x:v>36047123700</x:v>
      </x:c>
      <x:c r="B1167" s="31" t="str">
        <x:v>Brooklyn</x:v>
      </x:c>
      <x:c r="C1167" s="31" t="str">
        <x:v>123700</x:v>
      </x:c>
      <x:c r="D1167" s="31" t="str">
        <x:v>BK0301</x:v>
      </x:c>
      <x:c r="E1167" s="31" t="str">
        <x:v>Bedford-Stuyvesant (West)</x:v>
      </x:c>
      <x:c r="F1167" s="31" t="n">
        <x:v>0.12409114170576503</x:v>
      </x:c>
      <x:c r="G1167" s="31" t="n">
        <x:v>40.69673840395645</x:v>
      </x:c>
      <x:c r="H1167" s="31" t="n">
        <x:v>-73.95674044640614</x:v>
      </x:c>
      <x:c r="I1167" s="31" t="n">
        <x:v>8586</x:v>
      </x:c>
      <x:c r="J1167" s="31" t="n">
        <x:v>69191.07908893639</x:v>
      </x:c>
      <x:c r="K1167" s="31"/>
      <x:c r="L1167" s="40"/>
      <x:c r="M1167" s="40"/>
      <x:c r="N1167" s="31" t="n">
        <x:v>271</x:v>
      </x:c>
      <x:c r="O1167" s="31" t="n">
        <x:v>2240</x:v>
      </x:c>
      <x:c r="P1167" s="31" t="n">
        <x:v>5.548038229376258</x:v>
      </x:c>
      <x:c r="Q1167" s="40" t="n">
        <x:v>0.09196428571428572</x:v>
      </x:c>
      <x:c r="R1167" s="40" t="n">
        <x:v>0.76875</x:v>
      </x:c>
      <x:c r="S1167" s="40" t="n">
        <x:v>0.04151785714285714</x:v>
      </x:c>
      <x:c r="T1167" s="31" t="n">
        <x:v>62.43948985634023</x:v>
      </x:c>
      <x:c r="U1167" s="31" t="n">
        <x:v>108</x:v>
      </x:c>
      <x:c r="V1167" s="31" t="n">
        <x:v>114</x:v>
      </x:c>
      <x:c r="W1167" s="31" t="n">
        <x:v>13.277428371767995</x:v>
      </x:c>
      <x:c r="X1167" s="31" t="n">
        <x:v>4</x:v>
      </x:c>
      <x:c r="Y1167" s="40" t="n">
        <x:v>1</x:v>
      </x:c>
      <x:c r="Z1167" s="40" t="n">
        <x:v>1</x:v>
      </x:c>
      <x:c r="AA1167" s="40" t="n">
        <x:v>0.884375</x:v>
      </x:c>
      <x:c r="AB1167" s="31" t="n">
        <x:v>0.19406303481130663</x:v>
      </x:c>
      <x:c r="AC1167" s="31" t="n">
        <x:v>8</x:v>
      </x:c>
      <x:c r="AD1167" s="44" t="b">
        <x:v>1</x:v>
      </x:c>
    </x:row>
    <x:row r="1168">
      <x:c r="A1168" s="31" t="str">
        <x:v>36047150200</x:v>
      </x:c>
      <x:c r="B1168" s="31" t="str">
        <x:v>Brooklyn</x:v>
      </x:c>
      <x:c r="C1168" s="31" t="str">
        <x:v>150200</x:v>
      </x:c>
      <x:c r="D1168" s="31" t="str">
        <x:v>BK0701</x:v>
      </x:c>
      <x:c r="E1168" s="31" t="str">
        <x:v>Windsor Terrace-South Slope</x:v>
      </x:c>
      <x:c r="F1168" s="31" t="n">
        <x:v>0.12306561154944329</x:v>
      </x:c>
      <x:c r="G1168" s="31" t="n">
        <x:v>40.65463300047905</x:v>
      </x:c>
      <x:c r="H1168" s="31" t="n">
        <x:v>-73.98126931944607</x:v>
      </x:c>
      <x:c r="I1168" s="31" t="n">
        <x:v>2616</x:v>
      </x:c>
      <x:c r="J1168" s="31" t="n">
        <x:v>21256.95364499925</x:v>
      </x:c>
      <x:c r="K1168" s="31"/>
      <x:c r="L1168" s="40"/>
      <x:c r="M1168" s="40"/>
      <x:c r="N1168" s="31" t="n">
        <x:v>516</x:v>
      </x:c>
      <x:c r="O1168" s="31" t="n">
        <x:v>1175</x:v>
      </x:c>
      <x:c r="P1168" s="31" t="n">
        <x:v>2.403239556692242</x:v>
      </x:c>
      <x:c r="Q1168" s="40" t="n">
        <x:v>0</x:v>
      </x:c>
      <x:c r="R1168" s="40" t="n">
        <x:v>0.32851063829787236</x:v>
      </x:c>
      <x:c r="S1168" s="40" t="n">
        <x:v>0.01872340425531915</x:v>
      </x:c>
      <x:c r="T1168" s="31" t="n">
        <x:v>29.947358500017287</x:v>
      </x:c>
      <x:c r="U1168" s="31" t="n">
        <x:v>63</x:v>
      </x:c>
      <x:c r="V1168" s="31" t="n">
        <x:v>4</x:v>
      </x:c>
      <x:c r="W1168" s="31" t="n">
        <x:v>1.529051987767584</x:v>
      </x:c>
      <x:c r="X1168" s="31" t="n">
        <x:v>2.724255319148936</x:v>
      </x:c>
      <x:c r="Y1168" s="40" t="n">
        <x:v>0</x:v>
      </x:c>
      <x:c r="Z1168" s="40" t="n">
        <x:v>1</x:v>
      </x:c>
      <x:c r="AA1168" s="40" t="n">
        <x:v>0.9846808510638297</x:v>
      </x:c>
      <x:c r="AB1168" s="31" t="n">
        <x:v>0.1349585927390624</x:v>
      </x:c>
      <x:c r="AC1168" s="31" t="n">
        <x:v>8</x:v>
      </x:c>
      <x:c r="AD1168" s="44" t="b">
        <x:v>1</x:v>
      </x:c>
    </x:row>
    <x:row r="1169">
      <x:c r="A1169" s="31" t="str">
        <x:v>36047152200</x:v>
      </x:c>
      <x:c r="B1169" s="31" t="str">
        <x:v>Brooklyn</x:v>
      </x:c>
      <x:c r="C1169" s="31" t="str">
        <x:v>152200</x:v>
      </x:c>
      <x:c r="D1169" s="31" t="str">
        <x:v>BK1402</x:v>
      </x:c>
      <x:c r="E1169" s="31" t="str">
        <x:v>Flatbush (West)-Ditmas Park-Parkville</x:v>
      </x:c>
      <x:c r="F1169" s="31" t="n">
        <x:v>0.15053817533753733</x:v>
      </x:c>
      <x:c r="G1169" s="31" t="n">
        <x:v>40.64397377932391</x:v>
      </x:c>
      <x:c r="H1169" s="31" t="n">
        <x:v>-73.96718373721801</x:v>
      </x:c>
      <x:c r="I1169" s="31" t="n">
        <x:v>3287</x:v>
      </x:c>
      <x:c r="J1169" s="31" t="n">
        <x:v>21834.992968593346</x:v>
      </x:c>
      <x:c r="K1169" s="31"/>
      <x:c r="L1169" s="40"/>
      <x:c r="M1169" s="40"/>
      <x:c r="N1169" s="31" t="n">
        <x:v>510</x:v>
      </x:c>
      <x:c r="O1169" s="31" t="n">
        <x:v>1186</x:v>
      </x:c>
      <x:c r="P1169" s="31" t="n">
        <x:v>3.778878583473862</x:v>
      </x:c>
      <x:c r="Q1169" s="40" t="n">
        <x:v>0</x:v>
      </x:c>
      <x:c r="R1169" s="40" t="n">
        <x:v>0.4966273187183811</x:v>
      </x:c>
      <x:c r="S1169" s="40" t="n">
        <x:v>0.008431703204047217</x:v>
      </x:c>
      <x:c r="T1169" s="31" t="n">
        <x:v>47.53581301069054</x:v>
      </x:c>
      <x:c r="U1169" s="31" t="n">
        <x:v>76.46710461</x:v>
      </x:c>
      <x:c r="V1169" s="31" t="n">
        <x:v>13</x:v>
      </x:c>
      <x:c r="W1169" s="31" t="n">
        <x:v>3.9549741405536962</x:v>
      </x:c>
      <x:c r="X1169" s="31" t="n">
        <x:v>3.475548060708263</x:v>
      </x:c>
      <x:c r="Y1169" s="40" t="n">
        <x:v>0.23777403035413153</x:v>
      </x:c>
      <x:c r="Z1169" s="40" t="n">
        <x:v>1</x:v>
      </x:c>
      <x:c r="AA1169" s="40" t="n">
        <x:v>0.9890387858347386</x:v>
      </x:c>
      <x:c r="AB1169" s="31" t="n">
        <x:v>0.19620634465804648</x:v>
      </x:c>
      <x:c r="AC1169" s="31" t="n">
        <x:v>7</x:v>
      </x:c>
      <x:c r="AD1169" s="44" t="b">
        <x:v>1</x:v>
      </x:c>
    </x:row>
    <x:row r="1170">
      <x:c r="A1170" s="31" t="str">
        <x:v>36061000100</x:v>
      </x:c>
      <x:c r="B1170" s="31" t="str">
        <x:v>Manhattan</x:v>
      </x:c>
      <x:c r="C1170" s="31" t="str">
        <x:v>000100</x:v>
      </x:c>
      <x:c r="D1170" s="31" t="str">
        <x:v>MN0191</x:v>
      </x:c>
      <x:c r="E1170" s="31" t="str">
        <x:v>The Battery-Governors Island-Ellis Island-Liberty Island</x:v>
      </x:c>
      <x:c r="F1170" s="31" t="n">
        <x:v>0.0661086906856204</x:v>
      </x:c>
      <x:c r="G1170" s="31" t="n">
        <x:v>40.69567298240602</x:v>
      </x:c>
      <x:c r="H1170" s="31" t="n">
        <x:v>-74.04233991488555</x:v>
      </x:c>
      <x:c r="I1170" s="31" t="n">
        <x:v>0</x:v>
      </x:c>
      <x:c r="J1170" s="31" t="n">
        <x:v>0</x:v>
      </x:c>
      <x:c r="K1170" s="31"/>
      <x:c r="L1170" s="40"/>
      <x:c r="M1170" s="40"/>
      <x:c r="N1170" s="31" t="n">
        <x:v>0</x:v>
      </x:c>
      <x:c r="O1170" s="31"/>
      <x:c r="P1170" s="31"/>
      <x:c r="Q1170" s="40"/>
      <x:c r="R1170" s="40"/>
      <x:c r="S1170" s="40"/>
      <x:c r="T1170" s="31"/>
      <x:c r="U1170" s="31"/>
      <x:c r="V1170" s="31" t="n">
        <x:v>0</x:v>
      </x:c>
      <x:c r="W1170" s="31"/>
      <x:c r="X1170" s="31"/>
      <x:c r="Y1170" s="40"/>
      <x:c r="Z1170" s="40"/>
      <x:c r="AA1170" s="40"/>
      <x:c r="AB1170" s="31" t="n">
        <x:v>1.502304701226786</x:v>
      </x:c>
      <x:c r="AC1170" s="31" t="n">
        <x:v>0</x:v>
      </x:c>
      <x:c r="AD1170" s="44" t="b">
        <x:v>0</x:v>
      </x:c>
    </x:row>
    <x:row r="1171">
      <x:c r="A1171" s="31" t="str">
        <x:v>36061000201</x:v>
      </x:c>
      <x:c r="B1171" s="31" t="str">
        <x:v>Manhattan</x:v>
      </x:c>
      <x:c r="C1171" s="31" t="str">
        <x:v>000201</x:v>
      </x:c>
      <x:c r="D1171" s="31" t="str">
        <x:v>MN0301</x:v>
      </x:c>
      <x:c r="E1171" s="31" t="str">
        <x:v>Chinatown-Two Bridges</x:v>
      </x:c>
      <x:c r="F1171" s="31" t="n">
        <x:v>0.03436026197880797</x:v>
      </x:c>
      <x:c r="G1171" s="31" t="n">
        <x:v>40.71189678122947</x:v>
      </x:c>
      <x:c r="H1171" s="31" t="n">
        <x:v>-73.98583769411316</x:v>
      </x:c>
      <x:c r="I1171" s="31" t="n">
        <x:v>2012</x:v>
      </x:c>
      <x:c r="J1171" s="31" t="n">
        <x:v>58556.0145391476</x:v>
      </x:c>
      <x:c r="K1171" s="31"/>
      <x:c r="L1171" s="40"/>
      <x:c r="M1171" s="40"/>
      <x:c r="N1171" s="31" t="n">
        <x:v>29</x:v>
      </x:c>
      <x:c r="O1171" s="31" t="n">
        <x:v>1054</x:v>
      </x:c>
      <x:c r="P1171" s="31" t="n">
        <x:v>15.407020872865274</x:v>
      </x:c>
      <x:c r="Q1171" s="40" t="n">
        <x:v>0.7039848197343453</x:v>
      </x:c>
      <x:c r="R1171" s="40" t="n">
        <x:v>0.29601518026565465</x:v>
      </x:c>
      <x:c r="S1171" s="40" t="n">
        <x:v>0.4667931688804554</x:v>
      </x:c>
      <x:c r="T1171" s="31" t="n">
        <x:v>141.019440227704</x:v>
      </x:c>
      <x:c r="U1171" s="31" t="n">
        <x:v>232.12</x:v>
      </x:c>
      <x:c r="V1171" s="31" t="n">
        <x:v>14</x:v>
      </x:c>
      <x:c r="W1171" s="31" t="n">
        <x:v>6.958250497017893</x:v>
      </x:c>
      <x:c r="X1171" s="31" t="n">
        <x:v>3</x:v>
      </x:c>
      <x:c r="Y1171" s="40" t="n">
        <x:v>0</x:v>
      </x:c>
      <x:c r="Z1171" s="40" t="n">
        <x:v>1</x:v>
      </x:c>
      <x:c r="AA1171" s="40" t="n">
        <x:v>1</x:v>
      </x:c>
      <x:c r="AB1171" s="31" t="n">
        <x:v>0.040185726043665625</x:v>
      </x:c>
      <x:c r="AC1171" s="31" t="n">
        <x:v>3</x:v>
      </x:c>
      <x:c r="AD1171" s="44" t="b">
        <x:v>1</x:v>
      </x:c>
    </x:row>
    <x:row r="1172">
      <x:c r="A1172" s="31" t="str">
        <x:v>36061000202</x:v>
      </x:c>
      <x:c r="B1172" s="31" t="str">
        <x:v>Manhattan</x:v>
      </x:c>
      <x:c r="C1172" s="31" t="str">
        <x:v>000202</x:v>
      </x:c>
      <x:c r="D1172" s="31" t="str">
        <x:v>MN0302</x:v>
      </x:c>
      <x:c r="E1172" s="31" t="str">
        <x:v>Lower East Side</x:v>
      </x:c>
      <x:c r="F1172" s="31" t="n">
        <x:v>0.11891794893322429</x:v>
      </x:c>
      <x:c r="G1172" s="31" t="n">
        <x:v>40.71213967685332</x:v>
      </x:c>
      <x:c r="H1172" s="31" t="n">
        <x:v>-73.98132488698857</x:v>
      </x:c>
      <x:c r="I1172" s="31" t="n">
        <x:v>7266</x:v>
      </x:c>
      <x:c r="J1172" s="31" t="n">
        <x:v>61100.95292746816</x:v>
      </x:c>
      <x:c r="K1172" s="31"/>
      <x:c r="L1172" s="40"/>
      <x:c r="M1172" s="40"/>
      <x:c r="N1172" s="31" t="n">
        <x:v>25</x:v>
      </x:c>
      <x:c r="O1172" s="31" t="n">
        <x:v>3568</x:v>
      </x:c>
      <x:c r="P1172" s="31" t="n">
        <x:v>12.34480100896861</x:v>
      </x:c>
      <x:c r="Q1172" s="40" t="n">
        <x:v>0.4422645739910314</x:v>
      </x:c>
      <x:c r="R1172" s="40" t="n">
        <x:v>0.5563340807174888</x:v>
      </x:c>
      <x:c r="S1172" s="40" t="n">
        <x:v>0.4274103139013453</x:v>
      </x:c>
      <x:c r="T1172" s="31" t="n">
        <x:v>120.88104294281392</x:v>
      </x:c>
      <x:c r="U1172" s="31" t="n">
        <x:v>201.56</x:v>
      </x:c>
      <x:c r="V1172" s="31" t="n">
        <x:v>82</x:v>
      </x:c>
      <x:c r="W1172" s="31" t="n">
        <x:v>11.28543903110377</x:v>
      </x:c>
      <x:c r="X1172" s="31" t="n">
        <x:v>3</x:v>
      </x:c>
      <x:c r="Y1172" s="40" t="n">
        <x:v>0</x:v>
      </x:c>
      <x:c r="Z1172" s="40" t="n">
        <x:v>1</x:v>
      </x:c>
      <x:c r="AA1172" s="40" t="n">
        <x:v>1</x:v>
      </x:c>
      <x:c r="AB1172" s="31" t="n">
        <x:v>0.12322974612985563</x:v>
      </x:c>
      <x:c r="AC1172" s="31" t="n">
        <x:v>5</x:v>
      </x:c>
      <x:c r="AD1172" s="44" t="b">
        <x:v>1</x:v>
      </x:c>
    </x:row>
    <x:row r="1173">
      <x:c r="A1173" s="31" t="str">
        <x:v>36061000500</x:v>
      </x:c>
      <x:c r="B1173" s="31" t="str">
        <x:v>Manhattan</x:v>
      </x:c>
      <x:c r="C1173" s="31" t="str">
        <x:v>000500</x:v>
      </x:c>
      <x:c r="D1173" s="31" t="str">
        <x:v>MN0191</x:v>
      </x:c>
      <x:c r="E1173" s="31" t="str">
        <x:v>The Battery-Governors Island-Ellis Island-Liberty Island</x:v>
      </x:c>
      <x:c r="F1173" s="31" t="n">
        <x:v>0.32545493674636994</x:v>
      </x:c>
      <x:c r="G1173" s="31" t="n">
        <x:v>40.68895503385465</x:v>
      </x:c>
      <x:c r="H1173" s="31" t="n">
        <x:v>-74.01694850198368</x:v>
      </x:c>
      <x:c r="I1173" s="31" t="n">
        <x:v>5</x:v>
      </x:c>
      <x:c r="J1173" s="31" t="n">
        <x:v>15.363110020655629</x:v>
      </x:c>
      <x:c r="K1173" s="31"/>
      <x:c r="L1173" s="40"/>
      <x:c r="M1173" s="40"/>
      <x:c r="N1173" s="31" t="n">
        <x:v>0</x:v>
      </x:c>
      <x:c r="O1173" s="31"/>
      <x:c r="P1173" s="31"/>
      <x:c r="Q1173" s="40"/>
      <x:c r="R1173" s="40"/>
      <x:c r="S1173" s="40"/>
      <x:c r="T1173" s="31"/>
      <x:c r="U1173" s="31"/>
      <x:c r="V1173" s="31" t="n">
        <x:v>0</x:v>
      </x:c>
      <x:c r="W1173" s="31" t="n">
        <x:v>0</x:v>
      </x:c>
      <x:c r="X1173" s="31"/>
      <x:c r="Y1173" s="40"/>
      <x:c r="Z1173" s="40"/>
      <x:c r="AA1173" s="40"/>
      <x:c r="AB1173" s="31" t="n">
        <x:v>0.7828698018912832</x:v>
      </x:c>
      <x:c r="AC1173" s="31" t="n">
        <x:v>3</x:v>
      </x:c>
      <x:c r="AD1173" s="44" t="b">
        <x:v>0</x:v>
      </x:c>
    </x:row>
    <x:row r="1174">
      <x:c r="A1174" s="31" t="str">
        <x:v>36061000600</x:v>
      </x:c>
      <x:c r="B1174" s="31" t="str">
        <x:v>Manhattan</x:v>
      </x:c>
      <x:c r="C1174" s="31" t="str">
        <x:v>000600</x:v>
      </x:c>
      <x:c r="D1174" s="31" t="str">
        <x:v>MN0301</x:v>
      </x:c>
      <x:c r="E1174" s="31" t="str">
        <x:v>Chinatown-Two Bridges</x:v>
      </x:c>
      <x:c r="F1174" s="31" t="n">
        <x:v>0.09315247451862374</x:v>
      </x:c>
      <x:c r="G1174" s="31" t="n">
        <x:v>40.71193986639031</x:v>
      </x:c>
      <x:c r="H1174" s="31" t="n">
        <x:v>-73.98946070344194</x:v>
      </x:c>
      <x:c r="I1174" s="31" t="n">
        <x:v>11616</x:v>
      </x:c>
      <x:c r="J1174" s="31" t="n">
        <x:v>124698.7807895285</x:v>
      </x:c>
      <x:c r="K1174" s="31"/>
      <x:c r="L1174" s="40"/>
      <x:c r="M1174" s="40"/>
      <x:c r="N1174" s="31" t="n">
        <x:v>127</x:v>
      </x:c>
      <x:c r="O1174" s="31" t="n">
        <x:v>5233</x:v>
      </x:c>
      <x:c r="P1174" s="31" t="n">
        <x:v>25.409898719663673</x:v>
      </x:c>
      <x:c r="Q1174" s="40" t="n">
        <x:v>0.7043760749092299</x:v>
      </x:c>
      <x:c r="R1174" s="40" t="n">
        <x:v>0.29524173514236574</x:v>
      </x:c>
      <x:c r="S1174" s="40" t="n">
        <x:v>0.2652398241926237</x:v>
      </x:c>
      <x:c r="T1174" s="31" t="n">
        <x:v>266.01325637193554</x:v>
      </x:c>
      <x:c r="U1174" s="31" t="n">
        <x:v>800</x:v>
      </x:c>
      <x:c r="V1174" s="31" t="n">
        <x:v>85</x:v>
      </x:c>
      <x:c r="W1174" s="31" t="n">
        <x:v>7.317493112947659</x:v>
      </x:c>
      <x:c r="X1174" s="31" t="n">
        <x:v>3</x:v>
      </x:c>
      <x:c r="Y1174" s="40" t="n">
        <x:v>0</x:v>
      </x:c>
      <x:c r="Z1174" s="40" t="n">
        <x:v>1</x:v>
      </x:c>
      <x:c r="AA1174" s="40" t="n">
        <x:v>0.9961781005159565</x:v>
      </x:c>
      <x:c r="AB1174" s="31" t="n">
        <x:v>0.07954053772992291</x:v>
      </x:c>
      <x:c r="AC1174" s="31" t="n">
        <x:v>4</x:v>
      </x:c>
      <x:c r="AD1174" s="44" t="b">
        <x:v>1</x:v>
      </x:c>
    </x:row>
    <x:row r="1175">
      <x:c r="A1175" s="31" t="str">
        <x:v>36061000700</x:v>
      </x:c>
      <x:c r="B1175" s="31" t="str">
        <x:v>Manhattan</x:v>
      </x:c>
      <x:c r="C1175" s="31" t="str">
        <x:v>000700</x:v>
      </x:c>
      <x:c r="D1175" s="31" t="str">
        <x:v>MN0101</x:v>
      </x:c>
      <x:c r="E1175" s="31" t="str">
        <x:v>Financial District-Battery Park City</x:v>
      </x:c>
      <x:c r="F1175" s="31" t="n">
        <x:v>0.08750309083770948</x:v>
      </x:c>
      <x:c r="G1175" s="31" t="n">
        <x:v>40.70542173654554</x:v>
      </x:c>
      <x:c r="H1175" s="31" t="n">
        <x:v>-74.00762065033355</x:v>
      </x:c>
      <x:c r="I1175" s="31" t="n">
        <x:v>10542</x:v>
      </x:c>
      <x:c r="J1175" s="31" t="n">
        <x:v>120475.74433172963</x:v>
      </x:c>
      <x:c r="K1175" s="31"/>
      <x:c r="L1175" s="40"/>
      <x:c r="M1175" s="40"/>
      <x:c r="N1175" s="31" t="n">
        <x:v>27</x:v>
      </x:c>
      <x:c r="O1175" s="31" t="n">
        <x:v>9239</x:v>
      </x:c>
      <x:c r="P1175" s="31" t="n">
        <x:v>36.14081610563914</x:v>
      </x:c>
      <x:c r="Q1175" s="40" t="n">
        <x:v>0.9993505790669986</x:v>
      </x:c>
      <x:c r="R1175" s="40" t="n">
        <x:v>0.0006494209330014071</x:v>
      </x:c>
      <x:c r="S1175" s="40" t="n">
        <x:v>0</x:v>
      </x:c>
      <x:c r="T1175" s="31" t="n">
        <x:v>451.5971004961527</x:v>
      </x:c>
      <x:c r="U1175" s="31" t="n">
        <x:v>817.78</x:v>
      </x:c>
      <x:c r="V1175" s="31" t="n">
        <x:v>255</x:v>
      </x:c>
      <x:c r="W1175" s="31" t="n">
        <x:v>24.188958451906657</x:v>
      </x:c>
      <x:c r="X1175" s="31" t="n">
        <x:v>1</x:v>
      </x:c>
      <x:c r="Y1175" s="40" t="n">
        <x:v>0</x:v>
      </x:c>
      <x:c r="Z1175" s="40" t="n">
        <x:v>1</x:v>
      </x:c>
      <x:c r="AA1175" s="40" t="n">
        <x:v>0.8465201861673342</x:v>
      </x:c>
      <x:c r="AB1175" s="31" t="n">
        <x:v>0.04440394521573767</x:v>
      </x:c>
      <x:c r="AC1175" s="31" t="n">
        <x:v>5</x:v>
      </x:c>
      <x:c r="AD1175" s="44" t="b">
        <x:v>1</x:v>
      </x:c>
    </x:row>
    <x:row r="1176">
      <x:c r="A1176" s="31" t="str">
        <x:v>36061000800</x:v>
      </x:c>
      <x:c r="B1176" s="31" t="str">
        <x:v>Manhattan</x:v>
      </x:c>
      <x:c r="C1176" s="31" t="str">
        <x:v>000800</x:v>
      </x:c>
      <x:c r="D1176" s="31" t="str">
        <x:v>MN0301</x:v>
      </x:c>
      <x:c r="E1176" s="31" t="str">
        <x:v>Chinatown-Two Bridges</x:v>
      </x:c>
      <x:c r="F1176" s="31" t="n">
        <x:v>0.08529041703720443</x:v>
      </x:c>
      <x:c r="G1176" s="31" t="n">
        <x:v>40.71176026011473</x:v>
      </x:c>
      <x:c r="H1176" s="31" t="n">
        <x:v>-73.99452715657465</x:v>
      </x:c>
      <x:c r="I1176" s="31" t="n">
        <x:v>10871</x:v>
      </x:c>
      <x:c r="J1176" s="31" t="n">
        <x:v>127458.63342722283</x:v>
      </x:c>
      <x:c r="K1176" s="31"/>
      <x:c r="L1176" s="40"/>
      <x:c r="M1176" s="40"/>
      <x:c r="N1176" s="31" t="n">
        <x:v>155</x:v>
      </x:c>
      <x:c r="O1176" s="31" t="n">
        <x:v>3958</x:v>
      </x:c>
      <x:c r="P1176" s="31" t="n">
        <x:v>9.014148559878727</x:v>
      </x:c>
      <x:c r="Q1176" s="40" t="n">
        <x:v>0.4866093986862052</x:v>
      </x:c>
      <x:c r="R1176" s="40" t="n">
        <x:v>0.5133906013137949</x:v>
      </x:c>
      <x:c r="S1176" s="40" t="n">
        <x:v>0.4017180394138454</x:v>
      </x:c>
      <x:c r="T1176" s="31" t="n">
        <x:v>46.73431914722022</x:v>
      </x:c>
      <x:c r="U1176" s="31" t="n">
        <x:v>158.62320189</x:v>
      </x:c>
      <x:c r="V1176" s="31" t="n">
        <x:v>54</x:v>
      </x:c>
      <x:c r="W1176" s="31" t="n">
        <x:v>4.967344310551007</x:v>
      </x:c>
      <x:c r="X1176" s="31" t="n">
        <x:v>2.5363820111167255</x:v>
      </x:c>
      <x:c r="Y1176" s="40" t="n">
        <x:v>0</x:v>
      </x:c>
      <x:c r="Z1176" s="40" t="n">
        <x:v>1</x:v>
      </x:c>
      <x:c r="AA1176" s="40" t="n">
        <x:v>0.9797877716018191</x:v>
      </x:c>
      <x:c r="AB1176" s="31" t="n">
        <x:v>0.14687314135167526</x:v>
      </x:c>
      <x:c r="AC1176" s="31" t="n">
        <x:v>5</x:v>
      </x:c>
      <x:c r="AD1176" s="44" t="b">
        <x:v>1</x:v>
      </x:c>
    </x:row>
    <x:row r="1177">
      <x:c r="A1177" s="31" t="str">
        <x:v>36061000900</x:v>
      </x:c>
      <x:c r="B1177" s="31" t="str">
        <x:v>Manhattan</x:v>
      </x:c>
      <x:c r="C1177" s="31" t="str">
        <x:v>000900</x:v>
      </x:c>
      <x:c r="D1177" s="31" t="str">
        <x:v>MN0101</x:v>
      </x:c>
      <x:c r="E1177" s="31" t="str">
        <x:v>Financial District-Battery Park City</x:v>
      </x:c>
      <x:c r="F1177" s="31" t="n">
        <x:v>0.1116303817435721</x:v>
      </x:c>
      <x:c r="G1177" s="31" t="n">
        <x:v>40.702292791921366</x:v>
      </x:c>
      <x:c r="H1177" s="31" t="n">
        <x:v>-74.00987506773467</x:v>
      </x:c>
      <x:c r="I1177" s="31" t="n">
        <x:v>2016</x:v>
      </x:c>
      <x:c r="J1177" s="31" t="n">
        <x:v>18059.599622538113</x:v>
      </x:c>
      <x:c r="K1177" s="31"/>
      <x:c r="L1177" s="40"/>
      <x:c r="M1177" s="40"/>
      <x:c r="N1177" s="31" t="n">
        <x:v>31</x:v>
      </x:c>
      <x:c r="O1177" s="31" t="n">
        <x:v>2397</x:v>
      </x:c>
      <x:c r="P1177" s="31" t="n">
        <x:v>29.597204839382563</x:v>
      </x:c>
      <x:c r="Q1177" s="40" t="n">
        <x:v>0.9261576971214017</x:v>
      </x:c>
      <x:c r="R1177" s="40" t="n">
        <x:v>0.07384230287859825</x:v>
      </x:c>
      <x:c r="S1177" s="40" t="n">
        <x:v>0.016270337922403004</x:v>
      </x:c>
      <x:c r="T1177" s="31" t="n">
        <x:v>317.9529337121402</x:v>
      </x:c>
      <x:c r="U1177" s="31" t="n">
        <x:v>528.04837283</x:v>
      </x:c>
      <x:c r="V1177" s="31" t="n">
        <x:v>50</x:v>
      </x:c>
      <x:c r="W1177" s="31" t="n">
        <x:v>24.8015873015873</x:v>
      </x:c>
      <x:c r="X1177" s="31" t="n">
        <x:v>1</x:v>
      </x:c>
      <x:c r="Y1177" s="40" t="n">
        <x:v>0</x:v>
      </x:c>
      <x:c r="Z1177" s="40" t="n">
        <x:v>1</x:v>
      </x:c>
      <x:c r="AA1177" s="40" t="n">
        <x:v>1</x:v>
      </x:c>
      <x:c r="AB1177" s="31" t="n">
        <x:v>0.12237513457836778</x:v>
      </x:c>
      <x:c r="AC1177" s="31" t="n">
        <x:v>5</x:v>
      </x:c>
      <x:c r="AD1177" s="44" t="b">
        <x:v>1</x:v>
      </x:c>
    </x:row>
    <x:row r="1178">
      <x:c r="A1178" s="31" t="str">
        <x:v>36061001001</x:v>
      </x:c>
      <x:c r="B1178" s="31" t="str">
        <x:v>Manhattan</x:v>
      </x:c>
      <x:c r="C1178" s="31" t="str">
        <x:v>001001</x:v>
      </x:c>
      <x:c r="D1178" s="31" t="str">
        <x:v>MN0302</x:v>
      </x:c>
      <x:c r="E1178" s="31" t="str">
        <x:v>Lower East Side</x:v>
      </x:c>
      <x:c r="F1178" s="31" t="n">
        <x:v>0.0315751290223614</x:v>
      </x:c>
      <x:c r="G1178" s="31" t="n">
        <x:v>40.71435304521584</x:v>
      </x:c>
      <x:c r="H1178" s="31" t="n">
        <x:v>-73.97755210882977</x:v>
      </x:c>
      <x:c r="I1178" s="31" t="n">
        <x:v>1767</x:v>
      </x:c>
      <x:c r="J1178" s="31" t="n">
        <x:v>55961.76657737856</x:v>
      </x:c>
      <x:c r="K1178" s="31"/>
      <x:c r="L1178" s="40"/>
      <x:c r="M1178" s="40"/>
      <x:c r="N1178" s="31" t="n">
        <x:v>1</x:v>
      </x:c>
      <x:c r="O1178" s="31" t="n">
        <x:v>839</x:v>
      </x:c>
      <x:c r="P1178" s="31" t="n">
        <x:v>20</x:v>
      </x:c>
      <x:c r="Q1178" s="40" t="n">
        <x:v>1</x:v>
      </x:c>
      <x:c r="R1178" s="40" t="n">
        <x:v>0</x:v>
      </x:c>
      <x:c r="S1178" s="40" t="n">
        <x:v>1</x:v>
      </x:c>
      <x:c r="T1178" s="31" t="n">
        <x:v>200.34</x:v>
      </x:c>
      <x:c r="U1178" s="31" t="n">
        <x:v>200.34</x:v>
      </x:c>
      <x:c r="V1178" s="31" t="n">
        <x:v>12</x:v>
      </x:c>
      <x:c r="W1178" s="31" t="n">
        <x:v>6.791171477079796</x:v>
      </x:c>
      <x:c r="X1178" s="31" t="n">
        <x:v>3</x:v>
      </x:c>
      <x:c r="Y1178" s="40" t="n">
        <x:v>0</x:v>
      </x:c>
      <x:c r="Z1178" s="40" t="n">
        <x:v>1</x:v>
      </x:c>
      <x:c r="AA1178" s="40" t="n">
        <x:v>1</x:v>
      </x:c>
      <x:c r="AB1178" s="31" t="n">
        <x:v>0.14352936641363034</x:v>
      </x:c>
      <x:c r="AC1178" s="31" t="n">
        <x:v>3</x:v>
      </x:c>
      <x:c r="AD1178" s="44" t="b">
        <x:v>1</x:v>
      </x:c>
    </x:row>
    <x:row r="1179">
      <x:c r="A1179" s="31" t="str">
        <x:v>36061001002</x:v>
      </x:c>
      <x:c r="B1179" s="31" t="str">
        <x:v>Manhattan</x:v>
      </x:c>
      <x:c r="C1179" s="31" t="str">
        <x:v>001002</x:v>
      </x:c>
      <x:c r="D1179" s="31" t="str">
        <x:v>MN0302</x:v>
      </x:c>
      <x:c r="E1179" s="31" t="str">
        <x:v>Lower East Side</x:v>
      </x:c>
      <x:c r="F1179" s="31" t="n">
        <x:v>0.07881429624799127</x:v>
      </x:c>
      <x:c r="G1179" s="31" t="n">
        <x:v>40.71731560242453</x:v>
      </x:c>
      <x:c r="H1179" s="31" t="n">
        <x:v>-73.97695247716818</x:v>
      </x:c>
      <x:c r="I1179" s="31" t="n">
        <x:v>6300</x:v>
      </x:c>
      <x:c r="J1179" s="31" t="n">
        <x:v>79934.7364617313</x:v>
      </x:c>
      <x:c r="K1179" s="31"/>
      <x:c r="L1179" s="40"/>
      <x:c r="M1179" s="40"/>
      <x:c r="N1179" s="31" t="n">
        <x:v>2</x:v>
      </x:c>
      <x:c r="O1179" s="31" t="n">
        <x:v>2427</x:v>
      </x:c>
      <x:c r="P1179" s="31" t="n">
        <x:v>13.881334981458592</x:v>
      </x:c>
      <x:c r="Q1179" s="40" t="n">
        <x:v>0.9851668726823238</x:v>
      </x:c>
      <x:c r="R1179" s="40" t="n">
        <x:v>0.014833127317676144</x:v>
      </x:c>
      <x:c r="S1179" s="40" t="n">
        <x:v>0.9851668726823238</x:v>
      </x:c>
      <x:c r="T1179" s="31" t="n">
        <x:v>201.07991347342397</x:v>
      </x:c>
      <x:c r="U1179" s="31" t="n">
        <x:v>203.13</x:v>
      </x:c>
      <x:c r="V1179" s="31" t="n">
        <x:v>36</x:v>
      </x:c>
      <x:c r="W1179" s="31" t="n">
        <x:v>5.714285714285714</x:v>
      </x:c>
      <x:c r="X1179" s="31" t="n">
        <x:v>3</x:v>
      </x:c>
      <x:c r="Y1179" s="40" t="n">
        <x:v>0</x:v>
      </x:c>
      <x:c r="Z1179" s="40" t="n">
        <x:v>1</x:v>
      </x:c>
      <x:c r="AA1179" s="40" t="n">
        <x:v>1</x:v>
      </x:c>
      <x:c r="AB1179" s="31" t="n">
        <x:v>0.04582059395136865</x:v>
      </x:c>
      <x:c r="AC1179" s="31" t="n">
        <x:v>5</x:v>
      </x:c>
      <x:c r="AD1179" s="44" t="b">
        <x:v>1</x:v>
      </x:c>
    </x:row>
    <x:row r="1180">
      <x:c r="A1180" s="31" t="str">
        <x:v>36061001200</x:v>
      </x:c>
      <x:c r="B1180" s="31" t="str">
        <x:v>Manhattan</x:v>
      </x:c>
      <x:c r="C1180" s="31" t="str">
        <x:v>001200</x:v>
      </x:c>
      <x:c r="D1180" s="31" t="str">
        <x:v>MN0302</x:v>
      </x:c>
      <x:c r="E1180" s="31" t="str">
        <x:v>Lower East Side</x:v>
      </x:c>
      <x:c r="F1180" s="31" t="n">
        <x:v>0.04656691861476985</x:v>
      </x:c>
      <x:c r="G1180" s="31" t="n">
        <x:v>40.715906746889345</x:v>
      </x:c>
      <x:c r="H1180" s="31" t="n">
        <x:v>-73.98209311772115</x:v>
      </x:c>
      <x:c r="I1180" s="31" t="n">
        <x:v>3776</x:v>
      </x:c>
      <x:c r="J1180" s="31" t="n">
        <x:v>81087.60708943168</x:v>
      </x:c>
      <x:c r="K1180" s="31"/>
      <x:c r="L1180" s="40"/>
      <x:c r="M1180" s="40"/>
      <x:c r="N1180" s="31" t="n">
        <x:v>15</x:v>
      </x:c>
      <x:c r="O1180" s="31" t="n">
        <x:v>1875</x:v>
      </x:c>
      <x:c r="P1180" s="31" t="n">
        <x:v>13.525866666666667</x:v>
      </x:c>
      <x:c r="Q1180" s="40" t="n">
        <x:v>0.776</x:v>
      </x:c>
      <x:c r="R1180" s="40" t="n">
        <x:v>0.224</x:v>
      </x:c>
      <x:c r="S1180" s="40" t="n">
        <x:v>0</x:v>
      </x:c>
      <x:c r="T1180" s="31" t="n">
        <x:v>138.33437990772265</x:v>
      </x:c>
      <x:c r="U1180" s="31" t="n">
        <x:v>239.54</x:v>
      </x:c>
      <x:c r="V1180" s="31" t="n">
        <x:v>43</x:v>
      </x:c>
      <x:c r="W1180" s="31" t="n">
        <x:v>11.387711864406779</x:v>
      </x:c>
      <x:c r="X1180" s="31" t="n">
        <x:v>3</x:v>
      </x:c>
      <x:c r="Y1180" s="40" t="n">
        <x:v>0</x:v>
      </x:c>
      <x:c r="Z1180" s="40" t="n">
        <x:v>1</x:v>
      </x:c>
      <x:c r="AA1180" s="40" t="n">
        <x:v>1</x:v>
      </x:c>
      <x:c r="AB1180" s="31" t="n">
        <x:v>0.11801576029781023</x:v>
      </x:c>
      <x:c r="AC1180" s="31" t="n">
        <x:v>6</x:v>
      </x:c>
      <x:c r="AD1180" s="44" t="b">
        <x:v>1</x:v>
      </x:c>
    </x:row>
    <x:row r="1181">
      <x:c r="A1181" s="31" t="str">
        <x:v>36061001300</x:v>
      </x:c>
      <x:c r="B1181" s="31" t="str">
        <x:v>Manhattan</x:v>
      </x:c>
      <x:c r="C1181" s="31" t="str">
        <x:v>001300</x:v>
      </x:c>
      <x:c r="D1181" s="31" t="str">
        <x:v>MN0101</x:v>
      </x:c>
      <x:c r="E1181" s="31" t="str">
        <x:v>Financial District-Battery Park City</x:v>
      </x:c>
      <x:c r="F1181" s="31" t="n">
        <x:v>0.12242457594553488</x:v>
      </x:c>
      <x:c r="G1181" s="31" t="n">
        <x:v>40.70914989649827</x:v>
      </x:c>
      <x:c r="H1181" s="31" t="n">
        <x:v>-74.01298632397159</x:v>
      </x:c>
      <x:c r="I1181" s="31" t="n">
        <x:v>5402</x:v>
      </x:c>
      <x:c r="J1181" s="31" t="n">
        <x:v>44125.12731433336</x:v>
      </x:c>
      <x:c r="K1181" s="31"/>
      <x:c r="L1181" s="40"/>
      <x:c r="M1181" s="40"/>
      <x:c r="N1181" s="31" t="n">
        <x:v>29</x:v>
      </x:c>
      <x:c r="O1181" s="31" t="n">
        <x:v>4579</x:v>
      </x:c>
      <x:c r="P1181" s="31" t="n">
        <x:v>34.439519067282</x:v>
      </x:c>
      <x:c r="Q1181" s="40" t="n">
        <x:v>0.8663463638348985</x:v>
      </x:c>
      <x:c r="R1181" s="40" t="n">
        <x:v>0.032758244158113126</x:v>
      </x:c>
      <x:c r="S1181" s="40" t="n">
        <x:v>0</x:v>
      </x:c>
      <x:c r="T1181" s="31" t="n">
        <x:v>394.9928492022661</x:v>
      </x:c>
      <x:c r="U1181" s="31" t="n">
        <x:v>778</x:v>
      </x:c>
      <x:c r="V1181" s="31" t="n">
        <x:v>120</x:v>
      </x:c>
      <x:c r="W1181" s="31" t="n">
        <x:v>22.21399481673454</x:v>
      </x:c>
      <x:c r="X1181" s="31" t="n">
        <x:v>1</x:v>
      </x:c>
      <x:c r="Y1181" s="40" t="n">
        <x:v>0</x:v>
      </x:c>
      <x:c r="Z1181" s="40" t="n">
        <x:v>1</x:v>
      </x:c>
      <x:c r="AA1181" s="40" t="n">
        <x:v>0.7305088447259227</x:v>
      </x:c>
      <x:c r="AB1181" s="31" t="n">
        <x:v>0.029213147056342037</x:v>
      </x:c>
      <x:c r="AC1181" s="31" t="n">
        <x:v>9</x:v>
      </x:c>
      <x:c r="AD1181" s="44" t="b">
        <x:v>1</x:v>
      </x:c>
    </x:row>
    <x:row r="1182">
      <x:c r="A1182" s="31" t="str">
        <x:v>36061001401</x:v>
      </x:c>
      <x:c r="B1182" s="31" t="str">
        <x:v>Manhattan</x:v>
      </x:c>
      <x:c r="C1182" s="31" t="str">
        <x:v>001401</x:v>
      </x:c>
      <x:c r="D1182" s="31" t="str">
        <x:v>MN0302</x:v>
      </x:c>
      <x:c r="E1182" s="31" t="str">
        <x:v>Lower East Side</x:v>
      </x:c>
      <x:c r="F1182" s="31" t="n">
        <x:v>0.03608946805878386</x:v>
      </x:c>
      <x:c r="G1182" s="31" t="n">
        <x:v>40.715160474959696</x:v>
      </x:c>
      <x:c r="H1182" s="31" t="n">
        <x:v>-73.98733213257118</x:v>
      </x:c>
      <x:c r="I1182" s="31" t="n">
        <x:v>3543</x:v>
      </x:c>
      <x:c r="J1182" s="31" t="n">
        <x:v>98172.68556657668</x:v>
      </x:c>
      <x:c r="K1182" s="31"/>
      <x:c r="L1182" s="40"/>
      <x:c r="M1182" s="40"/>
      <x:c r="N1182" s="31" t="n">
        <x:v>3</x:v>
      </x:c>
      <x:c r="O1182" s="31" t="n">
        <x:v>1806</x:v>
      </x:c>
      <x:c r="P1182" s="31" t="n">
        <x:v>20.080841638981173</x:v>
      </x:c>
      <x:c r="Q1182" s="40" t="n">
        <x:v>0.9667774086378738</x:v>
      </x:c>
      <x:c r="R1182" s="40" t="n">
        <x:v>0.03322259136212625</x:v>
      </x:c>
      <x:c r="S1182" s="40" t="n">
        <x:v>0.4795127353266888</x:v>
      </x:c>
      <x:c r="T1182" s="31" t="n">
        <x:v>191.56623477297896</x:v>
      </x:c>
      <x:c r="U1182" s="31" t="n">
        <x:v>299</x:v>
      </x:c>
      <x:c r="V1182" s="31" t="n">
        <x:v>27</x:v>
      </x:c>
      <x:c r="W1182" s="31" t="n">
        <x:v>7.6206604572396275</x:v>
      </x:c>
      <x:c r="X1182" s="31" t="n">
        <x:v>3</x:v>
      </x:c>
      <x:c r="Y1182" s="40" t="n">
        <x:v>0</x:v>
      </x:c>
      <x:c r="Z1182" s="40" t="n">
        <x:v>1</x:v>
      </x:c>
      <x:c r="AA1182" s="40" t="n">
        <x:v>1</x:v>
      </x:c>
      <x:c r="AB1182" s="31" t="n">
        <x:v>0.07919791163534391</x:v>
      </x:c>
      <x:c r="AC1182" s="31" t="n">
        <x:v>7</x:v>
      </x:c>
      <x:c r="AD1182" s="44" t="b">
        <x:v>1</x:v>
      </x:c>
    </x:row>
    <x:row r="1183">
      <x:c r="A1183" s="31" t="str">
        <x:v>36061001402</x:v>
      </x:c>
      <x:c r="B1183" s="31" t="str">
        <x:v>Manhattan</x:v>
      </x:c>
      <x:c r="C1183" s="31" t="str">
        <x:v>001402</x:v>
      </x:c>
      <x:c r="D1183" s="31" t="str">
        <x:v>MN0302</x:v>
      </x:c>
      <x:c r="E1183" s="31" t="str">
        <x:v>Lower East Side</x:v>
      </x:c>
      <x:c r="F1183" s="31" t="n">
        <x:v>0.04398409481713442</x:v>
      </x:c>
      <x:c r="G1183" s="31" t="n">
        <x:v>40.71751329105105</x:v>
      </x:c>
      <x:c r="H1183" s="31" t="n">
        <x:v>-73.98588163636798</x:v>
      </x:c>
      <x:c r="I1183" s="31" t="n">
        <x:v>3418</x:v>
      </x:c>
      <x:c r="J1183" s="31" t="n">
        <x:v>77709.90887070583</x:v>
      </x:c>
      <x:c r="K1183" s="31"/>
      <x:c r="L1183" s="40"/>
      <x:c r="M1183" s="40"/>
      <x:c r="N1183" s="31" t="n">
        <x:v>71</x:v>
      </x:c>
      <x:c r="O1183" s="31" t="n">
        <x:v>3086</x:v>
      </x:c>
      <x:c r="P1183" s="31" t="n">
        <x:v>16.941672067401168</x:v>
      </x:c>
      <x:c r="Q1183" s="40" t="n">
        <x:v>0.6999351911860013</x:v>
      </x:c>
      <x:c r="R1183" s="40" t="n">
        <x:v>0.29941672067401165</x:v>
      </x:c>
      <x:c r="S1183" s="40" t="n">
        <x:v>0.009073233959818535</x:v>
      </x:c>
      <x:c r="T1183" s="31" t="n">
        <x:v>178.946968676322</x:v>
      </x:c>
      <x:c r="U1183" s="31" t="n">
        <x:v>372</x:v>
      </x:c>
      <x:c r="V1183" s="31" t="n">
        <x:v>57</x:v>
      </x:c>
      <x:c r="W1183" s="31" t="n">
        <x:v>16.676418958455237</x:v>
      </x:c>
      <x:c r="X1183" s="31" t="n">
        <x:v>3</x:v>
      </x:c>
      <x:c r="Y1183" s="40" t="n">
        <x:v>0</x:v>
      </x:c>
      <x:c r="Z1183" s="40" t="n">
        <x:v>1</x:v>
      </x:c>
      <x:c r="AA1183" s="40" t="n">
        <x:v>0.9620868438107583</x:v>
      </x:c>
      <x:c r="AB1183" s="31" t="n">
        <x:v>0.10837179500705994</x:v>
      </x:c>
      <x:c r="AC1183" s="31" t="n">
        <x:v>5</x:v>
      </x:c>
      <x:c r="AD1183" s="44" t="b">
        <x:v>1</x:v>
      </x:c>
    </x:row>
    <x:row r="1184">
      <x:c r="A1184" s="31" t="str">
        <x:v>36061001501</x:v>
      </x:c>
      <x:c r="B1184" s="31" t="str">
        <x:v>Manhattan</x:v>
      </x:c>
      <x:c r="C1184" s="31" t="str">
        <x:v>001501</x:v>
      </x:c>
      <x:c r="D1184" s="31" t="str">
        <x:v>MN0101</x:v>
      </x:c>
      <x:c r="E1184" s="31" t="str">
        <x:v>Financial District-Battery Park City</x:v>
      </x:c>
      <x:c r="F1184" s="31" t="n">
        <x:v>0.1060164034585916</x:v>
      </x:c>
      <x:c r="G1184" s="31" t="n">
        <x:v>40.70914639836039</x:v>
      </x:c>
      <x:c r="H1184" s="31" t="n">
        <x:v>-74.00364179266687</x:v>
      </x:c>
      <x:c r="I1184" s="31" t="n">
        <x:v>8385</x:v>
      </x:c>
      <x:c r="J1184" s="31" t="n">
        <x:v>79091.53420088481</x:v>
      </x:c>
      <x:c r="K1184" s="31"/>
      <x:c r="L1184" s="40"/>
      <x:c r="M1184" s="40"/>
      <x:c r="N1184" s="31" t="n">
        <x:v>82</x:v>
      </x:c>
      <x:c r="O1184" s="31" t="n">
        <x:v>5248</x:v>
      </x:c>
      <x:c r="P1184" s="31" t="n">
        <x:v>26.270198170731707</x:v>
      </x:c>
      <x:c r="Q1184" s="40" t="n">
        <x:v>0.5907012195121951</x:v>
      </x:c>
      <x:c r="R1184" s="40" t="n">
        <x:v>0.4092987804878049</x:v>
      </x:c>
      <x:c r="S1184" s="40" t="n">
        <x:v>0.31478658536585363</x:v>
      </x:c>
      <x:c r="T1184" s="31" t="n">
        <x:v>371.8622083459473</x:v>
      </x:c>
      <x:c r="U1184" s="31" t="n">
        <x:v>860.84409712</x:v>
      </x:c>
      <x:c r="V1184" s="31" t="n">
        <x:v>148</x:v>
      </x:c>
      <x:c r="W1184" s="31" t="n">
        <x:v>17.65056648777579</x:v>
      </x:c>
      <x:c r="X1184" s="31" t="n">
        <x:v>2</x:v>
      </x:c>
      <x:c r="Y1184" s="40" t="n">
        <x:v>0</x:v>
      </x:c>
      <x:c r="Z1184" s="40" t="n">
        <x:v>1</x:v>
      </x:c>
      <x:c r="AA1184" s="40" t="n">
        <x:v>0.9836128048780488</x:v>
      </x:c>
      <x:c r="AB1184" s="31" t="n">
        <x:v>0.09654223406506805</x:v>
      </x:c>
      <x:c r="AC1184" s="31" t="n">
        <x:v>8</x:v>
      </x:c>
      <x:c r="AD1184" s="44" t="b">
        <x:v>1</x:v>
      </x:c>
    </x:row>
    <x:row r="1185">
      <x:c r="A1185" s="31" t="str">
        <x:v>36061001502</x:v>
      </x:c>
      <x:c r="B1185" s="31" t="str">
        <x:v>Manhattan</x:v>
      </x:c>
      <x:c r="C1185" s="31" t="str">
        <x:v>001502</x:v>
      </x:c>
      <x:c r="D1185" s="31" t="str">
        <x:v>MN0101</x:v>
      </x:c>
      <x:c r="E1185" s="31" t="str">
        <x:v>Financial District-Battery Park City</x:v>
      </x:c>
      <x:c r="F1185" s="31" t="n">
        <x:v>0.0805299962648502</x:v>
      </x:c>
      <x:c r="G1185" s="31" t="n">
        <x:v>40.70699152059062</x:v>
      </x:c>
      <x:c r="H1185" s="31" t="n">
        <x:v>-74.00492554924541</x:v>
      </x:c>
      <x:c r="I1185" s="31" t="n">
        <x:v>10378</x:v>
      </x:c>
      <x:c r="J1185" s="31" t="n">
        <x:v>128871.23409106374</x:v>
      </x:c>
      <x:c r="K1185" s="31"/>
      <x:c r="L1185" s="40"/>
      <x:c r="M1185" s="40"/>
      <x:c r="N1185" s="31" t="n">
        <x:v>62</x:v>
      </x:c>
      <x:c r="O1185" s="31" t="n">
        <x:v>6706</x:v>
      </x:c>
      <x:c r="P1185" s="31" t="n">
        <x:v>30.834262701363073</x:v>
      </x:c>
      <x:c r="Q1185" s="40" t="n">
        <x:v>0.9012824336415151</x:v>
      </x:c>
      <x:c r="R1185" s="40" t="n">
        <x:v>0.06143751864002386</x:v>
      </x:c>
      <x:c r="S1185" s="40" t="n">
        <x:v>0.0047718461079630185</x:v>
      </x:c>
      <x:c r="T1185" s="31" t="n">
        <x:v>375.6537012256297</x:v>
      </x:c>
      <x:c r="U1185" s="31" t="n">
        <x:v>750</x:v>
      </x:c>
      <x:c r="V1185" s="31" t="n">
        <x:v>164</x:v>
      </x:c>
      <x:c r="W1185" s="31" t="n">
        <x:v>15.802659471959915</x:v>
      </x:c>
      <x:c r="X1185" s="31" t="n">
        <x:v>1.9979123173277662</x:v>
      </x:c>
      <x:c r="Y1185" s="40" t="n">
        <x:v>0</x:v>
      </x:c>
      <x:c r="Z1185" s="40" t="n">
        <x:v>1</x:v>
      </x:c>
      <x:c r="AA1185" s="40" t="n">
        <x:v>0.9543692215926036</x:v>
      </x:c>
      <x:c r="AB1185" s="31" t="n">
        <x:v>0.15631122468535996</x:v>
      </x:c>
      <x:c r="AC1185" s="31" t="n">
        <x:v>4</x:v>
      </x:c>
      <x:c r="AD1185" s="44" t="b">
        <x:v>1</x:v>
      </x:c>
    </x:row>
    <x:row r="1186">
      <x:c r="A1186" s="31" t="str">
        <x:v>36061001600</x:v>
      </x:c>
      <x:c r="B1186" s="31" t="str">
        <x:v>Manhattan</x:v>
      </x:c>
      <x:c r="C1186" s="31" t="str">
        <x:v>001600</x:v>
      </x:c>
      <x:c r="D1186" s="31" t="str">
        <x:v>MN0301</x:v>
      </x:c>
      <x:c r="E1186" s="31" t="str">
        <x:v>Chinatown-Two Bridges</x:v>
      </x:c>
      <x:c r="F1186" s="31" t="n">
        <x:v>0.08008320181359045</x:v>
      </x:c>
      <x:c r="G1186" s="31" t="n">
        <x:v>40.71595722184846</x:v>
      </x:c>
      <x:c r="H1186" s="31" t="n">
        <x:v>-73.99326630937298</x:v>
      </x:c>
      <x:c r="I1186" s="31" t="n">
        <x:v>7698</x:v>
      </x:c>
      <x:c r="J1186" s="31" t="n">
        <x:v>96125.02779195346</x:v>
      </x:c>
      <x:c r="K1186" s="31"/>
      <x:c r="L1186" s="40"/>
      <x:c r="M1186" s="40"/>
      <x:c r="N1186" s="31" t="n">
        <x:v>214</x:v>
      </x:c>
      <x:c r="O1186" s="31" t="n">
        <x:v>2600</x:v>
      </x:c>
      <x:c r="P1186" s="31" t="n">
        <x:v>6.3573076923076925</x:v>
      </x:c>
      <x:c r="Q1186" s="40" t="n">
        <x:v>0.1576923076923077</x:v>
      </x:c>
      <x:c r="R1186" s="40" t="n">
        <x:v>0.8423076923076923</x:v>
      </x:c>
      <x:c r="S1186" s="40" t="n">
        <x:v>0.011153846153846153</x:v>
      </x:c>
      <x:c r="T1186" s="31" t="n">
        <x:v>67.94142067816358</x:v>
      </x:c>
      <x:c r="U1186" s="31" t="n">
        <x:v>148.77546948</x:v>
      </x:c>
      <x:c r="V1186" s="31" t="n">
        <x:v>45</x:v>
      </x:c>
      <x:c r="W1186" s="31" t="n">
        <x:v>5.845674201091192</x:v>
      </x:c>
      <x:c r="X1186" s="31" t="n">
        <x:v>3</x:v>
      </x:c>
      <x:c r="Y1186" s="40" t="n">
        <x:v>0</x:v>
      </x:c>
      <x:c r="Z1186" s="40" t="n">
        <x:v>1</x:v>
      </x:c>
      <x:c r="AA1186" s="40" t="n">
        <x:v>0.9969230769230769</x:v>
      </x:c>
      <x:c r="AB1186" s="31" t="n">
        <x:v>0.026573579100862145</x:v>
      </x:c>
      <x:c r="AC1186" s="31" t="n">
        <x:v>7</x:v>
      </x:c>
      <x:c r="AD1186" s="44" t="b">
        <x:v>1</x:v>
      </x:c>
    </x:row>
    <x:row r="1187">
      <x:c r="A1187" s="31" t="str">
        <x:v>36061001800</x:v>
      </x:c>
      <x:c r="B1187" s="31" t="str">
        <x:v>Manhattan</x:v>
      </x:c>
      <x:c r="C1187" s="31" t="str">
        <x:v>001800</x:v>
      </x:c>
      <x:c r="D1187" s="31" t="str">
        <x:v>MN0302</x:v>
      </x:c>
      <x:c r="E1187" s="31" t="str">
        <x:v>Lower East Side</x:v>
      </x:c>
      <x:c r="F1187" s="31" t="n">
        <x:v>0.08606221569745753</x:v>
      </x:c>
      <x:c r="G1187" s="31" t="n">
        <x:v>40.71904611987513</x:v>
      </x:c>
      <x:c r="H1187" s="31" t="n">
        <x:v>-73.99084214549111</x:v>
      </x:c>
      <x:c r="I1187" s="31" t="n">
        <x:v>7934</x:v>
      </x:c>
      <x:c r="J1187" s="31" t="n">
        <x:v>92189.12080873126</x:v>
      </x:c>
      <x:c r="K1187" s="31"/>
      <x:c r="L1187" s="40"/>
      <x:c r="M1187" s="40"/>
      <x:c r="N1187" s="31" t="n">
        <x:v>227</x:v>
      </x:c>
      <x:c r="O1187" s="31" t="n">
        <x:v>3806</x:v>
      </x:c>
      <x:c r="P1187" s="31" t="n">
        <x:v>8.450039442545359</x:v>
      </x:c>
      <x:c r="Q1187" s="40" t="n">
        <x:v>0.22017866526537047</x:v>
      </x:c>
      <x:c r="R1187" s="40" t="n">
        <x:v>0.7782448765107725</x:v>
      </x:c>
      <x:c r="S1187" s="40" t="n">
        <x:v>0.05202312138728324</x:v>
      </x:c>
      <x:c r="T1187" s="31" t="n">
        <x:v>93.48490128109053</x:v>
      </x:c>
      <x:c r="U1187" s="31" t="n">
        <x:v>314</x:v>
      </x:c>
      <x:c r="V1187" s="31" t="n">
        <x:v>85</x:v>
      </x:c>
      <x:c r="W1187" s="31" t="n">
        <x:v>10.713385429795816</x:v>
      </x:c>
      <x:c r="X1187" s="31" t="n">
        <x:v>3</x:v>
      </x:c>
      <x:c r="Y1187" s="40" t="n">
        <x:v>0</x:v>
      </x:c>
      <x:c r="Z1187" s="40" t="n">
        <x:v>1</x:v>
      </x:c>
      <x:c r="AA1187" s="40" t="n">
        <x:v>0.9926431949553337</x:v>
      </x:c>
      <x:c r="AB1187" s="31" t="n">
        <x:v>0.08890290469131357</x:v>
      </x:c>
      <x:c r="AC1187" s="31" t="n">
        <x:v>7</x:v>
      </x:c>
      <x:c r="AD1187" s="44" t="b">
        <x:v>1</x:v>
      </x:c>
    </x:row>
    <x:row r="1188">
      <x:c r="A1188" s="31" t="str">
        <x:v>36061002000</x:v>
      </x:c>
      <x:c r="B1188" s="31" t="str">
        <x:v>Manhattan</x:v>
      </x:c>
      <x:c r="C1188" s="31" t="str">
        <x:v>002000</x:v>
      </x:c>
      <x:c r="D1188" s="31" t="str">
        <x:v>MN0303</x:v>
      </x:c>
      <x:c r="E1188" s="31" t="str">
        <x:v>East Village</x:v>
      </x:c>
      <x:c r="F1188" s="31" t="n">
        <x:v>0.049684263957400714</x:v>
      </x:c>
      <x:c r="G1188" s="31" t="n">
        <x:v>40.72040804472105</x:v>
      </x:c>
      <x:c r="H1188" s="31" t="n">
        <x:v>-73.97566279419594</x:v>
      </x:c>
      <x:c r="I1188" s="31" t="n">
        <x:v>4648</x:v>
      </x:c>
      <x:c r="J1188" s="31" t="n">
        <x:v>93550.7468518643</x:v>
      </x:c>
      <x:c r="K1188" s="31"/>
      <x:c r="L1188" s="40"/>
      <x:c r="M1188" s="40"/>
      <x:c r="N1188" s="31" t="n">
        <x:v>1</x:v>
      </x:c>
      <x:c r="O1188" s="31" t="n">
        <x:v>1861</x:v>
      </x:c>
      <x:c r="P1188" s="31" t="n">
        <x:v>14</x:v>
      </x:c>
      <x:c r="Q1188" s="40" t="n">
        <x:v>1</x:v>
      </x:c>
      <x:c r="R1188" s="40" t="n">
        <x:v>0</x:v>
      </x:c>
      <x:c r="S1188" s="40" t="n">
        <x:v>1</x:v>
      </x:c>
      <x:c r="T1188" s="31" t="n">
        <x:v>133.522598</x:v>
      </x:c>
      <x:c r="U1188" s="31" t="n">
        <x:v>133.522598</x:v>
      </x:c>
      <x:c r="V1188" s="31" t="n">
        <x:v>32</x:v>
      </x:c>
      <x:c r="W1188" s="31" t="n">
        <x:v>6.884681583476764</x:v>
      </x:c>
      <x:c r="X1188" s="31" t="n">
        <x:v>2</x:v>
      </x:c>
      <x:c r="Y1188" s="40" t="n">
        <x:v>0</x:v>
      </x:c>
      <x:c r="Z1188" s="40" t="n">
        <x:v>1</x:v>
      </x:c>
      <x:c r="AA1188" s="40" t="n">
        <x:v>1</x:v>
      </x:c>
      <x:c r="AB1188" s="31" t="n">
        <x:v>0.09627584854654024</x:v>
      </x:c>
      <x:c r="AC1188" s="31" t="n">
        <x:v>6</x:v>
      </x:c>
      <x:c r="AD1188" s="44" t="b">
        <x:v>1</x:v>
      </x:c>
    </x:row>
    <x:row r="1189">
      <x:c r="A1189" s="31" t="str">
        <x:v>36061002100</x:v>
      </x:c>
      <x:c r="B1189" s="31" t="str">
        <x:v>Manhattan</x:v>
      </x:c>
      <x:c r="C1189" s="31" t="str">
        <x:v>002100</x:v>
      </x:c>
      <x:c r="D1189" s="31" t="str">
        <x:v>MN0102</x:v>
      </x:c>
      <x:c r="E1189" s="31" t="str">
        <x:v>Tribeca-Civic Center</x:v>
      </x:c>
      <x:c r="F1189" s="31" t="n">
        <x:v>0.0918295707529844</x:v>
      </x:c>
      <x:c r="G1189" s="31" t="n">
        <x:v>40.71432865998312</x:v>
      </x:c>
      <x:c r="H1189" s="31" t="n">
        <x:v>-74.01005916224493</x:v>
      </x:c>
      <x:c r="I1189" s="31" t="n">
        <x:v>7811</x:v>
      </x:c>
      <x:c r="J1189" s="31" t="n">
        <x:v>85059.74639706293</x:v>
      </x:c>
      <x:c r="K1189" s="31"/>
      <x:c r="L1189" s="40"/>
      <x:c r="M1189" s="40"/>
      <x:c r="N1189" s="31" t="n">
        <x:v>132</x:v>
      </x:c>
      <x:c r="O1189" s="31" t="n">
        <x:v>3848</x:v>
      </x:c>
      <x:c r="P1189" s="31" t="n">
        <x:v>26.71743217835079</x:v>
      </x:c>
      <x:c r="Q1189" s="40" t="n">
        <x:v>0.8105509355509356</x:v>
      </x:c>
      <x:c r="R1189" s="40" t="n">
        <x:v>0.15696465696465697</x:v>
      </x:c>
      <x:c r="S1189" s="40" t="n">
        <x:v>0.0059771309771309775</x:v>
      </x:c>
      <x:c r="T1189" s="31" t="n">
        <x:v>313.2297721426518</x:v>
      </x:c>
      <x:c r="U1189" s="31" t="n">
        <x:v>919</x:v>
      </x:c>
      <x:c r="V1189" s="31" t="n">
        <x:v>296</x:v>
      </x:c>
      <x:c r="W1189" s="31" t="n">
        <x:v>37.895275892971455</x:v>
      </x:c>
      <x:c r="X1189" s="31" t="n">
        <x:v>1.0553534303534304</x:v>
      </x:c>
      <x:c r="Y1189" s="40" t="n">
        <x:v>0</x:v>
      </x:c>
      <x:c r="Z1189" s="40" t="n">
        <x:v>1</x:v>
      </x:c>
      <x:c r="AA1189" s="40" t="n">
        <x:v>0.979989604989605</x:v>
      </x:c>
      <x:c r="AB1189" s="31" t="n">
        <x:v>0.12547259994822424</x:v>
      </x:c>
      <x:c r="AC1189" s="31" t="n">
        <x:v>6</x:v>
      </x:c>
      <x:c r="AD1189" s="44" t="b">
        <x:v>1</x:v>
      </x:c>
    </x:row>
    <x:row r="1190">
      <x:c r="A1190" s="31" t="str">
        <x:v>36061002201</x:v>
      </x:c>
      <x:c r="B1190" s="31" t="str">
        <x:v>Manhattan</x:v>
      </x:c>
      <x:c r="C1190" s="31" t="str">
        <x:v>002201</x:v>
      </x:c>
      <x:c r="D1190" s="31" t="str">
        <x:v>MN0302</x:v>
      </x:c>
      <x:c r="E1190" s="31" t="str">
        <x:v>Lower East Side</x:v>
      </x:c>
      <x:c r="F1190" s="31" t="n">
        <x:v>0.06242015021808999</x:v>
      </x:c>
      <x:c r="G1190" s="31" t="n">
        <x:v>40.71911565636344</x:v>
      </x:c>
      <x:c r="H1190" s="31" t="n">
        <x:v>-73.98184414600698</x:v>
      </x:c>
      <x:c r="I1190" s="31" t="n">
        <x:v>6969</x:v>
      </x:c>
      <x:c r="J1190" s="31" t="n">
        <x:v>111646.63935685808</x:v>
      </x:c>
      <x:c r="K1190" s="31"/>
      <x:c r="L1190" s="40"/>
      <x:c r="M1190" s="40"/>
      <x:c r="N1190" s="31" t="n">
        <x:v>78</x:v>
      </x:c>
      <x:c r="O1190" s="31" t="n">
        <x:v>3523</x:v>
      </x:c>
      <x:c r="P1190" s="31" t="n">
        <x:v>14.035764973034345</x:v>
      </x:c>
      <x:c r="Q1190" s="40" t="n">
        <x:v>0.610559182514902</x:v>
      </x:c>
      <x:c r="R1190" s="40" t="n">
        <x:v>0.3888731195004258</x:v>
      </x:c>
      <x:c r="S1190" s="40" t="n">
        <x:v>0.5137666761282997</x:v>
      </x:c>
      <x:c r="T1190" s="31" t="n">
        <x:v>148.23794968703066</x:v>
      </x:c>
      <x:c r="U1190" s="31" t="n">
        <x:v>235.35</x:v>
      </x:c>
      <x:c r="V1190" s="31" t="n">
        <x:v>53</x:v>
      </x:c>
      <x:c r="W1190" s="31" t="n">
        <x:v>7.605108336920648</x:v>
      </x:c>
      <x:c r="X1190" s="31" t="n">
        <x:v>3</x:v>
      </x:c>
      <x:c r="Y1190" s="40" t="n">
        <x:v>0</x:v>
      </x:c>
      <x:c r="Z1190" s="40" t="n">
        <x:v>1</x:v>
      </x:c>
      <x:c r="AA1190" s="40" t="n">
        <x:v>0.9903491342605734</x:v>
      </x:c>
      <x:c r="AB1190" s="31" t="n">
        <x:v>0.055525484014628444</x:v>
      </x:c>
      <x:c r="AC1190" s="31" t="n">
        <x:v>7</x:v>
      </x:c>
      <x:c r="AD1190" s="44" t="b">
        <x:v>1</x:v>
      </x:c>
    </x:row>
    <x:row r="1191">
      <x:c r="A1191" s="31" t="str">
        <x:v>36061002202</x:v>
      </x:c>
      <x:c r="B1191" s="31" t="str">
        <x:v>Manhattan</x:v>
      </x:c>
      <x:c r="C1191" s="31" t="str">
        <x:v>002202</x:v>
      </x:c>
      <x:c r="D1191" s="31" t="str">
        <x:v>MN0303</x:v>
      </x:c>
      <x:c r="E1191" s="31" t="str">
        <x:v>East Village</x:v>
      </x:c>
      <x:c r="F1191" s="31" t="n">
        <x:v>0.02166272828573376</x:v>
      </x:c>
      <x:c r="G1191" s="31" t="n">
        <x:v>40.721259702850425</x:v>
      </x:c>
      <x:c r="H1191" s="31" t="n">
        <x:v>-73.9811411612361</x:v>
      </x:c>
      <x:c r="I1191" s="31" t="n">
        <x:v>2488</x:v>
      </x:c>
      <x:c r="J1191" s="31" t="n">
        <x:v>114851.64597842928</x:v>
      </x:c>
      <x:c r="K1191" s="31"/>
      <x:c r="L1191" s="40"/>
      <x:c r="M1191" s="40"/>
      <x:c r="N1191" s="31" t="n">
        <x:v>81</x:v>
      </x:c>
      <x:c r="O1191" s="31" t="n">
        <x:v>1672</x:v>
      </x:c>
      <x:c r="P1191" s="31" t="n">
        <x:v>7.389354066985646</x:v>
      </x:c>
      <x:c r="Q1191" s="40" t="n">
        <x:v>0.24043062200956938</x:v>
      </x:c>
      <x:c r="R1191" s="40" t="n">
        <x:v>0.7583732057416268</x:v>
      </x:c>
      <x:c r="S1191" s="40" t="n">
        <x:v>0.01674641148325359</x:v>
      </x:c>
      <x:c r="T1191" s="31" t="n">
        <x:v>81.26736316148974</x:v>
      </x:c>
      <x:c r="U1191" s="31" t="n">
        <x:v>148</x:v>
      </x:c>
      <x:c r="V1191" s="31" t="n">
        <x:v>37</x:v>
      </x:c>
      <x:c r="W1191" s="31" t="n">
        <x:v>14.87138263665595</x:v>
      </x:c>
      <x:c r="X1191" s="31" t="n">
        <x:v>2</x:v>
      </x:c>
      <x:c r="Y1191" s="40" t="n">
        <x:v>0</x:v>
      </x:c>
      <x:c r="Z1191" s="40" t="n">
        <x:v>1</x:v>
      </x:c>
      <x:c r="AA1191" s="40" t="n">
        <x:v>0.9916267942583732</x:v>
      </x:c>
      <x:c r="AB1191" s="31" t="n">
        <x:v>0.06496217236105901</x:v>
      </x:c>
      <x:c r="AC1191" s="31" t="n">
        <x:v>7</x:v>
      </x:c>
      <x:c r="AD1191" s="44" t="b">
        <x:v>1</x:v>
      </x:c>
    </x:row>
    <x:row r="1192">
      <x:c r="A1192" s="31" t="str">
        <x:v>36061002400</x:v>
      </x:c>
      <x:c r="B1192" s="31" t="str">
        <x:v>Manhattan</x:v>
      </x:c>
      <x:c r="C1192" s="31" t="str">
        <x:v>002400</x:v>
      </x:c>
      <x:c r="D1192" s="31" t="str">
        <x:v>MN0303</x:v>
      </x:c>
      <x:c r="E1192" s="31" t="str">
        <x:v>East Village</x:v>
      </x:c>
      <x:c r="F1192" s="31" t="n">
        <x:v>0.06684626538395318</x:v>
      </x:c>
      <x:c r="G1192" s="31" t="n">
        <x:v>40.72395420099753</x:v>
      </x:c>
      <x:c r="H1192" s="31" t="n">
        <x:v>-73.97367781591291</x:v>
      </x:c>
      <x:c r="I1192" s="31" t="n">
        <x:v>4518</x:v>
      </x:c>
      <x:c r="J1192" s="31" t="n">
        <x:v>67587.919445453</x:v>
      </x:c>
      <x:c r="K1192" s="31"/>
      <x:c r="L1192" s="40"/>
      <x:c r="M1192" s="40"/>
      <x:c r="N1192" s="31" t="n">
        <x:v>3</x:v>
      </x:c>
      <x:c r="O1192" s="31" t="n">
        <x:v>1790</x:v>
      </x:c>
      <x:c r="P1192" s="31" t="n">
        <x:v>11.38100558659218</x:v>
      </x:c>
      <x:c r="Q1192" s="40" t="n">
        <x:v>0.6726256983240223</x:v>
      </x:c>
      <x:c r="R1192" s="40" t="n">
        <x:v>0.32737430167597764</x:v>
      </x:c>
      <x:c r="S1192" s="40" t="n">
        <x:v>1</x:v>
      </x:c>
      <x:c r="T1192" s="31" t="n">
        <x:v>135.13242525573745</x:v>
      </x:c>
      <x:c r="U1192" s="31" t="n">
        <x:v>171.10824557</x:v>
      </x:c>
      <x:c r="V1192" s="31" t="n">
        <x:v>37</x:v>
      </x:c>
      <x:c r="W1192" s="31" t="n">
        <x:v>8.18946436476317</x:v>
      </x:c>
      <x:c r="X1192" s="31" t="n">
        <x:v>2</x:v>
      </x:c>
      <x:c r="Y1192" s="40" t="n">
        <x:v>0</x:v>
      </x:c>
      <x:c r="Z1192" s="40" t="n">
        <x:v>1</x:v>
      </x:c>
      <x:c r="AA1192" s="40" t="n">
        <x:v>1</x:v>
      </x:c>
      <x:c r="AB1192" s="31" t="n">
        <x:v>0.052411707535581054</x:v>
      </x:c>
      <x:c r="AC1192" s="31" t="n">
        <x:v>6</x:v>
      </x:c>
      <x:c r="AD1192" s="44" t="b">
        <x:v>1</x:v>
      </x:c>
    </x:row>
    <x:row r="1193">
      <x:c r="A1193" s="31" t="str">
        <x:v>36061002500</x:v>
      </x:c>
      <x:c r="B1193" s="31" t="str">
        <x:v>Manhattan</x:v>
      </x:c>
      <x:c r="C1193" s="31" t="str">
        <x:v>002500</x:v>
      </x:c>
      <x:c r="D1193" s="31" t="str">
        <x:v>MN0301</x:v>
      </x:c>
      <x:c r="E1193" s="31" t="str">
        <x:v>Chinatown-Two Bridges</x:v>
      </x:c>
      <x:c r="F1193" s="31" t="n">
        <x:v>0.05051753332795282</x:v>
      </x:c>
      <x:c r="G1193" s="31" t="n">
        <x:v>40.710109587557405</x:v>
      </x:c>
      <x:c r="H1193" s="31" t="n">
        <x:v>-73.99860748311245</x:v>
      </x:c>
      <x:c r="I1193" s="31" t="n">
        <x:v>4630</x:v>
      </x:c>
      <x:c r="J1193" s="31" t="n">
        <x:v>91651.34746272511</x:v>
      </x:c>
      <x:c r="K1193" s="31"/>
      <x:c r="L1193" s="40"/>
      <x:c r="M1193" s="40"/>
      <x:c r="N1193" s="31" t="n">
        <x:v>1</x:v>
      </x:c>
      <x:c r="O1193" s="31" t="n">
        <x:v>1934</x:v>
      </x:c>
      <x:c r="P1193" s="31" t="n">
        <x:v>17</x:v>
      </x:c>
      <x:c r="Q1193" s="40" t="n">
        <x:v>1</x:v>
      </x:c>
      <x:c r="R1193" s="40" t="n">
        <x:v>0</x:v>
      </x:c>
      <x:c r="S1193" s="40" t="n">
        <x:v>1</x:v>
      </x:c>
      <x:c r="T1193" s="31" t="n">
        <x:v>165.258761</x:v>
      </x:c>
      <x:c r="U1193" s="31" t="n">
        <x:v>165.258761</x:v>
      </x:c>
      <x:c r="V1193" s="31" t="n">
        <x:v>24</x:v>
      </x:c>
      <x:c r="W1193" s="31" t="n">
        <x:v>5.183585313174946</x:v>
      </x:c>
      <x:c r="X1193" s="31" t="n">
        <x:v>2</x:v>
      </x:c>
      <x:c r="Y1193" s="40" t="n">
        <x:v>0</x:v>
      </x:c>
      <x:c r="Z1193" s="40" t="n">
        <x:v>1</x:v>
      </x:c>
      <x:c r="AA1193" s="40" t="n">
        <x:v>1</x:v>
      </x:c>
      <x:c r="AB1193" s="31" t="n">
        <x:v>0.059645727882039166</x:v>
      </x:c>
      <x:c r="AC1193" s="31" t="n">
        <x:v>4</x:v>
      </x:c>
      <x:c r="AD1193" s="44" t="b">
        <x:v>1</x:v>
      </x:c>
    </x:row>
    <x:row r="1194">
      <x:c r="A1194" s="31" t="str">
        <x:v>36061002601</x:v>
      </x:c>
      <x:c r="B1194" s="31" t="str">
        <x:v>Manhattan</x:v>
      </x:c>
      <x:c r="C1194" s="31" t="str">
        <x:v>002601</x:v>
      </x:c>
      <x:c r="D1194" s="31" t="str">
        <x:v>MN0303</x:v>
      </x:c>
      <x:c r="E1194" s="31" t="str">
        <x:v>East Village</x:v>
      </x:c>
      <x:c r="F1194" s="31" t="n">
        <x:v>0.04093554544378444</x:v>
      </x:c>
      <x:c r="G1194" s="31" t="n">
        <x:v>40.72258485378371</x:v>
      </x:c>
      <x:c r="H1194" s="31" t="n">
        <x:v>-73.9799301363899</x:v>
      </x:c>
      <x:c r="I1194" s="31" t="n">
        <x:v>3609</x:v>
      </x:c>
      <x:c r="J1194" s="31" t="n">
        <x:v>88162.98795764508</x:v>
      </x:c>
      <x:c r="K1194" s="31"/>
      <x:c r="L1194" s="40"/>
      <x:c r="M1194" s="40"/>
      <x:c r="N1194" s="31" t="n">
        <x:v>91</x:v>
      </x:c>
      <x:c r="O1194" s="31" t="n">
        <x:v>1751</x:v>
      </x:c>
      <x:c r="P1194" s="31" t="n">
        <x:v>5.51061388410786</x:v>
      </x:c>
      <x:c r="Q1194" s="40" t="n">
        <x:v>0</x:v>
      </x:c>
      <x:c r="R1194" s="40" t="n">
        <x:v>0.9897201599086236</x:v>
      </x:c>
      <x:c r="S1194" s="40" t="n">
        <x:v>0.022844089091947458</x:v>
      </x:c>
      <x:c r="T1194" s="31" t="n">
        <x:v>61.11615316622761</x:v>
      </x:c>
      <x:c r="U1194" s="31" t="n">
        <x:v>78.66631368</x:v>
      </x:c>
      <x:c r="V1194" s="31" t="n">
        <x:v>27</x:v>
      </x:c>
      <x:c r="W1194" s="31" t="n">
        <x:v>7.481296758104738</x:v>
      </x:c>
      <x:c r="X1194" s="31" t="n">
        <x:v>2</x:v>
      </x:c>
      <x:c r="Y1194" s="40" t="n">
        <x:v>0</x:v>
      </x:c>
      <x:c r="Z1194" s="40" t="n">
        <x:v>1</x:v>
      </x:c>
      <x:c r="AA1194" s="40" t="n">
        <x:v>0.9885779554540263</x:v>
      </x:c>
      <x:c r="AB1194" s="31" t="n">
        <x:v>0.062465004272195875</x:v>
      </x:c>
      <x:c r="AC1194" s="31" t="n">
        <x:v>6</x:v>
      </x:c>
      <x:c r="AD1194" s="44" t="b">
        <x:v>1</x:v>
      </x:c>
    </x:row>
    <x:row r="1195">
      <x:c r="A1195" s="31" t="str">
        <x:v>36061002602</x:v>
      </x:c>
      <x:c r="B1195" s="31" t="str">
        <x:v>Manhattan</x:v>
      </x:c>
      <x:c r="C1195" s="31" t="str">
        <x:v>002602</x:v>
      </x:c>
      <x:c r="D1195" s="31" t="str">
        <x:v>MN0303</x:v>
      </x:c>
      <x:c r="E1195" s="31" t="str">
        <x:v>East Village</x:v>
      </x:c>
      <x:c r="F1195" s="31" t="n">
        <x:v>0.039989996482581495</x:v>
      </x:c>
      <x:c r="G1195" s="31" t="n">
        <x:v>40.724389226586716</x:v>
      </x:c>
      <x:c r="H1195" s="31" t="n">
        <x:v>-73.9786133390267</x:v>
      </x:c>
      <x:c r="I1195" s="31" t="n">
        <x:v>4816</x:v>
      </x:c>
      <x:c r="J1195" s="31" t="n">
        <x:v>120430.11811960806</x:v>
      </x:c>
      <x:c r="K1195" s="31"/>
      <x:c r="L1195" s="40"/>
      <x:c r="M1195" s="40"/>
      <x:c r="N1195" s="31" t="n">
        <x:v>160</x:v>
      </x:c>
      <x:c r="O1195" s="31" t="n">
        <x:v>2488</x:v>
      </x:c>
      <x:c r="P1195" s="31" t="n">
        <x:v>6.250101091791347</x:v>
      </x:c>
      <x:c r="Q1195" s="40" t="n">
        <x:v>0.08762057877813505</x:v>
      </x:c>
      <x:c r="R1195" s="40" t="n">
        <x:v>0.9063504823151125</x:v>
      </x:c>
      <x:c r="S1195" s="40" t="n">
        <x:v>0.05184887459807074</x:v>
      </x:c>
      <x:c r="T1195" s="31" t="n">
        <x:v>70.68996614877959</x:v>
      </x:c>
      <x:c r="U1195" s="31" t="n">
        <x:v>136.18128606</x:v>
      </x:c>
      <x:c r="V1195" s="31" t="n">
        <x:v>51</x:v>
      </x:c>
      <x:c r="W1195" s="31" t="n">
        <x:v>10.58970099667774</x:v>
      </x:c>
      <x:c r="X1195" s="31" t="n">
        <x:v>2</x:v>
      </x:c>
      <x:c r="Y1195" s="40" t="n">
        <x:v>0</x:v>
      </x:c>
      <x:c r="Z1195" s="40" t="n">
        <x:v>1</x:v>
      </x:c>
      <x:c r="AA1195" s="40" t="n">
        <x:v>0.9847266881028939</x:v>
      </x:c>
      <x:c r="AB1195" s="31" t="n">
        <x:v>0.16873396215126013</x:v>
      </x:c>
      <x:c r="AC1195" s="31" t="n">
        <x:v>5</x:v>
      </x:c>
      <x:c r="AD1195" s="44" t="b">
        <x:v>1</x:v>
      </x:c>
    </x:row>
    <x:row r="1196">
      <x:c r="A1196" s="31" t="str">
        <x:v>36061002700</x:v>
      </x:c>
      <x:c r="B1196" s="31" t="str">
        <x:v>Manhattan</x:v>
      </x:c>
      <x:c r="C1196" s="31" t="str">
        <x:v>002700</x:v>
      </x:c>
      <x:c r="D1196" s="31" t="str">
        <x:v>MN0301</x:v>
      </x:c>
      <x:c r="E1196" s="31" t="str">
        <x:v>Chinatown-Two Bridges</x:v>
      </x:c>
      <x:c r="F1196" s="31" t="n">
        <x:v>0.022977851280919996</x:v>
      </x:c>
      <x:c r="G1196" s="31" t="n">
        <x:v>40.71255665676184</x:v>
      </x:c>
      <x:c r="H1196" s="31" t="n">
        <x:v>-73.99901620844085</x:v>
      </x:c>
      <x:c r="I1196" s="31" t="n">
        <x:v>1370</x:v>
      </x:c>
      <x:c r="J1196" s="31" t="n">
        <x:v>59622.63325890703</x:v>
      </x:c>
      <x:c r="K1196" s="31"/>
      <x:c r="L1196" s="40"/>
      <x:c r="M1196" s="40"/>
      <x:c r="N1196" s="31" t="n">
        <x:v>26</x:v>
      </x:c>
      <x:c r="O1196" s="31" t="n">
        <x:v>643</x:v>
      </x:c>
      <x:c r="P1196" s="31" t="n">
        <x:v>15.427682737169517</x:v>
      </x:c>
      <x:c r="Q1196" s="40" t="n">
        <x:v>0.6531881804043546</x:v>
      </x:c>
      <x:c r="R1196" s="40" t="n">
        <x:v>0.3468118195956454</x:v>
      </x:c>
      <x:c r="S1196" s="40" t="n">
        <x:v>0.6967340590979783</x:v>
      </x:c>
      <x:c r="T1196" s="31" t="n">
        <x:v>141.32244957051321</x:v>
      </x:c>
      <x:c r="U1196" s="31" t="n">
        <x:v>187.33938254</x:v>
      </x:c>
      <x:c r="V1196" s="31" t="n">
        <x:v>7</x:v>
      </x:c>
      <x:c r="W1196" s="31" t="n">
        <x:v>5.109489051094891</x:v>
      </x:c>
      <x:c r="X1196" s="31" t="n">
        <x:v>2</x:v>
      </x:c>
      <x:c r="Y1196" s="40" t="n">
        <x:v>0</x:v>
      </x:c>
      <x:c r="Z1196" s="40" t="n">
        <x:v>1</x:v>
      </x:c>
      <x:c r="AA1196" s="40" t="n">
        <x:v>1</x:v>
      </x:c>
      <x:c r="AB1196" s="31" t="n">
        <x:v>0.08046282444661174</x:v>
      </x:c>
      <x:c r="AC1196" s="31" t="n">
        <x:v>5</x:v>
      </x:c>
      <x:c r="AD1196" s="44" t="b">
        <x:v>1</x:v>
      </x:c>
    </x:row>
    <x:row r="1197">
      <x:c r="A1197" s="31" t="str">
        <x:v>36061002800</x:v>
      </x:c>
      <x:c r="B1197" s="31" t="str">
        <x:v>Manhattan</x:v>
      </x:c>
      <x:c r="C1197" s="31" t="str">
        <x:v>002800</x:v>
      </x:c>
      <x:c r="D1197" s="31" t="str">
        <x:v>MN0303</x:v>
      </x:c>
      <x:c r="E1197" s="31" t="str">
        <x:v>East Village</x:v>
      </x:c>
      <x:c r="F1197" s="31" t="n">
        <x:v>0.07079597503300046</x:v>
      </x:c>
      <x:c r="G1197" s="31" t="n">
        <x:v>40.726860950840674</x:v>
      </x:c>
      <x:c r="H1197" s="31" t="n">
        <x:v>-73.9768130360722</x:v>
      </x:c>
      <x:c r="I1197" s="31" t="n">
        <x:v>6819</x:v>
      </x:c>
      <x:c r="J1197" s="31" t="n">
        <x:v>96319.03504148968</x:v>
      </x:c>
      <x:c r="K1197" s="31"/>
      <x:c r="L1197" s="40"/>
      <x:c r="M1197" s="40"/>
      <x:c r="N1197" s="31" t="n">
        <x:v>129</x:v>
      </x:c>
      <x:c r="O1197" s="31" t="n">
        <x:v>4196</x:v>
      </x:c>
      <x:c r="P1197" s="31" t="n">
        <x:v>11.665633937082935</x:v>
      </x:c>
      <x:c r="Q1197" s="40" t="n">
        <x:v>0.5119161105815062</x:v>
      </x:c>
      <x:c r="R1197" s="40" t="n">
        <x:v>0.4880838894184938</x:v>
      </x:c>
      <x:c r="S1197" s="40" t="n">
        <x:v>0.23045757864632985</x:v>
      </x:c>
      <x:c r="T1197" s="31" t="n">
        <x:v>115.44237857221081</x:v>
      </x:c>
      <x:c r="U1197" s="31" t="n">
        <x:v>231.09</x:v>
      </x:c>
      <x:c r="V1197" s="31" t="n">
        <x:v>75</x:v>
      </x:c>
      <x:c r="W1197" s="31" t="n">
        <x:v>10.998680158380994</x:v>
      </x:c>
      <x:c r="X1197" s="31" t="n">
        <x:v>2</x:v>
      </x:c>
      <x:c r="Y1197" s="40" t="n">
        <x:v>0</x:v>
      </x:c>
      <x:c r="Z1197" s="40" t="n">
        <x:v>1</x:v>
      </x:c>
      <x:c r="AA1197" s="40" t="n">
        <x:v>0.9971401334604385</x:v>
      </x:c>
      <x:c r="AB1197" s="31" t="n">
        <x:v>0.10036155540994986</x:v>
      </x:c>
      <x:c r="AC1197" s="31" t="n">
        <x:v>5</x:v>
      </x:c>
      <x:c r="AD1197" s="44" t="b">
        <x:v>1</x:v>
      </x:c>
    </x:row>
    <x:row r="1198">
      <x:c r="A1198" s="31" t="str">
        <x:v>36061002901</x:v>
      </x:c>
      <x:c r="B1198" s="31" t="str">
        <x:v>Manhattan</x:v>
      </x:c>
      <x:c r="C1198" s="31" t="str">
        <x:v>002901</x:v>
      </x:c>
      <x:c r="D1198" s="31" t="str">
        <x:v>MN0102</x:v>
      </x:c>
      <x:c r="E1198" s="31" t="str">
        <x:v>Tribeca-Civic Center</x:v>
      </x:c>
      <x:c r="F1198" s="31" t="n">
        <x:v>0.056042917997446054</x:v>
      </x:c>
      <x:c r="G1198" s="31" t="n">
        <x:v>40.713366465077605</x:v>
      </x:c>
      <x:c r="H1198" s="31" t="n">
        <x:v>-74.00187900067912</x:v>
      </x:c>
      <x:c r="I1198" s="31" t="n">
        <x:v>1096</x:v>
      </x:c>
      <x:c r="J1198" s="31" t="n">
        <x:v>19556.440655890652</x:v>
      </x:c>
      <x:c r="K1198" s="31"/>
      <x:c r="L1198" s="40"/>
      <x:c r="M1198" s="40"/>
      <x:c r="N1198" s="31" t="n">
        <x:v>2</x:v>
      </x:c>
      <x:c r="O1198" s="31" t="n">
        <x:v>182</x:v>
      </x:c>
      <x:c r="P1198" s="31" t="n">
        <x:v>7.318681318681318</x:v>
      </x:c>
      <x:c r="Q1198" s="40" t="n">
        <x:v>0.4835164835164835</x:v>
      </x:c>
      <x:c r="R1198" s="40" t="n">
        <x:v>0</x:v>
      </x:c>
      <x:c r="S1198" s="40" t="n">
        <x:v>0</x:v>
      </x:c>
      <x:c r="T1198" s="31" t="n">
        <x:v>98.49169136483516</x:v>
      </x:c>
      <x:c r="U1198" s="31" t="n">
        <x:v>126.08</x:v>
      </x:c>
      <x:c r="V1198" s="31" t="n">
        <x:v>1</x:v>
      </x:c>
      <x:c r="W1198" s="31" t="n">
        <x:v>0.9124087591240876</x:v>
      </x:c>
      <x:c r="X1198" s="31" t="n">
        <x:v>1.4835164835164836</x:v>
      </x:c>
      <x:c r="Y1198" s="40" t="n">
        <x:v>0</x:v>
      </x:c>
      <x:c r="Z1198" s="40" t="n">
        <x:v>1</x:v>
      </x:c>
      <x:c r="AA1198" s="40" t="n">
        <x:v>1</x:v>
      </x:c>
      <x:c r="AB1198" s="31" t="n">
        <x:v>0.14575282149713892</x:v>
      </x:c>
      <x:c r="AC1198" s="31" t="n">
        <x:v>7</x:v>
      </x:c>
      <x:c r="AD1198" s="44" t="b">
        <x:v>1</x:v>
      </x:c>
    </x:row>
    <x:row r="1199">
      <x:c r="A1199" s="31" t="str">
        <x:v>36061002902</x:v>
      </x:c>
      <x:c r="B1199" s="31" t="str">
        <x:v>Manhattan</x:v>
      </x:c>
      <x:c r="C1199" s="31" t="str">
        <x:v>002902</x:v>
      </x:c>
      <x:c r="D1199" s="31" t="str">
        <x:v>MN0301</x:v>
      </x:c>
      <x:c r="E1199" s="31" t="str">
        <x:v>Chinatown-Two Bridges</x:v>
      </x:c>
      <x:c r="F1199" s="31" t="n">
        <x:v>0.047610115292125804</x:v>
      </x:c>
      <x:c r="G1199" s="31" t="n">
        <x:v>40.71516634961108</x:v>
      </x:c>
      <x:c r="H1199" s="31" t="n">
        <x:v>-73.99882637198336</x:v>
      </x:c>
      <x:c r="I1199" s="31" t="n">
        <x:v>4359</x:v>
      </x:c>
      <x:c r="J1199" s="31" t="n">
        <x:v>91556.17400323605</x:v>
      </x:c>
      <x:c r="K1199" s="31"/>
      <x:c r="L1199" s="40"/>
      <x:c r="M1199" s="40"/>
      <x:c r="N1199" s="31" t="n">
        <x:v>147</x:v>
      </x:c>
      <x:c r="O1199" s="31" t="n">
        <x:v>2332</x:v>
      </x:c>
      <x:c r="P1199" s="31" t="n">
        <x:v>7.798885077186964</x:v>
      </x:c>
      <x:c r="Q1199" s="40" t="n">
        <x:v>0.11020583190394512</x:v>
      </x:c>
      <x:c r="R1199" s="40" t="n">
        <x:v>0.8876500857632933</x:v>
      </x:c>
      <x:c r="S1199" s="40" t="n">
        <x:v>0.1423670668953688</x:v>
      </x:c>
      <x:c r="T1199" s="31" t="n">
        <x:v>82.5393085168</x:v>
      </x:c>
      <x:c r="U1199" s="31" t="n">
        <x:v>239.37320775</x:v>
      </x:c>
      <x:c r="V1199" s="31" t="n">
        <x:v>18</x:v>
      </x:c>
      <x:c r="W1199" s="31" t="n">
        <x:v>4.129387474191328</x:v>
      </x:c>
      <x:c r="X1199" s="31" t="n">
        <x:v>1.8927958833619212</x:v>
      </x:c>
      <x:c r="Y1199" s="40" t="n">
        <x:v>0</x:v>
      </x:c>
      <x:c r="Z1199" s="40" t="n">
        <x:v>1</x:v>
      </x:c>
      <x:c r="AA1199" s="40" t="n">
        <x:v>0.9969982847341338</x:v>
      </x:c>
      <x:c r="AB1199" s="31" t="n">
        <x:v>0.119081866384341</x:v>
      </x:c>
      <x:c r="AC1199" s="31" t="n">
        <x:v>5</x:v>
      </x:c>
      <x:c r="AD1199" s="44" t="b">
        <x:v>1</x:v>
      </x:c>
    </x:row>
    <x:row r="1200">
      <x:c r="A1200" s="31" t="str">
        <x:v>36061003001</x:v>
      </x:c>
      <x:c r="B1200" s="31" t="str">
        <x:v>Manhattan</x:v>
      </x:c>
      <x:c r="C1200" s="31" t="str">
        <x:v>003001</x:v>
      </x:c>
      <x:c r="D1200" s="31" t="str">
        <x:v>MN0302</x:v>
      </x:c>
      <x:c r="E1200" s="31" t="str">
        <x:v>Lower East Side</x:v>
      </x:c>
      <x:c r="F1200" s="31" t="n">
        <x:v>0.04772446263271924</x:v>
      </x:c>
      <x:c r="G1200" s="31" t="n">
        <x:v>40.72100069549586</x:v>
      </x:c>
      <x:c r="H1200" s="31" t="n">
        <x:v>-73.98682867805461</x:v>
      </x:c>
      <x:c r="I1200" s="31" t="n">
        <x:v>4663</x:v>
      </x:c>
      <x:c r="J1200" s="31" t="n">
        <x:v>97706.70517310573</x:v>
      </x:c>
      <x:c r="K1200" s="31"/>
      <x:c r="L1200" s="40"/>
      <x:c r="M1200" s="40"/>
      <x:c r="N1200" s="31" t="n">
        <x:v>174</x:v>
      </x:c>
      <x:c r="O1200" s="31" t="n">
        <x:v>3044</x:v>
      </x:c>
      <x:c r="P1200" s="31" t="n">
        <x:v>7.46419185282523</x:v>
      </x:c>
      <x:c r="Q1200" s="40" t="n">
        <x:v>0.15111695137976347</x:v>
      </x:c>
      <x:c r="R1200" s="40" t="n">
        <x:v>0.8478975032851511</x:v>
      </x:c>
      <x:c r="S1200" s="40" t="n">
        <x:v>0.03679369250985545</x:v>
      </x:c>
      <x:c r="T1200" s="31" t="n">
        <x:v>85.07516206525476</x:v>
      </x:c>
      <x:c r="U1200" s="31" t="n">
        <x:v>267.65547545</x:v>
      </x:c>
      <x:c r="V1200" s="31" t="n">
        <x:v>34</x:v>
      </x:c>
      <x:c r="W1200" s="31" t="n">
        <x:v>7.291443276860391</x:v>
      </x:c>
      <x:c r="X1200" s="31" t="n">
        <x:v>3</x:v>
      </x:c>
      <x:c r="Y1200" s="40" t="n">
        <x:v>0</x:v>
      </x:c>
      <x:c r="Z1200" s="40" t="n">
        <x:v>1</x:v>
      </x:c>
      <x:c r="AA1200" s="40" t="n">
        <x:v>0.9671484888304862</x:v>
      </x:c>
      <x:c r="AB1200" s="31" t="n">
        <x:v>0.03338083827644844</x:v>
      </x:c>
      <x:c r="AC1200" s="31" t="n">
        <x:v>7</x:v>
      </x:c>
      <x:c r="AD1200" s="44" t="b">
        <x:v>1</x:v>
      </x:c>
    </x:row>
    <x:row r="1201">
      <x:c r="A1201" s="31" t="str">
        <x:v>36061003002</x:v>
      </x:c>
      <x:c r="B1201" s="31" t="str">
        <x:v>Manhattan</x:v>
      </x:c>
      <x:c r="C1201" s="31" t="str">
        <x:v>003002</x:v>
      </x:c>
      <x:c r="D1201" s="31" t="str">
        <x:v>MN0303</x:v>
      </x:c>
      <x:c r="E1201" s="31" t="str">
        <x:v>East Village</x:v>
      </x:c>
      <x:c r="F1201" s="31" t="n">
        <x:v>0.030170232050010043</x:v>
      </x:c>
      <x:c r="G1201" s="31" t="n">
        <x:v>40.722960154071785</x:v>
      </x:c>
      <x:c r="H1201" s="31" t="n">
        <x:v>-73.98585591594866</x:v>
      </x:c>
      <x:c r="I1201" s="31" t="n">
        <x:v>3035</x:v>
      </x:c>
      <x:c r="J1201" s="31" t="n">
        <x:v>100595.84543364457</x:v>
      </x:c>
      <x:c r="K1201" s="31"/>
      <x:c r="L1201" s="40"/>
      <x:c r="M1201" s="40"/>
      <x:c r="N1201" s="31" t="n">
        <x:v>74</x:v>
      </x:c>
      <x:c r="O1201" s="31" t="n">
        <x:v>2120</x:v>
      </x:c>
      <x:c r="P1201" s="31" t="n">
        <x:v>7.812028301886793</x:v>
      </x:c>
      <x:c r="Q1201" s="40" t="n">
        <x:v>0.2688679245283019</x:v>
      </x:c>
      <x:c r="R1201" s="40" t="n">
        <x:v>0.730188679245283</x:v>
      </x:c>
      <x:c r="S1201" s="40" t="n">
        <x:v>0.14150943396226415</x:v>
      </x:c>
      <x:c r="T1201" s="31" t="n">
        <x:v>76.37258409785933</x:v>
      </x:c>
      <x:c r="U1201" s="31" t="n">
        <x:v>175.49</x:v>
      </x:c>
      <x:c r="V1201" s="31" t="n">
        <x:v>27</x:v>
      </x:c>
      <x:c r="W1201" s="31" t="n">
        <x:v>8.896210873146623</x:v>
      </x:c>
      <x:c r="X1201" s="31" t="n">
        <x:v>2.068867924528302</x:v>
      </x:c>
      <x:c r="Y1201" s="40" t="n">
        <x:v>0</x:v>
      </x:c>
      <x:c r="Z1201" s="40" t="n">
        <x:v>1</x:v>
      </x:c>
      <x:c r="AA1201" s="40" t="n">
        <x:v>0.9254716981132075</x:v>
      </x:c>
      <x:c r="AB1201" s="31" t="n">
        <x:v>0.060472134876476645</x:v>
      </x:c>
      <x:c r="AC1201" s="31" t="n">
        <x:v>8</x:v>
      </x:c>
      <x:c r="AD1201" s="44" t="b">
        <x:v>1</x:v>
      </x:c>
    </x:row>
    <x:row r="1202">
      <x:c r="A1202" s="31" t="str">
        <x:v>36061003100</x:v>
      </x:c>
      <x:c r="B1202" s="31" t="str">
        <x:v>Manhattan</x:v>
      </x:c>
      <x:c r="C1202" s="31" t="str">
        <x:v>003100</x:v>
      </x:c>
      <x:c r="D1202" s="31" t="str">
        <x:v>MN0102</x:v>
      </x:c>
      <x:c r="E1202" s="31" t="str">
        <x:v>Tribeca-Civic Center</x:v>
      </x:c>
      <x:c r="F1202" s="31" t="n">
        <x:v>0.07916577283631772</x:v>
      </x:c>
      <x:c r="G1202" s="31" t="n">
        <x:v>40.715310530293095</x:v>
      </x:c>
      <x:c r="H1202" s="31" t="n">
        <x:v>-74.00381569111426</x:v>
      </x:c>
      <x:c r="I1202" s="31" t="n">
        <x:v>2989</x:v>
      </x:c>
      <x:c r="J1202" s="31" t="n">
        <x:v>37756.21575980852</x:v>
      </x:c>
      <x:c r="K1202" s="31"/>
      <x:c r="L1202" s="40"/>
      <x:c r="M1202" s="40"/>
      <x:c r="N1202" s="31" t="n">
        <x:v>23</x:v>
      </x:c>
      <x:c r="O1202" s="31" t="n">
        <x:v>1212</x:v>
      </x:c>
      <x:c r="P1202" s="31" t="n">
        <x:v>16.652353426919902</x:v>
      </x:c>
      <x:c r="Q1202" s="40" t="n">
        <x:v>0.9389438943894389</x:v>
      </x:c>
      <x:c r="R1202" s="40" t="n">
        <x:v>0.06023102310231023</x:v>
      </x:c>
      <x:c r="S1202" s="40" t="n">
        <x:v>0</x:v>
      </x:c>
      <x:c r="T1202" s="31" t="n">
        <x:v>198.03765732908417</x:v>
      </x:c>
      <x:c r="U1202" s="31" t="n">
        <x:v>272</x:v>
      </x:c>
      <x:c r="V1202" s="31" t="n">
        <x:v>74</x:v>
      </x:c>
      <x:c r="W1202" s="31" t="n">
        <x:v>24.757443961191033</x:v>
      </x:c>
      <x:c r="X1202" s="31" t="n">
        <x:v>1.9191419141914192</x:v>
      </x:c>
      <x:c r="Y1202" s="40" t="n">
        <x:v>0</x:v>
      </x:c>
      <x:c r="Z1202" s="40" t="n">
        <x:v>1</x:v>
      </x:c>
      <x:c r="AA1202" s="40" t="n">
        <x:v>1</x:v>
      </x:c>
      <x:c r="AB1202" s="31" t="n">
        <x:v>0.16181863159086354</x:v>
      </x:c>
      <x:c r="AC1202" s="31" t="n">
        <x:v>8</x:v>
      </x:c>
      <x:c r="AD1202" s="44" t="b">
        <x:v>1</x:v>
      </x:c>
    </x:row>
    <x:row r="1203">
      <x:c r="A1203" s="31" t="str">
        <x:v>36061003200</x:v>
      </x:c>
      <x:c r="B1203" s="31" t="str">
        <x:v>Manhattan</x:v>
      </x:c>
      <x:c r="C1203" s="31" t="str">
        <x:v>003200</x:v>
      </x:c>
      <x:c r="D1203" s="31" t="str">
        <x:v>MN0303</x:v>
      </x:c>
      <x:c r="E1203" s="31" t="str">
        <x:v>East Village</x:v>
      </x:c>
      <x:c r="F1203" s="31" t="n">
        <x:v>0.08377549258924473</x:v>
      </x:c>
      <x:c r="G1203" s="31" t="n">
        <x:v>40.72555327835475</x:v>
      </x:c>
      <x:c r="H1203" s="31" t="n">
        <x:v>-73.98370702842602</x:v>
      </x:c>
      <x:c r="I1203" s="31" t="n">
        <x:v>8372</x:v>
      </x:c>
      <x:c r="J1203" s="31" t="n">
        <x:v>99933.76035457432</x:v>
      </x:c>
      <x:c r="K1203" s="31"/>
      <x:c r="L1203" s="40"/>
      <x:c r="M1203" s="40"/>
      <x:c r="N1203" s="31" t="n">
        <x:v>265</x:v>
      </x:c>
      <x:c r="O1203" s="31" t="n">
        <x:v>5095</x:v>
      </x:c>
      <x:c r="P1203" s="31" t="n">
        <x:v>8.964391107613613</x:v>
      </x:c>
      <x:c r="Q1203" s="40" t="n">
        <x:v>0.25809617271835134</x:v>
      </x:c>
      <x:c r="R1203" s="40" t="n">
        <x:v>0.7393523061825319</x:v>
      </x:c>
      <x:c r="S1203" s="40" t="n">
        <x:v>0.19116781157998036</x:v>
      </x:c>
      <x:c r="T1203" s="31" t="n">
        <x:v>88.00247831860204</x:v>
      </x:c>
      <x:c r="U1203" s="31" t="n">
        <x:v>183.61</x:v>
      </x:c>
      <x:c r="V1203" s="31" t="n">
        <x:v>59</x:v>
      </x:c>
      <x:c r="W1203" s="31" t="n">
        <x:v>7.047300525561395</x:v>
      </x:c>
      <x:c r="X1203" s="31" t="n">
        <x:v>2</x:v>
      </x:c>
      <x:c r="Y1203" s="40" t="n">
        <x:v>0</x:v>
      </x:c>
      <x:c r="Z1203" s="40" t="n">
        <x:v>1</x:v>
      </x:c>
      <x:c r="AA1203" s="40" t="n">
        <x:v>0.998233562315996</x:v>
      </x:c>
      <x:c r="AB1203" s="31" t="n">
        <x:v>0.15299510973337774</x:v>
      </x:c>
      <x:c r="AC1203" s="31" t="n">
        <x:v>9</x:v>
      </x:c>
      <x:c r="AD1203" s="44" t="b">
        <x:v>1</x:v>
      </x:c>
    </x:row>
    <x:row r="1204">
      <x:c r="A1204" s="31" t="str">
        <x:v>36061003300</x:v>
      </x:c>
      <x:c r="B1204" s="31" t="str">
        <x:v>Manhattan</x:v>
      </x:c>
      <x:c r="C1204" s="31" t="str">
        <x:v>003300</x:v>
      </x:c>
      <x:c r="D1204" s="31" t="str">
        <x:v>MN0102</x:v>
      </x:c>
      <x:c r="E1204" s="31" t="str">
        <x:v>Tribeca-Civic Center</x:v>
      </x:c>
      <x:c r="F1204" s="31" t="n">
        <x:v>0.13192032145496155</x:v>
      </x:c>
      <x:c r="G1204" s="31" t="n">
        <x:v>40.71886209631986</x:v>
      </x:c>
      <x:c r="H1204" s="31" t="n">
        <x:v>-74.00614634442674</x:v>
      </x:c>
      <x:c r="I1204" s="31" t="n">
        <x:v>6458</x:v>
      </x:c>
      <x:c r="J1204" s="31" t="n">
        <x:v>48953.792173746355</x:v>
      </x:c>
      <x:c r="K1204" s="31"/>
      <x:c r="L1204" s="40"/>
      <x:c r="M1204" s="40"/>
      <x:c r="N1204" s="31" t="n">
        <x:v>271</x:v>
      </x:c>
      <x:c r="O1204" s="31" t="n">
        <x:v>3446</x:v>
      </x:c>
      <x:c r="P1204" s="31" t="n">
        <x:v>17.666279407493466</x:v>
      </x:c>
      <x:c r="Q1204" s="40" t="n">
        <x:v>0.514219384793964</x:v>
      </x:c>
      <x:c r="R1204" s="40" t="n">
        <x:v>0.4834590829947766</x:v>
      </x:c>
      <x:c r="S1204" s="40" t="n">
        <x:v>0.013929193267556587</x:v>
      </x:c>
      <x:c r="T1204" s="31" t="n">
        <x:v>181.93721509240876</x:v>
      </x:c>
      <x:c r="U1204" s="31" t="n">
        <x:v>516.24</x:v>
      </x:c>
      <x:c r="V1204" s="31" t="n">
        <x:v>338</x:v>
      </x:c>
      <x:c r="W1204" s="31" t="n">
        <x:v>52.33818519665531</x:v>
      </x:c>
      <x:c r="X1204" s="31" t="n">
        <x:v>1.8401044689495067</x:v>
      </x:c>
      <x:c r="Y1204" s="40" t="n">
        <x:v>0</x:v>
      </x:c>
      <x:c r="Z1204" s="40" t="n">
        <x:v>1</x:v>
      </x:c>
      <x:c r="AA1204" s="40" t="n">
        <x:v>0.993905977945444</x:v>
      </x:c>
      <x:c r="AB1204" s="31" t="n">
        <x:v>0.29864669430336066</x:v>
      </x:c>
      <x:c r="AC1204" s="31" t="n">
        <x:v>6</x:v>
      </x:c>
      <x:c r="AD1204" s="44" t="b">
        <x:v>1</x:v>
      </x:c>
    </x:row>
    <x:row r="1205">
      <x:c r="A1205" s="31" t="str">
        <x:v>36061003400</x:v>
      </x:c>
      <x:c r="B1205" s="31" t="str">
        <x:v>Manhattan</x:v>
      </x:c>
      <x:c r="C1205" s="31" t="str">
        <x:v>003400</x:v>
      </x:c>
      <x:c r="D1205" s="31" t="str">
        <x:v>MN0303</x:v>
      </x:c>
      <x:c r="E1205" s="31" t="str">
        <x:v>East Village</x:v>
      </x:c>
      <x:c r="F1205" s="31" t="n">
        <x:v>0.06164096845012626</x:v>
      </x:c>
      <x:c r="G1205" s="31" t="n">
        <x:v>40.72900590765185</x:v>
      </x:c>
      <x:c r="H1205" s="31" t="n">
        <x:v>-73.98145767535712</x:v>
      </x:c>
      <x:c r="I1205" s="31" t="n">
        <x:v>7012</x:v>
      </x:c>
      <x:c r="J1205" s="31" t="n">
        <x:v>113755.51319693189</x:v>
      </x:c>
      <x:c r="K1205" s="31"/>
      <x:c r="L1205" s="40"/>
      <x:c r="M1205" s="40"/>
      <x:c r="N1205" s="31" t="n">
        <x:v>299</x:v>
      </x:c>
      <x:c r="O1205" s="31" t="n">
        <x:v>4739</x:v>
      </x:c>
      <x:c r="P1205" s="31" t="n">
        <x:v>5.571443691786621</x:v>
      </x:c>
      <x:c r="Q1205" s="40" t="n">
        <x:v>0</x:v>
      </x:c>
      <x:c r="R1205" s="40" t="n">
        <x:v>0.9964127453049166</x:v>
      </x:c>
      <x:c r="S1205" s="40" t="n">
        <x:v>0.025110782865583457</x:v>
      </x:c>
      <x:c r="T1205" s="31" t="n">
        <x:v>60.61057462708748</x:v>
      </x:c>
      <x:c r="U1205" s="31" t="n">
        <x:v>105</x:v>
      </x:c>
      <x:c r="V1205" s="31" t="n">
        <x:v>65</x:v>
      </x:c>
      <x:c r="W1205" s="31" t="n">
        <x:v>9.269823160296633</x:v>
      </x:c>
      <x:c r="X1205" s="31" t="n">
        <x:v>2</x:v>
      </x:c>
      <x:c r="Y1205" s="40" t="n">
        <x:v>0</x:v>
      </x:c>
      <x:c r="Z1205" s="40" t="n">
        <x:v>1</x:v>
      </x:c>
      <x:c r="AA1205" s="40" t="n">
        <x:v>0.996201730322853</x:v>
      </x:c>
      <x:c r="AB1205" s="31" t="n">
        <x:v>0.05467252989907602</x:v>
      </x:c>
      <x:c r="AC1205" s="31" t="n">
        <x:v>6</x:v>
      </x:c>
      <x:c r="AD1205" s="44" t="b">
        <x:v>1</x:v>
      </x:c>
    </x:row>
    <x:row r="1206">
      <x:c r="A1206" s="31" t="str">
        <x:v>36061003601</x:v>
      </x:c>
      <x:c r="B1206" s="31" t="str">
        <x:v>Manhattan</x:v>
      </x:c>
      <x:c r="C1206" s="31" t="str">
        <x:v>003601</x:v>
      </x:c>
      <x:c r="D1206" s="31" t="str">
        <x:v>MN0302</x:v>
      </x:c>
      <x:c r="E1206" s="31" t="str">
        <x:v>Lower East Side</x:v>
      </x:c>
      <x:c r="F1206" s="31" t="n">
        <x:v>0.038822033028437786</x:v>
      </x:c>
      <x:c r="G1206" s="31" t="n">
        <x:v>40.72231932551375</x:v>
      </x:c>
      <x:c r="H1206" s="31" t="n">
        <x:v>-73.99112716050641</x:v>
      </x:c>
      <x:c r="I1206" s="31" t="n">
        <x:v>3513</x:v>
      </x:c>
      <x:c r="J1206" s="31" t="n">
        <x:v>90489.8514054292</x:v>
      </x:c>
      <x:c r="K1206" s="31"/>
      <x:c r="L1206" s="40"/>
      <x:c r="M1206" s="40"/>
      <x:c r="N1206" s="31" t="n">
        <x:v>73</x:v>
      </x:c>
      <x:c r="O1206" s="31" t="n">
        <x:v>1711</x:v>
      </x:c>
      <x:c r="P1206" s="31" t="n">
        <x:v>9.20134424313267</x:v>
      </x:c>
      <x:c r="Q1206" s="40" t="n">
        <x:v>0.4330800701344243</x:v>
      </x:c>
      <x:c r="R1206" s="40" t="n">
        <x:v>0.5663354763296318</x:v>
      </x:c>
      <x:c r="S1206" s="40" t="n">
        <x:v>0.049094097019286964</x:v>
      </x:c>
      <x:c r="T1206" s="31" t="n">
        <x:v>97.49595681077733</x:v>
      </x:c>
      <x:c r="U1206" s="31" t="n">
        <x:v>321</x:v>
      </x:c>
      <x:c r="V1206" s="31" t="n">
        <x:v>45</x:v>
      </x:c>
      <x:c r="W1206" s="31" t="n">
        <x:v>12.809564474807857</x:v>
      </x:c>
      <x:c r="X1206" s="31" t="n">
        <x:v>3</x:v>
      </x:c>
      <x:c r="Y1206" s="40" t="n">
        <x:v>0</x:v>
      </x:c>
      <x:c r="Z1206" s="40" t="n">
        <x:v>1</x:v>
      </x:c>
      <x:c r="AA1206" s="40" t="n">
        <x:v>1</x:v>
      </x:c>
      <x:c r="AB1206" s="31" t="n">
        <x:v>0.034035669000733765</x:v>
      </x:c>
      <x:c r="AC1206" s="31" t="n">
        <x:v>6</x:v>
      </x:c>
      <x:c r="AD1206" s="44" t="b">
        <x:v>1</x:v>
      </x:c>
    </x:row>
    <x:row r="1207">
      <x:c r="A1207" s="31" t="str">
        <x:v>36061003602</x:v>
      </x:c>
      <x:c r="B1207" s="31" t="str">
        <x:v>Manhattan</x:v>
      </x:c>
      <x:c r="C1207" s="31" t="str">
        <x:v>003602</x:v>
      </x:c>
      <x:c r="D1207" s="31" t="str">
        <x:v>MN0303</x:v>
      </x:c>
      <x:c r="E1207" s="31" t="str">
        <x:v>East Village</x:v>
      </x:c>
      <x:c r="F1207" s="31" t="n">
        <x:v>0.03447366061398789</x:v>
      </x:c>
      <x:c r="G1207" s="31" t="n">
        <x:v>40.7245603764933</x:v>
      </x:c>
      <x:c r="H1207" s="31" t="n">
        <x:v>-73.99020044930231</x:v>
      </x:c>
      <x:c r="I1207" s="31" t="n">
        <x:v>3000</x:v>
      </x:c>
      <x:c r="J1207" s="31" t="n">
        <x:v>87022.96032881209</x:v>
      </x:c>
      <x:c r="K1207" s="31"/>
      <x:c r="L1207" s="40"/>
      <x:c r="M1207" s="40"/>
      <x:c r="N1207" s="31" t="n">
        <x:v>107</x:v>
      </x:c>
      <x:c r="O1207" s="31" t="n">
        <x:v>1823</x:v>
      </x:c>
      <x:c r="P1207" s="31" t="n">
        <x:v>6.294843664289632</x:v>
      </x:c>
      <x:c r="Q1207" s="40" t="n">
        <x:v>0.17224355458036203</x:v>
      </x:c>
      <x:c r="R1207" s="40" t="n">
        <x:v>0.8266593527153044</x:v>
      </x:c>
      <x:c r="S1207" s="40" t="n">
        <x:v>0</x:v>
      </x:c>
      <x:c r="T1207" s="31" t="n">
        <x:v>68.27268946728499</x:v>
      </x:c>
      <x:c r="U1207" s="31" t="n">
        <x:v>219</x:v>
      </x:c>
      <x:c r="V1207" s="31" t="n">
        <x:v>33</x:v>
      </x:c>
      <x:c r="W1207" s="31" t="n">
        <x:v>11</x:v>
      </x:c>
      <x:c r="X1207" s="31" t="n">
        <x:v>2</x:v>
      </x:c>
      <x:c r="Y1207" s="40" t="n">
        <x:v>0</x:v>
      </x:c>
      <x:c r="Z1207" s="40" t="n">
        <x:v>1</x:v>
      </x:c>
      <x:c r="AA1207" s="40" t="n">
        <x:v>0.9758639605046626</x:v>
      </x:c>
      <x:c r="AB1207" s="31" t="n">
        <x:v>0.12259551436359971</x:v>
      </x:c>
      <x:c r="AC1207" s="31" t="n">
        <x:v>7</x:v>
      </x:c>
      <x:c r="AD1207" s="44" t="b">
        <x:v>1</x:v>
      </x:c>
    </x:row>
    <x:row r="1208">
      <x:c r="A1208" s="31" t="str">
        <x:v>36061003700</x:v>
      </x:c>
      <x:c r="B1208" s="31" t="str">
        <x:v>Manhattan</x:v>
      </x:c>
      <x:c r="C1208" s="31" t="str">
        <x:v>003700</x:v>
      </x:c>
      <x:c r="D1208" s="31" t="str">
        <x:v>MN0201</x:v>
      </x:c>
      <x:c r="E1208" s="31" t="str">
        <x:v>SoHo-Little Italy-Hudson Square</x:v>
      </x:c>
      <x:c r="F1208" s="31" t="n">
        <x:v>0.14765425980866909</x:v>
      </x:c>
      <x:c r="G1208" s="31" t="n">
        <x:v>40.72627855876228</x:v>
      </x:c>
      <x:c r="H1208" s="31" t="n">
        <x:v>-74.00748678440179</x:v>
      </x:c>
      <x:c r="I1208" s="31" t="n">
        <x:v>3092</x:v>
      </x:c>
      <x:c r="J1208" s="31" t="n">
        <x:v>20940.81135218601</x:v>
      </x:c>
      <x:c r="K1208" s="31"/>
      <x:c r="L1208" s="40"/>
      <x:c r="M1208" s="40"/>
      <x:c r="N1208" s="31" t="n">
        <x:v>148</x:v>
      </x:c>
      <x:c r="O1208" s="31" t="n">
        <x:v>2681</x:v>
      </x:c>
      <x:c r="P1208" s="31" t="n">
        <x:v>13.190134278254384</x:v>
      </x:c>
      <x:c r="Q1208" s="40" t="n">
        <x:v>0.6154419992540097</x:v>
      </x:c>
      <x:c r="R1208" s="40" t="n">
        <x:v>0.37784408802685565</x:v>
      </x:c>
      <x:c r="S1208" s="40" t="n">
        <x:v>0.00484893696381947</x:v>
      </x:c>
      <x:c r="T1208" s="31" t="n">
        <x:v>149.62068800414337</x:v>
      </x:c>
      <x:c r="U1208" s="31" t="n">
        <x:v>482.85041089</x:v>
      </x:c>
      <x:c r="V1208" s="31" t="n">
        <x:v>118</x:v>
      </x:c>
      <x:c r="W1208" s="31" t="n">
        <x:v>38.16300129366106</x:v>
      </x:c>
      <x:c r="X1208" s="31" t="n">
        <x:v>1.5400969787392764</x:v>
      </x:c>
      <x:c r="Y1208" s="40" t="n">
        <x:v>0</x:v>
      </x:c>
      <x:c r="Z1208" s="40" t="n">
        <x:v>1</x:v>
      </x:c>
      <x:c r="AA1208" s="40" t="n">
        <x:v>0.9731443491234614</x:v>
      </x:c>
      <x:c r="AB1208" s="31" t="n">
        <x:v>0.17039287055371152</x:v>
      </x:c>
      <x:c r="AC1208" s="31" t="n">
        <x:v>7</x:v>
      </x:c>
      <x:c r="AD1208" s="44" t="b">
        <x:v>1</x:v>
      </x:c>
    </x:row>
    <x:row r="1209">
      <x:c r="A1209" s="31" t="str">
        <x:v>36061003800</x:v>
      </x:c>
      <x:c r="B1209" s="31" t="str">
        <x:v>Manhattan</x:v>
      </x:c>
      <x:c r="C1209" s="31" t="str">
        <x:v>003800</x:v>
      </x:c>
      <x:c r="D1209" s="31" t="str">
        <x:v>MN0303</x:v>
      </x:c>
      <x:c r="E1209" s="31" t="str">
        <x:v>East Village</x:v>
      </x:c>
      <x:c r="F1209" s="31" t="n">
        <x:v>0.07819844254978764</x:v>
      </x:c>
      <x:c r="G1209" s="31" t="n">
        <x:v>40.72735929087056</x:v>
      </x:c>
      <x:c r="H1209" s="31" t="n">
        <x:v>-73.98845488289894</x:v>
      </x:c>
      <x:c r="I1209" s="31" t="n">
        <x:v>9070</x:v>
      </x:c>
      <x:c r="J1209" s="31" t="n">
        <x:v>115986.9647560472</x:v>
      </x:c>
      <x:c r="K1209" s="31"/>
      <x:c r="L1209" s="40"/>
      <x:c r="M1209" s="40"/>
      <x:c r="N1209" s="31" t="n">
        <x:v>393</x:v>
      </x:c>
      <x:c r="O1209" s="31" t="n">
        <x:v>5767</x:v>
      </x:c>
      <x:c r="P1209" s="31" t="n">
        <x:v>5.816050026055237</x:v>
      </x:c>
      <x:c r="Q1209" s="40" t="n">
        <x:v>0.06554534419975724</x:v>
      </x:c>
      <x:c r="R1209" s="40" t="n">
        <x:v>0.9294260447372984</x:v>
      </x:c>
      <x:c r="S1209" s="40" t="n">
        <x:v>0.012484827466620427</x:v>
      </x:c>
      <x:c r="T1209" s="31" t="n">
        <x:v>66.66696150769205</x:v>
      </x:c>
      <x:c r="U1209" s="31" t="n">
        <x:v>241</x:v>
      </x:c>
      <x:c r="V1209" s="31" t="n">
        <x:v>57</x:v>
      </x:c>
      <x:c r="W1209" s="31" t="n">
        <x:v>6.284454244762955</x:v>
      </x:c>
      <x:c r="X1209" s="31" t="n">
        <x:v>2</x:v>
      </x:c>
      <x:c r="Y1209" s="40" t="n">
        <x:v>0</x:v>
      </x:c>
      <x:c r="Z1209" s="40" t="n">
        <x:v>1</x:v>
      </x:c>
      <x:c r="AA1209" s="40" t="n">
        <x:v>0.9954915900814982</x:v>
      </x:c>
      <x:c r="AB1209" s="31" t="n">
        <x:v>0.11356065598714081</x:v>
      </x:c>
      <x:c r="AC1209" s="31" t="n">
        <x:v>9</x:v>
      </x:c>
      <x:c r="AD1209" s="44" t="b">
        <x:v>1</x:v>
      </x:c>
    </x:row>
    <x:row r="1210">
      <x:c r="A1210" s="31" t="str">
        <x:v>36061003900</x:v>
      </x:c>
      <x:c r="B1210" s="31" t="str">
        <x:v>Manhattan</x:v>
      </x:c>
      <x:c r="C1210" s="31" t="str">
        <x:v>003900</x:v>
      </x:c>
      <x:c r="D1210" s="31" t="str">
        <x:v>MN0102</x:v>
      </x:c>
      <x:c r="E1210" s="31" t="str">
        <x:v>Tribeca-Civic Center</x:v>
      </x:c>
      <x:c r="F1210" s="31" t="n">
        <x:v>0.12809222975099002</x:v>
      </x:c>
      <x:c r="G1210" s="31" t="n">
        <x:v>40.7207954721669</x:v>
      </x:c>
      <x:c r="H1210" s="31" t="n">
        <x:v>-74.01078077300448</x:v>
      </x:c>
      <x:c r="I1210" s="31" t="n">
        <x:v>7036</x:v>
      </x:c>
      <x:c r="J1210" s="31" t="n">
        <x:v>54929.17106430196</x:v>
      </x:c>
      <x:c r="K1210" s="31"/>
      <x:c r="L1210" s="40"/>
      <x:c r="M1210" s="40"/>
      <x:c r="N1210" s="31" t="n">
        <x:v>194</x:v>
      </x:c>
      <x:c r="O1210" s="31" t="n">
        <x:v>3561</x:v>
      </x:c>
      <x:c r="P1210" s="31" t="n">
        <x:v>20.787398137369035</x:v>
      </x:c>
      <x:c r="Q1210" s="40" t="n">
        <x:v>0.6717214265655714</x:v>
      </x:c>
      <x:c r="R1210" s="40" t="n">
        <x:v>0.2898062342038753</x:v>
      </x:c>
      <x:c r="S1210" s="40" t="n">
        <x:v>0.38247683235046337</x:v>
      </x:c>
      <x:c r="T1210" s="31" t="n">
        <x:v>207.84514450439482</x:v>
      </x:c>
      <x:c r="U1210" s="31" t="n">
        <x:v>376.89</x:v>
      </x:c>
      <x:c r="V1210" s="31" t="n">
        <x:v>255</x:v>
      </x:c>
      <x:c r="W1210" s="31" t="n">
        <x:v>36.242183058555995</x:v>
      </x:c>
      <x:c r="X1210" s="31" t="n">
        <x:v>2</x:v>
      </x:c>
      <x:c r="Y1210" s="40" t="n">
        <x:v>0</x:v>
      </x:c>
      <x:c r="Z1210" s="40" t="n">
        <x:v>1</x:v>
      </x:c>
      <x:c r="AA1210" s="40" t="n">
        <x:v>1</x:v>
      </x:c>
      <x:c r="AB1210" s="31" t="n">
        <x:v>0.15287728997413358</x:v>
      </x:c>
      <x:c r="AC1210" s="31" t="n">
        <x:v>4</x:v>
      </x:c>
      <x:c r="AD1210" s="44" t="b">
        <x:v>1</x:v>
      </x:c>
    </x:row>
    <x:row r="1211">
      <x:c r="A1211" s="31" t="str">
        <x:v>36061004001</x:v>
      </x:c>
      <x:c r="B1211" s="31" t="str">
        <x:v>Manhattan</x:v>
      </x:c>
      <x:c r="C1211" s="31" t="str">
        <x:v>004001</x:v>
      </x:c>
      <x:c r="D1211" s="31" t="str">
        <x:v>MN0303</x:v>
      </x:c>
      <x:c r="E1211" s="31" t="str">
        <x:v>East Village</x:v>
      </x:c>
      <x:c r="F1211" s="31" t="n">
        <x:v>0.035691650468570646</x:v>
      </x:c>
      <x:c r="G1211" s="31" t="n">
        <x:v>40.73026447894099</x:v>
      </x:c>
      <x:c r="H1211" s="31" t="n">
        <x:v>-73.98490213010388</x:v>
      </x:c>
      <x:c r="I1211" s="31" t="n">
        <x:v>3743</x:v>
      </x:c>
      <x:c r="J1211" s="31" t="n">
        <x:v>104870.46552515164</x:v>
      </x:c>
      <x:c r="K1211" s="31"/>
      <x:c r="L1211" s="40"/>
      <x:c r="M1211" s="40"/>
      <x:c r="N1211" s="31" t="n">
        <x:v>139</x:v>
      </x:c>
      <x:c r="O1211" s="31" t="n">
        <x:v>2410</x:v>
      </x:c>
      <x:c r="P1211" s="31" t="n">
        <x:v>6.521369294605809</x:v>
      </x:c>
      <x:c r="Q1211" s="40" t="n">
        <x:v>0.11203319502074689</x:v>
      </x:c>
      <x:c r="R1211" s="40" t="n">
        <x:v>0.8879668049792531</x:v>
      </x:c>
      <x:c r="S1211" s="40" t="n">
        <x:v>0.04730290456431535</x:v>
      </x:c>
      <x:c r="T1211" s="31" t="n">
        <x:v>74.80684501258091</x:v>
      </x:c>
      <x:c r="U1211" s="31" t="n">
        <x:v>205.89</x:v>
      </x:c>
      <x:c r="V1211" s="31" t="n">
        <x:v>21</x:v>
      </x:c>
      <x:c r="W1211" s="31" t="n">
        <x:v>5.6104728827144</x:v>
      </x:c>
      <x:c r="X1211" s="31" t="n">
        <x:v>2</x:v>
      </x:c>
      <x:c r="Y1211" s="40" t="n">
        <x:v>0</x:v>
      </x:c>
      <x:c r="Z1211" s="40" t="n">
        <x:v>1</x:v>
      </x:c>
      <x:c r="AA1211" s="40" t="n">
        <x:v>1</x:v>
      </x:c>
      <x:c r="AB1211" s="31" t="n">
        <x:v>0.043358170009401904</x:v>
      </x:c>
      <x:c r="AC1211" s="31" t="n">
        <x:v>6</x:v>
      </x:c>
      <x:c r="AD1211" s="44" t="b">
        <x:v>1</x:v>
      </x:c>
    </x:row>
    <x:row r="1212">
      <x:c r="A1212" s="31" t="str">
        <x:v>36061004002</x:v>
      </x:c>
      <x:c r="B1212" s="31" t="str">
        <x:v>Manhattan</x:v>
      </x:c>
      <x:c r="C1212" s="31" t="str">
        <x:v>004002</x:v>
      </x:c>
      <x:c r="D1212" s="31" t="str">
        <x:v>MN0303</x:v>
      </x:c>
      <x:c r="E1212" s="31" t="str">
        <x:v>East Village</x:v>
      </x:c>
      <x:c r="F1212" s="31" t="n">
        <x:v>0.0334528160226914</x:v>
      </x:c>
      <x:c r="G1212" s="31" t="n">
        <x:v>40.73124229637705</x:v>
      </x:c>
      <x:c r="H1212" s="31" t="n">
        <x:v>-73.98720896594332</x:v>
      </x:c>
      <x:c r="I1212" s="31" t="n">
        <x:v>5090</x:v>
      </x:c>
      <x:c r="J1212" s="31" t="n">
        <x:v>152154.6047587563</x:v>
      </x:c>
      <x:c r="K1212" s="31"/>
      <x:c r="L1212" s="40"/>
      <x:c r="M1212" s="40"/>
      <x:c r="N1212" s="31" t="n">
        <x:v>135</x:v>
      </x:c>
      <x:c r="O1212" s="31" t="n">
        <x:v>2337</x:v>
      </x:c>
      <x:c r="P1212" s="31" t="n">
        <x:v>7.085365853658536</x:v>
      </x:c>
      <x:c r="Q1212" s="40" t="n">
        <x:v>0.17458279845956354</x:v>
      </x:c>
      <x:c r="R1212" s="40" t="n">
        <x:v>0.8249893025246042</x:v>
      </x:c>
      <x:c r="S1212" s="40" t="n">
        <x:v>0.0599058622165169</x:v>
      </x:c>
      <x:c r="T1212" s="31" t="n">
        <x:v>80.90191936897457</x:v>
      </x:c>
      <x:c r="U1212" s="31" t="n">
        <x:v>210</x:v>
      </x:c>
      <x:c r="V1212" s="31" t="n">
        <x:v>51</x:v>
      </x:c>
      <x:c r="W1212" s="31" t="n">
        <x:v>10.019646365422398</x:v>
      </x:c>
      <x:c r="X1212" s="31" t="n">
        <x:v>2</x:v>
      </x:c>
      <x:c r="Y1212" s="40" t="n">
        <x:v>0</x:v>
      </x:c>
      <x:c r="Z1212" s="40" t="n">
        <x:v>1</x:v>
      </x:c>
      <x:c r="AA1212" s="40" t="n">
        <x:v>0.9764655541292255</x:v>
      </x:c>
      <x:c r="AB1212" s="31" t="n">
        <x:v>0.16279923939543267</x:v>
      </x:c>
      <x:c r="AC1212" s="31" t="n">
        <x:v>5</x:v>
      </x:c>
      <x:c r="AD1212" s="44" t="b">
        <x:v>1</x:v>
      </x:c>
    </x:row>
    <x:row r="1213">
      <x:c r="A1213" s="31" t="str">
        <x:v>36061004100</x:v>
      </x:c>
      <x:c r="B1213" s="31" t="str">
        <x:v>Manhattan</x:v>
      </x:c>
      <x:c r="C1213" s="31" t="str">
        <x:v>004100</x:v>
      </x:c>
      <x:c r="D1213" s="31" t="str">
        <x:v>MN0201</x:v>
      </x:c>
      <x:c r="E1213" s="31" t="str">
        <x:v>SoHo-Little Italy-Hudson Square</x:v>
      </x:c>
      <x:c r="F1213" s="31" t="n">
        <x:v>0.07384253801509412</x:v>
      </x:c>
      <x:c r="G1213" s="31" t="n">
        <x:v>40.71916366693515</x:v>
      </x:c>
      <x:c r="H1213" s="31" t="n">
        <x:v>-73.99669600074398</x:v>
      </x:c>
      <x:c r="I1213" s="31" t="n">
        <x:v>7523</x:v>
      </x:c>
      <x:c r="J1213" s="31" t="n">
        <x:v>101878.94677268849</x:v>
      </x:c>
      <x:c r="K1213" s="31"/>
      <x:c r="L1213" s="40"/>
      <x:c r="M1213" s="40"/>
      <x:c r="N1213" s="31" t="n">
        <x:v>265</x:v>
      </x:c>
      <x:c r="O1213" s="31" t="n">
        <x:v>4079</x:v>
      </x:c>
      <x:c r="P1213" s="31" t="n">
        <x:v>5.915113998529051</x:v>
      </x:c>
      <x:c r="Q1213" s="40" t="n">
        <x:v>0.028928658985045354</x:v>
      </x:c>
      <x:c r="R1213" s="40" t="n">
        <x:v>0.9691100759990193</x:v>
      </x:c>
      <x:c r="S1213" s="40" t="n">
        <x:v>0.003432213777886737</x:v>
      </x:c>
      <x:c r="T1213" s="31" t="n">
        <x:v>68.5079384751753</x:v>
      </x:c>
      <x:c r="U1213" s="31" t="n">
        <x:v>180</x:v>
      </x:c>
      <x:c r="V1213" s="31" t="n">
        <x:v>75</x:v>
      </x:c>
      <x:c r="W1213" s="31" t="n">
        <x:v>9.969427090256547</x:v>
      </x:c>
      <x:c r="X1213" s="31" t="n">
        <x:v>2</x:v>
      </x:c>
      <x:c r="Y1213" s="40" t="n">
        <x:v>0</x:v>
      </x:c>
      <x:c r="Z1213" s="40" t="n">
        <x:v>1</x:v>
      </x:c>
      <x:c r="AA1213" s="40" t="n">
        <x:v>1</x:v>
      </x:c>
      <x:c r="AB1213" s="31" t="n">
        <x:v>0.09160294042317889</x:v>
      </x:c>
      <x:c r="AC1213" s="31" t="n">
        <x:v>7</x:v>
      </x:c>
      <x:c r="AD1213" s="44" t="b">
        <x:v>1</x:v>
      </x:c>
    </x:row>
    <x:row r="1214">
      <x:c r="A1214" s="31" t="str">
        <x:v>36061004200</x:v>
      </x:c>
      <x:c r="B1214" s="31" t="str">
        <x:v>Manhattan</x:v>
      </x:c>
      <x:c r="C1214" s="31" t="str">
        <x:v>004200</x:v>
      </x:c>
      <x:c r="D1214" s="31" t="str">
        <x:v>MN0303</x:v>
      </x:c>
      <x:c r="E1214" s="31" t="str">
        <x:v>East Village</x:v>
      </x:c>
      <x:c r="F1214" s="31" t="n">
        <x:v>0.03349761679952938</x:v>
      </x:c>
      <x:c r="G1214" s="31" t="n">
        <x:v>40.73175268652924</x:v>
      </x:c>
      <x:c r="H1214" s="31" t="n">
        <x:v>-73.98939034051546</x:v>
      </x:c>
      <x:c r="I1214" s="31" t="n">
        <x:v>5216</x:v>
      </x:c>
      <x:c r="J1214" s="31" t="n">
        <x:v>155712.56997821055</x:v>
      </x:c>
      <x:c r="K1214" s="31"/>
      <x:c r="L1214" s="40"/>
      <x:c r="M1214" s="40"/>
      <x:c r="N1214" s="31" t="n">
        <x:v>52</x:v>
      </x:c>
      <x:c r="O1214" s="31" t="n">
        <x:v>2144</x:v>
      </x:c>
      <x:c r="P1214" s="31" t="n">
        <x:v>12.629664179104477</x:v>
      </x:c>
      <x:c r="Q1214" s="40" t="n">
        <x:v>0.625</x:v>
      </x:c>
      <x:c r="R1214" s="40" t="n">
        <x:v>0.37453358208955223</x:v>
      </x:c>
      <x:c r="S1214" s="40" t="n">
        <x:v>0.0065298507462686565</x:v>
      </x:c>
      <x:c r="T1214" s="31" t="n">
        <x:v>130.77146286182077</x:v>
      </x:c>
      <x:c r="U1214" s="31" t="n">
        <x:v>237</x:v>
      </x:c>
      <x:c r="V1214" s="31" t="n">
        <x:v>49</x:v>
      </x:c>
      <x:c r="W1214" s="31" t="n">
        <x:v>9.394171779141104</x:v>
      </x:c>
      <x:c r="X1214" s="31" t="n">
        <x:v>2</x:v>
      </x:c>
      <x:c r="Y1214" s="40" t="n">
        <x:v>0</x:v>
      </x:c>
      <x:c r="Z1214" s="40" t="n">
        <x:v>1</x:v>
      </x:c>
      <x:c r="AA1214" s="40" t="n">
        <x:v>0.9785447761194029</x:v>
      </x:c>
      <x:c r="AB1214" s="31" t="n">
        <x:v>0.2126402562384676</x:v>
      </x:c>
      <x:c r="AC1214" s="31" t="n">
        <x:v>7</x:v>
      </x:c>
      <x:c r="AD1214" s="44" t="b">
        <x:v>1</x:v>
      </x:c>
    </x:row>
    <x:row r="1215">
      <x:c r="A1215" s="31" t="str">
        <x:v>36061004300</x:v>
      </x:c>
      <x:c r="B1215" s="31" t="str">
        <x:v>Manhattan</x:v>
      </x:c>
      <x:c r="C1215" s="31" t="str">
        <x:v>004300</x:v>
      </x:c>
      <x:c r="D1215" s="31" t="str">
        <x:v>MN0201</x:v>
      </x:c>
      <x:c r="E1215" s="31" t="str">
        <x:v>SoHo-Little Italy-Hudson Square</x:v>
      </x:c>
      <x:c r="F1215" s="31" t="n">
        <x:v>0.05759243743973829</x:v>
      </x:c>
      <x:c r="G1215" s="31" t="n">
        <x:v>40.723324396693656</x:v>
      </x:c>
      <x:c r="H1215" s="31" t="n">
        <x:v>-73.99546719978427</x:v>
      </x:c>
      <x:c r="I1215" s="31" t="n">
        <x:v>4158</x:v>
      </x:c>
      <x:c r="J1215" s="31" t="n">
        <x:v>72196.97906258462</x:v>
      </x:c>
      <x:c r="K1215" s="31"/>
      <x:c r="L1215" s="40"/>
      <x:c r="M1215" s="40"/>
      <x:c r="N1215" s="31" t="n">
        <x:v>187</x:v>
      </x:c>
      <x:c r="O1215" s="31" t="n">
        <x:v>2686</x:v>
      </x:c>
      <x:c r="P1215" s="31" t="n">
        <x:v>6.187640871525169</x:v>
      </x:c>
      <x:c r="Q1215" s="40" t="n">
        <x:v>0.08711839166046165</x:v>
      </x:c>
      <x:c r="R1215" s="40" t="n">
        <x:v>0.9017125837676843</x:v>
      </x:c>
      <x:c r="S1215" s="40" t="n">
        <x:v>0.045420699925539834</x:v>
      </x:c>
      <x:c r="T1215" s="31" t="n">
        <x:v>70.83851066299738</x:v>
      </x:c>
      <x:c r="U1215" s="31" t="n">
        <x:v>171.5</x:v>
      </x:c>
      <x:c r="V1215" s="31" t="n">
        <x:v>97</x:v>
      </x:c>
      <x:c r="W1215" s="31" t="n">
        <x:v>23.328523328523328</x:v>
      </x:c>
      <x:c r="X1215" s="31" t="n">
        <x:v>2</x:v>
      </x:c>
      <x:c r="Y1215" s="40" t="n">
        <x:v>0</x:v>
      </x:c>
      <x:c r="Z1215" s="40" t="n">
        <x:v>1</x:v>
      </x:c>
      <x:c r="AA1215" s="40" t="n">
        <x:v>0.9936708860759493</x:v>
      </x:c>
      <x:c r="AB1215" s="31" t="n">
        <x:v>0.05346647058168916</x:v>
      </x:c>
      <x:c r="AC1215" s="31" t="n">
        <x:v>8</x:v>
      </x:c>
      <x:c r="AD1215" s="44" t="b">
        <x:v>1</x:v>
      </x:c>
    </x:row>
    <x:row r="1216">
      <x:c r="A1216" s="31" t="str">
        <x:v>36061004400</x:v>
      </x:c>
      <x:c r="B1216" s="31" t="str">
        <x:v>Manhattan</x:v>
      </x:c>
      <x:c r="C1216" s="31" t="str">
        <x:v>004400</x:v>
      </x:c>
      <x:c r="D1216" s="31" t="str">
        <x:v>MN0601</x:v>
      </x:c>
      <x:c r="E1216" s="31" t="str">
        <x:v>Stuyvesant Town-Peter Cooper Village</x:v>
      </x:c>
      <x:c r="F1216" s="31" t="n">
        <x:v>0.1534462053625746</x:v>
      </x:c>
      <x:c r="G1216" s="31" t="n">
        <x:v>40.73094816942657</x:v>
      </x:c>
      <x:c r="H1216" s="31" t="n">
        <x:v>-73.97658202347692</x:v>
      </x:c>
      <x:c r="I1216" s="31" t="n">
        <x:v>17222</x:v>
      </x:c>
      <x:c r="J1216" s="31" t="n">
        <x:v>112234.77282678006</x:v>
      </x:c>
      <x:c r="K1216" s="31"/>
      <x:c r="L1216" s="40"/>
      <x:c r="M1216" s="40"/>
      <x:c r="N1216" s="31" t="n">
        <x:v>1</x:v>
      </x:c>
      <x:c r="O1216" s="31" t="n">
        <x:v>8764</x:v>
      </x:c>
      <x:c r="P1216" s="31" t="n">
        <x:v>13</x:v>
      </x:c>
      <x:c r="Q1216" s="40" t="n">
        <x:v>1</x:v>
      </x:c>
      <x:c r="R1216" s="40" t="n">
        <x:v>0</x:v>
      </x:c>
      <x:c r="S1216" s="40" t="n">
        <x:v>1</x:v>
      </x:c>
      <x:c r="T1216" s="31" t="n">
        <x:v>162</x:v>
      </x:c>
      <x:c r="U1216" s="31" t="n">
        <x:v>162</x:v>
      </x:c>
      <x:c r="V1216" s="31" t="n">
        <x:v>187</x:v>
      </x:c>
      <x:c r="W1216" s="31" t="n">
        <x:v>10.858204621995123</x:v>
      </x:c>
      <x:c r="X1216" s="31" t="n">
        <x:v>2</x:v>
      </x:c>
      <x:c r="Y1216" s="40" t="n">
        <x:v>0</x:v>
      </x:c>
      <x:c r="Z1216" s="40" t="n">
        <x:v>1</x:v>
      </x:c>
      <x:c r="AA1216" s="40" t="n">
        <x:v>1</x:v>
      </x:c>
      <x:c r="AB1216" s="31" t="n">
        <x:v>0.16354142529472135</x:v>
      </x:c>
      <x:c r="AC1216" s="31" t="n">
        <x:v>8</x:v>
      </x:c>
      <x:c r="AD1216" s="44" t="b">
        <x:v>1</x:v>
      </x:c>
    </x:row>
    <x:row r="1217">
      <x:c r="A1217" s="31" t="str">
        <x:v>36061004500</x:v>
      </x:c>
      <x:c r="B1217" s="31" t="str">
        <x:v>Manhattan</x:v>
      </x:c>
      <x:c r="C1217" s="31" t="str">
        <x:v>004500</x:v>
      </x:c>
      <x:c r="D1217" s="31" t="str">
        <x:v>MN0201</x:v>
      </x:c>
      <x:c r="E1217" s="31" t="str">
        <x:v>SoHo-Little Italy-Hudson Square</x:v>
      </x:c>
      <x:c r="F1217" s="31" t="n">
        <x:v>0.04051611273817723</x:v>
      </x:c>
      <x:c r="G1217" s="31" t="n">
        <x:v>40.72057031667795</x:v>
      </x:c>
      <x:c r="H1217" s="31" t="n">
        <x:v>-73.99939084550995</x:v>
      </x:c>
      <x:c r="I1217" s="31" t="n">
        <x:v>1093</x:v>
      </x:c>
      <x:c r="J1217" s="31" t="n">
        <x:v>26976.92167714046</x:v>
      </x:c>
      <x:c r="K1217" s="31"/>
      <x:c r="L1217" s="40"/>
      <x:c r="M1217" s="40"/>
      <x:c r="N1217" s="31" t="n">
        <x:v>62</x:v>
      </x:c>
      <x:c r="O1217" s="31" t="n">
        <x:v>614</x:v>
      </x:c>
      <x:c r="P1217" s="31" t="n">
        <x:v>7.414754098360656</x:v>
      </x:c>
      <x:c r="Q1217" s="40" t="n">
        <x:v>0.2736156351791531</x:v>
      </x:c>
      <x:c r="R1217" s="40" t="n">
        <x:v>0.7198697068403909</x:v>
      </x:c>
      <x:c r="S1217" s="40" t="n">
        <x:v>0</x:v>
      </x:c>
      <x:c r="T1217" s="31" t="n">
        <x:v>102.98138996306533</x:v>
      </x:c>
      <x:c r="U1217" s="31" t="n">
        <x:v>199</x:v>
      </x:c>
      <x:c r="V1217" s="31" t="n">
        <x:v>77</x:v>
      </x:c>
      <x:c r="W1217" s="31" t="n">
        <x:v>70.44830741079596</x:v>
      </x:c>
      <x:c r="X1217" s="31" t="n">
        <x:v>2</x:v>
      </x:c>
      <x:c r="Y1217" s="40" t="n">
        <x:v>0</x:v>
      </x:c>
      <x:c r="Z1217" s="40" t="n">
        <x:v>1</x:v>
      </x:c>
      <x:c r="AA1217" s="40" t="n">
        <x:v>0.9723127035830619</x:v>
      </x:c>
      <x:c r="AB1217" s="31" t="n">
        <x:v>0.14026875618362333</x:v>
      </x:c>
      <x:c r="AC1217" s="31" t="n">
        <x:v>7</x:v>
      </x:c>
      <x:c r="AD1217" s="44" t="b">
        <x:v>1</x:v>
      </x:c>
    </x:row>
    <x:row r="1218">
      <x:c r="A1218" s="31" t="str">
        <x:v>36061004700</x:v>
      </x:c>
      <x:c r="B1218" s="31" t="str">
        <x:v>Manhattan</x:v>
      </x:c>
      <x:c r="C1218" s="31" t="str">
        <x:v>004700</x:v>
      </x:c>
      <x:c r="D1218" s="31" t="str">
        <x:v>MN0201</x:v>
      </x:c>
      <x:c r="E1218" s="31" t="str">
        <x:v>SoHo-Little Italy-Hudson Square</x:v>
      </x:c>
      <x:c r="F1218" s="31" t="n">
        <x:v>0.06386847834057909</x:v>
      </x:c>
      <x:c r="G1218" s="31" t="n">
        <x:v>40.72241865451153</x:v>
      </x:c>
      <x:c r="H1218" s="31" t="n">
        <x:v>-74.00286271540917</x:v>
      </x:c>
      <x:c r="I1218" s="31" t="n">
        <x:v>2644</x:v>
      </x:c>
      <x:c r="J1218" s="31" t="n">
        <x:v>41397.57308606685</x:v>
      </x:c>
      <x:c r="K1218" s="31"/>
      <x:c r="L1218" s="40"/>
      <x:c r="M1218" s="40"/>
      <x:c r="N1218" s="31" t="n">
        <x:v>195</x:v>
      </x:c>
      <x:c r="O1218" s="31" t="n">
        <x:v>1927</x:v>
      </x:c>
      <x:c r="P1218" s="31" t="n">
        <x:v>6.37065386611313</x:v>
      </x:c>
      <x:c r="Q1218" s="40" t="n">
        <x:v>0.1167618059159315</x:v>
      </x:c>
      <x:c r="R1218" s="40" t="n">
        <x:v>0.8822003113648158</x:v>
      </x:c>
      <x:c r="S1218" s="40" t="n">
        <x:v>0.043591074208614425</x:v>
      </x:c>
      <x:c r="T1218" s="31" t="n">
        <x:v>82.38044307644006</x:v>
      </x:c>
      <x:c r="U1218" s="31" t="n">
        <x:v>225</x:v>
      </x:c>
      <x:c r="V1218" s="31" t="n">
        <x:v>167</x:v>
      </x:c>
      <x:c r="W1218" s="31" t="n">
        <x:v>63.16187594553707</x:v>
      </x:c>
      <x:c r="X1218" s="31" t="n">
        <x:v>2</x:v>
      </x:c>
      <x:c r="Y1218" s="40" t="n">
        <x:v>0</x:v>
      </x:c>
      <x:c r="Z1218" s="40" t="n">
        <x:v>1</x:v>
      </x:c>
      <x:c r="AA1218" s="40" t="n">
        <x:v>1</x:v>
      </x:c>
      <x:c r="AB1218" s="31" t="n">
        <x:v>0.16814391123638522</x:v>
      </x:c>
      <x:c r="AC1218" s="31" t="n">
        <x:v>5</x:v>
      </x:c>
      <x:c r="AD1218" s="44" t="b">
        <x:v>1</x:v>
      </x:c>
    </x:row>
    <x:row r="1219">
      <x:c r="A1219" s="31" t="str">
        <x:v>36061004800</x:v>
      </x:c>
      <x:c r="B1219" s="31" t="str">
        <x:v>Manhattan</x:v>
      </x:c>
      <x:c r="C1219" s="31" t="str">
        <x:v>004800</x:v>
      </x:c>
      <x:c r="D1219" s="31" t="str">
        <x:v>MN0602</x:v>
      </x:c>
      <x:c r="E1219" s="31" t="str">
        <x:v>Gramercy</x:v>
      </x:c>
      <x:c r="F1219" s="31" t="n">
        <x:v>0.06890109163761192</x:v>
      </x:c>
      <x:c r="G1219" s="31" t="n">
        <x:v>40.733840850346105</x:v>
      </x:c>
      <x:c r="H1219" s="31" t="n">
        <x:v>-73.98369524685276</x:v>
      </x:c>
      <x:c r="I1219" s="31" t="n">
        <x:v>6955</x:v>
      </x:c>
      <x:c r="J1219" s="31" t="n">
        <x:v>100941.79692507783</x:v>
      </x:c>
      <x:c r="K1219" s="31"/>
      <x:c r="L1219" s="40"/>
      <x:c r="M1219" s="40"/>
      <x:c r="N1219" s="31" t="n">
        <x:v>213</x:v>
      </x:c>
      <x:c r="O1219" s="31" t="n">
        <x:v>4269</x:v>
      </x:c>
      <x:c r="P1219" s="31" t="n">
        <x:v>12.208167096925605</x:v>
      </x:c>
      <x:c r="Q1219" s="40" t="n">
        <x:v>0.5427500585617241</x:v>
      </x:c>
      <x:c r="R1219" s="40" t="n">
        <x:v>0.4530334973061607</x:v>
      </x:c>
      <x:c r="S1219" s="40" t="n">
        <x:v>0.007027406886858749</x:v>
      </x:c>
      <x:c r="T1219" s="31" t="n">
        <x:v>117.44759346900142</x:v>
      </x:c>
      <x:c r="U1219" s="31" t="n">
        <x:v>281.27</x:v>
      </x:c>
      <x:c r="V1219" s="31" t="n">
        <x:v>62</x:v>
      </x:c>
      <x:c r="W1219" s="31" t="n">
        <x:v>8.914450035945364</x:v>
      </x:c>
      <x:c r="X1219" s="31" t="n">
        <x:v>2</x:v>
      </x:c>
      <x:c r="Y1219" s="40" t="n">
        <x:v>0</x:v>
      </x:c>
      <x:c r="Z1219" s="40" t="n">
        <x:v>1</x:v>
      </x:c>
      <x:c r="AA1219" s="40" t="n">
        <x:v>0.9899273834621691</x:v>
      </x:c>
      <x:c r="AB1219" s="31" t="n">
        <x:v>0.08577492752150148</x:v>
      </x:c>
      <x:c r="AC1219" s="31" t="n">
        <x:v>7</x:v>
      </x:c>
      <x:c r="AD1219" s="44" t="b">
        <x:v>1</x:v>
      </x:c>
    </x:row>
    <x:row r="1220">
      <x:c r="A1220" s="31" t="str">
        <x:v>36061004900</x:v>
      </x:c>
      <x:c r="B1220" s="31" t="str">
        <x:v>Manhattan</x:v>
      </x:c>
      <x:c r="C1220" s="31" t="str">
        <x:v>004900</x:v>
      </x:c>
      <x:c r="D1220" s="31" t="str">
        <x:v>MN0201</x:v>
      </x:c>
      <x:c r="E1220" s="31" t="str">
        <x:v>SoHo-Little Italy-Hudson Square</x:v>
      </x:c>
      <x:c r="F1220" s="31" t="n">
        <x:v>0.07985122040755567</x:v>
      </x:c>
      <x:c r="G1220" s="31" t="n">
        <x:v>40.7250570977314</x:v>
      </x:c>
      <x:c r="H1220" s="31" t="n">
        <x:v>-74.00047299939621</x:v>
      </x:c>
      <x:c r="I1220" s="31" t="n">
        <x:v>4777</x:v>
      </x:c>
      <x:c r="J1220" s="31" t="n">
        <x:v>59823.75692717642</x:v>
      </x:c>
      <x:c r="K1220" s="31"/>
      <x:c r="L1220" s="40"/>
      <x:c r="M1220" s="40"/>
      <x:c r="N1220" s="31" t="n">
        <x:v>276</x:v>
      </x:c>
      <x:c r="O1220" s="31" t="n">
        <x:v>3336</x:v>
      </x:c>
      <x:c r="P1220" s="31" t="n">
        <x:v>6.071278511404562</x:v>
      </x:c>
      <x:c r="Q1220" s="40" t="n">
        <x:v>0.051258992805755396</x:v>
      </x:c>
      <x:c r="R1220" s="40" t="n">
        <x:v>0.9466426858513189</x:v>
      </x:c>
      <x:c r="S1220" s="40" t="n">
        <x:v>0.047961630695443645</x:v>
      </x:c>
      <x:c r="T1220" s="31" t="n">
        <x:v>76.84633410267809</x:v>
      </x:c>
      <x:c r="U1220" s="31" t="n">
        <x:v>184.44152246</x:v>
      </x:c>
      <x:c r="V1220" s="31" t="n">
        <x:v>262</x:v>
      </x:c>
      <x:c r="W1220" s="31" t="n">
        <x:v>54.846137743353566</x:v>
      </x:c>
      <x:c r="X1220" s="31" t="n">
        <x:v>2</x:v>
      </x:c>
      <x:c r="Y1220" s="40" t="n">
        <x:v>0</x:v>
      </x:c>
      <x:c r="Z1220" s="40" t="n">
        <x:v>1</x:v>
      </x:c>
      <x:c r="AA1220" s="40" t="n">
        <x:v>0.9973021582733813</x:v>
      </x:c>
      <x:c r="AB1220" s="31" t="n">
        <x:v>0.24116925827798646</x:v>
      </x:c>
      <x:c r="AC1220" s="31" t="n">
        <x:v>7</x:v>
      </x:c>
      <x:c r="AD1220" s="44" t="b">
        <x:v>1</x:v>
      </x:c>
    </x:row>
    <x:row r="1221">
      <x:c r="A1221" s="31" t="str">
        <x:v>36061005000</x:v>
      </x:c>
      <x:c r="B1221" s="31" t="str">
        <x:v>Manhattan</x:v>
      </x:c>
      <x:c r="C1221" s="31" t="str">
        <x:v>005000</x:v>
      </x:c>
      <x:c r="D1221" s="31" t="str">
        <x:v>MN0602</x:v>
      </x:c>
      <x:c r="E1221" s="31" t="str">
        <x:v>Gramercy</x:v>
      </x:c>
      <x:c r="F1221" s="31" t="n">
        <x:v>0.0643165247750947</x:v>
      </x:c>
      <x:c r="G1221" s="31" t="n">
        <x:v>40.736114162725215</x:v>
      </x:c>
      <x:c r="H1221" s="31" t="n">
        <x:v>-73.9872137513615</x:v>
      </x:c>
      <x:c r="I1221" s="31" t="n">
        <x:v>5223</x:v>
      </x:c>
      <x:c r="J1221" s="31" t="n">
        <x:v>81207.74588278911</x:v>
      </x:c>
      <x:c r="K1221" s="31"/>
      <x:c r="L1221" s="40"/>
      <x:c r="M1221" s="40"/>
      <x:c r="N1221" s="31" t="n">
        <x:v>145</x:v>
      </x:c>
      <x:c r="O1221" s="31" t="n">
        <x:v>3794</x:v>
      </x:c>
      <x:c r="P1221" s="31" t="n">
        <x:v>14.0917237743806</x:v>
      </x:c>
      <x:c r="Q1221" s="40" t="n">
        <x:v>0.6512915129151291</x:v>
      </x:c>
      <x:c r="R1221" s="40" t="n">
        <x:v>0.34870848708487084</x:v>
      </x:c>
      <x:c r="S1221" s="40" t="n">
        <x:v>0</x:v>
      </x:c>
      <x:c r="T1221" s="31" t="n">
        <x:v>139.97138376383765</x:v>
      </x:c>
      <x:c r="U1221" s="31" t="n">
        <x:v>274</x:v>
      </x:c>
      <x:c r="V1221" s="31" t="n">
        <x:v>110</x:v>
      </x:c>
      <x:c r="W1221" s="31" t="n">
        <x:v>21.060693088263452</x:v>
      </x:c>
      <x:c r="X1221" s="31" t="n">
        <x:v>1.9960463890353188</x:v>
      </x:c>
      <x:c r="Y1221" s="40" t="n">
        <x:v>0</x:v>
      </x:c>
      <x:c r="Z1221" s="40" t="n">
        <x:v>1</x:v>
      </x:c>
      <x:c r="AA1221" s="40" t="n">
        <x:v>1</x:v>
      </x:c>
      <x:c r="AB1221" s="31" t="n">
        <x:v>0.054692205964068964</x:v>
      </x:c>
      <x:c r="AC1221" s="31" t="n">
        <x:v>8</x:v>
      </x:c>
      <x:c r="AD1221" s="44" t="b">
        <x:v>1</x:v>
      </x:c>
    </x:row>
    <x:row r="1222">
      <x:c r="A1222" s="31" t="str">
        <x:v>36061005200</x:v>
      </x:c>
      <x:c r="B1222" s="31" t="str">
        <x:v>Manhattan</x:v>
      </x:c>
      <x:c r="C1222" s="31" t="str">
        <x:v>005200</x:v>
      </x:c>
      <x:c r="D1222" s="31" t="str">
        <x:v>MN0501</x:v>
      </x:c>
      <x:c r="E1222" s="31" t="str">
        <x:v>Midtown South-Flatiron-Union Square</x:v>
      </x:c>
      <x:c r="F1222" s="31" t="n">
        <x:v>0.06515160614812901</x:v>
      </x:c>
      <x:c r="G1222" s="31" t="n">
        <x:v>40.73743348162057</x:v>
      </x:c>
      <x:c r="H1222" s="31" t="n">
        <x:v>-73.990458388542</x:v>
      </x:c>
      <x:c r="I1222" s="31" t="n">
        <x:v>3808</x:v>
      </x:c>
      <x:c r="J1222" s="31" t="n">
        <x:v>58448.29045875113</x:v>
      </x:c>
      <x:c r="K1222" s="31"/>
      <x:c r="L1222" s="40"/>
      <x:c r="M1222" s="40"/>
      <x:c r="N1222" s="31" t="n">
        <x:v>81</x:v>
      </x:c>
      <x:c r="O1222" s="31" t="n">
        <x:v>1799</x:v>
      </x:c>
      <x:c r="P1222" s="31" t="n">
        <x:v>14.56781545302946</x:v>
      </x:c>
      <x:c r="Q1222" s="40" t="n">
        <x:v>0.8271261812117843</x:v>
      </x:c>
      <x:c r="R1222" s="40" t="n">
        <x:v>0.17287381878821567</x:v>
      </x:c>
      <x:c r="S1222" s="40" t="n">
        <x:v>0.006114508060033352</x:v>
      </x:c>
      <x:c r="T1222" s="31" t="n">
        <x:v>159.06349157304058</x:v>
      </x:c>
      <x:c r="U1222" s="31" t="n">
        <x:v>274.26</x:v>
      </x:c>
      <x:c r="V1222" s="31" t="n">
        <x:v>128</x:v>
      </x:c>
      <x:c r="W1222" s="31" t="n">
        <x:v>33.61344537815126</x:v>
      </x:c>
      <x:c r="X1222" s="31" t="n">
        <x:v>1.9483046136742634</x:v>
      </x:c>
      <x:c r="Y1222" s="40" t="n">
        <x:v>0</x:v>
      </x:c>
      <x:c r="Z1222" s="40" t="n">
        <x:v>1</x:v>
      </x:c>
      <x:c r="AA1222" s="40" t="n">
        <x:v>1</x:v>
      </x:c>
      <x:c r="AB1222" s="31" t="n">
        <x:v>0.09184763795175933</x:v>
      </x:c>
      <x:c r="AC1222" s="31" t="n">
        <x:v>8</x:v>
      </x:c>
      <x:c r="AD1222" s="44" t="b">
        <x:v>1</x:v>
      </x:c>
    </x:row>
    <x:row r="1223">
      <x:c r="A1223" s="31" t="str">
        <x:v>36061005400</x:v>
      </x:c>
      <x:c r="B1223" s="31" t="str">
        <x:v>Manhattan</x:v>
      </x:c>
      <x:c r="C1223" s="31" t="str">
        <x:v>005400</x:v>
      </x:c>
      <x:c r="D1223" s="31" t="str">
        <x:v>MN0501</x:v>
      </x:c>
      <x:c r="E1223" s="31" t="str">
        <x:v>Midtown South-Flatiron-Union Square</x:v>
      </x:c>
      <x:c r="F1223" s="31" t="n">
        <x:v>0.06489811909937443</x:v>
      </x:c>
      <x:c r="G1223" s="31" t="n">
        <x:v>40.73881206965818</x:v>
      </x:c>
      <x:c r="H1223" s="31" t="n">
        <x:v>-73.99367780711098</x:v>
      </x:c>
      <x:c r="I1223" s="31" t="n">
        <x:v>4909</x:v>
      </x:c>
      <x:c r="J1223" s="31" t="n">
        <x:v>75641.63751006644</x:v>
      </x:c>
      <x:c r="K1223" s="31"/>
      <x:c r="L1223" s="40"/>
      <x:c r="M1223" s="40"/>
      <x:c r="N1223" s="31" t="n">
        <x:v>115</x:v>
      </x:c>
      <x:c r="O1223" s="31" t="n">
        <x:v>3215</x:v>
      </x:c>
      <x:c r="P1223" s="31" t="n">
        <x:v>14.58406113537118</x:v>
      </x:c>
      <x:c r="Q1223" s="40" t="n">
        <x:v>0.807153965785381</x:v>
      </x:c>
      <x:c r="R1223" s="40" t="n">
        <x:v>0.19004665629860032</x:v>
      </x:c>
      <x:c r="S1223" s="40" t="n">
        <x:v>0</x:v>
      </x:c>
      <x:c r="T1223" s="31" t="n">
        <x:v>141.5130489687852</x:v>
      </x:c>
      <x:c r="U1223" s="31" t="n">
        <x:v>309.36128236</x:v>
      </x:c>
      <x:c r="V1223" s="31" t="n">
        <x:v>139</x:v>
      </x:c>
      <x:c r="W1223" s="31" t="n">
        <x:v>28.31533917294765</x:v>
      </x:c>
      <x:c r="X1223" s="31" t="n">
        <x:v>1</x:v>
      </x:c>
      <x:c r="Y1223" s="40" t="n">
        <x:v>0</x:v>
      </x:c>
      <x:c r="Z1223" s="40" t="n">
        <x:v>1</x:v>
      </x:c>
      <x:c r="AA1223" s="40" t="n">
        <x:v>0.983203732503888</x:v>
      </x:c>
      <x:c r="AB1223" s="31" t="n">
        <x:v>0.07915162333837898</x:v>
      </x:c>
      <x:c r="AC1223" s="31" t="n">
        <x:v>8</x:v>
      </x:c>
      <x:c r="AD1223" s="44" t="b">
        <x:v>1</x:v>
      </x:c>
    </x:row>
    <x:row r="1224">
      <x:c r="A1224" s="31" t="str">
        <x:v>36061005501</x:v>
      </x:c>
      <x:c r="B1224" s="31" t="str">
        <x:v>Manhattan</x:v>
      </x:c>
      <x:c r="C1224" s="31" t="str">
        <x:v>005501</x:v>
      </x:c>
      <x:c r="D1224" s="31" t="str">
        <x:v>MN0202</x:v>
      </x:c>
      <x:c r="E1224" s="31" t="str">
        <x:v>Greenwich Village</x:v>
      </x:c>
      <x:c r="F1224" s="31" t="n">
        <x:v>0.04801196233571511</x:v>
      </x:c>
      <x:c r="G1224" s="31" t="n">
        <x:v>40.727672603493346</x:v>
      </x:c>
      <x:c r="H1224" s="31" t="n">
        <x:v>-73.99708181639649</x:v>
      </x:c>
      <x:c r="I1224" s="31" t="n">
        <x:v>4564</x:v>
      </x:c>
      <x:c r="J1224" s="31" t="n">
        <x:v>95059.64301327744</x:v>
      </x:c>
      <x:c r="K1224" s="31"/>
      <x:c r="L1224" s="40"/>
      <x:c r="M1224" s="40"/>
      <x:c r="N1224" s="31" t="n">
        <x:v>11</x:v>
      </x:c>
      <x:c r="O1224" s="31" t="n">
        <x:v>3196</x:v>
      </x:c>
      <x:c r="P1224" s="31" t="n">
        <x:v>17.28723404255319</x:v>
      </x:c>
      <x:c r="Q1224" s="40" t="n">
        <x:v>0.8601376720901126</x:v>
      </x:c>
      <x:c r="R1224" s="40" t="n">
        <x:v>0.13986232790988737</x:v>
      </x:c>
      <x:c r="S1224" s="40" t="n">
        <x:v>0.7959949937421777</x:v>
      </x:c>
      <x:c r="T1224" s="31" t="n">
        <x:v>182.15812420987484</x:v>
      </x:c>
      <x:c r="U1224" s="31" t="n">
        <x:v>294.94</x:v>
      </x:c>
      <x:c r="V1224" s="31" t="n">
        <x:v>64</x:v>
      </x:c>
      <x:c r="W1224" s="31" t="n">
        <x:v>14.022787028921998</x:v>
      </x:c>
      <x:c r="X1224" s="31" t="n">
        <x:v>2</x:v>
      </x:c>
      <x:c r="Y1224" s="40" t="n">
        <x:v>0</x:v>
      </x:c>
      <x:c r="Z1224" s="40" t="n">
        <x:v>1</x:v>
      </x:c>
      <x:c r="AA1224" s="40" t="n">
        <x:v>1</x:v>
      </x:c>
      <x:c r="AB1224" s="31" t="n">
        <x:v>0.2583252056301957</x:v>
      </x:c>
      <x:c r="AC1224" s="31" t="n">
        <x:v>6</x:v>
      </x:c>
      <x:c r="AD1224" s="44" t="b">
        <x:v>1</x:v>
      </x:c>
    </x:row>
    <x:row r="1225">
      <x:c r="A1225" s="31" t="str">
        <x:v>36061005502</x:v>
      </x:c>
      <x:c r="B1225" s="31" t="str">
        <x:v>Manhattan</x:v>
      </x:c>
      <x:c r="C1225" s="31" t="str">
        <x:v>005502</x:v>
      </x:c>
      <x:c r="D1225" s="31" t="str">
        <x:v>MN0202</x:v>
      </x:c>
      <x:c r="E1225" s="31" t="str">
        <x:v>Greenwich Village</x:v>
      </x:c>
      <x:c r="F1225" s="31" t="n">
        <x:v>0.044587107869892104</x:v>
      </x:c>
      <x:c r="G1225" s="31" t="n">
        <x:v>40.7262234909218</x:v>
      </x:c>
      <x:c r="H1225" s="31" t="n">
        <x:v>-73.99387212794875</x:v>
      </x:c>
      <x:c r="I1225" s="31" t="n">
        <x:v>1956</x:v>
      </x:c>
      <x:c r="J1225" s="31" t="n">
        <x:v>43869.18312144683</x:v>
      </x:c>
      <x:c r="K1225" s="31"/>
      <x:c r="L1225" s="40"/>
      <x:c r="M1225" s="40"/>
      <x:c r="N1225" s="31" t="n">
        <x:v>118</x:v>
      </x:c>
      <x:c r="O1225" s="31" t="n">
        <x:v>1356</x:v>
      </x:c>
      <x:c r="P1225" s="31" t="n">
        <x:v>8.293879056047198</x:v>
      </x:c>
      <x:c r="Q1225" s="40" t="n">
        <x:v>0.4269911504424779</x:v>
      </x:c>
      <x:c r="R1225" s="40" t="n">
        <x:v>0.5730088495575221</x:v>
      </x:c>
      <x:c r="S1225" s="40" t="n">
        <x:v>0</x:v>
      </x:c>
      <x:c r="T1225" s="31" t="n">
        <x:v>93.95202869534779</x:v>
      </x:c>
      <x:c r="U1225" s="31" t="n">
        <x:v>166</x:v>
      </x:c>
      <x:c r="V1225" s="31" t="n">
        <x:v>98</x:v>
      </x:c>
      <x:c r="W1225" s="31" t="n">
        <x:v>50.102249488752555</x:v>
      </x:c>
      <x:c r="X1225" s="31" t="n">
        <x:v>2</x:v>
      </x:c>
      <x:c r="Y1225" s="40" t="n">
        <x:v>0</x:v>
      </x:c>
      <x:c r="Z1225" s="40" t="n">
        <x:v>1</x:v>
      </x:c>
      <x:c r="AA1225" s="40" t="n">
        <x:v>0.9859882005899705</x:v>
      </x:c>
      <x:c r="AB1225" s="31" t="n">
        <x:v>0.1773141237669275</x:v>
      </x:c>
      <x:c r="AC1225" s="31" t="n">
        <x:v>7</x:v>
      </x:c>
      <x:c r="AD1225" s="44" t="b">
        <x:v>1</x:v>
      </x:c>
    </x:row>
    <x:row r="1226">
      <x:c r="A1226" s="31" t="str">
        <x:v>36061005600</x:v>
      </x:c>
      <x:c r="B1226" s="31" t="str">
        <x:v>Manhattan</x:v>
      </x:c>
      <x:c r="C1226" s="31" t="str">
        <x:v>005600</x:v>
      </x:c>
      <x:c r="D1226" s="31" t="str">
        <x:v>MN0501</x:v>
      </x:c>
      <x:c r="E1226" s="31" t="str">
        <x:v>Midtown South-Flatiron-Union Square</x:v>
      </x:c>
      <x:c r="F1226" s="31" t="n">
        <x:v>0.06737307340665175</x:v>
      </x:c>
      <x:c r="G1226" s="31" t="n">
        <x:v>40.74179151806232</x:v>
      </x:c>
      <x:c r="H1226" s="31" t="n">
        <x:v>-73.98729700108126</x:v>
      </x:c>
      <x:c r="I1226" s="31" t="n">
        <x:v>4281</x:v>
      </x:c>
      <x:c r="J1226" s="31" t="n">
        <x:v>63541.70566274533</x:v>
      </x:c>
      <x:c r="K1226" s="31"/>
      <x:c r="L1226" s="40"/>
      <x:c r="M1226" s="40"/>
      <x:c r="N1226" s="31" t="n">
        <x:v>41</x:v>
      </x:c>
      <x:c r="O1226" s="31" t="n">
        <x:v>2829</x:v>
      </x:c>
      <x:c r="P1226" s="31" t="n">
        <x:v>23.338652482269502</x:v>
      </x:c>
      <x:c r="Q1226" s="40" t="n">
        <x:v>0.911983032873807</x:v>
      </x:c>
      <x:c r="R1226" s="40" t="n">
        <x:v>0.08483563096500531</x:v>
      </x:c>
      <x:c r="S1226" s="40" t="n">
        <x:v>0</x:v>
      </x:c>
      <x:c r="T1226" s="31" t="n">
        <x:v>258.5467913051396</x:v>
      </x:c>
      <x:c r="U1226" s="31" t="n">
        <x:v>778</x:v>
      </x:c>
      <x:c r="V1226" s="31" t="n">
        <x:v>99</x:v>
      </x:c>
      <x:c r="W1226" s="31" t="n">
        <x:v>23.125437981779957</x:v>
      </x:c>
      <x:c r="X1226" s="31" t="n">
        <x:v>1.345351714386709</x:v>
      </x:c>
      <x:c r="Y1226" s="40" t="n">
        <x:v>0</x:v>
      </x:c>
      <x:c r="Z1226" s="40" t="n">
        <x:v>1</x:v>
      </x:c>
      <x:c r="AA1226" s="40" t="n">
        <x:v>1</x:v>
      </x:c>
      <x:c r="AB1226" s="31" t="n">
        <x:v>0.07905095397768079</x:v>
      </x:c>
      <x:c r="AC1226" s="31" t="n">
        <x:v>8</x:v>
      </x:c>
      <x:c r="AD1226" s="44" t="b">
        <x:v>1</x:v>
      </x:c>
    </x:row>
    <x:row r="1227">
      <x:c r="A1227" s="31" t="str">
        <x:v>36061005700</x:v>
      </x:c>
      <x:c r="B1227" s="31" t="str">
        <x:v>Manhattan</x:v>
      </x:c>
      <x:c r="C1227" s="31" t="str">
        <x:v>005700</x:v>
      </x:c>
      <x:c r="D1227" s="31" t="str">
        <x:v>MN0202</x:v>
      </x:c>
      <x:c r="E1227" s="31" t="str">
        <x:v>Greenwich Village</x:v>
      </x:c>
      <x:c r="F1227" s="31" t="n">
        <x:v>0.041379963347250914</x:v>
      </x:c>
      <x:c r="G1227" s="31" t="n">
        <x:v>40.729420377218574</x:v>
      </x:c>
      <x:c r="H1227" s="31" t="n">
        <x:v>-73.99240210809356</x:v>
      </x:c>
      <x:c r="I1227" s="31" t="n">
        <x:v>2998</x:v>
      </x:c>
      <x:c r="J1227" s="31" t="n">
        <x:v>72450.52333279006</x:v>
      </x:c>
      <x:c r="K1227" s="31"/>
      <x:c r="L1227" s="40"/>
      <x:c r="M1227" s="40"/>
      <x:c r="N1227" s="31" t="n">
        <x:v>29</x:v>
      </x:c>
      <x:c r="O1227" s="31" t="n">
        <x:v>1875</x:v>
      </x:c>
      <x:c r="P1227" s="31" t="n">
        <x:v>23.494133333333334</x:v>
      </x:c>
      <x:c r="Q1227" s="40" t="n">
        <x:v>0.9338666666666666</x:v>
      </x:c>
      <x:c r="R1227" s="40" t="n">
        <x:v>0.06613333333333334</x:v>
      </x:c>
      <x:c r="S1227" s="40" t="n">
        <x:v>0.013866666666666666</x:v>
      </x:c>
      <x:c r="T1227" s="31" t="n">
        <x:v>237.4622114645192</x:v>
      </x:c>
      <x:c r="U1227" s="31" t="n">
        <x:v>326</x:v>
      </x:c>
      <x:c r="V1227" s="31" t="n">
        <x:v>63</x:v>
      </x:c>
      <x:c r="W1227" s="31" t="n">
        <x:v>21.014009339559706</x:v>
      </x:c>
      <x:c r="X1227" s="31" t="n">
        <x:v>2</x:v>
      </x:c>
      <x:c r="Y1227" s="40" t="n">
        <x:v>0</x:v>
      </x:c>
      <x:c r="Z1227" s="40" t="n">
        <x:v>1</x:v>
      </x:c>
      <x:c r="AA1227" s="40" t="n">
        <x:v>0.9984</x:v>
      </x:c>
      <x:c r="AB1227" s="31" t="n">
        <x:v>0.030433058051877033</x:v>
      </x:c>
      <x:c r="AC1227" s="31" t="n">
        <x:v>6</x:v>
      </x:c>
      <x:c r="AD1227" s="44" t="b">
        <x:v>1</x:v>
      </x:c>
    </x:row>
    <x:row r="1228">
      <x:c r="A1228" s="31" t="str">
        <x:v>36061005800</x:v>
      </x:c>
      <x:c r="B1228" s="31" t="str">
        <x:v>Manhattan</x:v>
      </x:c>
      <x:c r="C1228" s="31" t="str">
        <x:v>005800</x:v>
      </x:c>
      <x:c r="D1228" s="31" t="str">
        <x:v>MN0501</x:v>
      </x:c>
      <x:c r="E1228" s="31" t="str">
        <x:v>Midtown South-Flatiron-Union Square</x:v>
      </x:c>
      <x:c r="F1228" s="31" t="n">
        <x:v>0.06742421797879362</x:v>
      </x:c>
      <x:c r="G1228" s="31" t="n">
        <x:v>40.74315157661895</x:v>
      </x:c>
      <x:c r="H1228" s="31" t="n">
        <x:v>-73.99051620575041</x:v>
      </x:c>
      <x:c r="I1228" s="31" t="n">
        <x:v>5109</x:v>
      </x:c>
      <x:c r="J1228" s="31" t="n">
        <x:v>75773.96005700639</x:v>
      </x:c>
      <x:c r="K1228" s="31"/>
      <x:c r="L1228" s="40"/>
      <x:c r="M1228" s="40"/>
      <x:c r="N1228" s="31" t="n">
        <x:v>69</x:v>
      </x:c>
      <x:c r="O1228" s="31" t="n">
        <x:v>2849</x:v>
      </x:c>
      <x:c r="P1228" s="31" t="n">
        <x:v>25.344506844506846</x:v>
      </x:c>
      <x:c r="Q1228" s="40" t="n">
        <x:v>0.8996138996138996</x:v>
      </x:c>
      <x:c r="R1228" s="40" t="n">
        <x:v>0.10038610038610038</x:v>
      </x:c>
      <x:c r="S1228" s="40" t="n">
        <x:v>0.000702000702000702</x:v>
      </x:c>
      <x:c r="T1228" s="31" t="n">
        <x:v>263.0055904683538</x:v>
      </x:c>
      <x:c r="U1228" s="31" t="n">
        <x:v>411</x:v>
      </x:c>
      <x:c r="V1228" s="31" t="n">
        <x:v>133</x:v>
      </x:c>
      <x:c r="W1228" s="31" t="n">
        <x:v>26.032491681346645</x:v>
      </x:c>
      <x:c r="X1228" s="31" t="n">
        <x:v>1.257985257985258</x:v>
      </x:c>
      <x:c r="Y1228" s="40" t="n">
        <x:v>0</x:v>
      </x:c>
      <x:c r="Z1228" s="40" t="n">
        <x:v>1</x:v>
      </x:c>
      <x:c r="AA1228" s="40" t="n">
        <x:v>1</x:v>
      </x:c>
      <x:c r="AB1228" s="31" t="n">
        <x:v>0.11732180303746081</x:v>
      </x:c>
      <x:c r="AC1228" s="31" t="n">
        <x:v>8</x:v>
      </x:c>
      <x:c r="AD1228" s="44" t="b">
        <x:v>1</x:v>
      </x:c>
    </x:row>
    <x:row r="1229">
      <x:c r="A1229" s="31" t="str">
        <x:v>36061005900</x:v>
      </x:c>
      <x:c r="B1229" s="31" t="str">
        <x:v>Manhattan</x:v>
      </x:c>
      <x:c r="C1229" s="31" t="str">
        <x:v>005900</x:v>
      </x:c>
      <x:c r="D1229" s="31" t="str">
        <x:v>MN0202</x:v>
      </x:c>
      <x:c r="E1229" s="31" t="str">
        <x:v>Greenwich Village</x:v>
      </x:c>
      <x:c r="F1229" s="31" t="n">
        <x:v>0.04484892317349633</x:v>
      </x:c>
      <x:c r="G1229" s="31" t="n">
        <x:v>40.73128947018444</x:v>
      </x:c>
      <x:c r="H1229" s="31" t="n">
        <x:v>-73.99456143033069</x:v>
      </x:c>
      <x:c r="I1229" s="31" t="n">
        <x:v>5707</x:v>
      </x:c>
      <x:c r="J1229" s="31" t="n">
        <x:v>127249.43200804824</x:v>
      </x:c>
      <x:c r="K1229" s="31"/>
      <x:c r="L1229" s="40"/>
      <x:c r="M1229" s="40"/>
      <x:c r="N1229" s="31" t="n">
        <x:v>61</x:v>
      </x:c>
      <x:c r="O1229" s="31" t="n">
        <x:v>3492</x:v>
      </x:c>
      <x:c r="P1229" s="31" t="n">
        <x:v>13.971076746849942</x:v>
      </x:c>
      <x:c r="Q1229" s="40" t="n">
        <x:v>0.7076174112256587</x:v>
      </x:c>
      <x:c r="R1229" s="40" t="n">
        <x:v>0.29152348224513175</x:v>
      </x:c>
      <x:c r="S1229" s="40" t="n">
        <x:v>0.030641466208476516</x:v>
      </x:c>
      <x:c r="T1229" s="31" t="n">
        <x:v>142.80996927836483</x:v>
      </x:c>
      <x:c r="U1229" s="31" t="n">
        <x:v>280</x:v>
      </x:c>
      <x:c r="V1229" s="31" t="n">
        <x:v>96</x:v>
      </x:c>
      <x:c r="W1229" s="31" t="n">
        <x:v>16.82144734536534</x:v>
      </x:c>
      <x:c r="X1229" s="31" t="n">
        <x:v>2</x:v>
      </x:c>
      <x:c r="Y1229" s="40" t="n">
        <x:v>0</x:v>
      </x:c>
      <x:c r="Z1229" s="40" t="n">
        <x:v>1</x:v>
      </x:c>
      <x:c r="AA1229" s="40" t="n">
        <x:v>1</x:v>
      </x:c>
      <x:c r="AB1229" s="31" t="n">
        <x:v>0.14160334832821805</x:v>
      </x:c>
      <x:c r="AC1229" s="31" t="n">
        <x:v>5</x:v>
      </x:c>
      <x:c r="AD1229" s="44" t="b">
        <x:v>1</x:v>
      </x:c>
    </x:row>
    <x:row r="1230">
      <x:c r="A1230" s="31" t="str">
        <x:v>36061006000</x:v>
      </x:c>
      <x:c r="B1230" s="31" t="str">
        <x:v>Manhattan</x:v>
      </x:c>
      <x:c r="C1230" s="31" t="str">
        <x:v>006000</x:v>
      </x:c>
      <x:c r="D1230" s="31" t="str">
        <x:v>MN0601</x:v>
      </x:c>
      <x:c r="E1230" s="31" t="str">
        <x:v>Stuyvesant Town-Peter Cooper Village</x:v>
      </x:c>
      <x:c r="F1230" s="31" t="n">
        <x:v>0.04654960245100149</x:v>
      </x:c>
      <x:c r="G1230" s="31" t="n">
        <x:v>40.734668299291094</x:v>
      </x:c>
      <x:c r="H1230" s="31" t="n">
        <x:v>-73.97658157736373</x:v>
      </x:c>
      <x:c r="I1230" s="31" t="n">
        <x:v>5290</x:v>
      </x:c>
      <x:c r="J1230" s="31" t="n">
        <x:v>113642.21650589388</x:v>
      </x:c>
      <x:c r="K1230" s="31"/>
      <x:c r="L1230" s="40"/>
      <x:c r="M1230" s="40"/>
      <x:c r="N1230" s="31" t="n">
        <x:v>1</x:v>
      </x:c>
      <x:c r="O1230" s="31" t="n">
        <x:v>2491</x:v>
      </x:c>
      <x:c r="P1230" s="31" t="n">
        <x:v>15</x:v>
      </x:c>
      <x:c r="Q1230" s="40" t="n">
        <x:v>1</x:v>
      </x:c>
      <x:c r="R1230" s="40" t="n">
        <x:v>0</x:v>
      </x:c>
      <x:c r="S1230" s="40" t="n">
        <x:v>1</x:v>
      </x:c>
      <x:c r="T1230" s="31" t="n">
        <x:v>142.37</x:v>
      </x:c>
      <x:c r="U1230" s="31" t="n">
        <x:v>142.37</x:v>
      </x:c>
      <x:c r="V1230" s="31" t="n">
        <x:v>63</x:v>
      </x:c>
      <x:c r="W1230" s="31" t="n">
        <x:v>11.909262759924387</x:v>
      </x:c>
      <x:c r="X1230" s="31" t="n">
        <x:v>1</x:v>
      </x:c>
      <x:c r="Y1230" s="40" t="n">
        <x:v>0</x:v>
      </x:c>
      <x:c r="Z1230" s="40" t="n">
        <x:v>1</x:v>
      </x:c>
      <x:c r="AA1230" s="40" t="n">
        <x:v>1</x:v>
      </x:c>
      <x:c r="AB1230" s="31" t="n">
        <x:v>0.22506569315373837</x:v>
      </x:c>
      <x:c r="AC1230" s="31" t="n">
        <x:v>3</x:v>
      </x:c>
      <x:c r="AD1230" s="44" t="b">
        <x:v>1</x:v>
      </x:c>
    </x:row>
    <x:row r="1231">
      <x:c r="A1231" s="31" t="str">
        <x:v>36061006100</x:v>
      </x:c>
      <x:c r="B1231" s="31" t="str">
        <x:v>Manhattan</x:v>
      </x:c>
      <x:c r="C1231" s="31" t="str">
        <x:v>006100</x:v>
      </x:c>
      <x:c r="D1231" s="31" t="str">
        <x:v>MN0202</x:v>
      </x:c>
      <x:c r="E1231" s="31" t="str">
        <x:v>Greenwich Village</x:v>
      </x:c>
      <x:c r="F1231" s="31" t="n">
        <x:v>0.05491861080047636</x:v>
      </x:c>
      <x:c r="G1231" s="31" t="n">
        <x:v>40.733708245196034</x:v>
      </x:c>
      <x:c r="H1231" s="31" t="n">
        <x:v>-73.99232624838693</x:v>
      </x:c>
      <x:c r="I1231" s="31" t="n">
        <x:v>5494</x:v>
      </x:c>
      <x:c r="J1231" s="31" t="n">
        <x:v>100038.94708772104</x:v>
      </x:c>
      <x:c r="K1231" s="31"/>
      <x:c r="L1231" s="40"/>
      <x:c r="M1231" s="40"/>
      <x:c r="N1231" s="31" t="n">
        <x:v>110</x:v>
      </x:c>
      <x:c r="O1231" s="31" t="n">
        <x:v>2946</x:v>
      </x:c>
      <x:c r="P1231" s="31" t="n">
        <x:v>10.682004789599727</x:v>
      </x:c>
      <x:c r="Q1231" s="40" t="n">
        <x:v>0.5974202308214528</x:v>
      </x:c>
      <x:c r="R1231" s="40" t="n">
        <x:v>0.39477257298031226</x:v>
      </x:c>
      <x:c r="S1231" s="40" t="n">
        <x:v>0.06958587915818058</x:v>
      </x:c>
      <x:c r="T1231" s="31" t="n">
        <x:v>119.84837465175464</x:v>
      </x:c>
      <x:c r="U1231" s="31" t="n">
        <x:v>209</x:v>
      </x:c>
      <x:c r="V1231" s="31" t="n">
        <x:v>125</x:v>
      </x:c>
      <x:c r="W1231" s="31" t="n">
        <x:v>22.752093192573717</x:v>
      </x:c>
      <x:c r="X1231" s="31" t="n">
        <x:v>2</x:v>
      </x:c>
      <x:c r="Y1231" s="40" t="n">
        <x:v>0</x:v>
      </x:c>
      <x:c r="Z1231" s="40" t="n">
        <x:v>1</x:v>
      </x:c>
      <x:c r="AA1231" s="40" t="n">
        <x:v>0.9904955872369314</x:v>
      </x:c>
      <x:c r="AB1231" s="31" t="n">
        <x:v>0.16632758257432975</x:v>
      </x:c>
      <x:c r="AC1231" s="31" t="n">
        <x:v>7</x:v>
      </x:c>
      <x:c r="AD1231" s="44" t="b">
        <x:v>1</x:v>
      </x:c>
    </x:row>
    <x:row r="1232">
      <x:c r="A1232" s="31" t="str">
        <x:v>36061006200</x:v>
      </x:c>
      <x:c r="B1232" s="31" t="str">
        <x:v>Manhattan</x:v>
      </x:c>
      <x:c r="C1232" s="31" t="str">
        <x:v>006200</x:v>
      </x:c>
      <x:c r="D1232" s="31" t="str">
        <x:v>MN0603</x:v>
      </x:c>
      <x:c r="E1232" s="31" t="str">
        <x:v>Murray Hill-Kips Bay</x:v>
      </x:c>
      <x:c r="F1232" s="31" t="n">
        <x:v>0.11363366031049128</x:v>
      </x:c>
      <x:c r="G1232" s="31" t="n">
        <x:v>40.738927968424846</x:v>
      </x:c>
      <x:c r="H1232" s="31" t="n">
        <x:v>-73.97448264568258</x:v>
      </x:c>
      <x:c r="I1232" s="31" t="n">
        <x:v>3686</x:v>
      </x:c>
      <x:c r="J1232" s="31" t="n">
        <x:v>32437.571666075146</x:v>
      </x:c>
      <x:c r="K1232" s="31"/>
      <x:c r="L1232" s="40"/>
      <x:c r="M1232" s="40"/>
      <x:c r="N1232" s="31" t="n">
        <x:v>2</x:v>
      </x:c>
      <x:c r="O1232" s="31" t="n">
        <x:v>1471</x:v>
      </x:c>
      <x:c r="P1232" s="31" t="n">
        <x:v>38.49082256968049</x:v>
      </x:c>
      <x:c r="Q1232" s="40" t="n">
        <x:v>1</x:v>
      </x:c>
      <x:c r="R1232" s="40" t="n">
        <x:v>0</x:v>
      </x:c>
      <x:c r="S1232" s="40" t="n">
        <x:v>0.7484704282800816</x:v>
      </x:c>
      <x:c r="T1232" s="31" t="n">
        <x:v>364.8015091774303</x:v>
      </x:c>
      <x:c r="U1232" s="31" t="n">
        <x:v>378.12</x:v>
      </x:c>
      <x:c r="V1232" s="31" t="n">
        <x:v>5</x:v>
      </x:c>
      <x:c r="W1232" s="31" t="n">
        <x:v>1.3564839934888768</x:v>
      </x:c>
      <x:c r="X1232" s="31" t="n">
        <x:v>1</x:v>
      </x:c>
      <x:c r="Y1232" s="40" t="n">
        <x:v>0</x:v>
      </x:c>
      <x:c r="Z1232" s="40" t="n">
        <x:v>1</x:v>
      </x:c>
      <x:c r="AA1232" s="40" t="n">
        <x:v>1</x:v>
      </x:c>
      <x:c r="AB1232" s="31" t="n">
        <x:v>0.046850245016415666</x:v>
      </x:c>
      <x:c r="AC1232" s="31" t="n">
        <x:v>7</x:v>
      </x:c>
      <x:c r="AD1232" s="44" t="b">
        <x:v>1</x:v>
      </x:c>
    </x:row>
    <x:row r="1233">
      <x:c r="A1233" s="31" t="str">
        <x:v>36061006300</x:v>
      </x:c>
      <x:c r="B1233" s="31" t="str">
        <x:v>Manhattan</x:v>
      </x:c>
      <x:c r="C1233" s="31" t="str">
        <x:v>006300</x:v>
      </x:c>
      <x:c r="D1233" s="31" t="str">
        <x:v>MN0202</x:v>
      </x:c>
      <x:c r="E1233" s="31" t="str">
        <x:v>Greenwich Village</x:v>
      </x:c>
      <x:c r="F1233" s="31" t="n">
        <x:v>0.06885602057291666</x:v>
      </x:c>
      <x:c r="G1233" s="31" t="n">
        <x:v>40.73442084845656</x:v>
      </x:c>
      <x:c r="H1233" s="31" t="n">
        <x:v>-73.99686274657549</x:v>
      </x:c>
      <x:c r="I1233" s="31" t="n">
        <x:v>6707</x:v>
      </x:c>
      <x:c r="J1233" s="31" t="n">
        <x:v>97406.15191227132</x:v>
      </x:c>
      <x:c r="K1233" s="31"/>
      <x:c r="L1233" s="40"/>
      <x:c r="M1233" s="40"/>
      <x:c r="N1233" s="31" t="n">
        <x:v>275</x:v>
      </x:c>
      <x:c r="O1233" s="31" t="n">
        <x:v>4658</x:v>
      </x:c>
      <x:c r="P1233" s="31" t="n">
        <x:v>10.534549261626626</x:v>
      </x:c>
      <x:c r="Q1233" s="40" t="n">
        <x:v>0.5388578789179905</x:v>
      </x:c>
      <x:c r="R1233" s="40" t="n">
        <x:v>0.43366251610133105</x:v>
      </x:c>
      <x:c r="S1233" s="40" t="n">
        <x:v>0.04143409188492916</x:v>
      </x:c>
      <x:c r="T1233" s="31" t="n">
        <x:v>116.20318868739207</x:v>
      </x:c>
      <x:c r="U1233" s="31" t="n">
        <x:v>224.68</x:v>
      </x:c>
      <x:c r="V1233" s="31" t="n">
        <x:v>167</x:v>
      </x:c>
      <x:c r="W1233" s="31" t="n">
        <x:v>24.89935887878336</x:v>
      </x:c>
      <x:c r="X1233" s="31" t="n">
        <x:v>1</x:v>
      </x:c>
      <x:c r="Y1233" s="40" t="n">
        <x:v>0</x:v>
      </x:c>
      <x:c r="Z1233" s="40" t="n">
        <x:v>1</x:v>
      </x:c>
      <x:c r="AA1233" s="40" t="n">
        <x:v>0.9944182052382997</x:v>
      </x:c>
      <x:c r="AB1233" s="31" t="n">
        <x:v>0.12174032454896422</x:v>
      </x:c>
      <x:c r="AC1233" s="31" t="n">
        <x:v>7</x:v>
      </x:c>
      <x:c r="AD1233" s="44" t="b">
        <x:v>1</x:v>
      </x:c>
    </x:row>
    <x:row r="1234">
      <x:c r="A1234" s="31" t="str">
        <x:v>36061006400</x:v>
      </x:c>
      <x:c r="B1234" s="31" t="str">
        <x:v>Manhattan</x:v>
      </x:c>
      <x:c r="C1234" s="31" t="str">
        <x:v>006400</x:v>
      </x:c>
      <x:c r="D1234" s="31" t="str">
        <x:v>MN0602</x:v>
      </x:c>
      <x:c r="E1234" s="31" t="str">
        <x:v>Gramercy</x:v>
      </x:c>
      <x:c r="F1234" s="31" t="n">
        <x:v>0.06938733771342688</x:v>
      </x:c>
      <x:c r="G1234" s="31" t="n">
        <x:v>40.736938636023005</x:v>
      </x:c>
      <x:c r="H1234" s="31" t="n">
        <x:v>-73.98145546661526</x:v>
      </x:c>
      <x:c r="I1234" s="31" t="n">
        <x:v>8744</x:v>
      </x:c>
      <x:c r="J1234" s="31" t="n">
        <x:v>126017.2286204891</x:v>
      </x:c>
      <x:c r="K1234" s="31"/>
      <x:c r="L1234" s="40"/>
      <x:c r="M1234" s="40"/>
      <x:c r="N1234" s="31" t="n">
        <x:v>127</x:v>
      </x:c>
      <x:c r="O1234" s="31" t="n">
        <x:v>5771</x:v>
      </x:c>
      <x:c r="P1234" s="31" t="n">
        <x:v>14.277768151100329</x:v>
      </x:c>
      <x:c r="Q1234" s="40" t="n">
        <x:v>0.6428695200138624</x:v>
      </x:c>
      <x:c r="R1234" s="40" t="n">
        <x:v>0.35678391959798994</x:v>
      </x:c>
      <x:c r="S1234" s="40" t="n">
        <x:v>0.14399584127534223</x:v>
      </x:c>
      <x:c r="T1234" s="31" t="n">
        <x:v>150.29901994520534</x:v>
      </x:c>
      <x:c r="U1234" s="31" t="n">
        <x:v>258.78</x:v>
      </x:c>
      <x:c r="V1234" s="31" t="n">
        <x:v>123</x:v>
      </x:c>
      <x:c r="W1234" s="31" t="n">
        <x:v>14.066788655077769</x:v>
      </x:c>
      <x:c r="X1234" s="31" t="n">
        <x:v>1.1854098076589845</x:v>
      </x:c>
      <x:c r="Y1234" s="40" t="n">
        <x:v>0</x:v>
      </x:c>
      <x:c r="Z1234" s="40" t="n">
        <x:v>1</x:v>
      </x:c>
      <x:c r="AA1234" s="40" t="n">
        <x:v>1</x:v>
      </x:c>
      <x:c r="AB1234" s="31" t="n">
        <x:v>0.08525271704668318</x:v>
      </x:c>
      <x:c r="AC1234" s="31" t="n">
        <x:v>7</x:v>
      </x:c>
      <x:c r="AD1234" s="44" t="b">
        <x:v>1</x:v>
      </x:c>
    </x:row>
    <x:row r="1235">
      <x:c r="A1235" s="31" t="str">
        <x:v>36061006500</x:v>
      </x:c>
      <x:c r="B1235" s="31" t="str">
        <x:v>Manhattan</x:v>
      </x:c>
      <x:c r="C1235" s="31" t="str">
        <x:v>006500</x:v>
      </x:c>
      <x:c r="D1235" s="31" t="str">
        <x:v>MN0202</x:v>
      </x:c>
      <x:c r="E1235" s="31" t="str">
        <x:v>Greenwich Village</x:v>
      </x:c>
      <x:c r="F1235" s="31" t="n">
        <x:v>0.07772753679120753</x:v>
      </x:c>
      <x:c r="G1235" s="31" t="n">
        <x:v>40.729966643747815</x:v>
      </x:c>
      <x:c r="H1235" s="31" t="n">
        <x:v>-73.99957851282606</x:v>
      </x:c>
      <x:c r="I1235" s="31" t="n">
        <x:v>6721</x:v>
      </x:c>
      <x:c r="J1235" s="31" t="n">
        <x:v>86468.71208660601</x:v>
      </x:c>
      <x:c r="K1235" s="31"/>
      <x:c r="L1235" s="40"/>
      <x:c r="M1235" s="40"/>
      <x:c r="N1235" s="31" t="n">
        <x:v>250</x:v>
      </x:c>
      <x:c r="O1235" s="31" t="n">
        <x:v>3968</x:v>
      </x:c>
      <x:c r="P1235" s="31" t="n">
        <x:v>6.714745206861756</x:v>
      </x:c>
      <x:c r="Q1235" s="40" t="n">
        <x:v>0.1622983870967742</x:v>
      </x:c>
      <x:c r="R1235" s="40" t="n">
        <x:v>0.834929435483871</x:v>
      </x:c>
      <x:c r="S1235" s="40" t="n">
        <x:v>0.059475806451612906</x:v>
      </x:c>
      <x:c r="T1235" s="31" t="n">
        <x:v>77.17365782477066</x:v>
      </x:c>
      <x:c r="U1235" s="31" t="n">
        <x:v>215.36</x:v>
      </x:c>
      <x:c r="V1235" s="31" t="n">
        <x:v>90</x:v>
      </x:c>
      <x:c r="W1235" s="31" t="n">
        <x:v>13.390864454694242</x:v>
      </x:c>
      <x:c r="X1235" s="31" t="n">
        <x:v>1.8659274193548387</x:v>
      </x:c>
      <x:c r="Y1235" s="40" t="n">
        <x:v>0</x:v>
      </x:c>
      <x:c r="Z1235" s="40" t="n">
        <x:v>1</x:v>
      </x:c>
      <x:c r="AA1235" s="40" t="n">
        <x:v>1</x:v>
      </x:c>
      <x:c r="AB1235" s="31" t="n">
        <x:v>0.30147650254042624</x:v>
      </x:c>
      <x:c r="AC1235" s="31" t="n">
        <x:v>7</x:v>
      </x:c>
      <x:c r="AD1235" s="44" t="b">
        <x:v>1</x:v>
      </x:c>
    </x:row>
    <x:row r="1236">
      <x:c r="A1236" s="31" t="str">
        <x:v>36061006600</x:v>
      </x:c>
      <x:c r="B1236" s="31" t="str">
        <x:v>Manhattan</x:v>
      </x:c>
      <x:c r="C1236" s="31" t="str">
        <x:v>006600</x:v>
      </x:c>
      <x:c r="D1236" s="31" t="str">
        <x:v>MN0603</x:v>
      </x:c>
      <x:c r="E1236" s="31" t="str">
        <x:v>Murray Hill-Kips Bay</x:v>
      </x:c>
      <x:c r="F1236" s="31" t="n">
        <x:v>0.06745440756822486</x:v>
      </x:c>
      <x:c r="G1236" s="31" t="n">
        <x:v>40.74007046206349</x:v>
      </x:c>
      <x:c r="H1236" s="31" t="n">
        <x:v>-73.97923163659256</x:v>
      </x:c>
      <x:c r="I1236" s="31" t="n">
        <x:v>12341</x:v>
      </x:c>
      <x:c r="J1236" s="31" t="n">
        <x:v>182953.2041700617</x:v>
      </x:c>
      <x:c r="K1236" s="31"/>
      <x:c r="L1236" s="40"/>
      <x:c r="M1236" s="40"/>
      <x:c r="N1236" s="31" t="n">
        <x:v>132</x:v>
      </x:c>
      <x:c r="O1236" s="31" t="n">
        <x:v>7175</x:v>
      </x:c>
      <x:c r="P1236" s="31" t="n">
        <x:v>16.58020905923345</x:v>
      </x:c>
      <x:c r="Q1236" s="40" t="n">
        <x:v>0.6585365853658537</x:v>
      </x:c>
      <x:c r="R1236" s="40" t="n">
        <x:v>0.341184668989547</x:v>
      </x:c>
      <x:c r="S1236" s="40" t="n">
        <x:v>0.1329616724738676</x:v>
      </x:c>
      <x:c r="T1236" s="31" t="n">
        <x:v>153.49811572589076</x:v>
      </x:c>
      <x:c r="U1236" s="31" t="n">
        <x:v>288.53</x:v>
      </x:c>
      <x:c r="V1236" s="31" t="n">
        <x:v>105</x:v>
      </x:c>
      <x:c r="W1236" s="31" t="n">
        <x:v>8.508224617129892</x:v>
      </x:c>
      <x:c r="X1236" s="31" t="n">
        <x:v>1.5551219512195122</x:v>
      </x:c>
      <x:c r="Y1236" s="40" t="n">
        <x:v>0</x:v>
      </x:c>
      <x:c r="Z1236" s="40" t="n">
        <x:v>1</x:v>
      </x:c>
      <x:c r="AA1236" s="40" t="n">
        <x:v>0.9771428571428571</x:v>
      </x:c>
      <x:c r="AB1236" s="31" t="n">
        <x:v>0.10336655681843564</x:v>
      </x:c>
      <x:c r="AC1236" s="31" t="n">
        <x:v>6</x:v>
      </x:c>
      <x:c r="AD1236" s="44" t="b">
        <x:v>1</x:v>
      </x:c>
    </x:row>
    <x:row r="1237">
      <x:c r="A1237" s="31" t="str">
        <x:v>36061006700</x:v>
      </x:c>
      <x:c r="B1237" s="31" t="str">
        <x:v>Manhattan</x:v>
      </x:c>
      <x:c r="C1237" s="31" t="str">
        <x:v>006700</x:v>
      </x:c>
      <x:c r="D1237" s="31" t="str">
        <x:v>MN0203</x:v>
      </x:c>
      <x:c r="E1237" s="31" t="str">
        <x:v>West Village</x:v>
      </x:c>
      <x:c r="F1237" s="31" t="n">
        <x:v>0.06502823312564567</x:v>
      </x:c>
      <x:c r="G1237" s="31" t="n">
        <x:v>40.73045256562721</x:v>
      </x:c>
      <x:c r="H1237" s="31" t="n">
        <x:v>-74.00412226395423</x:v>
      </x:c>
      <x:c r="I1237" s="31" t="n">
        <x:v>5547</x:v>
      </x:c>
      <x:c r="J1237" s="31" t="n">
        <x:v>85301.41037789306</x:v>
      </x:c>
      <x:c r="K1237" s="31"/>
      <x:c r="L1237" s="40"/>
      <x:c r="M1237" s="40"/>
      <x:c r="N1237" s="31" t="n">
        <x:v>337</x:v>
      </x:c>
      <x:c r="O1237" s="31" t="n">
        <x:v>3841</x:v>
      </x:c>
      <x:c r="P1237" s="31" t="n">
        <x:v>5.624315871774824</x:v>
      </x:c>
      <x:c r="Q1237" s="40" t="n">
        <x:v>0.04946628482166102</x:v>
      </x:c>
      <x:c r="R1237" s="40" t="n">
        <x:v>0.9403801093465244</x:v>
      </x:c>
      <x:c r="S1237" s="40" t="n">
        <x:v>0.08096849778703463</x:v>
      </x:c>
      <x:c r="T1237" s="31" t="n">
        <x:v>64.41320187803177</x:v>
      </x:c>
      <x:c r="U1237" s="31" t="n">
        <x:v>160</x:v>
      </x:c>
      <x:c r="V1237" s="31" t="n">
        <x:v>65</x:v>
      </x:c>
      <x:c r="W1237" s="31" t="n">
        <x:v>11.718045790517396</x:v>
      </x:c>
      <x:c r="X1237" s="31" t="n">
        <x:v>1</x:v>
      </x:c>
      <x:c r="Y1237" s="40" t="n">
        <x:v>0</x:v>
      </x:c>
      <x:c r="Z1237" s="40" t="n">
        <x:v>1</x:v>
      </x:c>
      <x:c r="AA1237" s="40" t="n">
        <x:v>1</x:v>
      </x:c>
      <x:c r="AB1237" s="31" t="n">
        <x:v>0.07317056546990792</x:v>
      </x:c>
      <x:c r="AC1237" s="31" t="n">
        <x:v>5</x:v>
      </x:c>
      <x:c r="AD1237" s="44" t="b">
        <x:v>1</x:v>
      </x:c>
    </x:row>
    <x:row r="1238">
      <x:c r="A1238" s="31" t="str">
        <x:v>36061006800</x:v>
      </x:c>
      <x:c r="B1238" s="31" t="str">
        <x:v>Manhattan</x:v>
      </x:c>
      <x:c r="C1238" s="31" t="str">
        <x:v>006800</x:v>
      </x:c>
      <x:c r="D1238" s="31" t="str">
        <x:v>MN0602</x:v>
      </x:c>
      <x:c r="E1238" s="31" t="str">
        <x:v>Gramercy</x:v>
      </x:c>
      <x:c r="F1238" s="31" t="n">
        <x:v>0.06735397108370637</x:v>
      </x:c>
      <x:c r="G1238" s="31" t="n">
        <x:v>40.7404373122476</x:v>
      </x:c>
      <x:c r="H1238" s="31" t="n">
        <x:v>-73.9840791974943</x:v>
      </x:c>
      <x:c r="I1238" s="31" t="n">
        <x:v>7706</x:v>
      </x:c>
      <x:c r="J1238" s="31" t="n">
        <x:v>114410.4776008398</x:v>
      </x:c>
      <x:c r="K1238" s="31"/>
      <x:c r="L1238" s="40"/>
      <x:c r="M1238" s="40"/>
      <x:c r="N1238" s="31" t="n">
        <x:v>136</x:v>
      </x:c>
      <x:c r="O1238" s="31" t="n">
        <x:v>4901</x:v>
      </x:c>
      <x:c r="P1238" s="31" t="n">
        <x:v>14.377473984901041</x:v>
      </x:c>
      <x:c r="Q1238" s="40" t="n">
        <x:v>0.6763925729442971</x:v>
      </x:c>
      <x:c r="R1238" s="40" t="n">
        <x:v>0.32360742705570295</x:v>
      </x:c>
      <x:c r="S1238" s="40" t="n">
        <x:v>0</x:v>
      </x:c>
      <x:c r="T1238" s="31" t="n">
        <x:v>155.18307050440777</x:v>
      </x:c>
      <x:c r="U1238" s="31" t="n">
        <x:v>407</x:v>
      </x:c>
      <x:c r="V1238" s="31" t="n">
        <x:v>135</x:v>
      </x:c>
      <x:c r="W1238" s="31" t="n">
        <x:v>17.51881650661822</x:v>
      </x:c>
      <x:c r="X1238" s="31" t="n">
        <x:v>1.259334829626607</x:v>
      </x:c>
      <x:c r="Y1238" s="40" t="n">
        <x:v>0</x:v>
      </x:c>
      <x:c r="Z1238" s="40" t="n">
        <x:v>1</x:v>
      </x:c>
      <x:c r="AA1238" s="40" t="n">
        <x:v>0.988777800448888</x:v>
      </x:c>
      <x:c r="AB1238" s="31" t="n">
        <x:v>0.09480456408974178</x:v>
      </x:c>
      <x:c r="AC1238" s="31" t="n">
        <x:v>7</x:v>
      </x:c>
      <x:c r="AD1238" s="44" t="b">
        <x:v>1</x:v>
      </x:c>
    </x:row>
    <x:row r="1239">
      <x:c r="A1239" s="31" t="str">
        <x:v>36061006900</x:v>
      </x:c>
      <x:c r="B1239" s="31" t="str">
        <x:v>Manhattan</x:v>
      </x:c>
      <x:c r="C1239" s="31" t="str">
        <x:v>006900</x:v>
      </x:c>
      <x:c r="D1239" s="31" t="str">
        <x:v>MN0203</x:v>
      </x:c>
      <x:c r="E1239" s="31" t="str">
        <x:v>West Village</x:v>
      </x:c>
      <x:c r="F1239" s="31" t="n">
        <x:v>0.0847469796918044</x:v>
      </x:c>
      <x:c r="G1239" s="31" t="n">
        <x:v>40.73037892278043</x:v>
      </x:c>
      <x:c r="H1239" s="31" t="n">
        <x:v>-74.00999841412992</x:v>
      </x:c>
      <x:c r="I1239" s="31" t="n">
        <x:v>2799</x:v>
      </x:c>
      <x:c r="J1239" s="31" t="n">
        <x:v>33027.7257098601</x:v>
      </x:c>
      <x:c r="K1239" s="31"/>
      <x:c r="L1239" s="40"/>
      <x:c r="M1239" s="40"/>
      <x:c r="N1239" s="31" t="n">
        <x:v>45</x:v>
      </x:c>
      <x:c r="O1239" s="31" t="n">
        <x:v>1950</x:v>
      </x:c>
      <x:c r="P1239" s="31" t="n">
        <x:v>11.77025641025641</x:v>
      </x:c>
      <x:c r="Q1239" s="40" t="n">
        <x:v>0.6261538461538462</x:v>
      </x:c>
      <x:c r="R1239" s="40" t="n">
        <x:v>0.37333333333333335</x:v>
      </x:c>
      <x:c r="S1239" s="40" t="n">
        <x:v>0.11076923076923077</x:v>
      </x:c>
      <x:c r="T1239" s="31" t="n">
        <x:v>150.79118773062928</x:v>
      </x:c>
      <x:c r="U1239" s="31" t="n">
        <x:v>300</x:v>
      </x:c>
      <x:c r="V1239" s="31" t="n">
        <x:v>65</x:v>
      </x:c>
      <x:c r="W1239" s="31" t="n">
        <x:v>23.222579492675955</x:v>
      </x:c>
      <x:c r="X1239" s="31" t="n">
        <x:v>1</x:v>
      </x:c>
      <x:c r="Y1239" s="40" t="n">
        <x:v>0</x:v>
      </x:c>
      <x:c r="Z1239" s="40" t="n">
        <x:v>1</x:v>
      </x:c>
      <x:c r="AA1239" s="40" t="n">
        <x:v>0.977948717948718</x:v>
      </x:c>
      <x:c r="AB1239" s="31" t="n">
        <x:v>0.1479155699366948</x:v>
      </x:c>
      <x:c r="AC1239" s="31" t="n">
        <x:v>4</x:v>
      </x:c>
      <x:c r="AD1239" s="44" t="b">
        <x:v>1</x:v>
      </x:c>
    </x:row>
    <x:row r="1240">
      <x:c r="A1240" s="31" t="str">
        <x:v>36061007001</x:v>
      </x:c>
      <x:c r="B1240" s="31" t="str">
        <x:v>Manhattan</x:v>
      </x:c>
      <x:c r="C1240" s="31" t="str">
        <x:v>007001</x:v>
      </x:c>
      <x:c r="D1240" s="31" t="str">
        <x:v>MN0603</x:v>
      </x:c>
      <x:c r="E1240" s="31" t="str">
        <x:v>Murray Hill-Kips Bay</x:v>
      </x:c>
      <x:c r="F1240" s="31" t="n">
        <x:v>0.0347052908404356</x:v>
      </x:c>
      <x:c r="G1240" s="31" t="n">
        <x:v>40.742708355799344</x:v>
      </x:c>
      <x:c r="H1240" s="31" t="n">
        <x:v>-73.9758243380813</x:v>
      </x:c>
      <x:c r="I1240" s="31" t="n">
        <x:v>4550</x:v>
      </x:c>
      <x:c r="J1240" s="31" t="n">
        <x:v>131103.92939565092</x:v>
      </x:c>
      <x:c r="K1240" s="31"/>
      <x:c r="L1240" s="40"/>
      <x:c r="M1240" s="40"/>
      <x:c r="N1240" s="31" t="n">
        <x:v>43</x:v>
      </x:c>
      <x:c r="O1240" s="31" t="n">
        <x:v>2799</x:v>
      </x:c>
      <x:c r="P1240" s="31" t="n">
        <x:v>18.806002143622724</x:v>
      </x:c>
      <x:c r="Q1240" s="40" t="n">
        <x:v>0.8149339049660593</x:v>
      </x:c>
      <x:c r="R1240" s="40" t="n">
        <x:v>0.1850660950339407</x:v>
      </x:c>
      <x:c r="S1240" s="40" t="n">
        <x:v>0.4137191854233655</x:v>
      </x:c>
      <x:c r="T1240" s="31" t="n">
        <x:v>182.47514420682387</x:v>
      </x:c>
      <x:c r="U1240" s="31" t="n">
        <x:v>327.26</x:v>
      </x:c>
      <x:c r="V1240" s="31" t="n">
        <x:v>44</x:v>
      </x:c>
      <x:c r="W1240" s="31" t="n">
        <x:v>9.67032967032967</x:v>
      </x:c>
      <x:c r="X1240" s="31" t="n">
        <x:v>2</x:v>
      </x:c>
      <x:c r="Y1240" s="40" t="n">
        <x:v>0</x:v>
      </x:c>
      <x:c r="Z1240" s="40" t="n">
        <x:v>1</x:v>
      </x:c>
      <x:c r="AA1240" s="40" t="n">
        <x:v>1</x:v>
      </x:c>
      <x:c r="AB1240" s="31" t="n">
        <x:v>0.16030796722844937</x:v>
      </x:c>
      <x:c r="AC1240" s="31" t="n">
        <x:v>5</x:v>
      </x:c>
      <x:c r="AD1240" s="44" t="b">
        <x:v>1</x:v>
      </x:c>
    </x:row>
    <x:row r="1241">
      <x:c r="A1241" s="31" t="str">
        <x:v>36061007002</x:v>
      </x:c>
      <x:c r="B1241" s="31" t="str">
        <x:v>Manhattan</x:v>
      </x:c>
      <x:c r="C1241" s="31" t="str">
        <x:v>007002</x:v>
      </x:c>
      <x:c r="D1241" s="31" t="str">
        <x:v>MN0603</x:v>
      </x:c>
      <x:c r="E1241" s="31" t="str">
        <x:v>Murray Hill-Kips Bay</x:v>
      </x:c>
      <x:c r="F1241" s="31" t="n">
        <x:v>0.03376023252388946</x:v>
      </x:c>
      <x:c r="G1241" s="31" t="n">
        <x:v>40.74367557672451</x:v>
      </x:c>
      <x:c r="H1241" s="31" t="n">
        <x:v>-73.9781314069696</x:v>
      </x:c>
      <x:c r="I1241" s="31" t="n">
        <x:v>4865</x:v>
      </x:c>
      <x:c r="J1241" s="31" t="n">
        <x:v>144104.4577094492</x:v>
      </x:c>
      <x:c r="K1241" s="31"/>
      <x:c r="L1241" s="40"/>
      <x:c r="M1241" s="40"/>
      <x:c r="N1241" s="31" t="n">
        <x:v>163</x:v>
      </x:c>
      <x:c r="O1241" s="31" t="n">
        <x:v>3347</x:v>
      </x:c>
      <x:c r="P1241" s="31" t="n">
        <x:v>14.645279354645952</x:v>
      </x:c>
      <x:c r="Q1241" s="40" t="n">
        <x:v>0.5467582910068718</x:v>
      </x:c>
      <x:c r="R1241" s="40" t="n">
        <x:v>0.45294293397072005</x:v>
      </x:c>
      <x:c r="S1241" s="40" t="n">
        <x:v>0.037048102778607706</x:v>
      </x:c>
      <x:c r="T1241" s="31" t="n">
        <x:v>141.30839297633582</x:v>
      </x:c>
      <x:c r="U1241" s="31" t="n">
        <x:v>369</x:v>
      </x:c>
      <x:c r="V1241" s="31" t="n">
        <x:v>56</x:v>
      </x:c>
      <x:c r="W1241" s="31" t="n">
        <x:v>11.510791366906474</x:v>
      </x:c>
      <x:c r="X1241" s="31" t="n">
        <x:v>2</x:v>
      </x:c>
      <x:c r="Y1241" s="40" t="n">
        <x:v>0</x:v>
      </x:c>
      <x:c r="Z1241" s="40" t="n">
        <x:v>1</x:v>
      </x:c>
      <x:c r="AA1241" s="40" t="n">
        <x:v>0.9964146997311025</x:v>
      </x:c>
      <x:c r="AB1241" s="31" t="n">
        <x:v>0.06018166822564029</x:v>
      </x:c>
      <x:c r="AC1241" s="31" t="n">
        <x:v>4</x:v>
      </x:c>
      <x:c r="AD1241" s="44" t="b">
        <x:v>1</x:v>
      </x:c>
    </x:row>
    <x:row r="1242">
      <x:c r="A1242" s="31" t="str">
        <x:v>36061007100</x:v>
      </x:c>
      <x:c r="B1242" s="31" t="str">
        <x:v>Manhattan</x:v>
      </x:c>
      <x:c r="C1242" s="31" t="str">
        <x:v>007100</x:v>
      </x:c>
      <x:c r="D1242" s="31" t="str">
        <x:v>MN0203</x:v>
      </x:c>
      <x:c r="E1242" s="31" t="str">
        <x:v>West Village</x:v>
      </x:c>
      <x:c r="F1242" s="31" t="n">
        <x:v>0.06361132714144284</x:v>
      </x:c>
      <x:c r="G1242" s="31" t="n">
        <x:v>40.73544757307802</x:v>
      </x:c>
      <x:c r="H1242" s="31" t="n">
        <x:v>-73.99991376640574</x:v>
      </x:c>
      <x:c r="I1242" s="31" t="n">
        <x:v>5851</x:v>
      </x:c>
      <x:c r="J1242" s="31" t="n">
        <x:v>91980.47365039281</x:v>
      </x:c>
      <x:c r="K1242" s="31"/>
      <x:c r="L1242" s="40"/>
      <x:c r="M1242" s="40"/>
      <x:c r="N1242" s="31" t="n">
        <x:v>283</x:v>
      </x:c>
      <x:c r="O1242" s="31" t="n">
        <x:v>4020</x:v>
      </x:c>
      <x:c r="P1242" s="31" t="n">
        <x:v>10.580970149253732</x:v>
      </x:c>
      <x:c r="Q1242" s="40" t="n">
        <x:v>0.4368159203980099</x:v>
      </x:c>
      <x:c r="R1242" s="40" t="n">
        <x:v>0.5534825870646766</x:v>
      </x:c>
      <x:c r="S1242" s="40" t="n">
        <x:v>0.06840796019900497</x:v>
      </x:c>
      <x:c r="T1242" s="31" t="n">
        <x:v>106.40748679213613</x:v>
      </x:c>
      <x:c r="U1242" s="31" t="n">
        <x:v>212.38072941</x:v>
      </x:c>
      <x:c r="V1242" s="31" t="n">
        <x:v>100</x:v>
      </x:c>
      <x:c r="W1242" s="31" t="n">
        <x:v>17.091095539224064</x:v>
      </x:c>
      <x:c r="X1242" s="31" t="n">
        <x:v>1</x:v>
      </x:c>
      <x:c r="Y1242" s="40" t="n">
        <x:v>0</x:v>
      </x:c>
      <x:c r="Z1242" s="40" t="n">
        <x:v>1</x:v>
      </x:c>
      <x:c r="AA1242" s="40" t="n">
        <x:v>0.9502487562189055</x:v>
      </x:c>
      <x:c r="AB1242" s="31" t="n">
        <x:v>0.0387513500094576</x:v>
      </x:c>
      <x:c r="AC1242" s="31" t="n">
        <x:v>7</x:v>
      </x:c>
      <x:c r="AD1242" s="44" t="b">
        <x:v>1</x:v>
      </x:c>
    </x:row>
    <x:row r="1243">
      <x:c r="A1243" s="31" t="str">
        <x:v>36061007200</x:v>
      </x:c>
      <x:c r="B1243" s="31" t="str">
        <x:v>Manhattan</x:v>
      </x:c>
      <x:c r="C1243" s="31" t="str">
        <x:v>007200</x:v>
      </x:c>
      <x:c r="D1243" s="31" t="str">
        <x:v>MN0603</x:v>
      </x:c>
      <x:c r="E1243" s="31" t="str">
        <x:v>Murray Hill-Kips Bay</x:v>
      </x:c>
      <x:c r="F1243" s="31" t="n">
        <x:v>0.06734349158560032</x:v>
      </x:c>
      <x:c r="G1243" s="31" t="n">
        <x:v>40.744861349120455</x:v>
      </x:c>
      <x:c r="H1243" s="31" t="n">
        <x:v>-73.980855944483</x:v>
      </x:c>
      <x:c r="I1243" s="31" t="n">
        <x:v>9358</x:v>
      </x:c>
      <x:c r="J1243" s="31" t="n">
        <x:v>138959.2339165403</x:v>
      </x:c>
      <x:c r="K1243" s="31"/>
      <x:c r="L1243" s="40"/>
      <x:c r="M1243" s="40"/>
      <x:c r="N1243" s="31" t="n">
        <x:v>182</x:v>
      </x:c>
      <x:c r="O1243" s="31" t="n">
        <x:v>5921</x:v>
      </x:c>
      <x:c r="P1243" s="31" t="n">
        <x:v>18.562763980402096</x:v>
      </x:c>
      <x:c r="Q1243" s="40" t="n">
        <x:v>0.781624725553116</x:v>
      </x:c>
      <x:c r="R1243" s="40" t="n">
        <x:v>0.21803749366661038</x:v>
      </x:c>
      <x:c r="S1243" s="40" t="n">
        <x:v>0.039858132072285085</x:v>
      </x:c>
      <x:c r="T1243" s="31" t="n">
        <x:v>178.1339314670017</x:v>
      </x:c>
      <x:c r="U1243" s="31" t="n">
        <x:v>337.97</x:v>
      </x:c>
      <x:c r="V1243" s="31" t="n">
        <x:v>144</x:v>
      </x:c>
      <x:c r="W1243" s="31" t="n">
        <x:v>15.387903398162</x:v>
      </x:c>
      <x:c r="X1243" s="31" t="n">
        <x:v>2</x:v>
      </x:c>
      <x:c r="Y1243" s="40" t="n">
        <x:v>0</x:v>
      </x:c>
      <x:c r="Z1243" s="40" t="n">
        <x:v>1</x:v>
      </x:c>
      <x:c r="AA1243" s="40" t="n">
        <x:v>0.9981422057084952</x:v>
      </x:c>
      <x:c r="AB1243" s="31" t="n">
        <x:v>0.08562473820069788</x:v>
      </x:c>
      <x:c r="AC1243" s="31" t="n">
        <x:v>8</x:v>
      </x:c>
      <x:c r="AD1243" s="44" t="b">
        <x:v>1</x:v>
      </x:c>
    </x:row>
    <x:row r="1244">
      <x:c r="A1244" s="31" t="str">
        <x:v>36061007300</x:v>
      </x:c>
      <x:c r="B1244" s="31" t="str">
        <x:v>Manhattan</x:v>
      </x:c>
      <x:c r="C1244" s="31" t="str">
        <x:v>007300</x:v>
      </x:c>
      <x:c r="D1244" s="31" t="str">
        <x:v>MN0203</x:v>
      </x:c>
      <x:c r="E1244" s="31" t="str">
        <x:v>West Village</x:v>
      </x:c>
      <x:c r="F1244" s="31" t="n">
        <x:v>0.06379806496499082</x:v>
      </x:c>
      <x:c r="G1244" s="31" t="n">
        <x:v>40.73411570396978</x:v>
      </x:c>
      <x:c r="H1244" s="31" t="n">
        <x:v>-74.00410625031596</x:v>
      </x:c>
      <x:c r="I1244" s="31" t="n">
        <x:v>6180</x:v>
      </x:c>
      <x:c r="J1244" s="31" t="n">
        <x:v>96868.14174366063</x:v>
      </x:c>
      <x:c r="K1244" s="31"/>
      <x:c r="L1244" s="40"/>
      <x:c r="M1244" s="40"/>
      <x:c r="N1244" s="31" t="n">
        <x:v>412</x:v>
      </x:c>
      <x:c r="O1244" s="31" t="n">
        <x:v>4633</x:v>
      </x:c>
      <x:c r="P1244" s="31" t="n">
        <x:v>6.234513274336283</x:v>
      </x:c>
      <x:c r="Q1244" s="40" t="n">
        <x:v>0.10187783293762141</x:v>
      </x:c>
      <x:c r="R1244" s="40" t="n">
        <x:v>0.8959637383984459</x:v>
      </x:c>
      <x:c r="S1244" s="40" t="n">
        <x:v>0.03129721562702353</x:v>
      </x:c>
      <x:c r="T1244" s="31" t="n">
        <x:v>70.78735438845871</x:v>
      </x:c>
      <x:c r="U1244" s="31" t="n">
        <x:v>198</x:v>
      </x:c>
      <x:c r="V1244" s="31" t="n">
        <x:v>68</x:v>
      </x:c>
      <x:c r="W1244" s="31" t="n">
        <x:v>11.003236245954692</x:v>
      </x:c>
      <x:c r="X1244" s="31" t="n">
        <x:v>1</x:v>
      </x:c>
      <x:c r="Y1244" s="40" t="n">
        <x:v>0</x:v>
      </x:c>
      <x:c r="Z1244" s="40" t="n">
        <x:v>1</x:v>
      </x:c>
      <x:c r="AA1244" s="40" t="n">
        <x:v>0.9984890999352471</x:v>
      </x:c>
      <x:c r="AB1244" s="31" t="n">
        <x:v>0.1419271614150485</x:v>
      </x:c>
      <x:c r="AC1244" s="31" t="n">
        <x:v>5</x:v>
      </x:c>
      <x:c r="AD1244" s="44" t="b">
        <x:v>1</x:v>
      </x:c>
    </x:row>
    <x:row r="1245">
      <x:c r="A1245" s="31" t="str">
        <x:v>36061007400</x:v>
      </x:c>
      <x:c r="B1245" s="31" t="str">
        <x:v>Manhattan</x:v>
      </x:c>
      <x:c r="C1245" s="31" t="str">
        <x:v>007400</x:v>
      </x:c>
      <x:c r="D1245" s="31" t="str">
        <x:v>MN0501</x:v>
      </x:c>
      <x:c r="E1245" s="31" t="str">
        <x:v>Midtown South-Flatiron-Union Square</x:v>
      </x:c>
      <x:c r="F1245" s="31" t="n">
        <x:v>0.06741493001104798</x:v>
      </x:c>
      <x:c r="G1245" s="31" t="n">
        <x:v>40.7462150979138</x:v>
      </x:c>
      <x:c r="H1245" s="31" t="n">
        <x:v>-73.98407568966452</x:v>
      </x:c>
      <x:c r="I1245" s="31" t="n">
        <x:v>5698</x:v>
      </x:c>
      <x:c r="J1245" s="31" t="n">
        <x:v>84521.33672861797</x:v>
      </x:c>
      <x:c r="K1245" s="31"/>
      <x:c r="L1245" s="40"/>
      <x:c r="M1245" s="40"/>
      <x:c r="N1245" s="31" t="n">
        <x:v>70</x:v>
      </x:c>
      <x:c r="O1245" s="31" t="n">
        <x:v>4206</x:v>
      </x:c>
      <x:c r="P1245" s="31" t="n">
        <x:v>30.24228543876567</x:v>
      </x:c>
      <x:c r="Q1245" s="40" t="n">
        <x:v>0.9139324774132193</x:v>
      </x:c>
      <x:c r="R1245" s="40" t="n">
        <x:v>0.07227769852591535</x:v>
      </x:c>
      <x:c r="S1245" s="40" t="n">
        <x:v>0.003090822634331907</x:v>
      </x:c>
      <x:c r="T1245" s="31" t="n">
        <x:v>340.5044469642787</x:v>
      </x:c>
      <x:c r="U1245" s="31" t="n">
        <x:v>805</x:v>
      </x:c>
      <x:c r="V1245" s="31" t="n">
        <x:v>115</x:v>
      </x:c>
      <x:c r="W1245" s="31" t="n">
        <x:v>20.182520182520182</x:v>
      </x:c>
      <x:c r="X1245" s="31" t="n">
        <x:v>2</x:v>
      </x:c>
      <x:c r="Y1245" s="40" t="n">
        <x:v>0</x:v>
      </x:c>
      <x:c r="Z1245" s="40" t="n">
        <x:v>1</x:v>
      </x:c>
      <x:c r="AA1245" s="40" t="n">
        <x:v>0.9674274845458868</x:v>
      </x:c>
      <x:c r="AB1245" s="31" t="n">
        <x:v>0.1611563842801952</x:v>
      </x:c>
      <x:c r="AC1245" s="31" t="n">
        <x:v>8</x:v>
      </x:c>
      <x:c r="AD1245" s="44" t="b">
        <x:v>1</x:v>
      </x:c>
    </x:row>
    <x:row r="1246">
      <x:c r="A1246" s="31" t="str">
        <x:v>36061007500</x:v>
      </x:c>
      <x:c r="B1246" s="31" t="str">
        <x:v>Manhattan</x:v>
      </x:c>
      <x:c r="C1246" s="31" t="str">
        <x:v>007500</x:v>
      </x:c>
      <x:c r="D1246" s="31" t="str">
        <x:v>MN0203</x:v>
      </x:c>
      <x:c r="E1246" s="31" t="str">
        <x:v>West Village</x:v>
      </x:c>
      <x:c r="F1246" s="31" t="n">
        <x:v>0.06378721627711777</x:v>
      </x:c>
      <x:c r="G1246" s="31" t="n">
        <x:v>40.73438603147965</x:v>
      </x:c>
      <x:c r="H1246" s="31" t="n">
        <x:v>-74.00873826275506</x:v>
      </x:c>
      <x:c r="I1246" s="31" t="n">
        <x:v>4000</x:v>
      </x:c>
      <x:c r="J1246" s="31" t="n">
        <x:v>62708.48977987005</x:v>
      </x:c>
      <x:c r="K1246" s="31"/>
      <x:c r="L1246" s="40"/>
      <x:c r="M1246" s="40"/>
      <x:c r="N1246" s="31" t="n">
        <x:v>182</x:v>
      </x:c>
      <x:c r="O1246" s="31" t="n">
        <x:v>2729</x:v>
      </x:c>
      <x:c r="P1246" s="31" t="n">
        <x:v>7.146757053865885</x:v>
      </x:c>
      <x:c r="Q1246" s="40" t="n">
        <x:v>0.21986075485525833</x:v>
      </x:c>
      <x:c r="R1246" s="40" t="n">
        <x:v>0.7680469036277024</x:v>
      </x:c>
      <x:c r="S1246" s="40" t="n">
        <x:v>0.16819347746427263</x:v>
      </x:c>
      <x:c r="T1246" s="31" t="n">
        <x:v>81.88950674988234</x:v>
      </x:c>
      <x:c r="U1246" s="31" t="n">
        <x:v>196</x:v>
      </x:c>
      <x:c r="V1246" s="31" t="n">
        <x:v>82</x:v>
      </x:c>
      <x:c r="W1246" s="31" t="n">
        <x:v>20.5</x:v>
      </x:c>
      <x:c r="X1246" s="31" t="n">
        <x:v>1</x:v>
      </x:c>
      <x:c r="Y1246" s="40" t="n">
        <x:v>0</x:v>
      </x:c>
      <x:c r="Z1246" s="40" t="n">
        <x:v>1</x:v>
      </x:c>
      <x:c r="AA1246" s="40" t="n">
        <x:v>0.9967020886771711</x:v>
      </x:c>
      <x:c r="AB1246" s="31" t="n">
        <x:v>0.1898168970728864</x:v>
      </x:c>
      <x:c r="AC1246" s="31" t="n">
        <x:v>4</x:v>
      </x:c>
      <x:c r="AD1246" s="44" t="b">
        <x:v>1</x:v>
      </x:c>
    </x:row>
    <x:row r="1247">
      <x:c r="A1247" s="31" t="str">
        <x:v>36061007600</x:v>
      </x:c>
      <x:c r="B1247" s="31" t="str">
        <x:v>Manhattan</x:v>
      </x:c>
      <x:c r="C1247" s="31" t="str">
        <x:v>007600</x:v>
      </x:c>
      <x:c r="D1247" s="31" t="str">
        <x:v>MN0501</x:v>
      </x:c>
      <x:c r="E1247" s="31" t="str">
        <x:v>Midtown South-Flatiron-Union Square</x:v>
      </x:c>
      <x:c r="F1247" s="31" t="n">
        <x:v>0.06720321181201216</x:v>
      </x:c>
      <x:c r="G1247" s="31" t="n">
        <x:v>40.74756592797422</x:v>
      </x:c>
      <x:c r="H1247" s="31" t="n">
        <x:v>-73.98729626961455</x:v>
      </x:c>
      <x:c r="I1247" s="31" t="n">
        <x:v>2921</x:v>
      </x:c>
      <x:c r="J1247" s="31" t="n">
        <x:v>43465.18449402278</x:v>
      </x:c>
      <x:c r="K1247" s="31"/>
      <x:c r="L1247" s="40"/>
      <x:c r="M1247" s="40"/>
      <x:c r="N1247" s="31" t="n">
        <x:v>32</x:v>
      </x:c>
      <x:c r="O1247" s="31" t="n">
        <x:v>1967</x:v>
      </x:c>
      <x:c r="P1247" s="31" t="n">
        <x:v>27.970513472292833</x:v>
      </x:c>
      <x:c r="Q1247" s="40" t="n">
        <x:v>0.9100152516522624</x:v>
      </x:c>
      <x:c r="R1247" s="40" t="n">
        <x:v>0.08998474834773768</x:v>
      </x:c>
      <x:c r="S1247" s="40" t="n">
        <x:v>0</x:v>
      </x:c>
      <x:c r="T1247" s="31" t="n">
        <x:v>259.78963935513883</x:v>
      </x:c>
      <x:c r="U1247" s="31" t="n">
        <x:v>407</x:v>
      </x:c>
      <x:c r="V1247" s="31" t="n">
        <x:v>66</x:v>
      </x:c>
      <x:c r="W1247" s="31" t="n">
        <x:v>22.595001711742555</x:v>
      </x:c>
      <x:c r="X1247" s="31" t="n">
        <x:v>2</x:v>
      </x:c>
      <x:c r="Y1247" s="40" t="n">
        <x:v>0</x:v>
      </x:c>
      <x:c r="Z1247" s="40" t="n">
        <x:v>1</x:v>
      </x:c>
      <x:c r="AA1247" s="40" t="n">
        <x:v>0.9705134722928317</x:v>
      </x:c>
      <x:c r="AB1247" s="31" t="n">
        <x:v>0.030659334801613484</x:v>
      </x:c>
      <x:c r="AC1247" s="31" t="n">
        <x:v>8</x:v>
      </x:c>
      <x:c r="AD1247" s="44" t="b">
        <x:v>1</x:v>
      </x:c>
    </x:row>
    <x:row r="1248">
      <x:c r="A1248" s="31" t="str">
        <x:v>36061007700</x:v>
      </x:c>
      <x:c r="B1248" s="31" t="str">
        <x:v>Manhattan</x:v>
      </x:c>
      <x:c r="C1248" s="31" t="str">
        <x:v>007700</x:v>
      </x:c>
      <x:c r="D1248" s="31" t="str">
        <x:v>MN0203</x:v>
      </x:c>
      <x:c r="E1248" s="31" t="str">
        <x:v>West Village</x:v>
      </x:c>
      <x:c r="F1248" s="31" t="n">
        <x:v>0.06904972504412019</x:v>
      </x:c>
      <x:c r="G1248" s="31" t="n">
        <x:v>40.73808308036802</x:v>
      </x:c>
      <x:c r="H1248" s="31" t="n">
        <x:v>-74.00329385087596</x:v>
      </x:c>
      <x:c r="I1248" s="31" t="n">
        <x:v>6192</x:v>
      </x:c>
      <x:c r="J1248" s="31" t="n">
        <x:v>89674.50624956934</x:v>
      </x:c>
      <x:c r="K1248" s="31"/>
      <x:c r="L1248" s="40"/>
      <x:c r="M1248" s="40"/>
      <x:c r="N1248" s="31" t="n">
        <x:v>333</x:v>
      </x:c>
      <x:c r="O1248" s="31" t="n">
        <x:v>4406</x:v>
      </x:c>
      <x:c r="P1248" s="31" t="n">
        <x:v>8.266568315932819</x:v>
      </x:c>
      <x:c r="Q1248" s="40" t="n">
        <x:v>0.26214253290966866</x:v>
      </x:c>
      <x:c r="R1248" s="40" t="n">
        <x:v>0.7303676804357694</x:v>
      </x:c>
      <x:c r="S1248" s="40" t="n">
        <x:v>0.03608715388107127</x:v>
      </x:c>
      <x:c r="T1248" s="31" t="n">
        <x:v>94.28317703876021</x:v>
      </x:c>
      <x:c r="U1248" s="31" t="n">
        <x:v>227.80259986</x:v>
      </x:c>
      <x:c r="V1248" s="31" t="n">
        <x:v>99</x:v>
      </x:c>
      <x:c r="W1248" s="31" t="n">
        <x:v>15.988372093023257</x:v>
      </x:c>
      <x:c r="X1248" s="31" t="n">
        <x:v>1</x:v>
      </x:c>
      <x:c r="Y1248" s="40" t="n">
        <x:v>0</x:v>
      </x:c>
      <x:c r="Z1248" s="40" t="n">
        <x:v>1</x:v>
      </x:c>
      <x:c r="AA1248" s="40" t="n">
        <x:v>0.9995460735360872</x:v>
      </x:c>
      <x:c r="AB1248" s="31" t="n">
        <x:v>0.27961484574784906</x:v>
      </x:c>
      <x:c r="AC1248" s="31" t="n">
        <x:v>6</x:v>
      </x:c>
      <x:c r="AD1248" s="44" t="b">
        <x:v>1</x:v>
      </x:c>
    </x:row>
    <x:row r="1249">
      <x:c r="A1249" s="31" t="str">
        <x:v>36061007800</x:v>
      </x:c>
      <x:c r="B1249" s="31" t="str">
        <x:v>Manhattan</x:v>
      </x:c>
      <x:c r="C1249" s="31" t="str">
        <x:v>007800</x:v>
      </x:c>
      <x:c r="D1249" s="31" t="str">
        <x:v>MN0603</x:v>
      </x:c>
      <x:c r="E1249" s="31" t="str">
        <x:v>Murray Hill-Kips Bay</x:v>
      </x:c>
      <x:c r="F1249" s="31" t="n">
        <x:v>0.06858750492173152</x:v>
      </x:c>
      <x:c r="G1249" s="31" t="n">
        <x:v>40.74632536764628</x:v>
      </x:c>
      <x:c r="H1249" s="31" t="n">
        <x:v>-73.97467365469602</x:v>
      </x:c>
      <x:c r="I1249" s="31" t="n">
        <x:v>9109</x:v>
      </x:c>
      <x:c r="J1249" s="31" t="n">
        <x:v>132808.44682124996</x:v>
      </x:c>
      <x:c r="K1249" s="31"/>
      <x:c r="L1249" s="40"/>
      <x:c r="M1249" s="40"/>
      <x:c r="N1249" s="31" t="n">
        <x:v>110</x:v>
      </x:c>
      <x:c r="O1249" s="31" t="n">
        <x:v>6544</x:v>
      </x:c>
      <x:c r="P1249" s="31" t="n">
        <x:v>25.055012224938874</x:v>
      </x:c>
      <x:c r="Q1249" s="40" t="n">
        <x:v>0.8037897310513448</x:v>
      </x:c>
      <x:c r="R1249" s="40" t="n">
        <x:v>0.19621026894865526</x:v>
      </x:c>
      <x:c r="S1249" s="40" t="n">
        <x:v>0.012683374083129584</x:v>
      </x:c>
      <x:c r="T1249" s="31" t="n">
        <x:v>236.32964137487505</x:v>
      </x:c>
      <x:c r="U1249" s="31" t="n">
        <x:v>526</x:v>
      </x:c>
      <x:c r="V1249" s="31" t="n">
        <x:v>114</x:v>
      </x:c>
      <x:c r="W1249" s="31" t="n">
        <x:v>12.515094961027556</x:v>
      </x:c>
      <x:c r="X1249" s="31" t="n">
        <x:v>2</x:v>
      </x:c>
      <x:c r="Y1249" s="40" t="n">
        <x:v>0</x:v>
      </x:c>
      <x:c r="Z1249" s="40" t="n">
        <x:v>1</x:v>
      </x:c>
      <x:c r="AA1249" s="40" t="n">
        <x:v>0.9967909535452323</x:v>
      </x:c>
      <x:c r="AB1249" s="31" t="n">
        <x:v>0.1745189326871794</x:v>
      </x:c>
      <x:c r="AC1249" s="31" t="n">
        <x:v>7</x:v>
      </x:c>
      <x:c r="AD1249" s="44" t="b">
        <x:v>1</x:v>
      </x:c>
    </x:row>
    <x:row r="1250">
      <x:c r="A1250" s="31" t="str">
        <x:v>36061007900</x:v>
      </x:c>
      <x:c r="B1250" s="31" t="str">
        <x:v>Manhattan</x:v>
      </x:c>
      <x:c r="C1250" s="31" t="str">
        <x:v>007900</x:v>
      </x:c>
      <x:c r="D1250" s="31" t="str">
        <x:v>MN0203</x:v>
      </x:c>
      <x:c r="E1250" s="31" t="str">
        <x:v>West Village</x:v>
      </x:c>
      <x:c r="F1250" s="31" t="n">
        <x:v>0.10711218310197142</x:v>
      </x:c>
      <x:c r="G1250" s="31" t="n">
        <x:v>40.739135937894936</x:v>
      </x:c>
      <x:c r="H1250" s="31" t="n">
        <x:v>-74.0083147024584</x:v>
      </x:c>
      <x:c r="I1250" s="31" t="n">
        <x:v>4442</x:v>
      </x:c>
      <x:c r="J1250" s="31" t="n">
        <x:v>41470.539310838154</x:v>
      </x:c>
      <x:c r="K1250" s="31"/>
      <x:c r="L1250" s="40"/>
      <x:c r="M1250" s="40"/>
      <x:c r="N1250" s="31" t="n">
        <x:v>177</x:v>
      </x:c>
      <x:c r="O1250" s="31" t="n">
        <x:v>2956</x:v>
      </x:c>
      <x:c r="P1250" s="31" t="n">
        <x:v>8.792232021709633</x:v>
      </x:c>
      <x:c r="Q1250" s="40" t="n">
        <x:v>0.4979702300405954</x:v>
      </x:c>
      <x:c r="R1250" s="40" t="n">
        <x:v>0.4972936400541272</x:v>
      </x:c>
      <x:c r="S1250" s="40" t="n">
        <x:v>0.039918809201623814</x:v>
      </x:c>
      <x:c r="T1250" s="31" t="n">
        <x:v>101.87229976110231</x:v>
      </x:c>
      <x:c r="U1250" s="31" t="n">
        <x:v>189</x:v>
      </x:c>
      <x:c r="V1250" s="31" t="n">
        <x:v>81</x:v>
      </x:c>
      <x:c r="W1250" s="31" t="n">
        <x:v>18.235029266096355</x:v>
      </x:c>
      <x:c r="X1250" s="31" t="n">
        <x:v>1</x:v>
      </x:c>
      <x:c r="Y1250" s="40" t="n">
        <x:v>0</x:v>
      </x:c>
      <x:c r="Z1250" s="40" t="n">
        <x:v>1</x:v>
      </x:c>
      <x:c r="AA1250" s="40" t="n">
        <x:v>0.9820703653585927</x:v>
      </x:c>
      <x:c r="AB1250" s="31" t="n">
        <x:v>0.31352857866376516</x:v>
      </x:c>
      <x:c r="AC1250" s="31" t="n">
        <x:v>4</x:v>
      </x:c>
      <x:c r="AD1250" s="44" t="b">
        <x:v>1</x:v>
      </x:c>
    </x:row>
    <x:row r="1251">
      <x:c r="A1251" s="31" t="str">
        <x:v>36061008000</x:v>
      </x:c>
      <x:c r="B1251" s="31" t="str">
        <x:v>Manhattan</x:v>
      </x:c>
      <x:c r="C1251" s="31" t="str">
        <x:v>008000</x:v>
      </x:c>
      <x:c r="D1251" s="31" t="str">
        <x:v>MN0603</x:v>
      </x:c>
      <x:c r="E1251" s="31" t="str">
        <x:v>Murray Hill-Kips Bay</x:v>
      </x:c>
      <x:c r="F1251" s="31" t="n">
        <x:v>0.06657400047097395</x:v>
      </x:c>
      <x:c r="G1251" s="31" t="n">
        <x:v>40.749258399960965</x:v>
      </x:c>
      <x:c r="H1251" s="31" t="n">
        <x:v>-73.97765235439564</x:v>
      </x:c>
      <x:c r="I1251" s="31" t="n">
        <x:v>5906</x:v>
      </x:c>
      <x:c r="J1251" s="31" t="n">
        <x:v>88713.31087539192</x:v>
      </x:c>
      <x:c r="K1251" s="31"/>
      <x:c r="L1251" s="40"/>
      <x:c r="M1251" s="40"/>
      <x:c r="N1251" s="31" t="n">
        <x:v>210</x:v>
      </x:c>
      <x:c r="O1251" s="31" t="n">
        <x:v>4242</x:v>
      </x:c>
      <x:c r="P1251" s="31" t="n">
        <x:v>15.321841112682696</x:v>
      </x:c>
      <x:c r="Q1251" s="40" t="n">
        <x:v>0.780999528524281</x:v>
      </x:c>
      <x:c r="R1251" s="40" t="n">
        <x:v>0.21876473361621876</x:v>
      </x:c>
      <x:c r="S1251" s="40" t="n">
        <x:v>0.004479019330504479</x:v>
      </x:c>
      <x:c r="T1251" s="31" t="n">
        <x:v>162.37004637666826</x:v>
      </x:c>
      <x:c r="U1251" s="31" t="n">
        <x:v>379</x:v>
      </x:c>
      <x:c r="V1251" s="31" t="n">
        <x:v>139</x:v>
      </x:c>
      <x:c r="W1251" s="31" t="n">
        <x:v>23.535387741280054</x:v>
      </x:c>
      <x:c r="X1251" s="31" t="n">
        <x:v>2</x:v>
      </x:c>
      <x:c r="Y1251" s="40" t="n">
        <x:v>0</x:v>
      </x:c>
      <x:c r="Z1251" s="40" t="n">
        <x:v>1</x:v>
      </x:c>
      <x:c r="AA1251" s="40" t="n">
        <x:v>0.9969354078264969</x:v>
      </x:c>
      <x:c r="AB1251" s="31" t="n">
        <x:v>0.24161740942568855</x:v>
      </x:c>
      <x:c r="AC1251" s="31" t="n">
        <x:v>6</x:v>
      </x:c>
      <x:c r="AD1251" s="44" t="b">
        <x:v>1</x:v>
      </x:c>
    </x:row>
    <x:row r="1252">
      <x:c r="A1252" s="31" t="str">
        <x:v>36061008100</x:v>
      </x:c>
      <x:c r="B1252" s="31" t="str">
        <x:v>Manhattan</x:v>
      </x:c>
      <x:c r="C1252" s="31" t="str">
        <x:v>008100</x:v>
      </x:c>
      <x:c r="D1252" s="31" t="str">
        <x:v>MN0401</x:v>
      </x:c>
      <x:c r="E1252" s="31" t="str">
        <x:v>Chelsea-Hudson Yards</x:v>
      </x:c>
      <x:c r="F1252" s="31" t="n">
        <x:v>0.06728910190972222</x:v>
      </x:c>
      <x:c r="G1252" s="31" t="n">
        <x:v>40.73980573601901</x:v>
      </x:c>
      <x:c r="H1252" s="31" t="n">
        <x:v>-73.99877174429506</x:v>
      </x:c>
      <x:c r="I1252" s="31" t="n">
        <x:v>7853</x:v>
      </x:c>
      <x:c r="J1252" s="31" t="n">
        <x:v>116705.37690539997</x:v>
      </x:c>
      <x:c r="K1252" s="31"/>
      <x:c r="L1252" s="40"/>
      <x:c r="M1252" s="40"/>
      <x:c r="N1252" s="31" t="n">
        <x:v>225</x:v>
      </x:c>
      <x:c r="O1252" s="31" t="n">
        <x:v>5776</x:v>
      </x:c>
      <x:c r="P1252" s="31" t="n">
        <x:v>9.116771159874608</x:v>
      </x:c>
      <x:c r="Q1252" s="40" t="n">
        <x:v>0.34054709141274236</x:v>
      </x:c>
      <x:c r="R1252" s="40" t="n">
        <x:v>0.6530470914127424</x:v>
      </x:c>
      <x:c r="S1252" s="40" t="n">
        <x:v>0.06024930747922438</x:v>
      </x:c>
      <x:c r="T1252" s="31" t="n">
        <x:v>101.30430209175361</x:v>
      </x:c>
      <x:c r="U1252" s="31" t="n">
        <x:v>316.83</x:v>
      </x:c>
      <x:c r="V1252" s="31" t="n">
        <x:v>157</x:v>
      </x:c>
      <x:c r="W1252" s="31" t="n">
        <x:v>19.992359607793198</x:v>
      </x:c>
      <x:c r="X1252" s="31" t="n">
        <x:v>1</x:v>
      </x:c>
      <x:c r="Y1252" s="40" t="n">
        <x:v>0</x:v>
      </x:c>
      <x:c r="Z1252" s="40" t="n">
        <x:v>1</x:v>
      </x:c>
      <x:c r="AA1252" s="40" t="n">
        <x:v>0.9922091412742382</x:v>
      </x:c>
      <x:c r="AB1252" s="31" t="n">
        <x:v>0.1594185542191755</x:v>
      </x:c>
      <x:c r="AC1252" s="31" t="n">
        <x:v>7</x:v>
      </x:c>
      <x:c r="AD1252" s="44" t="b">
        <x:v>1</x:v>
      </x:c>
    </x:row>
    <x:row r="1253">
      <x:c r="A1253" s="31" t="str">
        <x:v>36061008200</x:v>
      </x:c>
      <x:c r="B1253" s="31" t="str">
        <x:v>Manhattan</x:v>
      </x:c>
      <x:c r="C1253" s="31" t="str">
        <x:v>008200</x:v>
      </x:c>
      <x:c r="D1253" s="31" t="str">
        <x:v>MN0502</x:v>
      </x:c>
      <x:c r="E1253" s="31" t="str">
        <x:v>Midtown-Times Square</x:v>
      </x:c>
      <x:c r="F1253" s="31" t="n">
        <x:v>0.06660064798553719</x:v>
      </x:c>
      <x:c r="G1253" s="31" t="n">
        <x:v>40.75061376521956</x:v>
      </x:c>
      <x:c r="H1253" s="31" t="n">
        <x:v>-73.98087261340186</x:v>
      </x:c>
      <x:c r="I1253" s="31" t="n">
        <x:v>3414</x:v>
      </x:c>
      <x:c r="J1253" s="31" t="n">
        <x:v>51260.76251902796</x:v>
      </x:c>
      <x:c r="K1253" s="31"/>
      <x:c r="L1253" s="40"/>
      <x:c r="M1253" s="40"/>
      <x:c r="N1253" s="31" t="n">
        <x:v>45</x:v>
      </x:c>
      <x:c r="O1253" s="31" t="n">
        <x:v>2639</x:v>
      </x:c>
      <x:c r="P1253" s="31" t="n">
        <x:v>19.35126942023494</x:v>
      </x:c>
      <x:c r="Q1253" s="40" t="n">
        <x:v>0.8893520272830617</x:v>
      </x:c>
      <x:c r="R1253" s="40" t="n">
        <x:v>0.11064797271693823</x:v>
      </x:c>
      <x:c r="S1253" s="40" t="n">
        <x:v>0</x:v>
      </x:c>
      <x:c r="T1253" s="31" t="n">
        <x:v>210.42209063574816</x:v>
      </x:c>
      <x:c r="U1253" s="31" t="n">
        <x:v>600</x:v>
      </x:c>
      <x:c r="V1253" s="31" t="n">
        <x:v>77</x:v>
      </x:c>
      <x:c r="W1253" s="31" t="n">
        <x:v>22.554188635032222</x:v>
      </x:c>
      <x:c r="X1253" s="31" t="n">
        <x:v>2</x:v>
      </x:c>
      <x:c r="Y1253" s="40" t="n">
        <x:v>0</x:v>
      </x:c>
      <x:c r="Z1253" s="40" t="n">
        <x:v>1</x:v>
      </x:c>
      <x:c r="AA1253" s="40" t="n">
        <x:v>0.9901477832512315</x:v>
      </x:c>
      <x:c r="AB1253" s="31" t="n">
        <x:v>0.08791038571662232</x:v>
      </x:c>
      <x:c r="AC1253" s="31" t="n">
        <x:v>8</x:v>
      </x:c>
      <x:c r="AD1253" s="44" t="b">
        <x:v>1</x:v>
      </x:c>
    </x:row>
    <x:row r="1254">
      <x:c r="A1254" s="31" t="str">
        <x:v>36061008300</x:v>
      </x:c>
      <x:c r="B1254" s="31" t="str">
        <x:v>Manhattan</x:v>
      </x:c>
      <x:c r="C1254" s="31" t="str">
        <x:v>008300</x:v>
      </x:c>
      <x:c r="D1254" s="31" t="str">
        <x:v>MN0401</x:v>
      </x:c>
      <x:c r="E1254" s="31" t="str">
        <x:v>Chelsea-Hudson Yards</x:v>
      </x:c>
      <x:c r="F1254" s="31" t="n">
        <x:v>0.06718504489461376</x:v>
      </x:c>
      <x:c r="G1254" s="31" t="n">
        <x:v>40.742198824573734</x:v>
      </x:c>
      <x:c r="H1254" s="31" t="n">
        <x:v>-74.0044520874449</x:v>
      </x:c>
      <x:c r="I1254" s="31" t="n">
        <x:v>3853</x:v>
      </x:c>
      <x:c r="J1254" s="31" t="n">
        <x:v>57349.072342569736</x:v>
      </x:c>
      <x:c r="K1254" s="31"/>
      <x:c r="L1254" s="40"/>
      <x:c r="M1254" s="40"/>
      <x:c r="N1254" s="31" t="n">
        <x:v>81</x:v>
      </x:c>
      <x:c r="O1254" s="31" t="n">
        <x:v>1987</x:v>
      </x:c>
      <x:c r="P1254" s="31" t="n">
        <x:v>10.242325113236035</x:v>
      </x:c>
      <x:c r="Q1254" s="40" t="n">
        <x:v>0.26874685455460495</x:v>
      </x:c>
      <x:c r="R1254" s="40" t="n">
        <x:v>0.7312531454453951</x:v>
      </x:c>
      <x:c r="S1254" s="40" t="n">
        <x:v>0.15500754906894817</x:v>
      </x:c>
      <x:c r="T1254" s="31" t="n">
        <x:v>140.21632703751888</x:v>
      </x:c>
      <x:c r="U1254" s="31" t="n">
        <x:v>273</x:v>
      </x:c>
      <x:c r="V1254" s="31" t="n">
        <x:v>57</x:v>
      </x:c>
      <x:c r="W1254" s="31" t="n">
        <x:v>14.793667272255385</x:v>
      </x:c>
      <x:c r="X1254" s="31" t="n">
        <x:v>1</x:v>
      </x:c>
      <x:c r="Y1254" s="40" t="n">
        <x:v>0</x:v>
      </x:c>
      <x:c r="Z1254" s="40" t="n">
        <x:v>1</x:v>
      </x:c>
      <x:c r="AA1254" s="40" t="n">
        <x:v>1</x:v>
      </x:c>
      <x:c r="AB1254" s="31" t="n">
        <x:v>0.06267314091132936</x:v>
      </x:c>
      <x:c r="AC1254" s="31" t="n">
        <x:v>6</x:v>
      </x:c>
      <x:c r="AD1254" s="44" t="b">
        <x:v>1</x:v>
      </x:c>
    </x:row>
    <x:row r="1255">
      <x:c r="A1255" s="31" t="str">
        <x:v>36061008400</x:v>
      </x:c>
      <x:c r="B1255" s="31" t="str">
        <x:v>Manhattan</x:v>
      </x:c>
      <x:c r="C1255" s="31" t="str">
        <x:v>008400</x:v>
      </x:c>
      <x:c r="D1255" s="31" t="str">
        <x:v>MN0502</x:v>
      </x:c>
      <x:c r="E1255" s="31" t="str">
        <x:v>Midtown-Times Square</x:v>
      </x:c>
      <x:c r="F1255" s="31" t="n">
        <x:v>0.06681667271077249</x:v>
      </x:c>
      <x:c r="G1255" s="31" t="n">
        <x:v>40.751969901207026</x:v>
      </x:c>
      <x:c r="H1255" s="31" t="n">
        <x:v>-73.9840938636779</x:v>
      </x:c>
      <x:c r="I1255" s="31" t="n">
        <x:v>1985</x:v>
      </x:c>
      <x:c r="J1255" s="31" t="n">
        <x:v>29708.15396020115</x:v>
      </x:c>
      <x:c r="K1255" s="31"/>
      <x:c r="L1255" s="40"/>
      <x:c r="M1255" s="40"/>
      <x:c r="N1255" s="31" t="n">
        <x:v>29</x:v>
      </x:c>
      <x:c r="O1255" s="31" t="n">
        <x:v>1443</x:v>
      </x:c>
      <x:c r="P1255" s="31" t="n">
        <x:v>30.19126819126819</x:v>
      </x:c>
      <x:c r="Q1255" s="40" t="n">
        <x:v>0.9140679140679141</x:v>
      </x:c>
      <x:c r="R1255" s="40" t="n">
        <x:v>0.08593208593208593</x:v>
      </x:c>
      <x:c r="S1255" s="40" t="n">
        <x:v>0</x:v>
      </x:c>
      <x:c r="T1255" s="31" t="n">
        <x:v>333.301172231364</x:v>
      </x:c>
      <x:c r="U1255" s="31" t="n">
        <x:v>592</x:v>
      </x:c>
      <x:c r="V1255" s="31" t="n">
        <x:v>53</x:v>
      </x:c>
      <x:c r="W1255" s="31" t="n">
        <x:v>26.700251889168765</x:v>
      </x:c>
      <x:c r="X1255" s="31" t="n">
        <x:v>2</x:v>
      </x:c>
      <x:c r="Y1255" s="40" t="n">
        <x:v>0</x:v>
      </x:c>
      <x:c r="Z1255" s="40" t="n">
        <x:v>1</x:v>
      </x:c>
      <x:c r="AA1255" s="40" t="n">
        <x:v>0.9501039501039501</x:v>
      </x:c>
      <x:c r="AB1255" s="31" t="n">
        <x:v>0.05832855351203956</x:v>
      </x:c>
      <x:c r="AC1255" s="31" t="n">
        <x:v>8</x:v>
      </x:c>
      <x:c r="AD1255" s="44" t="b">
        <x:v>1</x:v>
      </x:c>
    </x:row>
    <x:row r="1256">
      <x:c r="A1256" s="31" t="str">
        <x:v>36061008601</x:v>
      </x:c>
      <x:c r="B1256" s="31" t="str">
        <x:v>Manhattan</x:v>
      </x:c>
      <x:c r="C1256" s="31" t="str">
        <x:v>008601</x:v>
      </x:c>
      <x:c r="D1256" s="31" t="str">
        <x:v>MN0603</x:v>
      </x:c>
      <x:c r="E1256" s="31" t="str">
        <x:v>Murray Hill-Kips Bay</x:v>
      </x:c>
      <x:c r="F1256" s="31" t="n">
        <x:v>0.04445775644369835</x:v>
      </x:c>
      <x:c r="G1256" s="31" t="n">
        <x:v>40.74602684028138</x:v>
      </x:c>
      <x:c r="H1256" s="31" t="n">
        <x:v>-73.9706738684395</x:v>
      </x:c>
      <x:c r="I1256" s="31" t="n">
        <x:v>4853</x:v>
      </x:c>
      <x:c r="J1256" s="31" t="n">
        <x:v>109159.80445720146</x:v>
      </x:c>
      <x:c r="K1256" s="31"/>
      <x:c r="L1256" s="40"/>
      <x:c r="M1256" s="40"/>
      <x:c r="N1256" s="31" t="n">
        <x:v>5</x:v>
      </x:c>
      <x:c r="O1256" s="31" t="n">
        <x:v>2505</x:v>
      </x:c>
      <x:c r="P1256" s="31" t="n">
        <x:v>38.98283433133732</x:v>
      </x:c>
      <x:c r="Q1256" s="40" t="n">
        <x:v>1</x:v>
      </x:c>
      <x:c r="R1256" s="40" t="n">
        <x:v>0</x:v>
      </x:c>
      <x:c r="S1256" s="40" t="n">
        <x:v>0.30379241516966066</x:v>
      </x:c>
      <x:c r="T1256" s="31" t="n">
        <x:v>404.96586466165417</x:v>
      </x:c>
      <x:c r="U1256" s="31" t="n">
        <x:v>540</x:v>
      </x:c>
      <x:c r="V1256" s="31" t="n">
        <x:v>37</x:v>
      </x:c>
      <x:c r="W1256" s="31" t="n">
        <x:v>7.624150010302905</x:v>
      </x:c>
      <x:c r="X1256" s="31" t="n">
        <x:v>2</x:v>
      </x:c>
      <x:c r="Y1256" s="40" t="n">
        <x:v>0</x:v>
      </x:c>
      <x:c r="Z1256" s="40" t="n">
        <x:v>1</x:v>
      </x:c>
      <x:c r="AA1256" s="40" t="n">
        <x:v>0.9556886227544911</x:v>
      </x:c>
      <x:c r="AB1256" s="31" t="n">
        <x:v>0.1402194881811036</x:v>
      </x:c>
      <x:c r="AC1256" s="31" t="n">
        <x:v>6</x:v>
      </x:c>
      <x:c r="AD1256" s="44" t="b">
        <x:v>1</x:v>
      </x:c>
    </x:row>
    <x:row r="1257">
      <x:c r="A1257" s="31" t="str">
        <x:v>36061008602</x:v>
      </x:c>
      <x:c r="B1257" s="31" t="str">
        <x:v>Manhattan</x:v>
      </x:c>
      <x:c r="C1257" s="31" t="str">
        <x:v>008602</x:v>
      </x:c>
      <x:c r="D1257" s="31" t="str">
        <x:v>MN0661</x:v>
      </x:c>
      <x:c r="E1257" s="31" t="str">
        <x:v>United Nations</x:v>
      </x:c>
      <x:c r="F1257" s="31" t="n">
        <x:v>0.03914320657534148</x:v>
      </x:c>
      <x:c r="G1257" s="31" t="n">
        <x:v>40.750345683707636</x:v>
      </x:c>
      <x:c r="H1257" s="31" t="n">
        <x:v>-73.96731882813083</x:v>
      </x:c>
      <x:c r="I1257" s="31" t="n">
        <x:v>0</x:v>
      </x:c>
      <x:c r="J1257" s="31" t="n">
        <x:v>0</x:v>
      </x:c>
      <x:c r="K1257" s="31"/>
      <x:c r="L1257" s="40"/>
      <x:c r="M1257" s="40"/>
      <x:c r="N1257" s="31" t="n">
        <x:v>0</x:v>
      </x:c>
      <x:c r="O1257" s="31"/>
      <x:c r="P1257" s="31"/>
      <x:c r="Q1257" s="40"/>
      <x:c r="R1257" s="40"/>
      <x:c r="S1257" s="40"/>
      <x:c r="T1257" s="31"/>
      <x:c r="U1257" s="31"/>
      <x:c r="V1257" s="31" t="n">
        <x:v>0</x:v>
      </x:c>
      <x:c r="W1257" s="31"/>
      <x:c r="X1257" s="31"/>
      <x:c r="Y1257" s="40"/>
      <x:c r="Z1257" s="40"/>
      <x:c r="AA1257" s="40"/>
      <x:c r="AB1257" s="31" t="n">
        <x:v>0.3278152301381315</x:v>
      </x:c>
      <x:c r="AC1257" s="31" t="n">
        <x:v>4</x:v>
      </x:c>
      <x:c r="AD1257" s="44" t="b">
        <x:v>0</x:v>
      </x:c>
    </x:row>
    <x:row r="1258">
      <x:c r="A1258" s="31" t="str">
        <x:v>36061008603</x:v>
      </x:c>
      <x:c r="B1258" s="31" t="str">
        <x:v>Manhattan</x:v>
      </x:c>
      <x:c r="C1258" s="31" t="str">
        <x:v>008603</x:v>
      </x:c>
      <x:c r="D1258" s="31" t="str">
        <x:v>MN0604</x:v>
      </x:c>
      <x:c r="E1258" s="31" t="str">
        <x:v>East Midtown-Turtle Bay</x:v>
      </x:c>
      <x:c r="F1258" s="31" t="n">
        <x:v>0.044973820702048896</x:v>
      </x:c>
      <x:c r="G1258" s="31" t="n">
        <x:v>40.7540353346339</x:v>
      </x:c>
      <x:c r="H1258" s="31" t="n">
        <x:v>-73.96439162895099</x:v>
      </x:c>
      <x:c r="I1258" s="31" t="n">
        <x:v>5347</x:v>
      </x:c>
      <x:c r="J1258" s="31" t="n">
        <x:v>118891.38873532272</x:v>
      </x:c>
      <x:c r="K1258" s="31"/>
      <x:c r="L1258" s="40"/>
      <x:c r="M1258" s="40"/>
      <x:c r="N1258" s="31" t="n">
        <x:v>74</x:v>
      </x:c>
      <x:c r="O1258" s="31" t="n">
        <x:v>3778</x:v>
      </x:c>
      <x:c r="P1258" s="31" t="n">
        <x:v>20.774219163578614</x:v>
      </x:c>
      <x:c r="Q1258" s="40" t="n">
        <x:v>0.9139756484912652</x:v>
      </x:c>
      <x:c r="R1258" s="40" t="n">
        <x:v>0.08575966119640022</x:v>
      </x:c>
      <x:c r="S1258" s="40" t="n">
        <x:v>0.10508205399682372</x:v>
      </x:c>
      <x:c r="T1258" s="31" t="n">
        <x:v>211.9043013508092</x:v>
      </x:c>
      <x:c r="U1258" s="31" t="n">
        <x:v>363.46</x:v>
      </x:c>
      <x:c r="V1258" s="31" t="n">
        <x:v>112</x:v>
      </x:c>
      <x:c r="W1258" s="31" t="n">
        <x:v>20.94632504207967</x:v>
      </x:c>
      <x:c r="X1258" s="31" t="n">
        <x:v>1.0262043409211223</x:v>
      </x:c>
      <x:c r="Y1258" s="40" t="n">
        <x:v>0</x:v>
      </x:c>
      <x:c r="Z1258" s="40" t="n">
        <x:v>1</x:v>
      </x:c>
      <x:c r="AA1258" s="40" t="n">
        <x:v>0.9780307040762308</x:v>
      </x:c>
      <x:c r="AB1258" s="31" t="n">
        <x:v>0.37816329363207246</x:v>
      </x:c>
      <x:c r="AC1258" s="31" t="n">
        <x:v>5</x:v>
      </x:c>
      <x:c r="AD1258" s="44" t="b">
        <x:v>1</x:v>
      </x:c>
    </x:row>
    <x:row r="1259">
      <x:c r="A1259" s="31" t="str">
        <x:v>36061008700</x:v>
      </x:c>
      <x:c r="B1259" s="31" t="str">
        <x:v>Manhattan</x:v>
      </x:c>
      <x:c r="C1259" s="31" t="str">
        <x:v>008700</x:v>
      </x:c>
      <x:c r="D1259" s="31" t="str">
        <x:v>MN0401</x:v>
      </x:c>
      <x:c r="E1259" s="31" t="str">
        <x:v>Chelsea-Hudson Yards</x:v>
      </x:c>
      <x:c r="F1259" s="31" t="n">
        <x:v>0.06387863347143308</x:v>
      </x:c>
      <x:c r="G1259" s="31" t="n">
        <x:v>40.742243363098886</x:v>
      </x:c>
      <x:c r="H1259" s="31" t="n">
        <x:v>-73.99699450439844</x:v>
      </x:c>
      <x:c r="I1259" s="31" t="n">
        <x:v>6510</x:v>
      </x:c>
      <x:c r="J1259" s="31" t="n">
        <x:v>101912.01104687552</x:v>
      </x:c>
      <x:c r="K1259" s="31"/>
      <x:c r="L1259" s="40"/>
      <x:c r="M1259" s="40"/>
      <x:c r="N1259" s="31" t="n">
        <x:v>217</x:v>
      </x:c>
      <x:c r="O1259" s="31" t="n">
        <x:v>4488</x:v>
      </x:c>
      <x:c r="P1259" s="31" t="n">
        <x:v>8.833704859563085</x:v>
      </x:c>
      <x:c r="Q1259" s="40" t="n">
        <x:v>0.4037433155080214</x:v>
      </x:c>
      <x:c r="R1259" s="40" t="n">
        <x:v>0.5955882352941176</x:v>
      </x:c>
      <x:c r="S1259" s="40" t="n">
        <x:v>0.01715686274509804</x:v>
      </x:c>
      <x:c r="T1259" s="31" t="n">
        <x:v>98.2825112099308</x:v>
      </x:c>
      <x:c r="U1259" s="31" t="n">
        <x:v>178.11</x:v>
      </x:c>
      <x:c r="V1259" s="31" t="n">
        <x:v>131</x:v>
      </x:c>
      <x:c r="W1259" s="31" t="n">
        <x:v>20.122887864823348</x:v>
      </x:c>
      <x:c r="X1259" s="31" t="n">
        <x:v>1</x:v>
      </x:c>
      <x:c r="Y1259" s="40" t="n">
        <x:v>0</x:v>
      </x:c>
      <x:c r="Z1259" s="40" t="n">
        <x:v>1</x:v>
      </x:c>
      <x:c r="AA1259" s="40" t="n">
        <x:v>0.9982174688057041</x:v>
      </x:c>
      <x:c r="AB1259" s="31" t="n">
        <x:v>0.16618836985372523</x:v>
      </x:c>
      <x:c r="AC1259" s="31" t="n">
        <x:v>7</x:v>
      </x:c>
      <x:c r="AD1259" s="44" t="b">
        <x:v>1</x:v>
      </x:c>
    </x:row>
    <x:row r="1260">
      <x:c r="A1260" s="31" t="str">
        <x:v>36061008800</x:v>
      </x:c>
      <x:c r="B1260" s="31" t="str">
        <x:v>Manhattan</x:v>
      </x:c>
      <x:c r="C1260" s="31" t="str">
        <x:v>008800</x:v>
      </x:c>
      <x:c r="D1260" s="31" t="str">
        <x:v>MN0603</x:v>
      </x:c>
      <x:c r="E1260" s="31" t="str">
        <x:v>Murray Hill-Kips Bay</x:v>
      </x:c>
      <x:c r="F1260" s="31" t="n">
        <x:v>0.06919592234059344</x:v>
      </x:c>
      <x:c r="G1260" s="31" t="n">
        <x:v>40.749499751934884</x:v>
      </x:c>
      <x:c r="H1260" s="31" t="n">
        <x:v>-73.97238393527853</x:v>
      </x:c>
      <x:c r="I1260" s="31" t="n">
        <x:v>8852</x:v>
      </x:c>
      <x:c r="J1260" s="31" t="n">
        <x:v>127926.61331153353</x:v>
      </x:c>
      <x:c r="K1260" s="31"/>
      <x:c r="L1260" s="40"/>
      <x:c r="M1260" s="40"/>
      <x:c r="N1260" s="31" t="n">
        <x:v>49</x:v>
      </x:c>
      <x:c r="O1260" s="31" t="n">
        <x:v>8820</x:v>
      </x:c>
      <x:c r="P1260" s="31" t="n">
        <x:v>27.194851668013392</x:v>
      </x:c>
      <x:c r="Q1260" s="40" t="n">
        <x:v>0.9590702947845805</x:v>
      </x:c>
      <x:c r="R1260" s="40" t="n">
        <x:v>0.02312925170068027</x:v>
      </x:c>
      <x:c r="S1260" s="40" t="n">
        <x:v>0.022675736961451247</x:v>
      </x:c>
      <x:c r="T1260" s="31" t="n">
        <x:v>275.4483128096304</x:v>
      </x:c>
      <x:c r="U1260" s="31" t="n">
        <x:v>485</x:v>
      </x:c>
      <x:c r="V1260" s="31" t="n">
        <x:v>142</x:v>
      </x:c>
      <x:c r="W1260" s="31" t="n">
        <x:v>16.041572525982826</x:v>
      </x:c>
      <x:c r="X1260" s="31" t="n">
        <x:v>2</x:v>
      </x:c>
      <x:c r="Y1260" s="40" t="n">
        <x:v>0</x:v>
      </x:c>
      <x:c r="Z1260" s="40" t="n">
        <x:v>1</x:v>
      </x:c>
      <x:c r="AA1260" s="40" t="n">
        <x:v>1</x:v>
      </x:c>
      <x:c r="AB1260" s="31" t="n">
        <x:v>0.10952646646267164</x:v>
      </x:c>
      <x:c r="AC1260" s="31" t="n">
        <x:v>6</x:v>
      </x:c>
      <x:c r="AD1260" s="44" t="b">
        <x:v>1</x:v>
      </x:c>
    </x:row>
    <x:row r="1261">
      <x:c r="A1261" s="31" t="str">
        <x:v>36061008900</x:v>
      </x:c>
      <x:c r="B1261" s="31" t="str">
        <x:v>Manhattan</x:v>
      </x:c>
      <x:c r="C1261" s="31" t="str">
        <x:v>008900</x:v>
      </x:c>
      <x:c r="D1261" s="31" t="str">
        <x:v>MN0401</x:v>
      </x:c>
      <x:c r="E1261" s="31" t="str">
        <x:v>Chelsea-Hudson Yards</x:v>
      </x:c>
      <x:c r="F1261" s="31" t="n">
        <x:v>0.06394463200291264</x:v>
      </x:c>
      <x:c r="G1261" s="31" t="n">
        <x:v>40.744637890606974</x:v>
      </x:c>
      <x:c r="H1261" s="31" t="n">
        <x:v>-74.00267742110182</x:v>
      </x:c>
      <x:c r="I1261" s="31" t="n">
        <x:v>5957</x:v>
      </x:c>
      <x:c r="J1261" s="31" t="n">
        <x:v>93158.7189324768</x:v>
      </x:c>
      <x:c r="K1261" s="31"/>
      <x:c r="L1261" s="40"/>
      <x:c r="M1261" s="40"/>
      <x:c r="N1261" s="31" t="n">
        <x:v>297</x:v>
      </x:c>
      <x:c r="O1261" s="31" t="n">
        <x:v>3441</x:v>
      </x:c>
      <x:c r="P1261" s="31" t="n">
        <x:v>7.245023419203747</x:v>
      </x:c>
      <x:c r="Q1261" s="40" t="n">
        <x:v>0.25399593141528626</x:v>
      </x:c>
      <x:c r="R1261" s="40" t="n">
        <x:v>0.7361232199941877</x:v>
      </x:c>
      <x:c r="S1261" s="40" t="n">
        <x:v>0.05666957279860506</x:v>
      </x:c>
      <x:c r="T1261" s="31" t="n">
        <x:v>80.0562463992326</x:v>
      </x:c>
      <x:c r="U1261" s="31" t="n">
        <x:v>219.01</x:v>
      </x:c>
      <x:c r="V1261" s="31" t="n">
        <x:v>81</x:v>
      </x:c>
      <x:c r="W1261" s="31" t="n">
        <x:v>13.597448380057076</x:v>
      </x:c>
      <x:c r="X1261" s="31" t="n">
        <x:v>1</x:v>
      </x:c>
      <x:c r="Y1261" s="40" t="n">
        <x:v>0</x:v>
      </x:c>
      <x:c r="Z1261" s="40" t="n">
        <x:v>1</x:v>
      </x:c>
      <x:c r="AA1261" s="40" t="n">
        <x:v>0.980819529206626</x:v>
      </x:c>
      <x:c r="AB1261" s="31" t="n">
        <x:v>0.08834113277694507</x:v>
      </x:c>
      <x:c r="AC1261" s="31" t="n">
        <x:v>6</x:v>
      </x:c>
      <x:c r="AD1261" s="44" t="b">
        <x:v>1</x:v>
      </x:c>
    </x:row>
    <x:row r="1262">
      <x:c r="A1262" s="31" t="str">
        <x:v>36061009000</x:v>
      </x:c>
      <x:c r="B1262" s="31" t="str">
        <x:v>Manhattan</x:v>
      </x:c>
      <x:c r="C1262" s="31" t="str">
        <x:v>009000</x:v>
      </x:c>
      <x:c r="D1262" s="31" t="str">
        <x:v>MN0604</x:v>
      </x:c>
      <x:c r="E1262" s="31" t="str">
        <x:v>East Midtown-Turtle Bay</x:v>
      </x:c>
      <x:c r="F1262" s="31" t="n">
        <x:v>0.0675284217616506</x:v>
      </x:c>
      <x:c r="G1262" s="31" t="n">
        <x:v>40.75265895239098</x:v>
      </x:c>
      <x:c r="H1262" s="31" t="n">
        <x:v>-73.97008981484439</x:v>
      </x:c>
      <x:c r="I1262" s="31" t="n">
        <x:v>8830</x:v>
      </x:c>
      <x:c r="J1262" s="31" t="n">
        <x:v>130759.75670165238</x:v>
      </x:c>
      <x:c r="K1262" s="31"/>
      <x:c r="L1262" s="40"/>
      <x:c r="M1262" s="40"/>
      <x:c r="N1262" s="31" t="n">
        <x:v>110</x:v>
      </x:c>
      <x:c r="O1262" s="31" t="n">
        <x:v>6379</x:v>
      </x:c>
      <x:c r="P1262" s="31" t="n">
        <x:v>24.989104875372316</x:v>
      </x:c>
      <x:c r="Q1262" s="40" t="n">
        <x:v>0.89292992632074</x:v>
      </x:c>
      <x:c r="R1262" s="40" t="n">
        <x:v>0.10707007367926007</x:v>
      </x:c>
      <x:c r="S1262" s="40" t="n">
        <x:v>0.006897632857814705</x:v>
      </x:c>
      <x:c r="T1262" s="31" t="n">
        <x:v>265.5547180778288</x:v>
      </x:c>
      <x:c r="U1262" s="31" t="n">
        <x:v>859</x:v>
      </x:c>
      <x:c r="V1262" s="31" t="n">
        <x:v>154</x:v>
      </x:c>
      <x:c r="W1262" s="31" t="n">
        <x:v>17.440543601359003</x:v>
      </x:c>
      <x:c r="X1262" s="31" t="n">
        <x:v>2</x:v>
      </x:c>
      <x:c r="Y1262" s="40" t="n">
        <x:v>0</x:v>
      </x:c>
      <x:c r="Z1262" s="40" t="n">
        <x:v>1</x:v>
      </x:c>
      <x:c r="AA1262" s="40" t="n">
        <x:v>0.9559492083398652</x:v>
      </x:c>
      <x:c r="AB1262" s="31" t="n">
        <x:v>0.22066168647836065</x:v>
      </x:c>
      <x:c r="AC1262" s="31" t="n">
        <x:v>6</x:v>
      </x:c>
      <x:c r="AD1262" s="44" t="b">
        <x:v>1</x:v>
      </x:c>
    </x:row>
    <x:row r="1263">
      <x:c r="A1263" s="31" t="str">
        <x:v>36061009100</x:v>
      </x:c>
      <x:c r="B1263" s="31" t="str">
        <x:v>Manhattan</x:v>
      </x:c>
      <x:c r="C1263" s="31" t="str">
        <x:v>009100</x:v>
      </x:c>
      <x:c r="D1263" s="31" t="str">
        <x:v>MN0401</x:v>
      </x:c>
      <x:c r="E1263" s="31" t="str">
        <x:v>Chelsea-Hudson Yards</x:v>
      </x:c>
      <x:c r="F1263" s="31" t="n">
        <x:v>0.0691230522888688</x:v>
      </x:c>
      <x:c r="G1263" s="31" t="n">
        <x:v>40.74471844171819</x:v>
      </x:c>
      <x:c r="H1263" s="31" t="n">
        <x:v>-73.99519662116992</x:v>
      </x:c>
      <x:c r="I1263" s="31" t="n">
        <x:v>7362</x:v>
      </x:c>
      <x:c r="J1263" s="31" t="n">
        <x:v>106505.71345191504</x:v>
      </x:c>
      <x:c r="K1263" s="31"/>
      <x:c r="L1263" s="40"/>
      <x:c r="M1263" s="40"/>
      <x:c r="N1263" s="31" t="n">
        <x:v>141</x:v>
      </x:c>
      <x:c r="O1263" s="31" t="n">
        <x:v>4906</x:v>
      </x:c>
      <x:c r="P1263" s="31" t="n">
        <x:v>13.32429677945373</x:v>
      </x:c>
      <x:c r="Q1263" s="40" t="n">
        <x:v>0.6367713004484304</x:v>
      </x:c>
      <x:c r="R1263" s="40" t="n">
        <x:v>0.36302486750917246</x:v>
      </x:c>
      <x:c r="S1263" s="40" t="n">
        <x:v>0.0405625764370159</x:v>
      </x:c>
      <x:c r="T1263" s="31" t="n">
        <x:v>145.47605239051111</x:v>
      </x:c>
      <x:c r="U1263" s="31" t="n">
        <x:v>451</x:v>
      </x:c>
      <x:c r="V1263" s="31" t="n">
        <x:v>145</x:v>
      </x:c>
      <x:c r="W1263" s="31" t="n">
        <x:v>19.69573485465906</x:v>
      </x:c>
      <x:c r="X1263" s="31" t="n">
        <x:v>1.3245006114961273</x:v>
      </x:c>
      <x:c r="Y1263" s="40" t="n">
        <x:v>0</x:v>
      </x:c>
      <x:c r="Z1263" s="40" t="n">
        <x:v>1</x:v>
      </x:c>
      <x:c r="AA1263" s="40" t="n">
        <x:v>0.9610680799021606</x:v>
      </x:c>
      <x:c r="AB1263" s="31" t="n">
        <x:v>0.04240137116786102</x:v>
      </x:c>
      <x:c r="AC1263" s="31" t="n">
        <x:v>6</x:v>
      </x:c>
      <x:c r="AD1263" s="44" t="b">
        <x:v>1</x:v>
      </x:c>
    </x:row>
    <x:row r="1264">
      <x:c r="A1264" s="31" t="str">
        <x:v>36061009200</x:v>
      </x:c>
      <x:c r="B1264" s="31" t="str">
        <x:v>Manhattan</x:v>
      </x:c>
      <x:c r="C1264" s="31" t="str">
        <x:v>009200</x:v>
      </x:c>
      <x:c r="D1264" s="31" t="str">
        <x:v>MN0604</x:v>
      </x:c>
      <x:c r="E1264" s="31" t="str">
        <x:v>East Midtown-Turtle Bay</x:v>
      </x:c>
      <x:c r="F1264" s="31" t="n">
        <x:v>0.07598824600407483</x:v>
      </x:c>
      <x:c r="G1264" s="31" t="n">
        <x:v>40.753646664215715</x:v>
      </x:c>
      <x:c r="H1264" s="31" t="n">
        <x:v>-73.97474014500992</x:v>
      </x:c>
      <x:c r="I1264" s="31" t="n">
        <x:v>1866</x:v>
      </x:c>
      <x:c r="J1264" s="31" t="n">
        <x:v>24556.429423307607</x:v>
      </x:c>
      <x:c r="K1264" s="31"/>
      <x:c r="L1264" s="40"/>
      <x:c r="M1264" s="40"/>
      <x:c r="N1264" s="31" t="n">
        <x:v>25</x:v>
      </x:c>
      <x:c r="O1264" s="31" t="n">
        <x:v>1589</x:v>
      </x:c>
      <x:c r="P1264" s="31" t="n">
        <x:v>25.51101321585903</x:v>
      </x:c>
      <x:c r="Q1264" s="40" t="n">
        <x:v>0.920075519194462</x:v>
      </x:c>
      <x:c r="R1264" s="40" t="n">
        <x:v>0.07992448080553807</x:v>
      </x:c>
      <x:c r="S1264" s="40" t="n">
        <x:v>0</x:v>
      </x:c>
      <x:c r="T1264" s="31" t="n">
        <x:v>279.81098804279424</x:v>
      </x:c>
      <x:c r="U1264" s="31" t="n">
        <x:v>477</x:v>
      </x:c>
      <x:c r="V1264" s="31" t="n">
        <x:v>34</x:v>
      </x:c>
      <x:c r="W1264" s="31" t="n">
        <x:v>18.220793140407288</x:v>
      </x:c>
      <x:c r="X1264" s="31" t="n">
        <x:v>2</x:v>
      </x:c>
      <x:c r="Y1264" s="40" t="n">
        <x:v>0</x:v>
      </x:c>
      <x:c r="Z1264" s="40" t="n">
        <x:v>1</x:v>
      </x:c>
      <x:c r="AA1264" s="40" t="n">
        <x:v>1</x:v>
      </x:c>
      <x:c r="AB1264" s="31" t="n">
        <x:v>0.2047747716172662</x:v>
      </x:c>
      <x:c r="AC1264" s="31" t="n">
        <x:v>8</x:v>
      </x:c>
      <x:c r="AD1264" s="44" t="b">
        <x:v>1</x:v>
      </x:c>
    </x:row>
    <x:row r="1265">
      <x:c r="A1265" s="31" t="str">
        <x:v>36061009300</x:v>
      </x:c>
      <x:c r="B1265" s="31" t="str">
        <x:v>Manhattan</x:v>
      </x:c>
      <x:c r="C1265" s="31" t="str">
        <x:v>009300</x:v>
      </x:c>
      <x:c r="D1265" s="31" t="str">
        <x:v>MN0401</x:v>
      </x:c>
      <x:c r="E1265" s="31" t="str">
        <x:v>Chelsea-Hudson Yards</x:v>
      </x:c>
      <x:c r="F1265" s="31" t="n">
        <x:v>0.06920851243328169</x:v>
      </x:c>
      <x:c r="G1265" s="31" t="n">
        <x:v>40.74711353237525</x:v>
      </x:c>
      <x:c r="H1265" s="31" t="n">
        <x:v>-74.00087526398627</x:v>
      </x:c>
      <x:c r="I1265" s="31" t="n">
        <x:v>9325</x:v>
      </x:c>
      <x:c r="J1265" s="31" t="n">
        <x:v>134737.76089306176</x:v>
      </x:c>
      <x:c r="K1265" s="31"/>
      <x:c r="L1265" s="40"/>
      <x:c r="M1265" s="40"/>
      <x:c r="N1265" s="31" t="n">
        <x:v>164</x:v>
      </x:c>
      <x:c r="O1265" s="31" t="n">
        <x:v>5060</x:v>
      </x:c>
      <x:c r="P1265" s="31" t="n">
        <x:v>14.626185770750988</x:v>
      </x:c>
      <x:c r="Q1265" s="40" t="n">
        <x:v>0.7041501976284585</x:v>
      </x:c>
      <x:c r="R1265" s="40" t="n">
        <x:v>0.2956521739130435</x:v>
      </x:c>
      <x:c r="S1265" s="40" t="n">
        <x:v>0.4039525691699605</x:v>
      </x:c>
      <x:c r="T1265" s="31" t="n">
        <x:v>145.70916258947034</x:v>
      </x:c>
      <x:c r="U1265" s="31" t="n">
        <x:v>231</x:v>
      </x:c>
      <x:c r="V1265" s="31" t="n">
        <x:v>109</x:v>
      </x:c>
      <x:c r="W1265" s="31" t="n">
        <x:v>11.689008042895443</x:v>
      </x:c>
      <x:c r="X1265" s="31" t="n">
        <x:v>1.4693675889328064</x:v>
      </x:c>
      <x:c r="Y1265" s="40" t="n">
        <x:v>0</x:v>
      </x:c>
      <x:c r="Z1265" s="40" t="n">
        <x:v>1</x:v>
      </x:c>
      <x:c r="AA1265" s="40" t="n">
        <x:v>1</x:v>
      </x:c>
      <x:c r="AB1265" s="31" t="n">
        <x:v>0.11422941922715818</x:v>
      </x:c>
      <x:c r="AC1265" s="31" t="n">
        <x:v>7</x:v>
      </x:c>
      <x:c r="AD1265" s="44" t="b">
        <x:v>1</x:v>
      </x:c>
    </x:row>
    <x:row r="1266">
      <x:c r="A1266" s="31" t="str">
        <x:v>36061009400</x:v>
      </x:c>
      <x:c r="B1266" s="31" t="str">
        <x:v>Manhattan</x:v>
      </x:c>
      <x:c r="C1266" s="31" t="str">
        <x:v>009400</x:v>
      </x:c>
      <x:c r="D1266" s="31" t="str">
        <x:v>MN0502</x:v>
      </x:c>
      <x:c r="E1266" s="31" t="str">
        <x:v>Midtown-Times Square</x:v>
      </x:c>
      <x:c r="F1266" s="31" t="n">
        <x:v>0.05905572797972624</x:v>
      </x:c>
      <x:c r="G1266" s="31" t="n">
        <x:v>40.75522696922361</x:v>
      </x:c>
      <x:c r="H1266" s="31" t="n">
        <x:v>-73.97774411745338</x:v>
      </x:c>
      <x:c r="I1266" s="31" t="n">
        <x:v>109</x:v>
      </x:c>
      <x:c r="J1266" s="31" t="n">
        <x:v>1845.7142724143469</x:v>
      </x:c>
      <x:c r="K1266" s="31"/>
      <x:c r="L1266" s="40"/>
      <x:c r="M1266" s="40"/>
      <x:c r="N1266" s="31" t="n">
        <x:v>3</x:v>
      </x:c>
      <x:c r="O1266" s="31" t="n">
        <x:v>65</x:v>
      </x:c>
      <x:c r="P1266" s="31" t="n">
        <x:v>11.553846153846154</x:v>
      </x:c>
      <x:c r="Q1266" s="40" t="n">
        <x:v>0.35384615384615387</x:v>
      </x:c>
      <x:c r="R1266" s="40" t="n">
        <x:v>0.6461538461538462</x:v>
      </x:c>
      <x:c r="S1266" s="40" t="n">
        <x:v>0</x:v>
      </x:c>
      <x:c r="T1266" s="31" t="n">
        <x:v>68.83430769230769</x:v>
      </x:c>
      <x:c r="U1266" s="31" t="n">
        <x:v>78</x:v>
      </x:c>
      <x:c r="V1266" s="31" t="n">
        <x:v>2</x:v>
      </x:c>
      <x:c r="W1266" s="31" t="n">
        <x:v>18.34862385321101</x:v>
      </x:c>
      <x:c r="X1266" s="31" t="n">
        <x:v>2</x:v>
      </x:c>
      <x:c r="Y1266" s="40" t="n">
        <x:v>0</x:v>
      </x:c>
      <x:c r="Z1266" s="40" t="n">
        <x:v>1</x:v>
      </x:c>
      <x:c r="AA1266" s="40" t="n">
        <x:v>1</x:v>
      </x:c>
      <x:c r="AB1266" s="31" t="n">
        <x:v>0.20351350353324957</x:v>
      </x:c>
      <x:c r="AC1266" s="31" t="n">
        <x:v>7</x:v>
      </x:c>
      <x:c r="AD1266" s="44" t="b">
        <x:v>1</x:v>
      </x:c>
    </x:row>
    <x:row r="1267">
      <x:c r="A1267" s="31" t="str">
        <x:v>36061009500</x:v>
      </x:c>
      <x:c r="B1267" s="31" t="str">
        <x:v>Manhattan</x:v>
      </x:c>
      <x:c r="C1267" s="31" t="str">
        <x:v>009500</x:v>
      </x:c>
      <x:c r="D1267" s="31" t="str">
        <x:v>MN0501</x:v>
      </x:c>
      <x:c r="E1267" s="31" t="str">
        <x:v>Midtown South-Flatiron-Union Square</x:v>
      </x:c>
      <x:c r="F1267" s="31" t="n">
        <x:v>0.06640163238349403</x:v>
      </x:c>
      <x:c r="G1267" s="31" t="n">
        <x:v>40.74723661854813</x:v>
      </x:c>
      <x:c r="H1267" s="31" t="n">
        <x:v>-73.99335780526904</x:v>
      </x:c>
      <x:c r="I1267" s="31" t="n">
        <x:v>3892</x:v>
      </x:c>
      <x:c r="J1267" s="31" t="n">
        <x:v>58613.01688371542</x:v>
      </x:c>
      <x:c r="K1267" s="31"/>
      <x:c r="L1267" s="40"/>
      <x:c r="M1267" s="40"/>
      <x:c r="N1267" s="31" t="n">
        <x:v>81</x:v>
      </x:c>
      <x:c r="O1267" s="31" t="n">
        <x:v>2369</x:v>
      </x:c>
      <x:c r="P1267" s="31" t="n">
        <x:v>21.989235964542</x:v>
      </x:c>
      <x:c r="Q1267" s="40" t="n">
        <x:v>0.7766990291262136</x:v>
      </x:c>
      <x:c r="R1267" s="40" t="n">
        <x:v>0.2228788518362178</x:v>
      </x:c>
      <x:c r="S1267" s="40" t="n">
        <x:v>0.016040523427606587</x:v>
      </x:c>
      <x:c r="T1267" s="31" t="n">
        <x:v>247.4308218850528</x:v>
      </x:c>
      <x:c r="U1267" s="31" t="n">
        <x:v>623.20952132</x:v>
      </x:c>
      <x:c r="V1267" s="31" t="n">
        <x:v>106</x:v>
      </x:c>
      <x:c r="W1267" s="31" t="n">
        <x:v>27.23535457348407</x:v>
      </x:c>
      <x:c r="X1267" s="31" t="n">
        <x:v>2</x:v>
      </x:c>
      <x:c r="Y1267" s="40" t="n">
        <x:v>0</x:v>
      </x:c>
      <x:c r="Z1267" s="40" t="n">
        <x:v>1</x:v>
      </x:c>
      <x:c r="AA1267" s="40" t="n">
        <x:v>1</x:v>
      </x:c>
      <x:c r="AB1267" s="31" t="n">
        <x:v>0.05290121543569126</x:v>
      </x:c>
      <x:c r="AC1267" s="31" t="n">
        <x:v>7</x:v>
      </x:c>
      <x:c r="AD1267" s="44" t="b">
        <x:v>1</x:v>
      </x:c>
    </x:row>
    <x:row r="1268">
      <x:c r="A1268" s="31" t="str">
        <x:v>36061009600</x:v>
      </x:c>
      <x:c r="B1268" s="31" t="str">
        <x:v>Manhattan</x:v>
      </x:c>
      <x:c r="C1268" s="31" t="str">
        <x:v>009600</x:v>
      </x:c>
      <x:c r="D1268" s="31" t="str">
        <x:v>MN0502</x:v>
      </x:c>
      <x:c r="E1268" s="31" t="str">
        <x:v>Midtown-Times Square</x:v>
      </x:c>
      <x:c r="F1268" s="31" t="n">
        <x:v>0.06769716033954604</x:v>
      </x:c>
      <x:c r="G1268" s="31" t="n">
        <x:v>40.7563749829631</x:v>
      </x:c>
      <x:c r="H1268" s="31" t="n">
        <x:v>-73.98088604214628</x:v>
      </x:c>
      <x:c r="I1268" s="31" t="n">
        <x:v>608</x:v>
      </x:c>
      <x:c r="J1268" s="31" t="n">
        <x:v>8981.174349861616</x:v>
      </x:c>
      <x:c r="K1268" s="31"/>
      <x:c r="L1268" s="40"/>
      <x:c r="M1268" s="40"/>
      <x:c r="N1268" s="31" t="n">
        <x:v>23</x:v>
      </x:c>
      <x:c r="O1268" s="31" t="n">
        <x:v>468</x:v>
      </x:c>
      <x:c r="P1268" s="31" t="n">
        <x:v>34.13247863247863</x:v>
      </x:c>
      <x:c r="Q1268" s="40" t="n">
        <x:v>0.6901709401709402</x:v>
      </x:c>
      <x:c r="R1268" s="40" t="n">
        <x:v>0.30982905982905984</x:v>
      </x:c>
      <x:c r="S1268" s="40" t="n">
        <x:v>0</x:v>
      </x:c>
      <x:c r="T1268" s="31" t="n">
        <x:v>416.0665809155128</x:v>
      </x:c>
      <x:c r="U1268" s="31" t="n">
        <x:v>922</x:v>
      </x:c>
      <x:c r="V1268" s="31" t="n">
        <x:v>38</x:v>
      </x:c>
      <x:c r="W1268" s="31" t="n">
        <x:v>62.5</x:v>
      </x:c>
      <x:c r="X1268" s="31" t="n">
        <x:v>2</x:v>
      </x:c>
      <x:c r="Y1268" s="40" t="n">
        <x:v>0</x:v>
      </x:c>
      <x:c r="Z1268" s="40" t="n">
        <x:v>1</x:v>
      </x:c>
      <x:c r="AA1268" s="40" t="n">
        <x:v>1</x:v>
      </x:c>
      <x:c r="AB1268" s="31" t="n">
        <x:v>0.14607955245537121</x:v>
      </x:c>
      <x:c r="AC1268" s="31" t="n">
        <x:v>8</x:v>
      </x:c>
      <x:c r="AD1268" s="44" t="b">
        <x:v>1</x:v>
      </x:c>
    </x:row>
    <x:row r="1269">
      <x:c r="A1269" s="31" t="str">
        <x:v>36061009700</x:v>
      </x:c>
      <x:c r="B1269" s="31" t="str">
        <x:v>Manhattan</x:v>
      </x:c>
      <x:c r="C1269" s="31" t="str">
        <x:v>009700</x:v>
      </x:c>
      <x:c r="D1269" s="31" t="str">
        <x:v>MN0401</x:v>
      </x:c>
      <x:c r="E1269" s="31" t="str">
        <x:v>Chelsea-Hudson Yards</x:v>
      </x:c>
      <x:c r="F1269" s="31" t="n">
        <x:v>0.06674289887762569</x:v>
      </x:c>
      <x:c r="G1269" s="31" t="n">
        <x:v>40.74964099548174</x:v>
      </x:c>
      <x:c r="H1269" s="31" t="n">
        <x:v>-73.99903273049584</x:v>
      </x:c>
      <x:c r="I1269" s="31" t="n">
        <x:v>5071</x:v>
      </x:c>
      <x:c r="J1269" s="31" t="n">
        <x:v>75978.12029857693</x:v>
      </x:c>
      <x:c r="K1269" s="31"/>
      <x:c r="L1269" s="40"/>
      <x:c r="M1269" s="40"/>
      <x:c r="N1269" s="31" t="n">
        <x:v>54</x:v>
      </x:c>
      <x:c r="O1269" s="31" t="n">
        <x:v>3214</x:v>
      </x:c>
      <x:c r="P1269" s="31" t="n">
        <x:v>15.917237087741132</x:v>
      </x:c>
      <x:c r="Q1269" s="40" t="n">
        <x:v>0.7601120099564406</x:v>
      </x:c>
      <x:c r="R1269" s="40" t="n">
        <x:v>0.23988799004355943</x:v>
      </x:c>
      <x:c r="S1269" s="40" t="n">
        <x:v>0.403235843186061</x:v>
      </x:c>
      <x:c r="T1269" s="31" t="n">
        <x:v>158.3249353919682</x:v>
      </x:c>
      <x:c r="U1269" s="31" t="n">
        <x:v>213.1</x:v>
      </x:c>
      <x:c r="V1269" s="31" t="n">
        <x:v>41</x:v>
      </x:c>
      <x:c r="W1269" s="31" t="n">
        <x:v>8.085190297771643</x:v>
      </x:c>
      <x:c r="X1269" s="31" t="n">
        <x:v>2</x:v>
      </x:c>
      <x:c r="Y1269" s="40" t="n">
        <x:v>0</x:v>
      </x:c>
      <x:c r="Z1269" s="40" t="n">
        <x:v>1</x:v>
      </x:c>
      <x:c r="AA1269" s="40" t="n">
        <x:v>0.9785314250155569</x:v>
      </x:c>
      <x:c r="AB1269" s="31" t="n">
        <x:v>0.04236343017202065</x:v>
      </x:c>
      <x:c r="AC1269" s="31" t="n">
        <x:v>8</x:v>
      </x:c>
      <x:c r="AD1269" s="44" t="b">
        <x:v>1</x:v>
      </x:c>
    </x:row>
    <x:row r="1270">
      <x:c r="A1270" s="31" t="str">
        <x:v>36061009800</x:v>
      </x:c>
      <x:c r="B1270" s="31" t="str">
        <x:v>Manhattan</x:v>
      </x:c>
      <x:c r="C1270" s="31" t="str">
        <x:v>009800</x:v>
      </x:c>
      <x:c r="D1270" s="31" t="str">
        <x:v>MN0604</x:v>
      </x:c>
      <x:c r="E1270" s="31" t="str">
        <x:v>East Midtown-Turtle Bay</x:v>
      </x:c>
      <x:c r="F1270" s="31" t="n">
        <x:v>0.06838256249139119</x:v>
      </x:c>
      <x:c r="G1270" s="31" t="n">
        <x:v>40.75578756942029</x:v>
      </x:c>
      <x:c r="H1270" s="31" t="n">
        <x:v>-73.96777443310874</x:v>
      </x:c>
      <x:c r="I1270" s="31" t="n">
        <x:v>8078</x:v>
      </x:c>
      <x:c r="J1270" s="31" t="n">
        <x:v>118129.53047813842</x:v>
      </x:c>
      <x:c r="K1270" s="31"/>
      <x:c r="L1270" s="40"/>
      <x:c r="M1270" s="40"/>
      <x:c r="N1270" s="31" t="n">
        <x:v>259</x:v>
      </x:c>
      <x:c r="O1270" s="31" t="n">
        <x:v>6361</x:v>
      </x:c>
      <x:c r="P1270" s="31" t="n">
        <x:v>15.483105390185036</x:v>
      </x:c>
      <x:c r="Q1270" s="40" t="n">
        <x:v>0.6061939946549285</x:v>
      </x:c>
      <x:c r="R1270" s="40" t="n">
        <x:v>0.37053922339254836</x:v>
      </x:c>
      <x:c r="S1270" s="40" t="n">
        <x:v>0.0018864958339883666</x:v>
      </x:c>
      <x:c r="T1270" s="31" t="n">
        <x:v>155.7558258349763</x:v>
      </x:c>
      <x:c r="U1270" s="31" t="n">
        <x:v>423</x:v>
      </x:c>
      <x:c r="V1270" s="31" t="n">
        <x:v>156</x:v>
      </x:c>
      <x:c r="W1270" s="31" t="n">
        <x:v>19.311710819509777</x:v>
      </x:c>
      <x:c r="X1270" s="31" t="n">
        <x:v>1.0663417701619242</x:v>
      </x:c>
      <x:c r="Y1270" s="40" t="n">
        <x:v>0</x:v>
      </x:c>
      <x:c r="Z1270" s="40" t="n">
        <x:v>1</x:v>
      </x:c>
      <x:c r="AA1270" s="40" t="n">
        <x:v>0.9944977204842006</x:v>
      </x:c>
      <x:c r="AB1270" s="31" t="n">
        <x:v>0.25402964161999936</x:v>
      </x:c>
      <x:c r="AC1270" s="31" t="n">
        <x:v>6</x:v>
      </x:c>
      <x:c r="AD1270" s="44" t="b">
        <x:v>1</x:v>
      </x:c>
    </x:row>
    <x:row r="1271">
      <x:c r="A1271" s="31" t="str">
        <x:v>36061009901</x:v>
      </x:c>
      <x:c r="B1271" s="31" t="str">
        <x:v>Manhattan</x:v>
      </x:c>
      <x:c r="C1271" s="31" t="str">
        <x:v>009901</x:v>
      </x:c>
      <x:c r="D1271" s="31" t="str">
        <x:v>MN0401</x:v>
      </x:c>
      <x:c r="E1271" s="31" t="str">
        <x:v>Chelsea-Hudson Yards</x:v>
      </x:c>
      <x:c r="F1271" s="31" t="n">
        <x:v>0.151064046667671</x:v>
      </x:c>
      <x:c r="G1271" s="31" t="n">
        <x:v>40.7474932514471</x:v>
      </x:c>
      <x:c r="H1271" s="31" t="n">
        <x:v>-74.007491962102</x:v>
      </x:c>
      <x:c r="I1271" s="31" t="n">
        <x:v>2093</x:v>
      </x:c>
      <x:c r="J1271" s="31" t="n">
        <x:v>13855.050531013743</x:v>
      </x:c>
      <x:c r="K1271" s="31"/>
      <x:c r="L1271" s="40"/>
      <x:c r="M1271" s="40"/>
      <x:c r="N1271" s="31" t="n">
        <x:v>48</x:v>
      </x:c>
      <x:c r="O1271" s="31" t="n">
        <x:v>1973</x:v>
      </x:c>
      <x:c r="P1271" s="31" t="n">
        <x:v>17.480377166156984</x:v>
      </x:c>
      <x:c r="Q1271" s="40" t="n">
        <x:v>0.8910288900152052</x:v>
      </x:c>
      <x:c r="R1271" s="40" t="n">
        <x:v>0.10187531677648251</x:v>
      </x:c>
      <x:c r="S1271" s="40" t="n">
        <x:v>0.11910795742524075</x:v>
      </x:c>
      <x:c r="T1271" s="31" t="n">
        <x:v>183.9307615435451</x:v>
      </x:c>
      <x:c r="U1271" s="31" t="n">
        <x:v>390</x:v>
      </x:c>
      <x:c r="V1271" s="31" t="n">
        <x:v>102</x:v>
      </x:c>
      <x:c r="W1271" s="31" t="n">
        <x:v>48.733874820831346</x:v>
      </x:c>
      <x:c r="X1271" s="31" t="n">
        <x:v>1.0162189559047137</x:v>
      </x:c>
      <x:c r="Y1271" s="40" t="n">
        <x:v>0</x:v>
      </x:c>
      <x:c r="Z1271" s="40" t="n">
        <x:v>1</x:v>
      </x:c>
      <x:c r="AA1271" s="40" t="n">
        <x:v>0.8935631018753167</x:v>
      </x:c>
      <x:c r="AB1271" s="31" t="n">
        <x:v>0.2991487917582073</x:v>
      </x:c>
      <x:c r="AC1271" s="31" t="n">
        <x:v>6</x:v>
      </x:c>
      <x:c r="AD1271" s="44" t="b">
        <x:v>1</x:v>
      </x:c>
    </x:row>
    <x:row r="1272">
      <x:c r="A1272" s="31" t="str">
        <x:v>36061009902</x:v>
      </x:c>
      <x:c r="B1272" s="31" t="str">
        <x:v>Manhattan</x:v>
      </x:c>
      <x:c r="C1272" s="31" t="str">
        <x:v>009902</x:v>
      </x:c>
      <x:c r="D1272" s="31" t="str">
        <x:v>MN0401</x:v>
      </x:c>
      <x:c r="E1272" s="31" t="str">
        <x:v>Chelsea-Hudson Yards</x:v>
      </x:c>
      <x:c r="F1272" s="31" t="n">
        <x:v>0.07198744963053834</x:v>
      </x:c>
      <x:c r="G1272" s="31" t="n">
        <x:v>40.752135316927905</x:v>
      </x:c>
      <x:c r="H1272" s="31" t="n">
        <x:v>-74.00495636290464</x:v>
      </x:c>
      <x:c r="I1272" s="31" t="n">
        <x:v>3848</x:v>
      </x:c>
      <x:c r="J1272" s="31" t="n">
        <x:v>53453.76200642078</x:v>
      </x:c>
      <x:c r="K1272" s="31"/>
      <x:c r="L1272" s="40"/>
      <x:c r="M1272" s="40"/>
      <x:c r="N1272" s="31" t="n">
        <x:v>28</x:v>
      </x:c>
      <x:c r="O1272" s="31" t="n">
        <x:v>3900</x:v>
      </x:c>
      <x:c r="P1272" s="31" t="n">
        <x:v>34.53153846153846</x:v>
      </x:c>
      <x:c r="Q1272" s="40" t="n">
        <x:v>0.9641025641025641</x:v>
      </x:c>
      <x:c r="R1272" s="40" t="n">
        <x:v>0.035897435897435895</x:v>
      </x:c>
      <x:c r="S1272" s="40" t="n">
        <x:v>0.09538461538461539</x:v>
      </x:c>
      <x:c r="T1272" s="31" t="n">
        <x:v>357.07601018435264</x:v>
      </x:c>
      <x:c r="U1272" s="31" t="n">
        <x:v>637</x:v>
      </x:c>
      <x:c r="V1272" s="31" t="n">
        <x:v>78</x:v>
      </x:c>
      <x:c r="W1272" s="31" t="n">
        <x:v>20.27027027027027</x:v>
      </x:c>
      <x:c r="X1272" s="31" t="n">
        <x:v>2</x:v>
      </x:c>
      <x:c r="Y1272" s="40" t="n">
        <x:v>0</x:v>
      </x:c>
      <x:c r="Z1272" s="40" t="n">
        <x:v>1</x:v>
      </x:c>
      <x:c r="AA1272" s="40" t="n">
        <x:v>0.9961538461538462</x:v>
      </x:c>
      <x:c r="AB1272" s="31" t="n">
        <x:v>0.2518914804927518</x:v>
      </x:c>
      <x:c r="AC1272" s="31" t="n">
        <x:v>5</x:v>
      </x:c>
      <x:c r="AD1272" s="44" t="b">
        <x:v>1</x:v>
      </x:c>
    </x:row>
    <x:row r="1273">
      <x:c r="A1273" s="31" t="str">
        <x:v>36061009903</x:v>
      </x:c>
      <x:c r="B1273" s="31" t="str">
        <x:v>Manhattan</x:v>
      </x:c>
      <x:c r="C1273" s="31" t="str">
        <x:v>009903</x:v>
      </x:c>
      <x:c r="D1273" s="31" t="str">
        <x:v>MN0401</x:v>
      </x:c>
      <x:c r="E1273" s="31" t="str">
        <x:v>Chelsea-Hudson Yards</x:v>
      </x:c>
      <x:c r="F1273" s="31" t="n">
        <x:v>0.16263343250365875</x:v>
      </x:c>
      <x:c r="G1273" s="31" t="n">
        <x:v>40.756148391310134</x:v>
      </x:c>
      <x:c r="H1273" s="31" t="n">
        <x:v>-74.00247121641722</x:v>
      </x:c>
      <x:c r="I1273" s="31" t="n">
        <x:v>2380</x:v>
      </x:c>
      <x:c r="J1273" s="31" t="n">
        <x:v>14634.137417879669</x:v>
      </x:c>
      <x:c r="K1273" s="31"/>
      <x:c r="L1273" s="40"/>
      <x:c r="M1273" s="40"/>
      <x:c r="N1273" s="31" t="n">
        <x:v>5</x:v>
      </x:c>
      <x:c r="O1273" s="31" t="n">
        <x:v>2153</x:v>
      </x:c>
      <x:c r="P1273" s="31" t="n">
        <x:v>49.94426381792847</x:v>
      </x:c>
      <x:c r="Q1273" s="40" t="n">
        <x:v>1</x:v>
      </x:c>
      <x:c r="R1273" s="40" t="n">
        <x:v>0</x:v>
      </x:c>
      <x:c r="S1273" s="40" t="n">
        <x:v>0</x:v>
      </x:c>
      <x:c r="T1273" s="31" t="n">
        <x:v>595.2479270145842</x:v>
      </x:c>
      <x:c r="U1273" s="31" t="n">
        <x:v>1039</x:v>
      </x:c>
      <x:c r="V1273" s="31" t="n">
        <x:v>67</x:v>
      </x:c>
      <x:c r="W1273" s="31" t="n">
        <x:v>28.15126050420168</x:v>
      </x:c>
      <x:c r="X1273" s="31" t="n">
        <x:v>2</x:v>
      </x:c>
      <x:c r="Y1273" s="40" t="n">
        <x:v>0</x:v>
      </x:c>
      <x:c r="Z1273" s="40" t="n">
        <x:v>1</x:v>
      </x:c>
      <x:c r="AA1273" s="40" t="n">
        <x:v>1</x:v>
      </x:c>
      <x:c r="AB1273" s="31" t="n">
        <x:v>0.3809715256670842</x:v>
      </x:c>
      <x:c r="AC1273" s="31" t="n">
        <x:v>6</x:v>
      </x:c>
      <x:c r="AD1273" s="44" t="b">
        <x:v>1</x:v>
      </x:c>
    </x:row>
    <x:row r="1274">
      <x:c r="A1274" s="31" t="str">
        <x:v>36061010000</x:v>
      </x:c>
      <x:c r="B1274" s="31" t="str">
        <x:v>Manhattan</x:v>
      </x:c>
      <x:c r="C1274" s="31" t="str">
        <x:v>010000</x:v>
      </x:c>
      <x:c r="D1274" s="31" t="str">
        <x:v>MN0604</x:v>
      </x:c>
      <x:c r="E1274" s="31" t="str">
        <x:v>East Midtown-Turtle Bay</x:v>
      </x:c>
      <x:c r="F1274" s="31" t="n">
        <x:v>0.06671405119877755</x:v>
      </x:c>
      <x:c r="G1274" s="31" t="n">
        <x:v>40.75806490686338</x:v>
      </x:c>
      <x:c r="H1274" s="31" t="n">
        <x:v>-73.97123336150464</x:v>
      </x:c>
      <x:c r="I1274" s="31" t="n">
        <x:v>2170</x:v>
      </x:c>
      <x:c r="J1274" s="31" t="n">
        <x:v>32526.880934488396</x:v>
      </x:c>
      <x:c r="K1274" s="31"/>
      <x:c r="L1274" s="40"/>
      <x:c r="M1274" s="40"/>
      <x:c r="N1274" s="31" t="n">
        <x:v>33</x:v>
      </x:c>
      <x:c r="O1274" s="31" t="n">
        <x:v>2017</x:v>
      </x:c>
      <x:c r="P1274" s="31" t="n">
        <x:v>23.789786812097173</x:v>
      </x:c>
      <x:c r="Q1274" s="40" t="n">
        <x:v>0.9082796232027764</x:v>
      </x:c>
      <x:c r="R1274" s="40" t="n">
        <x:v>0.0917203767972236</x:v>
      </x:c>
      <x:c r="S1274" s="40" t="n">
        <x:v>0</x:v>
      </x:c>
      <x:c r="T1274" s="31" t="n">
        <x:v>275.47673389933067</x:v>
      </x:c>
      <x:c r="U1274" s="31" t="n">
        <x:v>802</x:v>
      </x:c>
      <x:c r="V1274" s="31" t="n">
        <x:v>84</x:v>
      </x:c>
      <x:c r="W1274" s="31" t="n">
        <x:v>38.70967741935484</x:v>
      </x:c>
      <x:c r="X1274" s="31" t="n">
        <x:v>1.255825483391175</x:v>
      </x:c>
      <x:c r="Y1274" s="40" t="n">
        <x:v>0</x:v>
      </x:c>
      <x:c r="Z1274" s="40" t="n">
        <x:v>1</x:v>
      </x:c>
      <x:c r="AA1274" s="40" t="n">
        <x:v>1</x:v>
      </x:c>
      <x:c r="AB1274" s="31" t="n">
        <x:v>0.11088130110017612</x:v>
      </x:c>
      <x:c r="AC1274" s="31" t="n">
        <x:v>9</x:v>
      </x:c>
      <x:c r="AD1274" s="44" t="b">
        <x:v>1</x:v>
      </x:c>
    </x:row>
    <x:row r="1275">
      <x:c r="A1275" s="31" t="str">
        <x:v>36061010100</x:v>
      </x:c>
      <x:c r="B1275" s="31" t="str">
        <x:v>Manhattan</x:v>
      </x:c>
      <x:c r="C1275" s="31" t="str">
        <x:v>010100</x:v>
      </x:c>
      <x:c r="D1275" s="31" t="str">
        <x:v>MN0501</x:v>
      </x:c>
      <x:c r="E1275" s="31" t="str">
        <x:v>Midtown South-Flatiron-Union Square</x:v>
      </x:c>
      <x:c r="F1275" s="31" t="n">
        <x:v>0.06784384774090335</x:v>
      </x:c>
      <x:c r="G1275" s="31" t="n">
        <x:v>40.7497308019207</x:v>
      </x:c>
      <x:c r="H1275" s="31" t="n">
        <x:v>-73.99153673005969</x:v>
      </x:c>
      <x:c r="I1275" s="31" t="n">
        <x:v>2596</x:v>
      </x:c>
      <x:c r="J1275" s="31" t="n">
        <x:v>38264.33916180819</x:v>
      </x:c>
      <x:c r="K1275" s="31"/>
      <x:c r="L1275" s="40"/>
      <x:c r="M1275" s="40"/>
      <x:c r="N1275" s="31" t="n">
        <x:v>13</x:v>
      </x:c>
      <x:c r="O1275" s="31" t="n">
        <x:v>1795</x:v>
      </x:c>
      <x:c r="P1275" s="31" t="n">
        <x:v>40.0679012345679</x:v>
      </x:c>
      <x:c r="Q1275" s="40" t="n">
        <x:v>0.7955431754874652</x:v>
      </x:c>
      <x:c r="R1275" s="40" t="n">
        <x:v>0.016713091922005572</x:v>
      </x:c>
      <x:c r="S1275" s="40" t="n">
        <x:v>0</x:v>
      </x:c>
      <x:c r="T1275" s="31" t="n">
        <x:v>467.9099092866525</x:v>
      </x:c>
      <x:c r="U1275" s="31" t="n">
        <x:v>605</x:v>
      </x:c>
      <x:c r="V1275" s="31" t="n">
        <x:v>47</x:v>
      </x:c>
      <x:c r="W1275" s="31" t="n">
        <x:v>18.10477657935285</x:v>
      </x:c>
      <x:c r="X1275" s="31" t="n">
        <x:v>2</x:v>
      </x:c>
      <x:c r="Y1275" s="40" t="n">
        <x:v>0</x:v>
      </x:c>
      <x:c r="Z1275" s="40" t="n">
        <x:v>1</x:v>
      </x:c>
      <x:c r="AA1275" s="40" t="n">
        <x:v>0.7871866295264623</x:v>
      </x:c>
      <x:c r="AB1275" s="31" t="n">
        <x:v>0.1180660723618311</x:v>
      </x:c>
      <x:c r="AC1275" s="31" t="n">
        <x:v>6</x:v>
      </x:c>
      <x:c r="AD1275" s="44" t="b">
        <x:v>1</x:v>
      </x:c>
    </x:row>
    <x:row r="1276">
      <x:c r="A1276" s="31" t="str">
        <x:v>36061010200</x:v>
      </x:c>
      <x:c r="B1276" s="31" t="str">
        <x:v>Manhattan</x:v>
      </x:c>
      <x:c r="C1276" s="31" t="str">
        <x:v>010200</x:v>
      </x:c>
      <x:c r="D1276" s="31" t="str">
        <x:v>MN0502</x:v>
      </x:c>
      <x:c r="E1276" s="31" t="str">
        <x:v>Midtown-Times Square</x:v>
      </x:c>
      <x:c r="F1276" s="31" t="n">
        <x:v>0.0667539265707501</x:v>
      </x:c>
      <x:c r="G1276" s="31" t="n">
        <x:v>40.759423753198035</x:v>
      </x:c>
      <x:c r="H1276" s="31" t="n">
        <x:v>-73.97444939246857</x:v>
      </x:c>
      <x:c r="I1276" s="31" t="n">
        <x:v>283</x:v>
      </x:c>
      <x:c r="J1276" s="31" t="n">
        <x:v>4239.450988700393</x:v>
      </x:c>
      <x:c r="K1276" s="31"/>
      <x:c r="L1276" s="40"/>
      <x:c r="M1276" s="40"/>
      <x:c r="N1276" s="31" t="n">
        <x:v>11</x:v>
      </x:c>
      <x:c r="O1276" s="31" t="n">
        <x:v>401</x:v>
      </x:c>
      <x:c r="P1276" s="31" t="n">
        <x:v>40.64089775561097</x:v>
      </x:c>
      <x:c r="Q1276" s="40" t="n">
        <x:v>0.9077306733167082</x:v>
      </x:c>
      <x:c r="R1276" s="40" t="n">
        <x:v>0.09226932668329177</x:v>
      </x:c>
      <x:c r="S1276" s="40" t="n">
        <x:v>0</x:v>
      </x:c>
      <x:c r="T1276" s="31" t="n">
        <x:v>475.9197234382543</x:v>
      </x:c>
      <x:c r="U1276" s="31" t="n">
        <x:v>622</x:v>
      </x:c>
      <x:c r="V1276" s="31" t="n">
        <x:v>42</x:v>
      </x:c>
      <x:c r="W1276" s="31" t="n">
        <x:v>148.40989399293287</x:v>
      </x:c>
      <x:c r="X1276" s="31" t="n">
        <x:v>1</x:v>
      </x:c>
      <x:c r="Y1276" s="40" t="n">
        <x:v>0</x:v>
      </x:c>
      <x:c r="Z1276" s="40" t="n">
        <x:v>1</x:v>
      </x:c>
      <x:c r="AA1276" s="40" t="n">
        <x:v>1</x:v>
      </x:c>
      <x:c r="AB1276" s="31" t="n">
        <x:v>0.18021853002333404</x:v>
      </x:c>
      <x:c r="AC1276" s="31" t="n">
        <x:v>8</x:v>
      </x:c>
      <x:c r="AD1276" s="44" t="b">
        <x:v>1</x:v>
      </x:c>
    </x:row>
    <x:row r="1277">
      <x:c r="A1277" s="31" t="str">
        <x:v>36061010300</x:v>
      </x:c>
      <x:c r="B1277" s="31" t="str">
        <x:v>Manhattan</x:v>
      </x:c>
      <x:c r="C1277" s="31" t="str">
        <x:v>010300</x:v>
      </x:c>
      <x:c r="D1277" s="31" t="str">
        <x:v>MN0401</x:v>
      </x:c>
      <x:c r="E1277" s="31" t="str">
        <x:v>Chelsea-Hudson Yards</x:v>
      </x:c>
      <x:c r="F1277" s="31" t="n">
        <x:v>0.06728323159363521</x:v>
      </x:c>
      <x:c r="G1277" s="31" t="n">
        <x:v>40.75213336653491</x:v>
      </x:c>
      <x:c r="H1277" s="31" t="n">
        <x:v>-73.99721510466725</x:v>
      </x:c>
      <x:c r="I1277" s="31" t="n">
        <x:v>4095</x:v>
      </x:c>
      <x:c r="J1277" s="31" t="n">
        <x:v>60862.1182872461</x:v>
      </x:c>
      <x:c r="K1277" s="31"/>
      <x:c r="L1277" s="40"/>
      <x:c r="M1277" s="40"/>
      <x:c r="N1277" s="31" t="n">
        <x:v>31</x:v>
      </x:c>
      <x:c r="O1277" s="31" t="n">
        <x:v>2327</x:v>
      </x:c>
      <x:c r="P1277" s="31" t="n">
        <x:v>33.589170605930384</x:v>
      </x:c>
      <x:c r="Q1277" s="40" t="n">
        <x:v>0.8332617103566824</x:v>
      </x:c>
      <x:c r="R1277" s="40" t="n">
        <x:v>0.16673828964331758</x:v>
      </x:c>
      <x:c r="S1277" s="40" t="n">
        <x:v>0</x:v>
      </x:c>
      <x:c r="T1277" s="31" t="n">
        <x:v>377.68512362970347</x:v>
      </x:c>
      <x:c r="U1277" s="31" t="n">
        <x:v>702</x:v>
      </x:c>
      <x:c r="V1277" s="31" t="n">
        <x:v>45</x:v>
      </x:c>
      <x:c r="W1277" s="31" t="n">
        <x:v>10.989010989010989</x:v>
      </x:c>
      <x:c r="X1277" s="31" t="n">
        <x:v>2</x:v>
      </x:c>
      <x:c r="Y1277" s="40" t="n">
        <x:v>0</x:v>
      </x:c>
      <x:c r="Z1277" s="40" t="n">
        <x:v>1</x:v>
      </x:c>
      <x:c r="AA1277" s="40" t="n">
        <x:v>1</x:v>
      </x:c>
      <x:c r="AB1277" s="31" t="n">
        <x:v>0.22318834069919138</x:v>
      </x:c>
      <x:c r="AC1277" s="31" t="n">
        <x:v>7</x:v>
      </x:c>
      <x:c r="AD1277" s="44" t="b">
        <x:v>1</x:v>
      </x:c>
    </x:row>
    <x:row r="1278">
      <x:c r="A1278" s="31" t="str">
        <x:v>36061010400</x:v>
      </x:c>
      <x:c r="B1278" s="31" t="str">
        <x:v>Manhattan</x:v>
      </x:c>
      <x:c r="C1278" s="31" t="str">
        <x:v>010400</x:v>
      </x:c>
      <x:c r="D1278" s="31" t="str">
        <x:v>MN0502</x:v>
      </x:c>
      <x:c r="E1278" s="31" t="str">
        <x:v>Midtown-Times Square</x:v>
      </x:c>
      <x:c r="F1278" s="31" t="n">
        <x:v>0.0668833351063906</x:v>
      </x:c>
      <x:c r="G1278" s="31" t="n">
        <x:v>40.76077897376045</x:v>
      </x:c>
      <x:c r="H1278" s="31" t="n">
        <x:v>-73.97767290541465</x:v>
      </x:c>
      <x:c r="I1278" s="31" t="n">
        <x:v>983</x:v>
      </x:c>
      <x:c r="J1278" s="31" t="n">
        <x:v>14697.233599914724</x:v>
      </x:c>
      <x:c r="K1278" s="31"/>
      <x:c r="L1278" s="40"/>
      <x:c r="M1278" s="40"/>
      <x:c r="N1278" s="31" t="n">
        <x:v>40</x:v>
      </x:c>
      <x:c r="O1278" s="31" t="n">
        <x:v>1478</x:v>
      </x:c>
      <x:c r="P1278" s="31" t="n">
        <x:v>27.50811907983762</x:v>
      </x:c>
      <x:c r="Q1278" s="40" t="n">
        <x:v>0.8910690121786198</x:v>
      </x:c>
      <x:c r="R1278" s="40" t="n">
        <x:v>0.10893098782138025</x:v>
      </x:c>
      <x:c r="S1278" s="40" t="n">
        <x:v>0.011502029769959404</x:v>
      </x:c>
      <x:c r="T1278" s="31" t="n">
        <x:v>336.20394451962113</x:v>
      </x:c>
      <x:c r="U1278" s="31" t="n">
        <x:v>1050</x:v>
      </x:c>
      <x:c r="V1278" s="31" t="n">
        <x:v>66</x:v>
      </x:c>
      <x:c r="W1278" s="31" t="n">
        <x:v>67.1414038657172</x:v>
      </x:c>
      <x:c r="X1278" s="31" t="n">
        <x:v>1.9600811907983762</x:v>
      </x:c>
      <x:c r="Y1278" s="40" t="n">
        <x:v>0</x:v>
      </x:c>
      <x:c r="Z1278" s="40" t="n">
        <x:v>1</x:v>
      </x:c>
      <x:c r="AA1278" s="40" t="n">
        <x:v>1</x:v>
      </x:c>
      <x:c r="AB1278" s="31" t="n">
        <x:v>0.017393414124109344</x:v>
      </x:c>
      <x:c r="AC1278" s="31" t="n">
        <x:v>8</x:v>
      </x:c>
      <x:c r="AD1278" s="44" t="b">
        <x:v>1</x:v>
      </x:c>
    </x:row>
    <x:row r="1279">
      <x:c r="A1279" s="31" t="str">
        <x:v>36061010601</x:v>
      </x:c>
      <x:c r="B1279" s="31" t="str">
        <x:v>Manhattan</x:v>
      </x:c>
      <x:c r="C1279" s="31" t="str">
        <x:v>010601</x:v>
      </x:c>
      <x:c r="D1279" s="31" t="str">
        <x:v>MN0604</x:v>
      </x:c>
      <x:c r="E1279" s="31" t="str">
        <x:v>East Midtown-Turtle Bay</x:v>
      </x:c>
      <x:c r="F1279" s="31" t="n">
        <x:v>0.047073359959323345</x:v>
      </x:c>
      <x:c r="G1279" s="31" t="n">
        <x:v>40.757385604711644</x:v>
      </x:c>
      <x:c r="H1279" s="31" t="n">
        <x:v>-73.96158079760482</x:v>
      </x:c>
      <x:c r="I1279" s="31" t="n">
        <x:v>8256</x:v>
      </x:c>
      <x:c r="J1279" s="31" t="n">
        <x:v>175385.8234707297</x:v>
      </x:c>
      <x:c r="K1279" s="31"/>
      <x:c r="L1279" s="40"/>
      <x:c r="M1279" s="40"/>
      <x:c r="N1279" s="31" t="n">
        <x:v>85</x:v>
      </x:c>
      <x:c r="O1279" s="31" t="n">
        <x:v>5723</x:v>
      </x:c>
      <x:c r="P1279" s="31" t="n">
        <x:v>22.28782980954045</x:v>
      </x:c>
      <x:c r="Q1279" s="40" t="n">
        <x:v>0.9515988118119867</x:v>
      </x:c>
      <x:c r="R1279" s="40" t="n">
        <x:v>0.048401188188013276</x:v>
      </x:c>
      <x:c r="S1279" s="40" t="n">
        <x:v>0.00943561069369212</x:v>
      </x:c>
      <x:c r="T1279" s="31" t="n">
        <x:v>233.19423759825264</x:v>
      </x:c>
      <x:c r="U1279" s="31" t="n">
        <x:v>799</x:v>
      </x:c>
      <x:c r="V1279" s="31" t="n">
        <x:v>168</x:v>
      </x:c>
      <x:c r="W1279" s="31" t="n">
        <x:v>20.348837209302328</x:v>
      </x:c>
      <x:c r="X1279" s="31" t="n">
        <x:v>1</x:v>
      </x:c>
      <x:c r="Y1279" s="40" t="n">
        <x:v>0</x:v>
      </x:c>
      <x:c r="Z1279" s="40" t="n">
        <x:v>1</x:v>
      </x:c>
      <x:c r="AA1279" s="40" t="n">
        <x:v>1</x:v>
      </x:c>
      <x:c r="AB1279" s="31" t="n">
        <x:v>0.2835785761827096</x:v>
      </x:c>
      <x:c r="AC1279" s="31" t="n">
        <x:v>6</x:v>
      </x:c>
      <x:c r="AD1279" s="44" t="b">
        <x:v>1</x:v>
      </x:c>
    </x:row>
    <x:row r="1280">
      <x:c r="A1280" s="31" t="str">
        <x:v>36061010602</x:v>
      </x:c>
      <x:c r="B1280" s="31" t="str">
        <x:v>Manhattan</x:v>
      </x:c>
      <x:c r="C1280" s="31" t="str">
        <x:v>010602</x:v>
      </x:c>
      <x:c r="D1280" s="31" t="str">
        <x:v>MN0801</x:v>
      </x:c>
      <x:c r="E1280" s="31" t="str">
        <x:v>Upper East Side-Lenox Hill-Roosevelt Island</x:v>
      </x:c>
      <x:c r="F1280" s="31" t="n">
        <x:v>0.04795184128680269</x:v>
      </x:c>
      <x:c r="G1280" s="31" t="n">
        <x:v>40.760419633566485</x:v>
      </x:c>
      <x:c r="H1280" s="31" t="n">
        <x:v>-73.95920175436304</x:v>
      </x:c>
      <x:c r="I1280" s="31" t="n">
        <x:v>5489</x:v>
      </x:c>
      <x:c r="J1280" s="31" t="n">
        <x:v>114469.01417549285</x:v>
      </x:c>
      <x:c r="K1280" s="31"/>
      <x:c r="L1280" s="40"/>
      <x:c r="M1280" s="40"/>
      <x:c r="N1280" s="31" t="n">
        <x:v>35</x:v>
      </x:c>
      <x:c r="O1280" s="31" t="n">
        <x:v>2907</x:v>
      </x:c>
      <x:c r="P1280" s="31" t="n">
        <x:v>19.77984176126591</x:v>
      </x:c>
      <x:c r="Q1280" s="40" t="n">
        <x:v>0.8813209494324046</x:v>
      </x:c>
      <x:c r="R1280" s="40" t="n">
        <x:v>0.11867905056759546</x:v>
      </x:c>
      <x:c r="S1280" s="40" t="n">
        <x:v>0.2676298589611283</x:v>
      </x:c>
      <x:c r="T1280" s="31" t="n">
        <x:v>214.9690058479532</x:v>
      </x:c>
      <x:c r="U1280" s="31" t="n">
        <x:v>433</x:v>
      </x:c>
      <x:c r="V1280" s="31" t="n">
        <x:v>58</x:v>
      </x:c>
      <x:c r="W1280" s="31" t="n">
        <x:v>10.566587720896338</x:v>
      </x:c>
      <x:c r="X1280" s="31" t="n">
        <x:v>1</x:v>
      </x:c>
      <x:c r="Y1280" s="40" t="n">
        <x:v>0</x:v>
      </x:c>
      <x:c r="Z1280" s="40" t="n">
        <x:v>1</x:v>
      </x:c>
      <x:c r="AA1280" s="40" t="n">
        <x:v>1</x:v>
      </x:c>
      <x:c r="AB1280" s="31" t="n">
        <x:v>0.2437639830805093</x:v>
      </x:c>
      <x:c r="AC1280" s="31" t="n">
        <x:v>5</x:v>
      </x:c>
      <x:c r="AD1280" s="44" t="b">
        <x:v>1</x:v>
      </x:c>
    </x:row>
    <x:row r="1281">
      <x:c r="A1281" s="31" t="str">
        <x:v>36061010801</x:v>
      </x:c>
      <x:c r="B1281" s="31" t="str">
        <x:v>Manhattan</x:v>
      </x:c>
      <x:c r="C1281" s="31" t="str">
        <x:v>010801</x:v>
      </x:c>
      <x:c r="D1281" s="31" t="str">
        <x:v>MN0604</x:v>
      </x:c>
      <x:c r="E1281" s="31" t="str">
        <x:v>East Midtown-Turtle Bay</x:v>
      </x:c>
      <x:c r="F1281" s="31" t="n">
        <x:v>0.02737390419199093</x:v>
      </x:c>
      <x:c r="G1281" s="31" t="n">
        <x:v>40.75798108570527</x:v>
      </x:c>
      <x:c r="H1281" s="31" t="n">
        <x:v>-73.9661755544192</x:v>
      </x:c>
      <x:c r="I1281" s="31" t="n">
        <x:v>3297</x:v>
      </x:c>
      <x:c r="J1281" s="31" t="n">
        <x:v>120443.17744651996</x:v>
      </x:c>
      <x:c r="K1281" s="31"/>
      <x:c r="L1281" s="40"/>
      <x:c r="M1281" s="40"/>
      <x:c r="N1281" s="31" t="n">
        <x:v>52</x:v>
      </x:c>
      <x:c r="O1281" s="31" t="n">
        <x:v>2282</x:v>
      </x:c>
      <x:c r="P1281" s="31" t="n">
        <x:v>18.60823838737949</x:v>
      </x:c>
      <x:c r="Q1281" s="40" t="n">
        <x:v>0.6980718667835232</x:v>
      </x:c>
      <x:c r="R1281" s="40" t="n">
        <x:v>0.30148992112182293</x:v>
      </x:c>
      <x:c r="S1281" s="40" t="n">
        <x:v>0.019281332164767746</x:v>
      </x:c>
      <x:c r="T1281" s="31" t="n">
        <x:v>179.67640189586328</x:v>
      </x:c>
      <x:c r="U1281" s="31" t="n">
        <x:v>433</x:v>
      </x:c>
      <x:c r="V1281" s="31" t="n">
        <x:v>55</x:v>
      </x:c>
      <x:c r="W1281" s="31" t="n">
        <x:v>16.68183196845617</x:v>
      </x:c>
      <x:c r="X1281" s="31" t="n">
        <x:v>1</x:v>
      </x:c>
      <x:c r="Y1281" s="40" t="n">
        <x:v>0</x:v>
      </x:c>
      <x:c r="Z1281" s="40" t="n">
        <x:v>1</x:v>
      </x:c>
      <x:c r="AA1281" s="40" t="n">
        <x:v>1</x:v>
      </x:c>
      <x:c r="AB1281" s="31" t="n">
        <x:v>0.09205101176895436</x:v>
      </x:c>
      <x:c r="AC1281" s="31" t="n">
        <x:v>7</x:v>
      </x:c>
      <x:c r="AD1281" s="44" t="b">
        <x:v>1</x:v>
      </x:c>
    </x:row>
    <x:row r="1282">
      <x:c r="A1282" s="31" t="str">
        <x:v>36061010802</x:v>
      </x:c>
      <x:c r="B1282" s="31" t="str">
        <x:v>Manhattan</x:v>
      </x:c>
      <x:c r="C1282" s="31" t="str">
        <x:v>010802</x:v>
      </x:c>
      <x:c r="D1282" s="31" t="str">
        <x:v>MN0604</x:v>
      </x:c>
      <x:c r="E1282" s="31" t="str">
        <x:v>East Midtown-Turtle Bay</x:v>
      </x:c>
      <x:c r="F1282" s="31" t="n">
        <x:v>0.022158508196776</x:v>
      </x:c>
      <x:c r="G1282" s="31" t="n">
        <x:v>40.75912247528157</x:v>
      </x:c>
      <x:c r="H1282" s="31" t="n">
        <x:v>-73.96387512866309</x:v>
      </x:c>
      <x:c r="I1282" s="31" t="n">
        <x:v>3805</x:v>
      </x:c>
      <x:c r="J1282" s="31" t="n">
        <x:v>171717.33612254713</x:v>
      </x:c>
      <x:c r="K1282" s="31"/>
      <x:c r="L1282" s="40"/>
      <x:c r="M1282" s="40"/>
      <x:c r="N1282" s="31" t="n">
        <x:v>66</x:v>
      </x:c>
      <x:c r="O1282" s="31" t="n">
        <x:v>2555</x:v>
      </x:c>
      <x:c r="P1282" s="31" t="n">
        <x:v>19.60606653620352</x:v>
      </x:c>
      <x:c r="Q1282" s="40" t="n">
        <x:v>0.7436399217221135</x:v>
      </x:c>
      <x:c r="R1282" s="40" t="n">
        <x:v>0.2563600782778865</x:v>
      </x:c>
      <x:c r="S1282" s="40" t="n">
        <x:v>0</x:v>
      </x:c>
      <x:c r="T1282" s="31" t="n">
        <x:v>202.46298614517806</x:v>
      </x:c>
      <x:c r="U1282" s="31" t="n">
        <x:v>475.02</x:v>
      </x:c>
      <x:c r="V1282" s="31" t="n">
        <x:v>53</x:v>
      </x:c>
      <x:c r="W1282" s="31" t="n">
        <x:v>13.92904073587385</x:v>
      </x:c>
      <x:c r="X1282" s="31" t="n">
        <x:v>1</x:v>
      </x:c>
      <x:c r="Y1282" s="40" t="n">
        <x:v>0</x:v>
      </x:c>
      <x:c r="Z1282" s="40" t="n">
        <x:v>1</x:v>
      </x:c>
      <x:c r="AA1282" s="40" t="n">
        <x:v>1</x:v>
      </x:c>
      <x:c r="AB1282" s="31" t="n">
        <x:v>0.13088766847240585</x:v>
      </x:c>
      <x:c r="AC1282" s="31" t="n">
        <x:v>5</x:v>
      </x:c>
      <x:c r="AD1282" s="44" t="b">
        <x:v>1</x:v>
      </x:c>
    </x:row>
    <x:row r="1283">
      <x:c r="A1283" s="31" t="str">
        <x:v>36061010803</x:v>
      </x:c>
      <x:c r="B1283" s="31" t="str">
        <x:v>Manhattan</x:v>
      </x:c>
      <x:c r="C1283" s="31" t="str">
        <x:v>010803</x:v>
      </x:c>
      <x:c r="D1283" s="31" t="str">
        <x:v>MN0604</x:v>
      </x:c>
      <x:c r="E1283" s="31" t="str">
        <x:v>East Midtown-Turtle Bay</x:v>
      </x:c>
      <x:c r="F1283" s="31" t="n">
        <x:v>0.020915249314594812</x:v>
      </x:c>
      <x:c r="G1283" s="31" t="n">
        <x:v>40.7600932117852</x:v>
      </x:c>
      <x:c r="H1283" s="31" t="n">
        <x:v>-73.96617516804623</x:v>
      </x:c>
      <x:c r="I1283" s="31" t="n">
        <x:v>2696</x:v>
      </x:c>
      <x:c r="J1283" s="31" t="n">
        <x:v>128901.16486054563</x:v>
      </x:c>
      <x:c r="K1283" s="31"/>
      <x:c r="L1283" s="40"/>
      <x:c r="M1283" s="40"/>
      <x:c r="N1283" s="31" t="n">
        <x:v>45</x:v>
      </x:c>
      <x:c r="O1283" s="31" t="n">
        <x:v>1997</x:v>
      </x:c>
      <x:c r="P1283" s="31" t="n">
        <x:v>24.224837255883827</x:v>
      </x:c>
      <x:c r="Q1283" s="40" t="n">
        <x:v>0.8808212318477716</x:v>
      </x:c>
      <x:c r="R1283" s="40" t="n">
        <x:v>0.11917876815222835</x:v>
      </x:c>
      <x:c r="S1283" s="40" t="n">
        <x:v>0.0035052578868302454</x:v>
      </x:c>
      <x:c r="T1283" s="31" t="n">
        <x:v>262.67515111739107</x:v>
      </x:c>
      <x:c r="U1283" s="31" t="n">
        <x:v>691</x:v>
      </x:c>
      <x:c r="V1283" s="31" t="n">
        <x:v>53</x:v>
      </x:c>
      <x:c r="W1283" s="31" t="n">
        <x:v>19.658753709198812</x:v>
      </x:c>
      <x:c r="X1283" s="31" t="n">
        <x:v>1</x:v>
      </x:c>
      <x:c r="Y1283" s="40" t="n">
        <x:v>0</x:v>
      </x:c>
      <x:c r="Z1283" s="40" t="n">
        <x:v>1</x:v>
      </x:c>
      <x:c r="AA1283" s="40" t="n">
        <x:v>1</x:v>
      </x:c>
      <x:c r="AB1283" s="31" t="n">
        <x:v>0.055029046586996734</x:v>
      </x:c>
      <x:c r="AC1283" s="31" t="n">
        <x:v>6</x:v>
      </x:c>
      <x:c r="AD1283" s="44" t="b">
        <x:v>1</x:v>
      </x:c>
    </x:row>
    <x:row r="1284">
      <x:c r="A1284" s="31" t="str">
        <x:v>36061010900</x:v>
      </x:c>
      <x:c r="B1284" s="31" t="str">
        <x:v>Manhattan</x:v>
      </x:c>
      <x:c r="C1284" s="31" t="str">
        <x:v>010900</x:v>
      </x:c>
      <x:c r="D1284" s="31" t="str">
        <x:v>MN0502</x:v>
      </x:c>
      <x:c r="E1284" s="31" t="str">
        <x:v>Midtown-Times Square</x:v>
      </x:c>
      <x:c r="F1284" s="31" t="n">
        <x:v>0.06784336814487202</x:v>
      </x:c>
      <x:c r="G1284" s="31" t="n">
        <x:v>40.752250675249726</x:v>
      </x:c>
      <x:c r="H1284" s="31" t="n">
        <x:v>-73.98970305381062</x:v>
      </x:c>
      <x:c r="I1284" s="31" t="n">
        <x:v>407</x:v>
      </x:c>
      <x:c r="J1284" s="31" t="n">
        <x:v>5999.112531248396</x:v>
      </x:c>
      <x:c r="K1284" s="31"/>
      <x:c r="L1284" s="40"/>
      <x:c r="M1284" s="40"/>
      <x:c r="N1284" s="31" t="n">
        <x:v>5</x:v>
      </x:c>
      <x:c r="O1284" s="31" t="n">
        <x:v>782</x:v>
      </x:c>
      <x:c r="P1284" s="31" t="n">
        <x:v>45.72378516624041</x:v>
      </x:c>
      <x:c r="Q1284" s="40" t="n">
        <x:v>0.9948849104859335</x:v>
      </x:c>
      <x:c r="R1284" s="40" t="n">
        <x:v>0.005115089514066497</x:v>
      </x:c>
      <x:c r="S1284" s="40" t="n">
        <x:v>0</x:v>
      </x:c>
      <x:c r="T1284" s="31" t="n">
        <x:v>354.73678769294605</x:v>
      </x:c>
      <x:c r="U1284" s="31" t="n">
        <x:v>431</x:v>
      </x:c>
      <x:c r="V1284" s="31" t="n">
        <x:v>8</x:v>
      </x:c>
      <x:c r="W1284" s="31" t="n">
        <x:v>19.656019656019655</x:v>
      </x:c>
      <x:c r="X1284" s="31" t="n">
        <x:v>2</x:v>
      </x:c>
      <x:c r="Y1284" s="40" t="n">
        <x:v>0</x:v>
      </x:c>
      <x:c r="Z1284" s="40" t="n">
        <x:v>1</x:v>
      </x:c>
      <x:c r="AA1284" s="40" t="n">
        <x:v>0.6163682864450127</x:v>
      </x:c>
      <x:c r="AB1284" s="31" t="n">
        <x:v>0.1531777912332794</x:v>
      </x:c>
      <x:c r="AC1284" s="31" t="n">
        <x:v>7</x:v>
      </x:c>
      <x:c r="AD1284" s="44" t="b">
        <x:v>1</x:v>
      </x:c>
    </x:row>
    <x:row r="1285">
      <x:c r="A1285" s="31" t="str">
        <x:v>36061011000</x:v>
      </x:c>
      <x:c r="B1285" s="31" t="str">
        <x:v>Manhattan</x:v>
      </x:c>
      <x:c r="C1285" s="31" t="str">
        <x:v>011000</x:v>
      </x:c>
      <x:c r="D1285" s="31" t="str">
        <x:v>MN0801</x:v>
      </x:c>
      <x:c r="E1285" s="31" t="str">
        <x:v>Upper East Side-Lenox Hill-Roosevelt Island</x:v>
      </x:c>
      <x:c r="F1285" s="31" t="n">
        <x:v>0.06820031386162764</x:v>
      </x:c>
      <x:c r="G1285" s="31" t="n">
        <x:v>40.762146939940976</x:v>
      </x:c>
      <x:c r="H1285" s="31" t="n">
        <x:v>-73.96313666941172</x:v>
      </x:c>
      <x:c r="I1285" s="31" t="n">
        <x:v>7671</x:v>
      </x:c>
      <x:c r="J1285" s="31" t="n">
        <x:v>112477.48823508019</x:v>
      </x:c>
      <x:c r="K1285" s="31"/>
      <x:c r="L1285" s="40"/>
      <x:c r="M1285" s="40"/>
      <x:c r="N1285" s="31" t="n">
        <x:v>219</x:v>
      </x:c>
      <x:c r="O1285" s="31" t="n">
        <x:v>5386</x:v>
      </x:c>
      <x:c r="P1285" s="31" t="n">
        <x:v>18.175733382844413</x:v>
      </x:c>
      <x:c r="Q1285" s="40" t="n">
        <x:v>0.6483475677682882</x:v>
      </x:c>
      <x:c r="R1285" s="40" t="n">
        <x:v>0.35165243223171183</x:v>
      </x:c>
      <x:c r="S1285" s="40" t="n">
        <x:v>0</x:v>
      </x:c>
      <x:c r="T1285" s="31" t="n">
        <x:v>181.02520759331784</x:v>
      </x:c>
      <x:c r="U1285" s="31" t="n">
        <x:v>464</x:v>
      </x:c>
      <x:c r="V1285" s="31" t="n">
        <x:v>144</x:v>
      </x:c>
      <x:c r="W1285" s="31" t="n">
        <x:v>18.771998435666795</x:v>
      </x:c>
      <x:c r="X1285" s="31" t="n">
        <x:v>1</x:v>
      </x:c>
      <x:c r="Y1285" s="40" t="n">
        <x:v>0</x:v>
      </x:c>
      <x:c r="Z1285" s="40" t="n">
        <x:v>1</x:v>
      </x:c>
      <x:c r="AA1285" s="40" t="n">
        <x:v>0.9988860007426662</x:v>
      </x:c>
      <x:c r="AB1285" s="31" t="n">
        <x:v>0.12743246588448356</x:v>
      </x:c>
      <x:c r="AC1285" s="31" t="n">
        <x:v>9</x:v>
      </x:c>
      <x:c r="AD1285" s="44" t="b">
        <x:v>1</x:v>
      </x:c>
    </x:row>
    <x:row r="1286">
      <x:c r="A1286" s="31" t="str">
        <x:v>36061011100</x:v>
      </x:c>
      <x:c r="B1286" s="31" t="str">
        <x:v>Manhattan</x:v>
      </x:c>
      <x:c r="C1286" s="31" t="str">
        <x:v>011100</x:v>
      </x:c>
      <x:c r="D1286" s="31" t="str">
        <x:v>MN0401</x:v>
      </x:c>
      <x:c r="E1286" s="31" t="str">
        <x:v>Chelsea-Hudson Yards</x:v>
      </x:c>
      <x:c r="F1286" s="31" t="n">
        <x:v>0.06776153589517332</x:v>
      </x:c>
      <x:c r="G1286" s="31" t="n">
        <x:v>40.75464733190389</x:v>
      </x:c>
      <x:c r="H1286" s="31" t="n">
        <x:v>-73.99538894067337</x:v>
      </x:c>
      <x:c r="I1286" s="31" t="n">
        <x:v>6138</x:v>
      </x:c>
      <x:c r="J1286" s="31" t="n">
        <x:v>90582.36238174188</x:v>
      </x:c>
      <x:c r="K1286" s="31"/>
      <x:c r="L1286" s="40"/>
      <x:c r="M1286" s="40"/>
      <x:c r="N1286" s="31" t="n">
        <x:v>75</x:v>
      </x:c>
      <x:c r="O1286" s="31" t="n">
        <x:v>3970</x:v>
      </x:c>
      <x:c r="P1286" s="31" t="n">
        <x:v>16.78199898011219</x:v>
      </x:c>
      <x:c r="Q1286" s="40" t="n">
        <x:v>0.7977329974811083</x:v>
      </x:c>
      <x:c r="R1286" s="40" t="n">
        <x:v>0.18992443324937028</x:v>
      </x:c>
      <x:c r="S1286" s="40" t="n">
        <x:v>0.03602015113350126</x:v>
      </x:c>
      <x:c r="T1286" s="31" t="n">
        <x:v>179.65995356120962</x:v>
      </x:c>
      <x:c r="U1286" s="31" t="n">
        <x:v>284</x:v>
      </x:c>
      <x:c r="V1286" s="31" t="n">
        <x:v>69</x:v>
      </x:c>
      <x:c r="W1286" s="31" t="n">
        <x:v>11.241446725317694</x:v>
      </x:c>
      <x:c r="X1286" s="31" t="n">
        <x:v>2</x:v>
      </x:c>
      <x:c r="Y1286" s="40" t="n">
        <x:v>0</x:v>
      </x:c>
      <x:c r="Z1286" s="40" t="n">
        <x:v>1</x:v>
      </x:c>
      <x:c r="AA1286" s="40" t="n">
        <x:v>0.9204030226700252</x:v>
      </x:c>
      <x:c r="AB1286" s="31" t="n">
        <x:v>0.19117999313869785</x:v>
      </x:c>
      <x:c r="AC1286" s="31" t="n">
        <x:v>7</x:v>
      </x:c>
      <x:c r="AD1286" s="44" t="b">
        <x:v>1</x:v>
      </x:c>
    </x:row>
    <x:row r="1287">
      <x:c r="A1287" s="31" t="str">
        <x:v>36061011201</x:v>
      </x:c>
      <x:c r="B1287" s="31" t="str">
        <x:v>Manhattan</x:v>
      </x:c>
      <x:c r="C1287" s="31" t="str">
        <x:v>011201</x:v>
      </x:c>
      <x:c r="D1287" s="31" t="str">
        <x:v>MN0502</x:v>
      </x:c>
      <x:c r="E1287" s="31" t="str">
        <x:v>Midtown-Times Square</x:v>
      </x:c>
      <x:c r="F1287" s="31" t="n">
        <x:v>0.03071066769455923</x:v>
      </x:c>
      <x:c r="G1287" s="31" t="n">
        <x:v>40.76397790474505</x:v>
      </x:c>
      <x:c r="H1287" s="31" t="n">
        <x:v>-73.97534572618518</x:v>
      </x:c>
      <x:c r="I1287" s="31" t="n">
        <x:v>1233</x:v>
      </x:c>
      <x:c r="J1287" s="31" t="n">
        <x:v>40148.91542779583</x:v>
      </x:c>
      <x:c r="K1287" s="31"/>
      <x:c r="L1287" s="40"/>
      <x:c r="M1287" s="40"/>
      <x:c r="N1287" s="31" t="n">
        <x:v>15</x:v>
      </x:c>
      <x:c r="O1287" s="31" t="n">
        <x:v>1329</x:v>
      </x:c>
      <x:c r="P1287" s="31" t="n">
        <x:v>18.039879608728366</x:v>
      </x:c>
      <x:c r="Q1287" s="40" t="n">
        <x:v>0.9932279909706546</x:v>
      </x:c>
      <x:c r="R1287" s="40" t="n">
        <x:v>0.006772009029345372</x:v>
      </x:c>
      <x:c r="S1287" s="40" t="n">
        <x:v>0</x:v>
      </x:c>
      <x:c r="T1287" s="31" t="n">
        <x:v>228.7170593391121</x:v>
      </x:c>
      <x:c r="U1287" s="31" t="n">
        <x:v>384</x:v>
      </x:c>
      <x:c r="V1287" s="31" t="n">
        <x:v>87</x:v>
      </x:c>
      <x:c r="W1287" s="31" t="n">
        <x:v>70.5596107055961</x:v>
      </x:c>
      <x:c r="X1287" s="31" t="n">
        <x:v>2</x:v>
      </x:c>
      <x:c r="Y1287" s="40" t="n">
        <x:v>0</x:v>
      </x:c>
      <x:c r="Z1287" s="40" t="n">
        <x:v>1</x:v>
      </x:c>
      <x:c r="AA1287" s="40" t="n">
        <x:v>1</x:v>
      </x:c>
      <x:c r="AB1287" s="31" t="n">
        <x:v>0.20579215936206188</x:v>
      </x:c>
      <x:c r="AC1287" s="31" t="n">
        <x:v>6</x:v>
      </x:c>
      <x:c r="AD1287" s="44" t="b">
        <x:v>1</x:v>
      </x:c>
    </x:row>
    <x:row r="1288">
      <x:c r="A1288" s="31" t="str">
        <x:v>36061011202</x:v>
      </x:c>
      <x:c r="B1288" s="31" t="str">
        <x:v>Manhattan</x:v>
      </x:c>
      <x:c r="C1288" s="31" t="str">
        <x:v>011202</x:v>
      </x:c>
      <x:c r="D1288" s="31" t="str">
        <x:v>MN0502</x:v>
      </x:c>
      <x:c r="E1288" s="31" t="str">
        <x:v>Midtown-Times Square</x:v>
      </x:c>
      <x:c r="F1288" s="31" t="n">
        <x:v>0.030113839855443643</x:v>
      </x:c>
      <x:c r="G1288" s="31" t="n">
        <x:v>40.76260394827941</x:v>
      </x:c>
      <x:c r="H1288" s="31" t="n">
        <x:v>-73.97213117316088</x:v>
      </x:c>
      <x:c r="I1288" s="31" t="n">
        <x:v>500</x:v>
      </x:c>
      <x:c r="J1288" s="31" t="n">
        <x:v>16603.66138626508</x:v>
      </x:c>
      <x:c r="K1288" s="31"/>
      <x:c r="L1288" s="40"/>
      <x:c r="M1288" s="40"/>
      <x:c r="N1288" s="31" t="n">
        <x:v>7</x:v>
      </x:c>
      <x:c r="O1288" s="31" t="n">
        <x:v>631</x:v>
      </x:c>
      <x:c r="P1288" s="31" t="n">
        <x:v>48.16164817749604</x:v>
      </x:c>
      <x:c r="Q1288" s="40" t="n">
        <x:v>0.9540412044374009</x:v>
      </x:c>
      <x:c r="R1288" s="40" t="n">
        <x:v>0.04595879556259905</x:v>
      </x:c>
      <x:c r="S1288" s="40" t="n">
        <x:v>0.03645007923930269</x:v>
      </x:c>
      <x:c r="T1288" s="31" t="n">
        <x:v>450.7468316831683</x:v>
      </x:c>
      <x:c r="U1288" s="31" t="n">
        <x:v>665</x:v>
      </x:c>
      <x:c r="V1288" s="31" t="n">
        <x:v>43</x:v>
      </x:c>
      <x:c r="W1288" s="31" t="n">
        <x:v>86</x:v>
      </x:c>
      <x:c r="X1288" s="31" t="n">
        <x:v>1</x:v>
      </x:c>
      <x:c r="Y1288" s="40" t="n">
        <x:v>0</x:v>
      </x:c>
      <x:c r="Z1288" s="40" t="n">
        <x:v>1</x:v>
      </x:c>
      <x:c r="AA1288" s="40" t="n">
        <x:v>0.8003169572107766</x:v>
      </x:c>
      <x:c r="AB1288" s="31" t="n">
        <x:v>0.14934115880616006</x:v>
      </x:c>
      <x:c r="AC1288" s="31" t="n">
        <x:v>8</x:v>
      </x:c>
      <x:c r="AD1288" s="44" t="b">
        <x:v>1</x:v>
      </x:c>
    </x:row>
    <x:row r="1289">
      <x:c r="A1289" s="31" t="str">
        <x:v>36061011203</x:v>
      </x:c>
      <x:c r="B1289" s="31" t="str">
        <x:v>Manhattan</x:v>
      </x:c>
      <x:c r="C1289" s="31" t="str">
        <x:v>011203</x:v>
      </x:c>
      <x:c r="D1289" s="31" t="str">
        <x:v>MN0604</x:v>
      </x:c>
      <x:c r="E1289" s="31" t="str">
        <x:v>East Midtown-Turtle Bay</x:v>
      </x:c>
      <x:c r="F1289" s="31" t="n">
        <x:v>0.030173647342315195</x:v>
      </x:c>
      <x:c r="G1289" s="31" t="n">
        <x:v>40.7612416580008</x:v>
      </x:c>
      <x:c r="H1289" s="31" t="n">
        <x:v>-73.9689107183952</x:v>
      </x:c>
      <x:c r="I1289" s="31" t="n">
        <x:v>1420</x:v>
      </x:c>
      <x:c r="J1289" s="31" t="n">
        <x:v>47060.9331344775</x:v>
      </x:c>
      <x:c r="K1289" s="31"/>
      <x:c r="L1289" s="40"/>
      <x:c r="M1289" s="40"/>
      <x:c r="N1289" s="31" t="n">
        <x:v>16</x:v>
      </x:c>
      <x:c r="O1289" s="31" t="n">
        <x:v>1524</x:v>
      </x:c>
      <x:c r="P1289" s="31" t="n">
        <x:v>29.323021582733812</x:v>
      </x:c>
      <x:c r="Q1289" s="40" t="n">
        <x:v>0.9061679790026247</x:v>
      </x:c>
      <x:c r="R1289" s="40" t="n">
        <x:v>0.005905511811023622</x:v>
      </x:c>
      <x:c r="S1289" s="40" t="n">
        <x:v>0</x:v>
      </x:c>
      <x:c r="T1289" s="31" t="n">
        <x:v>335.88289349809054</x:v>
      </x:c>
      <x:c r="U1289" s="31" t="n">
        <x:v>806</x:v>
      </x:c>
      <x:c r="V1289" s="31" t="n">
        <x:v>81</x:v>
      </x:c>
      <x:c r="W1289" s="31" t="n">
        <x:v>57.04225352112676</x:v>
      </x:c>
      <x:c r="X1289" s="31" t="n">
        <x:v>1</x:v>
      </x:c>
      <x:c r="Y1289" s="40" t="n">
        <x:v>0</x:v>
      </x:c>
      <x:c r="Z1289" s="40" t="n">
        <x:v>1</x:v>
      </x:c>
      <x:c r="AA1289" s="40" t="n">
        <x:v>1</x:v>
      </x:c>
      <x:c r="AB1289" s="31" t="n">
        <x:v>0.0722654755227298</x:v>
      </x:c>
      <x:c r="AC1289" s="31" t="n">
        <x:v>8</x:v>
      </x:c>
      <x:c r="AD1289" s="44" t="b">
        <x:v>1</x:v>
      </x:c>
    </x:row>
    <x:row r="1290">
      <x:c r="A1290" s="31" t="str">
        <x:v>36061011300</x:v>
      </x:c>
      <x:c r="B1290" s="31" t="str">
        <x:v>Manhattan</x:v>
      </x:c>
      <x:c r="C1290" s="31" t="str">
        <x:v>011300</x:v>
      </x:c>
      <x:c r="D1290" s="31" t="str">
        <x:v>MN0502</x:v>
      </x:c>
      <x:c r="E1290" s="31" t="str">
        <x:v>Midtown-Times Square</x:v>
      </x:c>
      <x:c r="F1290" s="31" t="n">
        <x:v>0.06782696526378845</x:v>
      </x:c>
      <x:c r="G1290" s="31" t="n">
        <x:v>40.75477510406772</x:v>
      </x:c>
      <x:c r="H1290" s="31" t="n">
        <x:v>-73.98786990889565</x:v>
      </x:c>
      <x:c r="I1290" s="31" t="n">
        <x:v>216</x:v>
      </x:c>
      <x:c r="J1290" s="31" t="n">
        <x:v>3184.5741462845363</x:v>
      </x:c>
      <x:c r="K1290" s="31"/>
      <x:c r="L1290" s="40"/>
      <x:c r="M1290" s="40"/>
      <x:c r="N1290" s="31" t="n">
        <x:v>5</x:v>
      </x:c>
      <x:c r="O1290" s="31" t="n">
        <x:v>160</x:v>
      </x:c>
      <x:c r="P1290" s="31" t="n">
        <x:v>26.9375</x:v>
      </x:c>
      <x:c r="Q1290" s="40" t="n">
        <x:v>0.55625</x:v>
      </x:c>
      <x:c r="R1290" s="40" t="n">
        <x:v>0.44375</x:v>
      </x:c>
      <x:c r="S1290" s="40" t="n">
        <x:v>0</x:v>
      </x:c>
      <x:c r="T1290" s="31" t="n">
        <x:v>261.57887814375</x:v>
      </x:c>
      <x:c r="U1290" s="31" t="n">
        <x:v>422</x:v>
      </x:c>
      <x:c r="V1290" s="31" t="n">
        <x:v>8</x:v>
      </x:c>
      <x:c r="W1290" s="31" t="n">
        <x:v>37.03703703703704</x:v>
      </x:c>
      <x:c r="X1290" s="31" t="n">
        <x:v>2</x:v>
      </x:c>
      <x:c r="Y1290" s="40" t="n">
        <x:v>0</x:v>
      </x:c>
      <x:c r="Z1290" s="40" t="n">
        <x:v>1</x:v>
      </x:c>
      <x:c r="AA1290" s="40" t="n">
        <x:v>1</x:v>
      </x:c>
      <x:c r="AB1290" s="31" t="n">
        <x:v>0.20336861863596445</x:v>
      </x:c>
      <x:c r="AC1290" s="31" t="n">
        <x:v>7</x:v>
      </x:c>
      <x:c r="AD1290" s="44" t="b">
        <x:v>1</x:v>
      </x:c>
    </x:row>
    <x:row r="1291">
      <x:c r="A1291" s="31" t="str">
        <x:v>36061011401</x:v>
      </x:c>
      <x:c r="B1291" s="31" t="str">
        <x:v>Manhattan</x:v>
      </x:c>
      <x:c r="C1291" s="31" t="str">
        <x:v>011401</x:v>
      </x:c>
      <x:c r="D1291" s="31" t="str">
        <x:v>MN0802</x:v>
      </x:c>
      <x:c r="E1291" s="31" t="str">
        <x:v>Upper East Side-Carnegie Hill</x:v>
      </x:c>
      <x:c r="F1291" s="31" t="n">
        <x:v>0.038047243650281226</x:v>
      </x:c>
      <x:c r="G1291" s="31" t="n">
        <x:v>40.76484074341458</x:v>
      </x:c>
      <x:c r="H1291" s="31" t="n">
        <x:v>-73.97049384076512</x:v>
      </x:c>
      <x:c r="I1291" s="31" t="n">
        <x:v>1361</x:v>
      </x:c>
      <x:c r="J1291" s="31" t="n">
        <x:v>35771.31664280075</x:v>
      </x:c>
      <x:c r="K1291" s="31"/>
      <x:c r="L1291" s="40"/>
      <x:c r="M1291" s="40"/>
      <x:c r="N1291" s="31" t="n">
        <x:v>60</x:v>
      </x:c>
      <x:c r="O1291" s="31" t="n">
        <x:v>1399</x:v>
      </x:c>
      <x:c r="P1291" s="31" t="n">
        <x:v>22.070100143061516</x:v>
      </x:c>
      <x:c r="Q1291" s="40" t="n">
        <x:v>0.8570407433881344</x:v>
      </x:c>
      <x:c r="R1291" s="40" t="n">
        <x:v>0.14224446032880628</x:v>
      </x:c>
      <x:c r="S1291" s="40" t="n">
        <x:v>0</x:v>
      </x:c>
      <x:c r="T1291" s="31" t="n">
        <x:v>264.11636157355287</x:v>
      </x:c>
      <x:c r="U1291" s="31" t="n">
        <x:v>781</x:v>
      </x:c>
      <x:c r="V1291" s="31" t="n">
        <x:v>131</x:v>
      </x:c>
      <x:c r="W1291" s="31" t="n">
        <x:v>96.25275532696547</x:v>
      </x:c>
      <x:c r="X1291" s="31" t="n">
        <x:v>1</x:v>
      </x:c>
      <x:c r="Y1291" s="40" t="n">
        <x:v>0</x:v>
      </x:c>
      <x:c r="Z1291" s="40" t="n">
        <x:v>1</x:v>
      </x:c>
      <x:c r="AA1291" s="40" t="n">
        <x:v>0.9335239456754825</x:v>
      </x:c>
      <x:c r="AB1291" s="31" t="n">
        <x:v>0.18961638692615718</x:v>
      </x:c>
      <x:c r="AC1291" s="31" t="n">
        <x:v>7</x:v>
      </x:c>
      <x:c r="AD1291" s="44" t="b">
        <x:v>1</x:v>
      </x:c>
    </x:row>
    <x:row r="1292">
      <x:c r="A1292" s="31" t="str">
        <x:v>36061011402</x:v>
      </x:c>
      <x:c r="B1292" s="31" t="str">
        <x:v>Manhattan</x:v>
      </x:c>
      <x:c r="C1292" s="31" t="str">
        <x:v>011402</x:v>
      </x:c>
      <x:c r="D1292" s="31" t="str">
        <x:v>MN0802</x:v>
      </x:c>
      <x:c r="E1292" s="31" t="str">
        <x:v>Upper East Side-Carnegie Hill</x:v>
      </x:c>
      <x:c r="F1292" s="31" t="n">
        <x:v>0.03814951193361168</x:v>
      </x:c>
      <x:c r="G1292" s="31" t="n">
        <x:v>40.76348257470077</x:v>
      </x:c>
      <x:c r="H1292" s="31" t="n">
        <x:v>-73.96727887607466</x:v>
      </x:c>
      <x:c r="I1292" s="31" t="n">
        <x:v>2620</x:v>
      </x:c>
      <x:c r="J1292" s="31" t="n">
        <x:v>68677.15646164388</x:v>
      </x:c>
      <x:c r="K1292" s="31"/>
      <x:c r="L1292" s="40"/>
      <x:c r="M1292" s="40"/>
      <x:c r="N1292" s="31" t="n">
        <x:v>139</x:v>
      </x:c>
      <x:c r="O1292" s="31" t="n">
        <x:v>2129</x:v>
      </x:c>
      <x:c r="P1292" s="31" t="n">
        <x:v>19.039220291216534</x:v>
      </x:c>
      <x:c r="Q1292" s="40" t="n">
        <x:v>0.7449506810709253</x:v>
      </x:c>
      <x:c r="R1292" s="40" t="n">
        <x:v>0.2550493189290747</x:v>
      </x:c>
      <x:c r="S1292" s="40" t="n">
        <x:v>0.0009394081728511038</x:v>
      </x:c>
      <x:c r="T1292" s="31" t="n">
        <x:v>202.92463698723344</x:v>
      </x:c>
      <x:c r="U1292" s="31" t="n">
        <x:v>530</x:v>
      </x:c>
      <x:c r="V1292" s="31" t="n">
        <x:v>104</x:v>
      </x:c>
      <x:c r="W1292" s="31" t="n">
        <x:v>39.69465648854962</x:v>
      </x:c>
      <x:c r="X1292" s="31" t="n">
        <x:v>1</x:v>
      </x:c>
      <x:c r="Y1292" s="40" t="n">
        <x:v>0</x:v>
      </x:c>
      <x:c r="Z1292" s="40" t="n">
        <x:v>1</x:v>
      </x:c>
      <x:c r="AA1292" s="40" t="n">
        <x:v>1</x:v>
      </x:c>
      <x:c r="AB1292" s="31" t="n">
        <x:v>0.13737946367580137</x:v>
      </x:c>
      <x:c r="AC1292" s="31" t="n">
        <x:v>7</x:v>
      </x:c>
      <x:c r="AD1292" s="44" t="b">
        <x:v>1</x:v>
      </x:c>
    </x:row>
    <x:row r="1293">
      <x:c r="A1293" s="31" t="str">
        <x:v>36061011500</x:v>
      </x:c>
      <x:c r="B1293" s="31" t="str">
        <x:v>Manhattan</x:v>
      </x:c>
      <x:c r="C1293" s="31" t="str">
        <x:v>011500</x:v>
      </x:c>
      <x:c r="D1293" s="31" t="str">
        <x:v>MN0402</x:v>
      </x:c>
      <x:c r="E1293" s="31" t="str">
        <x:v>Hell's Kitchen</x:v>
      </x:c>
      <x:c r="F1293" s="31" t="n">
        <x:v>0.06778901663725322</x:v>
      </x:c>
      <x:c r="G1293" s="31" t="n">
        <x:v>40.75716778200839</x:v>
      </x:c>
      <x:c r="H1293" s="31" t="n">
        <x:v>-73.99354883730895</x:v>
      </x:c>
      <x:c r="I1293" s="31" t="n">
        <x:v>3863</x:v>
      </x:c>
      <x:c r="J1293" s="31" t="n">
        <x:v>56985.6326530204</x:v>
      </x:c>
      <x:c r="K1293" s="31"/>
      <x:c r="L1293" s="40"/>
      <x:c r="M1293" s="40"/>
      <x:c r="N1293" s="31" t="n">
        <x:v>65</x:v>
      </x:c>
      <x:c r="O1293" s="31" t="n">
        <x:v>3573</x:v>
      </x:c>
      <x:c r="P1293" s="31" t="n">
        <x:v>38.34411764705882</x:v>
      </x:c>
      <x:c r="Q1293" s="40" t="n">
        <x:v>0.8558634200951581</x:v>
      </x:c>
      <x:c r="R1293" s="40" t="n">
        <x:v>0.14301707248810525</x:v>
      </x:c>
      <x:c r="S1293" s="40" t="n">
        <x:v>0.008396305625524769</x:v>
      </x:c>
      <x:c r="T1293" s="31" t="n">
        <x:v>382.28581278481715</x:v>
      </x:c>
      <x:c r="U1293" s="31" t="n">
        <x:v>630</x:v>
      </x:c>
      <x:c r="V1293" s="31" t="n">
        <x:v>86</x:v>
      </x:c>
      <x:c r="W1293" s="31" t="n">
        <x:v>22.26249029251877</x:v>
      </x:c>
      <x:c r="X1293" s="31" t="n">
        <x:v>2</x:v>
      </x:c>
      <x:c r="Y1293" s="40" t="n">
        <x:v>0</x:v>
      </x:c>
      <x:c r="Z1293" s="40" t="n">
        <x:v>1</x:v>
      </x:c>
      <x:c r="AA1293" s="40" t="n">
        <x:v>0.8494262524489224</x:v>
      </x:c>
      <x:c r="AB1293" s="31" t="n">
        <x:v>0.1547757962335585</x:v>
      </x:c>
      <x:c r="AC1293" s="31" t="n">
        <x:v>9</x:v>
      </x:c>
      <x:c r="AD1293" s="44" t="b">
        <x:v>1</x:v>
      </x:c>
    </x:row>
    <x:row r="1294">
      <x:c r="A1294" s="31" t="str">
        <x:v>36061011600</x:v>
      </x:c>
      <x:c r="B1294" s="31" t="str">
        <x:v>Manhattan</x:v>
      </x:c>
      <x:c r="C1294" s="31" t="str">
        <x:v>011600</x:v>
      </x:c>
      <x:c r="D1294" s="31" t="str">
        <x:v>MN0801</x:v>
      </x:c>
      <x:c r="E1294" s="31" t="str">
        <x:v>Upper East Side-Lenox Hill-Roosevelt Island</x:v>
      </x:c>
      <x:c r="F1294" s="31" t="n">
        <x:v>0.07595675098319847</x:v>
      </x:c>
      <x:c r="G1294" s="31" t="n">
        <x:v>40.76339774160569</x:v>
      </x:c>
      <x:c r="H1294" s="31" t="n">
        <x:v>-73.95614973698778</x:v>
      </x:c>
      <x:c r="I1294" s="31" t="n">
        <x:v>3263</x:v>
      </x:c>
      <x:c r="J1294" s="31" t="n">
        <x:v>42958.6568377809</x:v>
      </x:c>
      <x:c r="K1294" s="31"/>
      <x:c r="L1294" s="40"/>
      <x:c r="M1294" s="40"/>
      <x:c r="N1294" s="31" t="n">
        <x:v>29</x:v>
      </x:c>
      <x:c r="O1294" s="31" t="n">
        <x:v>2243</x:v>
      </x:c>
      <x:c r="P1294" s="31" t="n">
        <x:v>9.855996433348194</x:v>
      </x:c>
      <x:c r="Q1294" s="40" t="n">
        <x:v>0.3031654034774855</x:v>
      </x:c>
      <x:c r="R1294" s="40" t="n">
        <x:v>0.6963887650468124</x:v>
      </x:c>
      <x:c r="S1294" s="40" t="n">
        <x:v>0.3807400802496656</x:v>
      </x:c>
      <x:c r="T1294" s="31" t="n">
        <x:v>105.79423703145787</x:v>
      </x:c>
      <x:c r="U1294" s="31" t="n">
        <x:v>335</x:v>
      </x:c>
      <x:c r="V1294" s="31" t="n">
        <x:v>20</x:v>
      </x:c>
      <x:c r="W1294" s="31" t="n">
        <x:v>6.129328838492185</x:v>
      </x:c>
      <x:c r="X1294" s="31" t="n">
        <x:v>1</x:v>
      </x:c>
      <x:c r="Y1294" s="40" t="n">
        <x:v>0</x:v>
      </x:c>
      <x:c r="Z1294" s="40" t="n">
        <x:v>1</x:v>
      </x:c>
      <x:c r="AA1294" s="40" t="n">
        <x:v>1</x:v>
      </x:c>
      <x:c r="AB1294" s="31" t="n">
        <x:v>0.08782060956698384</x:v>
      </x:c>
      <x:c r="AC1294" s="31" t="n">
        <x:v>5</x:v>
      </x:c>
      <x:c r="AD1294" s="44" t="b">
        <x:v>1</x:v>
      </x:c>
    </x:row>
    <x:row r="1295">
      <x:c r="A1295" s="31" t="str">
        <x:v>36061011700</x:v>
      </x:c>
      <x:c r="B1295" s="31" t="str">
        <x:v>Manhattan</x:v>
      </x:c>
      <x:c r="C1295" s="31" t="str">
        <x:v>011700</x:v>
      </x:c>
      <x:c r="D1295" s="31" t="str">
        <x:v>MN0401</x:v>
      </x:c>
      <x:c r="E1295" s="31" t="str">
        <x:v>Chelsea-Hudson Yards</x:v>
      </x:c>
      <x:c r="F1295" s="31" t="n">
        <x:v>0.07622607244497533</x:v>
      </x:c>
      <x:c r="G1295" s="31" t="n">
        <x:v>40.75979605206069</x:v>
      </x:c>
      <x:c r="H1295" s="31" t="n">
        <x:v>-73.9996436826316</x:v>
      </x:c>
      <x:c r="I1295" s="31" t="n">
        <x:v>5256</x:v>
      </x:c>
      <x:c r="J1295" s="31" t="n">
        <x:v>68952.78520081307</x:v>
      </x:c>
      <x:c r="K1295" s="31"/>
      <x:c r="L1295" s="40"/>
      <x:c r="M1295" s="40"/>
      <x:c r="N1295" s="31" t="n">
        <x:v>10</x:v>
      </x:c>
      <x:c r="O1295" s="31" t="n">
        <x:v>2935</x:v>
      </x:c>
      <x:c r="P1295" s="31" t="n">
        <x:v>42.69676320272573</x:v>
      </x:c>
      <x:c r="Q1295" s="40" t="n">
        <x:v>0.9689948892674617</x:v>
      </x:c>
      <x:c r="R1295" s="40" t="n">
        <x:v>0.03100511073253833</x:v>
      </x:c>
      <x:c r="S1295" s="40" t="n">
        <x:v>0</x:v>
      </x:c>
      <x:c r="T1295" s="31" t="n">
        <x:v>472.9553682188809</x:v>
      </x:c>
      <x:c r="U1295" s="31" t="n">
        <x:v>609</x:v>
      </x:c>
      <x:c r="V1295" s="31" t="n">
        <x:v>53</x:v>
      </x:c>
      <x:c r="W1295" s="31" t="n">
        <x:v>10.083713850837137</x:v>
      </x:c>
      <x:c r="X1295" s="31" t="n">
        <x:v>2</x:v>
      </x:c>
      <x:c r="Y1295" s="40" t="n">
        <x:v>0</x:v>
      </x:c>
      <x:c r="Z1295" s="40" t="n">
        <x:v>1</x:v>
      </x:c>
      <x:c r="AA1295" s="40" t="n">
        <x:v>0.8950596252129472</x:v>
      </x:c>
      <x:c r="AB1295" s="31" t="n">
        <x:v>0.2078598506602601</x:v>
      </x:c>
      <x:c r="AC1295" s="31" t="n">
        <x:v>5</x:v>
      </x:c>
      <x:c r="AD1295" s="44" t="b">
        <x:v>1</x:v>
      </x:c>
    </x:row>
    <x:row r="1296">
      <x:c r="A1296" s="31" t="str">
        <x:v>36061011800</x:v>
      </x:c>
      <x:c r="B1296" s="31" t="str">
        <x:v>Manhattan</x:v>
      </x:c>
      <x:c r="C1296" s="31" t="str">
        <x:v>011800</x:v>
      </x:c>
      <x:c r="D1296" s="31" t="str">
        <x:v>MN0801</x:v>
      </x:c>
      <x:c r="E1296" s="31" t="str">
        <x:v>Upper East Side-Lenox Hill-Roosevelt Island</x:v>
      </x:c>
      <x:c r="F1296" s="31" t="n">
        <x:v>0.0682706414101957</x:v>
      </x:c>
      <x:c r="G1296" s="31" t="n">
        <x:v>40.76527473269525</x:v>
      </x:c>
      <x:c r="H1296" s="31" t="n">
        <x:v>-73.96085524814978</x:v>
      </x:c>
      <x:c r="I1296" s="31" t="n">
        <x:v>9688</x:v>
      </x:c>
      <x:c r="J1296" s="31" t="n">
        <x:v>141905.80020760096</x:v>
      </x:c>
      <x:c r="K1296" s="31"/>
      <x:c r="L1296" s="40"/>
      <x:c r="M1296" s="40"/>
      <x:c r="N1296" s="31" t="n">
        <x:v>126</x:v>
      </x:c>
      <x:c r="O1296" s="31" t="n">
        <x:v>6313</x:v>
      </x:c>
      <x:c r="P1296" s="31" t="n">
        <x:v>21.31340091873911</x:v>
      </x:c>
      <x:c r="Q1296" s="40" t="n">
        <x:v>0.7422778393790591</x:v>
      </x:c>
      <x:c r="R1296" s="40" t="n">
        <x:v>0.2567717408522097</x:v>
      </x:c>
      <x:c r="S1296" s="40" t="n">
        <x:v>0.09931886583240931</x:v>
      </x:c>
      <x:c r="T1296" s="31" t="n">
        <x:v>215.8590259749438</x:v>
      </x:c>
      <x:c r="U1296" s="31" t="n">
        <x:v>592</x:v>
      </x:c>
      <x:c r="V1296" s="31" t="n">
        <x:v>161</x:v>
      </x:c>
      <x:c r="W1296" s="31" t="n">
        <x:v>16.61849710982659</x:v>
      </x:c>
      <x:c r="X1296" s="31" t="n">
        <x:v>1.0061777284967528</x:v>
      </x:c>
      <x:c r="Y1296" s="40" t="n">
        <x:v>0</x:v>
      </x:c>
      <x:c r="Z1296" s="40" t="n">
        <x:v>1</x:v>
      </x:c>
      <x:c r="AA1296" s="40" t="n">
        <x:v>1</x:v>
      </x:c>
      <x:c r="AB1296" s="31" t="n">
        <x:v>0.06859118473050442</x:v>
      </x:c>
      <x:c r="AC1296" s="31" t="n">
        <x:v>7</x:v>
      </x:c>
      <x:c r="AD1296" s="44" t="b">
        <x:v>1</x:v>
      </x:c>
    </x:row>
    <x:row r="1297">
      <x:c r="A1297" s="31" t="str">
        <x:v>36061011900</x:v>
      </x:c>
      <x:c r="B1297" s="31" t="str">
        <x:v>Manhattan</x:v>
      </x:c>
      <x:c r="C1297" s="31" t="str">
        <x:v>011900</x:v>
      </x:c>
      <x:c r="D1297" s="31" t="str">
        <x:v>MN0502</x:v>
      </x:c>
      <x:c r="E1297" s="31" t="str">
        <x:v>Midtown-Times Square</x:v>
      </x:c>
      <x:c r="F1297" s="31" t="n">
        <x:v>0.06855883720012626</x:v>
      </x:c>
      <x:c r="G1297" s="31" t="n">
        <x:v>40.757315187980716</x:v>
      </x:c>
      <x:c r="H1297" s="31" t="n">
        <x:v>-73.9860247490562</x:v>
      </x:c>
      <x:c r="I1297" s="31" t="n">
        <x:v>1666</x:v>
      </x:c>
      <x:c r="J1297" s="31" t="n">
        <x:v>24300.29545479123</x:v>
      </x:c>
      <x:c r="K1297" s="31"/>
      <x:c r="L1297" s="40"/>
      <x:c r="M1297" s="40"/>
      <x:c r="N1297" s="31" t="n">
        <x:v>17</x:v>
      </x:c>
      <x:c r="O1297" s="31" t="n">
        <x:v>866</x:v>
      </x:c>
      <x:c r="P1297" s="31" t="n">
        <x:v>13.7459584295612</x:v>
      </x:c>
      <x:c r="Q1297" s="40" t="n">
        <x:v>0.9191685912240185</x:v>
      </x:c>
      <x:c r="R1297" s="40" t="n">
        <x:v>0.08083140877598152</x:v>
      </x:c>
      <x:c r="S1297" s="40" t="n">
        <x:v>0</x:v>
      </x:c>
      <x:c r="T1297" s="31" t="n">
        <x:v>165.5059018475058</x:v>
      </x:c>
      <x:c r="U1297" s="31" t="n">
        <x:v>180.51175</x:v>
      </x:c>
      <x:c r="V1297" s="31" t="n">
        <x:v>9</x:v>
      </x:c>
      <x:c r="W1297" s="31" t="n">
        <x:v>5.402160864345738</x:v>
      </x:c>
      <x:c r="X1297" s="31" t="n">
        <x:v>2</x:v>
      </x:c>
      <x:c r="Y1297" s="40" t="n">
        <x:v>0</x:v>
      </x:c>
      <x:c r="Z1297" s="40" t="n">
        <x:v>1</x:v>
      </x:c>
      <x:c r="AA1297" s="40" t="n">
        <x:v>1</x:v>
      </x:c>
      <x:c r="AB1297" s="31" t="n">
        <x:v>0.12048753565270497</x:v>
      </x:c>
      <x:c r="AC1297" s="31" t="n">
        <x:v>7</x:v>
      </x:c>
      <x:c r="AD1297" s="44" t="b">
        <x:v>1</x:v>
      </x:c>
    </x:row>
    <x:row r="1298">
      <x:c r="A1298" s="31" t="str">
        <x:v>36061012000</x:v>
      </x:c>
      <x:c r="B1298" s="31" t="str">
        <x:v>Manhattan</x:v>
      </x:c>
      <x:c r="C1298" s="31" t="str">
        <x:v>012000</x:v>
      </x:c>
      <x:c r="D1298" s="31" t="str">
        <x:v>MN0802</x:v>
      </x:c>
      <x:c r="E1298" s="31" t="str">
        <x:v>Upper East Side-Carnegie Hill</x:v>
      </x:c>
      <x:c r="F1298" s="31" t="n">
        <x:v>0.06680496410482667</x:v>
      </x:c>
      <x:c r="G1298" s="31" t="n">
        <x:v>40.766926084744945</x:v>
      </x:c>
      <x:c r="H1298" s="31" t="n">
        <x:v>-73.96476635804093</x:v>
      </x:c>
      <x:c r="I1298" s="31" t="n">
        <x:v>3905</x:v>
      </x:c>
      <x:c r="J1298" s="31" t="n">
        <x:v>58453.73996268435</x:v>
      </x:c>
      <x:c r="K1298" s="31"/>
      <x:c r="L1298" s="40"/>
      <x:c r="M1298" s="40"/>
      <x:c r="N1298" s="31" t="n">
        <x:v>209</x:v>
      </x:c>
      <x:c r="O1298" s="31" t="n">
        <x:v>2972</x:v>
      </x:c>
      <x:c r="P1298" s="31" t="n">
        <x:v>18.382402422611037</x:v>
      </x:c>
      <x:c r="Q1298" s="40" t="n">
        <x:v>0.7937415881561238</x:v>
      </x:c>
      <x:c r="R1298" s="40" t="n">
        <x:v>0.20524899057873486</x:v>
      </x:c>
      <x:c r="S1298" s="40" t="n">
        <x:v>0</x:v>
      </x:c>
      <x:c r="T1298" s="31" t="n">
        <x:v>204.53646767050608</x:v>
      </x:c>
      <x:c r="U1298" s="31" t="n">
        <x:v>439</x:v>
      </x:c>
      <x:c r="V1298" s="31" t="n">
        <x:v>213</x:v>
      </x:c>
      <x:c r="W1298" s="31" t="n">
        <x:v>54.54545454545454</x:v>
      </x:c>
      <x:c r="X1298" s="31" t="n">
        <x:v>1.208613728129206</x:v>
      </x:c>
      <x:c r="Y1298" s="40" t="n">
        <x:v>0</x:v>
      </x:c>
      <x:c r="Z1298" s="40" t="n">
        <x:v>1</x:v>
      </x:c>
      <x:c r="AA1298" s="40" t="n">
        <x:v>0.9973082099596231</x:v>
      </x:c>
      <x:c r="AB1298" s="31" t="n">
        <x:v>0.11326496424537127</x:v>
      </x:c>
      <x:c r="AC1298" s="31" t="n">
        <x:v>8</x:v>
      </x:c>
      <x:c r="AD1298" s="44" t="b">
        <x:v>1</x:v>
      </x:c>
    </x:row>
    <x:row r="1299">
      <x:c r="A1299" s="31" t="str">
        <x:v>36061012101</x:v>
      </x:c>
      <x:c r="B1299" s="31" t="str">
        <x:v>Manhattan</x:v>
      </x:c>
      <x:c r="C1299" s="31" t="str">
        <x:v>012101</x:v>
      </x:c>
      <x:c r="D1299" s="31" t="str">
        <x:v>MN0402</x:v>
      </x:c>
      <x:c r="E1299" s="31" t="str">
        <x:v>Hell's Kitchen</x:v>
      </x:c>
      <x:c r="F1299" s="31" t="n">
        <x:v>0.03441985824258207</x:v>
      </x:c>
      <x:c r="G1299" s="31" t="n">
        <x:v>40.759111887490164</x:v>
      </x:c>
      <x:c r="H1299" s="31" t="n">
        <x:v>-73.99027921023297</x:v>
      </x:c>
      <x:c r="I1299" s="31" t="n">
        <x:v>3408</x:v>
      </x:c>
      <x:c r="J1299" s="31" t="n">
        <x:v>99012.60998756347</x:v>
      </x:c>
      <x:c r="K1299" s="31"/>
      <x:c r="L1299" s="40"/>
      <x:c r="M1299" s="40"/>
      <x:c r="N1299" s="31" t="n">
        <x:v>86</x:v>
      </x:c>
      <x:c r="O1299" s="31" t="n">
        <x:v>2789</x:v>
      </x:c>
      <x:c r="P1299" s="31" t="n">
        <x:v>14.93832915023306</x:v>
      </x:c>
      <x:c r="Q1299" s="40" t="n">
        <x:v>0.49695231265686624</x:v>
      </x:c>
      <x:c r="R1299" s="40" t="n">
        <x:v>0.502330584438867</x:v>
      </x:c>
      <x:c r="S1299" s="40" t="n">
        <x:v>0.13087128002868412</x:v>
      </x:c>
      <x:c r="T1299" s="31" t="n">
        <x:v>163.60275446074533</x:v>
      </x:c>
      <x:c r="U1299" s="31" t="n">
        <x:v>403.2</x:v>
      </x:c>
      <x:c r="V1299" s="31" t="n">
        <x:v>47</x:v>
      </x:c>
      <x:c r="W1299" s="31" t="n">
        <x:v>13.791079812206572</x:v>
      </x:c>
      <x:c r="X1299" s="31" t="n">
        <x:v>2</x:v>
      </x:c>
      <x:c r="Y1299" s="40" t="n">
        <x:v>0</x:v>
      </x:c>
      <x:c r="Z1299" s="40" t="n">
        <x:v>1</x:v>
      </x:c>
      <x:c r="AA1299" s="40" t="n">
        <x:v>0.9573323771961276</x:v>
      </x:c>
      <x:c r="AB1299" s="31" t="n">
        <x:v>0.17678996652897677</x:v>
      </x:c>
      <x:c r="AC1299" s="31" t="n">
        <x:v>6</x:v>
      </x:c>
      <x:c r="AD1299" s="44" t="b">
        <x:v>1</x:v>
      </x:c>
    </x:row>
    <x:row r="1300">
      <x:c r="A1300" s="31" t="str">
        <x:v>36061012102</x:v>
      </x:c>
      <x:c r="B1300" s="31" t="str">
        <x:v>Manhattan</x:v>
      </x:c>
      <x:c r="C1300" s="31" t="str">
        <x:v>012102</x:v>
      </x:c>
      <x:c r="D1300" s="31" t="str">
        <x:v>MN0402</x:v>
      </x:c>
      <x:c r="E1300" s="31" t="str">
        <x:v>Hell's Kitchen</x:v>
      </x:c>
      <x:c r="F1300" s="31" t="n">
        <x:v>0.034431318127618515</x:v>
      </x:c>
      <x:c r="G1300" s="31" t="n">
        <x:v>40.760307584922906</x:v>
      </x:c>
      <x:c r="H1300" s="31" t="n">
        <x:v>-73.99311909019487</x:v>
      </x:c>
      <x:c r="I1300" s="31" t="n">
        <x:v>5236</x:v>
      </x:c>
      <x:c r="J1300" s="31" t="n">
        <x:v>152070.85539371287</x:v>
      </x:c>
      <x:c r="K1300" s="31"/>
      <x:c r="L1300" s="40"/>
      <x:c r="M1300" s="40"/>
      <x:c r="N1300" s="31" t="n">
        <x:v>137</x:v>
      </x:c>
      <x:c r="O1300" s="31" t="n">
        <x:v>3520</x:v>
      </x:c>
      <x:c r="P1300" s="31" t="n">
        <x:v>24.84971590909091</x:v>
      </x:c>
      <x:c r="Q1300" s="40" t="n">
        <x:v>0.49630681818181815</x:v>
      </x:c>
      <x:c r="R1300" s="40" t="n">
        <x:v>0.5036931818181818</x:v>
      </x:c>
      <x:c r="S1300" s="40" t="n">
        <x:v>0.503125</x:v>
      </x:c>
      <x:c r="T1300" s="31" t="n">
        <x:v>241.77135066541192</x:v>
      </x:c>
      <x:c r="U1300" s="31" t="n">
        <x:v>438.81</x:v>
      </x:c>
      <x:c r="V1300" s="31" t="n">
        <x:v>39</x:v>
      </x:c>
      <x:c r="W1300" s="31" t="n">
        <x:v>7.448433919022154</x:v>
      </x:c>
      <x:c r="X1300" s="31" t="n">
        <x:v>2</x:v>
      </x:c>
      <x:c r="Y1300" s="40" t="n">
        <x:v>0</x:v>
      </x:c>
      <x:c r="Z1300" s="40" t="n">
        <x:v>1</x:v>
      </x:c>
      <x:c r="AA1300" s="40" t="n">
        <x:v>1</x:v>
      </x:c>
      <x:c r="AB1300" s="31" t="n">
        <x:v>0.15716162748611165</x:v>
      </x:c>
      <x:c r="AC1300" s="31" t="n">
        <x:v>6</x:v>
      </x:c>
      <x:c r="AD1300" s="44" t="b">
        <x:v>1</x:v>
      </x:c>
    </x:row>
    <x:row r="1301">
      <x:c r="A1301" s="31" t="str">
        <x:v>36061012200</x:v>
      </x:c>
      <x:c r="B1301" s="31" t="str">
        <x:v>Manhattan</x:v>
      </x:c>
      <x:c r="C1301" s="31" t="str">
        <x:v>012200</x:v>
      </x:c>
      <x:c r="D1301" s="31" t="str">
        <x:v>MN0802</x:v>
      </x:c>
      <x:c r="E1301" s="31" t="str">
        <x:v>Upper East Side-Carnegie Hill</x:v>
      </x:c>
      <x:c r="F1301" s="31" t="n">
        <x:v>0.06664046157706324</x:v>
      </x:c>
      <x:c r="G1301" s="31" t="n">
        <x:v>40.768281161706106</x:v>
      </x:c>
      <x:c r="H1301" s="31" t="n">
        <x:v>-73.96798407414133</x:v>
      </x:c>
      <x:c r="I1301" s="31" t="n">
        <x:v>3425</x:v>
      </x:c>
      <x:c r="J1301" s="31" t="n">
        <x:v>51395.20223819757</x:v>
      </x:c>
      <x:c r="K1301" s="31"/>
      <x:c r="L1301" s="40"/>
      <x:c r="M1301" s="40"/>
      <x:c r="N1301" s="31" t="n">
        <x:v>230</x:v>
      </x:c>
      <x:c r="O1301" s="31" t="n">
        <x:v>3023</x:v>
      </x:c>
      <x:c r="P1301" s="31" t="n">
        <x:v>13.139761826000662</x:v>
      </x:c>
      <x:c r="Q1301" s="40" t="n">
        <x:v>0.6976513397287463</x:v>
      </x:c>
      <x:c r="R1301" s="40" t="n">
        <x:v>0.30234866027125373</x:v>
      </x:c>
      <x:c r="S1301" s="40" t="n">
        <x:v>0.01587826662256037</x:v>
      </x:c>
      <x:c r="T1301" s="31" t="n">
        <x:v>152.63072586726878</x:v>
      </x:c>
      <x:c r="U1301" s="31" t="n">
        <x:v>291.69</x:v>
      </x:c>
      <x:c r="V1301" s="31" t="n">
        <x:v>308</x:v>
      </x:c>
      <x:c r="W1301" s="31" t="n">
        <x:v>89.92700729927007</x:v>
      </x:c>
      <x:c r="X1301" s="31" t="n">
        <x:v>1.196824346675488</x:v>
      </x:c>
      <x:c r="Y1301" s="40" t="n">
        <x:v>0</x:v>
      </x:c>
      <x:c r="Z1301" s="40" t="n">
        <x:v>1</x:v>
      </x:c>
      <x:c r="AA1301" s="40" t="n">
        <x:v>0.9943764472378432</x:v>
      </x:c>
      <x:c r="AB1301" s="31" t="n">
        <x:v>0.17115722583306042</x:v>
      </x:c>
      <x:c r="AC1301" s="31" t="n">
        <x:v>6</x:v>
      </x:c>
      <x:c r="AD1301" s="44" t="b">
        <x:v>1</x:v>
      </x:c>
    </x:row>
    <x:row r="1302">
      <x:c r="A1302" s="31" t="str">
        <x:v>36061012400</x:v>
      </x:c>
      <x:c r="B1302" s="31" t="str">
        <x:v>Manhattan</x:v>
      </x:c>
      <x:c r="C1302" s="31" t="str">
        <x:v>012400</x:v>
      </x:c>
      <x:c r="D1302" s="31" t="str">
        <x:v>MN0801</x:v>
      </x:c>
      <x:c r="E1302" s="31" t="str">
        <x:v>Upper East Side-Lenox Hill-Roosevelt Island</x:v>
      </x:c>
      <x:c r="F1302" s="31" t="n">
        <x:v>0.06627225295138889</x:v>
      </x:c>
      <x:c r="G1302" s="31" t="n">
        <x:v>40.76669973379171</x:v>
      </x:c>
      <x:c r="H1302" s="31" t="n">
        <x:v>-73.95383566831678</x:v>
      </x:c>
      <x:c r="I1302" s="31" t="n">
        <x:v>10845</x:v>
      </x:c>
      <x:c r="J1302" s="31" t="n">
        <x:v>163643.1465209863</x:v>
      </x:c>
      <x:c r="K1302" s="31"/>
      <x:c r="L1302" s="40"/>
      <x:c r="M1302" s="40"/>
      <x:c r="N1302" s="31" t="n">
        <x:v>100</x:v>
      </x:c>
      <x:c r="O1302" s="31" t="n">
        <x:v>6645</x:v>
      </x:c>
      <x:c r="P1302" s="31" t="n">
        <x:v>23.910609480812642</x:v>
      </x:c>
      <x:c r="Q1302" s="40" t="n">
        <x:v>0.6859292701279157</x:v>
      </x:c>
      <x:c r="R1302" s="40" t="n">
        <x:v>0.3140707298720843</x:v>
      </x:c>
      <x:c r="S1302" s="40" t="n">
        <x:v>0.013844996237772762</x:v>
      </x:c>
      <x:c r="T1302" s="31" t="n">
        <x:v>239.20335508735903</x:v>
      </x:c>
      <x:c r="U1302" s="31" t="n">
        <x:v>479</x:v>
      </x:c>
      <x:c r="V1302" s="31" t="n">
        <x:v>117</x:v>
      </x:c>
      <x:c r="W1302" s="31" t="n">
        <x:v>10.788381742738588</x:v>
      </x:c>
      <x:c r="X1302" s="31" t="n">
        <x:v>2</x:v>
      </x:c>
      <x:c r="Y1302" s="40" t="n">
        <x:v>0</x:v>
      </x:c>
      <x:c r="Z1302" s="40" t="n">
        <x:v>1</x:v>
      </x:c>
      <x:c r="AA1302" s="40" t="n">
        <x:v>0.9954853273137697</x:v>
      </x:c>
      <x:c r="AB1302" s="31" t="n">
        <x:v>0.2498885296394949</x:v>
      </x:c>
      <x:c r="AC1302" s="31" t="n">
        <x:v>5</x:v>
      </x:c>
      <x:c r="AD1302" s="44" t="b">
        <x:v>1</x:v>
      </x:c>
    </x:row>
    <x:row r="1303">
      <x:c r="A1303" s="31" t="str">
        <x:v>36061012500</x:v>
      </x:c>
      <x:c r="B1303" s="31" t="str">
        <x:v>Manhattan</x:v>
      </x:c>
      <x:c r="C1303" s="31" t="str">
        <x:v>012500</x:v>
      </x:c>
      <x:c r="D1303" s="31" t="str">
        <x:v>MN0502</x:v>
      </x:c>
      <x:c r="E1303" s="31" t="str">
        <x:v>Midtown-Times Square</x:v>
      </x:c>
      <x:c r="F1303" s="31" t="n">
        <x:v>0.06727363489870293</x:v>
      </x:c>
      <x:c r="G1303" s="31" t="n">
        <x:v>40.75984064422658</x:v>
      </x:c>
      <x:c r="H1303" s="31" t="n">
        <x:v>-73.98417550438455</x:v>
      </x:c>
      <x:c r="I1303" s="31" t="n">
        <x:v>2901</x:v>
      </x:c>
      <x:c r="J1303" s="31" t="n">
        <x:v>43122.39117699188</x:v>
      </x:c>
      <x:c r="K1303" s="31"/>
      <x:c r="L1303" s="40"/>
      <x:c r="M1303" s="40"/>
      <x:c r="N1303" s="31" t="n">
        <x:v>16</x:v>
      </x:c>
      <x:c r="O1303" s="31" t="n">
        <x:v>2174</x:v>
      </x:c>
      <x:c r="P1303" s="31" t="n">
        <x:v>38.92318307267709</x:v>
      </x:c>
      <x:c r="Q1303" s="40" t="n">
        <x:v>0.9599816007359706</x:v>
      </x:c>
      <x:c r="R1303" s="40" t="n">
        <x:v>0.04001839926402944</x:v>
      </x:c>
      <x:c r="S1303" s="40" t="n">
        <x:v>0</x:v>
      </x:c>
      <x:c r="T1303" s="31" t="n">
        <x:v>389.54864695616055</x:v>
      </x:c>
      <x:c r="U1303" s="31" t="n">
        <x:v>510</x:v>
      </x:c>
      <x:c r="V1303" s="31" t="n">
        <x:v>43</x:v>
      </x:c>
      <x:c r="W1303" s="31" t="n">
        <x:v>14.822475008617717</x:v>
      </x:c>
      <x:c r="X1303" s="31" t="n">
        <x:v>2</x:v>
      </x:c>
      <x:c r="Y1303" s="40" t="n">
        <x:v>0</x:v>
      </x:c>
      <x:c r="Z1303" s="40" t="n">
        <x:v>1</x:v>
      </x:c>
      <x:c r="AA1303" s="40" t="n">
        <x:v>0.9967801287948482</x:v>
      </x:c>
      <x:c r="AB1303" s="31" t="n">
        <x:v>0.15716908426521578</x:v>
      </x:c>
      <x:c r="AC1303" s="31" t="n">
        <x:v>7</x:v>
      </x:c>
      <x:c r="AD1303" s="44" t="b">
        <x:v>1</x:v>
      </x:c>
    </x:row>
    <x:row r="1304">
      <x:c r="A1304" s="31" t="str">
        <x:v>36061012601</x:v>
      </x:c>
      <x:c r="B1304" s="31" t="str">
        <x:v>Manhattan</x:v>
      </x:c>
      <x:c r="C1304" s="31" t="str">
        <x:v>012601</x:v>
      </x:c>
      <x:c r="D1304" s="31" t="str">
        <x:v>MN0801</x:v>
      </x:c>
      <x:c r="E1304" s="31" t="str">
        <x:v>Upper East Side-Lenox Hill-Roosevelt Island</x:v>
      </x:c>
      <x:c r="F1304" s="31" t="n">
        <x:v>0.03642685715787133</x:v>
      </x:c>
      <x:c r="G1304" s="31" t="n">
        <x:v>40.767994074349886</x:v>
      </x:c>
      <x:c r="H1304" s="31" t="n">
        <x:v>-73.95740675022725</x:v>
      </x:c>
      <x:c r="I1304" s="31" t="n">
        <x:v>7437</x:v>
      </x:c>
      <x:c r="J1304" s="31" t="n">
        <x:v>204162.5487416767</x:v>
      </x:c>
      <x:c r="K1304" s="31"/>
      <x:c r="L1304" s="40"/>
      <x:c r="M1304" s="40"/>
      <x:c r="N1304" s="31" t="n">
        <x:v>98</x:v>
      </x:c>
      <x:c r="O1304" s="31" t="n">
        <x:v>4994</x:v>
      </x:c>
      <x:c r="P1304" s="31" t="n">
        <x:v>16.294653584301162</x:v>
      </x:c>
      <x:c r="Q1304" s="40" t="n">
        <x:v>0.6986383660392471</x:v>
      </x:c>
      <x:c r="R1304" s="40" t="n">
        <x:v>0.3013616339607529</x:v>
      </x:c>
      <x:c r="S1304" s="40" t="n">
        <x:v>0.012815378454144974</x:v>
      </x:c>
      <x:c r="T1304" s="31" t="n">
        <x:v>155.15358318371045</x:v>
      </x:c>
      <x:c r="U1304" s="31" t="n">
        <x:v>374</x:v>
      </x:c>
      <x:c r="V1304" s="31" t="n">
        <x:v>93</x:v>
      </x:c>
      <x:c r="W1304" s="31" t="n">
        <x:v>12.505042355788625</x:v>
      </x:c>
      <x:c r="X1304" s="31" t="n">
        <x:v>2</x:v>
      </x:c>
      <x:c r="Y1304" s="40" t="n">
        <x:v>0</x:v>
      </x:c>
      <x:c r="Z1304" s="40" t="n">
        <x:v>1</x:v>
      </x:c>
      <x:c r="AA1304" s="40" t="n">
        <x:v>1</x:v>
      </x:c>
      <x:c r="AB1304" s="31" t="n">
        <x:v>0.20225588193431976</x:v>
      </x:c>
      <x:c r="AC1304" s="31" t="n">
        <x:v>6</x:v>
      </x:c>
      <x:c r="AD1304" s="44" t="b">
        <x:v>1</x:v>
      </x:c>
    </x:row>
    <x:row r="1305">
      <x:c r="A1305" s="31" t="str">
        <x:v>36061012602</x:v>
      </x:c>
      <x:c r="B1305" s="31" t="str">
        <x:v>Manhattan</x:v>
      </x:c>
      <x:c r="C1305" s="31" t="str">
        <x:v>012602</x:v>
      </x:c>
      <x:c r="D1305" s="31" t="str">
        <x:v>MN0801</x:v>
      </x:c>
      <x:c r="E1305" s="31" t="str">
        <x:v>Upper East Side-Lenox Hill-Roosevelt Island</x:v>
      </x:c>
      <x:c r="F1305" s="31" t="n">
        <x:v>0.034469885359633266</x:v>
      </x:c>
      <x:c r="G1305" s="31" t="n">
        <x:v>40.76896733229271</x:v>
      </x:c>
      <x:c r="H1305" s="31" t="n">
        <x:v>-73.95970804191644</x:v>
      </x:c>
      <x:c r="I1305" s="31" t="n">
        <x:v>6400</x:v>
      </x:c>
      <x:c r="J1305" s="31" t="n">
        <x:v>185669.31491727164</x:v>
      </x:c>
      <x:c r="K1305" s="31"/>
      <x:c r="L1305" s="40"/>
      <x:c r="M1305" s="40"/>
      <x:c r="N1305" s="31" t="n">
        <x:v>104</x:v>
      </x:c>
      <x:c r="O1305" s="31" t="n">
        <x:v>4521</x:v>
      </x:c>
      <x:c r="P1305" s="31" t="n">
        <x:v>18.751603627516037</x:v>
      </x:c>
      <x:c r="Q1305" s="40" t="n">
        <x:v>0.8217208582172085</x:v>
      </x:c>
      <x:c r="R1305" s="40" t="n">
        <x:v>0.17827914178279142</x:v>
      </x:c>
      <x:c r="S1305" s="40" t="n">
        <x:v>0.03605397036053971</x:v>
      </x:c>
      <x:c r="T1305" s="31" t="n">
        <x:v>186.24800941712246</x:v>
      </x:c>
      <x:c r="U1305" s="31" t="n">
        <x:v>351.86749746</x:v>
      </x:c>
      <x:c r="V1305" s="31" t="n">
        <x:v>99</x:v>
      </x:c>
      <x:c r="W1305" s="31" t="n">
        <x:v>15.46875</x:v>
      </x:c>
      <x:c r="X1305" s="31" t="n">
        <x:v>2</x:v>
      </x:c>
      <x:c r="Y1305" s="40" t="n">
        <x:v>0</x:v>
      </x:c>
      <x:c r="Z1305" s="40" t="n">
        <x:v>1</x:v>
      </x:c>
      <x:c r="AA1305" s="40" t="n">
        <x:v>0.9769962397699624</x:v>
      </x:c>
      <x:c r="AB1305" s="31" t="n">
        <x:v>0.20937158440848042</x:v>
      </x:c>
      <x:c r="AC1305" s="31" t="n">
        <x:v>5</x:v>
      </x:c>
      <x:c r="AD1305" s="44" t="b">
        <x:v>1</x:v>
      </x:c>
    </x:row>
    <x:row r="1306">
      <x:c r="A1306" s="31" t="str">
        <x:v>36061012700</x:v>
      </x:c>
      <x:c r="B1306" s="31" t="str">
        <x:v>Manhattan</x:v>
      </x:c>
      <x:c r="C1306" s="31" t="str">
        <x:v>012700</x:v>
      </x:c>
      <x:c r="D1306" s="31" t="str">
        <x:v>MN0402</x:v>
      </x:c>
      <x:c r="E1306" s="31" t="str">
        <x:v>Hell's Kitchen</x:v>
      </x:c>
      <x:c r="F1306" s="31" t="n">
        <x:v>0.06716207385108185</x:v>
      </x:c>
      <x:c r="G1306" s="31" t="n">
        <x:v>40.76223834884176</x:v>
      </x:c>
      <x:c r="H1306" s="31" t="n">
        <x:v>-73.98985652978874</x:v>
      </x:c>
      <x:c r="I1306" s="31" t="n">
        <x:v>7282</x:v>
      </x:c>
      <x:c r="J1306" s="31" t="n">
        <x:v>108424.28743558968</x:v>
      </x:c>
      <x:c r="K1306" s="31"/>
      <x:c r="L1306" s="40"/>
      <x:c r="M1306" s="40"/>
      <x:c r="N1306" s="31" t="n">
        <x:v>283</x:v>
      </x:c>
      <x:c r="O1306" s="31" t="n">
        <x:v>4596</x:v>
      </x:c>
      <x:c r="P1306" s="31" t="n">
        <x:v>10.892188859878155</x:v>
      </x:c>
      <x:c r="Q1306" s="40" t="n">
        <x:v>0.16884247171453437</x:v>
      </x:c>
      <x:c r="R1306" s="40" t="n">
        <x:v>0.8311575282854656</x:v>
      </x:c>
      <x:c r="S1306" s="40" t="n">
        <x:v>0.21627502175805047</x:v>
      </x:c>
      <x:c r="T1306" s="31" t="n">
        <x:v>113.38599845549412</x:v>
      </x:c>
      <x:c r="U1306" s="31" t="n">
        <x:v>461</x:v>
      </x:c>
      <x:c r="V1306" s="31" t="n">
        <x:v>45</x:v>
      </x:c>
      <x:c r="W1306" s="31" t="n">
        <x:v>6.1796209832463616</x:v>
      </x:c>
      <x:c r="X1306" s="31" t="n">
        <x:v>2</x:v>
      </x:c>
      <x:c r="Y1306" s="40" t="n">
        <x:v>0</x:v>
      </x:c>
      <x:c r="Z1306" s="40" t="n">
        <x:v>1</x:v>
      </x:c>
      <x:c r="AA1306" s="40" t="n">
        <x:v>0.9995648389904265</x:v>
      </x:c>
      <x:c r="AB1306" s="31" t="n">
        <x:v>0.08783941319096916</x:v>
      </x:c>
      <x:c r="AC1306" s="31" t="n">
        <x:v>9</x:v>
      </x:c>
      <x:c r="AD1306" s="44" t="b">
        <x:v>1</x:v>
      </x:c>
    </x:row>
    <x:row r="1307">
      <x:c r="A1307" s="31" t="str">
        <x:v>36061012800</x:v>
      </x:c>
      <x:c r="B1307" s="31" t="str">
        <x:v>Manhattan</x:v>
      </x:c>
      <x:c r="C1307" s="31" t="str">
        <x:v>012800</x:v>
      </x:c>
      <x:c r="D1307" s="31" t="str">
        <x:v>MN0802</x:v>
      </x:c>
      <x:c r="E1307" s="31" t="str">
        <x:v>Upper East Side-Carnegie Hill</x:v>
      </x:c>
      <x:c r="F1307" s="31" t="n">
        <x:v>0.06902844774126206</x:v>
      </x:c>
      <x:c r="G1307" s="31" t="n">
        <x:v>40.77138083327582</x:v>
      </x:c>
      <x:c r="H1307" s="31" t="n">
        <x:v>-73.96151779725858</x:v>
      </x:c>
      <x:c r="I1307" s="31" t="n">
        <x:v>6545</x:v>
      </x:c>
      <x:c r="J1307" s="31" t="n">
        <x:v>94815.98115218368</x:v>
      </x:c>
      <x:c r="K1307" s="31"/>
      <x:c r="L1307" s="40"/>
      <x:c r="M1307" s="40"/>
      <x:c r="N1307" s="31" t="n">
        <x:v>238</x:v>
      </x:c>
      <x:c r="O1307" s="31" t="n">
        <x:v>3967</x:v>
      </x:c>
      <x:c r="P1307" s="31" t="n">
        <x:v>15.276027224602975</x:v>
      </x:c>
      <x:c r="Q1307" s="40" t="n">
        <x:v>0.8341315855810436</x:v>
      </x:c>
      <x:c r="R1307" s="40" t="n">
        <x:v>0.1651121754474414</x:v>
      </x:c>
      <x:c r="S1307" s="40" t="n">
        <x:v>0</x:v>
      </x:c>
      <x:c r="T1307" s="31" t="n">
        <x:v>164.98182902530627</x:v>
      </x:c>
      <x:c r="U1307" s="31" t="n">
        <x:v>341.93</x:v>
      </x:c>
      <x:c r="V1307" s="31" t="n">
        <x:v>260</x:v>
      </x:c>
      <x:c r="W1307" s="31" t="n">
        <x:v>39.72498090145149</x:v>
      </x:c>
      <x:c r="X1307" s="31" t="n">
        <x:v>2</x:v>
      </x:c>
      <x:c r="Y1307" s="40" t="n">
        <x:v>0</x:v>
      </x:c>
      <x:c r="Z1307" s="40" t="n">
        <x:v>1</x:v>
      </x:c>
      <x:c r="AA1307" s="40" t="n">
        <x:v>1</x:v>
      </x:c>
      <x:c r="AB1307" s="31" t="n">
        <x:v>0.18989771085457946</x:v>
      </x:c>
      <x:c r="AC1307" s="31" t="n">
        <x:v>7</x:v>
      </x:c>
      <x:c r="AD1307" s="44" t="b">
        <x:v>1</x:v>
      </x:c>
    </x:row>
    <x:row r="1308">
      <x:c r="A1308" s="31" t="str">
        <x:v>36061012901</x:v>
      </x:c>
      <x:c r="B1308" s="31" t="str">
        <x:v>Manhattan</x:v>
      </x:c>
      <x:c r="C1308" s="31" t="str">
        <x:v>012901</x:v>
      </x:c>
      <x:c r="D1308" s="31" t="str">
        <x:v>MN0402</x:v>
      </x:c>
      <x:c r="E1308" s="31" t="str">
        <x:v>Hell's Kitchen</x:v>
      </x:c>
      <x:c r="F1308" s="31" t="n">
        <x:v>0.08261357152203856</x:v>
      </x:c>
      <x:c r="G1308" s="31" t="n">
        <x:v>40.76241336774136</x:v>
      </x:c>
      <x:c r="H1308" s="31" t="n">
        <x:v>-73.99807081488463</x:v>
      </x:c>
      <x:c r="I1308" s="31" t="n">
        <x:v>7959</x:v>
      </x:c>
      <x:c r="J1308" s="31" t="n">
        <x:v>96340.10312551132</x:v>
      </x:c>
      <x:c r="K1308" s="31"/>
      <x:c r="L1308" s="40"/>
      <x:c r="M1308" s="40"/>
      <x:c r="N1308" s="31" t="n">
        <x:v>41</x:v>
      </x:c>
      <x:c r="O1308" s="31" t="n">
        <x:v>5059</x:v>
      </x:c>
      <x:c r="P1308" s="31" t="n">
        <x:v>34.444949594781576</x:v>
      </x:c>
      <x:c r="Q1308" s="40" t="n">
        <x:v>0.907293931607037</x:v>
      </x:c>
      <x:c r="R1308" s="40" t="n">
        <x:v>0.09270606839296304</x:v>
      </x:c>
      <x:c r="S1308" s="40" t="n">
        <x:v>0.021150424985174936</x:v>
      </x:c>
      <x:c r="T1308" s="31" t="n">
        <x:v>235.2748388229293</x:v>
      </x:c>
      <x:c r="U1308" s="31" t="n">
        <x:v>513.467247</x:v>
      </x:c>
      <x:c r="V1308" s="31" t="n">
        <x:v>97</x:v>
      </x:c>
      <x:c r="W1308" s="31" t="n">
        <x:v>12.187460736273401</x:v>
      </x:c>
      <x:c r="X1308" s="31" t="n">
        <x:v>2</x:v>
      </x:c>
      <x:c r="Y1308" s="40" t="n">
        <x:v>0</x:v>
      </x:c>
      <x:c r="Z1308" s="40" t="n">
        <x:v>1</x:v>
      </x:c>
      <x:c r="AA1308" s="40" t="n">
        <x:v>0.9784542399683732</x:v>
      </x:c>
      <x:c r="AB1308" s="31" t="n">
        <x:v>0.13120165977654225</x:v>
      </x:c>
      <x:c r="AC1308" s="31" t="n">
        <x:v>5</x:v>
      </x:c>
      <x:c r="AD1308" s="44" t="b">
        <x:v>1</x:v>
      </x:c>
    </x:row>
    <x:row r="1309">
      <x:c r="A1309" s="31" t="str">
        <x:v>36061012902</x:v>
      </x:c>
      <x:c r="B1309" s="31" t="str">
        <x:v>Manhattan</x:v>
      </x:c>
      <x:c r="C1309" s="31" t="str">
        <x:v>012902</x:v>
      </x:c>
      <x:c r="D1309" s="31" t="str">
        <x:v>MN0402</x:v>
      </x:c>
      <x:c r="E1309" s="31" t="str">
        <x:v>Hell's Kitchen</x:v>
      </x:c>
      <x:c r="F1309" s="31" t="n">
        <x:v>0.07400648388071052</x:v>
      </x:c>
      <x:c r="G1309" s="31" t="n">
        <x:v>40.764903861901786</x:v>
      </x:c>
      <x:c r="H1309" s="31" t="n">
        <x:v>-73.99592637871106</x:v>
      </x:c>
      <x:c r="I1309" s="31" t="n">
        <x:v>3144</x:v>
      </x:c>
      <x:c r="J1309" s="31" t="n">
        <x:v>42482.76414628409</x:v>
      </x:c>
      <x:c r="K1309" s="31"/>
      <x:c r="L1309" s="40"/>
      <x:c r="M1309" s="40"/>
      <x:c r="N1309" s="31" t="n">
        <x:v>74</x:v>
      </x:c>
      <x:c r="O1309" s="31" t="n">
        <x:v>2103</x:v>
      </x:c>
      <x:c r="P1309" s="31" t="n">
        <x:v>6.691631003328578</x:v>
      </x:c>
      <x:c r="Q1309" s="40" t="n">
        <x:v>0.10556348074179743</x:v>
      </x:c>
      <x:c r="R1309" s="40" t="n">
        <x:v>0.8944365192582026</x:v>
      </x:c>
      <x:c r="S1309" s="40" t="n">
        <x:v>0</x:v>
      </x:c>
      <x:c r="T1309" s="31" t="n">
        <x:v>61.50567916260527</x:v>
      </x:c>
      <x:c r="U1309" s="31" t="n">
        <x:v>85.12042457</x:v>
      </x:c>
      <x:c r="V1309" s="31" t="n">
        <x:v>30</x:v>
      </x:c>
      <x:c r="W1309" s="31" t="n">
        <x:v>9.541984732824428</x:v>
      </x:c>
      <x:c r="X1309" s="31" t="n">
        <x:v>2</x:v>
      </x:c>
      <x:c r="Y1309" s="40" t="n">
        <x:v>0</x:v>
      </x:c>
      <x:c r="Z1309" s="40" t="n">
        <x:v>1</x:v>
      </x:c>
      <x:c r="AA1309" s="40" t="n">
        <x:v>0.9034712315739419</x:v>
      </x:c>
      <x:c r="AB1309" s="31" t="n">
        <x:v>0.15429287323623564</x:v>
      </x:c>
      <x:c r="AC1309" s="31" t="n">
        <x:v>5</x:v>
      </x:c>
      <x:c r="AD1309" s="44" t="b">
        <x:v>1</x:v>
      </x:c>
    </x:row>
    <x:row r="1310">
      <x:c r="A1310" s="31" t="str">
        <x:v>36061013000</x:v>
      </x:c>
      <x:c r="B1310" s="31" t="str">
        <x:v>Manhattan</x:v>
      </x:c>
      <x:c r="C1310" s="31" t="str">
        <x:v>013000</x:v>
      </x:c>
      <x:c r="D1310" s="31" t="str">
        <x:v>MN0802</x:v>
      </x:c>
      <x:c r="E1310" s="31" t="str">
        <x:v>Upper East Side-Carnegie Hill</x:v>
      </x:c>
      <x:c r="F1310" s="31" t="n">
        <x:v>0.06880397029851067</x:v>
      </x:c>
      <x:c r="G1310" s="31" t="n">
        <x:v>40.77273602745227</x:v>
      </x:c>
      <x:c r="H1310" s="31" t="n">
        <x:v>-73.9647335587036</x:v>
      </x:c>
      <x:c r="I1310" s="31" t="n">
        <x:v>3911</x:v>
      </x:c>
      <x:c r="J1310" s="31" t="n">
        <x:v>56842.64996673684</x:v>
      </x:c>
      <x:c r="K1310" s="31"/>
      <x:c r="L1310" s="40"/>
      <x:c r="M1310" s="40"/>
      <x:c r="N1310" s="31" t="n">
        <x:v>223</x:v>
      </x:c>
      <x:c r="O1310" s="31" t="n">
        <x:v>3015</x:v>
      </x:c>
      <x:c r="P1310" s="31" t="n">
        <x:v>13.00033167495854</x:v>
      </x:c>
      <x:c r="Q1310" s="40" t="n">
        <x:v>0.7446102819237148</x:v>
      </x:c>
      <x:c r="R1310" s="40" t="n">
        <x:v>0.2543946932006633</x:v>
      </x:c>
      <x:c r="S1310" s="40" t="n">
        <x:v>0</x:v>
      </x:c>
      <x:c r="T1310" s="31" t="n">
        <x:v>153.8424290359721</x:v>
      </x:c>
      <x:c r="U1310" s="31" t="n">
        <x:v>291.17</x:v>
      </x:c>
      <x:c r="V1310" s="31" t="n">
        <x:v>317</x:v>
      </x:c>
      <x:c r="W1310" s="31" t="n">
        <x:v>81.05343901815392</x:v>
      </x:c>
      <x:c r="X1310" s="31" t="n">
        <x:v>2</x:v>
      </x:c>
      <x:c r="Y1310" s="40" t="n">
        <x:v>0</x:v>
      </x:c>
      <x:c r="Z1310" s="40" t="n">
        <x:v>1</x:v>
      </x:c>
      <x:c r="AA1310" s="40" t="n">
        <x:v>0.9980099502487563</x:v>
      </x:c>
      <x:c r="AB1310" s="31" t="n">
        <x:v>0.28764258197303716</x:v>
      </x:c>
      <x:c r="AC1310" s="31" t="n">
        <x:v>6</x:v>
      </x:c>
      <x:c r="AD1310" s="44" t="b">
        <x:v>1</x:v>
      </x:c>
    </x:row>
    <x:row r="1311">
      <x:c r="A1311" s="31" t="str">
        <x:v>36061013100</x:v>
      </x:c>
      <x:c r="B1311" s="31" t="str">
        <x:v>Manhattan</x:v>
      </x:c>
      <x:c r="C1311" s="31" t="str">
        <x:v>013100</x:v>
      </x:c>
      <x:c r="D1311" s="31" t="str">
        <x:v>MN0502</x:v>
      </x:c>
      <x:c r="E1311" s="31" t="str">
        <x:v>Midtown-Times Square</x:v>
      </x:c>
      <x:c r="F1311" s="31" t="n">
        <x:v>0.06724366413352273</x:v>
      </x:c>
      <x:c r="G1311" s="31" t="n">
        <x:v>40.762345812242785</x:v>
      </x:c>
      <x:c r="H1311" s="31" t="n">
        <x:v>-73.98235348632824</x:v>
      </x:c>
      <x:c r="I1311" s="31" t="n">
        <x:v>3962</x:v>
      </x:c>
      <x:c r="J1311" s="31" t="n">
        <x:v>58920.0492128572</x:v>
      </x:c>
      <x:c r="K1311" s="31"/>
      <x:c r="L1311" s="40"/>
      <x:c r="M1311" s="40"/>
      <x:c r="N1311" s="31" t="n">
        <x:v>20</x:v>
      </x:c>
      <x:c r="O1311" s="31" t="n">
        <x:v>2849</x:v>
      </x:c>
      <x:c r="P1311" s="31" t="n">
        <x:v>30.395226395226395</x:v>
      </x:c>
      <x:c r="Q1311" s="40" t="n">
        <x:v>0.9645489645489645</x:v>
      </x:c>
      <x:c r="R1311" s="40" t="n">
        <x:v>0.03545103545103545</x:v>
      </x:c>
      <x:c r="S1311" s="40" t="n">
        <x:v>0.01755001755001755</x:v>
      </x:c>
      <x:c r="T1311" s="31" t="n">
        <x:v>326.5135275535275</x:v>
      </x:c>
      <x:c r="U1311" s="31" t="n">
        <x:v>741</x:v>
      </x:c>
      <x:c r="V1311" s="31" t="n">
        <x:v>66</x:v>
      </x:c>
      <x:c r="W1311" s="31" t="n">
        <x:v>16.658253407370015</x:v>
      </x:c>
      <x:c r="X1311" s="31" t="n">
        <x:v>2</x:v>
      </x:c>
      <x:c r="Y1311" s="40" t="n">
        <x:v>0</x:v>
      </x:c>
      <x:c r="Z1311" s="40" t="n">
        <x:v>1</x:v>
      </x:c>
      <x:c r="AA1311" s="40" t="n">
        <x:v>1</x:v>
      </x:c>
      <x:c r="AB1311" s="31" t="n">
        <x:v>0.1789912201486282</x:v>
      </x:c>
      <x:c r="AC1311" s="31" t="n">
        <x:v>6</x:v>
      </x:c>
      <x:c r="AD1311" s="44" t="b">
        <x:v>1</x:v>
      </x:c>
    </x:row>
    <x:row r="1312">
      <x:c r="A1312" s="31" t="str">
        <x:v>36061013201</x:v>
      </x:c>
      <x:c r="B1312" s="31" t="str">
        <x:v>Manhattan</x:v>
      </x:c>
      <x:c r="C1312" s="31" t="str">
        <x:v>013201</x:v>
      </x:c>
      <x:c r="D1312" s="31" t="str">
        <x:v>MN0801</x:v>
      </x:c>
      <x:c r="E1312" s="31" t="str">
        <x:v>Upper East Side-Lenox Hill-Roosevelt Island</x:v>
      </x:c>
      <x:c r="F1312" s="31" t="n">
        <x:v>0.030123248624741736</x:v>
      </x:c>
      <x:c r="G1312" s="31" t="n">
        <x:v>40.76870129219925</x:v>
      </x:c>
      <x:c r="H1312" s="31" t="n">
        <x:v>-73.95206872825497</x:v>
      </x:c>
      <x:c r="I1312" s="31" t="n">
        <x:v>3146</x:v>
      </x:c>
      <x:c r="J1312" s="31" t="n">
        <x:v>104437.60695239333</x:v>
      </x:c>
      <x:c r="K1312" s="31"/>
      <x:c r="L1312" s="40"/>
      <x:c r="M1312" s="40"/>
      <x:c r="N1312" s="31" t="n">
        <x:v>65</x:v>
      </x:c>
      <x:c r="O1312" s="31" t="n">
        <x:v>2108</x:v>
      </x:c>
      <x:c r="P1312" s="31" t="n">
        <x:v>14.954459203036054</x:v>
      </x:c>
      <x:c r="Q1312" s="40" t="n">
        <x:v>0.4971537001897533</x:v>
      </x:c>
      <x:c r="R1312" s="40" t="n">
        <x:v>0.5023719165085389</x:v>
      </x:c>
      <x:c r="S1312" s="40" t="n">
        <x:v>0</x:v>
      </x:c>
      <x:c r="T1312" s="31" t="n">
        <x:v>148.4761594452514</x:v>
      </x:c>
      <x:c r="U1312" s="31" t="n">
        <x:v>382</x:v>
      </x:c>
      <x:c r="V1312" s="31" t="n">
        <x:v>41</x:v>
      </x:c>
      <x:c r="W1312" s="31" t="n">
        <x:v>13.032422123331214</x:v>
      </x:c>
      <x:c r="X1312" s="31" t="n">
        <x:v>2</x:v>
      </x:c>
      <x:c r="Y1312" s="40" t="n">
        <x:v>0</x:v>
      </x:c>
      <x:c r="Z1312" s="40" t="n">
        <x:v>1</x:v>
      </x:c>
      <x:c r="AA1312" s="40" t="n">
        <x:v>1</x:v>
      </x:c>
      <x:c r="AB1312" s="31" t="n">
        <x:v>0.12683514099840773</x:v>
      </x:c>
      <x:c r="AC1312" s="31" t="n">
        <x:v>5</x:v>
      </x:c>
      <x:c r="AD1312" s="44" t="b">
        <x:v>1</x:v>
      </x:c>
    </x:row>
    <x:row r="1313">
      <x:c r="A1313" s="31" t="str">
        <x:v>36061013202</x:v>
      </x:c>
      <x:c r="B1313" s="31" t="str">
        <x:v>Manhattan</x:v>
      </x:c>
      <x:c r="C1313" s="31" t="str">
        <x:v>013202</x:v>
      </x:c>
      <x:c r="D1313" s="31" t="str">
        <x:v>MN0801</x:v>
      </x:c>
      <x:c r="E1313" s="31" t="str">
        <x:v>Upper East Side-Lenox Hill-Roosevelt Island</x:v>
      </x:c>
      <x:c r="F1313" s="31" t="n">
        <x:v>0.026108984193676826</x:v>
      </x:c>
      <x:c r="G1313" s="31" t="n">
        <x:v>40.769830573770825</x:v>
      </x:c>
      <x:c r="H1313" s="31" t="n">
        <x:v>-73.94972086792666</x:v>
      </x:c>
      <x:c r="I1313" s="31" t="n">
        <x:v>4237</x:v>
      </x:c>
      <x:c r="J1313" s="31" t="n">
        <x:v>162281.30395919934</x:v>
      </x:c>
      <x:c r="K1313" s="31"/>
      <x:c r="L1313" s="40"/>
      <x:c r="M1313" s="40"/>
      <x:c r="N1313" s="31" t="n">
        <x:v>18</x:v>
      </x:c>
      <x:c r="O1313" s="31" t="n">
        <x:v>2575</x:v>
      </x:c>
      <x:c r="P1313" s="31" t="n">
        <x:v>12.305242718446602</x:v>
      </x:c>
      <x:c r="Q1313" s="40" t="n">
        <x:v>0.3289320388349515</x:v>
      </x:c>
      <x:c r="R1313" s="40" t="n">
        <x:v>0.6710679611650485</x:v>
      </x:c>
      <x:c r="S1313" s="40" t="n">
        <x:v>0.14601941747572816</x:v>
      </x:c>
      <x:c r="T1313" s="31" t="n">
        <x:v>126.36984854368932</x:v>
      </x:c>
      <x:c r="U1313" s="31" t="n">
        <x:v>321.9</x:v>
      </x:c>
      <x:c r="V1313" s="31" t="n">
        <x:v>14</x:v>
      </x:c>
      <x:c r="W1313" s="31" t="n">
        <x:v>3.304224687278735</x:v>
      </x:c>
      <x:c r="X1313" s="31" t="n">
        <x:v>2</x:v>
      </x:c>
      <x:c r="Y1313" s="40" t="n">
        <x:v>0</x:v>
      </x:c>
      <x:c r="Z1313" s="40" t="n">
        <x:v>1</x:v>
      </x:c>
      <x:c r="AA1313" s="40" t="n">
        <x:v>1</x:v>
      </x:c>
      <x:c r="AB1313" s="31" t="n">
        <x:v>0.06389882765634791</x:v>
      </x:c>
      <x:c r="AC1313" s="31" t="n">
        <x:v>5</x:v>
      </x:c>
      <x:c r="AD1313" s="44" t="b">
        <x:v>1</x:v>
      </x:c>
    </x:row>
    <x:row r="1314">
      <x:c r="A1314" s="31" t="str">
        <x:v>36061013203</x:v>
      </x:c>
      <x:c r="B1314" s="31" t="str">
        <x:v>Manhattan</x:v>
      </x:c>
      <x:c r="C1314" s="31" t="str">
        <x:v>013203</x:v>
      </x:c>
      <x:c r="D1314" s="31" t="str">
        <x:v>MN0801</x:v>
      </x:c>
      <x:c r="E1314" s="31" t="str">
        <x:v>Upper East Side-Lenox Hill-Roosevelt Island</x:v>
      </x:c>
      <x:c r="F1314" s="31" t="n">
        <x:v>0.020823754903366045</x:v>
      </x:c>
      <x:c r="G1314" s="31" t="n">
        <x:v>40.770891199479884</x:v>
      </x:c>
      <x:c r="H1314" s="31" t="n">
        <x:v>-73.95227305610582</x:v>
      </x:c>
      <x:c r="I1314" s="31" t="n">
        <x:v>3747</x:v>
      </x:c>
      <x:c r="J1314" s="31" t="n">
        <x:v>179938.72946489195</x:v>
      </x:c>
      <x:c r="K1314" s="31"/>
      <x:c r="L1314" s="40"/>
      <x:c r="M1314" s="40"/>
      <x:c r="N1314" s="31" t="n">
        <x:v>90</x:v>
      </x:c>
      <x:c r="O1314" s="31" t="n">
        <x:v>2481</x:v>
      </x:c>
      <x:c r="P1314" s="31" t="n">
        <x:v>11.450624748085449</x:v>
      </x:c>
      <x:c r="Q1314" s="40" t="n">
        <x:v>0.4683595324465941</x:v>
      </x:c>
      <x:c r="R1314" s="40" t="n">
        <x:v>0.5308343409915357</x:v>
      </x:c>
      <x:c r="S1314" s="40" t="n">
        <x:v>0</x:v>
      </x:c>
      <x:c r="T1314" s="31" t="n">
        <x:v>116.45263849108616</x:v>
      </x:c>
      <x:c r="U1314" s="31" t="n">
        <x:v>315</x:v>
      </x:c>
      <x:c r="V1314" s="31" t="n">
        <x:v>40</x:v>
      </x:c>
      <x:c r="W1314" s="31" t="n">
        <x:v>10.675206832132373</x:v>
      </x:c>
      <x:c r="X1314" s="31" t="n">
        <x:v>2</x:v>
      </x:c>
      <x:c r="Y1314" s="40" t="n">
        <x:v>0</x:v>
      </x:c>
      <x:c r="Z1314" s="40" t="n">
        <x:v>1</x:v>
      </x:c>
      <x:c r="AA1314" s="40" t="n">
        <x:v>0.9871019750100766</x:v>
      </x:c>
      <x:c r="AB1314" s="31" t="n">
        <x:v>0.05086690000655074</x:v>
      </x:c>
      <x:c r="AC1314" s="31" t="n">
        <x:v>6</x:v>
      </x:c>
      <x:c r="AD1314" s="44" t="b">
        <x:v>1</x:v>
      </x:c>
    </x:row>
    <x:row r="1315">
      <x:c r="A1315" s="31" t="str">
        <x:v>36061013300</x:v>
      </x:c>
      <x:c r="B1315" s="31" t="str">
        <x:v>Manhattan</x:v>
      </x:c>
      <x:c r="C1315" s="31" t="str">
        <x:v>013300</x:v>
      </x:c>
      <x:c r="D1315" s="31" t="str">
        <x:v>MN0402</x:v>
      </x:c>
      <x:c r="E1315" s="31" t="str">
        <x:v>Hell's Kitchen</x:v>
      </x:c>
      <x:c r="F1315" s="31" t="n">
        <x:v>0.0673162761162764</x:v>
      </x:c>
      <x:c r="G1315" s="31" t="n">
        <x:v>40.764738106005694</x:v>
      </x:c>
      <x:c r="H1315" s="31" t="n">
        <x:v>-73.98803493655537</x:v>
      </x:c>
      <x:c r="I1315" s="31" t="n">
        <x:v>6782</x:v>
      </x:c>
      <x:c r="J1315" s="31" t="n">
        <x:v>100748.29433947521</x:v>
      </x:c>
      <x:c r="K1315" s="31"/>
      <x:c r="L1315" s="40"/>
      <x:c r="M1315" s="40"/>
      <x:c r="N1315" s="31" t="n">
        <x:v>197</x:v>
      </x:c>
      <x:c r="O1315" s="31" t="n">
        <x:v>4540</x:v>
      </x:c>
      <x:c r="P1315" s="31" t="n">
        <x:v>10.473678414096916</x:v>
      </x:c>
      <x:c r="Q1315" s="40" t="n">
        <x:v>0.26387665198237886</x:v>
      </x:c>
      <x:c r="R1315" s="40" t="n">
        <x:v>0.733920704845815</x:v>
      </x:c>
      <x:c r="S1315" s="40" t="n">
        <x:v>0.017841409691629957</x:v>
      </x:c>
      <x:c r="T1315" s="31" t="n">
        <x:v>114.54556499066393</x:v>
      </x:c>
      <x:c r="U1315" s="31" t="n">
        <x:v>458</x:v>
      </x:c>
      <x:c r="V1315" s="31" t="n">
        <x:v>82</x:v>
      </x:c>
      <x:c r="W1315" s="31" t="n">
        <x:v>12.090828664110882</x:v>
      </x:c>
      <x:c r="X1315" s="31" t="n">
        <x:v>2</x:v>
      </x:c>
      <x:c r="Y1315" s="40" t="n">
        <x:v>0</x:v>
      </x:c>
      <x:c r="Z1315" s="40" t="n">
        <x:v>1</x:v>
      </x:c>
      <x:c r="AA1315" s="40" t="n">
        <x:v>0.9687224669603525</x:v>
      </x:c>
      <x:c r="AB1315" s="31" t="n">
        <x:v>0.11327736785998681</x:v>
      </x:c>
      <x:c r="AC1315" s="31" t="n">
        <x:v>8</x:v>
      </x:c>
      <x:c r="AD1315" s="44" t="b">
        <x:v>1</x:v>
      </x:c>
    </x:row>
    <x:row r="1316">
      <x:c r="A1316" s="31" t="str">
        <x:v>36061013400</x:v>
      </x:c>
      <x:c r="B1316" s="31" t="str">
        <x:v>Manhattan</x:v>
      </x:c>
      <x:c r="C1316" s="31" t="str">
        <x:v>013400</x:v>
      </x:c>
      <x:c r="D1316" s="31" t="str">
        <x:v>MN0801</x:v>
      </x:c>
      <x:c r="E1316" s="31" t="str">
        <x:v>Upper East Side-Lenox Hill-Roosevelt Island</x:v>
      </x:c>
      <x:c r="F1316" s="31" t="n">
        <x:v>0.07018984948813418</x:v>
      </x:c>
      <x:c r="G1316" s="31" t="n">
        <x:v>40.77170205673967</x:v>
      </x:c>
      <x:c r="H1316" s="31" t="n">
        <x:v>-73.95616560367212</x:v>
      </x:c>
      <x:c r="I1316" s="31" t="n">
        <x:v>11882</x:v>
      </x:c>
      <x:c r="J1316" s="31" t="n">
        <x:v>169283.7367033917</x:v>
      </x:c>
      <x:c r="K1316" s="31"/>
      <x:c r="L1316" s="40"/>
      <x:c r="M1316" s="40"/>
      <x:c r="N1316" s="31" t="n">
        <x:v>251</x:v>
      </x:c>
      <x:c r="O1316" s="31" t="n">
        <x:v>7825</x:v>
      </x:c>
      <x:c r="P1316" s="31" t="n">
        <x:v>14.997955271565495</x:v>
      </x:c>
      <x:c r="Q1316" s="40" t="n">
        <x:v>0.549776357827476</x:v>
      </x:c>
      <x:c r="R1316" s="40" t="n">
        <x:v>0.44984025559105434</x:v>
      </x:c>
      <x:c r="S1316" s="40" t="n">
        <x:v>0.012651757188498402</x:v>
      </x:c>
      <x:c r="T1316" s="31" t="n">
        <x:v>150.25183672699794</x:v>
      </x:c>
      <x:c r="U1316" s="31" t="n">
        <x:v>461.87</x:v>
      </x:c>
      <x:c r="V1316" s="31" t="n">
        <x:v>142</x:v>
      </x:c>
      <x:c r="W1316" s="31" t="n">
        <x:v>11.950850025248275</x:v>
      </x:c>
      <x:c r="X1316" s="31" t="n">
        <x:v>2</x:v>
      </x:c>
      <x:c r="Y1316" s="40" t="n">
        <x:v>0</x:v>
      </x:c>
      <x:c r="Z1316" s="40" t="n">
        <x:v>1</x:v>
      </x:c>
      <x:c r="AA1316" s="40" t="n">
        <x:v>0.9876038338658147</x:v>
      </x:c>
      <x:c r="AB1316" s="31" t="n">
        <x:v>0.09200912007363216</x:v>
      </x:c>
      <x:c r="AC1316" s="31" t="n">
        <x:v>9</x:v>
      </x:c>
      <x:c r="AD1316" s="44" t="b">
        <x:v>1</x:v>
      </x:c>
    </x:row>
    <x:row r="1317">
      <x:c r="A1317" s="31" t="str">
        <x:v>36061013501</x:v>
      </x:c>
      <x:c r="B1317" s="31" t="str">
        <x:v>Manhattan</x:v>
      </x:c>
      <x:c r="C1317" s="31" t="str">
        <x:v>013501</x:v>
      </x:c>
      <x:c r="D1317" s="31" t="str">
        <x:v>MN0402</x:v>
      </x:c>
      <x:c r="E1317" s="31" t="str">
        <x:v>Hell's Kitchen</x:v>
      </x:c>
      <x:c r="F1317" s="31" t="n">
        <x:v>0.07804639780511077</x:v>
      </x:c>
      <x:c r="G1317" s="31" t="n">
        <x:v>40.767480040761214</x:v>
      </x:c>
      <x:c r="H1317" s="31" t="n">
        <x:v>-73.99423848617201</x:v>
      </x:c>
      <x:c r="I1317" s="31" t="n">
        <x:v>5504</x:v>
      </x:c>
      <x:c r="J1317" s="31" t="n">
        <x:v>70522.152908889</x:v>
      </x:c>
      <x:c r="K1317" s="31"/>
      <x:c r="L1317" s="40"/>
      <x:c r="M1317" s="40"/>
      <x:c r="N1317" s="31" t="n">
        <x:v>20</x:v>
      </x:c>
      <x:c r="O1317" s="31" t="n">
        <x:v>2727</x:v>
      </x:c>
      <x:c r="P1317" s="31" t="n">
        <x:v>21.980198019801982</x:v>
      </x:c>
      <x:c r="Q1317" s="40" t="n">
        <x:v>0.8005133846718006</x:v>
      </x:c>
      <x:c r="R1317" s="40" t="n">
        <x:v>0.19948661532819947</x:v>
      </x:c>
      <x:c r="S1317" s="40" t="n">
        <x:v>0.0297029702970297</x:v>
      </x:c>
      <x:c r="T1317" s="31" t="n">
        <x:v>135.17815871131648</x:v>
      </x:c>
      <x:c r="U1317" s="31" t="n">
        <x:v>275</x:v>
      </x:c>
      <x:c r="V1317" s="31" t="n">
        <x:v>61</x:v>
      </x:c>
      <x:c r="W1317" s="31" t="n">
        <x:v>11.082848837209303</x:v>
      </x:c>
      <x:c r="X1317" s="31" t="n">
        <x:v>2</x:v>
      </x:c>
      <x:c r="Y1317" s="40" t="n">
        <x:v>0</x:v>
      </x:c>
      <x:c r="Z1317" s="40" t="n">
        <x:v>1</x:v>
      </x:c>
      <x:c r="AA1317" s="40" t="n">
        <x:v>1</x:v>
      </x:c>
      <x:c r="AB1317" s="31" t="n">
        <x:v>0.1362487615336717</x:v>
      </x:c>
      <x:c r="AC1317" s="31" t="n">
        <x:v>5</x:v>
      </x:c>
      <x:c r="AD1317" s="44" t="b">
        <x:v>1</x:v>
      </x:c>
    </x:row>
    <x:row r="1318">
      <x:c r="A1318" s="31" t="str">
        <x:v>36061013502</x:v>
      </x:c>
      <x:c r="B1318" s="31" t="str">
        <x:v>Manhattan</x:v>
      </x:c>
      <x:c r="C1318" s="31" t="str">
        <x:v>013502</x:v>
      </x:c>
      <x:c r="D1318" s="31" t="str">
        <x:v>MN0402</x:v>
      </x:c>
      <x:c r="E1318" s="31" t="str">
        <x:v>Hell's Kitchen</x:v>
      </x:c>
      <x:c r="F1318" s="31" t="n">
        <x:v>0.08346589433252985</x:v>
      </x:c>
      <x:c r="G1318" s="31" t="n">
        <x:v>40.76999221894223</x:v>
      </x:c>
      <x:c r="H1318" s="31" t="n">
        <x:v>-73.99238618351384</x:v>
      </x:c>
      <x:c r="I1318" s="31" t="n">
        <x:v>6358</x:v>
      </x:c>
      <x:c r="J1318" s="31" t="n">
        <x:v>76174.82626699712</x:v>
      </x:c>
      <x:c r="K1318" s="31"/>
      <x:c r="L1318" s="40"/>
      <x:c r="M1318" s="40"/>
      <x:c r="N1318" s="31" t="n">
        <x:v>18</x:v>
      </x:c>
      <x:c r="O1318" s="31" t="n">
        <x:v>3987</x:v>
      </x:c>
      <x:c r="P1318" s="31" t="n">
        <x:v>33.199398043641835</x:v>
      </x:c>
      <x:c r="Q1318" s="40" t="n">
        <x:v>0.9490845247052923</x:v>
      </x:c>
      <x:c r="R1318" s="40" t="n">
        <x:v>0.0509154752947078</x:v>
      </x:c>
      <x:c r="S1318" s="40" t="n">
        <x:v>0.011035866566340606</x:v>
      </x:c>
      <x:c r="T1318" s="31" t="n">
        <x:v>274.85367278676193</x:v>
      </x:c>
      <x:c r="U1318" s="31" t="n">
        <x:v>448</x:v>
      </x:c>
      <x:c r="V1318" s="31" t="n">
        <x:v>63</x:v>
      </x:c>
      <x:c r="W1318" s="31" t="n">
        <x:v>9.908776344762504</x:v>
      </x:c>
      <x:c r="X1318" s="31" t="n">
        <x:v>2</x:v>
      </x:c>
      <x:c r="Y1318" s="40" t="n">
        <x:v>0</x:v>
      </x:c>
      <x:c r="Z1318" s="40" t="n">
        <x:v>1</x:v>
      </x:c>
      <x:c r="AA1318" s="40" t="n">
        <x:v>1</x:v>
      </x:c>
      <x:c r="AB1318" s="31" t="n">
        <x:v>0.10462976850926624</x:v>
      </x:c>
      <x:c r="AC1318" s="31" t="n">
        <x:v>6</x:v>
      </x:c>
      <x:c r="AD1318" s="44" t="b">
        <x:v>1</x:v>
      </x:c>
    </x:row>
    <x:row r="1319">
      <x:c r="A1319" s="31" t="str">
        <x:v>36061013601</x:v>
      </x:c>
      <x:c r="B1319" s="31" t="str">
        <x:v>Manhattan</x:v>
      </x:c>
      <x:c r="C1319" s="31" t="str">
        <x:v>013601</x:v>
      </x:c>
      <x:c r="D1319" s="31" t="str">
        <x:v>MN0803</x:v>
      </x:c>
      <x:c r="E1319" s="31" t="str">
        <x:v>Upper East Side-Yorkville</x:v>
      </x:c>
      <x:c r="F1319" s="31" t="n">
        <x:v>0.014367765592860422</x:v>
      </x:c>
      <x:c r="G1319" s="31" t="n">
        <x:v>40.77201138612589</x:v>
      </x:c>
      <x:c r="H1319" s="31" t="n">
        <x:v>-73.94625312915935</x:v>
      </x:c>
      <x:c r="I1319" s="31" t="n">
        <x:v>1962</x:v>
      </x:c>
      <x:c r="J1319" s="31" t="n">
        <x:v>136555.67995728925</x:v>
      </x:c>
      <x:c r="K1319" s="31"/>
      <x:c r="L1319" s="40"/>
      <x:c r="M1319" s="40"/>
      <x:c r="N1319" s="31" t="n">
        <x:v>13</x:v>
      </x:c>
      <x:c r="O1319" s="31" t="n">
        <x:v>1084</x:v>
      </x:c>
      <x:c r="P1319" s="31" t="n">
        <x:v>16.90221402214022</x:v>
      </x:c>
      <x:c r="Q1319" s="40" t="n">
        <x:v>0.9861623616236163</x:v>
      </x:c>
      <x:c r="R1319" s="40" t="n">
        <x:v>0.013837638376383764</x:v>
      </x:c>
      <x:c r="S1319" s="40" t="n">
        <x:v>0</x:v>
      </x:c>
      <x:c r="T1319" s="31" t="n">
        <x:v>166.86408523040592</x:v>
      </x:c>
      <x:c r="U1319" s="31" t="n">
        <x:v>220.29</x:v>
      </x:c>
      <x:c r="V1319" s="31" t="n">
        <x:v>39</x:v>
      </x:c>
      <x:c r="W1319" s="31" t="n">
        <x:v>19.877675840978593</x:v>
      </x:c>
      <x:c r="X1319" s="31" t="n">
        <x:v>1.0590405904059041</x:v>
      </x:c>
      <x:c r="Y1319" s="40" t="n">
        <x:v>0</x:v>
      </x:c>
      <x:c r="Z1319" s="40" t="n">
        <x:v>1</x:v>
      </x:c>
      <x:c r="AA1319" s="40" t="n">
        <x:v>1</x:v>
      </x:c>
      <x:c r="AB1319" s="31" t="n">
        <x:v>0.26536058280930935</x:v>
      </x:c>
      <x:c r="AC1319" s="31" t="n">
        <x:v>5</x:v>
      </x:c>
      <x:c r="AD1319" s="44" t="b">
        <x:v>1</x:v>
      </x:c>
    </x:row>
    <x:row r="1320">
      <x:c r="A1320" s="31" t="str">
        <x:v>36061013602</x:v>
      </x:c>
      <x:c r="B1320" s="31" t="str">
        <x:v>Manhattan</x:v>
      </x:c>
      <x:c r="C1320" s="31" t="str">
        <x:v>013602</x:v>
      </x:c>
      <x:c r="D1320" s="31" t="str">
        <x:v>MN0803</x:v>
      </x:c>
      <x:c r="E1320" s="31" t="str">
        <x:v>Upper East Side-Yorkville</x:v>
      </x:c>
      <x:c r="F1320" s="31" t="n">
        <x:v>0.02177322784510589</x:v>
      </x:c>
      <x:c r="G1320" s="31" t="n">
        <x:v>40.771869720101094</x:v>
      </x:c>
      <x:c r="H1320" s="31" t="n">
        <x:v>-73.94854459857957</x:v>
      </x:c>
      <x:c r="I1320" s="31" t="n">
        <x:v>5070</x:v>
      </x:c>
      <x:c r="J1320" s="31" t="n">
        <x:v>232854.77174389726</x:v>
      </x:c>
      <x:c r="K1320" s="31"/>
      <x:c r="L1320" s="40"/>
      <x:c r="M1320" s="40"/>
      <x:c r="N1320" s="31" t="n">
        <x:v>53</x:v>
      </x:c>
      <x:c r="O1320" s="31" t="n">
        <x:v>2985</x:v>
      </x:c>
      <x:c r="P1320" s="31" t="n">
        <x:v>15.646901172529313</x:v>
      </x:c>
      <x:c r="Q1320" s="40" t="n">
        <x:v>0.6405360134003351</x:v>
      </x:c>
      <x:c r="R1320" s="40" t="n">
        <x:v>0.359463986599665</x:v>
      </x:c>
      <x:c r="S1320" s="40" t="n">
        <x:v>0.03350083752093802</x:v>
      </x:c>
      <x:c r="T1320" s="31" t="n">
        <x:v>150.30701512605043</x:v>
      </x:c>
      <x:c r="U1320" s="31" t="n">
        <x:v>385</x:v>
      </x:c>
      <x:c r="V1320" s="31" t="n">
        <x:v>59</x:v>
      </x:c>
      <x:c r="W1320" s="31" t="n">
        <x:v>11.637080867850099</x:v>
      </x:c>
      <x:c r="X1320" s="31" t="n">
        <x:v>1.5015075376884421</x:v>
      </x:c>
      <x:c r="Y1320" s="40" t="n">
        <x:v>0</x:v>
      </x:c>
      <x:c r="Z1320" s="40" t="n">
        <x:v>1</x:v>
      </x:c>
      <x:c r="AA1320" s="40" t="n">
        <x:v>0.9966499162479062</x:v>
      </x:c>
      <x:c r="AB1320" s="31" t="n">
        <x:v>0.1599404456488151</x:v>
      </x:c>
      <x:c r="AC1320" s="31" t="n">
        <x:v>5</x:v>
      </x:c>
      <x:c r="AD1320" s="44" t="b">
        <x:v>1</x:v>
      </x:c>
    </x:row>
    <x:row r="1321">
      <x:c r="A1321" s="31" t="str">
        <x:v>36061013603</x:v>
      </x:c>
      <x:c r="B1321" s="31" t="str">
        <x:v>Manhattan</x:v>
      </x:c>
      <x:c r="C1321" s="31" t="str">
        <x:v>013603</x:v>
      </x:c>
      <x:c r="D1321" s="31" t="str">
        <x:v>MN0803</x:v>
      </x:c>
      <x:c r="E1321" s="31" t="str">
        <x:v>Upper East Side-Yorkville</x:v>
      </x:c>
      <x:c r="F1321" s="31" t="n">
        <x:v>0.020776318165282085</x:v>
      </x:c>
      <x:c r="G1321" s="31" t="n">
        <x:v>40.772841193195006</x:v>
      </x:c>
      <x:c r="H1321" s="31" t="n">
        <x:v>-73.9508476795074</x:v>
      </x:c>
      <x:c r="I1321" s="31" t="n">
        <x:v>4387</x:v>
      </x:c>
      <x:c r="J1321" s="31" t="n">
        <x:v>211153.87072435298</x:v>
      </x:c>
      <x:c r="K1321" s="31"/>
      <x:c r="L1321" s="40"/>
      <x:c r="M1321" s="40"/>
      <x:c r="N1321" s="31" t="n">
        <x:v>44</x:v>
      </x:c>
      <x:c r="O1321" s="31" t="n">
        <x:v>2554</x:v>
      </x:c>
      <x:c r="P1321" s="31" t="n">
        <x:v>17.34338292873923</x:v>
      </x:c>
      <x:c r="Q1321" s="40" t="n">
        <x:v>0.6448707909162099</x:v>
      </x:c>
      <x:c r="R1321" s="40" t="n">
        <x:v>0.35512920908379014</x:v>
      </x:c>
      <x:c r="S1321" s="40" t="n">
        <x:v>0</x:v>
      </x:c>
      <x:c r="T1321" s="31" t="n">
        <x:v>167.72881537597493</x:v>
      </x:c>
      <x:c r="U1321" s="31" t="n">
        <x:v>325.76</x:v>
      </x:c>
      <x:c r="V1321" s="31" t="n">
        <x:v>39</x:v>
      </x:c>
      <x:c r="W1321" s="31" t="n">
        <x:v>8.889901983131981</x:v>
      </x:c>
      <x:c r="X1321" s="31" t="n">
        <x:v>1.3809710258418169</x:v>
      </x:c>
      <x:c r="Y1321" s="40" t="n">
        <x:v>0</x:v>
      </x:c>
      <x:c r="Z1321" s="40" t="n">
        <x:v>1</x:v>
      </x:c>
      <x:c r="AA1321" s="40" t="n">
        <x:v>1</x:v>
      </x:c>
      <x:c r="AB1321" s="31" t="n">
        <x:v>0.15267338978842723</x:v>
      </x:c>
      <x:c r="AC1321" s="31" t="n">
        <x:v>6</x:v>
      </x:c>
      <x:c r="AD1321" s="44" t="b">
        <x:v>1</x:v>
      </x:c>
    </x:row>
    <x:row r="1322">
      <x:c r="A1322" s="31" t="str">
        <x:v>36061013604</x:v>
      </x:c>
      <x:c r="B1322" s="31" t="str">
        <x:v>Manhattan</x:v>
      </x:c>
      <x:c r="C1322" s="31" t="str">
        <x:v>013604</x:v>
      </x:c>
      <x:c r="D1322" s="31" t="str">
        <x:v>MN0803</x:v>
      </x:c>
      <x:c r="E1322" s="31" t="str">
        <x:v>Upper East Side-Yorkville</x:v>
      </x:c>
      <x:c r="F1322" s="31" t="n">
        <x:v>0.027686452727452078</x:v>
      </x:c>
      <x:c r="G1322" s="31" t="n">
        <x:v>40.77395622919155</x:v>
      </x:c>
      <x:c r="H1322" s="31" t="n">
        <x:v>-73.9484963131589</x:v>
      </x:c>
      <x:c r="I1322" s="31" t="n">
        <x:v>5057</x:v>
      </x:c>
      <x:c r="J1322" s="31" t="n">
        <x:v>182652.50697810808</x:v>
      </x:c>
      <x:c r="K1322" s="31"/>
      <x:c r="L1322" s="40"/>
      <x:c r="M1322" s="40"/>
      <x:c r="N1322" s="31" t="n">
        <x:v>145</x:v>
      </x:c>
      <x:c r="O1322" s="31" t="n">
        <x:v>3242</x:v>
      </x:c>
      <x:c r="P1322" s="31" t="n">
        <x:v>11.958975940777298</x:v>
      </x:c>
      <x:c r="Q1322" s="40" t="n">
        <x:v>0.33590376310919184</x:v>
      </x:c>
      <x:c r="R1322" s="40" t="n">
        <x:v>0.66224552745219</x:v>
      </x:c>
      <x:c r="S1322" s="40" t="n">
        <x:v>0.03608883405305367</x:v>
      </x:c>
      <x:c r="T1322" s="31" t="n">
        <x:v>100.5041314409133</x:v>
      </x:c>
      <x:c r="U1322" s="31" t="n">
        <x:v>399.33</x:v>
      </x:c>
      <x:c r="V1322" s="31" t="n">
        <x:v>48</x:v>
      </x:c>
      <x:c r="W1322" s="31" t="n">
        <x:v>9.491793553490211</x:v>
      </x:c>
      <x:c r="X1322" s="31" t="n">
        <x:v>1</x:v>
      </x:c>
      <x:c r="Y1322" s="40" t="n">
        <x:v>0</x:v>
      </x:c>
      <x:c r="Z1322" s="40" t="n">
        <x:v>1</x:v>
      </x:c>
      <x:c r="AA1322" s="40" t="n">
        <x:v>0.999691548426897</x:v>
      </x:c>
      <x:c r="AB1322" s="31" t="n">
        <x:v>0.24055533632097353</x:v>
      </x:c>
      <x:c r="AC1322" s="31" t="n">
        <x:v>7</x:v>
      </x:c>
      <x:c r="AD1322" s="44" t="b">
        <x:v>1</x:v>
      </x:c>
    </x:row>
    <x:row r="1323">
      <x:c r="A1323" s="31" t="str">
        <x:v>36061013700</x:v>
      </x:c>
      <x:c r="B1323" s="31" t="str">
        <x:v>Manhattan</x:v>
      </x:c>
      <x:c r="C1323" s="31" t="str">
        <x:v>013700</x:v>
      </x:c>
      <x:c r="D1323" s="31" t="str">
        <x:v>MN0502</x:v>
      </x:c>
      <x:c r="E1323" s="31" t="str">
        <x:v>Midtown-Times Square</x:v>
      </x:c>
      <x:c r="F1323" s="31" t="n">
        <x:v>0.0873216536243113</x:v>
      </x:c>
      <x:c r="G1323" s="31" t="n">
        <x:v>40.76521327349702</x:v>
      </x:c>
      <x:c r="H1323" s="31" t="n">
        <x:v>-73.98023734156108</x:v>
      </x:c>
      <x:c r="I1323" s="31" t="n">
        <x:v>7308</x:v>
      </x:c>
      <x:c r="J1323" s="31" t="n">
        <x:v>83690.5818508844</x:v>
      </x:c>
      <x:c r="K1323" s="31"/>
      <x:c r="L1323" s="40"/>
      <x:c r="M1323" s="40"/>
      <x:c r="N1323" s="31" t="n">
        <x:v>72</x:v>
      </x:c>
      <x:c r="O1323" s="31" t="n">
        <x:v>6480</x:v>
      </x:c>
      <x:c r="P1323" s="31" t="n">
        <x:v>34.59984567901235</x:v>
      </x:c>
      <x:c r="Q1323" s="40" t="n">
        <x:v>0.9598765432098766</x:v>
      </x:c>
      <x:c r="R1323" s="40" t="n">
        <x:v>0.040123456790123455</x:v>
      </x:c>
      <x:c r="S1323" s="40" t="n">
        <x:v>0</x:v>
      </x:c>
      <x:c r="T1323" s="31" t="n">
        <x:v>374.2463162629107</x:v>
      </x:c>
      <x:c r="U1323" s="31" t="n">
        <x:v>1550</x:v>
      </x:c>
      <x:c r="V1323" s="31" t="n">
        <x:v>274</x:v>
      </x:c>
      <x:c r="W1323" s="31" t="n">
        <x:v>37.49315818281335</x:v>
      </x:c>
      <x:c r="X1323" s="31" t="n">
        <x:v>2</x:v>
      </x:c>
      <x:c r="Y1323" s="40" t="n">
        <x:v>0</x:v>
      </x:c>
      <x:c r="Z1323" s="40" t="n">
        <x:v>1</x:v>
      </x:c>
      <x:c r="AA1323" s="40" t="n">
        <x:v>0.9384259259259259</x:v>
      </x:c>
      <x:c r="AB1323" s="31" t="n">
        <x:v>0.16432967993338346</x:v>
      </x:c>
      <x:c r="AC1323" s="31" t="n">
        <x:v>7</x:v>
      </x:c>
      <x:c r="AD1323" s="44" t="b">
        <x:v>1</x:v>
      </x:c>
    </x:row>
    <x:row r="1324">
      <x:c r="A1324" s="31" t="str">
        <x:v>36061013800</x:v>
      </x:c>
      <x:c r="B1324" s="31" t="str">
        <x:v>Manhattan</x:v>
      </x:c>
      <x:c r="C1324" s="31" t="str">
        <x:v>013800</x:v>
      </x:c>
      <x:c r="D1324" s="31" t="str">
        <x:v>MN0803</x:v>
      </x:c>
      <x:c r="E1324" s="31" t="str">
        <x:v>Upper East Side-Yorkville</x:v>
      </x:c>
      <x:c r="F1324" s="31" t="n">
        <x:v>0.07028939172298267</x:v>
      </x:c>
      <x:c r="G1324" s="31" t="n">
        <x:v>40.774922200953</x:v>
      </x:c>
      <x:c r="H1324" s="31" t="n">
        <x:v>-73.95381523838478</x:v>
      </x:c>
      <x:c r="I1324" s="31" t="n">
        <x:v>13109</x:v>
      </x:c>
      <x:c r="J1324" s="31" t="n">
        <x:v>186500.40466510004</x:v>
      </x:c>
      <x:c r="K1324" s="31"/>
      <x:c r="L1324" s="40"/>
      <x:c r="M1324" s="40"/>
      <x:c r="N1324" s="31" t="n">
        <x:v>280</x:v>
      </x:c>
      <x:c r="O1324" s="31" t="n">
        <x:v>8658</x:v>
      </x:c>
      <x:c r="P1324" s="31" t="n">
        <x:v>14.747890904888479</x:v>
      </x:c>
      <x:c r="Q1324" s="40" t="n">
        <x:v>0.5136290136290136</x:v>
      </x:c>
      <x:c r="R1324" s="40" t="n">
        <x:v>0.48533148533148535</x:v>
      </x:c>
      <x:c r="S1324" s="40" t="n">
        <x:v>0.030492030492030493</x:v>
      </x:c>
      <x:c r="T1324" s="31" t="n">
        <x:v>152.102368077197</x:v>
      </x:c>
      <x:c r="U1324" s="31" t="n">
        <x:v>388</x:v>
      </x:c>
      <x:c r="V1324" s="31" t="n">
        <x:v>144</x:v>
      </x:c>
      <x:c r="W1324" s="31" t="n">
        <x:v>10.984819589594935</x:v>
      </x:c>
      <x:c r="X1324" s="31" t="n">
        <x:v>1.3072303072303073</x:v>
      </x:c>
      <x:c r="Y1324" s="40" t="n">
        <x:v>0</x:v>
      </x:c>
      <x:c r="Z1324" s="40" t="n">
        <x:v>1</x:v>
      </x:c>
      <x:c r="AA1324" s="40" t="n">
        <x:v>0.9996534996534997</x:v>
      </x:c>
      <x:c r="AB1324" s="31" t="n">
        <x:v>0.05556808326655877</x:v>
      </x:c>
      <x:c r="AC1324" s="31" t="n">
        <x:v>8</x:v>
      </x:c>
      <x:c r="AD1324" s="44" t="b">
        <x:v>1</x:v>
      </x:c>
    </x:row>
    <x:row r="1325">
      <x:c r="A1325" s="31" t="str">
        <x:v>36061013900</x:v>
      </x:c>
      <x:c r="B1325" s="31" t="str">
        <x:v>Manhattan</x:v>
      </x:c>
      <x:c r="C1325" s="31" t="str">
        <x:v>013900</x:v>
      </x:c>
      <x:c r="D1325" s="31" t="str">
        <x:v>MN0402</x:v>
      </x:c>
      <x:c r="E1325" s="31" t="str">
        <x:v>Hell's Kitchen</x:v>
      </x:c>
      <x:c r="F1325" s="31" t="n">
        <x:v>0.07012395224367252</x:v>
      </x:c>
      <x:c r="G1325" s="31" t="n">
        <x:v>40.76729212810761</x:v>
      </x:c>
      <x:c r="H1325" s="31" t="n">
        <x:v>-73.98617034002837</x:v>
      </x:c>
      <x:c r="I1325" s="31" t="n">
        <x:v>9988</x:v>
      </x:c>
      <x:c r="J1325" s="31" t="n">
        <x:v>142433.50068594067</x:v>
      </x:c>
      <x:c r="K1325" s="31"/>
      <x:c r="L1325" s="40"/>
      <x:c r="M1325" s="40"/>
      <x:c r="N1325" s="31" t="n">
        <x:v>151</x:v>
      </x:c>
      <x:c r="O1325" s="31" t="n">
        <x:v>7415</x:v>
      </x:c>
      <x:c r="P1325" s="31" t="n">
        <x:v>17.18955856225229</x:v>
      </x:c>
      <x:c r="Q1325" s="40" t="n">
        <x:v>0.5533378287255563</x:v>
      </x:c>
      <x:c r="R1325" s="40" t="n">
        <x:v>0.4330411328388402</x:v>
      </x:c>
      <x:c r="S1325" s="40" t="n">
        <x:v>0.050708024275118</x:v>
      </x:c>
      <x:c r="T1325" s="31" t="n">
        <x:v>181.0545174089818</x:v>
      </x:c>
      <x:c r="U1325" s="31" t="n">
        <x:v>613</x:v>
      </x:c>
      <x:c r="V1325" s="31" t="n">
        <x:v>125</x:v>
      </x:c>
      <x:c r="W1325" s="31" t="n">
        <x:v>12.51501802162595</x:v>
      </x:c>
      <x:c r="X1325" s="31" t="n">
        <x:v>2</x:v>
      </x:c>
      <x:c r="Y1325" s="40" t="n">
        <x:v>0</x:v>
      </x:c>
      <x:c r="Z1325" s="40" t="n">
        <x:v>1</x:v>
      </x:c>
      <x:c r="AA1325" s="40" t="n">
        <x:v>1</x:v>
      </x:c>
      <x:c r="AB1325" s="31" t="n">
        <x:v>0.13551208152928348</x:v>
      </x:c>
      <x:c r="AC1325" s="31" t="n">
        <x:v>7</x:v>
      </x:c>
      <x:c r="AD1325" s="44" t="b">
        <x:v>1</x:v>
      </x:c>
    </x:row>
    <x:row r="1326">
      <x:c r="A1326" s="31" t="str">
        <x:v>36061014000</x:v>
      </x:c>
      <x:c r="B1326" s="31" t="str">
        <x:v>Manhattan</x:v>
      </x:c>
      <x:c r="C1326" s="31" t="str">
        <x:v>014000</x:v>
      </x:c>
      <x:c r="D1326" s="31" t="str">
        <x:v>MN0802</x:v>
      </x:c>
      <x:c r="E1326" s="31" t="str">
        <x:v>Upper East Side-Carnegie Hill</x:v>
      </x:c>
      <x:c r="F1326" s="31" t="n">
        <x:v>0.0690851786278983</x:v>
      </x:c>
      <x:c r="G1326" s="31" t="n">
        <x:v>40.77591395274933</x:v>
      </x:c>
      <x:c r="H1326" s="31" t="n">
        <x:v>-73.9582082162785</x:v>
      </x:c>
      <x:c r="I1326" s="31" t="n">
        <x:v>8050</x:v>
      </x:c>
      <x:c r="J1326" s="31" t="n">
        <x:v>116522.82240389564</x:v>
      </x:c>
      <x:c r="K1326" s="31"/>
      <x:c r="L1326" s="40"/>
      <x:c r="M1326" s="40"/>
      <x:c r="N1326" s="31" t="n">
        <x:v>256</x:v>
      </x:c>
      <x:c r="O1326" s="31" t="n">
        <x:v>4744</x:v>
      </x:c>
      <x:c r="P1326" s="31" t="n">
        <x:v>12.70930968967701</x:v>
      </x:c>
      <x:c r="Q1326" s="40" t="n">
        <x:v>0.6751686340640809</x:v>
      </x:c>
      <x:c r="R1326" s="40" t="n">
        <x:v>0.3233558178752108</x:v>
      </x:c>
      <x:c r="S1326" s="40" t="n">
        <x:v>0.008010118043844857</x:v>
      </x:c>
      <x:c r="T1326" s="31" t="n">
        <x:v>138.87722093363078</x:v>
      </x:c>
      <x:c r="U1326" s="31" t="n">
        <x:v>337</x:v>
      </x:c>
      <x:c r="V1326" s="31" t="n">
        <x:v>250</x:v>
      </x:c>
      <x:c r="W1326" s="31" t="n">
        <x:v>31.055900621118013</x:v>
      </x:c>
      <x:c r="X1326" s="31" t="n">
        <x:v>1.4270657672849916</x:v>
      </x:c>
      <x:c r="Y1326" s="40" t="n">
        <x:v>0</x:v>
      </x:c>
      <x:c r="Z1326" s="40" t="n">
        <x:v>1</x:v>
      </x:c>
      <x:c r="AA1326" s="40" t="n">
        <x:v>0.959106239460371</x:v>
      </x:c>
      <x:c r="AB1326" s="31" t="n">
        <x:v>0.06911577717728226</x:v>
      </x:c>
      <x:c r="AC1326" s="31" t="n">
        <x:v>8</x:v>
      </x:c>
      <x:c r="AD1326" s="44" t="b">
        <x:v>1</x:v>
      </x:c>
    </x:row>
    <x:row r="1327">
      <x:c r="A1327" s="31" t="str">
        <x:v>36061014200</x:v>
      </x:c>
      <x:c r="B1327" s="31" t="str">
        <x:v>Manhattan</x:v>
      </x:c>
      <x:c r="C1327" s="31" t="str">
        <x:v>014200</x:v>
      </x:c>
      <x:c r="D1327" s="31" t="str">
        <x:v>MN0802</x:v>
      </x:c>
      <x:c r="E1327" s="31" t="str">
        <x:v>Upper East Side-Carnegie Hill</x:v>
      </x:c>
      <x:c r="F1327" s="31" t="n">
        <x:v>0.06914630392203283</x:v>
      </x:c>
      <x:c r="G1327" s="31" t="n">
        <x:v>40.77727106971621</x:v>
      </x:c>
      <x:c r="H1327" s="31" t="n">
        <x:v>-73.9614252128445</x:v>
      </x:c>
      <x:c r="I1327" s="31" t="n">
        <x:v>4463</x:v>
      </x:c>
      <x:c r="J1327" s="31" t="n">
        <x:v>64544.3031204146</x:v>
      </x:c>
      <x:c r="K1327" s="31"/>
      <x:c r="L1327" s="40"/>
      <x:c r="M1327" s="40"/>
      <x:c r="N1327" s="31" t="n">
        <x:v>231</x:v>
      </x:c>
      <x:c r="O1327" s="31" t="n">
        <x:v>3119</x:v>
      </x:c>
      <x:c r="P1327" s="31" t="n">
        <x:v>13.560275729400448</x:v>
      </x:c>
      <x:c r="Q1327" s="40" t="n">
        <x:v>0.7489579993587688</x:v>
      </x:c>
      <x:c r="R1327" s="40" t="n">
        <x:v>0.25104200064123117</x:v>
      </x:c>
      <x:c r="S1327" s="40" t="n">
        <x:v>0</x:v>
      </x:c>
      <x:c r="T1327" s="31" t="n">
        <x:v>149.0824304662125</x:v>
      </x:c>
      <x:c r="U1327" s="31" t="n">
        <x:v>279</x:v>
      </x:c>
      <x:c r="V1327" s="31" t="n">
        <x:v>286</x:v>
      </x:c>
      <x:c r="W1327" s="31" t="n">
        <x:v>64.08245574725521</x:v>
      </x:c>
      <x:c r="X1327" s="31" t="n">
        <x:v>1.530298172491183</x:v>
      </x:c>
      <x:c r="Y1327" s="40" t="n">
        <x:v>0</x:v>
      </x:c>
      <x:c r="Z1327" s="40" t="n">
        <x:v>1</x:v>
      </x:c>
      <x:c r="AA1327" s="40" t="n">
        <x:v>0.9929464571978198</x:v>
      </x:c>
      <x:c r="AB1327" s="31" t="n">
        <x:v>0.056600421230495926</x:v>
      </x:c>
      <x:c r="AC1327" s="31" t="n">
        <x:v>6</x:v>
      </x:c>
      <x:c r="AD1327" s="44" t="b">
        <x:v>1</x:v>
      </x:c>
    </x:row>
    <x:row r="1328">
      <x:c r="A1328" s="31" t="str">
        <x:v>36061014300</x:v>
      </x:c>
      <x:c r="B1328" s="31" t="str">
        <x:v>Manhattan</x:v>
      </x:c>
      <x:c r="C1328" s="31" t="str">
        <x:v>014300</x:v>
      </x:c>
      <x:c r="D1328" s="31" t="str">
        <x:v>MN6491</x:v>
      </x:c>
      <x:c r="E1328" s="31" t="str">
        <x:v>Central Park</x:v>
      </x:c>
      <x:c r="F1328" s="31" t="n">
        <x:v>1.3742674838261881</x:v>
      </x:c>
      <x:c r="G1328" s="31" t="n">
        <x:v>40.782472230018726</x:v>
      </x:c>
      <x:c r="H1328" s="31" t="n">
        <x:v>-73.96556039271948</x:v>
      </x:c>
      <x:c r="I1328" s="31" t="n">
        <x:v>129</x:v>
      </x:c>
      <x:c r="J1328" s="31" t="n">
        <x:v>93.8681890666893</x:v>
      </x:c>
      <x:c r="K1328" s="31"/>
      <x:c r="L1328" s="40"/>
      <x:c r="M1328" s="40"/>
      <x:c r="N1328" s="31" t="n">
        <x:v>0</x:v>
      </x:c>
      <x:c r="O1328" s="31"/>
      <x:c r="P1328" s="31"/>
      <x:c r="Q1328" s="40"/>
      <x:c r="R1328" s="40"/>
      <x:c r="S1328" s="40"/>
      <x:c r="T1328" s="31"/>
      <x:c r="U1328" s="31"/>
      <x:c r="V1328" s="31" t="n">
        <x:v>0</x:v>
      </x:c>
      <x:c r="W1328" s="31" t="n">
        <x:v>0</x:v>
      </x:c>
      <x:c r="X1328" s="31"/>
      <x:c r="Y1328" s="40"/>
      <x:c r="Z1328" s="40"/>
      <x:c r="AA1328" s="40"/>
      <x:c r="AB1328" s="31" t="n">
        <x:v>0.4248943500441215</x:v>
      </x:c>
      <x:c r="AC1328" s="31" t="n">
        <x:v>30</x:v>
      </x:c>
      <x:c r="AD1328" s="44" t="b">
        <x:v>0</x:v>
      </x:c>
    </x:row>
    <x:row r="1329">
      <x:c r="A1329" s="31" t="str">
        <x:v>36061014401</x:v>
      </x:c>
      <x:c r="B1329" s="31" t="str">
        <x:v>Manhattan</x:v>
      </x:c>
      <x:c r="C1329" s="31" t="str">
        <x:v>014401</x:v>
      </x:c>
      <x:c r="D1329" s="31" t="str">
        <x:v>MN0803</x:v>
      </x:c>
      <x:c r="E1329" s="31" t="str">
        <x:v>Upper East Side-Yorkville</x:v>
      </x:c>
      <x:c r="F1329" s="31" t="n">
        <x:v>0.028982283760402315</x:v>
      </x:c>
      <x:c r="G1329" s="31" t="n">
        <x:v>40.77525000570327</x:v>
      </x:c>
      <x:c r="H1329" s="31" t="n">
        <x:v>-73.94753510280718</x:v>
      </x:c>
      <x:c r="I1329" s="31" t="n">
        <x:v>5040</x:v>
      </x:c>
      <x:c r="J1329" s="31" t="n">
        <x:v>173899.33939181187</x:v>
      </x:c>
      <x:c r="K1329" s="31"/>
      <x:c r="L1329" s="40"/>
      <x:c r="M1329" s="40"/>
      <x:c r="N1329" s="31" t="n">
        <x:v>107</x:v>
      </x:c>
      <x:c r="O1329" s="31" t="n">
        <x:v>3094</x:v>
      </x:c>
      <x:c r="P1329" s="31" t="n">
        <x:v>15.248707175177763</x:v>
      </x:c>
      <x:c r="Q1329" s="40" t="n">
        <x:v>0.6616031027795733</x:v>
      </x:c>
      <x:c r="R1329" s="40" t="n">
        <x:v>0.33839689722042665</x:v>
      </x:c>
      <x:c r="S1329" s="40" t="n">
        <x:v>0.01712992889463478</x:v>
      </x:c>
      <x:c r="T1329" s="31" t="n">
        <x:v>135.84737485150615</x:v>
      </x:c>
      <x:c r="U1329" s="31" t="n">
        <x:v>322.13</x:v>
      </x:c>
      <x:c r="V1329" s="31" t="n">
        <x:v>70</x:v>
      </x:c>
      <x:c r="W1329" s="31" t="n">
        <x:v>13.888888888888888</x:v>
      </x:c>
      <x:c r="X1329" s="31" t="n">
        <x:v>1</x:v>
      </x:c>
      <x:c r="Y1329" s="40" t="n">
        <x:v>0</x:v>
      </x:c>
      <x:c r="Z1329" s="40" t="n">
        <x:v>1</x:v>
      </x:c>
      <x:c r="AA1329" s="40" t="n">
        <x:v>1</x:v>
      </x:c>
      <x:c r="AB1329" s="31" t="n">
        <x:v>0.18575982799671822</x:v>
      </x:c>
      <x:c r="AC1329" s="31" t="n">
        <x:v>6</x:v>
      </x:c>
      <x:c r="AD1329" s="44" t="b">
        <x:v>1</x:v>
      </x:c>
    </x:row>
    <x:row r="1330">
      <x:c r="A1330" s="31" t="str">
        <x:v>36061014402</x:v>
      </x:c>
      <x:c r="B1330" s="31" t="str">
        <x:v>Manhattan</x:v>
      </x:c>
      <x:c r="C1330" s="31" t="str">
        <x:v>014402</x:v>
      </x:c>
      <x:c r="D1330" s="31" t="str">
        <x:v>MN0803</x:v>
      </x:c>
      <x:c r="E1330" s="31" t="str">
        <x:v>Upper East Side-Yorkville</x:v>
      </x:c>
      <x:c r="F1330" s="31" t="n">
        <x:v>0.06739854237438303</x:v>
      </x:c>
      <x:c r="G1330" s="31" t="n">
        <x:v>40.776239090755354</x:v>
      </x:c>
      <x:c r="H1330" s="31" t="n">
        <x:v>-73.94534200945475</x:v>
      </x:c>
      <x:c r="I1330" s="31" t="n">
        <x:v>7151</x:v>
      </x:c>
      <x:c r="J1330" s="31" t="n">
        <x:v>106100.21742425644</x:v>
      </x:c>
      <x:c r="K1330" s="31"/>
      <x:c r="L1330" s="40"/>
      <x:c r="M1330" s="40"/>
      <x:c r="N1330" s="31" t="n">
        <x:v>194</x:v>
      </x:c>
      <x:c r="O1330" s="31" t="n">
        <x:v>4452</x:v>
      </x:c>
      <x:c r="P1330" s="31" t="n">
        <x:v>13.867194519317161</x:v>
      </x:c>
      <x:c r="Q1330" s="40" t="n">
        <x:v>0.5006738544474394</x:v>
      </x:c>
      <x:c r="R1330" s="40" t="n">
        <x:v>0.4973045822102426</x:v>
      </x:c>
      <x:c r="S1330" s="40" t="n">
        <x:v>0</x:v>
      </x:c>
      <x:c r="T1330" s="31" t="n">
        <x:v>133.8773484857942</x:v>
      </x:c>
      <x:c r="U1330" s="31" t="n">
        <x:v>384</x:v>
      </x:c>
      <x:c r="V1330" s="31" t="n">
        <x:v>88</x:v>
      </x:c>
      <x:c r="W1330" s="31" t="n">
        <x:v>12.305971192840163</x:v>
      </x:c>
      <x:c r="X1330" s="31" t="n">
        <x:v>1</x:v>
      </x:c>
      <x:c r="Y1330" s="40" t="n">
        <x:v>0</x:v>
      </x:c>
      <x:c r="Z1330" s="40" t="n">
        <x:v>1</x:v>
      </x:c>
      <x:c r="AA1330" s="40" t="n">
        <x:v>0.9997753818508536</x:v>
      </x:c>
      <x:c r="AB1330" s="31" t="n">
        <x:v>0.1557772108413039</x:v>
      </x:c>
      <x:c r="AC1330" s="31" t="n">
        <x:v>7</x:v>
      </x:c>
      <x:c r="AD1330" s="44" t="b">
        <x:v>1</x:v>
      </x:c>
    </x:row>
    <x:row r="1331">
      <x:c r="A1331" s="31" t="str">
        <x:v>36061014500</x:v>
      </x:c>
      <x:c r="B1331" s="31" t="str">
        <x:v>Manhattan</x:v>
      </x:c>
      <x:c r="C1331" s="31" t="str">
        <x:v>014500</x:v>
      </x:c>
      <x:c r="D1331" s="31" t="str">
        <x:v>MN0701</x:v>
      </x:c>
      <x:c r="E1331" s="31" t="str">
        <x:v>Upper West Side-Lincoln Square</x:v>
      </x:c>
      <x:c r="F1331" s="31" t="n">
        <x:v>0.06812373779090622</x:v>
      </x:c>
      <x:c r="G1331" s="31" t="n">
        <x:v>40.76981842236114</x:v>
      </x:c>
      <x:c r="H1331" s="31" t="n">
        <x:v>-73.98427705317636</x:v>
      </x:c>
      <x:c r="I1331" s="31" t="n">
        <x:v>7532</x:v>
      </x:c>
      <x:c r="J1331" s="31" t="n">
        <x:v>110563.51639303972</x:v>
      </x:c>
      <x:c r="K1331" s="31"/>
      <x:c r="L1331" s="40"/>
      <x:c r="M1331" s="40"/>
      <x:c r="N1331" s="31" t="n">
        <x:v>18</x:v>
      </x:c>
      <x:c r="O1331" s="31" t="n">
        <x:v>4727</x:v>
      </x:c>
      <x:c r="P1331" s="31" t="n">
        <x:v>38.08694732388407</x:v>
      </x:c>
      <x:c r="Q1331" s="40" t="n">
        <x:v>1</x:v>
      </x:c>
      <x:c r="R1331" s="40" t="n">
        <x:v>0</x:v>
      </x:c>
      <x:c r="S1331" s="40" t="n">
        <x:v>0.044637190607150413</x:v>
      </x:c>
      <x:c r="T1331" s="31" t="n">
        <x:v>415.1606427450539</x:v>
      </x:c>
      <x:c r="U1331" s="31" t="n">
        <x:v>715</x:v>
      </x:c>
      <x:c r="V1331" s="31" t="n">
        <x:v>233</x:v>
      </x:c>
      <x:c r="W1331" s="31" t="n">
        <x:v>30.93467870419543</x:v>
      </x:c>
      <x:c r="X1331" s="31" t="n">
        <x:v>1.3539242648614342</x:v>
      </x:c>
      <x:c r="Y1331" s="40" t="n">
        <x:v>0</x:v>
      </x:c>
      <x:c r="Z1331" s="40" t="n">
        <x:v>1</x:v>
      </x:c>
      <x:c r="AA1331" s="40" t="n">
        <x:v>1</x:v>
      </x:c>
      <x:c r="AB1331" s="31" t="n">
        <x:v>0.2186091940567658</x:v>
      </x:c>
      <x:c r="AC1331" s="31" t="n">
        <x:v>7</x:v>
      </x:c>
      <x:c r="AD1331" s="44" t="b">
        <x:v>1</x:v>
      </x:c>
    </x:row>
    <x:row r="1332">
      <x:c r="A1332" s="31" t="str">
        <x:v>36061014601</x:v>
      </x:c>
      <x:c r="B1332" s="31" t="str">
        <x:v>Manhattan</x:v>
      </x:c>
      <x:c r="C1332" s="31" t="str">
        <x:v>014601</x:v>
      </x:c>
      <x:c r="D1332" s="31" t="str">
        <x:v>MN0803</x:v>
      </x:c>
      <x:c r="E1332" s="31" t="str">
        <x:v>Upper East Side-Yorkville</x:v>
      </x:c>
      <x:c r="F1332" s="31" t="n">
        <x:v>0.0286880909603851</x:v>
      </x:c>
      <x:c r="G1332" s="31" t="n">
        <x:v>40.777191846930535</x:v>
      </x:c>
      <x:c r="H1332" s="31" t="n">
        <x:v>-73.95216123604726</x:v>
      </x:c>
      <x:c r="I1332" s="31" t="n">
        <x:v>4481</x:v>
      </x:c>
      <x:c r="J1332" s="31" t="n">
        <x:v>156197.21807867024</x:v>
      </x:c>
      <x:c r="K1332" s="31"/>
      <x:c r="L1332" s="40"/>
      <x:c r="M1332" s="40"/>
      <x:c r="N1332" s="31" t="n">
        <x:v>105</x:v>
      </x:c>
      <x:c r="O1332" s="31" t="n">
        <x:v>2937</x:v>
      </x:c>
      <x:c r="P1332" s="31" t="n">
        <x:v>13.56247871978209</x:v>
      </x:c>
      <x:c r="Q1332" s="40" t="n">
        <x:v>0.4201566224038134</x:v>
      </x:c>
      <x:c r="R1332" s="40" t="n">
        <x:v>0.5798433775961865</x:v>
      </x:c>
      <x:c r="S1332" s="40" t="n">
        <x:v>0.06401089547156963</x:v>
      </x:c>
      <x:c r="T1332" s="31" t="n">
        <x:v>127.30202704369131</x:v>
      </x:c>
      <x:c r="U1332" s="31" t="n">
        <x:v>385.41</x:v>
      </x:c>
      <x:c r="V1332" s="31" t="n">
        <x:v>56</x:v>
      </x:c>
      <x:c r="W1332" s="31" t="n">
        <x:v>12.4972104440973</x:v>
      </x:c>
      <x:c r="X1332" s="31" t="n">
        <x:v>1</x:v>
      </x:c>
      <x:c r="Y1332" s="40" t="n">
        <x:v>0</x:v>
      </x:c>
      <x:c r="Z1332" s="40" t="n">
        <x:v>1</x:v>
      </x:c>
      <x:c r="AA1332" s="40" t="n">
        <x:v>0.9353081375553286</x:v>
      </x:c>
      <x:c r="AB1332" s="31" t="n">
        <x:v>0.1444067518182672</x:v>
      </x:c>
      <x:c r="AC1332" s="31" t="n">
        <x:v>8</x:v>
      </x:c>
      <x:c r="AD1332" s="44" t="b">
        <x:v>1</x:v>
      </x:c>
    </x:row>
    <x:row r="1333">
      <x:c r="A1333" s="31" t="str">
        <x:v>36061014602</x:v>
      </x:c>
      <x:c r="B1333" s="31" t="str">
        <x:v>Manhattan</x:v>
      </x:c>
      <x:c r="C1333" s="31" t="str">
        <x:v>014602</x:v>
      </x:c>
      <x:c r="D1333" s="31" t="str">
        <x:v>MN0803</x:v>
      </x:c>
      <x:c r="E1333" s="31" t="str">
        <x:v>Upper East Side-Yorkville</x:v>
      </x:c>
      <x:c r="F1333" s="31" t="n">
        <x:v>0.042158055017504595</x:v>
      </x:c>
      <x:c r="G1333" s="31" t="n">
        <x:v>40.778814796553554</x:v>
      </x:c>
      <x:c r="H1333" s="31" t="n">
        <x:v>-73.95097542447674</x:v>
      </x:c>
      <x:c r="I1333" s="31" t="n">
        <x:v>9061</x:v>
      </x:c>
      <x:c r="J1333" s="31" t="n">
        <x:v>214929.2702483013</x:v>
      </x:c>
      <x:c r="K1333" s="31"/>
      <x:c r="L1333" s="40"/>
      <x:c r="M1333" s="40"/>
      <x:c r="N1333" s="31" t="n">
        <x:v>140</x:v>
      </x:c>
      <x:c r="O1333" s="31" t="n">
        <x:v>5680</x:v>
      </x:c>
      <x:c r="P1333" s="31" t="n">
        <x:v>17.810512367491167</x:v>
      </x:c>
      <x:c r="Q1333" s="40" t="n">
        <x:v>0.5845070422535211</x:v>
      </x:c>
      <x:c r="R1333" s="40" t="n">
        <x:v>0.4119718309859155</x:v>
      </x:c>
      <x:c r="S1333" s="40" t="n">
        <x:v>0.051232394366197184</x:v>
      </x:c>
      <x:c r="T1333" s="31" t="n">
        <x:v>180.16007661437433</x:v>
      </x:c>
      <x:c r="U1333" s="31" t="n">
        <x:v>467</x:v>
      </x:c>
      <x:c r="V1333" s="31" t="n">
        <x:v>70</x:v>
      </x:c>
      <x:c r="W1333" s="31" t="n">
        <x:v>7.725416620682044</x:v>
      </x:c>
      <x:c r="X1333" s="31" t="n">
        <x:v>1</x:v>
      </x:c>
      <x:c r="Y1333" s="40" t="n">
        <x:v>0</x:v>
      </x:c>
      <x:c r="Z1333" s="40" t="n">
        <x:v>1</x:v>
      </x:c>
      <x:c r="AA1333" s="40" t="n">
        <x:v>0.9651408450704225</x:v>
      </x:c>
      <x:c r="AB1333" s="31" t="n">
        <x:v>0.20207358033330802</x:v>
      </x:c>
      <x:c r="AC1333" s="31" t="n">
        <x:v>7</x:v>
      </x:c>
      <x:c r="AD1333" s="44" t="b">
        <x:v>1</x:v>
      </x:c>
    </x:row>
    <x:row r="1334">
      <x:c r="A1334" s="31" t="str">
        <x:v>36061014700</x:v>
      </x:c>
      <x:c r="B1334" s="31" t="str">
        <x:v>Manhattan</x:v>
      </x:c>
      <x:c r="C1334" s="31" t="str">
        <x:v>014700</x:v>
      </x:c>
      <x:c r="D1334" s="31" t="str">
        <x:v>MN0701</x:v>
      </x:c>
      <x:c r="E1334" s="31" t="str">
        <x:v>Upper West Side-Lincoln Square</x:v>
      </x:c>
      <x:c r="F1334" s="31" t="n">
        <x:v>0.025250236894298093</x:v>
      </x:c>
      <x:c r="G1334" s="31" t="n">
        <x:v>40.77132810982985</x:v>
      </x:c>
      <x:c r="H1334" s="31" t="n">
        <x:v>-73.9888036232986</x:v>
      </x:c>
      <x:c r="I1334" s="31" t="n">
        <x:v>2987</x:v>
      </x:c>
      <x:c r="J1334" s="31" t="n">
        <x:v>118295.91985628112</x:v>
      </x:c>
      <x:c r="K1334" s="31"/>
      <x:c r="L1334" s="40"/>
      <x:c r="M1334" s="40"/>
      <x:c r="N1334" s="31" t="n">
        <x:v>8</x:v>
      </x:c>
      <x:c r="O1334" s="31" t="n">
        <x:v>1650</x:v>
      </x:c>
      <x:c r="P1334" s="31" t="n">
        <x:v>30.404327248140635</x:v>
      </x:c>
      <x:c r="Q1334" s="40" t="n">
        <x:v>0.88</x:v>
      </x:c>
      <x:c r="R1334" s="40" t="n">
        <x:v>0.016363636363636365</x:v>
      </x:c>
      <x:c r="S1334" s="40" t="n">
        <x:v>0</x:v>
      </x:c>
      <x:c r="T1334" s="31" t="n">
        <x:v>335.9570509446149</x:v>
      </x:c>
      <x:c r="U1334" s="31" t="n">
        <x:v>392</x:v>
      </x:c>
      <x:c r="V1334" s="31" t="n">
        <x:v>31</x:v>
      </x:c>
      <x:c r="W1334" s="31" t="n">
        <x:v>10.37830599263475</x:v>
      </x:c>
      <x:c r="X1334" s="31" t="n">
        <x:v>1.2818181818181817</x:v>
      </x:c>
      <x:c r="Y1334" s="40" t="n">
        <x:v>0</x:v>
      </x:c>
      <x:c r="Z1334" s="40" t="n">
        <x:v>1</x:v>
      </x:c>
      <x:c r="AA1334" s="40" t="n">
        <x:v>0.9521212121212121</x:v>
      </x:c>
      <x:c r="AB1334" s="31" t="n">
        <x:v>0.05694490339146041</x:v>
      </x:c>
      <x:c r="AC1334" s="31" t="n">
        <x:v>5</x:v>
      </x:c>
      <x:c r="AD1334" s="44" t="b">
        <x:v>1</x:v>
      </x:c>
    </x:row>
    <x:row r="1335">
      <x:c r="A1335" s="31" t="str">
        <x:v>36061014801</x:v>
      </x:c>
      <x:c r="B1335" s="31" t="str">
        <x:v>Manhattan</x:v>
      </x:c>
      <x:c r="C1335" s="31" t="str">
        <x:v>014801</x:v>
      </x:c>
      <x:c r="D1335" s="31" t="str">
        <x:v>MN0802</x:v>
      </x:c>
      <x:c r="E1335" s="31" t="str">
        <x:v>Upper East Side-Carnegie Hill</x:v>
      </x:c>
      <x:c r="F1335" s="31" t="n">
        <x:v>0.020059113133824035</x:v>
      </x:c>
      <x:c r="G1335" s="31" t="n">
        <x:v>40.77884100252035</x:v>
      </x:c>
      <x:c r="H1335" s="31" t="n">
        <x:v>-73.95607287538559</x:v>
      </x:c>
      <x:c r="I1335" s="31" t="n">
        <x:v>3221</x:v>
      </x:c>
      <x:c r="J1335" s="31" t="n">
        <x:v>160575.3942615086</x:v>
      </x:c>
      <x:c r="K1335" s="31"/>
      <x:c r="L1335" s="40"/>
      <x:c r="M1335" s="40"/>
      <x:c r="N1335" s="31" t="n">
        <x:v>44</x:v>
      </x:c>
      <x:c r="O1335" s="31" t="n">
        <x:v>1849</x:v>
      </x:c>
      <x:c r="P1335" s="31" t="n">
        <x:v>21.276180141074335</x:v>
      </x:c>
      <x:c r="Q1335" s="40" t="n">
        <x:v>0.7696051919956733</x:v>
      </x:c>
      <x:c r="R1335" s="40" t="n">
        <x:v>0.22714981070849108</x:v>
      </x:c>
      <x:c r="S1335" s="40" t="n">
        <x:v>0</x:v>
      </x:c>
      <x:c r="T1335" s="31" t="n">
        <x:v>222.00576539534885</x:v>
      </x:c>
      <x:c r="U1335" s="31" t="n">
        <x:v>368</x:v>
      </x:c>
      <x:c r="V1335" s="31" t="n">
        <x:v>65</x:v>
      </x:c>
      <x:c r="W1335" s="31" t="n">
        <x:v>20.180068301769637</x:v>
      </x:c>
      <x:c r="X1335" s="31" t="n">
        <x:v>1</x:v>
      </x:c>
      <x:c r="Y1335" s="40" t="n">
        <x:v>0</x:v>
      </x:c>
      <x:c r="Z1335" s="40" t="n">
        <x:v>1</x:v>
      </x:c>
      <x:c r="AA1335" s="40" t="n">
        <x:v>1</x:v>
      </x:c>
      <x:c r="AB1335" s="31" t="n">
        <x:v>0.13974387053135168</x:v>
      </x:c>
      <x:c r="AC1335" s="31" t="n">
        <x:v>8</x:v>
      </x:c>
      <x:c r="AD1335" s="44" t="b">
        <x:v>1</x:v>
      </x:c>
    </x:row>
    <x:row r="1336">
      <x:c r="A1336" s="31" t="str">
        <x:v>36061014802</x:v>
      </x:c>
      <x:c r="B1336" s="31" t="str">
        <x:v>Manhattan</x:v>
      </x:c>
      <x:c r="C1336" s="31" t="str">
        <x:v>014802</x:v>
      </x:c>
      <x:c r="D1336" s="31" t="str">
        <x:v>MN0802</x:v>
      </x:c>
      <x:c r="E1336" s="31" t="str">
        <x:v>Upper East Side-Carnegie Hill</x:v>
      </x:c>
      <x:c r="F1336" s="31" t="n">
        <x:v>0.04846306633953168</x:v>
      </x:c>
      <x:c r="G1336" s="31" t="n">
        <x:v>40.781092553975164</x:v>
      </x:c>
      <x:c r="H1336" s="31" t="n">
        <x:v>-73.95443073678867</x:v>
      </x:c>
      <x:c r="I1336" s="31" t="n">
        <x:v>7494</x:v>
      </x:c>
      <x:c r="J1336" s="31" t="n">
        <x:v>154633.22001742778</x:v>
      </x:c>
      <x:c r="K1336" s="31"/>
      <x:c r="L1336" s="40"/>
      <x:c r="M1336" s="40"/>
      <x:c r="N1336" s="31" t="n">
        <x:v>138</x:v>
      </x:c>
      <x:c r="O1336" s="31" t="n">
        <x:v>4288</x:v>
      </x:c>
      <x:c r="P1336" s="31" t="n">
        <x:v>13.57509328358209</x:v>
      </x:c>
      <x:c r="Q1336" s="40" t="n">
        <x:v>0.6270988805970149</x:v>
      </x:c>
      <x:c r="R1336" s="40" t="n">
        <x:v>0.3715018656716418</x:v>
      </x:c>
      <x:c r="S1336" s="40" t="n">
        <x:v>0</x:v>
      </x:c>
      <x:c r="T1336" s="31" t="n">
        <x:v>156.15598689500843</x:v>
      </x:c>
      <x:c r="U1336" s="31" t="n">
        <x:v>470</x:v>
      </x:c>
      <x:c r="V1336" s="31" t="n">
        <x:v>144</x:v>
      </x:c>
      <x:c r="W1336" s="31" t="n">
        <x:v>19.215372297838268</x:v>
      </x:c>
      <x:c r="X1336" s="31" t="n">
        <x:v>1</x:v>
      </x:c>
      <x:c r="Y1336" s="40" t="n">
        <x:v>0</x:v>
      </x:c>
      <x:c r="Z1336" s="40" t="n">
        <x:v>1</x:v>
      </x:c>
      <x:c r="AA1336" s="40" t="n">
        <x:v>0.9671175373134329</x:v>
      </x:c>
      <x:c r="AB1336" s="31" t="n">
        <x:v>0.06291426099412503</x:v>
      </x:c>
      <x:c r="AC1336" s="31" t="n">
        <x:v>9</x:v>
      </x:c>
      <x:c r="AD1336" s="44" t="b">
        <x:v>1</x:v>
      </x:c>
    </x:row>
    <x:row r="1337">
      <x:c r="A1337" s="31" t="str">
        <x:v>36061014900</x:v>
      </x:c>
      <x:c r="B1337" s="31" t="str">
        <x:v>Manhattan</x:v>
      </x:c>
      <x:c r="C1337" s="31" t="str">
        <x:v>014900</x:v>
      </x:c>
      <x:c r="D1337" s="31" t="str">
        <x:v>MN0701</x:v>
      </x:c>
      <x:c r="E1337" s="31" t="str">
        <x:v>Upper West Side-Lincoln Square</x:v>
      </x:c>
      <x:c r="F1337" s="31" t="n">
        <x:v>0.0674482824229511</x:v>
      </x:c>
      <x:c r="G1337" s="31" t="n">
        <x:v>40.77235141563252</x:v>
      </x:c>
      <x:c r="H1337" s="31" t="n">
        <x:v>-73.98248666851134</x:v>
      </x:c>
      <x:c r="I1337" s="31" t="n">
        <x:v>6351</x:v>
      </x:c>
      <x:c r="J1337" s="31" t="n">
        <x:v>94161.03378547858</x:v>
      </x:c>
      <x:c r="K1337" s="31"/>
      <x:c r="L1337" s="40"/>
      <x:c r="M1337" s="40"/>
      <x:c r="N1337" s="31" t="n">
        <x:v>35</x:v>
      </x:c>
      <x:c r="O1337" s="31" t="n">
        <x:v>4094</x:v>
      </x:c>
      <x:c r="P1337" s="31" t="n">
        <x:v>29.774792379091352</x:v>
      </x:c>
      <x:c r="Q1337" s="40" t="n">
        <x:v>0.881533952125061</x:v>
      </x:c>
      <x:c r="R1337" s="40" t="n">
        <x:v>0.11822178798241328</x:v>
      </x:c>
      <x:c r="S1337" s="40" t="n">
        <x:v>0</x:v>
      </x:c>
      <x:c r="T1337" s="31" t="n">
        <x:v>327.0169460053751</x:v>
      </x:c>
      <x:c r="U1337" s="31" t="n">
        <x:v>719</x:v>
      </x:c>
      <x:c r="V1337" s="31" t="n">
        <x:v>122</x:v>
      </x:c>
      <x:c r="W1337" s="31" t="n">
        <x:v>19.20957329554401</x:v>
      </x:c>
      <x:c r="X1337" s="31" t="n">
        <x:v>1</x:v>
      </x:c>
      <x:c r="Y1337" s="40" t="n">
        <x:v>0</x:v>
      </x:c>
      <x:c r="Z1337" s="40" t="n">
        <x:v>1</x:v>
      </x:c>
      <x:c r="AA1337" s="40" t="n">
        <x:v>0.9997557401074744</x:v>
      </x:c>
      <x:c r="AB1337" s="31" t="n">
        <x:v>0.14037819579463884</x:v>
      </x:c>
      <x:c r="AC1337" s="31" t="n">
        <x:v>6</x:v>
      </x:c>
      <x:c r="AD1337" s="44" t="b">
        <x:v>1</x:v>
      </x:c>
    </x:row>
    <x:row r="1338">
      <x:c r="A1338" s="31" t="str">
        <x:v>36061015001</x:v>
      </x:c>
      <x:c r="B1338" s="31" t="str">
        <x:v>Manhattan</x:v>
      </x:c>
      <x:c r="C1338" s="31" t="str">
        <x:v>015001</x:v>
      </x:c>
      <x:c r="D1338" s="31" t="str">
        <x:v>MN0802</x:v>
      </x:c>
      <x:c r="E1338" s="31" t="str">
        <x:v>Upper East Side-Carnegie Hill</x:v>
      </x:c>
      <x:c r="F1338" s="31" t="n">
        <x:v>0.01995647025521551</x:v>
      </x:c>
      <x:c r="G1338" s="31" t="n">
        <x:v>40.78019611523323</x:v>
      </x:c>
      <x:c r="H1338" s="31" t="n">
        <x:v>-73.95928354550792</x:v>
      </x:c>
      <x:c r="I1338" s="31" t="n">
        <x:v>2321</x:v>
      </x:c>
      <x:c r="J1338" s="31" t="n">
        <x:v>116303.13228329644</x:v>
      </x:c>
      <x:c r="K1338" s="31"/>
      <x:c r="L1338" s="40"/>
      <x:c r="M1338" s="40"/>
      <x:c r="N1338" s="31" t="n">
        <x:v>34</x:v>
      </x:c>
      <x:c r="O1338" s="31" t="n">
        <x:v>1389</x:v>
      </x:c>
      <x:c r="P1338" s="31" t="n">
        <x:v>15.512598992080633</x:v>
      </x:c>
      <x:c r="Q1338" s="40" t="n">
        <x:v>0.980561555075594</x:v>
      </x:c>
      <x:c r="R1338" s="40" t="n">
        <x:v>0.019438444924406047</x:v>
      </x:c>
      <x:c r="S1338" s="40" t="n">
        <x:v>0</x:v>
      </x:c>
      <x:c r="T1338" s="31" t="n">
        <x:v>175.78651669085633</x:v>
      </x:c>
      <x:c r="U1338" s="31" t="n">
        <x:v>318</x:v>
      </x:c>
      <x:c r="V1338" s="31" t="n">
        <x:v>81</x:v>
      </x:c>
      <x:c r="W1338" s="31" t="n">
        <x:v>34.89875053856097</x:v>
      </x:c>
      <x:c r="X1338" s="31" t="n">
        <x:v>1</x:v>
      </x:c>
      <x:c r="Y1338" s="40" t="n">
        <x:v>0</x:v>
      </x:c>
      <x:c r="Z1338" s="40" t="n">
        <x:v>1</x:v>
      </x:c>
      <x:c r="AA1338" s="40" t="n">
        <x:v>0.9920806335493161</x:v>
      </x:c>
      <x:c r="AB1338" s="31" t="n">
        <x:v>0.1851383095843389</x:v>
      </x:c>
      <x:c r="AC1338" s="31" t="n">
        <x:v>6</x:v>
      </x:c>
      <x:c r="AD1338" s="44" t="b">
        <x:v>1</x:v>
      </x:c>
    </x:row>
    <x:row r="1339">
      <x:c r="A1339" s="31" t="str">
        <x:v>36061015002</x:v>
      </x:c>
      <x:c r="B1339" s="31" t="str">
        <x:v>Manhattan</x:v>
      </x:c>
      <x:c r="C1339" s="31" t="str">
        <x:v>015002</x:v>
      </x:c>
      <x:c r="D1339" s="31" t="str">
        <x:v>MN0802</x:v>
      </x:c>
      <x:c r="E1339" s="31" t="str">
        <x:v>Upper East Side-Carnegie Hill</x:v>
      </x:c>
      <x:c r="F1339" s="31" t="n">
        <x:v>0.04850723751793504</x:v>
      </x:c>
      <x:c r="G1339" s="31" t="n">
        <x:v>40.782448095140246</x:v>
      </x:c>
      <x:c r="H1339" s="31" t="n">
        <x:v>-73.95764803650567</x:v>
      </x:c>
      <x:c r="I1339" s="31" t="n">
        <x:v>5642</x:v>
      </x:c>
      <x:c r="J1339" s="31" t="n">
        <x:v>116312.53991559363</x:v>
      </x:c>
      <x:c r="K1339" s="31"/>
      <x:c r="L1339" s="40"/>
      <x:c r="M1339" s="40"/>
      <x:c r="N1339" s="31" t="n">
        <x:v>75</x:v>
      </x:c>
      <x:c r="O1339" s="31" t="n">
        <x:v>3060</x:v>
      </x:c>
      <x:c r="P1339" s="31" t="n">
        <x:v>17.393627450980393</x:v>
      </x:c>
      <x:c r="Q1339" s="40" t="n">
        <x:v>0.9137254901960784</x:v>
      </x:c>
      <x:c r="R1339" s="40" t="n">
        <x:v>0.08627450980392157</x:v>
      </x:c>
      <x:c r="S1339" s="40" t="n">
        <x:v>0</x:v>
      </x:c>
      <x:c r="T1339" s="31" t="n">
        <x:v>197.72171569638235</x:v>
      </x:c>
      <x:c r="U1339" s="31" t="n">
        <x:v>430</x:v>
      </x:c>
      <x:c r="V1339" s="31" t="n">
        <x:v>171</x:v>
      </x:c>
      <x:c r="W1339" s="31" t="n">
        <x:v>30.30840127614321</x:v>
      </x:c>
      <x:c r="X1339" s="31" t="n">
        <x:v>1</x:v>
      </x:c>
      <x:c r="Y1339" s="40" t="n">
        <x:v>0</x:v>
      </x:c>
      <x:c r="Z1339" s="40" t="n">
        <x:v>1</x:v>
      </x:c>
      <x:c r="AA1339" s="40" t="n">
        <x:v>1</x:v>
      </x:c>
      <x:c r="AB1339" s="31" t="n">
        <x:v>0.15561051668687598</x:v>
      </x:c>
      <x:c r="AC1339" s="31" t="n">
        <x:v>6</x:v>
      </x:c>
      <x:c r="AD1339" s="44" t="b">
        <x:v>1</x:v>
      </x:c>
    </x:row>
    <x:row r="1340">
      <x:c r="A1340" s="31" t="str">
        <x:v>36061015101</x:v>
      </x:c>
      <x:c r="B1340" s="31" t="str">
        <x:v>Manhattan</x:v>
      </x:c>
      <x:c r="C1340" s="31" t="str">
        <x:v>015101</x:v>
      </x:c>
      <x:c r="D1340" s="31" t="str">
        <x:v>MN0701</x:v>
      </x:c>
      <x:c r="E1340" s="31" t="str">
        <x:v>Upper West Side-Lincoln Square</x:v>
      </x:c>
      <x:c r="F1340" s="31" t="n">
        <x:v>0.0423195971555039</x:v>
      </x:c>
      <x:c r="G1340" s="31" t="n">
        <x:v>40.773839632755994</x:v>
      </x:c>
      <x:c r="H1340" s="31" t="n">
        <x:v>-73.98697182751059</x:v>
      </x:c>
      <x:c r="I1340" s="31" t="n">
        <x:v>3756</x:v>
      </x:c>
      <x:c r="J1340" s="31" t="n">
        <x:v>88753.20779161791</x:v>
      </x:c>
      <x:c r="K1340" s="31"/>
      <x:c r="L1340" s="40"/>
      <x:c r="M1340" s="40"/>
      <x:c r="N1340" s="31" t="n">
        <x:v>9</x:v>
      </x:c>
      <x:c r="O1340" s="31" t="n">
        <x:v>1821</x:v>
      </x:c>
      <x:c r="P1340" s="31" t="n">
        <x:v>14.327841845140034</x:v>
      </x:c>
      <x:c r="Q1340" s="40" t="n">
        <x:v>0.7935200439319056</x:v>
      </x:c>
      <x:c r="R1340" s="40" t="n">
        <x:v>0.20647995606809447</x:v>
      </x:c>
      <x:c r="S1340" s="40" t="n">
        <x:v>0.5952773201537617</x:v>
      </x:c>
      <x:c r="T1340" s="31" t="n">
        <x:v>132.0502361339923</x:v>
      </x:c>
      <x:c r="U1340" s="31" t="n">
        <x:v>237.19</x:v>
      </x:c>
      <x:c r="V1340" s="31" t="n">
        <x:v>47</x:v>
      </x:c>
      <x:c r="W1340" s="31" t="n">
        <x:v>12.513312034078808</x:v>
      </x:c>
      <x:c r="X1340" s="31" t="n">
        <x:v>1</x:v>
      </x:c>
      <x:c r="Y1340" s="40" t="n">
        <x:v>0</x:v>
      </x:c>
      <x:c r="Z1340" s="40" t="n">
        <x:v>1</x:v>
      </x:c>
      <x:c r="AA1340" s="40" t="n">
        <x:v>1</x:v>
      </x:c>
      <x:c r="AB1340" s="31" t="n">
        <x:v>0.058451472872608164</x:v>
      </x:c>
      <x:c r="AC1340" s="31" t="n">
        <x:v>7</x:v>
      </x:c>
      <x:c r="AD1340" s="44" t="b">
        <x:v>1</x:v>
      </x:c>
    </x:row>
    <x:row r="1341">
      <x:c r="A1341" s="31" t="str">
        <x:v>36061015102</x:v>
      </x:c>
      <x:c r="B1341" s="31" t="str">
        <x:v>Manhattan</x:v>
      </x:c>
      <x:c r="C1341" s="31" t="str">
        <x:v>015102</x:v>
      </x:c>
      <x:c r="D1341" s="31" t="str">
        <x:v>MN0701</x:v>
      </x:c>
      <x:c r="E1341" s="31" t="str">
        <x:v>Upper West Side-Lincoln Square</x:v>
      </x:c>
      <x:c r="F1341" s="31" t="n">
        <x:v>0.08578301286085285</x:v>
      </x:c>
      <x:c r="G1341" s="31" t="n">
        <x:v>40.774297064508026</x:v>
      </x:c>
      <x:c r="H1341" s="31" t="n">
        <x:v>-73.99089791157074</x:v>
      </x:c>
      <x:c r="I1341" s="31" t="n">
        <x:v>8254</x:v>
      </x:c>
      <x:c r="J1341" s="31" t="n">
        <x:v>96219.51625071354</x:v>
      </x:c>
      <x:c r="K1341" s="31"/>
      <x:c r="L1341" s="40"/>
      <x:c r="M1341" s="40"/>
      <x:c r="N1341" s="31" t="n">
        <x:v>14</x:v>
      </x:c>
      <x:c r="O1341" s="31" t="n">
        <x:v>5468</x:v>
      </x:c>
      <x:c r="P1341" s="31" t="n">
        <x:v>35.43800292611558</x:v>
      </x:c>
      <x:c r="Q1341" s="40" t="n">
        <x:v>1</x:v>
      </x:c>
      <x:c r="R1341" s="40" t="n">
        <x:v>0</x:v>
      </x:c>
      <x:c r="S1341" s="40" t="n">
        <x:v>0</x:v>
      </x:c>
      <x:c r="T1341" s="31" t="n">
        <x:v>388.03369560696234</x:v>
      </x:c>
      <x:c r="U1341" s="31" t="n">
        <x:v>528</x:v>
      </x:c>
      <x:c r="V1341" s="31" t="n">
        <x:v>106</x:v>
      </x:c>
      <x:c r="W1341" s="31" t="n">
        <x:v>12.842258299006541</x:v>
      </x:c>
      <x:c r="X1341" s="31" t="n">
        <x:v>1.039319678127286</x:v>
      </x:c>
      <x:c r="Y1341" s="40" t="n">
        <x:v>0</x:v>
      </x:c>
      <x:c r="Z1341" s="40" t="n">
        <x:v>1</x:v>
      </x:c>
      <x:c r="AA1341" s="40" t="n">
        <x:v>1</x:v>
      </x:c>
      <x:c r="AB1341" s="31" t="n">
        <x:v>0.10912453744233444</x:v>
      </x:c>
      <x:c r="AC1341" s="31" t="n">
        <x:v>5</x:v>
      </x:c>
      <x:c r="AD1341" s="44" t="b">
        <x:v>1</x:v>
      </x:c>
    </x:row>
    <x:row r="1342">
      <x:c r="A1342" s="31" t="str">
        <x:v>36061015200</x:v>
      </x:c>
      <x:c r="B1342" s="31" t="str">
        <x:v>Manhattan</x:v>
      </x:c>
      <x:c r="C1342" s="31" t="str">
        <x:v>015200</x:v>
      </x:c>
      <x:c r="D1342" s="31" t="str">
        <x:v>MN0803</x:v>
      </x:c>
      <x:c r="E1342" s="31" t="str">
        <x:v>Upper East Side-Yorkville</x:v>
      </x:c>
      <x:c r="F1342" s="31" t="n">
        <x:v>0.07043734872661271</x:v>
      </x:c>
      <x:c r="G1342" s="31" t="n">
        <x:v>40.77975381768412</x:v>
      </x:c>
      <x:c r="H1342" s="31" t="n">
        <x:v>-73.94446784456869</x:v>
      </x:c>
      <x:c r="I1342" s="31" t="n">
        <x:v>7730</x:v>
      </x:c>
      <x:c r="J1342" s="31" t="n">
        <x:v>109742.9153672765</x:v>
      </x:c>
      <x:c r="K1342" s="31"/>
      <x:c r="L1342" s="40"/>
      <x:c r="M1342" s="40"/>
      <x:c r="N1342" s="31" t="n">
        <x:v>40</x:v>
      </x:c>
      <x:c r="O1342" s="31" t="n">
        <x:v>4077</x:v>
      </x:c>
      <x:c r="P1342" s="31" t="n">
        <x:v>22.64876134412558</x:v>
      </x:c>
      <x:c r="Q1342" s="40" t="n">
        <x:v>0.8025508952661271</x:v>
      </x:c>
      <x:c r="R1342" s="40" t="n">
        <x:v>0.19744910473387295</x:v>
      </x:c>
      <x:c r="S1342" s="40" t="n">
        <x:v>0.16212901643365218</x:v>
      </x:c>
      <x:c r="T1342" s="31" t="n">
        <x:v>214.6473902331126</x:v>
      </x:c>
      <x:c r="U1342" s="31" t="n">
        <x:v>360.56985766</x:v>
      </x:c>
      <x:c r="V1342" s="31" t="n">
        <x:v>57</x:v>
      </x:c>
      <x:c r="W1342" s="31" t="n">
        <x:v>7.373868046571798</x:v>
      </x:c>
      <x:c r="X1342" s="31" t="n">
        <x:v>1</x:v>
      </x:c>
      <x:c r="Y1342" s="40" t="n">
        <x:v>0</x:v>
      </x:c>
      <x:c r="Z1342" s="40" t="n">
        <x:v>1</x:v>
      </x:c>
      <x:c r="AA1342" s="40" t="n">
        <x:v>1</x:v>
      </x:c>
      <x:c r="AB1342" s="31" t="n">
        <x:v>0.10250130965860743</x:v>
      </x:c>
      <x:c r="AC1342" s="31" t="n">
        <x:v>7</x:v>
      </x:c>
      <x:c r="AD1342" s="44" t="b">
        <x:v>1</x:v>
      </x:c>
    </x:row>
    <x:row r="1343">
      <x:c r="A1343" s="31" t="str">
        <x:v>36061015301</x:v>
      </x:c>
      <x:c r="B1343" s="31" t="str">
        <x:v>Manhattan</x:v>
      </x:c>
      <x:c r="C1343" s="31" t="str">
        <x:v>015301</x:v>
      </x:c>
      <x:c r="D1343" s="31" t="str">
        <x:v>MN0701</x:v>
      </x:c>
      <x:c r="E1343" s="31" t="str">
        <x:v>Upper West Side-Lincoln Square</x:v>
      </x:c>
      <x:c r="F1343" s="31" t="n">
        <x:v>0.033538027718376946</x:v>
      </x:c>
      <x:c r="G1343" s="31" t="n">
        <x:v>40.774261876775284</x:v>
      </x:c>
      <x:c r="H1343" s="31" t="n">
        <x:v>-73.97924062925487</x:v>
      </x:c>
      <x:c r="I1343" s="31" t="n">
        <x:v>3684</x:v>
      </x:c>
      <x:c r="J1343" s="31" t="n">
        <x:v>109845.45754851816</x:v>
      </x:c>
      <x:c r="K1343" s="31"/>
      <x:c r="L1343" s="40"/>
      <x:c r="M1343" s="40"/>
      <x:c r="N1343" s="31" t="n">
        <x:v>127</x:v>
      </x:c>
      <x:c r="O1343" s="31" t="n">
        <x:v>2482</x:v>
      </x:c>
      <x:c r="P1343" s="31" t="n">
        <x:v>11.788477034649476</x:v>
      </x:c>
      <x:c r="Q1343" s="40" t="n">
        <x:v>0.6188557614826753</x:v>
      </x:c>
      <x:c r="R1343" s="40" t="n">
        <x:v>0.3807413376309428</x:v>
      </x:c>
      <x:c r="S1343" s="40" t="n">
        <x:v>0.03424657534246575</x:v>
      </x:c>
      <x:c r="T1343" s="31" t="n">
        <x:v>135.67115706696615</x:v>
      </x:c>
      <x:c r="U1343" s="31" t="n">
        <x:v>305</x:v>
      </x:c>
      <x:c r="V1343" s="31" t="n">
        <x:v>80</x:v>
      </x:c>
      <x:c r="W1343" s="31" t="n">
        <x:v>21.715526601520086</x:v>
      </x:c>
      <x:c r="X1343" s="31" t="n">
        <x:v>1</x:v>
      </x:c>
      <x:c r="Y1343" s="40" t="n">
        <x:v>0</x:v>
      </x:c>
      <x:c r="Z1343" s="40" t="n">
        <x:v>1</x:v>
      </x:c>
      <x:c r="AA1343" s="40" t="n">
        <x:v>1</x:v>
      </x:c>
      <x:c r="AB1343" s="31" t="n">
        <x:v>0.20739654919387307</x:v>
      </x:c>
      <x:c r="AC1343" s="31" t="n">
        <x:v>4</x:v>
      </x:c>
      <x:c r="AD1343" s="44" t="b">
        <x:v>1</x:v>
      </x:c>
    </x:row>
    <x:row r="1344">
      <x:c r="A1344" s="31" t="str">
        <x:v>36061015302</x:v>
      </x:c>
      <x:c r="B1344" s="31" t="str">
        <x:v>Manhattan</x:v>
      </x:c>
      <x:c r="C1344" s="31" t="str">
        <x:v>015302</x:v>
      </x:c>
      <x:c r="D1344" s="31" t="str">
        <x:v>MN0701</x:v>
      </x:c>
      <x:c r="E1344" s="31" t="str">
        <x:v>Upper West Side-Lincoln Square</x:v>
      </x:c>
      <x:c r="F1344" s="31" t="n">
        <x:v>0.03366244717989555</x:v>
      </x:c>
      <x:c r="G1344" s="31" t="n">
        <x:v>40.77545252973208</x:v>
      </x:c>
      <x:c r="H1344" s="31" t="n">
        <x:v>-73.98208084572407</x:v>
      </x:c>
      <x:c r="I1344" s="31" t="n">
        <x:v>6032</x:v>
      </x:c>
      <x:c r="J1344" s="31" t="n">
        <x:v>179190.77504271682</x:v>
      </x:c>
      <x:c r="K1344" s="31"/>
      <x:c r="L1344" s="40"/>
      <x:c r="M1344" s="40"/>
      <x:c r="N1344" s="31" t="n">
        <x:v>62</x:v>
      </x:c>
      <x:c r="O1344" s="31" t="n">
        <x:v>4098</x:v>
      </x:c>
      <x:c r="P1344" s="31" t="n">
        <x:v>25.99219131283553</x:v>
      </x:c>
      <x:c r="Q1344" s="40" t="n">
        <x:v>0.8596876525134212</x:v>
      </x:c>
      <x:c r="R1344" s="40" t="n">
        <x:v>0.1403123474865788</x:v>
      </x:c>
      <x:c r="S1344" s="40" t="n">
        <x:v>0</x:v>
      </x:c>
      <x:c r="T1344" s="31" t="n">
        <x:v>261.3585261102977</x:v>
      </x:c>
      <x:c r="U1344" s="31" t="n">
        <x:v>536</x:v>
      </x:c>
      <x:c r="V1344" s="31" t="n">
        <x:v>98</x:v>
      </x:c>
      <x:c r="W1344" s="31" t="n">
        <x:v>16.246684350132625</x:v>
      </x:c>
      <x:c r="X1344" s="31" t="n">
        <x:v>1</x:v>
      </x:c>
      <x:c r="Y1344" s="40" t="n">
        <x:v>0</x:v>
      </x:c>
      <x:c r="Z1344" s="40" t="n">
        <x:v>1</x:v>
      </x:c>
      <x:c r="AA1344" s="40" t="n">
        <x:v>1</x:v>
      </x:c>
      <x:c r="AB1344" s="31" t="n">
        <x:v>0.04852277230110777</x:v>
      </x:c>
      <x:c r="AC1344" s="31" t="n">
        <x:v>6</x:v>
      </x:c>
      <x:c r="AD1344" s="44" t="b">
        <x:v>1</x:v>
      </x:c>
    </x:row>
    <x:row r="1345">
      <x:c r="A1345" s="31" t="str">
        <x:v>36061015401</x:v>
      </x:c>
      <x:c r="B1345" s="31" t="str">
        <x:v>Manhattan</x:v>
      </x:c>
      <x:c r="C1345" s="31" t="str">
        <x:v>015401</x:v>
      </x:c>
      <x:c r="D1345" s="31" t="str">
        <x:v>MN0803</x:v>
      </x:c>
      <x:c r="E1345" s="31" t="str">
        <x:v>Upper East Side-Yorkville</x:v>
      </x:c>
      <x:c r="F1345" s="31" t="n">
        <x:v>0.027369565214502987</x:v>
      </x:c>
      <x:c r="G1345" s="31" t="n">
        <x:v>40.78040817752335</x:v>
      </x:c>
      <x:c r="H1345" s="31" t="n">
        <x:v>-73.94981414862823</x:v>
      </x:c>
      <x:c r="I1345" s="31" t="n">
        <x:v>5189</x:v>
      </x:c>
      <x:c r="J1345" s="31" t="n">
        <x:v>189590.15093343085</x:v>
      </x:c>
      <x:c r="K1345" s="31"/>
      <x:c r="L1345" s="40"/>
      <x:c r="M1345" s="40"/>
      <x:c r="N1345" s="31" t="n">
        <x:v>108</x:v>
      </x:c>
      <x:c r="O1345" s="31" t="n">
        <x:v>3177</x:v>
      </x:c>
      <x:c r="P1345" s="31" t="n">
        <x:v>15.115989927604659</x:v>
      </x:c>
      <x:c r="Q1345" s="40" t="n">
        <x:v>0.34781240163676425</x:v>
      </x:c>
      <x:c r="R1345" s="40" t="n">
        <x:v>0.6521875983632358</x:v>
      </x:c>
      <x:c r="S1345" s="40" t="n">
        <x:v>0.009442870632672332</x:v>
      </x:c>
      <x:c r="T1345" s="31" t="n">
        <x:v>135.1692502920082</x:v>
      </x:c>
      <x:c r="U1345" s="31" t="n">
        <x:v>313</x:v>
      </x:c>
      <x:c r="V1345" s="31" t="n">
        <x:v>32</x:v>
      </x:c>
      <x:c r="W1345" s="31" t="n">
        <x:v>6.16689150125265</x:v>
      </x:c>
      <x:c r="X1345" s="31" t="n">
        <x:v>1</x:v>
      </x:c>
      <x:c r="Y1345" s="40" t="n">
        <x:v>0</x:v>
      </x:c>
      <x:c r="Z1345" s="40" t="n">
        <x:v>1</x:v>
      </x:c>
      <x:c r="AA1345" s="40" t="n">
        <x:v>1</x:v>
      </x:c>
      <x:c r="AB1345" s="31" t="n">
        <x:v>0.10372673737722422</x:v>
      </x:c>
      <x:c r="AC1345" s="31" t="n">
        <x:v>7</x:v>
      </x:c>
      <x:c r="AD1345" s="44" t="b">
        <x:v>1</x:v>
      </x:c>
    </x:row>
    <x:row r="1346">
      <x:c r="A1346" s="31" t="str">
        <x:v>36061015402</x:v>
      </x:c>
      <x:c r="B1346" s="31" t="str">
        <x:v>Manhattan</x:v>
      </x:c>
      <x:c r="C1346" s="31" t="str">
        <x:v>015402</x:v>
      </x:c>
      <x:c r="D1346" s="31" t="str">
        <x:v>MN0803</x:v>
      </x:c>
      <x:c r="E1346" s="31" t="str">
        <x:v>Upper East Side-Yorkville</x:v>
      </x:c>
      <x:c r="F1346" s="31" t="n">
        <x:v>0.021179098670906508</x:v>
      </x:c>
      <x:c r="G1346" s="31" t="n">
        <x:v>40.78150488021243</x:v>
      </x:c>
      <x:c r="H1346" s="31" t="n">
        <x:v>-73.9475473778341</x:v>
      </x:c>
      <x:c r="I1346" s="31" t="n">
        <x:v>4503</x:v>
      </x:c>
      <x:c r="J1346" s="31" t="n">
        <x:v>212615.28028035117</x:v>
      </x:c>
      <x:c r="K1346" s="31"/>
      <x:c r="L1346" s="40"/>
      <x:c r="M1346" s="40"/>
      <x:c r="N1346" s="31" t="n">
        <x:v>93</x:v>
      </x:c>
      <x:c r="O1346" s="31" t="n">
        <x:v>2823</x:v>
      </x:c>
      <x:c r="P1346" s="31" t="n">
        <x:v>18.441374424371237</x:v>
      </x:c>
      <x:c r="Q1346" s="40" t="n">
        <x:v>0.4895501239815799</x:v>
      </x:c>
      <x:c r="R1346" s="40" t="n">
        <x:v>0.5104498760184201</x:v>
      </x:c>
      <x:c r="S1346" s="40" t="n">
        <x:v>0</x:v>
      </x:c>
      <x:c r="T1346" s="31" t="n">
        <x:v>187.5554033359724</x:v>
      </x:c>
      <x:c r="U1346" s="31" t="n">
        <x:v>447</x:v>
      </x:c>
      <x:c r="V1346" s="31" t="n">
        <x:v>29</x:v>
      </x:c>
      <x:c r="W1346" s="31" t="n">
        <x:v>6.440151010437486</x:v>
      </x:c>
      <x:c r="X1346" s="31" t="n">
        <x:v>1</x:v>
      </x:c>
      <x:c r="Y1346" s="40" t="n">
        <x:v>0</x:v>
      </x:c>
      <x:c r="Z1346" s="40" t="n">
        <x:v>1</x:v>
      </x:c>
      <x:c r="AA1346" s="40" t="n">
        <x:v>1</x:v>
      </x:c>
      <x:c r="AB1346" s="31" t="n">
        <x:v>0.0604795788078553</x:v>
      </x:c>
      <x:c r="AC1346" s="31" t="n">
        <x:v>4</x:v>
      </x:c>
      <x:c r="AD1346" s="44" t="b">
        <x:v>1</x:v>
      </x:c>
    </x:row>
    <x:row r="1347">
      <x:c r="A1347" s="31" t="str">
        <x:v>36061015403</x:v>
      </x:c>
      <x:c r="B1347" s="31" t="str">
        <x:v>Manhattan</x:v>
      </x:c>
      <x:c r="C1347" s="31" t="str">
        <x:v>015403</x:v>
      </x:c>
      <x:c r="D1347" s="31" t="str">
        <x:v>MN0803</x:v>
      </x:c>
      <x:c r="E1347" s="31" t="str">
        <x:v>Upper East Side-Yorkville</x:v>
      </x:c>
      <x:c r="F1347" s="31" t="n">
        <x:v>0.01993526614938447</x:v>
      </x:c>
      <x:c r="G1347" s="31" t="n">
        <x:v>40.78247580145134</x:v>
      </x:c>
      <x:c r="H1347" s="31" t="n">
        <x:v>-73.94985218257595</x:v>
      </x:c>
      <x:c r="I1347" s="31" t="n">
        <x:v>5738</x:v>
      </x:c>
      <x:c r="J1347" s="31" t="n">
        <x:v>287831.6224625458</x:v>
      </x:c>
      <x:c r="K1347" s="31"/>
      <x:c r="L1347" s="40"/>
      <x:c r="M1347" s="40"/>
      <x:c r="N1347" s="31" t="n">
        <x:v>8</x:v>
      </x:c>
      <x:c r="O1347" s="31" t="n">
        <x:v>2959</x:v>
      </x:c>
      <x:c r="P1347" s="31" t="n">
        <x:v>33.10982658959538</x:v>
      </x:c>
      <x:c r="Q1347" s="40" t="n">
        <x:v>0.7289624873267996</x:v>
      </x:c>
      <x:c r="R1347" s="40" t="n">
        <x:v>0.03109158499493072</x:v>
      </x:c>
      <x:c r="S1347" s="40" t="n">
        <x:v>0.31767489016559647</x:v>
      </x:c>
      <x:c r="T1347" s="31" t="n">
        <x:v>343.01832508824606</x:v>
      </x:c>
      <x:c r="U1347" s="31" t="n">
        <x:v>424</x:v>
      </x:c>
      <x:c r="V1347" s="31" t="n">
        <x:v>46</x:v>
      </x:c>
      <x:c r="W1347" s="31" t="n">
        <x:v>8.01673056814221</x:v>
      </x:c>
      <x:c r="X1347" s="31" t="n">
        <x:v>1</x:v>
      </x:c>
      <x:c r="Y1347" s="40" t="n">
        <x:v>0</x:v>
      </x:c>
      <x:c r="Z1347" s="40" t="n">
        <x:v>1</x:v>
      </x:c>
      <x:c r="AA1347" s="40" t="n">
        <x:v>1</x:v>
      </x:c>
      <x:c r="AB1347" s="31" t="n">
        <x:v>0.16285588774763826</x:v>
      </x:c>
      <x:c r="AC1347" s="31" t="n">
        <x:v>5</x:v>
      </x:c>
      <x:c r="AD1347" s="44" t="b">
        <x:v>1</x:v>
      </x:c>
    </x:row>
    <x:row r="1348">
      <x:c r="A1348" s="31" t="str">
        <x:v>36061015501</x:v>
      </x:c>
      <x:c r="B1348" s="31" t="str">
        <x:v>Manhattan</x:v>
      </x:c>
      <x:c r="C1348" s="31" t="str">
        <x:v>015501</x:v>
      </x:c>
      <x:c r="D1348" s="31" t="str">
        <x:v>MN0701</x:v>
      </x:c>
      <x:c r="E1348" s="31" t="str">
        <x:v>Upper West Side-Lincoln Square</x:v>
      </x:c>
      <x:c r="F1348" s="31" t="n">
        <x:v>0.033296944526048845</x:v>
      </x:c>
      <x:c r="G1348" s="31" t="n">
        <x:v>40.77665095633588</x:v>
      </x:c>
      <x:c r="H1348" s="31" t="n">
        <x:v>-73.98491821084151</x:v>
      </x:c>
      <x:c r="I1348" s="31" t="n">
        <x:v>5091</x:v>
      </x:c>
      <x:c r="J1348" s="31" t="n">
        <x:v>152896.91208805097</x:v>
      </x:c>
      <x:c r="K1348" s="31"/>
      <x:c r="L1348" s="40"/>
      <x:c r="M1348" s="40"/>
      <x:c r="N1348" s="31" t="n">
        <x:v>11</x:v>
      </x:c>
      <x:c r="O1348" s="31" t="n">
        <x:v>3687</x:v>
      </x:c>
      <x:c r="P1348" s="31" t="n">
        <x:v>28.6788717114185</x:v>
      </x:c>
      <x:c r="Q1348" s="40" t="n">
        <x:v>1</x:v>
      </x:c>
      <x:c r="R1348" s="40" t="n">
        <x:v>0</x:v>
      </x:c>
      <x:c r="S1348" s="40" t="n">
        <x:v>0</x:v>
      </x:c>
      <x:c r="T1348" s="31" t="n">
        <x:v>281.0815708865473</x:v>
      </x:c>
      <x:c r="U1348" s="31" t="n">
        <x:v>668</x:v>
      </x:c>
      <x:c r="V1348" s="31" t="n">
        <x:v>58</x:v>
      </x:c>
      <x:c r="W1348" s="31" t="n">
        <x:v>11.392653702612453</x:v>
      </x:c>
      <x:c r="X1348" s="31" t="n">
        <x:v>1</x:v>
      </x:c>
      <x:c r="Y1348" s="40" t="n">
        <x:v>0</x:v>
      </x:c>
      <x:c r="Z1348" s="40" t="n">
        <x:v>1</x:v>
      </x:c>
      <x:c r="AA1348" s="40" t="n">
        <x:v>1</x:v>
      </x:c>
      <x:c r="AB1348" s="31" t="n">
        <x:v>0.0779462501708756</x:v>
      </x:c>
      <x:c r="AC1348" s="31" t="n">
        <x:v>7</x:v>
      </x:c>
      <x:c r="AD1348" s="44" t="b">
        <x:v>1</x:v>
      </x:c>
    </x:row>
    <x:row r="1349">
      <x:c r="A1349" s="31" t="str">
        <x:v>36061015502</x:v>
      </x:c>
      <x:c r="B1349" s="31" t="str">
        <x:v>Manhattan</x:v>
      </x:c>
      <x:c r="C1349" s="31" t="str">
        <x:v>015502</x:v>
      </x:c>
      <x:c r="D1349" s="31" t="str">
        <x:v>MN0701</x:v>
      </x:c>
      <x:c r="E1349" s="31" t="str">
        <x:v>Upper West Side-Lincoln Square</x:v>
      </x:c>
      <x:c r="F1349" s="31" t="n">
        <x:v>0.03972701040124254</x:v>
      </x:c>
      <x:c r="G1349" s="31" t="n">
        <x:v>40.778003198447934</x:v>
      </x:c>
      <x:c r="H1349" s="31" t="n">
        <x:v>-73.9880723096555</x:v>
      </x:c>
      <x:c r="I1349" s="31" t="n">
        <x:v>5759</x:v>
      </x:c>
      <x:c r="J1349" s="31" t="n">
        <x:v>144964.34395224153</x:v>
      </x:c>
      <x:c r="K1349" s="31"/>
      <x:c r="L1349" s="40"/>
      <x:c r="M1349" s="40"/>
      <x:c r="N1349" s="31" t="n">
        <x:v>8</x:v>
      </x:c>
      <x:c r="O1349" s="31" t="n">
        <x:v>3480</x:v>
      </x:c>
      <x:c r="P1349" s="31" t="n">
        <x:v>31.110632183908045</x:v>
      </x:c>
      <x:c r="Q1349" s="40" t="n">
        <x:v>1</x:v>
      </x:c>
      <x:c r="R1349" s="40" t="n">
        <x:v>0</x:v>
      </x:c>
      <x:c r="S1349" s="40" t="n">
        <x:v>0</x:v>
      </x:c>
      <x:c r="T1349" s="31" t="n">
        <x:v>309.304566091954</x:v>
      </x:c>
      <x:c r="U1349" s="31" t="n">
        <x:v>486</x:v>
      </x:c>
      <x:c r="V1349" s="31" t="n">
        <x:v>48</x:v>
      </x:c>
      <x:c r="W1349" s="31" t="n">
        <x:v>8.334780343809689</x:v>
      </x:c>
      <x:c r="X1349" s="31" t="n">
        <x:v>1</x:v>
      </x:c>
      <x:c r="Y1349" s="40" t="n">
        <x:v>0</x:v>
      </x:c>
      <x:c r="Z1349" s="40" t="n">
        <x:v>1</x:v>
      </x:c>
      <x:c r="AA1349" s="40" t="n">
        <x:v>1</x:v>
      </x:c>
      <x:c r="AB1349" s="31" t="n">
        <x:v>0.17574783670802652</x:v>
      </x:c>
      <x:c r="AC1349" s="31" t="n">
        <x:v>4</x:v>
      </x:c>
      <x:c r="AD1349" s="44" t="b">
        <x:v>1</x:v>
      </x:c>
    </x:row>
    <x:row r="1350">
      <x:c r="A1350" s="31" t="str">
        <x:v>36061015601</x:v>
      </x:c>
      <x:c r="B1350" s="31" t="str">
        <x:v>Manhattan</x:v>
      </x:c>
      <x:c r="C1350" s="31" t="str">
        <x:v>015601</x:v>
      </x:c>
      <x:c r="D1350" s="31" t="str">
        <x:v>MN0803</x:v>
      </x:c>
      <x:c r="E1350" s="31" t="str">
        <x:v>Upper East Side-Yorkville</x:v>
      </x:c>
      <x:c r="F1350" s="31" t="n">
        <x:v>0.02840682416232639</x:v>
      </x:c>
      <x:c r="G1350" s="31" t="n">
        <x:v>40.78356863137186</x:v>
      </x:c>
      <x:c r="H1350" s="31" t="n">
        <x:v>-73.94750229070698</x:v>
      </x:c>
      <x:c r="I1350" s="31" t="n">
        <x:v>5568</x:v>
      </x:c>
      <x:c r="J1350" s="31" t="n">
        <x:v>196009.23947649085</x:v>
      </x:c>
      <x:c r="K1350" s="31"/>
      <x:c r="L1350" s="40"/>
      <x:c r="M1350" s="40"/>
      <x:c r="N1350" s="31" t="n">
        <x:v>58</x:v>
      </x:c>
      <x:c r="O1350" s="31" t="n">
        <x:v>3264</x:v>
      </x:c>
      <x:c r="P1350" s="31" t="n">
        <x:v>22.48651960784314</x:v>
      </x:c>
      <x:c r="Q1350" s="40" t="n">
        <x:v>0.6776960784313726</x:v>
      </x:c>
      <x:c r="R1350" s="40" t="n">
        <x:v>0.32230392156862747</x:v>
      </x:c>
      <x:c r="S1350" s="40" t="n">
        <x:v>0.35202205882352944</x:v>
      </x:c>
      <x:c r="T1350" s="31" t="n">
        <x:v>241.5789948564303</x:v>
      </x:c>
      <x:c r="U1350" s="31" t="n">
        <x:v>397.94885424</x:v>
      </x:c>
      <x:c r="V1350" s="31" t="n">
        <x:v>41</x:v>
      </x:c>
      <x:c r="W1350" s="31" t="n">
        <x:v>7.363505747126436</x:v>
      </x:c>
      <x:c r="X1350" s="31" t="n">
        <x:v>1</x:v>
      </x:c>
      <x:c r="Y1350" s="40" t="n">
        <x:v>0</x:v>
      </x:c>
      <x:c r="Z1350" s="40" t="n">
        <x:v>1</x:v>
      </x:c>
      <x:c r="AA1350" s="40" t="n">
        <x:v>0.9938725490196079</x:v>
      </x:c>
      <x:c r="AB1350" s="31" t="n">
        <x:v>0.08363652702096595</x:v>
      </x:c>
      <x:c r="AC1350" s="31" t="n">
        <x:v>7</x:v>
      </x:c>
      <x:c r="AD1350" s="44" t="b">
        <x:v>1</x:v>
      </x:c>
    </x:row>
    <x:row r="1351">
      <x:c r="A1351" s="31" t="str">
        <x:v>36061015602</x:v>
      </x:c>
      <x:c r="B1351" s="31" t="str">
        <x:v>Manhattan</x:v>
      </x:c>
      <x:c r="C1351" s="31" t="str">
        <x:v>015602</x:v>
      </x:c>
      <x:c r="D1351" s="31" t="str">
        <x:v>MN1101</x:v>
      </x:c>
      <x:c r="E1351" s="31" t="str">
        <x:v>East Harlem (South)</x:v>
      </x:c>
      <x:c r="F1351" s="31" t="n">
        <x:v>0.04196474987517217</x:v>
      </x:c>
      <x:c r="G1351" s="31" t="n">
        <x:v>40.785181637021466</x:v>
      </x:c>
      <x:c r="H1351" s="31" t="n">
        <x:v>-73.94632434868998</x:v>
      </x:c>
      <x:c r="I1351" s="31" t="n">
        <x:v>2154</x:v>
      </x:c>
      <x:c r="J1351" s="31" t="n">
        <x:v>51328.79396177177</x:v>
      </x:c>
      <x:c r="K1351" s="31"/>
      <x:c r="L1351" s="40"/>
      <x:c r="M1351" s="40"/>
      <x:c r="N1351" s="31" t="n">
        <x:v>15</x:v>
      </x:c>
      <x:c r="O1351" s="31" t="n">
        <x:v>1982</x:v>
      </x:c>
      <x:c r="P1351" s="31" t="n">
        <x:v>19.20988900100908</x:v>
      </x:c>
      <x:c r="Q1351" s="40" t="n">
        <x:v>0.9041372351160444</x:v>
      </x:c>
      <x:c r="R1351" s="40" t="n">
        <x:v>0.0958627648839556</x:v>
      </x:c>
      <x:c r="S1351" s="40" t="n">
        <x:v>0.6553985872855701</x:v>
      </x:c>
      <x:c r="T1351" s="31" t="n">
        <x:v>215.55224738594347</x:v>
      </x:c>
      <x:c r="U1351" s="31" t="n">
        <x:v>426</x:v>
      </x:c>
      <x:c r="V1351" s="31" t="n">
        <x:v>31</x:v>
      </x:c>
      <x:c r="W1351" s="31" t="n">
        <x:v>14.391829155060353</x:v>
      </x:c>
      <x:c r="X1351" s="31" t="n">
        <x:v>3.0630676084762865</x:v>
      </x:c>
      <x:c r="Y1351" s="40" t="n">
        <x:v>0.6876892028254289</x:v>
      </x:c>
      <x:c r="Z1351" s="40" t="n">
        <x:v>1</x:v>
      </x:c>
      <x:c r="AA1351" s="40" t="n">
        <x:v>1</x:v>
      </x:c>
      <x:c r="AB1351" s="31" t="n">
        <x:v>0.06836588839138466</x:v>
      </x:c>
      <x:c r="AC1351" s="31" t="n">
        <x:v>7</x:v>
      </x:c>
      <x:c r="AD1351" s="44" t="b">
        <x:v>1</x:v>
      </x:c>
    </x:row>
    <x:row r="1352">
      <x:c r="A1352" s="31" t="str">
        <x:v>36061015700</x:v>
      </x:c>
      <x:c r="B1352" s="31" t="str">
        <x:v>Manhattan</x:v>
      </x:c>
      <x:c r="C1352" s="31" t="str">
        <x:v>015700</x:v>
      </x:c>
      <x:c r="D1352" s="31" t="str">
        <x:v>MN0701</x:v>
      </x:c>
      <x:c r="E1352" s="31" t="str">
        <x:v>Upper West Side-Lincoln Square</x:v>
      </x:c>
      <x:c r="F1352" s="31" t="n">
        <x:v>0.07025463226906853</x:v>
      </x:c>
      <x:c r="G1352" s="31" t="n">
        <x:v>40.77741706590176</x:v>
      </x:c>
      <x:c r="H1352" s="31" t="n">
        <x:v>-73.9787860288962</x:v>
      </x:c>
      <x:c r="I1352" s="31" t="n">
        <x:v>11197</x:v>
      </x:c>
      <x:c r="J1352" s="31" t="n">
        <x:v>159377.39104685027</x:v>
      </x:c>
      <x:c r="K1352" s="31"/>
      <x:c r="L1352" s="40"/>
      <x:c r="M1352" s="40"/>
      <x:c r="N1352" s="31" t="n">
        <x:v>298</x:v>
      </x:c>
      <x:c r="O1352" s="31" t="n">
        <x:v>7409</x:v>
      </x:c>
      <x:c r="P1352" s="31" t="n">
        <x:v>13.113645566203266</x:v>
      </x:c>
      <x:c r="Q1352" s="40" t="n">
        <x:v>0.6290997435551356</x:v>
      </x:c>
      <x:c r="R1352" s="40" t="n">
        <x:v>0.37090025644486435</x:v>
      </x:c>
      <x:c r="S1352" s="40" t="n">
        <x:v>0.014306924011337563</x:v>
      </x:c>
      <x:c r="T1352" s="31" t="n">
        <x:v>155.26885917666127</x:v>
      </x:c>
      <x:c r="U1352" s="31" t="n">
        <x:v>363.19</x:v>
      </x:c>
      <x:c r="V1352" s="31" t="n">
        <x:v>213</x:v>
      </x:c>
      <x:c r="W1352" s="31" t="n">
        <x:v>19.022952576583013</x:v>
      </x:c>
      <x:c r="X1352" s="31" t="n">
        <x:v>1</x:v>
      </x:c>
      <x:c r="Y1352" s="40" t="n">
        <x:v>0</x:v>
      </x:c>
      <x:c r="Z1352" s="40" t="n">
        <x:v>1</x:v>
      </x:c>
      <x:c r="AA1352" s="40" t="n">
        <x:v>0.9981104062626536</x:v>
      </x:c>
      <x:c r="AB1352" s="31" t="n">
        <x:v>0.24465111056126762</x:v>
      </x:c>
      <x:c r="AC1352" s="31" t="n">
        <x:v>7</x:v>
      </x:c>
      <x:c r="AD1352" s="44" t="b">
        <x:v>1</x:v>
      </x:c>
    </x:row>
    <x:row r="1353">
      <x:c r="A1353" s="31" t="str">
        <x:v>36061015801</x:v>
      </x:c>
      <x:c r="B1353" s="31" t="str">
        <x:v>Manhattan</x:v>
      </x:c>
      <x:c r="C1353" s="31" t="str">
        <x:v>015801</x:v>
      </x:c>
      <x:c r="D1353" s="31" t="str">
        <x:v>MN0802</x:v>
      </x:c>
      <x:c r="E1353" s="31" t="str">
        <x:v>Upper East Side-Carnegie Hill</x:v>
      </x:c>
      <x:c r="F1353" s="31" t="n">
        <x:v>0.04853491606404959</x:v>
      </x:c>
      <x:c r="G1353" s="31" t="n">
        <x:v>40.7842778495408</x:v>
      </x:c>
      <x:c r="H1353" s="31" t="n">
        <x:v>-73.95210372152616</x:v>
      </x:c>
      <x:c r="I1353" s="31" t="n">
        <x:v>5600</x:v>
      </x:c>
      <x:c r="J1353" s="31" t="n">
        <x:v>115380.85267542039</x:v>
      </x:c>
      <x:c r="K1353" s="31"/>
      <x:c r="L1353" s="40"/>
      <x:c r="M1353" s="40"/>
      <x:c r="N1353" s="31" t="n">
        <x:v>212</x:v>
      </x:c>
      <x:c r="O1353" s="31" t="n">
        <x:v>3030</x:v>
      </x:c>
      <x:c r="P1353" s="31" t="n">
        <x:v>11.545236520013232</x:v>
      </x:c>
      <x:c r="Q1353" s="40" t="n">
        <x:v>0.593069306930693</x:v>
      </x:c>
      <x:c r="R1353" s="40" t="n">
        <x:v>0.4036303630363036</x:v>
      </x:c>
      <x:c r="S1353" s="40" t="n">
        <x:v>0.018151815181518153</x:v>
      </x:c>
      <x:c r="T1353" s="31" t="n">
        <x:v>127.5415706059161</x:v>
      </x:c>
      <x:c r="U1353" s="31" t="n">
        <x:v>253</x:v>
      </x:c>
      <x:c r="V1353" s="31" t="n">
        <x:v>99</x:v>
      </x:c>
      <x:c r="W1353" s="31" t="n">
        <x:v>17.67857142857143</x:v>
      </x:c>
      <x:c r="X1353" s="31" t="n">
        <x:v>1</x:v>
      </x:c>
      <x:c r="Y1353" s="40" t="n">
        <x:v>0</x:v>
      </x:c>
      <x:c r="Z1353" s="40" t="n">
        <x:v>1</x:v>
      </x:c>
      <x:c r="AA1353" s="40" t="n">
        <x:v>0.9834983498349835</x:v>
      </x:c>
      <x:c r="AB1353" s="31" t="n">
        <x:v>0.1174984700262085</x:v>
      </x:c>
      <x:c r="AC1353" s="31" t="n">
        <x:v>9</x:v>
      </x:c>
      <x:c r="AD1353" s="44" t="b">
        <x:v>1</x:v>
      </x:c>
    </x:row>
    <x:row r="1354">
      <x:c r="A1354" s="31" t="str">
        <x:v>36061015802</x:v>
      </x:c>
      <x:c r="B1354" s="31" t="str">
        <x:v>Manhattan</x:v>
      </x:c>
      <x:c r="C1354" s="31" t="str">
        <x:v>015802</x:v>
      </x:c>
      <x:c r="D1354" s="31" t="str">
        <x:v>MN1101</x:v>
      </x:c>
      <x:c r="E1354" s="31" t="str">
        <x:v>East Harlem (South)</x:v>
      </x:c>
      <x:c r="F1354" s="31" t="n">
        <x:v>0.019785484251391757</x:v>
      </x:c>
      <x:c r="G1354" s="31" t="n">
        <x:v>40.78652255880344</x:v>
      </x:c>
      <x:c r="H1354" s="31" t="n">
        <x:v>-73.9504744342468</x:v>
      </x:c>
      <x:c r="I1354" s="31" t="n">
        <x:v>4516</x:v>
      </x:c>
      <x:c r="J1354" s="31" t="n">
        <x:v>228248.14104220542</x:v>
      </x:c>
      <x:c r="K1354" s="31"/>
      <x:c r="L1354" s="40"/>
      <x:c r="M1354" s="40"/>
      <x:c r="N1354" s="31" t="n">
        <x:v>49</x:v>
      </x:c>
      <x:c r="O1354" s="31" t="n">
        <x:v>1979</x:v>
      </x:c>
      <x:c r="P1354" s="31" t="n">
        <x:v>16.802930773117737</x:v>
      </x:c>
      <x:c r="Q1354" s="40" t="n">
        <x:v>0.6846892369883779</x:v>
      </x:c>
      <x:c r="R1354" s="40" t="n">
        <x:v>0.31480545730166754</x:v>
      </x:c>
      <x:c r="S1354" s="40" t="n">
        <x:v>0</x:v>
      </x:c>
      <x:c r="T1354" s="31" t="n">
        <x:v>172.71908829139966</x:v>
      </x:c>
      <x:c r="U1354" s="31" t="n">
        <x:v>282.38722482</x:v>
      </x:c>
      <x:c r="V1354" s="31" t="n">
        <x:v>24</x:v>
      </x:c>
      <x:c r="W1354" s="31" t="n">
        <x:v>5.314437555358724</x:v>
      </x:c>
      <x:c r="X1354" s="31" t="n">
        <x:v>3.56644770085902</x:v>
      </x:c>
      <x:c r="Y1354" s="40" t="n">
        <x:v>0.8554825669530066</x:v>
      </x:c>
      <x:c r="Z1354" s="40" t="n">
        <x:v>1</x:v>
      </x:c>
      <x:c r="AA1354" s="40" t="n">
        <x:v>1</x:v>
      </x:c>
      <x:c r="AB1354" s="31" t="n">
        <x:v>0.07987365800956468</x:v>
      </x:c>
      <x:c r="AC1354" s="31" t="n">
        <x:v>7</x:v>
      </x:c>
      <x:c r="AD1354" s="44" t="b">
        <x:v>1</x:v>
      </x:c>
    </x:row>
    <x:row r="1355">
      <x:c r="A1355" s="31" t="str">
        <x:v>36061015900</x:v>
      </x:c>
      <x:c r="B1355" s="31" t="str">
        <x:v>Manhattan</x:v>
      </x:c>
      <x:c r="C1355" s="31" t="str">
        <x:v>015900</x:v>
      </x:c>
      <x:c r="D1355" s="31" t="str">
        <x:v>MN0701</x:v>
      </x:c>
      <x:c r="E1355" s="31" t="str">
        <x:v>Upper West Side-Lincoln Square</x:v>
      </x:c>
      <x:c r="F1355" s="31" t="n">
        <x:v>0.06725157738464187</x:v>
      </x:c>
      <x:c r="G1355" s="31" t="n">
        <x:v>40.77965060467923</x:v>
      </x:c>
      <x:c r="H1355" s="31" t="n">
        <x:v>-73.9845373547893</x:v>
      </x:c>
      <x:c r="I1355" s="31" t="n">
        <x:v>10054</x:v>
      </x:c>
      <x:c r="J1355" s="31" t="n">
        <x:v>149498.3521724208</x:v>
      </x:c>
      <x:c r="K1355" s="31"/>
      <x:c r="L1355" s="40"/>
      <x:c r="M1355" s="40"/>
      <x:c r="N1355" s="31" t="n">
        <x:v>200</x:v>
      </x:c>
      <x:c r="O1355" s="31" t="n">
        <x:v>6468</x:v>
      </x:c>
      <x:c r="P1355" s="31" t="n">
        <x:v>18.197599868485945</x:v>
      </x:c>
      <x:c r="Q1355" s="40" t="n">
        <x:v>0.729282622139765</x:v>
      </x:c>
      <x:c r="R1355" s="40" t="n">
        <x:v>0.21119356833642547</x:v>
      </x:c>
      <x:c r="S1355" s="40" t="n">
        <x:v>0</x:v>
      </x:c>
      <x:c r="T1355" s="31" t="n">
        <x:v>201.6307431923424</x:v>
      </x:c>
      <x:c r="U1355" s="31" t="n">
        <x:v>506</x:v>
      </x:c>
      <x:c r="V1355" s="31" t="n">
        <x:v>181</x:v>
      </x:c>
      <x:c r="W1355" s="31" t="n">
        <x:v>18.00278496120947</x:v>
      </x:c>
      <x:c r="X1355" s="31" t="n">
        <x:v>1</x:v>
      </x:c>
      <x:c r="Y1355" s="40" t="n">
        <x:v>0</x:v>
      </x:c>
      <x:c r="Z1355" s="40" t="n">
        <x:v>1</x:v>
      </x:c>
      <x:c r="AA1355" s="40" t="n">
        <x:v>0.993351886209029</x:v>
      </x:c>
      <x:c r="AB1355" s="31" t="n">
        <x:v>0.13004444599141923</x:v>
      </x:c>
      <x:c r="AC1355" s="31" t="n">
        <x:v>6</x:v>
      </x:c>
      <x:c r="AD1355" s="44" t="b">
        <x:v>1</x:v>
      </x:c>
    </x:row>
    <x:row r="1356">
      <x:c r="A1356" s="31" t="str">
        <x:v>36061016001</x:v>
      </x:c>
      <x:c r="B1356" s="31" t="str">
        <x:v>Manhattan</x:v>
      </x:c>
      <x:c r="C1356" s="31" t="str">
        <x:v>016001</x:v>
      </x:c>
      <x:c r="D1356" s="31" t="str">
        <x:v>MN0802</x:v>
      </x:c>
      <x:c r="E1356" s="31" t="str">
        <x:v>Upper East Side-Carnegie Hill</x:v>
      </x:c>
      <x:c r="F1356" s="31" t="n">
        <x:v>0.04851900746742998</x:v>
      </x:c>
      <x:c r="G1356" s="31" t="n">
        <x:v>40.78563355418211</x:v>
      </x:c>
      <x:c r="H1356" s="31" t="n">
        <x:v>-73.95532276538191</x:v>
      </x:c>
      <x:c r="I1356" s="31" t="n">
        <x:v>3852</x:v>
      </x:c>
      <x:c r="J1356" s="31" t="n">
        <x:v>79391.56633790964</x:v>
      </x:c>
      <x:c r="K1356" s="31"/>
      <x:c r="L1356" s="40"/>
      <x:c r="M1356" s="40"/>
      <x:c r="N1356" s="31" t="n">
        <x:v>160</x:v>
      </x:c>
      <x:c r="O1356" s="31" t="n">
        <x:v>2080</x:v>
      </x:c>
      <x:c r="P1356" s="31" t="n">
        <x:v>12.810576923076923</x:v>
      </x:c>
      <x:c r="Q1356" s="40" t="n">
        <x:v>0.6</x:v>
      </x:c>
      <x:c r="R1356" s="40" t="n">
        <x:v>0.4</x:v>
      </x:c>
      <x:c r="S1356" s="40" t="n">
        <x:v>0.022596153846153846</x:v>
      </x:c>
      <x:c r="T1356" s="31" t="n">
        <x:v>145.02690552128254</x:v>
      </x:c>
      <x:c r="U1356" s="31" t="n">
        <x:v>314</x:v>
      </x:c>
      <x:c r="V1356" s="31" t="n">
        <x:v>149</x:v>
      </x:c>
      <x:c r="W1356" s="31" t="n">
        <x:v>38.68120456905503</x:v>
      </x:c>
      <x:c r="X1356" s="31" t="n">
        <x:v>1</x:v>
      </x:c>
      <x:c r="Y1356" s="40" t="n">
        <x:v>0</x:v>
      </x:c>
      <x:c r="Z1356" s="40" t="n">
        <x:v>1</x:v>
      </x:c>
      <x:c r="AA1356" s="40" t="n">
        <x:v>0.9971153846153846</x:v>
      </x:c>
      <x:c r="AB1356" s="31" t="n">
        <x:v>0.18567272012086966</x:v>
      </x:c>
      <x:c r="AC1356" s="31" t="n">
        <x:v>6</x:v>
      </x:c>
      <x:c r="AD1356" s="44" t="b">
        <x:v>1</x:v>
      </x:c>
    </x:row>
    <x:row r="1357">
      <x:c r="A1357" s="31" t="str">
        <x:v>36061016002</x:v>
      </x:c>
      <x:c r="B1357" s="31" t="str">
        <x:v>Manhattan</x:v>
      </x:c>
      <x:c r="C1357" s="31" t="str">
        <x:v>016002</x:v>
      </x:c>
      <x:c r="D1357" s="31" t="str">
        <x:v>MN1101</x:v>
      </x:c>
      <x:c r="E1357" s="31" t="str">
        <x:v>East Harlem (South)</x:v>
      </x:c>
      <x:c r="F1357" s="31" t="n">
        <x:v>0.019876793150109043</x:v>
      </x:c>
      <x:c r="G1357" s="31" t="n">
        <x:v>40.78787914614268</x:v>
      </x:c>
      <x:c r="H1357" s="31" t="n">
        <x:v>-73.9536863907283</x:v>
      </x:c>
      <x:c r="I1357" s="31" t="n">
        <x:v>3607</x:v>
      </x:c>
      <x:c r="J1357" s="31" t="n">
        <x:v>181467.9044431376</x:v>
      </x:c>
      <x:c r="K1357" s="31"/>
      <x:c r="L1357" s="40"/>
      <x:c r="M1357" s="40"/>
      <x:c r="N1357" s="31" t="n">
        <x:v>41</x:v>
      </x:c>
      <x:c r="O1357" s="31" t="n">
        <x:v>1360</x:v>
      </x:c>
      <x:c r="P1357" s="31" t="n">
        <x:v>9.763235294117647</x:v>
      </x:c>
      <x:c r="Q1357" s="40" t="n">
        <x:v>0.4441176470588235</x:v>
      </x:c>
      <x:c r="R1357" s="40" t="n">
        <x:v>0.5558823529411765</x:v>
      </x:c>
      <x:c r="S1357" s="40" t="n">
        <x:v>0</x:v>
      </x:c>
      <x:c r="T1357" s="31" t="n">
        <x:v>107.68559698032352</x:v>
      </x:c>
      <x:c r="U1357" s="31" t="n">
        <x:v>206.98</x:v>
      </x:c>
      <x:c r="V1357" s="31" t="n">
        <x:v>43</x:v>
      </x:c>
      <x:c r="W1357" s="31" t="n">
        <x:v>11.921264208483503</x:v>
      </x:c>
      <x:c r="X1357" s="31" t="n">
        <x:v>3.1308823529411764</x:v>
      </x:c>
      <x:c r="Y1357" s="40" t="n">
        <x:v>0.7102941176470589</x:v>
      </x:c>
      <x:c r="Z1357" s="40" t="n">
        <x:v>1</x:v>
      </x:c>
      <x:c r="AA1357" s="40" t="n">
        <x:v>1</x:v>
      </x:c>
      <x:c r="AB1357" s="31" t="n">
        <x:v>0.12633988868749055</x:v>
      </x:c>
      <x:c r="AC1357" s="31" t="n">
        <x:v>6</x:v>
      </x:c>
      <x:c r="AD1357" s="44" t="b">
        <x:v>1</x:v>
      </x:c>
    </x:row>
    <x:row r="1358">
      <x:c r="A1358" s="31" t="str">
        <x:v>36061016100</x:v>
      </x:c>
      <x:c r="B1358" s="31" t="str">
        <x:v>Manhattan</x:v>
      </x:c>
      <x:c r="C1358" s="31" t="str">
        <x:v>016100</x:v>
      </x:c>
      <x:c r="D1358" s="31" t="str">
        <x:v>MN0702</x:v>
      </x:c>
      <x:c r="E1358" s="31" t="str">
        <x:v>Upper West Side (Central)</x:v>
      </x:c>
      <x:c r="F1358" s="31" t="n">
        <x:v>0.06016699901393194</x:v>
      </x:c>
      <x:c r="G1358" s="31" t="n">
        <x:v>40.77994814941914</x:v>
      </x:c>
      <x:c r="H1358" s="31" t="n">
        <x:v>-73.97719288802976</x:v>
      </x:c>
      <x:c r="I1358" s="31" t="n">
        <x:v>6617</x:v>
      </x:c>
      <x:c r="J1358" s="31" t="n">
        <x:v>109977.23184544743</x:v>
      </x:c>
      <x:c r="K1358" s="31"/>
      <x:c r="L1358" s="40"/>
      <x:c r="M1358" s="40"/>
      <x:c r="N1358" s="31" t="n">
        <x:v>317</x:v>
      </x:c>
      <x:c r="O1358" s="31" t="n">
        <x:v>4244</x:v>
      </x:c>
      <x:c r="P1358" s="31" t="n">
        <x:v>7.679759377211607</x:v>
      </x:c>
      <x:c r="Q1358" s="40" t="n">
        <x:v>0.3006597549481621</x:v>
      </x:c>
      <x:c r="R1358" s="40" t="n">
        <x:v>0.6981621112158342</x:v>
      </x:c>
      <x:c r="S1358" s="40" t="n">
        <x:v>0.005419415645617342</x:v>
      </x:c>
      <x:c r="T1358" s="31" t="n">
        <x:v>97.92496261283931</x:v>
      </x:c>
      <x:c r="U1358" s="31" t="n">
        <x:v>395.44740388</x:v>
      </x:c>
      <x:c r="V1358" s="31" t="n">
        <x:v>127</x:v>
      </x:c>
      <x:c r="W1358" s="31" t="n">
        <x:v>19.192987758803085</x:v>
      </x:c>
      <x:c r="X1358" s="31" t="n">
        <x:v>1</x:v>
      </x:c>
      <x:c r="Y1358" s="40" t="n">
        <x:v>0</x:v>
      </x:c>
      <x:c r="Z1358" s="40" t="n">
        <x:v>1</x:v>
      </x:c>
      <x:c r="AA1358" s="40" t="n">
        <x:v>1</x:v>
      </x:c>
      <x:c r="AB1358" s="31" t="n">
        <x:v>0.07259983358941902</x:v>
      </x:c>
      <x:c r="AC1358" s="31" t="n">
        <x:v>6</x:v>
      </x:c>
      <x:c r="AD1358" s="44" t="b">
        <x:v>1</x:v>
      </x:c>
    </x:row>
    <x:row r="1359">
      <x:c r="A1359" s="31" t="str">
        <x:v>36061016200</x:v>
      </x:c>
      <x:c r="B1359" s="31" t="str">
        <x:v>Manhattan</x:v>
      </x:c>
      <x:c r="C1359" s="31" t="str">
        <x:v>016200</x:v>
      </x:c>
      <x:c r="D1359" s="31" t="str">
        <x:v>MN1101</x:v>
      </x:c>
      <x:c r="E1359" s="31" t="str">
        <x:v>East Harlem (South)</x:v>
      </x:c>
      <x:c r="F1359" s="31" t="n">
        <x:v>0.10500708449193641</x:v>
      </x:c>
      <x:c r="G1359" s="31" t="n">
        <x:v>40.78795816376494</x:v>
      </x:c>
      <x:c r="H1359" s="31" t="n">
        <x:v>-73.93967565660782</x:v>
      </x:c>
      <x:c r="I1359" s="31" t="n">
        <x:v>9033</x:v>
      </x:c>
      <x:c r="J1359" s="31" t="n">
        <x:v>86022.76735617446</x:v>
      </x:c>
      <x:c r="K1359" s="31"/>
      <x:c r="L1359" s="40"/>
      <x:c r="M1359" s="40"/>
      <x:c r="N1359" s="31" t="n">
        <x:v>8</x:v>
      </x:c>
      <x:c r="O1359" s="31" t="n">
        <x:v>4279</x:v>
      </x:c>
      <x:c r="P1359" s="31" t="n">
        <x:v>19.96424398223884</x:v>
      </x:c>
      <x:c r="Q1359" s="40" t="n">
        <x:v>1</x:v>
      </x:c>
      <x:c r="R1359" s="40" t="n">
        <x:v>0</x:v>
      </x:c>
      <x:c r="S1359" s="40" t="n">
        <x:v>0.7389577003972891</x:v>
      </x:c>
      <x:c r="T1359" s="31" t="n">
        <x:v>193.20108459779857</x:v>
      </x:c>
      <x:c r="U1359" s="31" t="n">
        <x:v>296.99</x:v>
      </x:c>
      <x:c r="V1359" s="31" t="n">
        <x:v>76</x:v>
      </x:c>
      <x:c r="W1359" s="31" t="n">
        <x:v>8.413594597586625</x:v>
      </x:c>
      <x:c r="X1359" s="31" t="n">
        <x:v>4</x:v>
      </x:c>
      <x:c r="Y1359" s="40" t="n">
        <x:v>1</x:v>
      </x:c>
      <x:c r="Z1359" s="40" t="n">
        <x:v>1</x:v>
      </x:c>
      <x:c r="AA1359" s="40" t="n">
        <x:v>1</x:v>
      </x:c>
      <x:c r="AB1359" s="31" t="n">
        <x:v>0.047901274710314155</x:v>
      </x:c>
      <x:c r="AC1359" s="31" t="n">
        <x:v>7</x:v>
      </x:c>
      <x:c r="AD1359" s="44" t="b">
        <x:v>1</x:v>
      </x:c>
    </x:row>
    <x:row r="1360">
      <x:c r="A1360" s="31" t="str">
        <x:v>36061016300</x:v>
      </x:c>
      <x:c r="B1360" s="31" t="str">
        <x:v>Manhattan</x:v>
      </x:c>
      <x:c r="C1360" s="31" t="str">
        <x:v>016300</x:v>
      </x:c>
      <x:c r="D1360" s="31" t="str">
        <x:v>MN0702</x:v>
      </x:c>
      <x:c r="E1360" s="31" t="str">
        <x:v>Upper West Side (Central)</x:v>
      </x:c>
      <x:c r="F1360" s="31" t="n">
        <x:v>0.10263728338462752</x:v>
      </x:c>
      <x:c r="G1360" s="31" t="n">
        <x:v>40.782648471884876</x:v>
      </x:c>
      <x:c r="H1360" s="31" t="n">
        <x:v>-73.98366746878904</x:v>
      </x:c>
      <x:c r="I1360" s="31" t="n">
        <x:v>7292</x:v>
      </x:c>
      <x:c r="J1360" s="31" t="n">
        <x:v>71046.30753596268</x:v>
      </x:c>
      <x:c r="K1360" s="31"/>
      <x:c r="L1360" s="40"/>
      <x:c r="M1360" s="40"/>
      <x:c r="N1360" s="31" t="n">
        <x:v>190</x:v>
      </x:c>
      <x:c r="O1360" s="31" t="n">
        <x:v>4243</x:v>
      </x:c>
      <x:c r="P1360" s="31" t="n">
        <x:v>11.997702097572473</x:v>
      </x:c>
      <x:c r="Q1360" s="40" t="n">
        <x:v>0.643412679707754</x:v>
      </x:c>
      <x:c r="R1360" s="40" t="n">
        <x:v>0.35658732029224605</x:v>
      </x:c>
      <x:c r="S1360" s="40" t="n">
        <x:v>0</x:v>
      </x:c>
      <x:c r="T1360" s="31" t="n">
        <x:v>132.89612586708023</x:v>
      </x:c>
      <x:c r="U1360" s="31" t="n">
        <x:v>285.62</x:v>
      </x:c>
      <x:c r="V1360" s="31" t="n">
        <x:v>163</x:v>
      </x:c>
      <x:c r="W1360" s="31" t="n">
        <x:v>22.35326385079539</x:v>
      </x:c>
      <x:c r="X1360" s="31" t="n">
        <x:v>1</x:v>
      </x:c>
      <x:c r="Y1360" s="40" t="n">
        <x:v>0</x:v>
      </x:c>
      <x:c r="Z1360" s="40" t="n">
        <x:v>1</x:v>
      </x:c>
      <x:c r="AA1360" s="40" t="n">
        <x:v>0.983973603582371</x:v>
      </x:c>
      <x:c r="AB1360" s="31" t="n">
        <x:v>0.30468950057342165</x:v>
      </x:c>
      <x:c r="AC1360" s="31" t="n">
        <x:v>5</x:v>
      </x:c>
      <x:c r="AD1360" s="44" t="b">
        <x:v>1</x:v>
      </x:c>
    </x:row>
    <x:row r="1361">
      <x:c r="A1361" s="31" t="str">
        <x:v>36061016400</x:v>
      </x:c>
      <x:c r="B1361" s="31" t="str">
        <x:v>Manhattan</x:v>
      </x:c>
      <x:c r="C1361" s="31" t="str">
        <x:v>016400</x:v>
      </x:c>
      <x:c r="D1361" s="31" t="str">
        <x:v>MN1101</x:v>
      </x:c>
      <x:c r="E1361" s="31" t="str">
        <x:v>East Harlem (South)</x:v>
      </x:c>
      <x:c r="F1361" s="31" t="n">
        <x:v>0.0685584719280877</x:v>
      </x:c>
      <x:c r="G1361" s="31" t="n">
        <x:v>40.7877122455777</x:v>
      </x:c>
      <x:c r="H1361" s="31" t="n">
        <x:v>-73.94447227845909</x:v>
      </x:c>
      <x:c r="I1361" s="31" t="n">
        <x:v>7371</x:v>
      </x:c>
      <x:c r="J1361" s="31" t="n">
        <x:v>107514.06489531424</x:v>
      </x:c>
      <x:c r="K1361" s="31"/>
      <x:c r="L1361" s="40"/>
      <x:c r="M1361" s="40"/>
      <x:c r="N1361" s="31" t="n">
        <x:v>41</x:v>
      </x:c>
      <x:c r="O1361" s="31" t="n">
        <x:v>2366</x:v>
      </x:c>
      <x:c r="P1361" s="31" t="n">
        <x:v>8.164412510566356</x:v>
      </x:c>
      <x:c r="Q1361" s="40" t="n">
        <x:v>0.39306846999154693</x:v>
      </x:c>
      <x:c r="R1361" s="40" t="n">
        <x:v>0.6069315300084531</x:v>
      </x:c>
      <x:c r="S1361" s="40" t="n">
        <x:v>0.21597633136094674</x:v>
      </x:c>
      <x:c r="T1361" s="31" t="n">
        <x:v>95.684394049903</x:v>
      </x:c>
      <x:c r="U1361" s="31" t="n">
        <x:v>139.69092818</x:v>
      </x:c>
      <x:c r="V1361" s="31" t="n">
        <x:v>57</x:v>
      </x:c>
      <x:c r="W1361" s="31" t="n">
        <x:v>7.7330077330077325</x:v>
      </x:c>
      <x:c r="X1361" s="31" t="n">
        <x:v>4</x:v>
      </x:c>
      <x:c r="Y1361" s="40" t="n">
        <x:v>1</x:v>
      </x:c>
      <x:c r="Z1361" s="40" t="n">
        <x:v>1</x:v>
      </x:c>
      <x:c r="AA1361" s="40" t="n">
        <x:v>0.9585798816568047</x:v>
      </x:c>
      <x:c r="AB1361" s="31" t="n">
        <x:v>0.06860189301375201</x:v>
      </x:c>
      <x:c r="AC1361" s="31" t="n">
        <x:v>4</x:v>
      </x:c>
      <x:c r="AD1361" s="44" t="b">
        <x:v>1</x:v>
      </x:c>
    </x:row>
    <x:row r="1362">
      <x:c r="A1362" s="31" t="str">
        <x:v>36061016500</x:v>
      </x:c>
      <x:c r="B1362" s="31" t="str">
        <x:v>Manhattan</x:v>
      </x:c>
      <x:c r="C1362" s="31" t="str">
        <x:v>016500</x:v>
      </x:c>
      <x:c r="D1362" s="31" t="str">
        <x:v>MN0702</x:v>
      </x:c>
      <x:c r="E1362" s="31" t="str">
        <x:v>Upper West Side (Central)</x:v>
      </x:c>
      <x:c r="F1362" s="31" t="n">
        <x:v>0.07888238204631544</x:v>
      </x:c>
      <x:c r="G1362" s="31" t="n">
        <x:v>40.78235777892737</x:v>
      </x:c>
      <x:c r="H1362" s="31" t="n">
        <x:v>-73.97499827071532</x:v>
      </x:c>
      <x:c r="I1362" s="31" t="n">
        <x:v>6659</x:v>
      </x:c>
      <x:c r="J1362" s="31" t="n">
        <x:v>84416.82194751926</x:v>
      </x:c>
      <x:c r="K1362" s="31"/>
      <x:c r="L1362" s="40"/>
      <x:c r="M1362" s="40"/>
      <x:c r="N1362" s="31" t="n">
        <x:v>205</x:v>
      </x:c>
      <x:c r="O1362" s="31" t="n">
        <x:v>4169</x:v>
      </x:c>
      <x:c r="P1362" s="31" t="n">
        <x:v>11.044495082753658</x:v>
      </x:c>
      <x:c r="Q1362" s="40" t="n">
        <x:v>0.5699208443271768</x:v>
      </x:c>
      <x:c r="R1362" s="40" t="n">
        <x:v>0.43007915567282323</x:v>
      </x:c>
      <x:c r="S1362" s="40" t="n">
        <x:v>0.03310146318061885</x:v>
      </x:c>
      <x:c r="T1362" s="31" t="n">
        <x:v>134.22053225243678</x:v>
      </x:c>
      <x:c r="U1362" s="31" t="n">
        <x:v>378</x:v>
      </x:c>
      <x:c r="V1362" s="31" t="n">
        <x:v>110</x:v>
      </x:c>
      <x:c r="W1362" s="31" t="n">
        <x:v>16.51899684637333</x:v>
      </x:c>
      <x:c r="X1362" s="31" t="n">
        <x:v>1</x:v>
      </x:c>
      <x:c r="Y1362" s="40" t="n">
        <x:v>0</x:v>
      </x:c>
      <x:c r="Z1362" s="40" t="n">
        <x:v>1</x:v>
      </x:c>
      <x:c r="AA1362" s="40" t="n">
        <x:v>0.99616214919645</x:v>
      </x:c>
      <x:c r="AB1362" s="31" t="n">
        <x:v>0.16083778180473615</x:v>
      </x:c>
      <x:c r="AC1362" s="31" t="n">
        <x:v>6</x:v>
      </x:c>
      <x:c r="AD1362" s="44" t="b">
        <x:v>1</x:v>
      </x:c>
    </x:row>
    <x:row r="1363">
      <x:c r="A1363" s="31" t="str">
        <x:v>36061016600</x:v>
      </x:c>
      <x:c r="B1363" s="31" t="str">
        <x:v>Manhattan</x:v>
      </x:c>
      <x:c r="C1363" s="31" t="str">
        <x:v>016600</x:v>
      </x:c>
      <x:c r="D1363" s="31" t="str">
        <x:v>MN1101</x:v>
      </x:c>
      <x:c r="E1363" s="31" t="str">
        <x:v>East Harlem (South)</x:v>
      </x:c>
      <x:c r="F1363" s="31" t="n">
        <x:v>0.06714567488162879</x:v>
      </x:c>
      <x:c r="G1363" s="31" t="n">
        <x:v>40.78936978187917</x:v>
      </x:c>
      <x:c r="H1363" s="31" t="n">
        <x:v>-73.94838366209294</x:v>
      </x:c>
      <x:c r="I1363" s="31" t="n">
        <x:v>7012</x:v>
      </x:c>
      <x:c r="J1363" s="31" t="n">
        <x:v>104429.66002443888</x:v>
      </x:c>
      <x:c r="K1363" s="31"/>
      <x:c r="L1363" s="40"/>
      <x:c r="M1363" s="40"/>
      <x:c r="N1363" s="31" t="n">
        <x:v>195</x:v>
      </x:c>
      <x:c r="O1363" s="31" t="n">
        <x:v>3548</x:v>
      </x:c>
      <x:c r="P1363" s="31" t="n">
        <x:v>7.63500563697858</x:v>
      </x:c>
      <x:c r="Q1363" s="40" t="n">
        <x:v>0.24182638105975196</x:v>
      </x:c>
      <x:c r="R1363" s="40" t="n">
        <x:v>0.7576099210822999</x:v>
      </x:c>
      <x:c r="S1363" s="40" t="n">
        <x:v>0.009019165727170236</x:v>
      </x:c>
      <x:c r="T1363" s="31" t="n">
        <x:v>85.24927004851382</x:v>
      </x:c>
      <x:c r="U1363" s="31" t="n">
        <x:v>253</x:v>
      </x:c>
      <x:c r="V1363" s="31" t="n">
        <x:v>43</x:v>
      </x:c>
      <x:c r="W1363" s="31" t="n">
        <x:v>6.132344552196235</x:v>
      </x:c>
      <x:c r="X1363" s="31" t="n">
        <x:v>4</x:v>
      </x:c>
      <x:c r="Y1363" s="40" t="n">
        <x:v>1</x:v>
      </x:c>
      <x:c r="Z1363" s="40" t="n">
        <x:v>1</x:v>
      </x:c>
      <x:c r="AA1363" s="40" t="n">
        <x:v>0.9785794813979707</x:v>
      </x:c>
      <x:c r="AB1363" s="31" t="n">
        <x:v>0.13953911665803265</x:v>
      </x:c>
      <x:c r="AC1363" s="31" t="n">
        <x:v>7</x:v>
      </x:c>
      <x:c r="AD1363" s="44" t="b">
        <x:v>1</x:v>
      </x:c>
    </x:row>
    <x:row r="1364">
      <x:c r="A1364" s="31" t="str">
        <x:v>36061016700</x:v>
      </x:c>
      <x:c r="B1364" s="31" t="str">
        <x:v>Manhattan</x:v>
      </x:c>
      <x:c r="C1364" s="31" t="str">
        <x:v>016700</x:v>
      </x:c>
      <x:c r="D1364" s="31" t="str">
        <x:v>MN0702</x:v>
      </x:c>
      <x:c r="E1364" s="31" t="str">
        <x:v>Upper West Side (Central)</x:v>
      </x:c>
      <x:c r="F1364" s="31" t="n">
        <x:v>0.07873644248844984</x:v>
      </x:c>
      <x:c r="G1364" s="31" t="n">
        <x:v>40.78527297258572</x:v>
      </x:c>
      <x:c r="H1364" s="31" t="n">
        <x:v>-73.981006503706</x:v>
      </x:c>
      <x:c r="I1364" s="31" t="n">
        <x:v>7210</x:v>
      </x:c>
      <x:c r="J1364" s="31" t="n">
        <x:v>91571.32037122027</x:v>
      </x:c>
      <x:c r="K1364" s="31"/>
      <x:c r="L1364" s="40"/>
      <x:c r="M1364" s="40"/>
      <x:c r="N1364" s="31" t="n">
        <x:v>155</x:v>
      </x:c>
      <x:c r="O1364" s="31" t="n">
        <x:v>3862</x:v>
      </x:c>
      <x:c r="P1364" s="31" t="n">
        <x:v>12.296607975142413</x:v>
      </x:c>
      <x:c r="Q1364" s="40" t="n">
        <x:v>0.6462972553081305</x:v>
      </x:c>
      <x:c r="R1364" s="40" t="n">
        <x:v>0.3537027446918695</x:v>
      </x:c>
      <x:c r="S1364" s="40" t="n">
        <x:v>0</x:v>
      </x:c>
      <x:c r="T1364" s="31" t="n">
        <x:v>137.9593126671129</x:v>
      </x:c>
      <x:c r="U1364" s="31" t="n">
        <x:v>240</x:v>
      </x:c>
      <x:c r="V1364" s="31" t="n">
        <x:v>133</x:v>
      </x:c>
      <x:c r="W1364" s="31" t="n">
        <x:v>18.446601941747574</x:v>
      </x:c>
      <x:c r="X1364" s="31" t="n">
        <x:v>1</x:v>
      </x:c>
      <x:c r="Y1364" s="40" t="n">
        <x:v>0</x:v>
      </x:c>
      <x:c r="Z1364" s="40" t="n">
        <x:v>1</x:v>
      </x:c>
      <x:c r="AA1364" s="40" t="n">
        <x:v>1</x:v>
      </x:c>
      <x:c r="AB1364" s="31" t="n">
        <x:v>0.11871317500828073</x:v>
      </x:c>
      <x:c r="AC1364" s="31" t="n">
        <x:v>5</x:v>
      </x:c>
      <x:c r="AD1364" s="44" t="b">
        <x:v>1</x:v>
      </x:c>
    </x:row>
    <x:row r="1365">
      <x:c r="A1365" s="31" t="str">
        <x:v>36061016800</x:v>
      </x:c>
      <x:c r="B1365" s="31" t="str">
        <x:v>Manhattan</x:v>
      </x:c>
      <x:c r="C1365" s="31" t="str">
        <x:v>016800</x:v>
      </x:c>
      <x:c r="D1365" s="31" t="str">
        <x:v>MN1101</x:v>
      </x:c>
      <x:c r="E1365" s="31" t="str">
        <x:v>East Harlem (South)</x:v>
      </x:c>
      <x:c r="F1365" s="31" t="n">
        <x:v>0.0771912840374627</x:v>
      </x:c>
      <x:c r="G1365" s="31" t="n">
        <x:v>40.79106770312098</x:v>
      </x:c>
      <x:c r="H1365" s="31" t="n">
        <x:v>-73.95135509392234</x:v>
      </x:c>
      <x:c r="I1365" s="31" t="n">
        <x:v>4964</x:v>
      </x:c>
      <x:c r="J1365" s="31" t="n">
        <x:v>64307.778551667274</x:v>
      </x:c>
      <x:c r="K1365" s="31"/>
      <x:c r="L1365" s="40"/>
      <x:c r="M1365" s="40"/>
      <x:c r="N1365" s="31" t="n">
        <x:v>19</x:v>
      </x:c>
      <x:c r="O1365" s="31" t="n">
        <x:v>2012</x:v>
      </x:c>
      <x:c r="P1365" s="31" t="n">
        <x:v>17.185884691848905</x:v>
      </x:c>
      <x:c r="Q1365" s="40" t="n">
        <x:v>0.8901590457256461</x:v>
      </x:c>
      <x:c r="R1365" s="40" t="n">
        <x:v>0.10984095427435388</x:v>
      </x:c>
      <x:c r="S1365" s="40" t="n">
        <x:v>0.6232604373757455</x:v>
      </x:c>
      <x:c r="T1365" s="31" t="n">
        <x:v>194.33004047292246</x:v>
      </x:c>
      <x:c r="U1365" s="31" t="n">
        <x:v>560</x:v>
      </x:c>
      <x:c r="V1365" s="31" t="n">
        <x:v>47</x:v>
      </x:c>
      <x:c r="W1365" s="31" t="n">
        <x:v>9.468170829975826</x:v>
      </x:c>
      <x:c r="X1365" s="31" t="n">
        <x:v>4</x:v>
      </x:c>
      <x:c r="Y1365" s="40" t="n">
        <x:v>1</x:v>
      </x:c>
      <x:c r="Z1365" s="40" t="n">
        <x:v>1</x:v>
      </x:c>
      <x:c r="AA1365" s="40" t="n">
        <x:v>1</x:v>
      </x:c>
      <x:c r="AB1365" s="31" t="n">
        <x:v>0.08584089088420328</x:v>
      </x:c>
      <x:c r="AC1365" s="31" t="n">
        <x:v>6</x:v>
      </x:c>
      <x:c r="AD1365" s="44" t="b">
        <x:v>1</x:v>
      </x:c>
    </x:row>
    <x:row r="1366">
      <x:c r="A1366" s="31" t="str">
        <x:v>36061016900</x:v>
      </x:c>
      <x:c r="B1366" s="31" t="str">
        <x:v>Manhattan</x:v>
      </x:c>
      <x:c r="C1366" s="31" t="str">
        <x:v>016900</x:v>
      </x:c>
      <x:c r="D1366" s="31" t="str">
        <x:v>MN0702</x:v>
      </x:c>
      <x:c r="E1366" s="31" t="str">
        <x:v>Upper West Side (Central)</x:v>
      </x:c>
      <x:c r="F1366" s="31" t="n">
        <x:v>0.06948346675849403</x:v>
      </x:c>
      <x:c r="G1366" s="31" t="n">
        <x:v>40.785195669002235</x:v>
      </x:c>
      <x:c r="H1366" s="31" t="n">
        <x:v>-73.97311963029763</x:v>
      </x:c>
      <x:c r="I1366" s="31" t="n">
        <x:v>8526</x:v>
      </x:c>
      <x:c r="J1366" s="31" t="n">
        <x:v>122705.44919173505</x:v>
      </x:c>
      <x:c r="K1366" s="31"/>
      <x:c r="L1366" s="40"/>
      <x:c r="M1366" s="40"/>
      <x:c r="N1366" s="31" t="n">
        <x:v>306</x:v>
      </x:c>
      <x:c r="O1366" s="31" t="n">
        <x:v>5049</x:v>
      </x:c>
      <x:c r="P1366" s="31" t="n">
        <x:v>8.548801742919391</x:v>
      </x:c>
      <x:c r="Q1366" s="40" t="n">
        <x:v>0.39631610219845514</x:v>
      </x:c>
      <x:c r="R1366" s="40" t="n">
        <x:v>0.6036838978015449</x:v>
      </x:c>
      <x:c r="S1366" s="40" t="n">
        <x:v>0.02594573182808477</x:v>
      </x:c>
      <x:c r="T1366" s="31" t="n">
        <x:v>101.25643877798922</x:v>
      </x:c>
      <x:c r="U1366" s="31" t="n">
        <x:v>204</x:v>
      </x:c>
      <x:c r="V1366" s="31" t="n">
        <x:v>126</x:v>
      </x:c>
      <x:c r="W1366" s="31" t="n">
        <x:v>14.778325123152708</x:v>
      </x:c>
      <x:c r="X1366" s="31" t="n">
        <x:v>1</x:v>
      </x:c>
      <x:c r="Y1366" s="40" t="n">
        <x:v>0</x:v>
      </x:c>
      <x:c r="Z1366" s="40" t="n">
        <x:v>1</x:v>
      </x:c>
      <x:c r="AA1366" s="40" t="n">
        <x:v>0.9918795801148742</x:v>
      </x:c>
      <x:c r="AB1366" s="31" t="n">
        <x:v>0.039518216539912825</x:v>
      </x:c>
      <x:c r="AC1366" s="31" t="n">
        <x:v>6</x:v>
      </x:c>
      <x:c r="AD1366" s="44" t="b">
        <x:v>1</x:v>
      </x:c>
    </x:row>
    <x:row r="1367">
      <x:c r="A1367" s="31" t="str">
        <x:v>36061017000</x:v>
      </x:c>
      <x:c r="B1367" s="31" t="str">
        <x:v>Manhattan</x:v>
      </x:c>
      <x:c r="C1367" s="31" t="str">
        <x:v>017000</x:v>
      </x:c>
      <x:c r="D1367" s="31" t="str">
        <x:v>MN1101</x:v>
      </x:c>
      <x:c r="E1367" s="31" t="str">
        <x:v>East Harlem (South)</x:v>
      </x:c>
      <x:c r="F1367" s="31" t="n">
        <x:v>0.07063382006679006</x:v>
      </x:c>
      <x:c r="G1367" s="31" t="n">
        <x:v>40.790902610097135</x:v>
      </x:c>
      <x:c r="H1367" s="31" t="n">
        <x:v>-73.94214663344007</x:v>
      </x:c>
      <x:c r="I1367" s="31" t="n">
        <x:v>7991</x:v>
      </x:c>
      <x:c r="J1367" s="31" t="n">
        <x:v>113132.77396640668</x:v>
      </x:c>
      <x:c r="K1367" s="31"/>
      <x:c r="L1367" s="40"/>
      <x:c r="M1367" s="40"/>
      <x:c r="N1367" s="31" t="n">
        <x:v>108</x:v>
      </x:c>
      <x:c r="O1367" s="31" t="n">
        <x:v>4073</x:v>
      </x:c>
      <x:c r="P1367" s="31" t="n">
        <x:v>13.427694574024061</x:v>
      </x:c>
      <x:c r="Q1367" s="40" t="n">
        <x:v>0.5865455438251903</x:v>
      </x:c>
      <x:c r="R1367" s="40" t="n">
        <x:v>0.41345445617480975</x:v>
      </x:c>
      <x:c r="S1367" s="40" t="n">
        <x:v>0.5408789589982813</x:v>
      </x:c>
      <x:c r="T1367" s="31" t="n">
        <x:v>154.44752178550223</x:v>
      </x:c>
      <x:c r="U1367" s="31" t="n">
        <x:v>225.85</x:v>
      </x:c>
      <x:c r="V1367" s="31" t="n">
        <x:v>49</x:v>
      </x:c>
      <x:c r="W1367" s="31" t="n">
        <x:v>6.131898385683895</x:v>
      </x:c>
      <x:c r="X1367" s="31" t="n">
        <x:v>4</x:v>
      </x:c>
      <x:c r="Y1367" s="40" t="n">
        <x:v>1</x:v>
      </x:c>
      <x:c r="Z1367" s="40" t="n">
        <x:v>1</x:v>
      </x:c>
      <x:c r="AA1367" s="40" t="n">
        <x:v>0.9972992879941075</x:v>
      </x:c>
      <x:c r="AB1367" s="31" t="n">
        <x:v>0.11317707816725957</x:v>
      </x:c>
      <x:c r="AC1367" s="31" t="n">
        <x:v>5</x:v>
      </x:c>
      <x:c r="AD1367" s="44" t="b">
        <x:v>1</x:v>
      </x:c>
    </x:row>
    <x:row r="1368">
      <x:c r="A1368" s="31" t="str">
        <x:v>36061017100</x:v>
      </x:c>
      <x:c r="B1368" s="31" t="str">
        <x:v>Manhattan</x:v>
      </x:c>
      <x:c r="C1368" s="31" t="str">
        <x:v>017100</x:v>
      </x:c>
      <x:c r="D1368" s="31" t="str">
        <x:v>MN0702</x:v>
      </x:c>
      <x:c r="E1368" s="31" t="str">
        <x:v>Upper West Side (Central)</x:v>
      </x:c>
      <x:c r="F1368" s="31" t="n">
        <x:v>0.08115182415346647</x:v>
      </x:c>
      <x:c r="G1368" s="31" t="n">
        <x:v>40.787825109848626</x:v>
      </x:c>
      <x:c r="H1368" s="31" t="n">
        <x:v>-73.97927655433759</x:v>
      </x:c>
      <x:c r="I1368" s="31" t="n">
        <x:v>9694</x:v>
      </x:c>
      <x:c r="J1368" s="31" t="n">
        <x:v>119455.1090024501</x:v>
      </x:c>
      <x:c r="K1368" s="31"/>
      <x:c r="L1368" s="40"/>
      <x:c r="M1368" s="40"/>
      <x:c r="N1368" s="31" t="n">
        <x:v>178</x:v>
      </x:c>
      <x:c r="O1368" s="31" t="n">
        <x:v>5080</x:v>
      </x:c>
      <x:c r="P1368" s="31" t="n">
        <x:v>11.158291457286433</x:v>
      </x:c>
      <x:c r="Q1368" s="40" t="n">
        <x:v>0.5942913385826771</x:v>
      </x:c>
      <x:c r="R1368" s="40" t="n">
        <x:v>0.3442913385826772</x:v>
      </x:c>
      <x:c r="S1368" s="40" t="n">
        <x:v>0.012204724409448819</x:v>
      </x:c>
      <x:c r="T1368" s="31" t="n">
        <x:v>132.48328937007875</x:v>
      </x:c>
      <x:c r="U1368" s="31" t="n">
        <x:v>228</x:v>
      </x:c>
      <x:c r="V1368" s="31" t="n">
        <x:v>151</x:v>
      </x:c>
      <x:c r="W1368" s="31" t="n">
        <x:v>15.576645347637713</x:v>
      </x:c>
      <x:c r="X1368" s="31" t="n">
        <x:v>1</x:v>
      </x:c>
      <x:c r="Y1368" s="40" t="n">
        <x:v>0</x:v>
      </x:c>
      <x:c r="Z1368" s="40" t="n">
        <x:v>1</x:v>
      </x:c>
      <x:c r="AA1368" s="40" t="n">
        <x:v>1</x:v>
      </x:c>
      <x:c r="AB1368" s="31" t="n">
        <x:v>0.10284059025568092</x:v>
      </x:c>
      <x:c r="AC1368" s="31" t="n">
        <x:v>5</x:v>
      </x:c>
      <x:c r="AD1368" s="44" t="b">
        <x:v>1</x:v>
      </x:c>
    </x:row>
    <x:row r="1369">
      <x:c r="A1369" s="31" t="str">
        <x:v>36061017200</x:v>
      </x:c>
      <x:c r="B1369" s="31" t="str">
        <x:v>Manhattan</x:v>
      </x:c>
      <x:c r="C1369" s="31" t="str">
        <x:v>017200</x:v>
      </x:c>
      <x:c r="D1369" s="31" t="str">
        <x:v>MN1101</x:v>
      </x:c>
      <x:c r="E1369" s="31" t="str">
        <x:v>East Harlem (South)</x:v>
      </x:c>
      <x:c r="F1369" s="31" t="n">
        <x:v>0.06861063603542528</x:v>
      </x:c>
      <x:c r="G1369" s="31" t="n">
        <x:v>40.79382481942418</x:v>
      </x:c>
      <x:c r="H1369" s="31" t="n">
        <x:v>-73.9451329889091</x:v>
      </x:c>
      <x:c r="I1369" s="31" t="n">
        <x:v>5441</x:v>
      </x:c>
      <x:c r="J1369" s="31" t="n">
        <x:v>79302.57339679352</x:v>
      </x:c>
      <x:c r="K1369" s="31"/>
      <x:c r="L1369" s="40"/>
      <x:c r="M1369" s="40"/>
      <x:c r="N1369" s="31" t="n">
        <x:v>181</x:v>
      </x:c>
      <x:c r="O1369" s="31" t="n">
        <x:v>2942</x:v>
      </x:c>
      <x:c r="P1369" s="31" t="n">
        <x:v>9.099252209381373</x:v>
      </x:c>
      <x:c r="Q1369" s="40" t="n">
        <x:v>0.3487423521414004</x:v>
      </x:c>
      <x:c r="R1369" s="40" t="n">
        <x:v>0.6512576478585996</x:v>
      </x:c>
      <x:c r="S1369" s="40" t="n">
        <x:v>0.20190346702923181</x:v>
      </x:c>
      <x:c r="T1369" s="31" t="n">
        <x:v>99.26266831283104</x:v>
      </x:c>
      <x:c r="U1369" s="31" t="n">
        <x:v>179.91</x:v>
      </x:c>
      <x:c r="V1369" s="31" t="n">
        <x:v>34</x:v>
      </x:c>
      <x:c r="W1369" s="31" t="n">
        <x:v>6.248851314096674</x:v>
      </x:c>
      <x:c r="X1369" s="31" t="n">
        <x:v>4</x:v>
      </x:c>
      <x:c r="Y1369" s="40" t="n">
        <x:v>1</x:v>
      </x:c>
      <x:c r="Z1369" s="40" t="n">
        <x:v>1</x:v>
      </x:c>
      <x:c r="AA1369" s="40" t="n">
        <x:v>0.9857239972807614</x:v>
      </x:c>
      <x:c r="AB1369" s="31" t="n">
        <x:v>0.07689795437584582</x:v>
      </x:c>
      <x:c r="AC1369" s="31" t="n">
        <x:v>8</x:v>
      </x:c>
      <x:c r="AD1369" s="44" t="b">
        <x:v>1</x:v>
      </x:c>
    </x:row>
    <x:row r="1370">
      <x:c r="A1370" s="31" t="str">
        <x:v>36061017300</x:v>
      </x:c>
      <x:c r="B1370" s="31" t="str">
        <x:v>Manhattan</x:v>
      </x:c>
      <x:c r="C1370" s="31" t="str">
        <x:v>017300</x:v>
      </x:c>
      <x:c r="D1370" s="31" t="str">
        <x:v>MN0702</x:v>
      </x:c>
      <x:c r="E1370" s="31" t="str">
        <x:v>Upper West Side (Central)</x:v>
      </x:c>
      <x:c r="F1370" s="31" t="n">
        <x:v>0.06893800191833103</x:v>
      </x:c>
      <x:c r="G1370" s="31" t="n">
        <x:v>40.78777077213133</x:v>
      </x:c>
      <x:c r="H1370" s="31" t="n">
        <x:v>-73.97123674342848</x:v>
      </x:c>
      <x:c r="I1370" s="31" t="n">
        <x:v>8699</x:v>
      </x:c>
      <x:c r="J1370" s="31" t="n">
        <x:v>126185.84464205196</x:v>
      </x:c>
      <x:c r="K1370" s="31"/>
      <x:c r="L1370" s="40"/>
      <x:c r="M1370" s="40"/>
      <x:c r="N1370" s="31" t="n">
        <x:v>334</x:v>
      </x:c>
      <x:c r="O1370" s="31" t="n">
        <x:v>5296</x:v>
      </x:c>
      <x:c r="P1370" s="31" t="n">
        <x:v>11.527095921450151</x:v>
      </x:c>
      <x:c r="Q1370" s="40" t="n">
        <x:v>0.5649546827794562</x:v>
      </x:c>
      <x:c r="R1370" s="40" t="n">
        <x:v>0.4350453172205438</x:v>
      </x:c>
      <x:c r="S1370" s="40" t="n">
        <x:v>0.01604984894259819</x:v>
      </x:c>
      <x:c r="T1370" s="31" t="n">
        <x:v>122.39224601282557</x:v>
      </x:c>
      <x:c r="U1370" s="31" t="n">
        <x:v>281.86</x:v>
      </x:c>
      <x:c r="V1370" s="31" t="n">
        <x:v>140</x:v>
      </x:c>
      <x:c r="W1370" s="31" t="n">
        <x:v>16.09380388550408</x:v>
      </x:c>
      <x:c r="X1370" s="31" t="n">
        <x:v>1</x:v>
      </x:c>
      <x:c r="Y1370" s="40" t="n">
        <x:v>0</x:v>
      </x:c>
      <x:c r="Z1370" s="40" t="n">
        <x:v>1</x:v>
      </x:c>
      <x:c r="AA1370" s="40" t="n">
        <x:v>0.9990558912386707</x:v>
      </x:c>
      <x:c r="AB1370" s="31" t="n">
        <x:v>0.10594907587600275</x:v>
      </x:c>
      <x:c r="AC1370" s="31" t="n">
        <x:v>6</x:v>
      </x:c>
      <x:c r="AD1370" s="44" t="b">
        <x:v>1</x:v>
      </x:c>
    </x:row>
    <x:row r="1371">
      <x:c r="A1371" s="31" t="str">
        <x:v>36061017401</x:v>
      </x:c>
      <x:c r="B1371" s="31" t="str">
        <x:v>Manhattan</x:v>
      </x:c>
      <x:c r="C1371" s="31" t="str">
        <x:v>017401</x:v>
      </x:c>
      <x:c r="D1371" s="31" t="str">
        <x:v>MN1101</x:v>
      </x:c>
      <x:c r="E1371" s="31" t="str">
        <x:v>East Harlem (South)</x:v>
      </x:c>
      <x:c r="F1371" s="31" t="n">
        <x:v>0.038962196873923896</x:v>
      </x:c>
      <x:c r="G1371" s="31" t="n">
        <x:v>40.794886099581646</x:v>
      </x:c>
      <x:c r="H1371" s="31" t="n">
        <x:v>-73.94857462017373</x:v>
      </x:c>
      <x:c r="I1371" s="31" t="n">
        <x:v>5449</x:v>
      </x:c>
      <x:c r="J1371" s="31" t="n">
        <x:v>139853.51025334085</x:v>
      </x:c>
      <x:c r="K1371" s="31"/>
      <x:c r="L1371" s="40"/>
      <x:c r="M1371" s="40"/>
      <x:c r="N1371" s="31" t="n">
        <x:v>29</x:v>
      </x:c>
      <x:c r="O1371" s="31" t="n">
        <x:v>2103</x:v>
      </x:c>
      <x:c r="P1371" s="31" t="n">
        <x:v>15.116024726581074</x:v>
      </x:c>
      <x:c r="Q1371" s="40" t="n">
        <x:v>0.640038040893961</x:v>
      </x:c>
      <x:c r="R1371" s="40" t="n">
        <x:v>0.359961959106039</x:v>
      </x:c>
      <x:c r="S1371" s="40" t="n">
        <x:v>0.25867807893485495</x:v>
      </x:c>
      <x:c r="T1371" s="31" t="n">
        <x:v>159.37967665240134</x:v>
      </x:c>
      <x:c r="U1371" s="31" t="n">
        <x:v>245.27</x:v>
      </x:c>
      <x:c r="V1371" s="31" t="n">
        <x:v>40</x:v>
      </x:c>
      <x:c r="W1371" s="31" t="n">
        <x:v>7.340796476417691</x:v>
      </x:c>
      <x:c r="X1371" s="31" t="n">
        <x:v>4</x:v>
      </x:c>
      <x:c r="Y1371" s="40" t="n">
        <x:v>1</x:v>
      </x:c>
      <x:c r="Z1371" s="40" t="n">
        <x:v>1</x:v>
      </x:c>
      <x:c r="AA1371" s="40" t="n">
        <x:v>1</x:v>
      </x:c>
      <x:c r="AB1371" s="31" t="n">
        <x:v>0.03160121574379561</x:v>
      </x:c>
      <x:c r="AC1371" s="31" t="n">
        <x:v>5</x:v>
      </x:c>
      <x:c r="AD1371" s="44" t="b">
        <x:v>1</x:v>
      </x:c>
    </x:row>
    <x:row r="1372">
      <x:c r="A1372" s="31" t="str">
        <x:v>36061017402</x:v>
      </x:c>
      <x:c r="B1372" s="31" t="str">
        <x:v>Manhattan</x:v>
      </x:c>
      <x:c r="C1372" s="31" t="str">
        <x:v>017402</x:v>
      </x:c>
      <x:c r="D1372" s="31" t="str">
        <x:v>MN1101</x:v>
      </x:c>
      <x:c r="E1372" s="31" t="str">
        <x:v>East Harlem (South)</x:v>
      </x:c>
      <x:c r="F1372" s="31" t="n">
        <x:v>0.019641698473585285</x:v>
      </x:c>
      <x:c r="G1372" s="31" t="n">
        <x:v>40.79680061738893</x:v>
      </x:c>
      <x:c r="H1372" s="31" t="n">
        <x:v>-73.94715934763163</x:v>
      </x:c>
      <x:c r="I1372" s="31" t="n">
        <x:v>2276</x:v>
      </x:c>
      <x:c r="J1372" s="31" t="n">
        <x:v>115875.92605908444</x:v>
      </x:c>
      <x:c r="K1372" s="31"/>
      <x:c r="L1372" s="40"/>
      <x:c r="M1372" s="40"/>
      <x:c r="N1372" s="31" t="n">
        <x:v>17</x:v>
      </x:c>
      <x:c r="O1372" s="31" t="n">
        <x:v>1822</x:v>
      </x:c>
      <x:c r="P1372" s="31" t="n">
        <x:v>23.100110619469028</x:v>
      </x:c>
      <x:c r="Q1372" s="40" t="n">
        <x:v>0.822722283205269</x:v>
      </x:c>
      <x:c r="R1372" s="40" t="n">
        <x:v>0.16959385290889134</x:v>
      </x:c>
      <x:c r="S1372" s="40" t="n">
        <x:v>0.32930845225027444</x:v>
      </x:c>
      <x:c r="T1372" s="31" t="n">
        <x:v>252.66801484219633</x:v>
      </x:c>
      <x:c r="U1372" s="31" t="n">
        <x:v>408.8</x:v>
      </x:c>
      <x:c r="V1372" s="31" t="n">
        <x:v>38</x:v>
      </x:c>
      <x:c r="W1372" s="31" t="n">
        <x:v>16.695957820738137</x:v>
      </x:c>
      <x:c r="X1372" s="31" t="n">
        <x:v>4</x:v>
      </x:c>
      <x:c r="Y1372" s="40" t="n">
        <x:v>1</x:v>
      </x:c>
      <x:c r="Z1372" s="40" t="n">
        <x:v>1</x:v>
      </x:c>
      <x:c r="AA1372" s="40" t="n">
        <x:v>0.9895718990120747</x:v>
      </x:c>
      <x:c r="AB1372" s="31" t="n">
        <x:v>0.055658041816848206</x:v>
      </x:c>
      <x:c r="AC1372" s="31" t="n">
        <x:v>6</x:v>
      </x:c>
      <x:c r="AD1372" s="44" t="b">
        <x:v>1</x:v>
      </x:c>
    </x:row>
    <x:row r="1373">
      <x:c r="A1373" s="31" t="str">
        <x:v>36061017500</x:v>
      </x:c>
      <x:c r="B1373" s="31" t="str">
        <x:v>Manhattan</x:v>
      </x:c>
      <x:c r="C1373" s="31" t="str">
        <x:v>017500</x:v>
      </x:c>
      <x:c r="D1373" s="31" t="str">
        <x:v>MN0702</x:v>
      </x:c>
      <x:c r="E1373" s="31" t="str">
        <x:v>Upper West Side (Central)</x:v>
      </x:c>
      <x:c r="F1373" s="31" t="n">
        <x:v>0.08315018161623336</x:v>
      </x:c>
      <x:c r="G1373" s="31" t="n">
        <x:v>40.790408312882526</x:v>
      </x:c>
      <x:c r="H1373" s="31" t="n">
        <x:v>-73.97752102589789</x:v>
      </x:c>
      <x:c r="I1373" s="31" t="n">
        <x:v>11110</x:v>
      </x:c>
      <x:c r="J1373" s="31" t="n">
        <x:v>133613.65885256228</x:v>
      </x:c>
      <x:c r="K1373" s="31"/>
      <x:c r="L1373" s="40"/>
      <x:c r="M1373" s="40"/>
      <x:c r="N1373" s="31" t="n">
        <x:v>180</x:v>
      </x:c>
      <x:c r="O1373" s="31" t="n">
        <x:v>5339</x:v>
      </x:c>
      <x:c r="P1373" s="31" t="n">
        <x:v>12.457738324971054</x:v>
      </x:c>
      <x:c r="Q1373" s="40" t="n">
        <x:v>0.7424611350440158</x:v>
      </x:c>
      <x:c r="R1373" s="40" t="n">
        <x:v>0.22813260910282823</x:v>
      </x:c>
      <x:c r="S1373" s="40" t="n">
        <x:v>0</x:v>
      </x:c>
      <x:c r="T1373" s="31" t="n">
        <x:v>141.378964178053</x:v>
      </x:c>
      <x:c r="U1373" s="31" t="n">
        <x:v>259.58</x:v>
      </x:c>
      <x:c r="V1373" s="31" t="n">
        <x:v>190</x:v>
      </x:c>
      <x:c r="W1373" s="31" t="n">
        <x:v>17.101710171017103</x:v>
      </x:c>
      <x:c r="X1373" s="31" t="n">
        <x:v>1</x:v>
      </x:c>
      <x:c r="Y1373" s="40" t="n">
        <x:v>0</x:v>
      </x:c>
      <x:c r="Z1373" s="40" t="n">
        <x:v>1</x:v>
      </x:c>
      <x:c r="AA1373" s="40" t="n">
        <x:v>0.9966285821314853</x:v>
      </x:c>
      <x:c r="AB1373" s="31" t="n">
        <x:v>0.28035459608879143</x:v>
      </x:c>
      <x:c r="AC1373" s="31" t="n">
        <x:v>5</x:v>
      </x:c>
      <x:c r="AD1373" s="44" t="b">
        <x:v>1</x:v>
      </x:c>
    </x:row>
    <x:row r="1374">
      <x:c r="A1374" s="31" t="str">
        <x:v>36061017700</x:v>
      </x:c>
      <x:c r="B1374" s="31" t="str">
        <x:v>Manhattan</x:v>
      </x:c>
      <x:c r="C1374" s="31" t="str">
        <x:v>017700</x:v>
      </x:c>
      <x:c r="D1374" s="31" t="str">
        <x:v>MN0702</x:v>
      </x:c>
      <x:c r="E1374" s="31" t="str">
        <x:v>Upper West Side (Central)</x:v>
      </x:c>
      <x:c r="F1374" s="31" t="n">
        <x:v>0.0673973308037764</x:v>
      </x:c>
      <x:c r="G1374" s="31" t="n">
        <x:v>40.79030792293496</x:v>
      </x:c>
      <x:c r="H1374" s="31" t="n">
        <x:v>-73.96938880783023</x:v>
      </x:c>
      <x:c r="I1374" s="31" t="n">
        <x:v>9382</x:v>
      </x:c>
      <x:c r="J1374" s="31" t="n">
        <x:v>139204.32587034008</x:v>
      </x:c>
      <x:c r="K1374" s="31"/>
      <x:c r="L1374" s="40"/>
      <x:c r="M1374" s="40"/>
      <x:c r="N1374" s="31" t="n">
        <x:v>119</x:v>
      </x:c>
      <x:c r="O1374" s="31" t="n">
        <x:v>5725</x:v>
      </x:c>
      <x:c r="P1374" s="31" t="n">
        <x:v>16.489082969432314</x:v>
      </x:c>
      <x:c r="Q1374" s="40" t="n">
        <x:v>0.788471615720524</x:v>
      </x:c>
      <x:c r="R1374" s="40" t="n">
        <x:v>0.21152838427947598</x:v>
      </x:c>
      <x:c r="S1374" s="40" t="n">
        <x:v>0.32751091703056767</x:v>
      </x:c>
      <x:c r="T1374" s="31" t="n">
        <x:v>164.28401022036158</x:v>
      </x:c>
      <x:c r="U1374" s="31" t="n">
        <x:v>339.75824232</x:v>
      </x:c>
      <x:c r="V1374" s="31" t="n">
        <x:v>135</x:v>
      </x:c>
      <x:c r="W1374" s="31" t="n">
        <x:v>14.389256022170112</x:v>
      </x:c>
      <x:c r="X1374" s="31" t="n">
        <x:v>1.5563318777292576</x:v>
      </x:c>
      <x:c r="Y1374" s="40" t="n">
        <x:v>0</x:v>
      </x:c>
      <x:c r="Z1374" s="40" t="n">
        <x:v>1</x:v>
      </x:c>
      <x:c r="AA1374" s="40" t="n">
        <x:v>1</x:v>
      </x:c>
      <x:c r="AB1374" s="31" t="n">
        <x:v>0.03331006027840621</x:v>
      </x:c>
      <x:c r="AC1374" s="31" t="n">
        <x:v>6</x:v>
      </x:c>
      <x:c r="AD1374" s="44" t="b">
        <x:v>1</x:v>
      </x:c>
    </x:row>
    <x:row r="1375">
      <x:c r="A1375" s="31" t="str">
        <x:v>36061017800</x:v>
      </x:c>
      <x:c r="B1375" s="31" t="str">
        <x:v>Manhattan</x:v>
      </x:c>
      <x:c r="C1375" s="31" t="str">
        <x:v>017800</x:v>
      </x:c>
      <x:c r="D1375" s="31" t="str">
        <x:v>MN1102</x:v>
      </x:c>
      <x:c r="E1375" s="31" t="str">
        <x:v>East Harlem (North)</x:v>
      </x:c>
      <x:c r="F1375" s="31" t="n">
        <x:v>0.09552385196424472</x:v>
      </x:c>
      <x:c r="G1375" s="31" t="n">
        <x:v>40.794780938091655</x:v>
      </x:c>
      <x:c r="H1375" s="31" t="n">
        <x:v>-73.93364056477112</x:v>
      </x:c>
      <x:c r="I1375" s="31" t="n">
        <x:v>3860</x:v>
      </x:c>
      <x:c r="J1375" s="31" t="n">
        <x:v>40408.755725688556</x:v>
      </x:c>
      <x:c r="K1375" s="31"/>
      <x:c r="L1375" s="40"/>
      <x:c r="M1375" s="40"/>
      <x:c r="N1375" s="31" t="n">
        <x:v>224</x:v>
      </x:c>
      <x:c r="O1375" s="31" t="n">
        <x:v>1958</x:v>
      </x:c>
      <x:c r="P1375" s="31" t="n">
        <x:v>5.0964912280701755</x:v>
      </x:c>
      <x:c r="Q1375" s="40" t="n">
        <x:v>0</x:v>
      </x:c>
      <x:c r="R1375" s="40" t="n">
        <x:v>0.984167517875383</x:v>
      </x:c>
      <x:c r="S1375" s="40" t="n">
        <x:v>0.054647599591419814</x:v>
      </x:c>
      <x:c r="T1375" s="31" t="n">
        <x:v>58.944479019483396</x:v>
      </x:c>
      <x:c r="U1375" s="31" t="n">
        <x:v>92</x:v>
      </x:c>
      <x:c r="V1375" s="31" t="n">
        <x:v>26</x:v>
      </x:c>
      <x:c r="W1375" s="31" t="n">
        <x:v>6.7357512953367875</x:v>
      </x:c>
      <x:c r="X1375" s="31" t="n">
        <x:v>4.569458631256384</x:v>
      </x:c>
      <x:c r="Y1375" s="40" t="n">
        <x:v>1</x:v>
      </x:c>
      <x:c r="Z1375" s="40" t="n">
        <x:v>1</x:v>
      </x:c>
      <x:c r="AA1375" s="40" t="n">
        <x:v>0.9688457609805925</x:v>
      </x:c>
      <x:c r="AB1375" s="31" t="n">
        <x:v>0.05109508069160486</x:v>
      </x:c>
      <x:c r="AC1375" s="31" t="n">
        <x:v>5</x:v>
      </x:c>
      <x:c r="AD1375" s="44" t="b">
        <x:v>1</x:v>
      </x:c>
    </x:row>
    <x:row r="1376">
      <x:c r="A1376" s="31" t="str">
        <x:v>36061017900</x:v>
      </x:c>
      <x:c r="B1376" s="31" t="str">
        <x:v>Manhattan</x:v>
      </x:c>
      <x:c r="C1376" s="31" t="str">
        <x:v>017900</x:v>
      </x:c>
      <x:c r="D1376" s="31" t="str">
        <x:v>MN0702</x:v>
      </x:c>
      <x:c r="E1376" s="31" t="str">
        <x:v>Upper West Side (Central)</x:v>
      </x:c>
      <x:c r="F1376" s="31" t="n">
        <x:v>0.08172937307592976</x:v>
      </x:c>
      <x:c r="G1376" s="31" t="n">
        <x:v>40.79294213879007</x:v>
      </x:c>
      <x:c r="H1376" s="31" t="n">
        <x:v>-73.97567867377113</x:v>
      </x:c>
      <x:c r="I1376" s="31" t="n">
        <x:v>9103</x:v>
      </x:c>
      <x:c r="J1376" s="31" t="n">
        <x:v>111379.78498309244</x:v>
      </x:c>
      <x:c r="K1376" s="31"/>
      <x:c r="L1376" s="40"/>
      <x:c r="M1376" s="40"/>
      <x:c r="N1376" s="31" t="n">
        <x:v>150</x:v>
      </x:c>
      <x:c r="O1376" s="31" t="n">
        <x:v>4755</x:v>
      </x:c>
      <x:c r="P1376" s="31" t="n">
        <x:v>11.203110410094638</x:v>
      </x:c>
      <x:c r="Q1376" s="40" t="n">
        <x:v>0.6071503680336487</x:v>
      </x:c>
      <x:c r="R1376" s="40" t="n">
        <x:v>0.3928496319663512</x:v>
      </x:c>
      <x:c r="S1376" s="40" t="n">
        <x:v>0</x:v>
      </x:c>
      <x:c r="T1376" s="31" t="n">
        <x:v>121.6857711761472</x:v>
      </x:c>
      <x:c r="U1376" s="31" t="n">
        <x:v>211</x:v>
      </x:c>
      <x:c r="V1376" s="31" t="n">
        <x:v>141</x:v>
      </x:c>
      <x:c r="W1376" s="31" t="n">
        <x:v>15.489399099198067</x:v>
      </x:c>
      <x:c r="X1376" s="31" t="n">
        <x:v>1.71062039957939</x:v>
      </x:c>
      <x:c r="Y1376" s="40" t="n">
        <x:v>0</x:v>
      </x:c>
      <x:c r="Z1376" s="40" t="n">
        <x:v>1</x:v>
      </x:c>
      <x:c r="AA1376" s="40" t="n">
        <x:v>1</x:v>
      </x:c>
      <x:c r="AB1376" s="31" t="n">
        <x:v>0.17501622805917963</x:v>
      </x:c>
      <x:c r="AC1376" s="31" t="n">
        <x:v>5</x:v>
      </x:c>
      <x:c r="AD1376" s="44" t="b">
        <x:v>1</x:v>
      </x:c>
    </x:row>
    <x:row r="1377">
      <x:c r="A1377" s="31" t="str">
        <x:v>36061018000</x:v>
      </x:c>
      <x:c r="B1377" s="31" t="str">
        <x:v>Manhattan</x:v>
      </x:c>
      <x:c r="C1377" s="31" t="str">
        <x:v>018000</x:v>
      </x:c>
      <x:c r="D1377" s="31" t="str">
        <x:v>MN1102</x:v>
      </x:c>
      <x:c r="E1377" s="31" t="str">
        <x:v>East Harlem (North)</x:v>
      </x:c>
      <x:c r="F1377" s="31" t="n">
        <x:v>0.08205425193016816</x:v>
      </x:c>
      <x:c r="G1377" s="31" t="n">
        <x:v>40.7944019558499</x:v>
      </x:c>
      <x:c r="H1377" s="31" t="n">
        <x:v>-73.93959541659348</x:v>
      </x:c>
      <x:c r="I1377" s="31" t="n">
        <x:v>7429</x:v>
      </x:c>
      <x:c r="J1377" s="31" t="n">
        <x:v>90537.66045326222</x:v>
      </x:c>
      <x:c r="K1377" s="31"/>
      <x:c r="L1377" s="40"/>
      <x:c r="M1377" s="40"/>
      <x:c r="N1377" s="31" t="n">
        <x:v>164</x:v>
      </x:c>
      <x:c r="O1377" s="31" t="n">
        <x:v>3361</x:v>
      </x:c>
      <x:c r="P1377" s="31" t="n">
        <x:v>8.878310026777745</x:v>
      </x:c>
      <x:c r="Q1377" s="40" t="n">
        <x:v>0.36060696221362687</x:v>
      </x:c>
      <x:c r="R1377" s="40" t="n">
        <x:v>0.6393930377863731</x:v>
      </x:c>
      <x:c r="S1377" s="40" t="n">
        <x:v>0.41832787860755727</x:v>
      </x:c>
      <x:c r="T1377" s="31" t="n">
        <x:v>111.07762033866707</x:v>
      </x:c>
      <x:c r="U1377" s="31" t="n">
        <x:v>212</x:v>
      </x:c>
      <x:c r="V1377" s="31" t="n">
        <x:v>85</x:v>
      </x:c>
      <x:c r="W1377" s="31" t="n">
        <x:v>11.441647597254004</x:v>
      </x:c>
      <x:c r="X1377" s="31" t="n">
        <x:v>4</x:v>
      </x:c>
      <x:c r="Y1377" s="40" t="n">
        <x:v>1</x:v>
      </x:c>
      <x:c r="Z1377" s="40" t="n">
        <x:v>1</x:v>
      </x:c>
      <x:c r="AA1377" s="40" t="n">
        <x:v>1</x:v>
      </x:c>
      <x:c r="AB1377" s="31" t="n">
        <x:v>0.07348988100678051</x:v>
      </x:c>
      <x:c r="AC1377" s="31" t="n">
        <x:v>6</x:v>
      </x:c>
      <x:c r="AD1377" s="44" t="b">
        <x:v>1</x:v>
      </x:c>
    </x:row>
    <x:row r="1378">
      <x:c r="A1378" s="31" t="str">
        <x:v>36061018100</x:v>
      </x:c>
      <x:c r="B1378" s="31" t="str">
        <x:v>Manhattan</x:v>
      </x:c>
      <x:c r="C1378" s="31" t="str">
        <x:v>018100</x:v>
      </x:c>
      <x:c r="D1378" s="31" t="str">
        <x:v>MN0702</x:v>
      </x:c>
      <x:c r="E1378" s="31" t="str">
        <x:v>Upper West Side (Central)</x:v>
      </x:c>
      <x:c r="F1378" s="31" t="n">
        <x:v>0.053442912551294186</x:v>
      </x:c>
      <x:c r="G1378" s="31" t="n">
        <x:v>40.792555223825886</x:v>
      </x:c>
      <x:c r="H1378" s="31" t="n">
        <x:v>-73.96774566882289</x:v>
      </x:c>
      <x:c r="I1378" s="31" t="n">
        <x:v>8941</x:v>
      </x:c>
      <x:c r="J1378" s="31" t="n">
        <x:v>167300.01366258776</x:v>
      </x:c>
      <x:c r="K1378" s="31"/>
      <x:c r="L1378" s="40"/>
      <x:c r="M1378" s="40"/>
      <x:c r="N1378" s="31" t="n">
        <x:v>172</x:v>
      </x:c>
      <x:c r="O1378" s="31" t="n">
        <x:v>4789</x:v>
      </x:c>
      <x:c r="P1378" s="31" t="n">
        <x:v>15.833542582130153</x:v>
      </x:c>
      <x:c r="Q1378" s="40" t="n">
        <x:v>0.7780329922739612</x:v>
      </x:c>
      <x:c r="R1378" s="40" t="n">
        <x:v>0.21987888912090206</x:v>
      </x:c>
      <x:c r="S1378" s="40" t="n">
        <x:v>0.13865107538108165</x:v>
      </x:c>
      <x:c r="T1378" s="31" t="n">
        <x:v>150.18028457610777</x:v>
      </x:c>
      <x:c r="U1378" s="31" t="n">
        <x:v>321</x:v>
      </x:c>
      <x:c r="V1378" s="31" t="n">
        <x:v>113</x:v>
      </x:c>
      <x:c r="W1378" s="31" t="n">
        <x:v>12.638407336986916</x:v>
      </x:c>
      <x:c r="X1378" s="31" t="n">
        <x:v>2</x:v>
      </x:c>
      <x:c r="Y1378" s="40" t="n">
        <x:v>0</x:v>
      </x:c>
      <x:c r="Z1378" s="40" t="n">
        <x:v>1</x:v>
      </x:c>
      <x:c r="AA1378" s="40" t="n">
        <x:v>1</x:v>
      </x:c>
      <x:c r="AB1378" s="31" t="n">
        <x:v>0.16589939975697982</x:v>
      </x:c>
      <x:c r="AC1378" s="31" t="n">
        <x:v>5</x:v>
      </x:c>
      <x:c r="AD1378" s="44" t="b">
        <x:v>1</x:v>
      </x:c>
    </x:row>
    <x:row r="1379">
      <x:c r="A1379" s="31" t="str">
        <x:v>36061018200</x:v>
      </x:c>
      <x:c r="B1379" s="31" t="str">
        <x:v>Manhattan</x:v>
      </x:c>
      <x:c r="C1379" s="31" t="str">
        <x:v>018200</x:v>
      </x:c>
      <x:c r="D1379" s="31" t="str">
        <x:v>MN1102</x:v>
      </x:c>
      <x:c r="E1379" s="31" t="str">
        <x:v>East Harlem (North)</x:v>
      </x:c>
      <x:c r="F1379" s="31" t="n">
        <x:v>0.06829687891485882</x:v>
      </x:c>
      <x:c r="G1379" s="31" t="n">
        <x:v>40.798320181758854</x:v>
      </x:c>
      <x:c r="H1379" s="31" t="n">
        <x:v>-73.94184678522014</x:v>
      </x:c>
      <x:c r="I1379" s="31" t="n">
        <x:v>7675</x:v>
      </x:c>
      <x:c r="J1379" s="31" t="n">
        <x:v>112377.02398623388</x:v>
      </x:c>
      <x:c r="K1379" s="31"/>
      <x:c r="L1379" s="40"/>
      <x:c r="M1379" s="40"/>
      <x:c r="N1379" s="31" t="n">
        <x:v>122</x:v>
      </x:c>
      <x:c r="O1379" s="31" t="n">
        <x:v>3155</x:v>
      </x:c>
      <x:c r="P1379" s="31" t="n">
        <x:v>9.706331530384983</x:v>
      </x:c>
      <x:c r="Q1379" s="40" t="n">
        <x:v>0.47702060221870046</x:v>
      </x:c>
      <x:c r="R1379" s="40" t="n">
        <x:v>0.5172741679873217</x:v>
      </x:c>
      <x:c r="S1379" s="40" t="n">
        <x:v>0.42282091917591125</x:v>
      </x:c>
      <x:c r="T1379" s="31" t="n">
        <x:v>106.79586220693632</x:v>
      </x:c>
      <x:c r="U1379" s="31" t="n">
        <x:v>165.12</x:v>
      </x:c>
      <x:c r="V1379" s="31" t="n">
        <x:v>65</x:v>
      </x:c>
      <x:c r="W1379" s="31" t="n">
        <x:v>8.469055374592834</x:v>
      </x:c>
      <x:c r="X1379" s="31" t="n">
        <x:v>4.395245641838351</x:v>
      </x:c>
      <x:c r="Y1379" s="40" t="n">
        <x:v>1</x:v>
      </x:c>
      <x:c r="Z1379" s="40" t="n">
        <x:v>1</x:v>
      </x:c>
      <x:c r="AA1379" s="40" t="n">
        <x:v>0.9952456418383518</x:v>
      </x:c>
      <x:c r="AB1379" s="31" t="n">
        <x:v>0.0656101265495046</x:v>
      </x:c>
      <x:c r="AC1379" s="31" t="n">
        <x:v>8</x:v>
      </x:c>
      <x:c r="AD1379" s="44" t="b">
        <x:v>1</x:v>
      </x:c>
    </x:row>
    <x:row r="1380">
      <x:c r="A1380" s="31" t="str">
        <x:v>36061018300</x:v>
      </x:c>
      <x:c r="B1380" s="31" t="str">
        <x:v>Manhattan</x:v>
      </x:c>
      <x:c r="C1380" s="31" t="str">
        <x:v>018300</x:v>
      </x:c>
      <x:c r="D1380" s="31" t="str">
        <x:v>MN0702</x:v>
      </x:c>
      <x:c r="E1380" s="31" t="str">
        <x:v>Upper West Side (Central)</x:v>
      </x:c>
      <x:c r="F1380" s="31" t="n">
        <x:v>0.08576607846361341</x:v>
      </x:c>
      <x:c r="G1380" s="31" t="n">
        <x:v>40.79551446383847</x:v>
      </x:c>
      <x:c r="H1380" s="31" t="n">
        <x:v>-73.97384446594842</x:v>
      </x:c>
      <x:c r="I1380" s="31" t="n">
        <x:v>8534</x:v>
      </x:c>
      <x:c r="J1380" s="31" t="n">
        <x:v>99503.20864466927</x:v>
      </x:c>
      <x:c r="K1380" s="31"/>
      <x:c r="L1380" s="40"/>
      <x:c r="M1380" s="40"/>
      <x:c r="N1380" s="31" t="n">
        <x:v>98</x:v>
      </x:c>
      <x:c r="O1380" s="31" t="n">
        <x:v>4763</x:v>
      </x:c>
      <x:c r="P1380" s="31" t="n">
        <x:v>13.68864161242914</x:v>
      </x:c>
      <x:c r="Q1380" s="40" t="n">
        <x:v>0.6099097207642242</x:v>
      </x:c>
      <x:c r="R1380" s="40" t="n">
        <x:v>0.3772832248582826</x:v>
      </x:c>
      <x:c r="S1380" s="40" t="n">
        <x:v>0.012807054377493177</x:v>
      </x:c>
      <x:c r="T1380" s="31" t="n">
        <x:v>144.29751287542726</x:v>
      </x:c>
      <x:c r="U1380" s="31" t="n">
        <x:v>288</x:v>
      </x:c>
      <x:c r="V1380" s="31" t="n">
        <x:v>110</x:v>
      </x:c>
      <x:c r="W1380" s="31" t="n">
        <x:v>12.88961799859386</x:v>
      </x:c>
      <x:c r="X1380" s="31" t="n">
        <x:v>2</x:v>
      </x:c>
      <x:c r="Y1380" s="40" t="n">
        <x:v>0</x:v>
      </x:c>
      <x:c r="Z1380" s="40" t="n">
        <x:v>1</x:v>
      </x:c>
      <x:c r="AA1380" s="40" t="n">
        <x:v>1</x:v>
      </x:c>
      <x:c r="AB1380" s="31" t="n">
        <x:v>0.02798626799096573</x:v>
      </x:c>
      <x:c r="AC1380" s="31" t="n">
        <x:v>5</x:v>
      </x:c>
      <x:c r="AD1380" s="44" t="b">
        <x:v>1</x:v>
      </x:c>
    </x:row>
    <x:row r="1381">
      <x:c r="A1381" s="31" t="str">
        <x:v>36061018400</x:v>
      </x:c>
      <x:c r="B1381" s="31" t="str">
        <x:v>Manhattan</x:v>
      </x:c>
      <x:c r="C1381" s="31" t="str">
        <x:v>018400</x:v>
      </x:c>
      <x:c r="D1381" s="31" t="str">
        <x:v>MN1102</x:v>
      </x:c>
      <x:c r="E1381" s="31" t="str">
        <x:v>East Harlem (North)</x:v>
      </x:c>
      <x:c r="F1381" s="31" t="n">
        <x:v>0.06828112156436524</x:v>
      </x:c>
      <x:c r="G1381" s="31" t="n">
        <x:v>40.799685164016296</x:v>
      </x:c>
      <x:c r="H1381" s="31" t="n">
        <x:v>-73.94506540621309</x:v>
      </x:c>
      <x:c r="I1381" s="31" t="n">
        <x:v>7820</x:v>
      </x:c>
      <x:c r="J1381" s="31" t="n">
        <x:v>114526.5312115366</x:v>
      </x:c>
      <x:c r="K1381" s="31"/>
      <x:c r="L1381" s="40"/>
      <x:c r="M1381" s="40"/>
      <x:c r="N1381" s="31" t="n">
        <x:v>133</x:v>
      </x:c>
      <x:c r="O1381" s="31" t="n">
        <x:v>3237</x:v>
      </x:c>
      <x:c r="P1381" s="31" t="n">
        <x:v>11.90268767377201</x:v>
      </x:c>
      <x:c r="Q1381" s="40" t="n">
        <x:v>0.48810627123880135</x:v>
      </x:c>
      <x:c r="R1381" s="40" t="n">
        <x:v>0.5118937287611987</x:v>
      </x:c>
      <x:c r="S1381" s="40" t="n">
        <x:v>0.4769848625270312</x:v>
      </x:c>
      <x:c r="T1381" s="31" t="n">
        <x:v>119.33669867528903</x:v>
      </x:c>
      <x:c r="U1381" s="31" t="n">
        <x:v>184.77</x:v>
      </x:c>
      <x:c r="V1381" s="31" t="n">
        <x:v>53</x:v>
      </x:c>
      <x:c r="W1381" s="31" t="n">
        <x:v>6.7774936061381075</x:v>
      </x:c>
      <x:c r="X1381" s="31" t="n">
        <x:v>4.352795798578931</x:v>
      </x:c>
      <x:c r="Y1381" s="40" t="n">
        <x:v>1</x:v>
      </x:c>
      <x:c r="Z1381" s="40" t="n">
        <x:v>1</x:v>
      </x:c>
      <x:c r="AA1381" s="40" t="n">
        <x:v>0.9993821439604572</x:v>
      </x:c>
      <x:c r="AB1381" s="31" t="n">
        <x:v>0.08593903714647858</x:v>
      </x:c>
      <x:c r="AC1381" s="31" t="n">
        <x:v>8</x:v>
      </x:c>
      <x:c r="AD1381" s="44" t="b">
        <x:v>1</x:v>
      </x:c>
    </x:row>
    <x:row r="1382">
      <x:c r="A1382" s="31" t="str">
        <x:v>36061018500</x:v>
      </x:c>
      <x:c r="B1382" s="31" t="str">
        <x:v>Manhattan</x:v>
      </x:c>
      <x:c r="C1382" s="31" t="str">
        <x:v>018500</x:v>
      </x:c>
      <x:c r="D1382" s="31" t="str">
        <x:v>MN0703</x:v>
      </x:c>
      <x:c r="E1382" s="31" t="str">
        <x:v>Upper West Side-Manhattan Valley</x:v>
      </x:c>
      <x:c r="F1382" s="31" t="n">
        <x:v>0.050440772770316805</x:v>
      </x:c>
      <x:c r="G1382" s="31" t="n">
        <x:v>40.79449987593138</x:v>
      </x:c>
      <x:c r="H1382" s="31" t="n">
        <x:v>-73.96636058499044</x:v>
      </x:c>
      <x:c r="I1382" s="31" t="n">
        <x:v>5243</x:v>
      </x:c>
      <x:c r="J1382" s="31" t="n">
        <x:v>103943.68904445852</x:v>
      </x:c>
      <x:c r="K1382" s="31"/>
      <x:c r="L1382" s="40"/>
      <x:c r="M1382" s="40"/>
      <x:c r="N1382" s="31" t="n">
        <x:v>13</x:v>
      </x:c>
      <x:c r="O1382" s="31" t="n">
        <x:v>3363</x:v>
      </x:c>
      <x:c r="P1382" s="31" t="n">
        <x:v>18.705025275052037</x:v>
      </x:c>
      <x:c r="Q1382" s="40" t="n">
        <x:v>1</x:v>
      </x:c>
      <x:c r="R1382" s="40" t="n">
        <x:v>0</x:v>
      </x:c>
      <x:c r="S1382" s="40" t="n">
        <x:v>0</x:v>
      </x:c>
      <x:c r="T1382" s="31" t="n">
        <x:v>180.24224386515317</x:v>
      </x:c>
      <x:c r="U1382" s="31" t="n">
        <x:v>299.28818989</x:v>
      </x:c>
      <x:c r="V1382" s="31" t="n">
        <x:v>70</x:v>
      </x:c>
      <x:c r="W1382" s="31" t="n">
        <x:v>13.35113484646195</x:v>
      </x:c>
      <x:c r="X1382" s="31" t="n">
        <x:v>2</x:v>
      </x:c>
      <x:c r="Y1382" s="40" t="n">
        <x:v>0</x:v>
      </x:c>
      <x:c r="Z1382" s="40" t="n">
        <x:v>1</x:v>
      </x:c>
      <x:c r="AA1382" s="40" t="n">
        <x:v>1</x:v>
      </x:c>
      <x:c r="AB1382" s="31" t="n">
        <x:v>0.11752239054426175</x:v>
      </x:c>
      <x:c r="AC1382" s="31" t="n">
        <x:v>5</x:v>
      </x:c>
      <x:c r="AD1382" s="44" t="b">
        <x:v>1</x:v>
      </x:c>
    </x:row>
    <x:row r="1383">
      <x:c r="A1383" s="31" t="str">
        <x:v>36061018600</x:v>
      </x:c>
      <x:c r="B1383" s="31" t="str">
        <x:v>Manhattan</x:v>
      </x:c>
      <x:c r="C1383" s="31" t="str">
        <x:v>018600</x:v>
      </x:c>
      <x:c r="D1383" s="31" t="str">
        <x:v>MN1001</x:v>
      </x:c>
      <x:c r="E1383" s="31" t="str">
        <x:v>Harlem (South)</x:v>
      </x:c>
      <x:c r="F1383" s="31" t="n">
        <x:v>0.047051564740802916</x:v>
      </x:c>
      <x:c r="G1383" s="31" t="n">
        <x:v>40.79910225078946</x:v>
      </x:c>
      <x:c r="H1383" s="31" t="n">
        <x:v>-73.9497071320733</x:v>
      </x:c>
      <x:c r="I1383" s="31" t="n">
        <x:v>5127</x:v>
      </x:c>
      <x:c r="J1383" s="31" t="n">
        <x:v>108965.55785644017</x:v>
      </x:c>
      <x:c r="K1383" s="31"/>
      <x:c r="L1383" s="40"/>
      <x:c r="M1383" s="40"/>
      <x:c r="N1383" s="31" t="n">
        <x:v>19</x:v>
      </x:c>
      <x:c r="O1383" s="31" t="n">
        <x:v>1222</x:v>
      </x:c>
      <x:c r="P1383" s="31" t="n">
        <x:v>9.015139116202946</x:v>
      </x:c>
      <x:c r="Q1383" s="40" t="n">
        <x:v>0.43126022913256956</x:v>
      </x:c>
      <x:c r="R1383" s="40" t="n">
        <x:v>0.5687397708674304</x:v>
      </x:c>
      <x:c r="S1383" s="40" t="n">
        <x:v>0.527823240589198</x:v>
      </x:c>
      <x:c r="T1383" s="31" t="n">
        <x:v>102.50614498405075</x:v>
      </x:c>
      <x:c r="U1383" s="31" t="n">
        <x:v>142.26022613</x:v>
      </x:c>
      <x:c r="V1383" s="31" t="n">
        <x:v>34</x:v>
      </x:c>
      <x:c r="W1383" s="31" t="n">
        <x:v>6.631558416227813</x:v>
      </x:c>
      <x:c r="X1383" s="31" t="n">
        <x:v>5</x:v>
      </x:c>
      <x:c r="Y1383" s="40" t="n">
        <x:v>1</x:v>
      </x:c>
      <x:c r="Z1383" s="40" t="n">
        <x:v>1</x:v>
      </x:c>
      <x:c r="AA1383" s="40" t="n">
        <x:v>1</x:v>
      </x:c>
      <x:c r="AB1383" s="31" t="n">
        <x:v>0.04574876563914925</x:v>
      </x:c>
      <x:c r="AC1383" s="31" t="n">
        <x:v>7</x:v>
      </x:c>
      <x:c r="AD1383" s="44" t="b">
        <x:v>1</x:v>
      </x:c>
    </x:row>
    <x:row r="1384">
      <x:c r="A1384" s="31" t="str">
        <x:v>36061018700</x:v>
      </x:c>
      <x:c r="B1384" s="31" t="str">
        <x:v>Manhattan</x:v>
      </x:c>
      <x:c r="C1384" s="31" t="str">
        <x:v>018700</x:v>
      </x:c>
      <x:c r="D1384" s="31" t="str">
        <x:v>MN0703</x:v>
      </x:c>
      <x:c r="E1384" s="31" t="str">
        <x:v>Upper West Side-Manhattan Valley</x:v>
      </x:c>
      <x:c r="F1384" s="31" t="n">
        <x:v>0.08335816553927054</x:v>
      </x:c>
      <x:c r="G1384" s="31" t="n">
        <x:v>40.79809132674363</x:v>
      </x:c>
      <x:c r="H1384" s="31" t="n">
        <x:v>-73.97200784275653</x:v>
      </x:c>
      <x:c r="I1384" s="31" t="n">
        <x:v>9383</x:v>
      </x:c>
      <x:c r="J1384" s="31" t="n">
        <x:v>112562.45791037245</x:v>
      </x:c>
      <x:c r="K1384" s="31"/>
      <x:c r="L1384" s="40"/>
      <x:c r="M1384" s="40"/>
      <x:c r="N1384" s="31" t="n">
        <x:v>151</x:v>
      </x:c>
      <x:c r="O1384" s="31" t="n">
        <x:v>4533</x:v>
      </x:c>
      <x:c r="P1384" s="31" t="n">
        <x:v>11.723803220825062</x:v>
      </x:c>
      <x:c r="Q1384" s="40" t="n">
        <x:v>0.6360026472534746</x:v>
      </x:c>
      <x:c r="R1384" s="40" t="n">
        <x:v>0.3639973527465255</x:v>
      </x:c>
      <x:c r="S1384" s="40" t="n">
        <x:v>0</x:v>
      </x:c>
      <x:c r="T1384" s="31" t="n">
        <x:v>131.2164045979572</x:v>
      </x:c>
      <x:c r="U1384" s="31" t="n">
        <x:v>413.61488459</x:v>
      </x:c>
      <x:c r="V1384" s="31" t="n">
        <x:v>136</x:v>
      </x:c>
      <x:c r="W1384" s="31" t="n">
        <x:v>14.494298198870299</x:v>
      </x:c>
      <x:c r="X1384" s="31" t="n">
        <x:v>2</x:v>
      </x:c>
      <x:c r="Y1384" s="40" t="n">
        <x:v>0</x:v>
      </x:c>
      <x:c r="Z1384" s="40" t="n">
        <x:v>1</x:v>
      </x:c>
      <x:c r="AA1384" s="40" t="n">
        <x:v>1</x:v>
      </x:c>
      <x:c r="AB1384" s="31" t="n">
        <x:v>0.22935650428254134</x:v>
      </x:c>
      <x:c r="AC1384" s="31" t="n">
        <x:v>4</x:v>
      </x:c>
      <x:c r="AD1384" s="44" t="b">
        <x:v>1</x:v>
      </x:c>
    </x:row>
    <x:row r="1385">
      <x:c r="A1385" s="31" t="str">
        <x:v>36061018800</x:v>
      </x:c>
      <x:c r="B1385" s="31" t="str">
        <x:v>Manhattan</x:v>
      </x:c>
      <x:c r="C1385" s="31" t="str">
        <x:v>018800</x:v>
      </x:c>
      <x:c r="D1385" s="31" t="str">
        <x:v>MN1102</x:v>
      </x:c>
      <x:c r="E1385" s="31" t="str">
        <x:v>East Harlem (North)</x:v>
      </x:c>
      <x:c r="F1385" s="31" t="n">
        <x:v>0.057371318183611686</x:v>
      </x:c>
      <x:c r="G1385" s="31" t="n">
        <x:v>40.797596532890765</x:v>
      </x:c>
      <x:c r="H1385" s="31" t="n">
        <x:v>-73.93725963528348</x:v>
      </x:c>
      <x:c r="I1385" s="31" t="n">
        <x:v>5697</x:v>
      </x:c>
      <x:c r="J1385" s="31" t="n">
        <x:v>99300.4898679035</x:v>
      </x:c>
      <x:c r="K1385" s="31"/>
      <x:c r="L1385" s="40"/>
      <x:c r="M1385" s="40"/>
      <x:c r="N1385" s="31" t="n">
        <x:v>261</x:v>
      </x:c>
      <x:c r="O1385" s="31" t="n">
        <x:v>2661</x:v>
      </x:c>
      <x:c r="P1385" s="31" t="n">
        <x:v>6.137358490566037</x:v>
      </x:c>
      <x:c r="Q1385" s="40" t="n">
        <x:v>0.10860578729800827</x:v>
      </x:c>
      <x:c r="R1385" s="40" t="n">
        <x:v>0.8861330326944757</x:v>
      </x:c>
      <x:c r="S1385" s="40" t="n">
        <x:v>0.011273957158962795</x:v>
      </x:c>
      <x:c r="T1385" s="31" t="n">
        <x:v>59.49765690322532</x:v>
      </x:c>
      <x:c r="U1385" s="31" t="n">
        <x:v>117</x:v>
      </x:c>
      <x:c r="V1385" s="31" t="n">
        <x:v>33</x:v>
      </x:c>
      <x:c r="W1385" s="31" t="n">
        <x:v>5.792522380200105</x:v>
      </x:c>
      <x:c r="X1385" s="31" t="n">
        <x:v>4.633596392333709</x:v>
      </x:c>
      <x:c r="Y1385" s="40" t="n">
        <x:v>1</x:v>
      </x:c>
      <x:c r="Z1385" s="40" t="n">
        <x:v>1</x:v>
      </x:c>
      <x:c r="AA1385" s="40" t="n">
        <x:v>0.997369409996242</x:v>
      </x:c>
      <x:c r="AB1385" s="31" t="n">
        <x:v>0.040268177311841846</x:v>
      </x:c>
      <x:c r="AC1385" s="31" t="n">
        <x:v>6</x:v>
      </x:c>
      <x:c r="AD1385" s="44" t="b">
        <x:v>1</x:v>
      </x:c>
    </x:row>
    <x:row r="1386">
      <x:c r="A1386" s="31" t="str">
        <x:v>36061018900</x:v>
      </x:c>
      <x:c r="B1386" s="31" t="str">
        <x:v>Manhattan</x:v>
      </x:c>
      <x:c r="C1386" s="31" t="str">
        <x:v>018900</x:v>
      </x:c>
      <x:c r="D1386" s="31" t="str">
        <x:v>MN0703</x:v>
      </x:c>
      <x:c r="E1386" s="31" t="str">
        <x:v>Upper West Side-Manhattan Valley</x:v>
      </x:c>
      <x:c r="F1386" s="31" t="n">
        <x:v>0.1023721314756227</x:v>
      </x:c>
      <x:c r="G1386" s="31" t="n">
        <x:v>40.79733036116277</x:v>
      </x:c>
      <x:c r="H1386" s="31" t="n">
        <x:v>-73.96425158652545</x:v>
      </x:c>
      <x:c r="I1386" s="31" t="n">
        <x:v>11556</x:v>
      </x:c>
      <x:c r="J1386" s="31" t="n">
        <x:v>112882.28381521748</x:v>
      </x:c>
      <x:c r="K1386" s="31"/>
      <x:c r="L1386" s="40"/>
      <x:c r="M1386" s="40"/>
      <x:c r="N1386" s="31" t="n">
        <x:v>169</x:v>
      </x:c>
      <x:c r="O1386" s="31" t="n">
        <x:v>5304</x:v>
      </x:c>
      <x:c r="P1386" s="31" t="n">
        <x:v>11.205505279034691</x:v>
      </x:c>
      <x:c r="Q1386" s="40" t="n">
        <x:v>0.5094268476621417</x:v>
      </x:c>
      <x:c r="R1386" s="40" t="n">
        <x:v>0.4905731523378582</x:v>
      </x:c>
      <x:c r="S1386" s="40" t="n">
        <x:v>0.4259049773755656</x:v>
      </x:c>
      <x:c r="T1386" s="31" t="n">
        <x:v>122.00174652537154</x:v>
      </x:c>
      <x:c r="U1386" s="31" t="n">
        <x:v>215.52</x:v>
      </x:c>
      <x:c r="V1386" s="31" t="n">
        <x:v>94</x:v>
      </x:c>
      <x:c r="W1386" s="31" t="n">
        <x:v>8.134302526825891</x:v>
      </x:c>
      <x:c r="X1386" s="31" t="n">
        <x:v>2</x:v>
      </x:c>
      <x:c r="Y1386" s="40" t="n">
        <x:v>0</x:v>
      </x:c>
      <x:c r="Z1386" s="40" t="n">
        <x:v>1</x:v>
      </x:c>
      <x:c r="AA1386" s="40" t="n">
        <x:v>0.9996229260935143</x:v>
      </x:c>
      <x:c r="AB1386" s="31" t="n">
        <x:v>0.027410373132722626</x:v>
      </x:c>
      <x:c r="AC1386" s="31" t="n">
        <x:v>6</x:v>
      </x:c>
      <x:c r="AD1386" s="44" t="b">
        <x:v>1</x:v>
      </x:c>
    </x:row>
    <x:row r="1387">
      <x:c r="A1387" s="31" t="str">
        <x:v>36061019000</x:v>
      </x:c>
      <x:c r="B1387" s="31" t="str">
        <x:v>Manhattan</x:v>
      </x:c>
      <x:c r="C1387" s="31" t="str">
        <x:v>019000</x:v>
      </x:c>
      <x:c r="D1387" s="31" t="str">
        <x:v>MN1001</x:v>
      </x:c>
      <x:c r="E1387" s="31" t="str">
        <x:v>Harlem (South)</x:v>
      </x:c>
      <x:c r="F1387" s="31" t="n">
        <x:v>0.04008019500939796</x:v>
      </x:c>
      <x:c r="G1387" s="31" t="n">
        <x:v>40.80196167015649</x:v>
      </x:c>
      <x:c r="H1387" s="31" t="n">
        <x:v>-73.94761934537868</x:v>
      </x:c>
      <x:c r="I1387" s="31" t="n">
        <x:v>3679</x:v>
      </x:c>
      <x:c r="J1387" s="31" t="n">
        <x:v>91790.97055633966</x:v>
      </x:c>
      <x:c r="K1387" s="31"/>
      <x:c r="L1387" s="40"/>
      <x:c r="M1387" s="40"/>
      <x:c r="N1387" s="31" t="n">
        <x:v>68</x:v>
      </x:c>
      <x:c r="O1387" s="31" t="n">
        <x:v>1959</x:v>
      </x:c>
      <x:c r="P1387" s="31" t="n">
        <x:v>9.34558448187851</x:v>
      </x:c>
      <x:c r="Q1387" s="40" t="n">
        <x:v>0.555895865237366</x:v>
      </x:c>
      <x:c r="R1387" s="40" t="n">
        <x:v>0.444104134762634</x:v>
      </x:c>
      <x:c r="S1387" s="40" t="n">
        <x:v>0.017866258295048495</x:v>
      </x:c>
      <x:c r="T1387" s="31" t="n">
        <x:v>99.94240260579957</x:v>
      </x:c>
      <x:c r="U1387" s="31" t="n">
        <x:v>199.59640834</x:v>
      </x:c>
      <x:c r="V1387" s="31" t="n">
        <x:v>35</x:v>
      </x:c>
      <x:c r="W1387" s="31" t="n">
        <x:v>9.513454743136721</x:v>
      </x:c>
      <x:c r="X1387" s="31" t="n">
        <x:v>5</x:v>
      </x:c>
      <x:c r="Y1387" s="40" t="n">
        <x:v>1</x:v>
      </x:c>
      <x:c r="Z1387" s="40" t="n">
        <x:v>1</x:v>
      </x:c>
      <x:c r="AA1387" s="40" t="n">
        <x:v>0.9576314446145993</x:v>
      </x:c>
      <x:c r="AB1387" s="31" t="n">
        <x:v>0.05654543430372049</x:v>
      </x:c>
      <x:c r="AC1387" s="31" t="n">
        <x:v>6</x:v>
      </x:c>
      <x:c r="AD1387" s="44" t="b">
        <x:v>1</x:v>
      </x:c>
    </x:row>
    <x:row r="1388">
      <x:c r="A1388" s="31" t="str">
        <x:v>36061019100</x:v>
      </x:c>
      <x:c r="B1388" s="31" t="str">
        <x:v>Manhattan</x:v>
      </x:c>
      <x:c r="C1388" s="31" t="str">
        <x:v>019100</x:v>
      </x:c>
      <x:c r="D1388" s="31" t="str">
        <x:v>MN0703</x:v>
      </x:c>
      <x:c r="E1388" s="31" t="str">
        <x:v>Upper West Side-Manhattan Valley</x:v>
      </x:c>
      <x:c r="F1388" s="31" t="n">
        <x:v>0.08555737694236398</x:v>
      </x:c>
      <x:c r="G1388" s="31" t="n">
        <x:v>40.80063283870596</x:v>
      </x:c>
      <x:c r="H1388" s="31" t="n">
        <x:v>-73.97018011585476</x:v>
      </x:c>
      <x:c r="I1388" s="31" t="n">
        <x:v>9005</x:v>
      </x:c>
      <x:c r="J1388" s="31" t="n">
        <x:v>105251.00607123859</x:v>
      </x:c>
      <x:c r="K1388" s="31"/>
      <x:c r="L1388" s="40"/>
      <x:c r="M1388" s="40"/>
      <x:c r="N1388" s="31" t="n">
        <x:v>169</x:v>
      </x:c>
      <x:c r="O1388" s="31" t="n">
        <x:v>5012</x:v>
      </x:c>
      <x:c r="P1388" s="31" t="n">
        <x:v>11.21537213546948</x:v>
      </x:c>
      <x:c r="Q1388" s="40" t="n">
        <x:v>0.5642458100558659</x:v>
      </x:c>
      <x:c r="R1388" s="40" t="n">
        <x:v>0.4195929768555467</x:v>
      </x:c>
      <x:c r="S1388" s="40" t="n">
        <x:v>0.015363128491620111</x:v>
      </x:c>
      <x:c r="T1388" s="31" t="n">
        <x:v>126.40521349047049</x:v>
      </x:c>
      <x:c r="U1388" s="31" t="n">
        <x:v>299</x:v>
      </x:c>
      <x:c r="V1388" s="31" t="n">
        <x:v>121</x:v>
      </x:c>
      <x:c r="W1388" s="31" t="n">
        <x:v>13.436979455857857</x:v>
      </x:c>
      <x:c r="X1388" s="31" t="n">
        <x:v>2</x:v>
      </x:c>
      <x:c r="Y1388" s="40" t="n">
        <x:v>0</x:v>
      </x:c>
      <x:c r="Z1388" s="40" t="n">
        <x:v>1</x:v>
      </x:c>
      <x:c r="AA1388" s="40" t="n">
        <x:v>0.9838387869114126</x:v>
      </x:c>
      <x:c r="AB1388" s="31" t="n">
        <x:v>0.20855974666669638</x:v>
      </x:c>
      <x:c r="AC1388" s="31" t="n">
        <x:v>4</x:v>
      </x:c>
      <x:c r="AD1388" s="44" t="b">
        <x:v>1</x:v>
      </x:c>
    </x:row>
    <x:row r="1389">
      <x:c r="A1389" s="31" t="str">
        <x:v>36061019200</x:v>
      </x:c>
      <x:c r="B1389" s="31" t="str">
        <x:v>Manhattan</x:v>
      </x:c>
      <x:c r="C1389" s="31" t="str">
        <x:v>019200</x:v>
      </x:c>
      <x:c r="D1389" s="31" t="str">
        <x:v>MN1102</x:v>
      </x:c>
      <x:c r="E1389" s="31" t="str">
        <x:v>East Harlem (North)</x:v>
      </x:c>
      <x:c r="F1389" s="31" t="n">
        <x:v>0.07313119113256142</x:v>
      </x:c>
      <x:c r="G1389" s="31" t="n">
        <x:v>40.799146200668915</x:v>
      </x:c>
      <x:c r="H1389" s="31" t="n">
        <x:v>-73.93078271591813</x:v>
      </x:c>
      <x:c r="I1389" s="31" t="n">
        <x:v>3971</x:v>
      </x:c>
      <x:c r="J1389" s="31" t="n">
        <x:v>54299.67621889213</x:v>
      </x:c>
      <x:c r="K1389" s="31"/>
      <x:c r="L1389" s="40"/>
      <x:c r="M1389" s="40"/>
      <x:c r="N1389" s="31" t="n">
        <x:v>29</x:v>
      </x:c>
      <x:c r="O1389" s="31" t="n">
        <x:v>2240</x:v>
      </x:c>
      <x:c r="P1389" s="31" t="n">
        <x:v>14.583482142857143</x:v>
      </x:c>
      <x:c r="Q1389" s="40" t="n">
        <x:v>0.8982142857142857</x:v>
      </x:c>
      <x:c r="R1389" s="40" t="n">
        <x:v>0.09821428571428571</x:v>
      </x:c>
      <x:c r="S1389" s="40" t="n">
        <x:v>0.8102678571428571</x:v>
      </x:c>
      <x:c r="T1389" s="31" t="n">
        <x:v>144.54190878969644</x:v>
      </x:c>
      <x:c r="U1389" s="31" t="n">
        <x:v>157.71</x:v>
      </x:c>
      <x:c r="V1389" s="31" t="n">
        <x:v>29</x:v>
      </x:c>
      <x:c r="W1389" s="31" t="n">
        <x:v>7.3029463611181065</x:v>
      </x:c>
      <x:c r="X1389" s="31" t="n">
        <x:v>5</x:v>
      </x:c>
      <x:c r="Y1389" s="40" t="n">
        <x:v>1</x:v>
      </x:c>
      <x:c r="Z1389" s="40" t="n">
        <x:v>1</x:v>
      </x:c>
      <x:c r="AA1389" s="40" t="n">
        <x:v>1</x:v>
      </x:c>
      <x:c r="AB1389" s="31" t="n">
        <x:v>0.027602132787827787</x:v>
      </x:c>
      <x:c r="AC1389" s="31" t="n">
        <x:v>5</x:v>
      </x:c>
      <x:c r="AD1389" s="44" t="b">
        <x:v>1</x:v>
      </x:c>
    </x:row>
    <x:row r="1390">
      <x:c r="A1390" s="31" t="str">
        <x:v>36061019300</x:v>
      </x:c>
      <x:c r="B1390" s="31" t="str">
        <x:v>Manhattan</x:v>
      </x:c>
      <x:c r="C1390" s="31" t="str">
        <x:v>019300</x:v>
      </x:c>
      <x:c r="D1390" s="31" t="str">
        <x:v>MN0703</x:v>
      </x:c>
      <x:c r="E1390" s="31" t="str">
        <x:v>Upper West Side-Manhattan Valley</x:v>
      </x:c>
      <x:c r="F1390" s="31" t="n">
        <x:v>0.06789769483614555</x:v>
      </x:c>
      <x:c r="G1390" s="31" t="n">
        <x:v>40.80050464801045</x:v>
      </x:c>
      <x:c r="H1390" s="31" t="n">
        <x:v>-73.96195524001101</x:v>
      </x:c>
      <x:c r="I1390" s="31" t="n">
        <x:v>8736</x:v>
      </x:c>
      <x:c r="J1390" s="31" t="n">
        <x:v>128664.161884762</x:v>
      </x:c>
      <x:c r="K1390" s="31"/>
      <x:c r="L1390" s="40"/>
      <x:c r="M1390" s="40"/>
      <x:c r="N1390" s="31" t="n">
        <x:v>159</x:v>
      </x:c>
      <x:c r="O1390" s="31" t="n">
        <x:v>4777</x:v>
      </x:c>
      <x:c r="P1390" s="31" t="n">
        <x:v>7.789198241574209</x:v>
      </x:c>
      <x:c r="Q1390" s="40" t="n">
        <x:v>0.2729746702951643</x:v>
      </x:c>
      <x:c r="R1390" s="40" t="n">
        <x:v>0.726815993301235</x:v>
      </x:c>
      <x:c r="S1390" s="40" t="n">
        <x:v>0.14779150094201382</x:v>
      </x:c>
      <x:c r="T1390" s="31" t="n">
        <x:v>91.0646611377308</x:v>
      </x:c>
      <x:c r="U1390" s="31" t="n">
        <x:v>200</x:v>
      </x:c>
      <x:c r="V1390" s="31" t="n">
        <x:v>78</x:v>
      </x:c>
      <x:c r="W1390" s="31" t="n">
        <x:v>8.928571428571429</x:v>
      </x:c>
      <x:c r="X1390" s="31" t="n">
        <x:v>2</x:v>
      </x:c>
      <x:c r="Y1390" s="40" t="n">
        <x:v>0</x:v>
      </x:c>
      <x:c r="Z1390" s="40" t="n">
        <x:v>1</x:v>
      </x:c>
      <x:c r="AA1390" s="40" t="n">
        <x:v>1</x:v>
      </x:c>
      <x:c r="AB1390" s="31" t="n">
        <x:v>0.043364483911862865</x:v>
      </x:c>
      <x:c r="AC1390" s="31" t="n">
        <x:v>8</x:v>
      </x:c>
      <x:c r="AD1390" s="44" t="b">
        <x:v>1</x:v>
      </x:c>
    </x:row>
    <x:row r="1391">
      <x:c r="A1391" s="31" t="str">
        <x:v>36061019400</x:v>
      </x:c>
      <x:c r="B1391" s="31" t="str">
        <x:v>Manhattan</x:v>
      </x:c>
      <x:c r="C1391" s="31" t="str">
        <x:v>019400</x:v>
      </x:c>
      <x:c r="D1391" s="31" t="str">
        <x:v>MN1102</x:v>
      </x:c>
      <x:c r="E1391" s="31" t="str">
        <x:v>East Harlem (North)</x:v>
      </x:c>
      <x:c r="F1391" s="31" t="n">
        <x:v>0.0675283276773416</x:v>
      </x:c>
      <x:c r="G1391" s="31" t="n">
        <x:v>40.80046752721327</x:v>
      </x:c>
      <x:c r="H1391" s="31" t="n">
        <x:v>-73.93518291619453</x:v>
      </x:c>
      <x:c r="I1391" s="31" t="n">
        <x:v>6978</x:v>
      </x:c>
      <x:c r="J1391" s="31" t="n">
        <x:v>103334.41149826361</x:v>
      </x:c>
      <x:c r="K1391" s="31"/>
      <x:c r="L1391" s="40"/>
      <x:c r="M1391" s="40"/>
      <x:c r="N1391" s="31" t="n">
        <x:v>110</x:v>
      </x:c>
      <x:c r="O1391" s="31" t="n">
        <x:v>2904</x:v>
      </x:c>
      <x:c r="P1391" s="31" t="n">
        <x:v>16.28374655647383</x:v>
      </x:c>
      <x:c r="Q1391" s="40" t="n">
        <x:v>0.6787190082644629</x:v>
      </x:c>
      <x:c r="R1391" s="40" t="n">
        <x:v>0.31921487603305787</x:v>
      </x:c>
      <x:c r="S1391" s="40" t="n">
        <x:v>0.34263085399449034</x:v>
      </x:c>
      <x:c r="T1391" s="31" t="n">
        <x:v>154.27013275387776</x:v>
      </x:c>
      <x:c r="U1391" s="31" t="n">
        <x:v>325.37928254</x:v>
      </x:c>
      <x:c r="V1391" s="31" t="n">
        <x:v>48</x:v>
      </x:c>
      <x:c r="W1391" s="31" t="n">
        <x:v>6.878761822871883</x:v>
      </x:c>
      <x:c r="X1391" s="31" t="n">
        <x:v>5</x:v>
      </x:c>
      <x:c r="Y1391" s="40" t="n">
        <x:v>1</x:v>
      </x:c>
      <x:c r="Z1391" s="40" t="n">
        <x:v>1</x:v>
      </x:c>
      <x:c r="AA1391" s="40" t="n">
        <x:v>0.9972451790633609</x:v>
      </x:c>
      <x:c r="AB1391" s="31" t="n">
        <x:v>0.10976817141304876</x:v>
      </x:c>
      <x:c r="AC1391" s="31" t="n">
        <x:v>6</x:v>
      </x:c>
      <x:c r="AD1391" s="44" t="b">
        <x:v>1</x:v>
      </x:c>
    </x:row>
    <x:row r="1392">
      <x:c r="A1392" s="31" t="str">
        <x:v>36061019500</x:v>
      </x:c>
      <x:c r="B1392" s="31" t="str">
        <x:v>Manhattan</x:v>
      </x:c>
      <x:c r="C1392" s="31" t="str">
        <x:v>019500</x:v>
      </x:c>
      <x:c r="D1392" s="31" t="str">
        <x:v>MN0703</x:v>
      </x:c>
      <x:c r="E1392" s="31" t="str">
        <x:v>Upper West Side-Manhattan Valley</x:v>
      </x:c>
      <x:c r="F1392" s="31" t="n">
        <x:v>0.08387484540396867</x:v>
      </x:c>
      <x:c r="G1392" s="31" t="n">
        <x:v>40.80315575309433</x:v>
      </x:c>
      <x:c r="H1392" s="31" t="n">
        <x:v>-73.96833059901319</x:v>
      </x:c>
      <x:c r="I1392" s="31" t="n">
        <x:v>7828</x:v>
      </x:c>
      <x:c r="J1392" s="31" t="n">
        <x:v>93329.53118778096</x:v>
      </x:c>
      <x:c r="K1392" s="31"/>
      <x:c r="L1392" s="40"/>
      <x:c r="M1392" s="40"/>
      <x:c r="N1392" s="31" t="n">
        <x:v>138</x:v>
      </x:c>
      <x:c r="O1392" s="31" t="n">
        <x:v>4005</x:v>
      </x:c>
      <x:c r="P1392" s="31" t="n">
        <x:v>9.597752808988764</x:v>
      </x:c>
      <x:c r="Q1392" s="40" t="n">
        <x:v>0.4721598002496879</x:v>
      </x:c>
      <x:c r="R1392" s="40" t="n">
        <x:v>0.5278401997503122</x:v>
      </x:c>
      <x:c r="S1392" s="40" t="n">
        <x:v>0</x:v>
      </x:c>
      <x:c r="T1392" s="31" t="n">
        <x:v>107.34458574510138</x:v>
      </x:c>
      <x:c r="U1392" s="31" t="n">
        <x:v>204</x:v>
      </x:c>
      <x:c r="V1392" s="31" t="n">
        <x:v>98</x:v>
      </x:c>
      <x:c r="W1392" s="31" t="n">
        <x:v>12.51916198262647</x:v>
      </x:c>
      <x:c r="X1392" s="31" t="n">
        <x:v>2</x:v>
      </x:c>
      <x:c r="Y1392" s="40" t="n">
        <x:v>0</x:v>
      </x:c>
      <x:c r="Z1392" s="40" t="n">
        <x:v>1</x:v>
      </x:c>
      <x:c r="AA1392" s="40" t="n">
        <x:v>0.9975031210986267</x:v>
      </x:c>
      <x:c r="AB1392" s="31" t="n">
        <x:v>0.1286564662383725</x:v>
      </x:c>
      <x:c r="AC1392" s="31" t="n">
        <x:v>5</x:v>
      </x:c>
      <x:c r="AD1392" s="44" t="b">
        <x:v>1</x:v>
      </x:c>
    </x:row>
    <x:row r="1393">
      <x:c r="A1393" s="31" t="str">
        <x:v>36061019600</x:v>
      </x:c>
      <x:c r="B1393" s="31" t="str">
        <x:v>Manhattan</x:v>
      </x:c>
      <x:c r="C1393" s="31" t="str">
        <x:v>019600</x:v>
      </x:c>
      <x:c r="D1393" s="31" t="str">
        <x:v>MN1102</x:v>
      </x:c>
      <x:c r="E1393" s="31" t="str">
        <x:v>East Harlem (North)</x:v>
      </x:c>
      <x:c r="F1393" s="31" t="n">
        <x:v>0.06824112099618343</x:v>
      </x:c>
      <x:c r="G1393" s="31" t="n">
        <x:v>40.802807135522634</x:v>
      </x:c>
      <x:c r="H1393" s="31" t="n">
        <x:v>-73.93857022953306</x:v>
      </x:c>
      <x:c r="I1393" s="31" t="n">
        <x:v>4031</x:v>
      </x:c>
      <x:c r="J1393" s="31" t="n">
        <x:v>59069.95578553648</x:v>
      </x:c>
      <x:c r="K1393" s="31"/>
      <x:c r="L1393" s="40"/>
      <x:c r="M1393" s="40"/>
      <x:c r="N1393" s="31" t="n">
        <x:v>74</x:v>
      </x:c>
      <x:c r="O1393" s="31" t="n">
        <x:v>2383</x:v>
      </x:c>
      <x:c r="P1393" s="31" t="n">
        <x:v>12.281721384205856</x:v>
      </x:c>
      <x:c r="Q1393" s="40" t="n">
        <x:v>0.5984053713806127</x:v>
      </x:c>
      <x:c r="R1393" s="40" t="n">
        <x:v>0.3428451531682753</x:v>
      </x:c>
      <x:c r="S1393" s="40" t="n">
        <x:v>0.03776751993285774</x:v>
      </x:c>
      <x:c r="T1393" s="31" t="n">
        <x:v>124.30133129719165</x:v>
      </x:c>
      <x:c r="U1393" s="31" t="n">
        <x:v>279.46832811</x:v>
      </x:c>
      <x:c r="V1393" s="31" t="n">
        <x:v>44</x:v>
      </x:c>
      <x:c r="W1393" s="31" t="n">
        <x:v>10.915405606549243</x:v>
      </x:c>
      <x:c r="X1393" s="31" t="n">
        <x:v>5</x:v>
      </x:c>
      <x:c r="Y1393" s="40" t="n">
        <x:v>1</x:v>
      </x:c>
      <x:c r="Z1393" s="40" t="n">
        <x:v>1</x:v>
      </x:c>
      <x:c r="AA1393" s="40" t="n">
        <x:v>0.9458665547629039</x:v>
      </x:c>
      <x:c r="AB1393" s="31" t="n">
        <x:v>0.13401470390524084</x:v>
      </x:c>
      <x:c r="AC1393" s="31" t="n">
        <x:v>7</x:v>
      </x:c>
      <x:c r="AD1393" s="44" t="b">
        <x:v>1</x:v>
      </x:c>
    </x:row>
    <x:row r="1394">
      <x:c r="A1394" s="31" t="str">
        <x:v>36061019701</x:v>
      </x:c>
      <x:c r="B1394" s="31" t="str">
        <x:v>Manhattan</x:v>
      </x:c>
      <x:c r="C1394" s="31" t="str">
        <x:v>019701</x:v>
      </x:c>
      <x:c r="D1394" s="31" t="str">
        <x:v>MN0901</x:v>
      </x:c>
      <x:c r="E1394" s="31" t="str">
        <x:v>Morningside Heights</x:v>
      </x:c>
      <x:c r="F1394" s="31" t="n">
        <x:v>0.09096421144111572</x:v>
      </x:c>
      <x:c r="G1394" s="31" t="n">
        <x:v>40.805312651510675</x:v>
      </x:c>
      <x:c r="H1394" s="31" t="n">
        <x:v>-73.95940123841562</x:v>
      </x:c>
      <x:c r="I1394" s="31" t="n">
        <x:v>1278</x:v>
      </x:c>
      <x:c r="J1394" s="31" t="n">
        <x:v>14049.481436194208</x:v>
      </x:c>
      <x:c r="K1394" s="31"/>
      <x:c r="L1394" s="40"/>
      <x:c r="M1394" s="40"/>
      <x:c r="N1394" s="31" t="n">
        <x:v>3</x:v>
      </x:c>
      <x:c r="O1394" s="31" t="n">
        <x:v>931</x:v>
      </x:c>
      <x:c r="P1394" s="31" t="n">
        <x:v>14.62298603651987</x:v>
      </x:c>
      <x:c r="Q1394" s="40" t="n">
        <x:v>1</x:v>
      </x:c>
      <x:c r="R1394" s="40" t="n">
        <x:v>0</x:v>
      </x:c>
      <x:c r="S1394" s="40" t="n">
        <x:v>0</x:v>
      </x:c>
      <x:c r="T1394" s="31" t="n">
        <x:v>158.7655172413793</x:v>
      </x:c>
      <x:c r="U1394" s="31" t="n">
        <x:v>173</x:v>
      </x:c>
      <x:c r="V1394" s="31" t="n">
        <x:v>21</x:v>
      </x:c>
      <x:c r="W1394" s="31" t="n">
        <x:v>16.431924882629108</x:v>
      </x:c>
      <x:c r="X1394" s="31" t="n">
        <x:v>2</x:v>
      </x:c>
      <x:c r="Y1394" s="40" t="n">
        <x:v>0</x:v>
      </x:c>
      <x:c r="Z1394" s="40" t="n">
        <x:v>1</x:v>
      </x:c>
      <x:c r="AA1394" s="40" t="n">
        <x:v>0.7787325456498388</x:v>
      </x:c>
      <x:c r="AB1394" s="31" t="n">
        <x:v>0.08025497167042857</x:v>
      </x:c>
      <x:c r="AC1394" s="31" t="n">
        <x:v>11</x:v>
      </x:c>
      <x:c r="AD1394" s="44" t="b">
        <x:v>1</x:v>
      </x:c>
    </x:row>
    <x:row r="1395">
      <x:c r="A1395" s="31" t="str">
        <x:v>36061019702</x:v>
      </x:c>
      <x:c r="B1395" s="31" t="str">
        <x:v>Manhattan</x:v>
      </x:c>
      <x:c r="C1395" s="31" t="str">
        <x:v>019702</x:v>
      </x:c>
      <x:c r="D1395" s="31" t="str">
        <x:v>MN1001</x:v>
      </x:c>
      <x:c r="E1395" s="31" t="str">
        <x:v>Harlem (South)</x:v>
      </x:c>
      <x:c r="F1395" s="31" t="n">
        <x:v>0.018278033117790117</x:v>
      </x:c>
      <x:c r="G1395" s="31" t="n">
        <x:v>40.8021910534584</x:v>
      </x:c>
      <x:c r="H1395" s="31" t="n">
        <x:v>-73.95798716406306</x:v>
      </x:c>
      <x:c r="I1395" s="31" t="n">
        <x:v>2601</x:v>
      </x:c>
      <x:c r="J1395" s="31" t="n">
        <x:v>142301.96341358148</x:v>
      </x:c>
      <x:c r="K1395" s="31"/>
      <x:c r="L1395" s="40"/>
      <x:c r="M1395" s="40"/>
      <x:c r="N1395" s="31" t="n">
        <x:v>72</x:v>
      </x:c>
      <x:c r="O1395" s="31" t="n">
        <x:v>1352</x:v>
      </x:c>
      <x:c r="P1395" s="31" t="n">
        <x:v>6.921532846715328</x:v>
      </x:c>
      <x:c r="Q1395" s="40" t="n">
        <x:v>0.13165680473372782</x:v>
      </x:c>
      <x:c r="R1395" s="40" t="n">
        <x:v>0.6789940828402367</x:v>
      </x:c>
      <x:c r="S1395" s="40" t="n">
        <x:v>0.022189349112426034</x:v>
      </x:c>
      <x:c r="T1395" s="31" t="n">
        <x:v>101.31272901207944</x:v>
      </x:c>
      <x:c r="U1395" s="31" t="n">
        <x:v>274</x:v>
      </x:c>
      <x:c r="V1395" s="31" t="n">
        <x:v>28</x:v>
      </x:c>
      <x:c r="W1395" s="31" t="n">
        <x:v>10.765090349865437</x:v>
      </x:c>
      <x:c r="X1395" s="31" t="n">
        <x:v>5</x:v>
      </x:c>
      <x:c r="Y1395" s="40" t="n">
        <x:v>1</x:v>
      </x:c>
      <x:c r="Z1395" s="40" t="n">
        <x:v>1</x:v>
      </x:c>
      <x:c r="AA1395" s="40" t="n">
        <x:v>0.9497041420118343</x:v>
      </x:c>
      <x:c r="AB1395" s="31" t="n">
        <x:v>0.13702505888531866</x:v>
      </x:c>
      <x:c r="AC1395" s="31" t="n">
        <x:v>6</x:v>
      </x:c>
      <x:c r="AD1395" s="44" t="b">
        <x:v>1</x:v>
      </x:c>
    </x:row>
    <x:row r="1396">
      <x:c r="A1396" s="31" t="str">
        <x:v>36061019800</x:v>
      </x:c>
      <x:c r="B1396" s="31" t="str">
        <x:v>Manhattan</x:v>
      </x:c>
      <x:c r="C1396" s="31" t="str">
        <x:v>019800</x:v>
      </x:c>
      <x:c r="D1396" s="31" t="str">
        <x:v>MN1102</x:v>
      </x:c>
      <x:c r="E1396" s="31" t="str">
        <x:v>East Harlem (North)</x:v>
      </x:c>
      <x:c r="F1396" s="31" t="n">
        <x:v>0.08773415298008494</x:v>
      </x:c>
      <x:c r="G1396" s="31" t="n">
        <x:v>40.804304562335346</x:v>
      </x:c>
      <x:c r="H1396" s="31" t="n">
        <x:v>-73.94237804960486</x:v>
      </x:c>
      <x:c r="I1396" s="31" t="n">
        <x:v>2370</x:v>
      </x:c>
      <x:c r="J1396" s="31" t="n">
        <x:v>27013.425439212642</x:v>
      </x:c>
      <x:c r="K1396" s="31"/>
      <x:c r="L1396" s="40"/>
      <x:c r="M1396" s="40"/>
      <x:c r="N1396" s="31" t="n">
        <x:v>90</x:v>
      </x:c>
      <x:c r="O1396" s="31" t="n">
        <x:v>1524</x:v>
      </x:c>
      <x:c r="P1396" s="31" t="n">
        <x:v>12.159448818897637</x:v>
      </x:c>
      <x:c r="Q1396" s="40" t="n">
        <x:v>0.47834645669291337</x:v>
      </x:c>
      <x:c r="R1396" s="40" t="n">
        <x:v>0.5216535433070866</x:v>
      </x:c>
      <x:c r="S1396" s="40" t="n">
        <x:v>0.03346456692913386</x:v>
      </x:c>
      <x:c r="T1396" s="31" t="n">
        <x:v>131.47589674938374</x:v>
      </x:c>
      <x:c r="U1396" s="31" t="n">
        <x:v>319.47136341</x:v>
      </x:c>
      <x:c r="V1396" s="31" t="n">
        <x:v>24</x:v>
      </x:c>
      <x:c r="W1396" s="31" t="n">
        <x:v>10.126582278481013</x:v>
      </x:c>
      <x:c r="X1396" s="31" t="n">
        <x:v>5</x:v>
      </x:c>
      <x:c r="Y1396" s="40" t="n">
        <x:v>1</x:v>
      </x:c>
      <x:c r="Z1396" s="40" t="n">
        <x:v>1</x:v>
      </x:c>
      <x:c r="AA1396" s="40" t="n">
        <x:v>0.937007874015748</x:v>
      </x:c>
      <x:c r="AB1396" s="31" t="n">
        <x:v>0.1111620412706822</x:v>
      </x:c>
      <x:c r="AC1396" s="31" t="n">
        <x:v>8</x:v>
      </x:c>
      <x:c r="AD1396" s="44" t="b">
        <x:v>1</x:v>
      </x:c>
    </x:row>
    <x:row r="1397">
      <x:c r="A1397" s="31" t="str">
        <x:v>36061019900</x:v>
      </x:c>
      <x:c r="B1397" s="31" t="str">
        <x:v>Manhattan</x:v>
      </x:c>
      <x:c r="C1397" s="31" t="str">
        <x:v>019900</x:v>
      </x:c>
      <x:c r="D1397" s="31" t="str">
        <x:v>MN0901</x:v>
      </x:c>
      <x:c r="E1397" s="31" t="str">
        <x:v>Morningside Heights</x:v>
      </x:c>
      <x:c r="F1397" s="31" t="n">
        <x:v>0.08632408015775656</x:v>
      </x:c>
      <x:c r="G1397" s="31" t="n">
        <x:v>40.80571199224096</x:v>
      </x:c>
      <x:c r="H1397" s="31" t="n">
        <x:v>-73.96653277165882</x:v>
      </x:c>
      <x:c r="I1397" s="31" t="n">
        <x:v>9598</x:v>
      </x:c>
      <x:c r="J1397" s="31" t="n">
        <x:v>111185.66201296015</x:v>
      </x:c>
      <x:c r="K1397" s="31"/>
      <x:c r="L1397" s="40"/>
      <x:c r="M1397" s="40"/>
      <x:c r="N1397" s="31" t="n">
        <x:v>111</x:v>
      </x:c>
      <x:c r="O1397" s="31" t="n">
        <x:v>4325</x:v>
      </x:c>
      <x:c r="P1397" s="31" t="n">
        <x:v>9.437225433526011</x:v>
      </x:c>
      <x:c r="Q1397" s="40" t="n">
        <x:v>0.43213872832369943</x:v>
      </x:c>
      <x:c r="R1397" s="40" t="n">
        <x:v>0.5678612716763006</x:v>
      </x:c>
      <x:c r="S1397" s="40" t="n">
        <x:v>0</x:v>
      </x:c>
      <x:c r="T1397" s="31" t="n">
        <x:v>108.65297676418035</x:v>
      </x:c>
      <x:c r="U1397" s="31" t="n">
        <x:v>227.42</x:v>
      </x:c>
      <x:c r="V1397" s="31" t="n">
        <x:v>108</x:v>
      </x:c>
      <x:c r="W1397" s="31" t="n">
        <x:v>11.252344238382996</x:v>
      </x:c>
      <x:c r="X1397" s="31" t="n">
        <x:v>2</x:v>
      </x:c>
      <x:c r="Y1397" s="40" t="n">
        <x:v>0</x:v>
      </x:c>
      <x:c r="Z1397" s="40" t="n">
        <x:v>1</x:v>
      </x:c>
      <x:c r="AA1397" s="40" t="n">
        <x:v>1</x:v>
      </x:c>
      <x:c r="AB1397" s="31" t="n">
        <x:v>0.10183457347362407</x:v>
      </x:c>
      <x:c r="AC1397" s="31" t="n">
        <x:v>6</x:v>
      </x:c>
      <x:c r="AD1397" s="44" t="b">
        <x:v>1</x:v>
      </x:c>
    </x:row>
    <x:row r="1398">
      <x:c r="A1398" s="31" t="str">
        <x:v>36061020000</x:v>
      </x:c>
      <x:c r="B1398" s="31" t="str">
        <x:v>Manhattan</x:v>
      </x:c>
      <x:c r="C1398" s="31" t="str">
        <x:v>020000</x:v>
      </x:c>
      <x:c r="D1398" s="31" t="str">
        <x:v>MN1001</x:v>
      </x:c>
      <x:c r="E1398" s="31" t="str">
        <x:v>Harlem (South)</x:v>
      </x:c>
      <x:c r="F1398" s="31" t="n">
        <x:v>0.04936896214990817</x:v>
      </x:c>
      <x:c r="G1398" s="31" t="n">
        <x:v>40.805794029758886</x:v>
      </x:c>
      <x:c r="H1398" s="31" t="n">
        <x:v>-73.94523314510657</x:v>
      </x:c>
      <x:c r="I1398" s="31" t="n">
        <x:v>2855</x:v>
      </x:c>
      <x:c r="J1398" s="31" t="n">
        <x:v>57829.85656718551</x:v>
      </x:c>
      <x:c r="K1398" s="31"/>
      <x:c r="L1398" s="40"/>
      <x:c r="M1398" s="40"/>
      <x:c r="N1398" s="31" t="n">
        <x:v>245</x:v>
      </x:c>
      <x:c r="O1398" s="31" t="n">
        <x:v>1947</x:v>
      </x:c>
      <x:c r="P1398" s="31" t="n">
        <x:v>6.6248073959938365</x:v>
      </x:c>
      <x:c r="Q1398" s="40" t="n">
        <x:v>0.12788906009244994</x:v>
      </x:c>
      <x:c r="R1398" s="40" t="n">
        <x:v>0.8710837185413457</x:v>
      </x:c>
      <x:c r="S1398" s="40" t="n">
        <x:v>0.03133025166923472</x:v>
      </x:c>
      <x:c r="T1398" s="31" t="n">
        <x:v>68.49535944896918</x:v>
      </x:c>
      <x:c r="U1398" s="31" t="n">
        <x:v>181</x:v>
      </x:c>
      <x:c r="V1398" s="31" t="n">
        <x:v>41</x:v>
      </x:c>
      <x:c r="W1398" s="31" t="n">
        <x:v>14.36077057793345</x:v>
      </x:c>
      <x:c r="X1398" s="31" t="n">
        <x:v>4.235233692860811</x:v>
      </x:c>
      <x:c r="Y1398" s="40" t="n">
        <x:v>1</x:v>
      </x:c>
      <x:c r="Z1398" s="40" t="n">
        <x:v>1</x:v>
      </x:c>
      <x:c r="AA1398" s="40" t="n">
        <x:v>0.9666153055983564</x:v>
      </x:c>
      <x:c r="AB1398" s="31" t="n">
        <x:v>0.06643986794529125</x:v>
      </x:c>
      <x:c r="AC1398" s="31" t="n">
        <x:v>8</x:v>
      </x:c>
      <x:c r="AD1398" s="44" t="b">
        <x:v>1</x:v>
      </x:c>
    </x:row>
    <x:row r="1399">
      <x:c r="A1399" s="31" t="str">
        <x:v>36061020101</x:v>
      </x:c>
      <x:c r="B1399" s="31" t="str">
        <x:v>Manhattan</x:v>
      </x:c>
      <x:c r="C1399" s="31" t="str">
        <x:v>020101</x:v>
      </x:c>
      <x:c r="D1399" s="31" t="str">
        <x:v>MN0901</x:v>
      </x:c>
      <x:c r="E1399" s="31" t="str">
        <x:v>Morningside Heights</x:v>
      </x:c>
      <x:c r="F1399" s="31" t="n">
        <x:v>0.02127730616746298</x:v>
      </x:c>
      <x:c r="G1399" s="31" t="n">
        <x:v>40.80643585223326</x:v>
      </x:c>
      <x:c r="H1399" s="31" t="n">
        <x:v>-73.96020533565718</x:v>
      </x:c>
      <x:c r="I1399" s="31" t="n">
        <x:v>1863</x:v>
      </x:c>
      <x:c r="J1399" s="31" t="n">
        <x:v>87558.07644714342</x:v>
      </x:c>
      <x:c r="K1399" s="31"/>
      <x:c r="L1399" s="40"/>
      <x:c r="M1399" s="40"/>
      <x:c r="N1399" s="31" t="n">
        <x:v>13</x:v>
      </x:c>
      <x:c r="O1399" s="31" t="n">
        <x:v>512</x:v>
      </x:c>
      <x:c r="P1399" s="31" t="n">
        <x:v>11.8515625</x:v>
      </x:c>
      <x:c r="Q1399" s="40" t="n">
        <x:v>0.43359375</x:v>
      </x:c>
      <x:c r="R1399" s="40" t="n">
        <x:v>0.56640625</x:v>
      </x:c>
      <x:c r="S1399" s="40" t="n">
        <x:v>0</x:v>
      </x:c>
      <x:c r="T1399" s="31" t="n">
        <x:v>125.43220703125</x:v>
      </x:c>
      <x:c r="U1399" s="31" t="n">
        <x:v>222.97</x:v>
      </x:c>
      <x:c r="V1399" s="31" t="n">
        <x:v>17</x:v>
      </x:c>
      <x:c r="W1399" s="31" t="n">
        <x:v>9.12506709608159</x:v>
      </x:c>
      <x:c r="X1399" s="31" t="n">
        <x:v>3.015625</x:v>
      </x:c>
      <x:c r="Y1399" s="40" t="n">
        <x:v>0.5078125</x:v>
      </x:c>
      <x:c r="Z1399" s="40" t="n">
        <x:v>1</x:v>
      </x:c>
      <x:c r="AA1399" s="40" t="n">
        <x:v>1</x:v>
      </x:c>
      <x:c r="AB1399" s="31" t="n">
        <x:v>0.08715727620637029</x:v>
      </x:c>
      <x:c r="AC1399" s="31" t="n">
        <x:v>4</x:v>
      </x:c>
      <x:c r="AD1399" s="44" t="b">
        <x:v>1</x:v>
      </x:c>
    </x:row>
    <x:row r="1400">
      <x:c r="A1400" s="31" t="str">
        <x:v>36061020102</x:v>
      </x:c>
      <x:c r="B1400" s="31" t="str">
        <x:v>Manhattan</x:v>
      </x:c>
      <x:c r="C1400" s="31" t="str">
        <x:v>020102</x:v>
      </x:c>
      <x:c r="D1400" s="31" t="str">
        <x:v>MN1001</x:v>
      </x:c>
      <x:c r="E1400" s="31" t="str">
        <x:v>Harlem (South)</x:v>
      </x:c>
      <x:c r="F1400" s="31" t="n">
        <x:v>0.03235279748844984</x:v>
      </x:c>
      <x:c r="G1400" s="31" t="n">
        <x:v>40.805052878920414</x:v>
      </x:c>
      <x:c r="H1400" s="31" t="n">
        <x:v>-73.95664189559308</x:v>
      </x:c>
      <x:c r="I1400" s="31" t="n">
        <x:v>4077</x:v>
      </x:c>
      <x:c r="J1400" s="31" t="n">
        <x:v>126016.92331105264</x:v>
      </x:c>
      <x:c r="K1400" s="31"/>
      <x:c r="L1400" s="40"/>
      <x:c r="M1400" s="40"/>
      <x:c r="N1400" s="31" t="n">
        <x:v>123</x:v>
      </x:c>
      <x:c r="O1400" s="31" t="n">
        <x:v>1820</x:v>
      </x:c>
      <x:c r="P1400" s="31" t="n">
        <x:v>5.931444759206799</x:v>
      </x:c>
      <x:c r="Q1400" s="40" t="n">
        <x:v>0.045054945054945054</x:v>
      </x:c>
      <x:c r="R1400" s="40" t="n">
        <x:v>0.9230769230769231</x:v>
      </x:c>
      <x:c r="S1400" s="40" t="n">
        <x:v>0.05274725274725275</x:v>
      </x:c>
      <x:c r="T1400" s="31" t="n">
        <x:v>72.64034673973079</x:v>
      </x:c>
      <x:c r="U1400" s="31" t="n">
        <x:v>140.88438954</x:v>
      </x:c>
      <x:c r="V1400" s="31" t="n">
        <x:v>41</x:v>
      </x:c>
      <x:c r="W1400" s="31" t="n">
        <x:v>10.056414029923964</x:v>
      </x:c>
      <x:c r="X1400" s="31" t="n">
        <x:v>5</x:v>
      </x:c>
      <x:c r="Y1400" s="40" t="n">
        <x:v>1</x:v>
      </x:c>
      <x:c r="Z1400" s="40" t="n">
        <x:v>1</x:v>
      </x:c>
      <x:c r="AA1400" s="40" t="n">
        <x:v>0.9796703296703296</x:v>
      </x:c>
      <x:c r="AB1400" s="31" t="n">
        <x:v>0.15757949075325814</x:v>
      </x:c>
      <x:c r="AC1400" s="31" t="n">
        <x:v>6</x:v>
      </x:c>
      <x:c r="AD1400" s="44" t="b">
        <x:v>1</x:v>
      </x:c>
    </x:row>
    <x:row r="1401">
      <x:c r="A1401" s="31" t="str">
        <x:v>36061020300</x:v>
      </x:c>
      <x:c r="B1401" s="31" t="str">
        <x:v>Manhattan</x:v>
      </x:c>
      <x:c r="C1401" s="31" t="str">
        <x:v>020300</x:v>
      </x:c>
      <x:c r="D1401" s="31" t="str">
        <x:v>MN0901</x:v>
      </x:c>
      <x:c r="E1401" s="31" t="str">
        <x:v>Morningside Heights</x:v>
      </x:c>
      <x:c r="F1401" s="31" t="n">
        <x:v>0.06875777304041839</x:v>
      </x:c>
      <x:c r="G1401" s="31" t="n">
        <x:v>40.808669033618976</x:v>
      </x:c>
      <x:c r="H1401" s="31" t="n">
        <x:v>-73.96156037807782</x:v>
      </x:c>
      <x:c r="I1401" s="31" t="n">
        <x:v>3874</x:v>
      </x:c>
      <x:c r="J1401" s="31" t="n">
        <x:v>56342.72066552706</x:v>
      </x:c>
      <x:c r="K1401" s="31"/>
      <x:c r="L1401" s="40"/>
      <x:c r="M1401" s="40"/>
      <x:c r="N1401" s="31" t="n">
        <x:v>18</x:v>
      </x:c>
      <x:c r="O1401" s="31" t="n">
        <x:v>1134</x:v>
      </x:c>
      <x:c r="P1401" s="31" t="n">
        <x:v>9.898589065255733</x:v>
      </x:c>
      <x:c r="Q1401" s="40" t="n">
        <x:v>0.5264550264550265</x:v>
      </x:c>
      <x:c r="R1401" s="40" t="n">
        <x:v>0.47354497354497355</x:v>
      </x:c>
      <x:c r="S1401" s="40" t="n">
        <x:v>0</x:v>
      </x:c>
      <x:c r="T1401" s="31" t="n">
        <x:v>128.43019400352733</x:v>
      </x:c>
      <x:c r="U1401" s="31" t="n">
        <x:v>207.48</x:v>
      </x:c>
      <x:c r="V1401" s="31" t="n">
        <x:v>21</x:v>
      </x:c>
      <x:c r="W1401" s="31" t="n">
        <x:v>5.420753742901393</x:v>
      </x:c>
      <x:c r="X1401" s="31" t="n">
        <x:v>4</x:v>
      </x:c>
      <x:c r="Y1401" s="40" t="n">
        <x:v>1</x:v>
      </x:c>
      <x:c r="Z1401" s="40" t="n">
        <x:v>1</x:v>
      </x:c>
      <x:c r="AA1401" s="40" t="n">
        <x:v>1</x:v>
      </x:c>
      <x:c r="AB1401" s="31" t="n">
        <x:v>0.23481447346272893</x:v>
      </x:c>
      <x:c r="AC1401" s="31" t="n">
        <x:v>6</x:v>
      </x:c>
      <x:c r="AD1401" s="44" t="b">
        <x:v>1</x:v>
      </x:c>
    </x:row>
    <x:row r="1402">
      <x:c r="A1402" s="31" t="str">
        <x:v>36061020500</x:v>
      </x:c>
      <x:c r="B1402" s="31" t="str">
        <x:v>Manhattan</x:v>
      </x:c>
      <x:c r="C1402" s="31" t="str">
        <x:v>020500</x:v>
      </x:c>
      <x:c r="D1402" s="31" t="str">
        <x:v>MN0901</x:v>
      </x:c>
      <x:c r="E1402" s="31" t="str">
        <x:v>Morningside Heights</x:v>
      </x:c>
      <x:c r="F1402" s="31" t="n">
        <x:v>0.10678861893580693</x:v>
      </x:c>
      <x:c r="G1402" s="31" t="n">
        <x:v>40.810249517523495</x:v>
      </x:c>
      <x:c r="H1402" s="31" t="n">
        <x:v>-73.96512285827558</x:v>
      </x:c>
      <x:c r="I1402" s="31" t="n">
        <x:v>5023</x:v>
      </x:c>
      <x:c r="J1402" s="31" t="n">
        <x:v>47036.84765339497</x:v>
      </x:c>
      <x:c r="K1402" s="31"/>
      <x:c r="L1402" s="40"/>
      <x:c r="M1402" s="40"/>
      <x:c r="N1402" s="31" t="n">
        <x:v>32</x:v>
      </x:c>
      <x:c r="O1402" s="31" t="n">
        <x:v>1648</x:v>
      </x:c>
      <x:c r="P1402" s="31" t="n">
        <x:v>14.979368932038835</x:v>
      </x:c>
      <x:c r="Q1402" s="40" t="n">
        <x:v>0.9138349514563107</x:v>
      </x:c>
      <x:c r="R1402" s="40" t="n">
        <x:v>0.08616504854368932</x:v>
      </x:c>
      <x:c r="S1402" s="40" t="n">
        <x:v>0</x:v>
      </x:c>
      <x:c r="T1402" s="31" t="n">
        <x:v>124.84376443412621</x:v>
      </x:c>
      <x:c r="U1402" s="31" t="n">
        <x:v>190.71</x:v>
      </x:c>
      <x:c r="V1402" s="31" t="n">
        <x:v>69</x:v>
      </x:c>
      <x:c r="W1402" s="31" t="n">
        <x:v>13.736810670913798</x:v>
      </x:c>
      <x:c r="X1402" s="31" t="n">
        <x:v>3.1310679611650487</x:v>
      </x:c>
      <x:c r="Y1402" s="40" t="n">
        <x:v>0.5655339805825242</x:v>
      </x:c>
      <x:c r="Z1402" s="40" t="n">
        <x:v>1</x:v>
      </x:c>
      <x:c r="AA1402" s="40" t="n">
        <x:v>1</x:v>
      </x:c>
      <x:c r="AB1402" s="31" t="n">
        <x:v>0.28500040565841156</x:v>
      </x:c>
      <x:c r="AC1402" s="31" t="n">
        <x:v>3</x:v>
      </x:c>
      <x:c r="AD1402" s="44" t="b">
        <x:v>1</x:v>
      </x:c>
    </x:row>
    <x:row r="1403">
      <x:c r="A1403" s="31" t="str">
        <x:v>36061020600</x:v>
      </x:c>
      <x:c r="B1403" s="31" t="str">
        <x:v>Manhattan</x:v>
      </x:c>
      <x:c r="C1403" s="31" t="str">
        <x:v>020600</x:v>
      </x:c>
      <x:c r="D1403" s="31" t="str">
        <x:v>MN1102</x:v>
      </x:c>
      <x:c r="E1403" s="31" t="str">
        <x:v>East Harlem (North)</x:v>
      </x:c>
      <x:c r="F1403" s="31" t="n">
        <x:v>0.05748872728133608</x:v>
      </x:c>
      <x:c r="G1403" s="31" t="n">
        <x:v>40.80829129816731</x:v>
      </x:c>
      <x:c r="H1403" s="31" t="n">
        <x:v>-73.93878342869861</x:v>
      </x:c>
      <x:c r="I1403" s="31" t="n">
        <x:v>3628</x:v>
      </x:c>
      <x:c r="J1403" s="31" t="n">
        <x:v>63108.024330499364</x:v>
      </x:c>
      <x:c r="K1403" s="31"/>
      <x:c r="L1403" s="40"/>
      <x:c r="M1403" s="40"/>
      <x:c r="N1403" s="31" t="n">
        <x:v>224</x:v>
      </x:c>
      <x:c r="O1403" s="31" t="n">
        <x:v>2285</x:v>
      </x:c>
      <x:c r="P1403" s="31" t="n">
        <x:v>6.179735682819383</x:v>
      </x:c>
      <x:c r="Q1403" s="40" t="n">
        <x:v>0.0700218818380744</x:v>
      </x:c>
      <x:c r="R1403" s="40" t="n">
        <x:v>0.9234135667396062</x:v>
      </x:c>
      <x:c r="S1403" s="40" t="n">
        <x:v>0.01050328227571116</x:v>
      </x:c>
      <x:c r="T1403" s="31" t="n">
        <x:v>71.99983612447537</x:v>
      </x:c>
      <x:c r="U1403" s="31" t="n">
        <x:v>224</x:v>
      </x:c>
      <x:c r="V1403" s="31" t="n">
        <x:v>37</x:v>
      </x:c>
      <x:c r="W1403" s="31" t="n">
        <x:v>10.19845644983462</x:v>
      </x:c>
      <x:c r="X1403" s="31" t="n">
        <x:v>5</x:v>
      </x:c>
      <x:c r="Y1403" s="40" t="n">
        <x:v>1</x:v>
      </x:c>
      <x:c r="Z1403" s="40" t="n">
        <x:v>1</x:v>
      </x:c>
      <x:c r="AA1403" s="40" t="n">
        <x:v>0.9592997811816193</x:v>
      </x:c>
      <x:c r="AB1403" s="31" t="n">
        <x:v>0.07198280487410459</x:v>
      </x:c>
      <x:c r="AC1403" s="31" t="n">
        <x:v>7</x:v>
      </x:c>
      <x:c r="AD1403" s="44" t="b">
        <x:v>1</x:v>
      </x:c>
    </x:row>
    <x:row r="1404">
      <x:c r="A1404" s="31" t="str">
        <x:v>36061020701</x:v>
      </x:c>
      <x:c r="B1404" s="31" t="str">
        <x:v>Manhattan</x:v>
      </x:c>
      <x:c r="C1404" s="31" t="str">
        <x:v>020701</x:v>
      </x:c>
      <x:c r="D1404" s="31" t="str">
        <x:v>MN0901</x:v>
      </x:c>
      <x:c r="E1404" s="31" t="str">
        <x:v>Morningside Heights</x:v>
      </x:c>
      <x:c r="F1404" s="31" t="n">
        <x:v>0.01822801481448003</x:v>
      </x:c>
      <x:c r="G1404" s="31" t="n">
        <x:v>40.80897488120935</x:v>
      </x:c>
      <x:c r="H1404" s="31" t="n">
        <x:v>-73.95846101361946</x:v>
      </x:c>
      <x:c r="I1404" s="31" t="n">
        <x:v>3035</x:v>
      </x:c>
      <x:c r="J1404" s="31" t="n">
        <x:v>166501.949383377</x:v>
      </x:c>
      <x:c r="K1404" s="31"/>
      <x:c r="L1404" s="40"/>
      <x:c r="M1404" s="40"/>
      <x:c r="N1404" s="31" t="n">
        <x:v>26</x:v>
      </x:c>
      <x:c r="O1404" s="31" t="n">
        <x:v>1639</x:v>
      </x:c>
      <x:c r="P1404" s="31" t="n">
        <x:v>9.41183648566199</x:v>
      </x:c>
      <x:c r="Q1404" s="40" t="n">
        <x:v>0.546064673581452</x:v>
      </x:c>
      <x:c r="R1404" s="40" t="n">
        <x:v>0.4539353264185479</x:v>
      </x:c>
      <x:c r="S1404" s="40" t="n">
        <x:v>0</x:v>
      </x:c>
      <x:c r="T1404" s="31" t="n">
        <x:v>105.76917022574742</x:v>
      </x:c>
      <x:c r="U1404" s="31" t="n">
        <x:v>174.06</x:v>
      </x:c>
      <x:c r="V1404" s="31" t="n">
        <x:v>36</x:v>
      </x:c>
      <x:c r="W1404" s="31" t="n">
        <x:v>11.86161449752883</x:v>
      </x:c>
      <x:c r="X1404" s="31" t="n">
        <x:v>4</x:v>
      </x:c>
      <x:c r="Y1404" s="40" t="n">
        <x:v>1</x:v>
      </x:c>
      <x:c r="Z1404" s="40" t="n">
        <x:v>1</x:v>
      </x:c>
      <x:c r="AA1404" s="40" t="n">
        <x:v>1</x:v>
      </x:c>
      <x:c r="AB1404" s="31" t="n">
        <x:v>0.13035152258596716</x:v>
      </x:c>
      <x:c r="AC1404" s="31" t="n">
        <x:v>4</x:v>
      </x:c>
      <x:c r="AD1404" s="44" t="b">
        <x:v>1</x:v>
      </x:c>
    </x:row>
    <x:row r="1405">
      <x:c r="A1405" s="31" t="str">
        <x:v>36061020800</x:v>
      </x:c>
      <x:c r="B1405" s="31" t="str">
        <x:v>Manhattan</x:v>
      </x:c>
      <x:c r="C1405" s="31" t="str">
        <x:v>020800</x:v>
      </x:c>
      <x:c r="D1405" s="31" t="str">
        <x:v>MN1002</x:v>
      </x:c>
      <x:c r="E1405" s="31" t="str">
        <x:v>Harlem (North)</x:v>
      </x:c>
      <x:c r="F1405" s="31" t="n">
        <x:v>0.05736669403660181</x:v>
      </x:c>
      <x:c r="G1405" s="31" t="n">
        <x:v>40.80964855637488</x:v>
      </x:c>
      <x:c r="H1405" s="31" t="n">
        <x:v>-73.94200774704852</x:v>
      </x:c>
      <x:c r="I1405" s="31" t="n">
        <x:v>5255</x:v>
      </x:c>
      <x:c r="J1405" s="31" t="n">
        <x:v>91603.67506356807</x:v>
      </x:c>
      <x:c r="K1405" s="31"/>
      <x:c r="L1405" s="40"/>
      <x:c r="M1405" s="40"/>
      <x:c r="N1405" s="31" t="n">
        <x:v>330</x:v>
      </x:c>
      <x:c r="O1405" s="31" t="n">
        <x:v>2699</x:v>
      </x:c>
      <x:c r="P1405" s="31" t="n">
        <x:v>5.071456160679799</x:v>
      </x:c>
      <x:c r="Q1405" s="40" t="n">
        <x:v>0.02852908484623935</x:v>
      </x:c>
      <x:c r="R1405" s="40" t="n">
        <x:v>0.9262689885142645</x:v>
      </x:c>
      <x:c r="S1405" s="40" t="n">
        <x:v>0.029640607632456465</x:v>
      </x:c>
      <x:c r="T1405" s="31" t="n">
        <x:v>62.56425182281755</x:v>
      </x:c>
      <x:c r="U1405" s="31" t="n">
        <x:v>150</x:v>
      </x:c>
      <x:c r="V1405" s="31" t="n">
        <x:v>37</x:v>
      </x:c>
      <x:c r="W1405" s="31" t="n">
        <x:v>7.040913415794481</x:v>
      </x:c>
      <x:c r="X1405" s="31" t="n">
        <x:v>4.415709522045202</x:v>
      </x:c>
      <x:c r="Y1405" s="40" t="n">
        <x:v>1</x:v>
      </x:c>
      <x:c r="Z1405" s="40" t="n">
        <x:v>1</x:v>
      </x:c>
      <x:c r="AA1405" s="40" t="n">
        <x:v>0.9625787328640237</x:v>
      </x:c>
      <x:c r="AB1405" s="31" t="n">
        <x:v>0.14953120718275725</x:v>
      </x:c>
      <x:c r="AC1405" s="31" t="n">
        <x:v>8</x:v>
      </x:c>
      <x:c r="AD1405" s="44" t="b">
        <x:v>1</x:v>
      </x:c>
    </x:row>
    <x:row r="1406">
      <x:c r="A1406" s="31" t="str">
        <x:v>36061020901</x:v>
      </x:c>
      <x:c r="B1406" s="31" t="str">
        <x:v>Manhattan</x:v>
      </x:c>
      <x:c r="C1406" s="31" t="str">
        <x:v>020901</x:v>
      </x:c>
      <x:c r="D1406" s="31" t="str">
        <x:v>MN0901</x:v>
      </x:c>
      <x:c r="E1406" s="31" t="str">
        <x:v>Morningside Heights</x:v>
      </x:c>
      <x:c r="F1406" s="31" t="n">
        <x:v>0.044719653435634756</x:v>
      </x:c>
      <x:c r="G1406" s="31" t="n">
        <x:v>40.81155790887343</x:v>
      </x:c>
      <x:c r="H1406" s="31" t="n">
        <x:v>-73.95500354581404</x:v>
      </x:c>
      <x:c r="I1406" s="31" t="n">
        <x:v>3665</x:v>
      </x:c>
      <x:c r="J1406" s="31" t="n">
        <x:v>81955.0179492123</x:v>
      </x:c>
      <x:c r="K1406" s="31"/>
      <x:c r="L1406" s="40"/>
      <x:c r="M1406" s="40"/>
      <x:c r="N1406" s="31" t="n">
        <x:v>50</x:v>
      </x:c>
      <x:c r="O1406" s="31" t="n">
        <x:v>1713</x:v>
      </x:c>
      <x:c r="P1406" s="31" t="n">
        <x:v>13.7215411558669</x:v>
      </x:c>
      <x:c r="Q1406" s="40" t="n">
        <x:v>0.6170461179217747</x:v>
      </x:c>
      <x:c r="R1406" s="40" t="n">
        <x:v>0.38237011091652073</x:v>
      </x:c>
      <x:c r="S1406" s="40" t="n">
        <x:v>0.5306479859894921</x:v>
      </x:c>
      <x:c r="T1406" s="31" t="n">
        <x:v>140.97680288461535</x:v>
      </x:c>
      <x:c r="U1406" s="31" t="n">
        <x:v>205.1</x:v>
      </x:c>
      <x:c r="V1406" s="31" t="n">
        <x:v>26</x:v>
      </x:c>
      <x:c r="W1406" s="31" t="n">
        <x:v>7.094133697135061</x:v>
      </x:c>
      <x:c r="X1406" s="31" t="n">
        <x:v>4</x:v>
      </x:c>
      <x:c r="Y1406" s="40" t="n">
        <x:v>1</x:v>
      </x:c>
      <x:c r="Z1406" s="40" t="n">
        <x:v>1</x:v>
      </x:c>
      <x:c r="AA1406" s="40" t="n">
        <x:v>0.971395213076474</x:v>
      </x:c>
      <x:c r="AB1406" s="31" t="n">
        <x:v>0.07600076748838701</x:v>
      </x:c>
      <x:c r="AC1406" s="31" t="n">
        <x:v>6</x:v>
      </x:c>
      <x:c r="AD1406" s="44" t="b">
        <x:v>1</x:v>
      </x:c>
    </x:row>
    <x:row r="1407">
      <x:c r="A1407" s="31" t="str">
        <x:v>36061021000</x:v>
      </x:c>
      <x:c r="B1407" s="31" t="str">
        <x:v>Manhattan</x:v>
      </x:c>
      <x:c r="C1407" s="31" t="str">
        <x:v>021000</x:v>
      </x:c>
      <x:c r="D1407" s="31" t="str">
        <x:v>MN1102</x:v>
      </x:c>
      <x:c r="E1407" s="31" t="str">
        <x:v>East Harlem (North)</x:v>
      </x:c>
      <x:c r="F1407" s="31" t="n">
        <x:v>0.07794129551624197</x:v>
      </x:c>
      <x:c r="G1407" s="31" t="n">
        <x:v>40.813094754165185</x:v>
      </x:c>
      <x:c r="H1407" s="31" t="n">
        <x:v>-73.93567923896312</x:v>
      </x:c>
      <x:c r="I1407" s="31" t="n">
        <x:v>6748</x:v>
      </x:c>
      <x:c r="J1407" s="31" t="n">
        <x:v>86577.98097022653</x:v>
      </x:c>
      <x:c r="K1407" s="31"/>
      <x:c r="L1407" s="40"/>
      <x:c r="M1407" s="40"/>
      <x:c r="N1407" s="31" t="n">
        <x:v>6</x:v>
      </x:c>
      <x:c r="O1407" s="31" t="n">
        <x:v>3315</x:v>
      </x:c>
      <x:c r="P1407" s="31" t="n">
        <x:v>14.537858220211161</x:v>
      </x:c>
      <x:c r="Q1407" s="40" t="n">
        <x:v>1</x:v>
      </x:c>
      <x:c r="R1407" s="40" t="n">
        <x:v>0</x:v>
      </x:c>
      <x:c r="S1407" s="40" t="n">
        <x:v>0.7481146304675717</x:v>
      </x:c>
      <x:c r="T1407" s="31" t="n">
        <x:v>163.54380067787028</x:v>
      </x:c>
      <x:c r="U1407" s="31" t="n">
        <x:v>175.14645192</x:v>
      </x:c>
      <x:c r="V1407" s="31" t="n">
        <x:v>61</x:v>
      </x:c>
      <x:c r="W1407" s="31" t="n">
        <x:v>9.039715471250743</x:v>
      </x:c>
      <x:c r="X1407" s="31" t="n">
        <x:v>5</x:v>
      </x:c>
      <x:c r="Y1407" s="40" t="n">
        <x:v>1</x:v>
      </x:c>
      <x:c r="Z1407" s="40" t="n">
        <x:v>1</x:v>
      </x:c>
      <x:c r="AA1407" s="40" t="n">
        <x:v>1</x:v>
      </x:c>
      <x:c r="AB1407" s="31" t="n">
        <x:v>0.09407738420800277</x:v>
      </x:c>
      <x:c r="AC1407" s="31" t="n">
        <x:v>6</x:v>
      </x:c>
      <x:c r="AD1407" s="44" t="b">
        <x:v>1</x:v>
      </x:c>
    </x:row>
    <x:row r="1408">
      <x:c r="A1408" s="31" t="str">
        <x:v>36061021100</x:v>
      </x:c>
      <x:c r="B1408" s="31" t="str">
        <x:v>Manhattan</x:v>
      </x:c>
      <x:c r="C1408" s="31" t="str">
        <x:v>021100</x:v>
      </x:c>
      <x:c r="D1408" s="31" t="str">
        <x:v>MN0901</x:v>
      </x:c>
      <x:c r="E1408" s="31" t="str">
        <x:v>Morningside Heights</x:v>
      </x:c>
      <x:c r="F1408" s="31" t="n">
        <x:v>0.1340910026177973</x:v>
      </x:c>
      <x:c r="G1408" s="31" t="n">
        <x:v>40.81430236741463</x:v>
      </x:c>
      <x:c r="H1408" s="31" t="n">
        <x:v>-73.96067906546023</x:v>
      </x:c>
      <x:c r="I1408" s="31" t="n">
        <x:v>10529</x:v>
      </x:c>
      <x:c r="J1408" s="31" t="n">
        <x:v>78521.30116448643</x:v>
      </x:c>
      <x:c r="K1408" s="31"/>
      <x:c r="L1408" s="40"/>
      <x:c r="M1408" s="40"/>
      <x:c r="N1408" s="31" t="n">
        <x:v>73</x:v>
      </x:c>
      <x:c r="O1408" s="31" t="n">
        <x:v>5024</x:v>
      </x:c>
      <x:c r="P1408" s="31" t="n">
        <x:v>15.522691082802547</x:v>
      </x:c>
      <x:c r="Q1408" s="40" t="n">
        <x:v>0.5816082802547771</x:v>
      </x:c>
      <x:c r="R1408" s="40" t="n">
        <x:v>0.41839171974522293</x:v>
      </x:c>
      <x:c r="S1408" s="40" t="n">
        <x:v>0.419984076433121</x:v>
      </x:c>
      <x:c r="T1408" s="31" t="n">
        <x:v>150.1059970435191</x:v>
      </x:c>
      <x:c r="U1408" s="31" t="n">
        <x:v>404</x:v>
      </x:c>
      <x:c r="V1408" s="31" t="n">
        <x:v>62</x:v>
      </x:c>
      <x:c r="W1408" s="31" t="n">
        <x:v>5.888498432899611</x:v>
      </x:c>
      <x:c r="X1408" s="31" t="n">
        <x:v>4</x:v>
      </x:c>
      <x:c r="Y1408" s="40" t="n">
        <x:v>1</x:v>
      </x:c>
      <x:c r="Z1408" s="40" t="n">
        <x:v>1</x:v>
      </x:c>
      <x:c r="AA1408" s="40" t="n">
        <x:v>1</x:v>
      </x:c>
      <x:c r="AB1408" s="31" t="n">
        <x:v>0.12468429169463174</x:v>
      </x:c>
      <x:c r="AC1408" s="31" t="n">
        <x:v>6</x:v>
      </x:c>
      <x:c r="AD1408" s="44" t="b">
        <x:v>1</x:v>
      </x:c>
    </x:row>
    <x:row r="1409">
      <x:c r="A1409" s="31" t="str">
        <x:v>36061021200</x:v>
      </x:c>
      <x:c r="B1409" s="31" t="str">
        <x:v>Manhattan</x:v>
      </x:c>
      <x:c r="C1409" s="31" t="str">
        <x:v>021200</x:v>
      </x:c>
      <x:c r="D1409" s="31" t="str">
        <x:v>MN1002</x:v>
      </x:c>
      <x:c r="E1409" s="31" t="str">
        <x:v>Harlem (North)</x:v>
      </x:c>
      <x:c r="F1409" s="31" t="n">
        <x:v>0.06816300170346935</x:v>
      </x:c>
      <x:c r="G1409" s="31" t="n">
        <x:v>40.81376038809514</x:v>
      </x:c>
      <x:c r="H1409" s="31" t="n">
        <x:v>-73.93899977569806</x:v>
      </x:c>
      <x:c r="I1409" s="31" t="n">
        <x:v>4899</x:v>
      </x:c>
      <x:c r="J1409" s="31" t="n">
        <x:v>71871.83483075176</x:v>
      </x:c>
      <x:c r="K1409" s="31"/>
      <x:c r="L1409" s="40"/>
      <x:c r="M1409" s="40"/>
      <x:c r="N1409" s="31" t="n">
        <x:v>32</x:v>
      </x:c>
      <x:c r="O1409" s="31" t="n">
        <x:v>2744</x:v>
      </x:c>
      <x:c r="P1409" s="31" t="n">
        <x:v>12.451895043731778</x:v>
      </x:c>
      <x:c r="Q1409" s="40" t="n">
        <x:v>0.6253644314868805</x:v>
      </x:c>
      <x:c r="R1409" s="40" t="n">
        <x:v>0.3746355685131195</x:v>
      </x:c>
      <x:c r="S1409" s="40" t="n">
        <x:v>0</x:v>
      </x:c>
      <x:c r="T1409" s="31" t="n">
        <x:v>115.75614725256195</x:v>
      </x:c>
      <x:c r="U1409" s="31" t="n">
        <x:v>145.5</x:v>
      </x:c>
      <x:c r="V1409" s="31" t="n">
        <x:v>31</x:v>
      </x:c>
      <x:c r="W1409" s="31" t="n">
        <x:v>6.327822004490713</x:v>
      </x:c>
      <x:c r="X1409" s="31" t="n">
        <x:v>5</x:v>
      </x:c>
      <x:c r="Y1409" s="40" t="n">
        <x:v>1</x:v>
      </x:c>
      <x:c r="Z1409" s="40" t="n">
        <x:v>1</x:v>
      </x:c>
      <x:c r="AA1409" s="40" t="n">
        <x:v>1</x:v>
      </x:c>
      <x:c r="AB1409" s="31" t="n">
        <x:v>0.046323631298985764</x:v>
      </x:c>
      <x:c r="AC1409" s="31" t="n">
        <x:v>7</x:v>
      </x:c>
      <x:c r="AD1409" s="44" t="b">
        <x:v>1</x:v>
      </x:c>
    </x:row>
    <x:row r="1410">
      <x:c r="A1410" s="31" t="str">
        <x:v>36061021303</x:v>
      </x:c>
      <x:c r="B1410" s="31" t="str">
        <x:v>Manhattan</x:v>
      </x:c>
      <x:c r="C1410" s="31" t="str">
        <x:v>021303</x:v>
      </x:c>
      <x:c r="D1410" s="31" t="str">
        <x:v>MN0902</x:v>
      </x:c>
      <x:c r="E1410" s="31" t="str">
        <x:v>Manhattanville-West Harlem</x:v>
      </x:c>
      <x:c r="F1410" s="31" t="n">
        <x:v>0.05893822349094639</x:v>
      </x:c>
      <x:c r="G1410" s="31" t="n">
        <x:v>40.81456734074484</x:v>
      </x:c>
      <x:c r="H1410" s="31" t="n">
        <x:v>-73.95314674074034</x:v>
      </x:c>
      <x:c r="I1410" s="31" t="n">
        <x:v>5583</x:v>
      </x:c>
      <x:c r="J1410" s="31" t="n">
        <x:v>94726.30271690518</x:v>
      </x:c>
      <x:c r="K1410" s="31"/>
      <x:c r="L1410" s="40"/>
      <x:c r="M1410" s="40"/>
      <x:c r="N1410" s="31" t="n">
        <x:v>108</x:v>
      </x:c>
      <x:c r="O1410" s="31" t="n">
        <x:v>2596</x:v>
      </x:c>
      <x:c r="P1410" s="31" t="n">
        <x:v>5.643297380585516</x:v>
      </x:c>
      <x:c r="Q1410" s="40" t="n">
        <x:v>0.05007704160246533</x:v>
      </x:c>
      <x:c r="R1410" s="40" t="n">
        <x:v>0.949537750385208</x:v>
      </x:c>
      <x:c r="S1410" s="40" t="n">
        <x:v>0.011556240369799691</x:v>
      </x:c>
      <x:c r="T1410" s="31" t="n">
        <x:v>69.62901271587057</x:v>
      </x:c>
      <x:c r="U1410" s="31" t="n">
        <x:v>101.32</x:v>
      </x:c>
      <x:c r="V1410" s="31" t="n">
        <x:v>27</x:v>
      </x:c>
      <x:c r="W1410" s="31" t="n">
        <x:v>4.836109618484685</x:v>
      </x:c>
      <x:c r="X1410" s="31" t="n">
        <x:v>4</x:v>
      </x:c>
      <x:c r="Y1410" s="40" t="n">
        <x:v>1</x:v>
      </x:c>
      <x:c r="Z1410" s="40" t="n">
        <x:v>1</x:v>
      </x:c>
      <x:c r="AA1410" s="40" t="n">
        <x:v>1</x:v>
      </x:c>
      <x:c r="AB1410" s="31" t="n">
        <x:v>0.058438793678134975</x:v>
      </x:c>
      <x:c r="AC1410" s="31" t="n">
        <x:v>6</x:v>
      </x:c>
      <x:c r="AD1410" s="44" t="b">
        <x:v>1</x:v>
      </x:c>
    </x:row>
    <x:row r="1411">
      <x:c r="A1411" s="31" t="str">
        <x:v>36061021400</x:v>
      </x:c>
      <x:c r="B1411" s="31" t="str">
        <x:v>Manhattan</x:v>
      </x:c>
      <x:c r="C1411" s="31" t="str">
        <x:v>021400</x:v>
      </x:c>
      <x:c r="D1411" s="31" t="str">
        <x:v>MN1002</x:v>
      </x:c>
      <x:c r="E1411" s="31" t="str">
        <x:v>Harlem (North)</x:v>
      </x:c>
      <x:c r="F1411" s="31" t="n">
        <x:v>0.0521329358829775</x:v>
      </x:c>
      <x:c r="G1411" s="31" t="n">
        <x:v>40.81778847927609</x:v>
      </x:c>
      <x:c r="H1411" s="31" t="n">
        <x:v>-73.9362133422189</x:v>
      </x:c>
      <x:c r="I1411" s="31" t="n">
        <x:v>3075</x:v>
      </x:c>
      <x:c r="J1411" s="31" t="n">
        <x:v>58983.82563572546</x:v>
      </x:c>
      <x:c r="K1411" s="31"/>
      <x:c r="L1411" s="40"/>
      <x:c r="M1411" s="40"/>
      <x:c r="N1411" s="31" t="n">
        <x:v>6</x:v>
      </x:c>
      <x:c r="O1411" s="31" t="n">
        <x:v>2006</x:v>
      </x:c>
      <x:c r="P1411" s="31" t="n">
        <x:v>15.933200398803589</x:v>
      </x:c>
      <x:c r="Q1411" s="40" t="n">
        <x:v>1</x:v>
      </x:c>
      <x:c r="R1411" s="40" t="n">
        <x:v>0</x:v>
      </x:c>
      <x:c r="S1411" s="40" t="n">
        <x:v>0.3843469591226321</x:v>
      </x:c>
      <x:c r="T1411" s="31" t="n">
        <x:v>148.34501843023926</x:v>
      </x:c>
      <x:c r="U1411" s="31" t="n">
        <x:v>152.33340364</x:v>
      </x:c>
      <x:c r="V1411" s="31" t="n">
        <x:v>23</x:v>
      </x:c>
      <x:c r="W1411" s="31" t="n">
        <x:v>7.479674796747967</x:v>
      </x:c>
      <x:c r="X1411" s="31" t="n">
        <x:v>5</x:v>
      </x:c>
      <x:c r="Y1411" s="40" t="n">
        <x:v>1</x:v>
      </x:c>
      <x:c r="Z1411" s="40" t="n">
        <x:v>1</x:v>
      </x:c>
      <x:c r="AA1411" s="40" t="n">
        <x:v>1</x:v>
      </x:c>
      <x:c r="AB1411" s="31" t="n">
        <x:v>0.25659175392478745</x:v>
      </x:c>
      <x:c r="AC1411" s="31" t="n">
        <x:v>5</x:v>
      </x:c>
      <x:c r="AD1411" s="44" t="b">
        <x:v>1</x:v>
      </x:c>
    </x:row>
    <x:row r="1412">
      <x:c r="A1412" s="31" t="str">
        <x:v>36061021500</x:v>
      </x:c>
      <x:c r="B1412" s="31" t="str">
        <x:v>Manhattan</x:v>
      </x:c>
      <x:c r="C1412" s="31" t="str">
        <x:v>021500</x:v>
      </x:c>
      <x:c r="D1412" s="31" t="str">
        <x:v>MN1002</x:v>
      </x:c>
      <x:c r="E1412" s="31" t="str">
        <x:v>Harlem (North)</x:v>
      </x:c>
      <x:c r="F1412" s="31" t="n">
        <x:v>0.02692533001104798</x:v>
      </x:c>
      <x:c r="G1412" s="31" t="n">
        <x:v>40.81352780350061</x:v>
      </x:c>
      <x:c r="H1412" s="31" t="n">
        <x:v>-73.94947118244525</x:v>
      </x:c>
      <x:c r="I1412" s="31" t="n">
        <x:v>3856</x:v>
      </x:c>
      <x:c r="J1412" s="31" t="n">
        <x:v>143210.87237994146</x:v>
      </x:c>
      <x:c r="K1412" s="31"/>
      <x:c r="L1412" s="40"/>
      <x:c r="M1412" s="40"/>
      <x:c r="N1412" s="31" t="n">
        <x:v>58</x:v>
      </x:c>
      <x:c r="O1412" s="31" t="n">
        <x:v>1889</x:v>
      </x:c>
      <x:c r="P1412" s="31" t="n">
        <x:v>13.092641609317099</x:v>
      </x:c>
      <x:c r="Q1412" s="40" t="n">
        <x:v>0.5383800952885125</x:v>
      </x:c>
      <x:c r="R1412" s="40" t="n">
        <x:v>0.46161990471148756</x:v>
      </x:c>
      <x:c r="S1412" s="40" t="n">
        <x:v>0.2938062466913711</x:v>
      </x:c>
      <x:c r="T1412" s="31" t="n">
        <x:v>130.56442278215988</x:v>
      </x:c>
      <x:c r="U1412" s="31" t="n">
        <x:v>261.65</x:v>
      </x:c>
      <x:c r="V1412" s="31" t="n">
        <x:v>32</x:v>
      </x:c>
      <x:c r="W1412" s="31" t="n">
        <x:v>8.298755186721992</x:v>
      </x:c>
      <x:c r="X1412" s="31" t="n">
        <x:v>4.1672842773954475</x:v>
      </x:c>
      <x:c r="Y1412" s="40" t="n">
        <x:v>1</x:v>
      </x:c>
      <x:c r="Z1412" s="40" t="n">
        <x:v>1</x:v>
      </x:c>
      <x:c r="AA1412" s="40" t="n">
        <x:v>1</x:v>
      </x:c>
      <x:c r="AB1412" s="31" t="n">
        <x:v>0.0977613346110576</x:v>
      </x:c>
      <x:c r="AC1412" s="31" t="n">
        <x:v>9</x:v>
      </x:c>
      <x:c r="AD1412" s="44" t="b">
        <x:v>1</x:v>
      </x:c>
    </x:row>
    <x:row r="1413">
      <x:c r="A1413" s="31" t="str">
        <x:v>36061021600</x:v>
      </x:c>
      <x:c r="B1413" s="31" t="str">
        <x:v>Manhattan</x:v>
      </x:c>
      <x:c r="C1413" s="31" t="str">
        <x:v>021600</x:v>
      </x:c>
      <x:c r="D1413" s="31" t="str">
        <x:v>MN1001</x:v>
      </x:c>
      <x:c r="E1413" s="31" t="str">
        <x:v>Harlem (South)</x:v>
      </x:c>
      <x:c r="F1413" s="31" t="n">
        <x:v>0.06687770279786501</x:v>
      </x:c>
      <x:c r="G1413" s="31" t="n">
        <x:v>40.80067481967646</x:v>
      </x:c>
      <x:c r="H1413" s="31" t="n">
        <x:v>-73.95438473320488</x:v>
      </x:c>
      <x:c r="I1413" s="31" t="n">
        <x:v>8567</x:v>
      </x:c>
      <x:c r="J1413" s="31" t="n">
        <x:v>128099.49567037896</x:v>
      </x:c>
      <x:c r="K1413" s="31"/>
      <x:c r="L1413" s="40"/>
      <x:c r="M1413" s="40"/>
      <x:c r="N1413" s="31" t="n">
        <x:v>214</x:v>
      </x:c>
      <x:c r="O1413" s="31" t="n">
        <x:v>3946</x:v>
      </x:c>
      <x:c r="P1413" s="31" t="n">
        <x:v>6.1766345666497715</x:v>
      </x:c>
      <x:c r="Q1413" s="40" t="n">
        <x:v>0.07729346173340092</x:v>
      </x:c>
      <x:c r="R1413" s="40" t="n">
        <x:v>0.9227065382665991</x:v>
      </x:c>
      <x:c r="S1413" s="40" t="n">
        <x:v>0.07298530157121136</x:v>
      </x:c>
      <x:c r="T1413" s="31" t="n">
        <x:v>74.82752265368221</x:v>
      </x:c>
      <x:c r="U1413" s="31" t="n">
        <x:v>214.23439093</x:v>
      </x:c>
      <x:c r="V1413" s="31" t="n">
        <x:v>95</x:v>
      </x:c>
      <x:c r="W1413" s="31" t="n">
        <x:v>11.089062682385899</x:v>
      </x:c>
      <x:c r="X1413" s="31" t="n">
        <x:v>5</x:v>
      </x:c>
      <x:c r="Y1413" s="40" t="n">
        <x:v>1</x:v>
      </x:c>
      <x:c r="Z1413" s="40" t="n">
        <x:v>1</x:v>
      </x:c>
      <x:c r="AA1413" s="40" t="n">
        <x:v>1</x:v>
      </x:c>
      <x:c r="AB1413" s="31" t="n">
        <x:v>0.06365420735646618</x:v>
      </x:c>
      <x:c r="AC1413" s="31" t="n">
        <x:v>6</x:v>
      </x:c>
      <x:c r="AD1413" s="44" t="b">
        <x:v>1</x:v>
      </x:c>
    </x:row>
    <x:row r="1414">
      <x:c r="A1414" s="31" t="str">
        <x:v>36061021703</x:v>
      </x:c>
      <x:c r="B1414" s="31" t="str">
        <x:v>Manhattan</x:v>
      </x:c>
      <x:c r="C1414" s="31" t="str">
        <x:v>021703</x:v>
      </x:c>
      <x:c r="D1414" s="31" t="str">
        <x:v>MN0902</x:v>
      </x:c>
      <x:c r="E1414" s="31" t="str">
        <x:v>Manhattanville-West Harlem</x:v>
      </x:c>
      <x:c r="F1414" s="31" t="n">
        <x:v>0.12140935520976813</x:v>
      </x:c>
      <x:c r="G1414" s="31" t="n">
        <x:v>40.81792413860198</x:v>
      </x:c>
      <x:c r="H1414" s="31" t="n">
        <x:v>-73.94975944903891</x:v>
      </x:c>
      <x:c r="I1414" s="31" t="n">
        <x:v>545</x:v>
      </x:c>
      <x:c r="J1414" s="31" t="n">
        <x:v>4488.945675218868</x:v>
      </x:c>
      <x:c r="K1414" s="31"/>
      <x:c r="L1414" s="40"/>
      <x:c r="M1414" s="40"/>
      <x:c r="N1414" s="31" t="n">
        <x:v>0</x:v>
      </x:c>
      <x:c r="O1414" s="31"/>
      <x:c r="P1414" s="31"/>
      <x:c r="Q1414" s="40"/>
      <x:c r="R1414" s="40"/>
      <x:c r="S1414" s="40"/>
      <x:c r="T1414" s="31"/>
      <x:c r="U1414" s="31"/>
      <x:c r="V1414" s="31" t="n">
        <x:v>0</x:v>
      </x:c>
      <x:c r="W1414" s="31" t="n">
        <x:v>0</x:v>
      </x:c>
      <x:c r="X1414" s="31"/>
      <x:c r="Y1414" s="40"/>
      <x:c r="Z1414" s="40"/>
      <x:c r="AA1414" s="40"/>
      <x:c r="AB1414" s="31" t="n">
        <x:v>0.03304111625954993</x:v>
      </x:c>
      <x:c r="AC1414" s="31" t="n">
        <x:v>6</x:v>
      </x:c>
      <x:c r="AD1414" s="44" t="b">
        <x:v>0</x:v>
      </x:c>
    </x:row>
    <x:row r="1415">
      <x:c r="A1415" s="31" t="str">
        <x:v>36061021800</x:v>
      </x:c>
      <x:c r="B1415" s="31" t="str">
        <x:v>Manhattan</x:v>
      </x:c>
      <x:c r="C1415" s="31" t="str">
        <x:v>021800</x:v>
      </x:c>
      <x:c r="D1415" s="31" t="str">
        <x:v>MN1001</x:v>
      </x:c>
      <x:c r="E1415" s="31" t="str">
        <x:v>Harlem (South)</x:v>
      </x:c>
      <x:c r="F1415" s="31" t="n">
        <x:v>0.070258151731448</x:v>
      </x:c>
      <x:c r="G1415" s="31" t="n">
        <x:v>40.80322240231137</x:v>
      </x:c>
      <x:c r="H1415" s="31" t="n">
        <x:v>-73.9525245471738</x:v>
      </x:c>
      <x:c r="I1415" s="31" t="n">
        <x:v>6530</x:v>
      </x:c>
      <x:c r="J1415" s="31" t="n">
        <x:v>92942.95165862056</x:v>
      </x:c>
      <x:c r="K1415" s="31"/>
      <x:c r="L1415" s="40"/>
      <x:c r="M1415" s="40"/>
      <x:c r="N1415" s="31" t="n">
        <x:v>188</x:v>
      </x:c>
      <x:c r="O1415" s="31" t="n">
        <x:v>3113</x:v>
      </x:c>
      <x:c r="P1415" s="31" t="n">
        <x:v>6.884740259740259</x:v>
      </x:c>
      <x:c r="Q1415" s="40" t="n">
        <x:v>0.21265660134918085</x:v>
      </x:c>
      <x:c r="R1415" s="40" t="n">
        <x:v>0.7761002248634757</x:v>
      </x:c>
      <x:c r="S1415" s="40" t="n">
        <x:v>0.057179569547060716</x:v>
      </x:c>
      <x:c r="T1415" s="31" t="n">
        <x:v>77.24627696301849</x:v>
      </x:c>
      <x:c r="U1415" s="31" t="n">
        <x:v>184.67</x:v>
      </x:c>
      <x:c r="V1415" s="31" t="n">
        <x:v>61</x:v>
      </x:c>
      <x:c r="W1415" s="31" t="n">
        <x:v>9.341500765696784</x:v>
      </x:c>
      <x:c r="X1415" s="31" t="n">
        <x:v>5</x:v>
      </x:c>
      <x:c r="Y1415" s="40" t="n">
        <x:v>1</x:v>
      </x:c>
      <x:c r="Z1415" s="40" t="n">
        <x:v>1</x:v>
      </x:c>
      <x:c r="AA1415" s="40" t="n">
        <x:v>0.9556697719241889</x:v>
      </x:c>
      <x:c r="AB1415" s="31" t="n">
        <x:v>0.05530320980976539</x:v>
      </x:c>
      <x:c r="AC1415" s="31" t="n">
        <x:v>7</x:v>
      </x:c>
      <x:c r="AD1415" s="44" t="b">
        <x:v>1</x:v>
      </x:c>
    </x:row>
    <x:row r="1416">
      <x:c r="A1416" s="31" t="str">
        <x:v>36061021900</x:v>
      </x:c>
      <x:c r="B1416" s="31" t="str">
        <x:v>Manhattan</x:v>
      </x:c>
      <x:c r="C1416" s="31" t="str">
        <x:v>021900</x:v>
      </x:c>
      <x:c r="D1416" s="31" t="str">
        <x:v>MN0902</x:v>
      </x:c>
      <x:c r="E1416" s="31" t="str">
        <x:v>Manhattanville-West Harlem</x:v>
      </x:c>
      <x:c r="F1416" s="31" t="n">
        <x:v>0.10779900292735595</x:v>
      </x:c>
      <x:c r="G1416" s="31" t="n">
        <x:v>40.81741085406276</x:v>
      </x:c>
      <x:c r="H1416" s="31" t="n">
        <x:v>-73.95718549623028</x:v>
      </x:c>
      <x:c r="I1416" s="31" t="n">
        <x:v>5696</x:v>
      </x:c>
      <x:c r="J1416" s="31" t="n">
        <x:v>52839.07870500848</x:v>
      </x:c>
      <x:c r="K1416" s="31"/>
      <x:c r="L1416" s="40"/>
      <x:c r="M1416" s="40"/>
      <x:c r="N1416" s="31" t="n">
        <x:v>46</x:v>
      </x:c>
      <x:c r="O1416" s="31" t="n">
        <x:v>2692</x:v>
      </x:c>
      <x:c r="P1416" s="31" t="n">
        <x:v>16.50037147102526</x:v>
      </x:c>
      <x:c r="Q1416" s="40" t="n">
        <x:v>0.6545319465081724</x:v>
      </x:c>
      <x:c r="R1416" s="40" t="n">
        <x:v>0.3436106983655275</x:v>
      </x:c>
      <x:c r="S1416" s="40" t="n">
        <x:v>0.4725111441307578</x:v>
      </x:c>
      <x:c r="T1416" s="31" t="n">
        <x:v>168.67419425387445</x:v>
      </x:c>
      <x:c r="U1416" s="31" t="n">
        <x:v>288</x:v>
      </x:c>
      <x:c r="V1416" s="31" t="n">
        <x:v>30</x:v>
      </x:c>
      <x:c r="W1416" s="31" t="n">
        <x:v>5.26685393258427</x:v>
      </x:c>
      <x:c r="X1416" s="31" t="n">
        <x:v>4</x:v>
      </x:c>
      <x:c r="Y1416" s="40" t="n">
        <x:v>1</x:v>
      </x:c>
      <x:c r="Z1416" s="40" t="n">
        <x:v>1</x:v>
      </x:c>
      <x:c r="AA1416" s="40" t="n">
        <x:v>1</x:v>
      </x:c>
      <x:c r="AB1416" s="31" t="n">
        <x:v>0.13245633302017115</x:v>
      </x:c>
      <x:c r="AC1416" s="31" t="n">
        <x:v>5</x:v>
      </x:c>
      <x:c r="AD1416" s="44" t="b">
        <x:v>1</x:v>
      </x:c>
    </x:row>
    <x:row r="1417">
      <x:c r="A1417" s="31" t="str">
        <x:v>36061022000</x:v>
      </x:c>
      <x:c r="B1417" s="31" t="str">
        <x:v>Manhattan</x:v>
      </x:c>
      <x:c r="C1417" s="31" t="str">
        <x:v>022000</x:v>
      </x:c>
      <x:c r="D1417" s="31" t="str">
        <x:v>MN1001</x:v>
      </x:c>
      <x:c r="E1417" s="31" t="str">
        <x:v>Harlem (South)</x:v>
      </x:c>
      <x:c r="F1417" s="31" t="n">
        <x:v>0.06753068880100722</x:v>
      </x:c>
      <x:c r="G1417" s="31" t="n">
        <x:v>40.805783809159806</x:v>
      </x:c>
      <x:c r="H1417" s="31" t="n">
        <x:v>-73.95065669659678</x:v>
      </x:c>
      <x:c r="I1417" s="31" t="n">
        <x:v>6114</x:v>
      </x:c>
      <x:c r="J1417" s="31" t="n">
        <x:v>90536.61540482924</x:v>
      </x:c>
      <x:c r="K1417" s="31"/>
      <x:c r="L1417" s="40"/>
      <x:c r="M1417" s="40"/>
      <x:c r="N1417" s="31" t="n">
        <x:v>346</x:v>
      </x:c>
      <x:c r="O1417" s="31" t="n">
        <x:v>2953</x:v>
      </x:c>
      <x:c r="P1417" s="31" t="n">
        <x:v>4.924158278375564</x:v>
      </x:c>
      <x:c r="Q1417" s="40" t="n">
        <x:v>0.0037250253979004403</x:v>
      </x:c>
      <x:c r="R1417" s="40" t="n">
        <x:v>0.9718929901794785</x:v>
      </x:c>
      <x:c r="S1417" s="40" t="n">
        <x:v>0.05350491026075178</x:v>
      </x:c>
      <x:c r="T1417" s="31" t="n">
        <x:v>64.31238283034202</x:v>
      </x:c>
      <x:c r="U1417" s="31" t="n">
        <x:v>113.5507734</x:v>
      </x:c>
      <x:c r="V1417" s="31" t="n">
        <x:v>42</x:v>
      </x:c>
      <x:c r="W1417" s="31" t="n">
        <x:v>6.869479882237488</x:v>
      </x:c>
      <x:c r="X1417" s="31" t="n">
        <x:v>4.492719268540467</x:v>
      </x:c>
      <x:c r="Y1417" s="40" t="n">
        <x:v>1</x:v>
      </x:c>
      <x:c r="Z1417" s="40" t="n">
        <x:v>1</x:v>
      </x:c>
      <x:c r="AA1417" s="40" t="n">
        <x:v>1</x:v>
      </x:c>
      <x:c r="AB1417" s="31" t="n">
        <x:v>0.06410873382137931</x:v>
      </x:c>
      <x:c r="AC1417" s="31" t="n">
        <x:v>6</x:v>
      </x:c>
      <x:c r="AD1417" s="44" t="b">
        <x:v>1</x:v>
      </x:c>
    </x:row>
    <x:row r="1418">
      <x:c r="A1418" s="31" t="str">
        <x:v>36061022102</x:v>
      </x:c>
      <x:c r="B1418" s="31" t="str">
        <x:v>Manhattan</x:v>
      </x:c>
      <x:c r="C1418" s="31" t="str">
        <x:v>022102</x:v>
      </x:c>
      <x:c r="D1418" s="31" t="str">
        <x:v>MN1002</x:v>
      </x:c>
      <x:c r="E1418" s="31" t="str">
        <x:v>Harlem (North)</x:v>
      </x:c>
      <x:c r="F1418" s="31" t="n">
        <x:v>0.03822076296093033</x:v>
      </x:c>
      <x:c r="G1418" s="31" t="n">
        <x:v>40.81865502237624</x:v>
      </x:c>
      <x:c r="H1418" s="31" t="n">
        <x:v>-73.9461856959933</x:v>
      </x:c>
      <x:c r="I1418" s="31" t="n">
        <x:v>2382</x:v>
      </x:c>
      <x:c r="J1418" s="31" t="n">
        <x:v>62322.14679845366</x:v>
      </x:c>
      <x:c r="K1418" s="31"/>
      <x:c r="L1418" s="40"/>
      <x:c r="M1418" s="40"/>
      <x:c r="N1418" s="31" t="n">
        <x:v>143</x:v>
      </x:c>
      <x:c r="O1418" s="31" t="n">
        <x:v>1313</x:v>
      </x:c>
      <x:c r="P1418" s="31" t="n">
        <x:v>5.951256664127952</x:v>
      </x:c>
      <x:c r="Q1418" s="40" t="n">
        <x:v>0.14242193450114243</x:v>
      </x:c>
      <x:c r="R1418" s="40" t="n">
        <x:v>0.8575780654988576</x:v>
      </x:c>
      <x:c r="S1418" s="40" t="n">
        <x:v>0.08301599390708302</x:v>
      </x:c>
      <x:c r="T1418" s="31" t="n">
        <x:v>69.86721583382696</x:v>
      </x:c>
      <x:c r="U1418" s="31" t="n">
        <x:v>158</x:v>
      </x:c>
      <x:c r="V1418" s="31" t="n">
        <x:v>24</x:v>
      </x:c>
      <x:c r="W1418" s="31" t="n">
        <x:v>10.075566750629722</x:v>
      </x:c>
      <x:c r="X1418" s="31" t="n">
        <x:v>5</x:v>
      </x:c>
      <x:c r="Y1418" s="40" t="n">
        <x:v>1</x:v>
      </x:c>
      <x:c r="Z1418" s="40" t="n">
        <x:v>1</x:v>
      </x:c>
      <x:c r="AA1418" s="40" t="n">
        <x:v>0.9771515613099772</x:v>
      </x:c>
      <x:c r="AB1418" s="31" t="n">
        <x:v>0.10968821334324133</x:v>
      </x:c>
      <x:c r="AC1418" s="31" t="n">
        <x:v>7</x:v>
      </x:c>
      <x:c r="AD1418" s="44" t="b">
        <x:v>1</x:v>
      </x:c>
    </x:row>
    <x:row r="1419">
      <x:c r="A1419" s="31" t="str">
        <x:v>36061022200</x:v>
      </x:c>
      <x:c r="B1419" s="31" t="str">
        <x:v>Manhattan</x:v>
      </x:c>
      <x:c r="C1419" s="31" t="str">
        <x:v>022200</x:v>
      </x:c>
      <x:c r="D1419" s="31" t="str">
        <x:v>MN1001</x:v>
      </x:c>
      <x:c r="E1419" s="31" t="str">
        <x:v>Harlem (South)</x:v>
      </x:c>
      <x:c r="F1419" s="31" t="n">
        <x:v>0.07005853060111053</x:v>
      </x:c>
      <x:c r="G1419" s="31" t="n">
        <x:v>40.808340213818525</x:v>
      </x:c>
      <x:c r="H1419" s="31" t="n">
        <x:v>-73.94878749383749</x:v>
      </x:c>
      <x:c r="I1419" s="31" t="n">
        <x:v>3293</x:v>
      </x:c>
      <x:c r="J1419" s="31" t="n">
        <x:v>47003.55505240644</x:v>
      </x:c>
      <x:c r="K1419" s="31"/>
      <x:c r="L1419" s="40"/>
      <x:c r="M1419" s="40"/>
      <x:c r="N1419" s="31" t="n">
        <x:v>208</x:v>
      </x:c>
      <x:c r="O1419" s="31" t="n">
        <x:v>2156</x:v>
      </x:c>
      <x:c r="P1419" s="31" t="n">
        <x:v>10.154456369575362</x:v>
      </x:c>
      <x:c r="Q1419" s="40" t="n">
        <x:v>0.41929499072356213</x:v>
      </x:c>
      <x:c r="R1419" s="40" t="n">
        <x:v>0.5746753246753247</x:v>
      </x:c>
      <x:c r="S1419" s="40" t="n">
        <x:v>0</x:v>
      </x:c>
      <x:c r="T1419" s="31" t="n">
        <x:v>100.02446574762081</x:v>
      </x:c>
      <x:c r="U1419" s="31" t="n">
        <x:v>333</x:v>
      </x:c>
      <x:c r="V1419" s="31" t="n">
        <x:v>42</x:v>
      </x:c>
      <x:c r="W1419" s="31" t="n">
        <x:v>12.754327361068935</x:v>
      </x:c>
      <x:c r="X1419" s="31" t="n">
        <x:v>4</x:v>
      </x:c>
      <x:c r="Y1419" s="40" t="n">
        <x:v>1</x:v>
      </x:c>
      <x:c r="Z1419" s="40" t="n">
        <x:v>1</x:v>
      </x:c>
      <x:c r="AA1419" s="40" t="n">
        <x:v>0.9981447124304267</x:v>
      </x:c>
      <x:c r="AB1419" s="31" t="n">
        <x:v>0.07217061175863086</x:v>
      </x:c>
      <x:c r="AC1419" s="31" t="n">
        <x:v>6</x:v>
      </x:c>
      <x:c r="AD1419" s="44" t="b">
        <x:v>1</x:v>
      </x:c>
    </x:row>
    <x:row r="1420">
      <x:c r="A1420" s="31" t="str">
        <x:v>36061022301</x:v>
      </x:c>
      <x:c r="B1420" s="31" t="str">
        <x:v>Manhattan</x:v>
      </x:c>
      <x:c r="C1420" s="31" t="str">
        <x:v>022301</x:v>
      </x:c>
      <x:c r="D1420" s="31" t="str">
        <x:v>MN0902</x:v>
      </x:c>
      <x:c r="E1420" s="31" t="str">
        <x:v>Manhattanville-West Harlem</x:v>
      </x:c>
      <x:c r="F1420" s="31" t="n">
        <x:v>0.07383502202493687</x:v>
      </x:c>
      <x:c r="G1420" s="31" t="n">
        <x:v>40.8211416332987</x:v>
      </x:c>
      <x:c r="H1420" s="31" t="n">
        <x:v>-73.95500581818943</x:v>
      </x:c>
      <x:c r="I1420" s="31" t="n">
        <x:v>7258</x:v>
      </x:c>
      <x:c r="J1420" s="31" t="n">
        <x:v>98300.23477948851</x:v>
      </x:c>
      <x:c r="K1420" s="31"/>
      <x:c r="L1420" s="40"/>
      <x:c r="M1420" s="40"/>
      <x:c r="N1420" s="31" t="n">
        <x:v>114</x:v>
      </x:c>
      <x:c r="O1420" s="31" t="n">
        <x:v>2552</x:v>
      </x:c>
      <x:c r="P1420" s="31" t="n">
        <x:v>5.635579937304075</x:v>
      </x:c>
      <x:c r="Q1420" s="40" t="n">
        <x:v>0</x:v>
      </x:c>
      <x:c r="R1420" s="40" t="n">
        <x:v>0.9984326018808778</x:v>
      </x:c>
      <x:c r="S1420" s="40" t="n">
        <x:v>0</x:v>
      </x:c>
      <x:c r="T1420" s="31" t="n">
        <x:v>69.37432897478057</x:v>
      </x:c>
      <x:c r="U1420" s="31" t="n">
        <x:v>89</x:v>
      </x:c>
      <x:c r="V1420" s="31" t="n">
        <x:v>36</x:v>
      </x:c>
      <x:c r="W1420" s="31" t="n">
        <x:v>4.960044089280794</x:v>
      </x:c>
      <x:c r="X1420" s="31" t="n">
        <x:v>4</x:v>
      </x:c>
      <x:c r="Y1420" s="40" t="n">
        <x:v>1</x:v>
      </x:c>
      <x:c r="Z1420" s="40" t="n">
        <x:v>1</x:v>
      </x:c>
      <x:c r="AA1420" s="40" t="n">
        <x:v>1</x:v>
      </x:c>
      <x:c r="AB1420" s="31" t="n">
        <x:v>0.10190531977153185</x:v>
      </x:c>
      <x:c r="AC1420" s="31" t="n">
        <x:v>5</x:v>
      </x:c>
      <x:c r="AD1420" s="44" t="b">
        <x:v>1</x:v>
      </x:c>
    </x:row>
    <x:row r="1421">
      <x:c r="A1421" s="31" t="str">
        <x:v>36061022302</x:v>
      </x:c>
      <x:c r="B1421" s="31" t="str">
        <x:v>Manhattan</x:v>
      </x:c>
      <x:c r="C1421" s="31" t="str">
        <x:v>022302</x:v>
      </x:c>
      <x:c r="D1421" s="31" t="str">
        <x:v>MN0902</x:v>
      </x:c>
      <x:c r="E1421" s="31" t="str">
        <x:v>Manhattanville-West Harlem</x:v>
      </x:c>
      <x:c r="F1421" s="31" t="n">
        <x:v>0.02307652684067235</x:v>
      </x:c>
      <x:c r="G1421" s="31" t="n">
        <x:v>40.82024336238009</x:v>
      </x:c>
      <x:c r="H1421" s="31" t="n">
        <x:v>-73.95742554131073</x:v>
      </x:c>
      <x:c r="I1421" s="31" t="n">
        <x:v>3101</x:v>
      </x:c>
      <x:c r="J1421" s="31" t="n">
        <x:v>134378.97398556923</x:v>
      </x:c>
      <x:c r="K1421" s="31"/>
      <x:c r="L1421" s="40"/>
      <x:c r="M1421" s="40"/>
      <x:c r="N1421" s="31" t="n">
        <x:v>5</x:v>
      </x:c>
      <x:c r="O1421" s="31" t="n">
        <x:v>359</x:v>
      </x:c>
      <x:c r="P1421" s="31" t="n">
        <x:v>5.311977715877437</x:v>
      </x:c>
      <x:c r="Q1421" s="40" t="n">
        <x:v>0</x:v>
      </x:c>
      <x:c r="R1421" s="40" t="n">
        <x:v>1</x:v>
      </x:c>
      <x:c r="S1421" s="40" t="n">
        <x:v>0.6880222841225627</x:v>
      </x:c>
      <x:c r="T1421" s="31" t="n">
        <x:v>64.82816155988857</x:v>
      </x:c>
      <x:c r="U1421" s="31" t="n">
        <x:v>73.05</x:v>
      </x:c>
      <x:c r="V1421" s="31" t="n">
        <x:v>7</x:v>
      </x:c>
      <x:c r="W1421" s="31" t="n">
        <x:v>2.257336343115124</x:v>
      </x:c>
      <x:c r="X1421" s="31" t="n">
        <x:v>4</x:v>
      </x:c>
      <x:c r="Y1421" s="40" t="n">
        <x:v>1</x:v>
      </x:c>
      <x:c r="Z1421" s="40" t="n">
        <x:v>1</x:v>
      </x:c>
      <x:c r="AA1421" s="40" t="n">
        <x:v>1</x:v>
      </x:c>
      <x:c r="AB1421" s="31" t="n">
        <x:v>0.03471252507345533</x:v>
      </x:c>
      <x:c r="AC1421" s="31" t="n">
        <x:v>2</x:v>
      </x:c>
      <x:c r="AD1421" s="44" t="b">
        <x:v>1</x:v>
      </x:c>
    </x:row>
    <x:row r="1422">
      <x:c r="A1422" s="31" t="str">
        <x:v>36061022400</x:v>
      </x:c>
      <x:c r="B1422" s="31" t="str">
        <x:v>Manhattan</x:v>
      </x:c>
      <x:c r="C1422" s="31" t="str">
        <x:v>022400</x:v>
      </x:c>
      <x:c r="D1422" s="31" t="str">
        <x:v>MN1002</x:v>
      </x:c>
      <x:c r="E1422" s="31" t="str">
        <x:v>Harlem (North)</x:v>
      </x:c>
      <x:c r="F1422" s="31" t="n">
        <x:v>0.07530768908725034</x:v>
      </x:c>
      <x:c r="G1422" s="31" t="n">
        <x:v>40.811123199302905</x:v>
      </x:c>
      <x:c r="H1422" s="31" t="n">
        <x:v>-73.94695589935944</x:v>
      </x:c>
      <x:c r="I1422" s="31" t="n">
        <x:v>7346</x:v>
      </x:c>
      <x:c r="J1422" s="31" t="n">
        <x:v>97546.4801673709</x:v>
      </x:c>
      <x:c r="K1422" s="31"/>
      <x:c r="L1422" s="40"/>
      <x:c r="M1422" s="40"/>
      <x:c r="N1422" s="31" t="n">
        <x:v>190</x:v>
      </x:c>
      <x:c r="O1422" s="31" t="n">
        <x:v>3247</x:v>
      </x:c>
      <x:c r="P1422" s="31" t="n">
        <x:v>9.236218047428395</x:v>
      </x:c>
      <x:c r="Q1422" s="40" t="n">
        <x:v>0.49553433939020636</x:v>
      </x:c>
      <x:c r="R1422" s="40" t="n">
        <x:v>0.5044656606097937</x:v>
      </x:c>
      <x:c r="S1422" s="40" t="n">
        <x:v>0.5167847243609486</x:v>
      </x:c>
      <x:c r="T1422" s="31" t="n">
        <x:v>113.75689884045917</x:v>
      </x:c>
      <x:c r="U1422" s="31" t="n">
        <x:v>173.28</x:v>
      </x:c>
      <x:c r="V1422" s="31" t="n">
        <x:v>51</x:v>
      </x:c>
      <x:c r="W1422" s="31" t="n">
        <x:v>6.942553770759598</x:v>
      </x:c>
      <x:c r="X1422" s="31" t="n">
        <x:v>4</x:v>
      </x:c>
      <x:c r="Y1422" s="40" t="n">
        <x:v>1</x:v>
      </x:c>
      <x:c r="Z1422" s="40" t="n">
        <x:v>1</x:v>
      </x:c>
      <x:c r="AA1422" s="40" t="n">
        <x:v>0.9993840468124423</x:v>
      </x:c>
      <x:c r="AB1422" s="31" t="n">
        <x:v>0.10317697953408302</x:v>
      </x:c>
      <x:c r="AC1422" s="31" t="n">
        <x:v>6</x:v>
      </x:c>
      <x:c r="AD1422" s="44" t="b">
        <x:v>1</x:v>
      </x:c>
    </x:row>
    <x:row r="1423">
      <x:c r="A1423" s="31" t="str">
        <x:v>36061022500</x:v>
      </x:c>
      <x:c r="B1423" s="31" t="str">
        <x:v>Manhattan</x:v>
      </x:c>
      <x:c r="C1423" s="31" t="str">
        <x:v>022500</x:v>
      </x:c>
      <x:c r="D1423" s="31" t="str">
        <x:v>MN0903</x:v>
      </x:c>
      <x:c r="E1423" s="31" t="str">
        <x:v>Hamilton Heights-Sugar Hill</x:v>
      </x:c>
      <x:c r="F1423" s="31" t="n">
        <x:v>0.10068917164327938</x:v>
      </x:c>
      <x:c r="G1423" s="31" t="n">
        <x:v>40.82383402638029</x:v>
      </x:c>
      <x:c r="H1423" s="31" t="n">
        <x:v>-73.95415925478198</x:v>
      </x:c>
      <x:c r="I1423" s="31" t="n">
        <x:v>9895</x:v>
      </x:c>
      <x:c r="J1423" s="31" t="n">
        <x:v>98272.73219662497</x:v>
      </x:c>
      <x:c r="K1423" s="31"/>
      <x:c r="L1423" s="40"/>
      <x:c r="M1423" s="40"/>
      <x:c r="N1423" s="31" t="n">
        <x:v>178</x:v>
      </x:c>
      <x:c r="O1423" s="31" t="n">
        <x:v>3736</x:v>
      </x:c>
      <x:c r="P1423" s="31" t="n">
        <x:v>8.182280513918629</x:v>
      </x:c>
      <x:c r="Q1423" s="40" t="n">
        <x:v>0.22698072805139186</x:v>
      </x:c>
      <x:c r="R1423" s="40" t="n">
        <x:v>0.7703426124197003</x:v>
      </x:c>
      <x:c r="S1423" s="40" t="n">
        <x:v>0</x:v>
      </x:c>
      <x:c r="T1423" s="31" t="n">
        <x:v>89.0632969093014</x:v>
      </x:c>
      <x:c r="U1423" s="31" t="n">
        <x:v>216.01</x:v>
      </x:c>
      <x:c r="V1423" s="31" t="n">
        <x:v>59</x:v>
      </x:c>
      <x:c r="W1423" s="31" t="n">
        <x:v>5.962607377463366</x:v>
      </x:c>
      <x:c r="X1423" s="31" t="n">
        <x:v>4</x:v>
      </x:c>
      <x:c r="Y1423" s="40" t="n">
        <x:v>1</x:v>
      </x:c>
      <x:c r="Z1423" s="40" t="n">
        <x:v>1</x:v>
      </x:c>
      <x:c r="AA1423" s="40" t="n">
        <x:v>1</x:v>
      </x:c>
      <x:c r="AB1423" s="31" t="n">
        <x:v>0.20364402965024664</x:v>
      </x:c>
      <x:c r="AC1423" s="31" t="n">
        <x:v>4</x:v>
      </x:c>
      <x:c r="AD1423" s="44" t="b">
        <x:v>1</x:v>
      </x:c>
    </x:row>
    <x:row r="1424">
      <x:c r="A1424" s="31" t="str">
        <x:v>36061022600</x:v>
      </x:c>
      <x:c r="B1424" s="31" t="str">
        <x:v>Manhattan</x:v>
      </x:c>
      <x:c r="C1424" s="31" t="str">
        <x:v>022600</x:v>
      </x:c>
      <x:c r="D1424" s="31" t="str">
        <x:v>MN1002</x:v>
      </x:c>
      <x:c r="E1424" s="31" t="str">
        <x:v>Harlem (North)</x:v>
      </x:c>
      <x:c r="F1424" s="31" t="n">
        <x:v>0.05892305551322888</x:v>
      </x:c>
      <x:c r="G1424" s="31" t="n">
        <x:v>40.81343511383167</x:v>
      </x:c>
      <x:c r="H1424" s="31" t="n">
        <x:v>-73.94481136392322</x:v>
      </x:c>
      <x:c r="I1424" s="31" t="n">
        <x:v>4890</x:v>
      </x:c>
      <x:c r="J1424" s="31" t="n">
        <x:v>82989.58629024493</x:v>
      </x:c>
      <x:c r="K1424" s="31"/>
      <x:c r="L1424" s="40"/>
      <x:c r="M1424" s="40"/>
      <x:c r="N1424" s="31" t="n">
        <x:v>329</x:v>
      </x:c>
      <x:c r="O1424" s="31" t="n">
        <x:v>2887</x:v>
      </x:c>
      <x:c r="P1424" s="31" t="n">
        <x:v>5.495323865604433</x:v>
      </x:c>
      <x:c r="Q1424" s="40" t="n">
        <x:v>0.0966401108417042</x:v>
      </x:c>
      <x:c r="R1424" s="40" t="n">
        <x:v>0.8957395219951507</x:v>
      </x:c>
      <x:c r="S1424" s="40" t="n">
        <x:v>0.052996189816418425</x:v>
      </x:c>
      <x:c r="T1424" s="31" t="n">
        <x:v>62.314103714134156</x:v>
      </x:c>
      <x:c r="U1424" s="31" t="n">
        <x:v>126.71</x:v>
      </x:c>
      <x:c r="V1424" s="31" t="n">
        <x:v>27</x:v>
      </x:c>
      <x:c r="W1424" s="31" t="n">
        <x:v>5.521472392638037</x:v>
      </x:c>
      <x:c r="X1424" s="31" t="n">
        <x:v>4.4357464496016625</x:v>
      </x:c>
      <x:c r="Y1424" s="40" t="n">
        <x:v>1</x:v>
      </x:c>
      <x:c r="Z1424" s="40" t="n">
        <x:v>1</x:v>
      </x:c>
      <x:c r="AA1424" s="40" t="n">
        <x:v>0.9501212331139591</x:v>
      </x:c>
      <x:c r="AB1424" s="31" t="n">
        <x:v>0.11107435585487815</x:v>
      </x:c>
      <x:c r="AC1424" s="31" t="n">
        <x:v>6</x:v>
      </x:c>
      <x:c r="AD1424" s="44" t="b">
        <x:v>1</x:v>
      </x:c>
    </x:row>
    <x:row r="1425">
      <x:c r="A1425" s="31" t="str">
        <x:v>36061022700</x:v>
      </x:c>
      <x:c r="B1425" s="31" t="str">
        <x:v>Manhattan</x:v>
      </x:c>
      <x:c r="C1425" s="31" t="str">
        <x:v>022700</x:v>
      </x:c>
      <x:c r="D1425" s="31" t="str">
        <x:v>MN0903</x:v>
      </x:c>
      <x:c r="E1425" s="31" t="str">
        <x:v>Hamilton Heights-Sugar Hill</x:v>
      </x:c>
      <x:c r="F1425" s="31" t="n">
        <x:v>0.05816891691596361</x:v>
      </x:c>
      <x:c r="G1425" s="31" t="n">
        <x:v>40.82296629203276</x:v>
      </x:c>
      <x:c r="H1425" s="31" t="n">
        <x:v>-73.94646250032982</x:v>
      </x:c>
      <x:c r="I1425" s="31" t="n">
        <x:v>5387</x:v>
      </x:c>
      <x:c r="J1425" s="31" t="n">
        <x:v>92609.59779915752</x:v>
      </x:c>
      <x:c r="K1425" s="31"/>
      <x:c r="L1425" s="40"/>
      <x:c r="M1425" s="40"/>
      <x:c r="N1425" s="31" t="n">
        <x:v>325</x:v>
      </x:c>
      <x:c r="O1425" s="31" t="n">
        <x:v>2782</x:v>
      </x:c>
      <x:c r="P1425" s="31" t="n">
        <x:v>5.503236245954692</x:v>
      </x:c>
      <x:c r="Q1425" s="40" t="n">
        <x:v>0.04385334291876348</x:v>
      </x:c>
      <x:c r="R1425" s="40" t="n">
        <x:v>0.9550682961897915</x:v>
      </x:c>
      <x:c r="S1425" s="40" t="n">
        <x:v>0.040258806613946804</x:v>
      </x:c>
      <x:c r="T1425" s="31" t="n">
        <x:v>65.69881932707459</x:v>
      </x:c>
      <x:c r="U1425" s="31" t="n">
        <x:v>124.05598509</x:v>
      </x:c>
      <x:c r="V1425" s="31" t="n">
        <x:v>43</x:v>
      </x:c>
      <x:c r="W1425" s="31" t="n">
        <x:v>7.982179320586598</x:v>
      </x:c>
      <x:c r="X1425" s="31" t="n">
        <x:v>4.450754852624011</x:v>
      </x:c>
      <x:c r="Y1425" s="40" t="n">
        <x:v>1</x:v>
      </x:c>
      <x:c r="Z1425" s="40" t="n">
        <x:v>1</x:v>
      </x:c>
      <x:c r="AA1425" s="40" t="n">
        <x:v>0.9928109273903667</x:v>
      </x:c>
      <x:c r="AB1425" s="31" t="n">
        <x:v>0.12963579108359752</x:v>
      </x:c>
      <x:c r="AC1425" s="31" t="n">
        <x:v>6</x:v>
      </x:c>
      <x:c r="AD1425" s="44" t="b">
        <x:v>1</x:v>
      </x:c>
    </x:row>
    <x:row r="1426">
      <x:c r="A1426" s="31" t="str">
        <x:v>36061022800</x:v>
      </x:c>
      <x:c r="B1426" s="31" t="str">
        <x:v>Manhattan</x:v>
      </x:c>
      <x:c r="C1426" s="31" t="str">
        <x:v>022800</x:v>
      </x:c>
      <x:c r="D1426" s="31" t="str">
        <x:v>MN1002</x:v>
      </x:c>
      <x:c r="E1426" s="31" t="str">
        <x:v>Harlem (North)</x:v>
      </x:c>
      <x:c r="F1426" s="31" t="n">
        <x:v>0.06973439957745065</x:v>
      </x:c>
      <x:c r="G1426" s="31" t="n">
        <x:v>40.81592970319938</x:v>
      </x:c>
      <x:c r="H1426" s="31" t="n">
        <x:v>-73.94324560099082</x:v>
      </x:c>
      <x:c r="I1426" s="31" t="n">
        <x:v>5961</x:v>
      </x:c>
      <x:c r="J1426" s="31" t="n">
        <x:v>85481.48454880441</x:v>
      </x:c>
      <x:c r="K1426" s="31"/>
      <x:c r="L1426" s="40"/>
      <x:c r="M1426" s="40"/>
      <x:c r="N1426" s="31" t="n">
        <x:v>342</x:v>
      </x:c>
      <x:c r="O1426" s="31" t="n">
        <x:v>3168</x:v>
      </x:c>
      <x:c r="P1426" s="31" t="n">
        <x:v>5.446911196911197</x:v>
      </x:c>
      <x:c r="Q1426" s="40" t="n">
        <x:v>0.050505050505050504</x:v>
      </x:c>
      <x:c r="R1426" s="40" t="n">
        <x:v>0.9305555555555556</x:v>
      </x:c>
      <x:c r="S1426" s="40" t="n">
        <x:v>0.08238636363636363</x:v>
      </x:c>
      <x:c r="T1426" s="31" t="n">
        <x:v>62.2723641874913</x:v>
      </x:c>
      <x:c r="U1426" s="31" t="n">
        <x:v>144.96</x:v>
      </x:c>
      <x:c r="V1426" s="31" t="n">
        <x:v>37</x:v>
      </x:c>
      <x:c r="W1426" s="31" t="n">
        <x:v>6.207012246267404</x:v>
      </x:c>
      <x:c r="X1426" s="31" t="n">
        <x:v>5</x:v>
      </x:c>
      <x:c r="Y1426" s="40" t="n">
        <x:v>1</x:v>
      </x:c>
      <x:c r="Z1426" s="40" t="n">
        <x:v>1</x:v>
      </x:c>
      <x:c r="AA1426" s="40" t="n">
        <x:v>0.9977904040404041</x:v>
      </x:c>
      <x:c r="AB1426" s="31" t="n">
        <x:v>0.0736127757814785</x:v>
      </x:c>
      <x:c r="AC1426" s="31" t="n">
        <x:v>5</x:v>
      </x:c>
      <x:c r="AD1426" s="44" t="b">
        <x:v>1</x:v>
      </x:c>
    </x:row>
    <x:row r="1427">
      <x:c r="A1427" s="31" t="str">
        <x:v>36061022900</x:v>
      </x:c>
      <x:c r="B1427" s="31" t="str">
        <x:v>Manhattan</x:v>
      </x:c>
      <x:c r="C1427" s="31" t="str">
        <x:v>022900</x:v>
      </x:c>
      <x:c r="D1427" s="31" t="str">
        <x:v>MN0903</x:v>
      </x:c>
      <x:c r="E1427" s="31" t="str">
        <x:v>Hamilton Heights-Sugar Hill</x:v>
      </x:c>
      <x:c r="F1427" s="31" t="n">
        <x:v>0.08106987691617883</x:v>
      </x:c>
      <x:c r="G1427" s="31" t="n">
        <x:v>40.825925758093</x:v>
      </x:c>
      <x:c r="H1427" s="31" t="n">
        <x:v>-73.95171756947485</x:v>
      </x:c>
      <x:c r="I1427" s="31" t="n">
        <x:v>7975</x:v>
      </x:c>
      <x:c r="J1427" s="31" t="n">
        <x:v>98371.92682857593</x:v>
      </x:c>
      <x:c r="K1427" s="31"/>
      <x:c r="L1427" s="40"/>
      <x:c r="M1427" s="40"/>
      <x:c r="N1427" s="31" t="n">
        <x:v>160</x:v>
      </x:c>
      <x:c r="O1427" s="31" t="n">
        <x:v>3474</x:v>
      </x:c>
      <x:c r="P1427" s="31" t="n">
        <x:v>5.942141623488774</x:v>
      </x:c>
      <x:c r="Q1427" s="40" t="n">
        <x:v>0.06879677605066206</x:v>
      </x:c>
      <x:c r="R1427" s="40" t="n">
        <x:v>0.931203223949338</x:v>
      </x:c>
      <x:c r="S1427" s="40" t="n">
        <x:v>0.010074841681059297</x:v>
      </x:c>
      <x:c r="T1427" s="31" t="n">
        <x:v>70.43728078239494</x:v>
      </x:c>
      <x:c r="U1427" s="31" t="n">
        <x:v>134.34495868</x:v>
      </x:c>
      <x:c r="V1427" s="31" t="n">
        <x:v>64</x:v>
      </x:c>
      <x:c r="W1427" s="31" t="n">
        <x:v>8.025078369905957</x:v>
      </x:c>
      <x:c r="X1427" s="31" t="n">
        <x:v>4</x:v>
      </x:c>
      <x:c r="Y1427" s="40" t="n">
        <x:v>1</x:v>
      </x:c>
      <x:c r="Z1427" s="40" t="n">
        <x:v>1</x:v>
      </x:c>
      <x:c r="AA1427" s="40" t="n">
        <x:v>1</x:v>
      </x:c>
      <x:c r="AB1427" s="31" t="n">
        <x:v>0.19543168229925642</x:v>
      </x:c>
      <x:c r="AC1427" s="31" t="n">
        <x:v>4</x:v>
      </x:c>
      <x:c r="AD1427" s="44" t="b">
        <x:v>1</x:v>
      </x:c>
    </x:row>
    <x:row r="1428">
      <x:c r="A1428" s="31" t="str">
        <x:v>36061023000</x:v>
      </x:c>
      <x:c r="B1428" s="31" t="str">
        <x:v>Manhattan</x:v>
      </x:c>
      <x:c r="C1428" s="31" t="str">
        <x:v>023000</x:v>
      </x:c>
      <x:c r="D1428" s="31" t="str">
        <x:v>MN1002</x:v>
      </x:c>
      <x:c r="E1428" s="31" t="str">
        <x:v>Harlem (North)</x:v>
      </x:c>
      <x:c r="F1428" s="31" t="n">
        <x:v>0.06707371049486341</x:v>
      </x:c>
      <x:c r="G1428" s="31" t="n">
        <x:v>40.818472225775956</x:v>
      </x:c>
      <x:c r="H1428" s="31" t="n">
        <x:v>-73.94138939498586</x:v>
      </x:c>
      <x:c r="I1428" s="31" t="n">
        <x:v>9111</x:v>
      </x:c>
      <x:c r="J1428" s="31" t="n">
        <x:v>135835.63415203834</x:v>
      </x:c>
      <x:c r="K1428" s="31"/>
      <x:c r="L1428" s="40"/>
      <x:c r="M1428" s="40"/>
      <x:c r="N1428" s="31" t="n">
        <x:v>232</x:v>
      </x:c>
      <x:c r="O1428" s="31" t="n">
        <x:v>4051</x:v>
      </x:c>
      <x:c r="P1428" s="31" t="n">
        <x:v>7.417427795606023</x:v>
      </x:c>
      <x:c r="Q1428" s="40" t="n">
        <x:v>0.12021723031350284</x:v>
      </x:c>
      <x:c r="R1428" s="40" t="n">
        <x:v>0.8797827696864972</x:v>
      </x:c>
      <x:c r="S1428" s="40" t="n">
        <x:v>0.013576894593927425</x:v>
      </x:c>
      <x:c r="T1428" s="31" t="n">
        <x:v>82.18339362451516</x:v>
      </x:c>
      <x:c r="U1428" s="31" t="n">
        <x:v>204</x:v>
      </x:c>
      <x:c r="V1428" s="31" t="n">
        <x:v>59</x:v>
      </x:c>
      <x:c r="W1428" s="31" t="n">
        <x:v>6.475688727911316</x:v>
      </x:c>
      <x:c r="X1428" s="31" t="n">
        <x:v>5</x:v>
      </x:c>
      <x:c r="Y1428" s="40" t="n">
        <x:v>1</x:v>
      </x:c>
      <x:c r="Z1428" s="40" t="n">
        <x:v>1</x:v>
      </x:c>
      <x:c r="AA1428" s="40" t="n">
        <x:v>0.9928412737595655</x:v>
      </x:c>
      <x:c r="AB1428" s="31" t="n">
        <x:v>0.14361886277663388</x:v>
      </x:c>
      <x:c r="AC1428" s="31" t="n">
        <x:v>6</x:v>
      </x:c>
      <x:c r="AD1428" s="44" t="b">
        <x:v>1</x:v>
      </x:c>
    </x:row>
    <x:row r="1429">
      <x:c r="A1429" s="31" t="str">
        <x:v>36061023100</x:v>
      </x:c>
      <x:c r="B1429" s="31" t="str">
        <x:v>Manhattan</x:v>
      </x:c>
      <x:c r="C1429" s="31" t="str">
        <x:v>023100</x:v>
      </x:c>
      <x:c r="D1429" s="31" t="str">
        <x:v>MN0903</x:v>
      </x:c>
      <x:c r="E1429" s="31" t="str">
        <x:v>Hamilton Heights-Sugar Hill</x:v>
      </x:c>
      <x:c r="F1429" s="31" t="n">
        <x:v>0.0704024359389348</x:v>
      </x:c>
      <x:c r="G1429" s="31" t="n">
        <x:v>40.8258282582772</x:v>
      </x:c>
      <x:c r="H1429" s="31" t="n">
        <x:v>-73.94409943086652</x:v>
      </x:c>
      <x:c r="I1429" s="31" t="n">
        <x:v>6273</x:v>
      </x:c>
      <x:c r="J1429" s="31" t="n">
        <x:v>89102.03058088833</x:v>
      </x:c>
      <x:c r="K1429" s="31"/>
      <x:c r="L1429" s="40"/>
      <x:c r="M1429" s="40"/>
      <x:c r="N1429" s="31" t="n">
        <x:v>261</x:v>
      </x:c>
      <x:c r="O1429" s="31" t="n">
        <x:v>2974</x:v>
      </x:c>
      <x:c r="P1429" s="31" t="n">
        <x:v>5.858922558922559</x:v>
      </x:c>
      <x:c r="Q1429" s="40" t="n">
        <x:v>0.07901815736381977</x:v>
      </x:c>
      <x:c r="R1429" s="40" t="n">
        <x:v>0.9189643577673168</x:v>
      </x:c>
      <x:c r="S1429" s="40" t="n">
        <x:v>0</x:v>
      </x:c>
      <x:c r="T1429" s="31" t="n">
        <x:v>68.9121548128043</x:v>
      </x:c>
      <x:c r="U1429" s="31" t="n">
        <x:v>137.9969221</x:v>
      </x:c>
      <x:c r="V1429" s="31" t="n">
        <x:v>40</x:v>
      </x:c>
      <x:c r="W1429" s="31" t="n">
        <x:v>6.37653435357883</x:v>
      </x:c>
      <x:c r="X1429" s="31" t="n">
        <x:v>4</x:v>
      </x:c>
      <x:c r="Y1429" s="40" t="n">
        <x:v>1</x:v>
      </x:c>
      <x:c r="Z1429" s="40" t="n">
        <x:v>1</x:v>
      </x:c>
      <x:c r="AA1429" s="40" t="n">
        <x:v>1</x:v>
      </x:c>
      <x:c r="AB1429" s="31" t="n">
        <x:v>0.11100598939075358</x:v>
      </x:c>
      <x:c r="AC1429" s="31" t="n">
        <x:v>7</x:v>
      </x:c>
      <x:c r="AD1429" s="44" t="b">
        <x:v>1</x:v>
      </x:c>
    </x:row>
    <x:row r="1430">
      <x:c r="A1430" s="31" t="str">
        <x:v>36061023200</x:v>
      </x:c>
      <x:c r="B1430" s="31" t="str">
        <x:v>Manhattan</x:v>
      </x:c>
      <x:c r="C1430" s="31" t="str">
        <x:v>023200</x:v>
      </x:c>
      <x:c r="D1430" s="31" t="str">
        <x:v>MN1002</x:v>
      </x:c>
      <x:c r="E1430" s="31" t="str">
        <x:v>Harlem (North)</x:v>
      </x:c>
      <x:c r="F1430" s="31" t="n">
        <x:v>0.06970920338505797</x:v>
      </x:c>
      <x:c r="G1430" s="31" t="n">
        <x:v>40.821013620062736</x:v>
      </x:c>
      <x:c r="H1430" s="31" t="n">
        <x:v>-73.9395312648375</x:v>
      </x:c>
      <x:c r="I1430" s="31" t="n">
        <x:v>8061</x:v>
      </x:c>
      <x:c r="J1430" s="31" t="n">
        <x:v>115637.52859823756</x:v>
      </x:c>
      <x:c r="K1430" s="31"/>
      <x:c r="L1430" s="40"/>
      <x:c r="M1430" s="40"/>
      <x:c r="N1430" s="31" t="n">
        <x:v>117</x:v>
      </x:c>
      <x:c r="O1430" s="31" t="n">
        <x:v>3559</x:v>
      </x:c>
      <x:c r="P1430" s="31" t="n">
        <x:v>8.901657769036246</x:v>
      </x:c>
      <x:c r="Q1430" s="40" t="n">
        <x:v>0.2051137960101152</x:v>
      </x:c>
      <x:c r="R1430" s="40" t="n">
        <x:v>0.7948862039898849</x:v>
      </x:c>
      <x:c r="S1430" s="40" t="n">
        <x:v>0.20539477381286877</x:v>
      </x:c>
      <x:c r="T1430" s="31" t="n">
        <x:v>92.84193312728294</x:v>
      </x:c>
      <x:c r="U1430" s="31" t="n">
        <x:v>202.84</x:v>
      </x:c>
      <x:c r="V1430" s="31" t="n">
        <x:v>45</x:v>
      </x:c>
      <x:c r="W1430" s="31" t="n">
        <x:v>5.582433941198363</x:v>
      </x:c>
      <x:c r="X1430" s="31" t="n">
        <x:v>5</x:v>
      </x:c>
      <x:c r="Y1430" s="40" t="n">
        <x:v>1</x:v>
      </x:c>
      <x:c r="Z1430" s="40" t="n">
        <x:v>1</x:v>
      </x:c>
      <x:c r="AA1430" s="40" t="n">
        <x:v>1</x:v>
      </x:c>
      <x:c r="AB1430" s="31" t="n">
        <x:v>0.06914619172700681</x:v>
      </x:c>
      <x:c r="AC1430" s="31" t="n">
        <x:v>5</x:v>
      </x:c>
      <x:c r="AD1430" s="44" t="b">
        <x:v>1</x:v>
      </x:c>
    </x:row>
    <x:row r="1431">
      <x:c r="A1431" s="31" t="str">
        <x:v>36061023300</x:v>
      </x:c>
      <x:c r="B1431" s="31" t="str">
        <x:v>Manhattan</x:v>
      </x:c>
      <x:c r="C1431" s="31" t="str">
        <x:v>023300</x:v>
      </x:c>
      <x:c r="D1431" s="31" t="str">
        <x:v>MN0903</x:v>
      </x:c>
      <x:c r="E1431" s="31" t="str">
        <x:v>Hamilton Heights-Sugar Hill</x:v>
      </x:c>
      <x:c r="F1431" s="31" t="n">
        <x:v>0.08993124109525655</x:v>
      </x:c>
      <x:c r="G1431" s="31" t="n">
        <x:v>40.82850408313988</x:v>
      </x:c>
      <x:c r="H1431" s="31" t="n">
        <x:v>-73.9499707658659</x:v>
      </x:c>
      <x:c r="I1431" s="31" t="n">
        <x:v>6368</x:v>
      </x:c>
      <x:c r="J1431" s="31" t="n">
        <x:v>70809.65326893373</x:v>
      </x:c>
      <x:c r="K1431" s="31"/>
      <x:c r="L1431" s="40"/>
      <x:c r="M1431" s="40"/>
      <x:c r="N1431" s="31" t="n">
        <x:v>222</x:v>
      </x:c>
      <x:c r="O1431" s="31" t="n">
        <x:v>2806</x:v>
      </x:c>
      <x:c r="P1431" s="31" t="n">
        <x:v>5.891684511063526</x:v>
      </x:c>
      <x:c r="Q1431" s="40" t="n">
        <x:v>0.1347113328581611</x:v>
      </x:c>
      <x:c r="R1431" s="40" t="n">
        <x:v>0.8617248752672844</x:v>
      </x:c>
      <x:c r="S1431" s="40" t="n">
        <x:v>0.021382751247327157</x:v>
      </x:c>
      <x:c r="T1431" s="31" t="n">
        <x:v>71.41979519600928</x:v>
      </x:c>
      <x:c r="U1431" s="31" t="n">
        <x:v>132</x:v>
      </x:c>
      <x:c r="V1431" s="31" t="n">
        <x:v>43</x:v>
      </x:c>
      <x:c r="W1431" s="31" t="n">
        <x:v>6.75251256281407</x:v>
      </x:c>
      <x:c r="X1431" s="31" t="n">
        <x:v>4</x:v>
      </x:c>
      <x:c r="Y1431" s="40" t="n">
        <x:v>1</x:v>
      </x:c>
      <x:c r="Z1431" s="40" t="n">
        <x:v>1</x:v>
      </x:c>
      <x:c r="AA1431" s="40" t="n">
        <x:v>0.9992872416250891</x:v>
      </x:c>
      <x:c r="AB1431" s="31" t="n">
        <x:v>0.18862680659427677</x:v>
      </x:c>
      <x:c r="AC1431" s="31" t="n">
        <x:v>4</x:v>
      </x:c>
      <x:c r="AD1431" s="44" t="b">
        <x:v>1</x:v>
      </x:c>
    </x:row>
    <x:row r="1432">
      <x:c r="A1432" s="31" t="str">
        <x:v>36061023400</x:v>
      </x:c>
      <x:c r="B1432" s="31" t="str">
        <x:v>Manhattan</x:v>
      </x:c>
      <x:c r="C1432" s="31" t="str">
        <x:v>023400</x:v>
      </x:c>
      <x:c r="D1432" s="31" t="str">
        <x:v>MN1002</x:v>
      </x:c>
      <x:c r="E1432" s="31" t="str">
        <x:v>Harlem (North)</x:v>
      </x:c>
      <x:c r="F1432" s="31" t="n">
        <x:v>0.04186060265976527</x:v>
      </x:c>
      <x:c r="G1432" s="31" t="n">
        <x:v>40.82372740807932</x:v>
      </x:c>
      <x:c r="H1432" s="31" t="n">
        <x:v>-73.93866453992487</x:v>
      </x:c>
      <x:c r="I1432" s="31" t="n">
        <x:v>5112</x:v>
      </x:c>
      <x:c r="J1432" s="31" t="n">
        <x:v>122119.59874417789</x:v>
      </x:c>
      <x:c r="K1432" s="31"/>
      <x:c r="L1432" s="40"/>
      <x:c r="M1432" s="40"/>
      <x:c r="N1432" s="31" t="n">
        <x:v>75</x:v>
      </x:c>
      <x:c r="O1432" s="31" t="n">
        <x:v>2546</x:v>
      </x:c>
      <x:c r="P1432" s="31" t="n">
        <x:v>6.357030636292223</x:v>
      </x:c>
      <x:c r="Q1432" s="40" t="n">
        <x:v>0.0769835035349568</x:v>
      </x:c>
      <x:c r="R1432" s="40" t="n">
        <x:v>0.9230164964650432</x:v>
      </x:c>
      <x:c r="S1432" s="40" t="n">
        <x:v>0.3377847604084839</x:v>
      </x:c>
      <x:c r="T1432" s="31" t="n">
        <x:v>68.0594508636685</x:v>
      </x:c>
      <x:c r="U1432" s="31" t="n">
        <x:v>128.05</x:v>
      </x:c>
      <x:c r="V1432" s="31" t="n">
        <x:v>25</x:v>
      </x:c>
      <x:c r="W1432" s="31" t="n">
        <x:v>4.890453834115807</x:v>
      </x:c>
      <x:c r="X1432" s="31" t="n">
        <x:v>5</x:v>
      </x:c>
      <x:c r="Y1432" s="40" t="n">
        <x:v>1</x:v>
      </x:c>
      <x:c r="Z1432" s="40" t="n">
        <x:v>1</x:v>
      </x:c>
      <x:c r="AA1432" s="40" t="n">
        <x:v>1</x:v>
      </x:c>
      <x:c r="AB1432" s="31" t="n">
        <x:v>0.06635976010911575</x:v>
      </x:c>
      <x:c r="AC1432" s="31" t="n">
        <x:v>4</x:v>
      </x:c>
      <x:c r="AD1432" s="44" t="b">
        <x:v>1</x:v>
      </x:c>
    </x:row>
    <x:row r="1433">
      <x:c r="A1433" s="31" t="str">
        <x:v>36061023501</x:v>
      </x:c>
      <x:c r="B1433" s="31" t="str">
        <x:v>Manhattan</x:v>
      </x:c>
      <x:c r="C1433" s="31" t="str">
        <x:v>023501</x:v>
      </x:c>
      <x:c r="D1433" s="31" t="str">
        <x:v>MN0903</x:v>
      </x:c>
      <x:c r="E1433" s="31" t="str">
        <x:v>Hamilton Heights-Sugar Hill</x:v>
      </x:c>
      <x:c r="F1433" s="31" t="n">
        <x:v>0.06919125243521866</x:v>
      </x:c>
      <x:c r="G1433" s="31" t="n">
        <x:v>40.82899126358375</x:v>
      </x:c>
      <x:c r="H1433" s="31" t="n">
        <x:v>-73.9418383898242</x:v>
      </x:c>
      <x:c r="I1433" s="31" t="n">
        <x:v>6720</x:v>
      </x:c>
      <x:c r="J1433" s="31" t="n">
        <x:v>97122.1037846034</x:v>
      </x:c>
      <x:c r="K1433" s="31"/>
      <x:c r="L1433" s="40"/>
      <x:c r="M1433" s="40"/>
      <x:c r="N1433" s="31" t="n">
        <x:v>157</x:v>
      </x:c>
      <x:c r="O1433" s="31" t="n">
        <x:v>2967</x:v>
      </x:c>
      <x:c r="P1433" s="31" t="n">
        <x:v>6.890597068287451</x:v>
      </x:c>
      <x:c r="Q1433" s="40" t="n">
        <x:v>0.13110886417256487</x:v>
      </x:c>
      <x:c r="R1433" s="40" t="n">
        <x:v>0.8105830805527469</x:v>
      </x:c>
      <x:c r="S1433" s="40" t="n">
        <x:v>0</x:v>
      </x:c>
      <x:c r="T1433" s="31" t="n">
        <x:v>81.45348041152484</x:v>
      </x:c>
      <x:c r="U1433" s="31" t="n">
        <x:v>211.89</x:v>
      </x:c>
      <x:c r="V1433" s="31" t="n">
        <x:v>49</x:v>
      </x:c>
      <x:c r="W1433" s="31" t="n">
        <x:v>7.291666666666667</x:v>
      </x:c>
      <x:c r="X1433" s="31" t="n">
        <x:v>3.559150657229525</x:v>
      </x:c>
      <x:c r="Y1433" s="40" t="n">
        <x:v>0.5591506572295247</x:v>
      </x:c>
      <x:c r="Z1433" s="40" t="n">
        <x:v>1</x:v>
      </x:c>
      <x:c r="AA1433" s="40" t="n">
        <x:v>0.970340411189754</x:v>
      </x:c>
      <x:c r="AB1433" s="31" t="n">
        <x:v>0.16302179440159173</x:v>
      </x:c>
      <x:c r="AC1433" s="31" t="n">
        <x:v>9</x:v>
      </x:c>
      <x:c r="AD1433" s="44" t="b">
        <x:v>1</x:v>
      </x:c>
    </x:row>
    <x:row r="1434">
      <x:c r="A1434" s="31" t="str">
        <x:v>36061023502</x:v>
      </x:c>
      <x:c r="B1434" s="31" t="str">
        <x:v>Manhattan</x:v>
      </x:c>
      <x:c r="C1434" s="31" t="str">
        <x:v>023502</x:v>
      </x:c>
      <x:c r="D1434" s="31" t="str">
        <x:v>MN1002</x:v>
      </x:c>
      <x:c r="E1434" s="31" t="str">
        <x:v>Harlem (North)</x:v>
      </x:c>
      <x:c r="F1434" s="31" t="n">
        <x:v>0.01606289654646608</x:v>
      </x:c>
      <x:c r="G1434" s="31" t="n">
        <x:v>40.82789875116031</x:v>
      </x:c>
      <x:c r="H1434" s="31" t="n">
        <x:v>-73.93892494781463</x:v>
      </x:c>
      <x:c r="I1434" s="31" t="n">
        <x:v>2206</x:v>
      </x:c>
      <x:c r="J1434" s="31" t="n">
        <x:v>137335.13090983153</x:v>
      </x:c>
      <x:c r="K1434" s="31"/>
      <x:c r="L1434" s="40"/>
      <x:c r="M1434" s="40"/>
      <x:c r="N1434" s="31" t="n">
        <x:v>39</x:v>
      </x:c>
      <x:c r="O1434" s="31" t="n">
        <x:v>974</x:v>
      </x:c>
      <x:c r="P1434" s="31" t="n">
        <x:v>5.908624229979466</x:v>
      </x:c>
      <x:c r="Q1434" s="40" t="n">
        <x:v>0</x:v>
      </x:c>
      <x:c r="R1434" s="40" t="n">
        <x:v>0.997946611909651</x:v>
      </x:c>
      <x:c r="S1434" s="40" t="n">
        <x:v>0.023613963039014373</x:v>
      </x:c>
      <x:c r="T1434" s="31" t="n">
        <x:v>67.63096057559548</x:v>
      </x:c>
      <x:c r="U1434" s="31" t="n">
        <x:v>81.80038388</x:v>
      </x:c>
      <x:c r="V1434" s="31" t="n">
        <x:v>14</x:v>
      </x:c>
      <x:c r="W1434" s="31" t="n">
        <x:v>6.346328195829556</x:v>
      </x:c>
      <x:c r="X1434" s="31" t="n">
        <x:v>5</x:v>
      </x:c>
      <x:c r="Y1434" s="40" t="n">
        <x:v>1</x:v>
      </x:c>
      <x:c r="Z1434" s="40" t="n">
        <x:v>1</x:v>
      </x:c>
      <x:c r="AA1434" s="40" t="n">
        <x:v>1</x:v>
      </x:c>
      <x:c r="AB1434" s="31" t="n">
        <x:v>0.15206347468534112</x:v>
      </x:c>
      <x:c r="AC1434" s="31" t="n">
        <x:v>6</x:v>
      </x:c>
      <x:c r="AD1434" s="44" t="b">
        <x:v>1</x:v>
      </x:c>
    </x:row>
    <x:row r="1435">
      <x:c r="A1435" s="31" t="str">
        <x:v>36061023600</x:v>
      </x:c>
      <x:c r="B1435" s="31" t="str">
        <x:v>Manhattan</x:v>
      </x:c>
      <x:c r="C1435" s="31" t="str">
        <x:v>023600</x:v>
      </x:c>
      <x:c r="D1435" s="31" t="str">
        <x:v>MN1002</x:v>
      </x:c>
      <x:c r="E1435" s="31" t="str">
        <x:v>Harlem (North)</x:v>
      </x:c>
      <x:c r="F1435" s="31" t="n">
        <x:v>0.10135037011270374</x:v>
      </x:c>
      <x:c r="G1435" s="31" t="n">
        <x:v>40.82489455564174</x:v>
      </x:c>
      <x:c r="H1435" s="31" t="n">
        <x:v>-73.93610611760636</x:v>
      </x:c>
      <x:c r="I1435" s="31" t="n">
        <x:v>9907</x:v>
      </x:c>
      <x:c r="J1435" s="31" t="n">
        <x:v>97750.01303876056</x:v>
      </x:c>
      <x:c r="K1435" s="31"/>
      <x:c r="L1435" s="40"/>
      <x:c r="M1435" s="40"/>
      <x:c r="N1435" s="31" t="n">
        <x:v>40</x:v>
      </x:c>
      <x:c r="O1435" s="31" t="n">
        <x:v>3633</x:v>
      </x:c>
      <x:c r="P1435" s="31" t="n">
        <x:v>16.63005780346821</x:v>
      </x:c>
      <x:c r="Q1435" s="40" t="n">
        <x:v>0.5298651252408478</x:v>
      </x:c>
      <x:c r="R1435" s="40" t="n">
        <x:v>0.4701348747591522</x:v>
      </x:c>
      <x:c r="S1435" s="40" t="n">
        <x:v>0.458298926507019</x:v>
      </x:c>
      <x:c r="T1435" s="31" t="n">
        <x:v>170.7649074516417</x:v>
      </x:c>
      <x:c r="U1435" s="31" t="n">
        <x:v>261.89</x:v>
      </x:c>
      <x:c r="V1435" s="31" t="n">
        <x:v>46</x:v>
      </x:c>
      <x:c r="W1435" s="31" t="n">
        <x:v>4.643181588775613</x:v>
      </x:c>
      <x:c r="X1435" s="31" t="n">
        <x:v>5</x:v>
      </x:c>
      <x:c r="Y1435" s="40" t="n">
        <x:v>1</x:v>
      </x:c>
      <x:c r="Z1435" s="40" t="n">
        <x:v>1</x:v>
      </x:c>
      <x:c r="AA1435" s="40" t="n">
        <x:v>0.9372419488026424</x:v>
      </x:c>
      <x:c r="AB1435" s="31" t="n">
        <x:v>0.045414706365934955</x:v>
      </x:c>
      <x:c r="AC1435" s="31" t="n">
        <x:v>7</x:v>
      </x:c>
      <x:c r="AD1435" s="44" t="b">
        <x:v>1</x:v>
      </x:c>
    </x:row>
    <x:row r="1436">
      <x:c r="A1436" s="31" t="str">
        <x:v>36061023700</x:v>
      </x:c>
      <x:c r="B1436" s="31" t="str">
        <x:v>Manhattan</x:v>
      </x:c>
      <x:c r="C1436" s="31" t="str">
        <x:v>023700</x:v>
      </x:c>
      <x:c r="D1436" s="31" t="str">
        <x:v>MN0903</x:v>
      </x:c>
      <x:c r="E1436" s="31" t="str">
        <x:v>Hamilton Heights-Sugar Hill</x:v>
      </x:c>
      <x:c r="F1436" s="31" t="n">
        <x:v>0.10387933155525425</x:v>
      </x:c>
      <x:c r="G1436" s="31" t="n">
        <x:v>40.83144083893728</x:v>
      </x:c>
      <x:c r="H1436" s="31" t="n">
        <x:v>-73.94759762440047</x:v>
      </x:c>
      <x:c r="I1436" s="31" t="n">
        <x:v>6792</x:v>
      </x:c>
      <x:c r="J1436" s="31" t="n">
        <x:v>65383.55511449629</x:v>
      </x:c>
      <x:c r="K1436" s="31"/>
      <x:c r="L1436" s="40"/>
      <x:c r="M1436" s="40"/>
      <x:c r="N1436" s="31" t="n">
        <x:v>138</x:v>
      </x:c>
      <x:c r="O1436" s="31" t="n">
        <x:v>2966</x:v>
      </x:c>
      <x:c r="P1436" s="31" t="n">
        <x:v>7.5196392447741065</x:v>
      </x:c>
      <x:c r="Q1436" s="40" t="n">
        <x:v>0.12811867835468643</x:v>
      </x:c>
      <x:c r="R1436" s="40" t="n">
        <x:v>0.870869858395145</x:v>
      </x:c>
      <x:c r="S1436" s="40" t="n">
        <x:v>0.008428860418071477</x:v>
      </x:c>
      <x:c r="T1436" s="31" t="n">
        <x:v>84.87386041807147</x:v>
      </x:c>
      <x:c r="U1436" s="31" t="n">
        <x:v>294</x:v>
      </x:c>
      <x:c r="V1436" s="31" t="n">
        <x:v>35</x:v>
      </x:c>
      <x:c r="W1436" s="31" t="n">
        <x:v>5.153121319199058</x:v>
      </x:c>
      <x:c r="X1436" s="31" t="n">
        <x:v>4</x:v>
      </x:c>
      <x:c r="Y1436" s="40" t="n">
        <x:v>1</x:v>
      </x:c>
      <x:c r="Z1436" s="40" t="n">
        <x:v>1</x:v>
      </x:c>
      <x:c r="AA1436" s="40" t="n">
        <x:v>1</x:v>
      </x:c>
      <x:c r="AB1436" s="31" t="n">
        <x:v>0.18362510215367076</x:v>
      </x:c>
      <x:c r="AC1436" s="31" t="n">
        <x:v>5</x:v>
      </x:c>
      <x:c r="AD1436" s="44" t="b">
        <x:v>1</x:v>
      </x:c>
    </x:row>
    <x:row r="1437">
      <x:c r="A1437" s="31" t="str">
        <x:v>36061023802</x:v>
      </x:c>
      <x:c r="B1437" s="31" t="str">
        <x:v>Manhattan</x:v>
      </x:c>
      <x:c r="C1437" s="31" t="str">
        <x:v>023802</x:v>
      </x:c>
      <x:c r="D1437" s="31" t="str">
        <x:v>MN0801</x:v>
      </x:c>
      <x:c r="E1437" s="31" t="str">
        <x:v>Upper East Side-Lenox Hill-Roosevelt Island</x:v>
      </x:c>
      <x:c r="F1437" s="31" t="n">
        <x:v>0.09261016504211146</x:v>
      </x:c>
      <x:c r="G1437" s="31" t="n">
        <x:v>40.768090859947925</x:v>
      </x:c>
      <x:c r="H1437" s="31" t="n">
        <x:v>-73.9443728487326</x:v>
      </x:c>
      <x:c r="I1437" s="31" t="n">
        <x:v>4791</x:v>
      </x:c>
      <x:c r="J1437" s="31" t="n">
        <x:v>51732.981987684056</x:v>
      </x:c>
      <x:c r="K1437" s="31"/>
      <x:c r="L1437" s="40"/>
      <x:c r="M1437" s="40"/>
      <x:c r="N1437" s="31" t="n">
        <x:v>0</x:v>
      </x:c>
      <x:c r="O1437" s="31"/>
      <x:c r="P1437" s="31"/>
      <x:c r="Q1437" s="40"/>
      <x:c r="R1437" s="40"/>
      <x:c r="S1437" s="40"/>
      <x:c r="T1437" s="31"/>
      <x:c r="U1437" s="31"/>
      <x:c r="V1437" s="31" t="n">
        <x:v>0</x:v>
      </x:c>
      <x:c r="W1437" s="31" t="n">
        <x:v>0</x:v>
      </x:c>
      <x:c r="X1437" s="31"/>
      <x:c r="Y1437" s="40"/>
      <x:c r="Z1437" s="40"/>
      <x:c r="AA1437" s="40"/>
      <x:c r="AB1437" s="31" t="n">
        <x:v>0.3510242556833657</x:v>
      </x:c>
      <x:c r="AC1437" s="31" t="n">
        <x:v>2</x:v>
      </x:c>
      <x:c r="AD1437" s="44" t="b">
        <x:v>0</x:v>
      </x:c>
    </x:row>
    <x:row r="1438">
      <x:c r="A1438" s="31" t="str">
        <x:v>36061023803</x:v>
      </x:c>
      <x:c r="B1438" s="31" t="str">
        <x:v>Manhattan</x:v>
      </x:c>
      <x:c r="C1438" s="31" t="str">
        <x:v>023803</x:v>
      </x:c>
      <x:c r="D1438" s="31" t="str">
        <x:v>MN0801</x:v>
      </x:c>
      <x:c r="E1438" s="31" t="str">
        <x:v>Upper East Side-Lenox Hill-Roosevelt Island</x:v>
      </x:c>
      <x:c r="F1438" s="31" t="n">
        <x:v>0.03964228603578397</x:v>
      </x:c>
      <x:c r="G1438" s="31" t="n">
        <x:v>40.76213251936805</x:v>
      </x:c>
      <x:c r="H1438" s="31" t="n">
        <x:v>-73.9496023458372</x:v>
      </x:c>
      <x:c r="I1438" s="31" t="n">
        <x:v>3625</x:v>
      </x:c>
      <x:c r="J1438" s="31" t="n">
        <x:v>91442.75879367338</x:v>
      </x:c>
      <x:c r="K1438" s="31"/>
      <x:c r="L1438" s="40"/>
      <x:c r="M1438" s="40"/>
      <x:c r="N1438" s="31" t="n">
        <x:v>3</x:v>
      </x:c>
      <x:c r="O1438" s="31" t="n">
        <x:v>1768</x:v>
      </x:c>
      <x:c r="P1438" s="31" t="n">
        <x:v>17.504524886877828</x:v>
      </x:c>
      <x:c r="Q1438" s="40" t="n">
        <x:v>1</x:v>
      </x:c>
      <x:c r="R1438" s="40" t="n">
        <x:v>0</x:v>
      </x:c>
      <x:c r="S1438" s="40" t="n">
        <x:v>1</x:v>
      </x:c>
      <x:c r="T1438" s="31" t="n">
        <x:v>175.64052601809956</x:v>
      </x:c>
      <x:c r="U1438" s="31" t="n">
        <x:v>178</x:v>
      </x:c>
      <x:c r="V1438" s="31" t="n">
        <x:v>0</x:v>
      </x:c>
      <x:c r="W1438" s="31" t="n">
        <x:v>0</x:v>
      </x:c>
      <x:c r="X1438" s="31" t="n">
        <x:v>1</x:v>
      </x:c>
      <x:c r="Y1438" s="40" t="n">
        <x:v>0</x:v>
      </x:c>
      <x:c r="Z1438" s="40" t="n">
        <x:v>1</x:v>
      </x:c>
      <x:c r="AA1438" s="40" t="n">
        <x:v>1</x:v>
      </x:c>
      <x:c r="AB1438" s="31" t="n">
        <x:v>0.10582707941834014</x:v>
      </x:c>
      <x:c r="AC1438" s="31" t="n">
        <x:v>2</x:v>
      </x:c>
      <x:c r="AD1438" s="44" t="b">
        <x:v>1</x:v>
      </x:c>
    </x:row>
    <x:row r="1439">
      <x:c r="A1439" s="31" t="str">
        <x:v>36061023804</x:v>
      </x:c>
      <x:c r="B1439" s="31" t="str">
        <x:v>Manhattan</x:v>
      </x:c>
      <x:c r="C1439" s="31" t="str">
        <x:v>023804</x:v>
      </x:c>
      <x:c r="D1439" s="31" t="str">
        <x:v>MN0801</x:v>
      </x:c>
      <x:c r="E1439" s="31" t="str">
        <x:v>Upper East Side-Lenox Hill-Roosevelt Island</x:v>
      </x:c>
      <x:c r="F1439" s="31" t="n">
        <x:v>0.09419398451023013</x:v>
      </x:c>
      <x:c r="G1439" s="31" t="n">
        <x:v>40.75575720382587</x:v>
      </x:c>
      <x:c r="H1439" s="31" t="n">
        <x:v>-73.95553100058432</x:v>
      </x:c>
      <x:c r="I1439" s="31" t="n">
        <x:v>3306</x:v>
      </x:c>
      <x:c r="J1439" s="31" t="n">
        <x:v>35097.78270013564</x:v>
      </x:c>
      <x:c r="K1439" s="31"/>
      <x:c r="L1439" s="40"/>
      <x:c r="M1439" s="40"/>
      <x:c r="N1439" s="31" t="n">
        <x:v>11</x:v>
      </x:c>
      <x:c r="O1439" s="31" t="n">
        <x:v>10540</x:v>
      </x:c>
      <x:c r="P1439" s="31" t="n">
        <x:v>18.58415559772296</x:v>
      </x:c>
      <x:c r="Q1439" s="40" t="n">
        <x:v>1</x:v>
      </x:c>
      <x:c r="R1439" s="40" t="n">
        <x:v>0</x:v>
      </x:c>
      <x:c r="S1439" s="40" t="n">
        <x:v>0.7607210626185958</x:v>
      </x:c>
      <x:c r="T1439" s="31" t="n">
        <x:v>211.08980044345898</x:v>
      </x:c>
      <x:c r="U1439" s="31" t="n">
        <x:v>305</x:v>
      </x:c>
      <x:c r="V1439" s="31" t="n">
        <x:v>0</x:v>
      </x:c>
      <x:c r="W1439" s="31" t="n">
        <x:v>0</x:v>
      </x:c>
      <x:c r="X1439" s="31" t="n">
        <x:v>1</x:v>
      </x:c>
      <x:c r="Y1439" s="40" t="n">
        <x:v>0</x:v>
      </x:c>
      <x:c r="Z1439" s="40" t="n">
        <x:v>1</x:v>
      </x:c>
      <x:c r="AA1439" s="40" t="n">
        <x:v>0.9413662239089184</x:v>
      </x:c>
      <x:c r="AB1439" s="31" t="n">
        <x:v>0.43404830872327416</x:v>
      </x:c>
      <x:c r="AC1439" s="31" t="n">
        <x:v>2</x:v>
      </x:c>
      <x:c r="AD1439" s="44" t="b">
        <x:v>1</x:v>
      </x:c>
    </x:row>
    <x:row r="1440">
      <x:c r="A1440" s="31" t="str">
        <x:v>36061023900</x:v>
      </x:c>
      <x:c r="B1440" s="31" t="str">
        <x:v>Manhattan</x:v>
      </x:c>
      <x:c r="C1440" s="31" t="str">
        <x:v>023900</x:v>
      </x:c>
      <x:c r="D1440" s="31" t="str">
        <x:v>MN1201</x:v>
      </x:c>
      <x:c r="E1440" s="31" t="str">
        <x:v>Washington Heights (South)</x:v>
      </x:c>
      <x:c r="F1440" s="31" t="n">
        <x:v>0.024671019178862486</x:v>
      </x:c>
      <x:c r="G1440" s="31" t="n">
        <x:v>40.83233735139228</x:v>
      </x:c>
      <x:c r="H1440" s="31" t="n">
        <x:v>-73.9410631098239</x:v>
      </x:c>
      <x:c r="I1440" s="31" t="n">
        <x:v>2675</x:v>
      </x:c>
      <x:c r="J1440" s="31" t="n">
        <x:v>108426.81368801631</x:v>
      </x:c>
      <x:c r="K1440" s="31"/>
      <x:c r="L1440" s="40"/>
      <x:c r="M1440" s="40"/>
      <x:c r="N1440" s="31" t="n">
        <x:v>43</x:v>
      </x:c>
      <x:c r="O1440" s="31" t="n">
        <x:v>1095</x:v>
      </x:c>
      <x:c r="P1440" s="31" t="n">
        <x:v>8.156164383561643</x:v>
      </x:c>
      <x:c r="Q1440" s="40" t="n">
        <x:v>0.1552511415525114</x:v>
      </x:c>
      <x:c r="R1440" s="40" t="n">
        <x:v>0.8447488584474886</x:v>
      </x:c>
      <x:c r="S1440" s="40" t="n">
        <x:v>0.049315068493150684</x:v>
      </x:c>
      <x:c r="T1440" s="31" t="n">
        <x:v>87.69257946927854</x:v>
      </x:c>
      <x:c r="U1440" s="31" t="n">
        <x:v>191.14362182</x:v>
      </x:c>
      <x:c r="V1440" s="31" t="n">
        <x:v>8</x:v>
      </x:c>
      <x:c r="W1440" s="31" t="n">
        <x:v>2.9906542056074765</x:v>
      </x:c>
      <x:c r="X1440" s="31" t="n">
        <x:v>3</x:v>
      </x:c>
      <x:c r="Y1440" s="40" t="n">
        <x:v>0</x:v>
      </x:c>
      <x:c r="Z1440" s="40" t="n">
        <x:v>1</x:v>
      </x:c>
      <x:c r="AA1440" s="40" t="n">
        <x:v>1</x:v>
      </x:c>
      <x:c r="AB1440" s="31" t="n">
        <x:v>0.07543739142188054</x:v>
      </x:c>
      <x:c r="AC1440" s="31" t="n">
        <x:v>6</x:v>
      </x:c>
      <x:c r="AD1440" s="44" t="b">
        <x:v>1</x:v>
      </x:c>
    </x:row>
    <x:row r="1441">
      <x:c r="A1441" s="31" t="str">
        <x:v>36061024000</x:v>
      </x:c>
      <x:c r="B1441" s="31" t="str">
        <x:v>Manhattan</x:v>
      </x:c>
      <x:c r="C1441" s="31" t="str">
        <x:v>024000</x:v>
      </x:c>
      <x:c r="D1441" s="31" t="str">
        <x:v>MN1191</x:v>
      </x:c>
      <x:c r="E1441" s="31" t="str">
        <x:v>Randall's Island</x:v>
      </x:c>
      <x:c r="F1441" s="31" t="n">
        <x:v>0.8417462186997818</x:v>
      </x:c>
      <x:c r="G1441" s="31" t="n">
        <x:v>40.791001071207326</x:v>
      </x:c>
      <x:c r="H1441" s="31" t="n">
        <x:v>-73.92459718707798</x:v>
      </x:c>
      <x:c r="I1441" s="31" t="n">
        <x:v>1302</x:v>
      </x:c>
      <x:c r="J1441" s="31" t="n">
        <x:v>1546.7844952260757</x:v>
      </x:c>
      <x:c r="K1441" s="31"/>
      <x:c r="L1441" s="40"/>
      <x:c r="M1441" s="40"/>
      <x:c r="N1441" s="31" t="n">
        <x:v>0</x:v>
      </x:c>
      <x:c r="O1441" s="31"/>
      <x:c r="P1441" s="31"/>
      <x:c r="Q1441" s="40"/>
      <x:c r="R1441" s="40"/>
      <x:c r="S1441" s="40"/>
      <x:c r="T1441" s="31"/>
      <x:c r="U1441" s="31"/>
      <x:c r="V1441" s="31" t="n">
        <x:v>0</x:v>
      </x:c>
      <x:c r="W1441" s="31" t="n">
        <x:v>0</x:v>
      </x:c>
      <x:c r="X1441" s="31"/>
      <x:c r="Y1441" s="40"/>
      <x:c r="Z1441" s="40"/>
      <x:c r="AA1441" s="40"/>
      <x:c r="AB1441" s="31" t="n">
        <x:v>0.2932618231098728</x:v>
      </x:c>
      <x:c r="AC1441" s="31" t="n">
        <x:v>1</x:v>
      </x:c>
      <x:c r="AD1441" s="44" t="b">
        <x:v>0</x:v>
      </x:c>
    </x:row>
    <x:row r="1442">
      <x:c r="A1442" s="31" t="str">
        <x:v>36061024100</x:v>
      </x:c>
      <x:c r="B1442" s="31" t="str">
        <x:v>Manhattan</x:v>
      </x:c>
      <x:c r="C1442" s="31" t="str">
        <x:v>024100</x:v>
      </x:c>
      <x:c r="D1442" s="31" t="str">
        <x:v>MN1201</x:v>
      </x:c>
      <x:c r="E1442" s="31" t="str">
        <x:v>Washington Heights (South)</x:v>
      </x:c>
      <x:c r="F1442" s="31" t="n">
        <x:v>0.06854026871915174</x:v>
      </x:c>
      <x:c r="G1442" s="31" t="n">
        <x:v>40.83412495479351</x:v>
      </x:c>
      <x:c r="H1442" s="31" t="n">
        <x:v>-73.94606613974162</x:v>
      </x:c>
      <x:c r="I1442" s="31" t="n">
        <x:v>7612</x:v>
      </x:c>
      <x:c r="J1442" s="31" t="n">
        <x:v>111058.80006380878</x:v>
      </x:c>
      <x:c r="K1442" s="31"/>
      <x:c r="L1442" s="40"/>
      <x:c r="M1442" s="40"/>
      <x:c r="N1442" s="31" t="n">
        <x:v>91</x:v>
      </x:c>
      <x:c r="O1442" s="31" t="n">
        <x:v>3552</x:v>
      </x:c>
      <x:c r="P1442" s="31" t="n">
        <x:v>8.882742117117116</x:v>
      </x:c>
      <x:c r="Q1442" s="40" t="n">
        <x:v>0.37640765765765766</x:v>
      </x:c>
      <x:c r="R1442" s="40" t="n">
        <x:v>0.6227477477477478</x:v>
      </x:c>
      <x:c r="S1442" s="40" t="n">
        <x:v>0</x:v>
      </x:c>
      <x:c r="T1442" s="31" t="n">
        <x:v>109.07328562699882</x:v>
      </x:c>
      <x:c r="U1442" s="31" t="n">
        <x:v>208.4</x:v>
      </x:c>
      <x:c r="V1442" s="31" t="n">
        <x:v>54</x:v>
      </x:c>
      <x:c r="W1442" s="31" t="n">
        <x:v>7.094062007356805</x:v>
      </x:c>
      <x:c r="X1442" s="31" t="n">
        <x:v>3</x:v>
      </x:c>
      <x:c r="Y1442" s="40" t="n">
        <x:v>0</x:v>
      </x:c>
      <x:c r="Z1442" s="40" t="n">
        <x:v>1</x:v>
      </x:c>
      <x:c r="AA1442" s="40" t="n">
        <x:v>0.9662162162162162</x:v>
      </x:c>
      <x:c r="AB1442" s="31" t="n">
        <x:v>0.196063793092013</x:v>
      </x:c>
      <x:c r="AC1442" s="31" t="n">
        <x:v>5</x:v>
      </x:c>
      <x:c r="AD1442" s="44" t="b">
        <x:v>1</x:v>
      </x:c>
    </x:row>
    <x:row r="1443">
      <x:c r="A1443" s="31" t="str">
        <x:v>36061024200</x:v>
      </x:c>
      <x:c r="B1443" s="31" t="str">
        <x:v>Manhattan</x:v>
      </x:c>
      <x:c r="C1443" s="31" t="str">
        <x:v>024200</x:v>
      </x:c>
      <x:c r="D1443" s="31" t="str">
        <x:v>MN1102</x:v>
      </x:c>
      <x:c r="E1443" s="31" t="str">
        <x:v>East Harlem (North)</x:v>
      </x:c>
      <x:c r="F1443" s="31" t="n">
        <x:v>0.13330940148179235</x:v>
      </x:c>
      <x:c r="G1443" s="31" t="n">
        <x:v>40.80530140593832</x:v>
      </x:c>
      <x:c r="H1443" s="31" t="n">
        <x:v>-73.93415125632963</x:v>
      </x:c>
      <x:c r="I1443" s="31" t="n">
        <x:v>4448</x:v>
      </x:c>
      <x:c r="J1443" s="31" t="n">
        <x:v>33365.98882418294</x:v>
      </x:c>
      <x:c r="K1443" s="31"/>
      <x:c r="L1443" s="40"/>
      <x:c r="M1443" s="40"/>
      <x:c r="N1443" s="31" t="n">
        <x:v>29</x:v>
      </x:c>
      <x:c r="O1443" s="31" t="n">
        <x:v>2230</x:v>
      </x:c>
      <x:c r="P1443" s="31" t="n">
        <x:v>11.291161956034095</x:v>
      </x:c>
      <x:c r="Q1443" s="40" t="n">
        <x:v>0.6650224215246637</x:v>
      </x:c>
      <x:c r="R1443" s="40" t="n">
        <x:v>0.3309417040358744</x:v>
      </x:c>
      <x:c r="S1443" s="40" t="n">
        <x:v>0.08026905829596413</x:v>
      </x:c>
      <x:c r="T1443" s="31" t="n">
        <x:v>117.46441363842082</x:v>
      </x:c>
      <x:c r="U1443" s="31" t="n">
        <x:v>210</x:v>
      </x:c>
      <x:c r="V1443" s="31" t="n">
        <x:v>47</x:v>
      </x:c>
      <x:c r="W1443" s="31" t="n">
        <x:v>10.566546762589928</x:v>
      </x:c>
      <x:c r="X1443" s="31" t="n">
        <x:v>5</x:v>
      </x:c>
      <x:c r="Y1443" s="40" t="n">
        <x:v>1</x:v>
      </x:c>
      <x:c r="Z1443" s="40" t="n">
        <x:v>1</x:v>
      </x:c>
      <x:c r="AA1443" s="40" t="n">
        <x:v>0.9995515695067264</x:v>
      </x:c>
      <x:c r="AB1443" s="31" t="n">
        <x:v>0.07102872287452758</x:v>
      </x:c>
      <x:c r="AC1443" s="31" t="n">
        <x:v>6</x:v>
      </x:c>
      <x:c r="AD1443" s="44" t="b">
        <x:v>1</x:v>
      </x:c>
    </x:row>
    <x:row r="1444">
      <x:c r="A1444" s="31" t="str">
        <x:v>36061024301</x:v>
      </x:c>
      <x:c r="B1444" s="31" t="str">
        <x:v>Manhattan</x:v>
      </x:c>
      <x:c r="C1444" s="31" t="str">
        <x:v>024301</x:v>
      </x:c>
      <x:c r="D1444" s="31" t="str">
        <x:v>MN1201</x:v>
      </x:c>
      <x:c r="E1444" s="31" t="str">
        <x:v>Washington Heights (South)</x:v>
      </x:c>
      <x:c r="F1444" s="31" t="n">
        <x:v>0.0405267164632834</x:v>
      </x:c>
      <x:c r="G1444" s="31" t="n">
        <x:v>40.83597375365118</x:v>
      </x:c>
      <x:c r="H1444" s="31" t="n">
        <x:v>-73.93875807967933</x:v>
      </x:c>
      <x:c r="I1444" s="31" t="n">
        <x:v>3993</x:v>
      </x:c>
      <x:c r="J1444" s="31" t="n">
        <x:v>98527.59731022369</x:v>
      </x:c>
      <x:c r="K1444" s="31"/>
      <x:c r="L1444" s="40"/>
      <x:c r="M1444" s="40"/>
      <x:c r="N1444" s="31" t="n">
        <x:v>117</x:v>
      </x:c>
      <x:c r="O1444" s="31" t="n">
        <x:v>1611</x:v>
      </x:c>
      <x:c r="P1444" s="31" t="n">
        <x:v>5.78895096213532</x:v>
      </x:c>
      <x:c r="Q1444" s="40" t="n">
        <x:v>0.07883302296710118</x:v>
      </x:c>
      <x:c r="R1444" s="40" t="n">
        <x:v>0.8981998758535071</x:v>
      </x:c>
      <x:c r="S1444" s="40" t="n">
        <x:v>0</x:v>
      </x:c>
      <x:c r="T1444" s="31" t="n">
        <x:v>67.52583993695221</x:v>
      </x:c>
      <x:c r="U1444" s="31" t="n">
        <x:v>152.99590649</x:v>
      </x:c>
      <x:c r="V1444" s="31" t="n">
        <x:v>14</x:v>
      </x:c>
      <x:c r="W1444" s="31" t="n">
        <x:v>3.506135737540696</x:v>
      </x:c>
      <x:c r="X1444" s="31" t="n">
        <x:v>3</x:v>
      </x:c>
      <x:c r="Y1444" s="40" t="n">
        <x:v>0</x:v>
      </x:c>
      <x:c r="Z1444" s="40" t="n">
        <x:v>1</x:v>
      </x:c>
      <x:c r="AA1444" s="40" t="n">
        <x:v>1</x:v>
      </x:c>
      <x:c r="AB1444" s="31" t="n">
        <x:v>0.10627479389623713</x:v>
      </x:c>
      <x:c r="AC1444" s="31" t="n">
        <x:v>5</x:v>
      </x:c>
      <x:c r="AD1444" s="44" t="b">
        <x:v>1</x:v>
      </x:c>
    </x:row>
    <x:row r="1445">
      <x:c r="A1445" s="31" t="str">
        <x:v>36061024302</x:v>
      </x:c>
      <x:c r="B1445" s="31" t="str">
        <x:v>Manhattan</x:v>
      </x:c>
      <x:c r="C1445" s="31" t="str">
        <x:v>024302</x:v>
      </x:c>
      <x:c r="D1445" s="31" t="str">
        <x:v>MN1002</x:v>
      </x:c>
      <x:c r="E1445" s="31" t="str">
        <x:v>Harlem (North)</x:v>
      </x:c>
      <x:c r="F1445" s="31" t="n">
        <x:v>0.08149261006693355</x:v>
      </x:c>
      <x:c r="G1445" s="31" t="n">
        <x:v>40.83156573808714</x:v>
      </x:c>
      <x:c r="H1445" s="31" t="n">
        <x:v>-73.9367951220322</x:v>
      </x:c>
      <x:c r="I1445" s="31" t="n">
        <x:v>7237</x:v>
      </x:c>
      <x:c r="J1445" s="31" t="n">
        <x:v>88805.59837334853</x:v>
      </x:c>
      <x:c r="K1445" s="31"/>
      <x:c r="L1445" s="40"/>
      <x:c r="M1445" s="40"/>
      <x:c r="N1445" s="31" t="n">
        <x:v>2</x:v>
      </x:c>
      <x:c r="O1445" s="31" t="n">
        <x:v>2598</x:v>
      </x:c>
      <x:c r="P1445" s="31" t="n">
        <x:v>23.939953810623557</x:v>
      </x:c>
      <x:c r="Q1445" s="40" t="n">
        <x:v>1</x:v>
      </x:c>
      <x:c r="R1445" s="40" t="n">
        <x:v>0</x:v>
      </x:c>
      <x:c r="S1445" s="40" t="n">
        <x:v>1</x:v>
      </x:c>
      <x:c r="T1445" s="31" t="n">
        <x:v>217.58320637284064</x:v>
      </x:c>
      <x:c r="U1445" s="31" t="n">
        <x:v>272.66</x:v>
      </x:c>
      <x:c r="V1445" s="31" t="n">
        <x:v>42</x:v>
      </x:c>
      <x:c r="W1445" s="31" t="n">
        <x:v>5.803509741605638</x:v>
      </x:c>
      <x:c r="X1445" s="31" t="n">
        <x:v>5</x:v>
      </x:c>
      <x:c r="Y1445" s="40" t="n">
        <x:v>1</x:v>
      </x:c>
      <x:c r="Z1445" s="40" t="n">
        <x:v>1</x:v>
      </x:c>
      <x:c r="AA1445" s="40" t="n">
        <x:v>1</x:v>
      </x:c>
      <x:c r="AB1445" s="31" t="n">
        <x:v>0.025590261034231728</x:v>
      </x:c>
      <x:c r="AC1445" s="31" t="n">
        <x:v>4</x:v>
      </x:c>
      <x:c r="AD1445" s="44" t="b">
        <x:v>1</x:v>
      </x:c>
    </x:row>
    <x:row r="1446">
      <x:c r="A1446" s="31" t="str">
        <x:v>36061024500</x:v>
      </x:c>
      <x:c r="B1446" s="31" t="str">
        <x:v>Manhattan</x:v>
      </x:c>
      <x:c r="C1446" s="31" t="str">
        <x:v>024500</x:v>
      </x:c>
      <x:c r="D1446" s="31" t="str">
        <x:v>MN1201</x:v>
      </x:c>
      <x:c r="E1446" s="31" t="str">
        <x:v>Washington Heights (South)</x:v>
      </x:c>
      <x:c r="F1446" s="31" t="n">
        <x:v>0.0819400554762827</x:v>
      </x:c>
      <x:c r="G1446" s="31" t="n">
        <x:v>40.836624922769985</x:v>
      </x:c>
      <x:c r="H1446" s="31" t="n">
        <x:v>-73.94209530970926</x:v>
      </x:c>
      <x:c r="I1446" s="31" t="n">
        <x:v>13385</x:v>
      </x:c>
      <x:c r="J1446" s="31" t="n">
        <x:v>163351.12201472998</x:v>
      </x:c>
      <x:c r="K1446" s="31"/>
      <x:c r="L1446" s="40"/>
      <x:c r="M1446" s="40"/>
      <x:c r="N1446" s="31" t="n">
        <x:v>214</x:v>
      </x:c>
      <x:c r="O1446" s="31" t="n">
        <x:v>5162</x:v>
      </x:c>
      <x:c r="P1446" s="31" t="n">
        <x:v>5.897907787679194</x:v>
      </x:c>
      <x:c r="Q1446" s="40" t="n">
        <x:v>0.08698179000387447</x:v>
      </x:c>
      <x:c r="R1446" s="40" t="n">
        <x:v>0.9130182099961255</x:v>
      </x:c>
      <x:c r="S1446" s="40" t="n">
        <x:v>0.01666020922123208</x:v>
      </x:c>
      <x:c r="T1446" s="31" t="n">
        <x:v>70.66481410001163</x:v>
      </x:c>
      <x:c r="U1446" s="31" t="n">
        <x:v>142.54</x:v>
      </x:c>
      <x:c r="V1446" s="31" t="n">
        <x:v>76</x:v>
      </x:c>
      <x:c r="W1446" s="31" t="n">
        <x:v>5.677997758685096</x:v>
      </x:c>
      <x:c r="X1446" s="31" t="n">
        <x:v>3</x:v>
      </x:c>
      <x:c r="Y1446" s="40" t="n">
        <x:v>0</x:v>
      </x:c>
      <x:c r="Z1446" s="40" t="n">
        <x:v>1</x:v>
      </x:c>
      <x:c r="AA1446" s="40" t="n">
        <x:v>1</x:v>
      </x:c>
      <x:c r="AB1446" s="31" t="n">
        <x:v>0.12372077269818711</x:v>
      </x:c>
      <x:c r="AC1446" s="31" t="n">
        <x:v>6</x:v>
      </x:c>
      <x:c r="AD1446" s="44" t="b">
        <x:v>1</x:v>
      </x:c>
    </x:row>
    <x:row r="1447">
      <x:c r="A1447" s="31" t="str">
        <x:v>36061024700</x:v>
      </x:c>
      <x:c r="B1447" s="31" t="str">
        <x:v>Manhattan</x:v>
      </x:c>
      <x:c r="C1447" s="31" t="str">
        <x:v>024700</x:v>
      </x:c>
      <x:c r="D1447" s="31" t="str">
        <x:v>MN1201</x:v>
      </x:c>
      <x:c r="E1447" s="31" t="str">
        <x:v>Washington Heights (South)</x:v>
      </x:c>
      <x:c r="F1447" s="31" t="n">
        <x:v>0.0979809625007174</x:v>
      </x:c>
      <x:c r="G1447" s="31" t="n">
        <x:v>40.838345826120054</x:v>
      </x:c>
      <x:c r="H1447" s="31" t="n">
        <x:v>-73.94624584230779</x:v>
      </x:c>
      <x:c r="I1447" s="31" t="n">
        <x:v>6521</x:v>
      </x:c>
      <x:c r="J1447" s="31" t="n">
        <x:v>66553.74507014314</x:v>
      </x:c>
      <x:c r="K1447" s="31"/>
      <x:c r="L1447" s="40"/>
      <x:c r="M1447" s="40"/>
      <x:c r="N1447" s="31" t="n">
        <x:v>60</x:v>
      </x:c>
      <x:c r="O1447" s="31" t="n">
        <x:v>2582</x:v>
      </x:c>
      <x:c r="P1447" s="31" t="n">
        <x:v>5.963594113090627</x:v>
      </x:c>
      <x:c r="Q1447" s="40" t="n">
        <x:v>0.017428350116189</x:v>
      </x:c>
      <x:c r="R1447" s="40" t="n">
        <x:v>0.9817970565453137</x:v>
      </x:c>
      <x:c r="S1447" s="40" t="n">
        <x:v>0</x:v>
      </x:c>
      <x:c r="T1447" s="31" t="n">
        <x:v>89.64674858860573</x:v>
      </x:c>
      <x:c r="U1447" s="31" t="n">
        <x:v>133.96</x:v>
      </x:c>
      <x:c r="V1447" s="31" t="n">
        <x:v>56</x:v>
      </x:c>
      <x:c r="W1447" s="31" t="n">
        <x:v>8.587639932525686</x:v>
      </x:c>
      <x:c r="X1447" s="31" t="n">
        <x:v>3</x:v>
      </x:c>
      <x:c r="Y1447" s="40" t="n">
        <x:v>0</x:v>
      </x:c>
      <x:c r="Z1447" s="40" t="n">
        <x:v>1</x:v>
      </x:c>
      <x:c r="AA1447" s="40" t="n">
        <x:v>1</x:v>
      </x:c>
      <x:c r="AB1447" s="31" t="n">
        <x:v>0.279505104869943</x:v>
      </x:c>
      <x:c r="AC1447" s="31" t="n">
        <x:v>4</x:v>
      </x:c>
      <x:c r="AD1447" s="44" t="b">
        <x:v>1</x:v>
      </x:c>
    </x:row>
    <x:row r="1448">
      <x:c r="A1448" s="31" t="str">
        <x:v>36061024900</x:v>
      </x:c>
      <x:c r="B1448" s="31" t="str">
        <x:v>Manhattan</x:v>
      </x:c>
      <x:c r="C1448" s="31" t="str">
        <x:v>024900</x:v>
      </x:c>
      <x:c r="D1448" s="31" t="str">
        <x:v>MN1201</x:v>
      </x:c>
      <x:c r="E1448" s="31" t="str">
        <x:v>Washington Heights (South)</x:v>
      </x:c>
      <x:c r="F1448" s="31" t="n">
        <x:v>0.023417997426035928</x:v>
      </x:c>
      <x:c r="G1448" s="31" t="n">
        <x:v>40.83912892243116</x:v>
      </x:c>
      <x:c r="H1448" s="31" t="n">
        <x:v>-73.93644960780912</x:v>
      </x:c>
      <x:c r="I1448" s="31" t="n">
        <x:v>1084</x:v>
      </x:c>
      <x:c r="J1448" s="31" t="n">
        <x:v>46289.184351639655</x:v>
      </x:c>
      <x:c r="K1448" s="31"/>
      <x:c r="L1448" s="40"/>
      <x:c r="M1448" s="40"/>
      <x:c r="N1448" s="31" t="n">
        <x:v>22</x:v>
      </x:c>
      <x:c r="O1448" s="31" t="n">
        <x:v>486</x:v>
      </x:c>
      <x:c r="P1448" s="31" t="n">
        <x:v>5.890946502057613</x:v>
      </x:c>
      <x:c r="Q1448" s="40" t="n">
        <x:v>0</x:v>
      </x:c>
      <x:c r="R1448" s="40" t="n">
        <x:v>0.9938271604938271</x:v>
      </x:c>
      <x:c r="S1448" s="40" t="n">
        <x:v>0</x:v>
      </x:c>
      <x:c r="T1448" s="31" t="n">
        <x:v>65.22861921314049</x:v>
      </x:c>
      <x:c r="U1448" s="31" t="n">
        <x:v>75</x:v>
      </x:c>
      <x:c r="V1448" s="31" t="n">
        <x:v>10</x:v>
      </x:c>
      <x:c r="W1448" s="31" t="n">
        <x:v>9.22509225092251</x:v>
      </x:c>
      <x:c r="X1448" s="31" t="n">
        <x:v>3</x:v>
      </x:c>
      <x:c r="Y1448" s="40" t="n">
        <x:v>0</x:v>
      </x:c>
      <x:c r="Z1448" s="40" t="n">
        <x:v>1</x:v>
      </x:c>
      <x:c r="AA1448" s="40" t="n">
        <x:v>0.9958847736625515</x:v>
      </x:c>
      <x:c r="AB1448" s="31" t="n">
        <x:v>0.016473206534316043</x:v>
      </x:c>
      <x:c r="AC1448" s="31" t="n">
        <x:v>4</x:v>
      </x:c>
      <x:c r="AD1448" s="44" t="b">
        <x:v>1</x:v>
      </x:c>
    </x:row>
    <x:row r="1449">
      <x:c r="A1449" s="31" t="str">
        <x:v>36061025100</x:v>
      </x:c>
      <x:c r="B1449" s="31" t="str">
        <x:v>Manhattan</x:v>
      </x:c>
      <x:c r="C1449" s="31" t="str">
        <x:v>025100</x:v>
      </x:c>
      <x:c r="D1449" s="31" t="str">
        <x:v>MN1201</x:v>
      </x:c>
      <x:c r="E1449" s="31" t="str">
        <x:v>Washington Heights (South)</x:v>
      </x:c>
      <x:c r="F1449" s="31" t="n">
        <x:v>0.061556021306818184</x:v>
      </x:c>
      <x:c r="G1449" s="31" t="n">
        <x:v>40.840326015462686</x:v>
      </x:c>
      <x:c r="H1449" s="31" t="n">
        <x:v>-73.93992260077336</x:v>
      </x:c>
      <x:c r="I1449" s="31" t="n">
        <x:v>2287</x:v>
      </x:c>
      <x:c r="J1449" s="31" t="n">
        <x:v>37153.14848893073</x:v>
      </x:c>
      <x:c r="K1449" s="31"/>
      <x:c r="L1449" s="40"/>
      <x:c r="M1449" s="40"/>
      <x:c r="N1449" s="31" t="n">
        <x:v>47</x:v>
      </x:c>
      <x:c r="O1449" s="31" t="n">
        <x:v>998</x:v>
      </x:c>
      <x:c r="P1449" s="31" t="n">
        <x:v>5.680360721442886</x:v>
      </x:c>
      <x:c r="Q1449" s="40" t="n">
        <x:v>0</x:v>
      </x:c>
      <x:c r="R1449" s="40" t="n">
        <x:v>0.9889779559118237</x:v>
      </x:c>
      <x:c r="S1449" s="40" t="n">
        <x:v>0</x:v>
      </x:c>
      <x:c r="T1449" s="31" t="n">
        <x:v>60.33079285144578</x:v>
      </x:c>
      <x:c r="U1449" s="31" t="n">
        <x:v>72.41</x:v>
      </x:c>
      <x:c r="V1449" s="31" t="n">
        <x:v>13</x:v>
      </x:c>
      <x:c r="W1449" s="31" t="n">
        <x:v>5.684302579798863</x:v>
      </x:c>
      <x:c r="X1449" s="31" t="n">
        <x:v>3</x:v>
      </x:c>
      <x:c r="Y1449" s="40" t="n">
        <x:v>0</x:v>
      </x:c>
      <x:c r="Z1449" s="40" t="n">
        <x:v>1</x:v>
      </x:c>
      <x:c r="AA1449" s="40" t="n">
        <x:v>0.9979959919839679</x:v>
      </x:c>
      <x:c r="AB1449" s="31" t="n">
        <x:v>0.05366919887627448</x:v>
      </x:c>
      <x:c r="AC1449" s="31" t="n">
        <x:v>6</x:v>
      </x:c>
      <x:c r="AD1449" s="44" t="b">
        <x:v>1</x:v>
      </x:c>
    </x:row>
    <x:row r="1450">
      <x:c r="A1450" s="31" t="str">
        <x:v>36061025300</x:v>
      </x:c>
      <x:c r="B1450" s="31" t="str">
        <x:v>Manhattan</x:v>
      </x:c>
      <x:c r="C1450" s="31" t="str">
        <x:v>025300</x:v>
      </x:c>
      <x:c r="D1450" s="31" t="str">
        <x:v>MN1201</x:v>
      </x:c>
      <x:c r="E1450" s="31" t="str">
        <x:v>Washington Heights (South)</x:v>
      </x:c>
      <x:c r="F1450" s="31" t="n">
        <x:v>0.06538631491620753</x:v>
      </x:c>
      <x:c r="G1450" s="31" t="n">
        <x:v>40.84289504916924</x:v>
      </x:c>
      <x:c r="H1450" s="31" t="n">
        <x:v>-73.93837897051631</x:v>
      </x:c>
      <x:c r="I1450" s="31" t="n">
        <x:v>10081</x:v>
      </x:c>
      <x:c r="J1450" s="31" t="n">
        <x:v>154175.9925286933</x:v>
      </x:c>
      <x:c r="K1450" s="31"/>
      <x:c r="L1450" s="40"/>
      <x:c r="M1450" s="40"/>
      <x:c r="N1450" s="31" t="n">
        <x:v>140</x:v>
      </x:c>
      <x:c r="O1450" s="31" t="n">
        <x:v>3971</x:v>
      </x:c>
      <x:c r="P1450" s="31" t="n">
        <x:v>5.553400503778337</x:v>
      </x:c>
      <x:c r="Q1450" s="40" t="n">
        <x:v>0</x:v>
      </x:c>
      <x:c r="R1450" s="40" t="n">
        <x:v>0.9989926970536389</x:v>
      </x:c>
      <x:c r="S1450" s="40" t="n">
        <x:v>0</x:v>
      </x:c>
      <x:c r="T1450" s="31" t="n">
        <x:v>65.364686620242</x:v>
      </x:c>
      <x:c r="U1450" s="31" t="n">
        <x:v>85</x:v>
      </x:c>
      <x:c r="V1450" s="31" t="n">
        <x:v>38</x:v>
      </x:c>
      <x:c r="W1450" s="31" t="n">
        <x:v>3.7694673147505204</x:v>
      </x:c>
      <x:c r="X1450" s="31" t="n">
        <x:v>3</x:v>
      </x:c>
      <x:c r="Y1450" s="40" t="n">
        <x:v>0</x:v>
      </x:c>
      <x:c r="Z1450" s="40" t="n">
        <x:v>1</x:v>
      </x:c>
      <x:c r="AA1450" s="40" t="n">
        <x:v>0.9989926970536389</x:v>
      </x:c>
      <x:c r="AB1450" s="31" t="n">
        <x:v>0.1297476507918068</x:v>
      </x:c>
      <x:c r="AC1450" s="31" t="n">
        <x:v>6</x:v>
      </x:c>
      <x:c r="AD1450" s="44" t="b">
        <x:v>1</x:v>
      </x:c>
    </x:row>
    <x:row r="1451">
      <x:c r="A1451" s="31" t="str">
        <x:v>36061025500</x:v>
      </x:c>
      <x:c r="B1451" s="31" t="str">
        <x:v>Manhattan</x:v>
      </x:c>
      <x:c r="C1451" s="31" t="str">
        <x:v>025500</x:v>
      </x:c>
      <x:c r="D1451" s="31" t="str">
        <x:v>MN1201</x:v>
      </x:c>
      <x:c r="E1451" s="31" t="str">
        <x:v>Washington Heights (South)</x:v>
      </x:c>
      <x:c r="F1451" s="31" t="n">
        <x:v>0.16923918936631943</x:v>
      </x:c>
      <x:c r="G1451" s="31" t="n">
        <x:v>40.84545079931914</x:v>
      </x:c>
      <x:c r="H1451" s="31" t="n">
        <x:v>-73.94392809886409</x:v>
      </x:c>
      <x:c r="I1451" s="31" t="n">
        <x:v>5697</x:v>
      </x:c>
      <x:c r="J1451" s="31" t="n">
        <x:v>33662.41602391987</x:v>
      </x:c>
      <x:c r="K1451" s="31"/>
      <x:c r="L1451" s="40"/>
      <x:c r="M1451" s="40"/>
      <x:c r="N1451" s="31" t="n">
        <x:v>49</x:v>
      </x:c>
      <x:c r="O1451" s="31" t="n">
        <x:v>2251</x:v>
      </x:c>
      <x:c r="P1451" s="31" t="n">
        <x:v>8.118169702354509</x:v>
      </x:c>
      <x:c r="Q1451" s="40" t="n">
        <x:v>0.10217681030653043</x:v>
      </x:c>
      <x:c r="R1451" s="40" t="n">
        <x:v>0.8978231896934695</x:v>
      </x:c>
      <x:c r="S1451" s="40" t="n">
        <x:v>0</x:v>
      </x:c>
      <x:c r="T1451" s="31" t="n">
        <x:v>93.83254968626387</x:v>
      </x:c>
      <x:c r="U1451" s="31" t="n">
        <x:v>344.41532642</x:v>
      </x:c>
      <x:c r="V1451" s="31" t="n">
        <x:v>32</x:v>
      </x:c>
      <x:c r="W1451" s="31" t="n">
        <x:v>5.61699139898192</x:v>
      </x:c>
      <x:c r="X1451" s="31" t="n">
        <x:v>2.7378942692136827</x:v>
      </x:c>
      <x:c r="Y1451" s="40" t="n">
        <x:v>0</x:v>
      </x:c>
      <x:c r="Z1451" s="40" t="n">
        <x:v>1</x:v>
      </x:c>
      <x:c r="AA1451" s="40" t="n">
        <x:v>1</x:v>
      </x:c>
      <x:c r="AB1451" s="31" t="n">
        <x:v>0.20503896052022502</x:v>
      </x:c>
      <x:c r="AC1451" s="31" t="n">
        <x:v>7</x:v>
      </x:c>
      <x:c r="AD1451" s="44" t="b">
        <x:v>1</x:v>
      </x:c>
    </x:row>
    <x:row r="1452">
      <x:c r="A1452" s="31" t="str">
        <x:v>36061025700</x:v>
      </x:c>
      <x:c r="B1452" s="31" t="str">
        <x:v>Manhattan</x:v>
      </x:c>
      <x:c r="C1452" s="31" t="str">
        <x:v>025700</x:v>
      </x:c>
      <x:c r="D1452" s="31" t="str">
        <x:v>MN1001</x:v>
      </x:c>
      <x:c r="E1452" s="31" t="str">
        <x:v>Harlem (South)</x:v>
      </x:c>
      <x:c r="F1452" s="31" t="n">
        <x:v>0.055619768099317034</x:v>
      </x:c>
      <x:c r="G1452" s="31" t="n">
        <x:v>40.808435822451855</x:v>
      </x:c>
      <x:c r="H1452" s="31" t="n">
        <x:v>-73.95407389114165</x:v>
      </x:c>
      <x:c r="I1452" s="31" t="n">
        <x:v>4270</x:v>
      </x:c>
      <x:c r="J1452" s="31" t="n">
        <x:v>76771.2657912436</x:v>
      </x:c>
      <x:c r="K1452" s="31"/>
      <x:c r="L1452" s="40"/>
      <x:c r="M1452" s="40"/>
      <x:c r="N1452" s="31" t="n">
        <x:v>167</x:v>
      </x:c>
      <x:c r="O1452" s="31" t="n">
        <x:v>2197</x:v>
      </x:c>
      <x:c r="P1452" s="31" t="n">
        <x:v>7.006827492034593</x:v>
      </x:c>
      <x:c r="Q1452" s="40" t="n">
        <x:v>0.19799726900318615</x:v>
      </x:c>
      <x:c r="R1452" s="40" t="n">
        <x:v>0.8020027309968139</x:v>
      </x:c>
      <x:c r="S1452" s="40" t="n">
        <x:v>0</x:v>
      </x:c>
      <x:c r="T1452" s="31" t="n">
        <x:v>79.3220023760911</x:v>
      </x:c>
      <x:c r="U1452" s="31" t="n">
        <x:v>139</x:v>
      </x:c>
      <x:c r="V1452" s="31" t="n">
        <x:v>54</x:v>
      </x:c>
      <x:c r="W1452" s="31" t="n">
        <x:v>12.646370023419205</x:v>
      </x:c>
      <x:c r="X1452" s="31" t="n">
        <x:v>4.3472917614929445</x:v>
      </x:c>
      <x:c r="Y1452" s="40" t="n">
        <x:v>1</x:v>
      </x:c>
      <x:c r="Z1452" s="40" t="n">
        <x:v>1</x:v>
      </x:c>
      <x:c r="AA1452" s="40" t="n">
        <x:v>0.999089667728721</x:v>
      </x:c>
      <x:c r="AB1452" s="31" t="n">
        <x:v>0.1127643549293164</x:v>
      </x:c>
      <x:c r="AC1452" s="31" t="n">
        <x:v>9</x:v>
      </x:c>
      <x:c r="AD1452" s="44" t="b">
        <x:v>1</x:v>
      </x:c>
    </x:row>
    <x:row r="1453">
      <x:c r="A1453" s="31" t="str">
        <x:v>36061025900</x:v>
      </x:c>
      <x:c r="B1453" s="31" t="str">
        <x:v>Manhattan</x:v>
      </x:c>
      <x:c r="C1453" s="31" t="str">
        <x:v>025900</x:v>
      </x:c>
      <x:c r="D1453" s="31" t="str">
        <x:v>MN1002</x:v>
      </x:c>
      <x:c r="E1453" s="31" t="str">
        <x:v>Harlem (North)</x:v>
      </x:c>
      <x:c r="F1453" s="31" t="n">
        <x:v>0.029129900257403585</x:v>
      </x:c>
      <x:c r="G1453" s="31" t="n">
        <x:v>40.82321394215733</x:v>
      </x:c>
      <x:c r="H1453" s="31" t="n">
        <x:v>-73.94235707261682</x:v>
      </x:c>
      <x:c r="I1453" s="31" t="n">
        <x:v>4029</x:v>
      </x:c>
      <x:c r="J1453" s="31" t="n">
        <x:v>138311.4931530189</x:v>
      </x:c>
      <x:c r="K1453" s="31"/>
      <x:c r="L1453" s="40"/>
      <x:c r="M1453" s="40"/>
      <x:c r="N1453" s="31" t="n">
        <x:v>77</x:v>
      </x:c>
      <x:c r="O1453" s="31" t="n">
        <x:v>1916</x:v>
      </x:c>
      <x:c r="P1453" s="31" t="n">
        <x:v>8.284595300261097</x:v>
      </x:c>
      <x:c r="Q1453" s="40" t="n">
        <x:v>0.342901878914405</x:v>
      </x:c>
      <x:c r="R1453" s="40" t="n">
        <x:v>0.6565762004175365</x:v>
      </x:c>
      <x:c r="S1453" s="40" t="n">
        <x:v>0.03966597077244259</x:v>
      </x:c>
      <x:c r="T1453" s="31" t="n">
        <x:v>88.26258270961358</x:v>
      </x:c>
      <x:c r="U1453" s="31" t="n">
        <x:v>193.17159188</x:v>
      </x:c>
      <x:c r="V1453" s="31" t="n">
        <x:v>40</x:v>
      </x:c>
      <x:c r="W1453" s="31" t="n">
        <x:v>9.928021841648052</x:v>
      </x:c>
      <x:c r="X1453" s="31" t="n">
        <x:v>5</x:v>
      </x:c>
      <x:c r="Y1453" s="40" t="n">
        <x:v>1</x:v>
      </x:c>
      <x:c r="Z1453" s="40" t="n">
        <x:v>1</x:v>
      </x:c>
      <x:c r="AA1453" s="40" t="n">
        <x:v>0.9994780793319415</x:v>
      </x:c>
      <x:c r="AB1453" s="31" t="n">
        <x:v>0.10204524187690919</x:v>
      </x:c>
      <x:c r="AC1453" s="31" t="n">
        <x:v>9</x:v>
      </x:c>
      <x:c r="AD1453" s="44" t="b">
        <x:v>1</x:v>
      </x:c>
    </x:row>
    <x:row r="1454">
      <x:c r="A1454" s="31" t="str">
        <x:v>36061026100</x:v>
      </x:c>
      <x:c r="B1454" s="31" t="str">
        <x:v>Manhattan</x:v>
      </x:c>
      <x:c r="C1454" s="31" t="str">
        <x:v>026100</x:v>
      </x:c>
      <x:c r="D1454" s="31" t="str">
        <x:v>MN1201</x:v>
      </x:c>
      <x:c r="E1454" s="31" t="str">
        <x:v>Washington Heights (South)</x:v>
      </x:c>
      <x:c r="F1454" s="31" t="n">
        <x:v>0.06031691105371901</x:v>
      </x:c>
      <x:c r="G1454" s="31" t="n">
        <x:v>40.8457844930207</x:v>
      </x:c>
      <x:c r="H1454" s="31" t="n">
        <x:v>-73.93445500516447</x:v>
      </x:c>
      <x:c r="I1454" s="31" t="n">
        <x:v>10733</x:v>
      </x:c>
      <x:c r="J1454" s="31" t="n">
        <x:v>177943.46249662974</x:v>
      </x:c>
      <x:c r="K1454" s="31"/>
      <x:c r="L1454" s="40"/>
      <x:c r="M1454" s="40"/>
      <x:c r="N1454" s="31" t="n">
        <x:v>141</x:v>
      </x:c>
      <x:c r="O1454" s="31" t="n">
        <x:v>3801</x:v>
      </x:c>
      <x:c r="P1454" s="31" t="n">
        <x:v>8.787794545935927</x:v>
      </x:c>
      <x:c r="Q1454" s="40" t="n">
        <x:v>0.12628255722178375</x:v>
      </x:c>
      <x:c r="R1454" s="40" t="n">
        <x:v>0.8589844777690081</x:v>
      </x:c>
      <x:c r="S1454" s="40" t="n">
        <x:v>0.017100762957116548</x:v>
      </x:c>
      <x:c r="T1454" s="31" t="n">
        <x:v>96.10906110177059</x:v>
      </x:c>
      <x:c r="U1454" s="31" t="n">
        <x:v>320.76911717</x:v>
      </x:c>
      <x:c r="V1454" s="31" t="n">
        <x:v>38</x:v>
      </x:c>
      <x:c r="W1454" s="31" t="n">
        <x:v>3.5404826236839653</x:v>
      </x:c>
      <x:c r="X1454" s="31" t="n">
        <x:v>2.0331491712707184</x:v>
      </x:c>
      <x:c r="Y1454" s="40" t="n">
        <x:v>0</x:v>
      </x:c>
      <x:c r="Z1454" s="40" t="n">
        <x:v>1</x:v>
      </x:c>
      <x:c r="AA1454" s="40" t="n">
        <x:v>1</x:v>
      </x:c>
      <x:c r="AB1454" s="31" t="n">
        <x:v>0.04351996031811217</x:v>
      </x:c>
      <x:c r="AC1454" s="31" t="n">
        <x:v>5</x:v>
      </x:c>
      <x:c r="AD1454" s="44" t="b">
        <x:v>1</x:v>
      </x:c>
    </x:row>
    <x:row r="1455">
      <x:c r="A1455" s="31" t="str">
        <x:v>36061026300</x:v>
      </x:c>
      <x:c r="B1455" s="31" t="str">
        <x:v>Manhattan</x:v>
      </x:c>
      <x:c r="C1455" s="31" t="str">
        <x:v>026300</x:v>
      </x:c>
      <x:c r="D1455" s="31" t="str">
        <x:v>MN1201</x:v>
      </x:c>
      <x:c r="E1455" s="31" t="str">
        <x:v>Washington Heights (South)</x:v>
      </x:c>
      <x:c r="F1455" s="31" t="n">
        <x:v>0.060688276509053604</x:v>
      </x:c>
      <x:c r="G1455" s="31" t="n">
        <x:v>40.84682254957102</x:v>
      </x:c>
      <x:c r="H1455" s="31" t="n">
        <x:v>-73.93747544616626</x:v>
      </x:c>
      <x:c r="I1455" s="31" t="n">
        <x:v>7969</x:v>
      </x:c>
      <x:c r="J1455" s="31" t="n">
        <x:v>131310.3692903714</x:v>
      </x:c>
      <x:c r="K1455" s="31"/>
      <x:c r="L1455" s="40"/>
      <x:c r="M1455" s="40"/>
      <x:c r="N1455" s="31" t="n">
        <x:v>72</x:v>
      </x:c>
      <x:c r="O1455" s="31" t="n">
        <x:v>2928</x:v>
      </x:c>
      <x:c r="P1455" s="31" t="n">
        <x:v>10.141734972677595</x:v>
      </x:c>
      <x:c r="Q1455" s="40" t="n">
        <x:v>0.20491803278688525</x:v>
      </x:c>
      <x:c r="R1455" s="40" t="n">
        <x:v>0.7950819672131147</x:v>
      </x:c>
      <x:c r="S1455" s="40" t="n">
        <x:v>0</x:v>
      </x:c>
      <x:c r="T1455" s="31" t="n">
        <x:v>108.49784049951845</x:v>
      </x:c>
      <x:c r="U1455" s="31" t="n">
        <x:v>315.89</x:v>
      </x:c>
      <x:c r="V1455" s="31" t="n">
        <x:v>36</x:v>
      </x:c>
      <x:c r="W1455" s="31" t="n">
        <x:v>4.517505333166018</x:v>
      </x:c>
      <x:c r="X1455" s="31" t="n">
        <x:v>2.011953551912568</x:v>
      </x:c>
      <x:c r="Y1455" s="40" t="n">
        <x:v>0</x:v>
      </x:c>
      <x:c r="Z1455" s="40" t="n">
        <x:v>1</x:v>
      </x:c>
      <x:c r="AA1455" s="40" t="n">
        <x:v>1</x:v>
      </x:c>
      <x:c r="AB1455" s="31" t="n">
        <x:v>0.048800767679349724</x:v>
      </x:c>
      <x:c r="AC1455" s="31" t="n">
        <x:v>6</x:v>
      </x:c>
      <x:c r="AD1455" s="44" t="b">
        <x:v>1</x:v>
      </x:c>
    </x:row>
    <x:row r="1456">
      <x:c r="A1456" s="31" t="str">
        <x:v>36061026500</x:v>
      </x:c>
      <x:c r="B1456" s="31" t="str">
        <x:v>Manhattan</x:v>
      </x:c>
      <x:c r="C1456" s="31" t="str">
        <x:v>026500</x:v>
      </x:c>
      <x:c r="D1456" s="31" t="str">
        <x:v>MN1202</x:v>
      </x:c>
      <x:c r="E1456" s="31" t="str">
        <x:v>Washington Heights (North)</x:v>
      </x:c>
      <x:c r="F1456" s="31" t="n">
        <x:v>0.07466372170246499</x:v>
      </x:c>
      <x:c r="G1456" s="31" t="n">
        <x:v>40.849635427328685</x:v>
      </x:c>
      <x:c r="H1456" s="31" t="n">
        <x:v>-73.94009970938032</x:v>
      </x:c>
      <x:c r="I1456" s="31" t="n">
        <x:v>6850</x:v>
      </x:c>
      <x:c r="J1456" s="31" t="n">
        <x:v>91744.6899753706</x:v>
      </x:c>
      <x:c r="K1456" s="31"/>
      <x:c r="L1456" s="40"/>
      <x:c r="M1456" s="40"/>
      <x:c r="N1456" s="31" t="n">
        <x:v>71</x:v>
      </x:c>
      <x:c r="O1456" s="31" t="n">
        <x:v>2953</x:v>
      </x:c>
      <x:c r="P1456" s="31" t="n">
        <x:v>5.877412800541822</x:v>
      </x:c>
      <x:c r="Q1456" s="40" t="n">
        <x:v>0.015577378936674569</x:v>
      </x:c>
      <x:c r="R1456" s="40" t="n">
        <x:v>0.9844226210633255</x:v>
      </x:c>
      <x:c r="S1456" s="40" t="n">
        <x:v>0.012868269556383339</x:v>
      </x:c>
      <x:c r="T1456" s="31" t="n">
        <x:v>67.6991886761937</x:v>
      </x:c>
      <x:c r="U1456" s="31" t="n">
        <x:v>123.82806873</x:v>
      </x:c>
      <x:c r="V1456" s="31" t="n">
        <x:v>47</x:v>
      </x:c>
      <x:c r="W1456" s="31" t="n">
        <x:v>6.861313868613139</x:v>
      </x:c>
      <x:c r="X1456" s="31" t="n">
        <x:v>2</x:v>
      </x:c>
      <x:c r="Y1456" s="40" t="n">
        <x:v>0</x:v>
      </x:c>
      <x:c r="Z1456" s="40" t="n">
        <x:v>1</x:v>
      </x:c>
      <x:c r="AA1456" s="40" t="n">
        <x:v>1</x:v>
      </x:c>
      <x:c r="AB1456" s="31" t="n">
        <x:v>0.27101235079061653</x:v>
      </x:c>
      <x:c r="AC1456" s="31" t="n">
        <x:v>5</x:v>
      </x:c>
      <x:c r="AD1456" s="44" t="b">
        <x:v>1</x:v>
      </x:c>
    </x:row>
    <x:row r="1457">
      <x:c r="A1457" s="31" t="str">
        <x:v>36061026700</x:v>
      </x:c>
      <x:c r="B1457" s="31" t="str">
        <x:v>Manhattan</x:v>
      </x:c>
      <x:c r="C1457" s="31" t="str">
        <x:v>026700</x:v>
      </x:c>
      <x:c r="D1457" s="31" t="str">
        <x:v>MN1202</x:v>
      </x:c>
      <x:c r="E1457" s="31" t="str">
        <x:v>Washington Heights (North)</x:v>
      </x:c>
      <x:c r="F1457" s="31" t="n">
        <x:v>0.01856505897486943</x:v>
      </x:c>
      <x:c r="G1457" s="31" t="n">
        <x:v>40.85034206713931</x:v>
      </x:c>
      <x:c r="H1457" s="31" t="n">
        <x:v>-73.92863154074755</x:v>
      </x:c>
      <x:c r="I1457" s="31" t="n">
        <x:v>2083</x:v>
      </x:c>
      <x:c r="J1457" s="31" t="n">
        <x:v>112200.02063121105</x:v>
      </x:c>
      <x:c r="K1457" s="31"/>
      <x:c r="L1457" s="40"/>
      <x:c r="M1457" s="40"/>
      <x:c r="N1457" s="31" t="n">
        <x:v>11</x:v>
      </x:c>
      <x:c r="O1457" s="31" t="n">
        <x:v>671</x:v>
      </x:c>
      <x:c r="P1457" s="31" t="n">
        <x:v>6</x:v>
      </x:c>
      <x:c r="Q1457" s="40" t="n">
        <x:v>0</x:v>
      </x:c>
      <x:c r="R1457" s="40" t="n">
        <x:v>1</x:v>
      </x:c>
      <x:c r="S1457" s="40" t="n">
        <x:v>0</x:v>
      </x:c>
      <x:c r="T1457" s="31" t="n">
        <x:v>67.3176304023845</x:v>
      </x:c>
      <x:c r="U1457" s="31" t="n">
        <x:v>72.35</x:v>
      </x:c>
      <x:c r="V1457" s="31" t="n">
        <x:v>15</x:v>
      </x:c>
      <x:c r="W1457" s="31" t="n">
        <x:v>7.201152184349496</x:v>
      </x:c>
      <x:c r="X1457" s="31" t="n">
        <x:v>2</x:v>
      </x:c>
      <x:c r="Y1457" s="40" t="n">
        <x:v>0</x:v>
      </x:c>
      <x:c r="Z1457" s="40" t="n">
        <x:v>1</x:v>
      </x:c>
      <x:c r="AA1457" s="40" t="n">
        <x:v>1</x:v>
      </x:c>
      <x:c r="AB1457" s="31" t="n">
        <x:v>0.14099983830404725</x:v>
      </x:c>
      <x:c r="AC1457" s="31" t="n">
        <x:v>3</x:v>
      </x:c>
      <x:c r="AD1457" s="44" t="b">
        <x:v>1</x:v>
      </x:c>
    </x:row>
    <x:row r="1458">
      <x:c r="A1458" s="31" t="str">
        <x:v>36061026900</x:v>
      </x:c>
      <x:c r="B1458" s="31" t="str">
        <x:v>Manhattan</x:v>
      </x:c>
      <x:c r="C1458" s="31" t="str">
        <x:v>026900</x:v>
      </x:c>
      <x:c r="D1458" s="31" t="str">
        <x:v>MN1202</x:v>
      </x:c>
      <x:c r="E1458" s="31" t="str">
        <x:v>Washington Heights (North)</x:v>
      </x:c>
      <x:c r="F1458" s="31" t="n">
        <x:v>0.06778206603822313</x:v>
      </x:c>
      <x:c r="G1458" s="31" t="n">
        <x:v>40.850556718094346</x:v>
      </x:c>
      <x:c r="H1458" s="31" t="n">
        <x:v>-73.93097477602356</x:v>
      </x:c>
      <x:c r="I1458" s="31" t="n">
        <x:v>7848</x:v>
      </x:c>
      <x:c r="J1458" s="31" t="n">
        <x:v>115782.83842180934</x:v>
      </x:c>
      <x:c r="K1458" s="31"/>
      <x:c r="L1458" s="40"/>
      <x:c r="M1458" s="40"/>
      <x:c r="N1458" s="31" t="n">
        <x:v>149</x:v>
      </x:c>
      <x:c r="O1458" s="31" t="n">
        <x:v>2740</x:v>
      </x:c>
      <x:c r="P1458" s="31" t="n">
        <x:v>5.152554744525547</x:v>
      </x:c>
      <x:c r="Q1458" s="40" t="n">
        <x:v>0</x:v>
      </x:c>
      <x:c r="R1458" s="40" t="n">
        <x:v>0.9945255474452555</x:v>
      </x:c>
      <x:c r="S1458" s="40" t="n">
        <x:v>0.029197080291970802</x:v>
      </x:c>
      <x:c r="T1458" s="31" t="n">
        <x:v>60.44683779256934</x:v>
      </x:c>
      <x:c r="U1458" s="31" t="n">
        <x:v>76.32</x:v>
      </x:c>
      <x:c r="V1458" s="31" t="n">
        <x:v>13</x:v>
      </x:c>
      <x:c r="W1458" s="31" t="n">
        <x:v>1.6564729867482162</x:v>
      </x:c>
      <x:c r="X1458" s="31" t="n">
        <x:v>2</x:v>
      </x:c>
      <x:c r="Y1458" s="40" t="n">
        <x:v>0</x:v>
      </x:c>
      <x:c r="Z1458" s="40" t="n">
        <x:v>1</x:v>
      </x:c>
      <x:c r="AA1458" s="40" t="n">
        <x:v>1</x:v>
      </x:c>
      <x:c r="AB1458" s="31" t="n">
        <x:v>0.08933544597370083</x:v>
      </x:c>
      <x:c r="AC1458" s="31" t="n">
        <x:v>7</x:v>
      </x:c>
      <x:c r="AD1458" s="44" t="b">
        <x:v>1</x:v>
      </x:c>
    </x:row>
    <x:row r="1459">
      <x:c r="A1459" s="31" t="str">
        <x:v>36061027100</x:v>
      </x:c>
      <x:c r="B1459" s="31" t="str">
        <x:v>Manhattan</x:v>
      </x:c>
      <x:c r="C1459" s="31" t="str">
        <x:v>027100</x:v>
      </x:c>
      <x:c r="D1459" s="31" t="str">
        <x:v>MN1202</x:v>
      </x:c>
      <x:c r="E1459" s="31" t="str">
        <x:v>Washington Heights (North)</x:v>
      </x:c>
      <x:c r="F1459" s="31" t="n">
        <x:v>0.07443758551100493</x:v>
      </x:c>
      <x:c r="G1459" s="31" t="n">
        <x:v>40.85194194829739</x:v>
      </x:c>
      <x:c r="H1459" s="31" t="n">
        <x:v>-73.93429388466637</x:v>
      </x:c>
      <x:c r="I1459" s="31" t="n">
        <x:v>7623</x:v>
      </x:c>
      <x:c r="J1459" s="31" t="n">
        <x:v>102407.94281100114</x:v>
      </x:c>
      <x:c r="K1459" s="31"/>
      <x:c r="L1459" s="40"/>
      <x:c r="M1459" s="40"/>
      <x:c r="N1459" s="31" t="n">
        <x:v>88</x:v>
      </x:c>
      <x:c r="O1459" s="31" t="n">
        <x:v>3070</x:v>
      </x:c>
      <x:c r="P1459" s="31" t="n">
        <x:v>5.703583061889251</x:v>
      </x:c>
      <x:c r="Q1459" s="40" t="n">
        <x:v>0</x:v>
      </x:c>
      <x:c r="R1459" s="40" t="n">
        <x:v>1</x:v>
      </x:c>
      <x:c r="S1459" s="40" t="n">
        <x:v>0</x:v>
      </x:c>
      <x:c r="T1459" s="31" t="n">
        <x:v>66.22717528488273</x:v>
      </x:c>
      <x:c r="U1459" s="31" t="n">
        <x:v>87.92</x:v>
      </x:c>
      <x:c r="V1459" s="31" t="n">
        <x:v>50</x:v>
      </x:c>
      <x:c r="W1459" s="31" t="n">
        <x:v>6.559097468188377</x:v>
      </x:c>
      <x:c r="X1459" s="31" t="n">
        <x:v>2</x:v>
      </x:c>
      <x:c r="Y1459" s="40" t="n">
        <x:v>0</x:v>
      </x:c>
      <x:c r="Z1459" s="40" t="n">
        <x:v>1</x:v>
      </x:c>
      <x:c r="AA1459" s="40" t="n">
        <x:v>1</x:v>
      </x:c>
      <x:c r="AB1459" s="31" t="n">
        <x:v>0.08864182631506586</x:v>
      </x:c>
      <x:c r="AC1459" s="31" t="n">
        <x:v>7</x:v>
      </x:c>
      <x:c r="AD1459" s="44" t="b">
        <x:v>1</x:v>
      </x:c>
    </x:row>
    <x:row r="1460">
      <x:c r="A1460" s="31" t="str">
        <x:v>36061027300</x:v>
      </x:c>
      <x:c r="B1460" s="31" t="str">
        <x:v>Manhattan</x:v>
      </x:c>
      <x:c r="C1460" s="31" t="str">
        <x:v>027300</x:v>
      </x:c>
      <x:c r="D1460" s="31" t="str">
        <x:v>MN1202</x:v>
      </x:c>
      <x:c r="E1460" s="31" t="str">
        <x:v>Washington Heights (North)</x:v>
      </x:c>
      <x:c r="F1460" s="31" t="n">
        <x:v>0.06832873411494203</x:v>
      </x:c>
      <x:c r="G1460" s="31" t="n">
        <x:v>40.85397794382423</x:v>
      </x:c>
      <x:c r="H1460" s="31" t="n">
        <x:v>-73.93738508551097</x:v>
      </x:c>
      <x:c r="I1460" s="31" t="n">
        <x:v>6519</x:v>
      </x:c>
      <x:c r="J1460" s="31" t="n">
        <x:v>95406.42138977422</x:v>
      </x:c>
      <x:c r="K1460" s="31"/>
      <x:c r="L1460" s="40"/>
      <x:c r="M1460" s="40"/>
      <x:c r="N1460" s="31" t="n">
        <x:v>51</x:v>
      </x:c>
      <x:c r="O1460" s="31" t="n">
        <x:v>3279</x:v>
      </x:c>
      <x:c r="P1460" s="31" t="n">
        <x:v>6.438853308935651</x:v>
      </x:c>
      <x:c r="Q1460" s="40" t="n">
        <x:v>0.06648368405001524</x:v>
      </x:c>
      <x:c r="R1460" s="40" t="n">
        <x:v>0.9335163159499847</x:v>
      </x:c>
      <x:c r="S1460" s="40" t="n">
        <x:v>0.10765477279658432</x:v>
      </x:c>
      <x:c r="T1460" s="31" t="n">
        <x:v>74.01395468928027</x:v>
      </x:c>
      <x:c r="U1460" s="31" t="n">
        <x:v>155.43</x:v>
      </x:c>
      <x:c r="V1460" s="31" t="n">
        <x:v>58</x:v>
      </x:c>
      <x:c r="W1460" s="31" t="n">
        <x:v>8.8970701027765</x:v>
      </x:c>
      <x:c r="X1460" s="31" t="n">
        <x:v>2</x:v>
      </x:c>
      <x:c r="Y1460" s="40" t="n">
        <x:v>0</x:v>
      </x:c>
      <x:c r="Z1460" s="40" t="n">
        <x:v>1</x:v>
      </x:c>
      <x:c r="AA1460" s="40" t="n">
        <x:v>1</x:v>
      </x:c>
      <x:c r="AB1460" s="31" t="n">
        <x:v>0.15069789884580506</x:v>
      </x:c>
      <x:c r="AC1460" s="31" t="n">
        <x:v>5</x:v>
      </x:c>
      <x:c r="AD1460" s="44" t="b">
        <x:v>1</x:v>
      </x:c>
    </x:row>
    <x:row r="1461">
      <x:c r="A1461" s="31" t="str">
        <x:v>36061027500</x:v>
      </x:c>
      <x:c r="B1461" s="31" t="str">
        <x:v>Manhattan</x:v>
      </x:c>
      <x:c r="C1461" s="31" t="str">
        <x:v>027500</x:v>
      </x:c>
      <x:c r="D1461" s="31" t="str">
        <x:v>MN1202</x:v>
      </x:c>
      <x:c r="E1461" s="31" t="str">
        <x:v>Washington Heights (North)</x:v>
      </x:c>
      <x:c r="F1461" s="31" t="n">
        <x:v>0.10657155003873968</x:v>
      </x:c>
      <x:c r="G1461" s="31" t="n">
        <x:v>40.854577274258034</x:v>
      </x:c>
      <x:c r="H1461" s="31" t="n">
        <x:v>-73.94043736601105</x:v>
      </x:c>
      <x:c r="I1461" s="31" t="n">
        <x:v>3063</x:v>
      </x:c>
      <x:c r="J1461" s="31" t="n">
        <x:v>28741.254104745338</x:v>
      </x:c>
      <x:c r="K1461" s="31"/>
      <x:c r="L1461" s="40"/>
      <x:c r="M1461" s="40"/>
      <x:c r="N1461" s="31" t="n">
        <x:v>22</x:v>
      </x:c>
      <x:c r="O1461" s="31" t="n">
        <x:v>1605</x:v>
      </x:c>
      <x:c r="P1461" s="31" t="n">
        <x:v>10.167289719626169</x:v>
      </x:c>
      <x:c r="Q1461" s="40" t="n">
        <x:v>0.5040498442367601</x:v>
      </x:c>
      <x:c r="R1461" s="40" t="n">
        <x:v>0.491588785046729</x:v>
      </x:c>
      <x:c r="S1461" s="40" t="n">
        <x:v>0.37009345794392523</x:v>
      </x:c>
      <x:c r="T1461" s="31" t="n">
        <x:v>117.4362118343053</x:v>
      </x:c>
      <x:c r="U1461" s="31" t="n">
        <x:v>173.33999999</x:v>
      </x:c>
      <x:c r="V1461" s="31" t="n">
        <x:v>36</x:v>
      </x:c>
      <x:c r="W1461" s="31" t="n">
        <x:v>11.753183153770813</x:v>
      </x:c>
      <x:c r="X1461" s="31" t="n">
        <x:v>2</x:v>
      </x:c>
      <x:c r="Y1461" s="40" t="n">
        <x:v>0</x:v>
      </x:c>
      <x:c r="Z1461" s="40" t="n">
        <x:v>1</x:v>
      </x:c>
      <x:c r="AA1461" s="40" t="n">
        <x:v>1</x:v>
      </x:c>
      <x:c r="AB1461" s="31" t="n">
        <x:v>0.20868443138215345</x:v>
      </x:c>
      <x:c r="AC1461" s="31" t="n">
        <x:v>4</x:v>
      </x:c>
      <x:c r="AD1461" s="44" t="b">
        <x:v>1</x:v>
      </x:c>
    </x:row>
    <x:row r="1462">
      <x:c r="A1462" s="31" t="str">
        <x:v>36061027700</x:v>
      </x:c>
      <x:c r="B1462" s="31" t="str">
        <x:v>Manhattan</x:v>
      </x:c>
      <x:c r="C1462" s="31" t="str">
        <x:v>027700</x:v>
      </x:c>
      <x:c r="D1462" s="31" t="str">
        <x:v>MN1202</x:v>
      </x:c>
      <x:c r="E1462" s="31" t="str">
        <x:v>Washington Heights (North)</x:v>
      </x:c>
      <x:c r="F1462" s="31" t="n">
        <x:v>0.06323882140761307</x:v>
      </x:c>
      <x:c r="G1462" s="31" t="n">
        <x:v>40.855445969523934</x:v>
      </x:c>
      <x:c r="H1462" s="31" t="n">
        <x:v>-73.92738133716327</x:v>
      </x:c>
      <x:c r="I1462" s="31" t="n">
        <x:v>6423</x:v>
      </x:c>
      <x:c r="J1462" s="31" t="n">
        <x:v>101567.3577880242</x:v>
      </x:c>
      <x:c r="K1462" s="31"/>
      <x:c r="L1462" s="40"/>
      <x:c r="M1462" s="40"/>
      <x:c r="N1462" s="31" t="n">
        <x:v>56</x:v>
      </x:c>
      <x:c r="O1462" s="31" t="n">
        <x:v>2074</x:v>
      </x:c>
      <x:c r="P1462" s="31" t="n">
        <x:v>5.357280617164899</x:v>
      </x:c>
      <x:c r="Q1462" s="40" t="n">
        <x:v>0</x:v>
      </x:c>
      <x:c r="R1462" s="40" t="n">
        <x:v>1</x:v>
      </x:c>
      <x:c r="S1462" s="40" t="n">
        <x:v>0</x:v>
      </x:c>
      <x:c r="T1462" s="31" t="n">
        <x:v>62.62834619093539</x:v>
      </x:c>
      <x:c r="U1462" s="31" t="n">
        <x:v>74.76</x:v>
      </x:c>
      <x:c r="V1462" s="31" t="n">
        <x:v>4</x:v>
      </x:c>
      <x:c r="W1462" s="31" t="n">
        <x:v>0.6227619492449011</x:v>
      </x:c>
      <x:c r="X1462" s="31" t="n">
        <x:v>2</x:v>
      </x:c>
      <x:c r="Y1462" s="40" t="n">
        <x:v>0</x:v>
      </x:c>
      <x:c r="Z1462" s="40" t="n">
        <x:v>1</x:v>
      </x:c>
      <x:c r="AA1462" s="40" t="n">
        <x:v>1</x:v>
      </x:c>
      <x:c r="AB1462" s="31" t="n">
        <x:v>0.06325353559052214</x:v>
      </x:c>
      <x:c r="AC1462" s="31" t="n">
        <x:v>5</x:v>
      </x:c>
      <x:c r="AD1462" s="44" t="b">
        <x:v>1</x:v>
      </x:c>
    </x:row>
    <x:row r="1463">
      <x:c r="A1463" s="31" t="str">
        <x:v>36061027900</x:v>
      </x:c>
      <x:c r="B1463" s="31" t="str">
        <x:v>Manhattan</x:v>
      </x:c>
      <x:c r="C1463" s="31" t="str">
        <x:v>027900</x:v>
      </x:c>
      <x:c r="D1463" s="31" t="str">
        <x:v>MN1202</x:v>
      </x:c>
      <x:c r="E1463" s="31" t="str">
        <x:v>Washington Heights (North)</x:v>
      </x:c>
      <x:c r="F1463" s="31" t="n">
        <x:v>0.06964173206138086</x:v>
      </x:c>
      <x:c r="G1463" s="31" t="n">
        <x:v>40.85585888796141</x:v>
      </x:c>
      <x:c r="H1463" s="31" t="n">
        <x:v>-73.93163203911428</x:v>
      </x:c>
      <x:c r="I1463" s="31" t="n">
        <x:v>10019</x:v>
      </x:c>
      <x:c r="J1463" s="31" t="n">
        <x:v>143864.88824214553</x:v>
      </x:c>
      <x:c r="K1463" s="31"/>
      <x:c r="L1463" s="40"/>
      <x:c r="M1463" s="40"/>
      <x:c r="N1463" s="31" t="n">
        <x:v>101</x:v>
      </x:c>
      <x:c r="O1463" s="31" t="n">
        <x:v>4231</x:v>
      </x:c>
      <x:c r="P1463" s="31" t="n">
        <x:v>5.665327345781139</x:v>
      </x:c>
      <x:c r="Q1463" s="40" t="n">
        <x:v>0.02221696998345545</x:v>
      </x:c>
      <x:c r="R1463" s="40" t="n">
        <x:v>0.9742377688489718</x:v>
      </x:c>
      <x:c r="S1463" s="40" t="n">
        <x:v>0.10753958874970457</x:v>
      </x:c>
      <x:c r="T1463" s="31" t="n">
        <x:v>69.02351608011108</x:v>
      </x:c>
      <x:c r="U1463" s="31" t="n">
        <x:v>103.77</x:v>
      </x:c>
      <x:c r="V1463" s="31" t="n">
        <x:v>50</x:v>
      </x:c>
      <x:c r="W1463" s="31" t="n">
        <x:v>4.990518015770037</x:v>
      </x:c>
      <x:c r="X1463" s="31" t="n">
        <x:v>2</x:v>
      </x:c>
      <x:c r="Y1463" s="40" t="n">
        <x:v>0</x:v>
      </x:c>
      <x:c r="Z1463" s="40" t="n">
        <x:v>1</x:v>
      </x:c>
      <x:c r="AA1463" s="40" t="n">
        <x:v>1</x:v>
      </x:c>
      <x:c r="AB1463" s="31" t="n">
        <x:v>0.19842856144268037</x:v>
      </x:c>
      <x:c r="AC1463" s="31" t="n">
        <x:v>7</x:v>
      </x:c>
      <x:c r="AD1463" s="44" t="b">
        <x:v>1</x:v>
      </x:c>
    </x:row>
    <x:row r="1464">
      <x:c r="A1464" s="31" t="str">
        <x:v>36061028100</x:v>
      </x:c>
      <x:c r="B1464" s="31" t="str">
        <x:v>Manhattan</x:v>
      </x:c>
      <x:c r="C1464" s="31" t="str">
        <x:v>028100</x:v>
      </x:c>
      <x:c r="D1464" s="31" t="str">
        <x:v>MN1202</x:v>
      </x:c>
      <x:c r="E1464" s="31" t="str">
        <x:v>Washington Heights (North)</x:v>
      </x:c>
      <x:c r="F1464" s="31" t="n">
        <x:v>0.03487371859192063</x:v>
      </x:c>
      <x:c r="G1464" s="31" t="n">
        <x:v>40.85696232518882</x:v>
      </x:c>
      <x:c r="H1464" s="31" t="n">
        <x:v>-73.93459373814407</x:v>
      </x:c>
      <x:c r="I1464" s="31" t="n">
        <x:v>3108</x:v>
      </x:c>
      <x:c r="J1464" s="31" t="n">
        <x:v>89121.55415281828</x:v>
      </x:c>
      <x:c r="K1464" s="31"/>
      <x:c r="L1464" s="40"/>
      <x:c r="M1464" s="40"/>
      <x:c r="N1464" s="31" t="n">
        <x:v>16</x:v>
      </x:c>
      <x:c r="O1464" s="31" t="n">
        <x:v>1381</x:v>
      </x:c>
      <x:c r="P1464" s="31" t="n">
        <x:v>6.225199131064446</x:v>
      </x:c>
      <x:c r="Q1464" s="40" t="n">
        <x:v>0</x:v>
      </x:c>
      <x:c r="R1464" s="40" t="n">
        <x:v>1</x:v>
      </x:c>
      <x:c r="S1464" s="40" t="n">
        <x:v>0</x:v>
      </x:c>
      <x:c r="T1464" s="31" t="n">
        <x:v>75.11534921622014</x:v>
      </x:c>
      <x:c r="U1464" s="31" t="n">
        <x:v>89.05</x:v>
      </x:c>
      <x:c r="V1464" s="31" t="n">
        <x:v>31</x:v>
      </x:c>
      <x:c r="W1464" s="31" t="n">
        <x:v>9.974259974259974</x:v>
      </x:c>
      <x:c r="X1464" s="31" t="n">
        <x:v>2</x:v>
      </x:c>
      <x:c r="Y1464" s="40" t="n">
        <x:v>0</x:v>
      </x:c>
      <x:c r="Z1464" s="40" t="n">
        <x:v>1</x:v>
      </x:c>
      <x:c r="AA1464" s="40" t="n">
        <x:v>1</x:v>
      </x:c>
      <x:c r="AB1464" s="31" t="n">
        <x:v>0.13960848931765035</x:v>
      </x:c>
      <x:c r="AC1464" s="31" t="n">
        <x:v>4</x:v>
      </x:c>
      <x:c r="AD1464" s="44" t="b">
        <x:v>1</x:v>
      </x:c>
    </x:row>
    <x:row r="1465">
      <x:c r="A1465" s="31" t="str">
        <x:v>36061028300</x:v>
      </x:c>
      <x:c r="B1465" s="31" t="str">
        <x:v>Manhattan</x:v>
      </x:c>
      <x:c r="C1465" s="31" t="str">
        <x:v>028300</x:v>
      </x:c>
      <x:c r="D1465" s="31" t="str">
        <x:v>MN1202</x:v>
      </x:c>
      <x:c r="E1465" s="31" t="str">
        <x:v>Washington Heights (North)</x:v>
      </x:c>
      <x:c r="F1465" s="31" t="n">
        <x:v>0.05839973507554236</x:v>
      </x:c>
      <x:c r="G1465" s="31" t="n">
        <x:v>40.8589102005495</x:v>
      </x:c>
      <x:c r="H1465" s="31" t="n">
        <x:v>-73.9287222366015</x:v>
      </x:c>
      <x:c r="I1465" s="31" t="n">
        <x:v>7740</x:v>
      </x:c>
      <x:c r="J1465" s="31" t="n">
        <x:v>132534.84780347042</x:v>
      </x:c>
      <x:c r="K1465" s="31"/>
      <x:c r="L1465" s="40"/>
      <x:c r="M1465" s="40"/>
      <x:c r="N1465" s="31" t="n">
        <x:v>56</x:v>
      </x:c>
      <x:c r="O1465" s="31" t="n">
        <x:v>3497</x:v>
      </x:c>
      <x:c r="P1465" s="31" t="n">
        <x:v>9.417500714898484</x:v>
      </x:c>
      <x:c r="Q1465" s="40" t="n">
        <x:v>0.27423505862167574</x:v>
      </x:c>
      <x:c r="R1465" s="40" t="n">
        <x:v>0.7257649413783243</x:v>
      </x:c>
      <x:c r="S1465" s="40" t="n">
        <x:v>0.03174149270803546</x:v>
      </x:c>
      <x:c r="T1465" s="31" t="n">
        <x:v>98.16867407603524</x:v>
      </x:c>
      <x:c r="U1465" s="31" t="n">
        <x:v>198.26</x:v>
      </x:c>
      <x:c r="V1465" s="31" t="n">
        <x:v>43</x:v>
      </x:c>
      <x:c r="W1465" s="31" t="n">
        <x:v>5.555555555555555</x:v>
      </x:c>
      <x:c r="X1465" s="31" t="n">
        <x:v>2</x:v>
      </x:c>
      <x:c r="Y1465" s="40" t="n">
        <x:v>0</x:v>
      </x:c>
      <x:c r="Z1465" s="40" t="n">
        <x:v>1</x:v>
      </x:c>
      <x:c r="AA1465" s="40" t="n">
        <x:v>0.9736917357735202</x:v>
      </x:c>
      <x:c r="AB1465" s="31" t="n">
        <x:v>0.03205123498280787</x:v>
      </x:c>
      <x:c r="AC1465" s="31" t="n">
        <x:v>5</x:v>
      </x:c>
      <x:c r="AD1465" s="44" t="b">
        <x:v>1</x:v>
      </x:c>
    </x:row>
    <x:row r="1466">
      <x:c r="A1466" s="31" t="str">
        <x:v>36061028500</x:v>
      </x:c>
      <x:c r="B1466" s="31" t="str">
        <x:v>Manhattan</x:v>
      </x:c>
      <x:c r="C1466" s="31" t="str">
        <x:v>028500</x:v>
      </x:c>
      <x:c r="D1466" s="31" t="str">
        <x:v>MN1202</x:v>
      </x:c>
      <x:c r="E1466" s="31" t="str">
        <x:v>Washington Heights (North)</x:v>
      </x:c>
      <x:c r="F1466" s="31" t="n">
        <x:v>0.0470789083132461</x:v>
      </x:c>
      <x:c r="G1466" s="31" t="n">
        <x:v>40.86150036911317</x:v>
      </x:c>
      <x:c r="H1466" s="31" t="n">
        <x:v>-73.92804858419873</x:v>
      </x:c>
      <x:c r="I1466" s="31" t="n">
        <x:v>6794</x:v>
      </x:c>
      <x:c r="J1466" s="31" t="n">
        <x:v>144310.90786547493</x:v>
      </x:c>
      <x:c r="K1466" s="31"/>
      <x:c r="L1466" s="40"/>
      <x:c r="M1466" s="40"/>
      <x:c r="N1466" s="31" t="n">
        <x:v>60</x:v>
      </x:c>
      <x:c r="O1466" s="31" t="n">
        <x:v>2572</x:v>
      </x:c>
      <x:c r="P1466" s="31" t="n">
        <x:v>5.302099533437014</x:v>
      </x:c>
      <x:c r="Q1466" s="40" t="n">
        <x:v>0</x:v>
      </x:c>
      <x:c r="R1466" s="40" t="n">
        <x:v>1</x:v>
      </x:c>
      <x:c r="S1466" s="40" t="n">
        <x:v>0</x:v>
      </x:c>
      <x:c r="T1466" s="31" t="n">
        <x:v>61.68897744945567</x:v>
      </x:c>
      <x:c r="U1466" s="31" t="n">
        <x:v>69.81</x:v>
      </x:c>
      <x:c r="V1466" s="31" t="n">
        <x:v>13</x:v>
      </x:c>
      <x:c r="W1466" s="31" t="n">
        <x:v>1.9134530468060054</x:v>
      </x:c>
      <x:c r="X1466" s="31" t="n">
        <x:v>2</x:v>
      </x:c>
      <x:c r="Y1466" s="40" t="n">
        <x:v>0</x:v>
      </x:c>
      <x:c r="Z1466" s="40" t="n">
        <x:v>1</x:v>
      </x:c>
      <x:c r="AA1466" s="40" t="n">
        <x:v>1</x:v>
      </x:c>
      <x:c r="AB1466" s="31" t="n">
        <x:v>0.10230195443108664</x:v>
      </x:c>
      <x:c r="AC1466" s="31" t="n">
        <x:v>6</x:v>
      </x:c>
      <x:c r="AD1466" s="44" t="b">
        <x:v>1</x:v>
      </x:c>
    </x:row>
    <x:row r="1467">
      <x:c r="A1467" s="31" t="str">
        <x:v>36061028700</x:v>
      </x:c>
      <x:c r="B1467" s="31" t="str">
        <x:v>Manhattan</x:v>
      </x:c>
      <x:c r="C1467" s="31" t="str">
        <x:v>028700</x:v>
      </x:c>
      <x:c r="D1467" s="31" t="str">
        <x:v>MN1202</x:v>
      </x:c>
      <x:c r="E1467" s="31" t="str">
        <x:v>Washington Heights (North)</x:v>
      </x:c>
      <x:c r="F1467" s="31" t="n">
        <x:v>0.20497474299529383</x:v>
      </x:c>
      <x:c r="G1467" s="31" t="n">
        <x:v>40.8635329096081</x:v>
      </x:c>
      <x:c r="H1467" s="31" t="n">
        <x:v>-73.93192322864434</x:v>
      </x:c>
      <x:c r="I1467" s="31" t="n">
        <x:v>3772</x:v>
      </x:c>
      <x:c r="J1467" s="31" t="n">
        <x:v>18402.267249514756</x:v>
      </x:c>
      <x:c r="K1467" s="31"/>
      <x:c r="L1467" s="40"/>
      <x:c r="M1467" s="40"/>
      <x:c r="N1467" s="31" t="n">
        <x:v>32</x:v>
      </x:c>
      <x:c r="O1467" s="31" t="n">
        <x:v>1986</x:v>
      </x:c>
      <x:c r="P1467" s="31" t="n">
        <x:v>7.50503524672709</x:v>
      </x:c>
      <x:c r="Q1467" s="40" t="n">
        <x:v>0.11178247734138973</x:v>
      </x:c>
      <x:c r="R1467" s="40" t="n">
        <x:v>0.8882175226586103</x:v>
      </x:c>
      <x:c r="S1467" s="40" t="n">
        <x:v>0</x:v>
      </x:c>
      <x:c r="T1467" s="31" t="n">
        <x:v>66.3058560090703</x:v>
      </x:c>
      <x:c r="U1467" s="31" t="n">
        <x:v>103</x:v>
      </x:c>
      <x:c r="V1467" s="31" t="n">
        <x:v>25</x:v>
      </x:c>
      <x:c r="W1467" s="31" t="n">
        <x:v>6.6277836691410394</x:v>
      </x:c>
      <x:c r="X1467" s="31" t="n">
        <x:v>1.8434038267875126</x:v>
      </x:c>
      <x:c r="Y1467" s="40" t="n">
        <x:v>0</x:v>
      </x:c>
      <x:c r="Z1467" s="40" t="n">
        <x:v>1</x:v>
      </x:c>
      <x:c r="AA1467" s="40" t="n">
        <x:v>0.8882175226586103</x:v>
      </x:c>
      <x:c r="AB1467" s="31" t="n">
        <x:v>0.14219988790667848</x:v>
      </x:c>
      <x:c r="AC1467" s="31" t="n">
        <x:v>9</x:v>
      </x:c>
      <x:c r="AD1467" s="44" t="b">
        <x:v>1</x:v>
      </x:c>
    </x:row>
    <x:row r="1468">
      <x:c r="A1468" s="31" t="str">
        <x:v>36061029100</x:v>
      </x:c>
      <x:c r="B1468" s="31" t="str">
        <x:v>Manhattan</x:v>
      </x:c>
      <x:c r="C1468" s="31" t="str">
        <x:v>029100</x:v>
      </x:c>
      <x:c r="D1468" s="31" t="str">
        <x:v>MN1203</x:v>
      </x:c>
      <x:c r="E1468" s="31" t="str">
        <x:v>Inwood</x:v>
      </x:c>
      <x:c r="F1468" s="31" t="n">
        <x:v>0.07238916279521063</x:v>
      </x:c>
      <x:c r="G1468" s="31" t="n">
        <x:v>40.86431094760551</x:v>
      </x:c>
      <x:c r="H1468" s="31" t="n">
        <x:v>-73.92393399107064</x:v>
      </x:c>
      <x:c r="I1468" s="31" t="n">
        <x:v>10509</x:v>
      </x:c>
      <x:c r="J1468" s="31" t="n">
        <x:v>145173.6640431942</x:v>
      </x:c>
      <x:c r="K1468" s="31"/>
      <x:c r="L1468" s="40"/>
      <x:c r="M1468" s="40"/>
      <x:c r="N1468" s="31" t="n">
        <x:v>103</x:v>
      </x:c>
      <x:c r="O1468" s="31" t="n">
        <x:v>3940</x:v>
      </x:c>
      <x:c r="P1468" s="31" t="n">
        <x:v>5.740609137055838</x:v>
      </x:c>
      <x:c r="Q1468" s="40" t="n">
        <x:v>0.04619289340101523</x:v>
      </x:c>
      <x:c r="R1468" s="40" t="n">
        <x:v>0.9532994923857868</x:v>
      </x:c>
      <x:c r="S1468" s="40" t="n">
        <x:v>0</x:v>
      </x:c>
      <x:c r="T1468" s="31" t="n">
        <x:v>65.11626564431327</x:v>
      </x:c>
      <x:c r="U1468" s="31" t="n">
        <x:v>226</x:v>
      </x:c>
      <x:c r="V1468" s="31" t="n">
        <x:v>20</x:v>
      </x:c>
      <x:c r="W1468" s="31" t="n">
        <x:v>1.9031306499191167</x:v>
      </x:c>
      <x:c r="X1468" s="31" t="n">
        <x:v>1.0421319796954314</x:v>
      </x:c>
      <x:c r="Y1468" s="40" t="n">
        <x:v>0</x:v>
      </x:c>
      <x:c r="Z1468" s="40" t="n">
        <x:v>1</x:v>
      </x:c>
      <x:c r="AA1468" s="40" t="n">
        <x:v>0.999746192893401</x:v>
      </x:c>
      <x:c r="AB1468" s="31" t="n">
        <x:v>0.04996976853936382</x:v>
      </x:c>
      <x:c r="AC1468" s="31" t="n">
        <x:v>6</x:v>
      </x:c>
      <x:c r="AD1468" s="44" t="b">
        <x:v>1</x:v>
      </x:c>
    </x:row>
    <x:row r="1469">
      <x:c r="A1469" s="31" t="str">
        <x:v>36061029300</x:v>
      </x:c>
      <x:c r="B1469" s="31" t="str">
        <x:v>Manhattan</x:v>
      </x:c>
      <x:c r="C1469" s="31" t="str">
        <x:v>029300</x:v>
      </x:c>
      <x:c r="D1469" s="31" t="str">
        <x:v>MN1203</x:v>
      </x:c>
      <x:c r="E1469" s="31" t="str">
        <x:v>Inwood</x:v>
      </x:c>
      <x:c r="F1469" s="31" t="n">
        <x:v>0.06064353520395718</x:v>
      </x:c>
      <x:c r="G1469" s="31" t="n">
        <x:v>40.86592571501383</x:v>
      </x:c>
      <x:c r="H1469" s="31" t="n">
        <x:v>-73.92011963118725</x:v>
      </x:c>
      <x:c r="I1469" s="31" t="n">
        <x:v>8035</x:v>
      </x:c>
      <x:c r="J1469" s="31" t="n">
        <x:v>132495.5738971446</x:v>
      </x:c>
      <x:c r="K1469" s="31"/>
      <x:c r="L1469" s="40"/>
      <x:c r="M1469" s="40"/>
      <x:c r="N1469" s="31" t="n">
        <x:v>66</x:v>
      </x:c>
      <x:c r="O1469" s="31" t="n">
        <x:v>2992</x:v>
      </x:c>
      <x:c r="P1469" s="31" t="n">
        <x:v>5.76403743315508</x:v>
      </x:c>
      <x:c r="Q1469" s="40" t="n">
        <x:v>0.042112299465240643</x:v>
      </x:c>
      <x:c r="R1469" s="40" t="n">
        <x:v>0.9518716577540107</x:v>
      </x:c>
      <x:c r="S1469" s="40" t="n">
        <x:v>0</x:v>
      </x:c>
      <x:c r="T1469" s="31" t="n">
        <x:v>65.03814688491644</x:v>
      </x:c>
      <x:c r="U1469" s="31" t="n">
        <x:v>136.4</x:v>
      </x:c>
      <x:c r="V1469" s="31" t="n">
        <x:v>16</x:v>
      </x:c>
      <x:c r="W1469" s="31" t="n">
        <x:v>1.9912881144990664</x:v>
      </x:c>
      <x:c r="X1469" s="31" t="n">
        <x:v>1</x:v>
      </x:c>
      <x:c r="Y1469" s="40" t="n">
        <x:v>0</x:v>
      </x:c>
      <x:c r="Z1469" s="40" t="n">
        <x:v>1</x:v>
      </x:c>
      <x:c r="AA1469" s="40" t="n">
        <x:v>1</x:v>
      </x:c>
      <x:c r="AB1469" s="31" t="n">
        <x:v>0.08278822613571964</x:v>
      </x:c>
      <x:c r="AC1469" s="31" t="n">
        <x:v>4</x:v>
      </x:c>
      <x:c r="AD1469" s="44" t="b">
        <x:v>1</x:v>
      </x:c>
    </x:row>
    <x:row r="1470">
      <x:c r="A1470" s="31" t="str">
        <x:v>36061029500</x:v>
      </x:c>
      <x:c r="B1470" s="31" t="str">
        <x:v>Manhattan</x:v>
      </x:c>
      <x:c r="C1470" s="31" t="str">
        <x:v>029500</x:v>
      </x:c>
      <x:c r="D1470" s="31" t="str">
        <x:v>MN1203</x:v>
      </x:c>
      <x:c r="E1470" s="31" t="str">
        <x:v>Inwood</x:v>
      </x:c>
      <x:c r="F1470" s="31" t="n">
        <x:v>0.052368723070549246</x:v>
      </x:c>
      <x:c r="G1470" s="31" t="n">
        <x:v>40.86752299482036</x:v>
      </x:c>
      <x:c r="H1470" s="31" t="n">
        <x:v>-73.92494092154081</x:v>
      </x:c>
      <x:c r="I1470" s="31" t="n">
        <x:v>7039</x:v>
      </x:c>
      <x:c r="J1470" s="31" t="n">
        <x:v>134412.2901472567</x:v>
      </x:c>
      <x:c r="K1470" s="31"/>
      <x:c r="L1470" s="40"/>
      <x:c r="M1470" s="40"/>
      <x:c r="N1470" s="31" t="n">
        <x:v>95</x:v>
      </x:c>
      <x:c r="O1470" s="31" t="n">
        <x:v>3545</x:v>
      </x:c>
      <x:c r="P1470" s="31" t="n">
        <x:v>5.567418899858956</x:v>
      </x:c>
      <x:c r="Q1470" s="40" t="n">
        <x:v>0</x:v>
      </x:c>
      <x:c r="R1470" s="40" t="n">
        <x:v>0.9898448519040902</x:v>
      </x:c>
      <x:c r="S1470" s="40" t="n">
        <x:v>0.07306064880112835</x:v>
      </x:c>
      <x:c r="T1470" s="31" t="n">
        <x:v>63.68817666134312</x:v>
      </x:c>
      <x:c r="U1470" s="31" t="n">
        <x:v>98</x:v>
      </x:c>
      <x:c r="V1470" s="31" t="n">
        <x:v>46</x:v>
      </x:c>
      <x:c r="W1470" s="31" t="n">
        <x:v>6.535019178860633</x:v>
      </x:c>
      <x:c r="X1470" s="31" t="n">
        <x:v>1</x:v>
      </x:c>
      <x:c r="Y1470" s="40" t="n">
        <x:v>0</x:v>
      </x:c>
      <x:c r="Z1470" s="40" t="n">
        <x:v>1</x:v>
      </x:c>
      <x:c r="AA1470" s="40" t="n">
        <x:v>0.9997179125528914</x:v>
      </x:c>
      <x:c r="AB1470" s="31" t="n">
        <x:v>0.09616432163790044</x:v>
      </x:c>
      <x:c r="AC1470" s="31" t="n">
        <x:v>5</x:v>
      </x:c>
      <x:c r="AD1470" s="44" t="b">
        <x:v>1</x:v>
      </x:c>
    </x:row>
    <x:row r="1471">
      <x:c r="A1471" s="31" t="str">
        <x:v>36061029700</x:v>
      </x:c>
      <x:c r="B1471" s="31" t="str">
        <x:v>Manhattan</x:v>
      </x:c>
      <x:c r="C1471" s="31" t="str">
        <x:v>029700</x:v>
      </x:c>
      <x:c r="D1471" s="31" t="str">
        <x:v>MN1292</x:v>
      </x:c>
      <x:c r="E1471" s="31" t="str">
        <x:v>Inwood Hill Park</x:v>
      </x:c>
      <x:c r="F1471" s="31" t="n">
        <x:v>0.3589684803432048</x:v>
      </x:c>
      <x:c r="G1471" s="31" t="n">
        <x:v>40.87237796506257</x:v>
      </x:c>
      <x:c r="H1471" s="31" t="n">
        <x:v>-73.92434265429537</x:v>
      </x:c>
      <x:c r="I1471" s="31" t="n">
        <x:v>16</x:v>
      </x:c>
      <x:c r="J1471" s="31" t="n">
        <x:v>44.57215849342155</x:v>
      </x:c>
      <x:c r="K1471" s="31"/>
      <x:c r="L1471" s="40"/>
      <x:c r="M1471" s="40"/>
      <x:c r="N1471" s="31" t="n">
        <x:v>0</x:v>
      </x:c>
      <x:c r="O1471" s="31"/>
      <x:c r="P1471" s="31"/>
      <x:c r="Q1471" s="40"/>
      <x:c r="R1471" s="40"/>
      <x:c r="S1471" s="40"/>
      <x:c r="T1471" s="31"/>
      <x:c r="U1471" s="31"/>
      <x:c r="V1471" s="31" t="n">
        <x:v>0</x:v>
      </x:c>
      <x:c r="W1471" s="31" t="n">
        <x:v>0</x:v>
      </x:c>
      <x:c r="X1471" s="31"/>
      <x:c r="Y1471" s="40"/>
      <x:c r="Z1471" s="40"/>
      <x:c r="AA1471" s="40"/>
      <x:c r="AB1471" s="31" t="n">
        <x:v>0.2889439632716121</x:v>
      </x:c>
      <x:c r="AC1471" s="31" t="n">
        <x:v>6</x:v>
      </x:c>
      <x:c r="AD1471" s="44" t="b">
        <x:v>0</x:v>
      </x:c>
    </x:row>
    <x:row r="1472">
      <x:c r="A1472" s="31" t="str">
        <x:v>36061029900</x:v>
      </x:c>
      <x:c r="B1472" s="31" t="str">
        <x:v>Manhattan</x:v>
      </x:c>
      <x:c r="C1472" s="31" t="str">
        <x:v>029900</x:v>
      </x:c>
      <x:c r="D1472" s="31" t="str">
        <x:v>MN1203</x:v>
      </x:c>
      <x:c r="E1472" s="31" t="str">
        <x:v>Inwood</x:v>
      </x:c>
      <x:c r="F1472" s="31" t="n">
        <x:v>0.23951784290203168</x:v>
      </x:c>
      <x:c r="G1472" s="31" t="n">
        <x:v>40.86477086422859</x:v>
      </x:c>
      <x:c r="H1472" s="31" t="n">
        <x:v>-73.91703030602429</x:v>
      </x:c>
      <x:c r="I1472" s="31" t="n">
        <x:v>3598</x:v>
      </x:c>
      <x:c r="J1472" s="31" t="n">
        <x:v>15021.845372378646</x:v>
      </x:c>
      <x:c r="K1472" s="31"/>
      <x:c r="L1472" s="40"/>
      <x:c r="M1472" s="40"/>
      <x:c r="N1472" s="31" t="n">
        <x:v>12</x:v>
      </x:c>
      <x:c r="O1472" s="31" t="n">
        <x:v>3105</x:v>
      </x:c>
      <x:c r="P1472" s="31" t="n">
        <x:v>16.616747181964573</x:v>
      </x:c>
      <x:c r="Q1472" s="40" t="n">
        <x:v>0.8853462157809984</x:v>
      </x:c>
      <x:c r="R1472" s="40" t="n">
        <x:v>0.11465378421900162</x:v>
      </x:c>
      <x:c r="S1472" s="40" t="n">
        <x:v>0.40418679549114334</x:v>
      </x:c>
      <x:c r="T1472" s="31" t="n">
        <x:v>127.56118283881314</x:v>
      </x:c>
      <x:c r="U1472" s="31" t="n">
        <x:v>175</x:v>
      </x:c>
      <x:c r="V1472" s="31" t="n">
        <x:v>29</x:v>
      </x:c>
      <x:c r="W1472" s="31" t="n">
        <x:v>8.060033351862147</x:v>
      </x:c>
      <x:c r="X1472" s="31" t="n">
        <x:v>1</x:v>
      </x:c>
      <x:c r="Y1472" s="40" t="n">
        <x:v>0</x:v>
      </x:c>
      <x:c r="Z1472" s="40" t="n">
        <x:v>1</x:v>
      </x:c>
      <x:c r="AA1472" s="40" t="n">
        <x:v>0.803220611916264</x:v>
      </x:c>
      <x:c r="AB1472" s="31" t="n">
        <x:v>0.20394189487556239</x:v>
      </x:c>
      <x:c r="AC1472" s="31" t="n">
        <x:v>7</x:v>
      </x:c>
      <x:c r="AD1472" s="44" t="b">
        <x:v>1</x:v>
      </x:c>
    </x:row>
    <x:row r="1473">
      <x:c r="A1473" s="31" t="str">
        <x:v>36061030300</x:v>
      </x:c>
      <x:c r="B1473" s="31" t="str">
        <x:v>Manhattan</x:v>
      </x:c>
      <x:c r="C1473" s="31" t="str">
        <x:v>030300</x:v>
      </x:c>
      <x:c r="D1473" s="31" t="str">
        <x:v>MN1203</x:v>
      </x:c>
      <x:c r="E1473" s="31" t="str">
        <x:v>Inwood</x:v>
      </x:c>
      <x:c r="F1473" s="31" t="n">
        <x:v>0.06045155228025998</x:v>
      </x:c>
      <x:c r="G1473" s="31" t="n">
        <x:v>40.86921963611596</x:v>
      </x:c>
      <x:c r="H1473" s="31" t="n">
        <x:v>-73.91865439472512</x:v>
      </x:c>
      <x:c r="I1473" s="31" t="n">
        <x:v>3691</x:v>
      </x:c>
      <x:c r="J1473" s="31" t="n">
        <x:v>61057.1583486909</x:v>
      </x:c>
      <x:c r="K1473" s="31"/>
      <x:c r="L1473" s="40"/>
      <x:c r="M1473" s="40"/>
      <x:c r="N1473" s="31" t="n">
        <x:v>39</x:v>
      </x:c>
      <x:c r="O1473" s="31" t="n">
        <x:v>1878</x:v>
      </x:c>
      <x:c r="P1473" s="31" t="n">
        <x:v>5.599307774227902</x:v>
      </x:c>
      <x:c r="Q1473" s="40" t="n">
        <x:v>0</x:v>
      </x:c>
      <x:c r="R1473" s="40" t="n">
        <x:v>0.9984025559105432</x:v>
      </x:c>
      <x:c r="S1473" s="40" t="n">
        <x:v>0.12140575079872204</x:v>
      </x:c>
      <x:c r="T1473" s="31" t="n">
        <x:v>65.4124054780032</x:v>
      </x:c>
      <x:c r="U1473" s="31" t="n">
        <x:v>78.26</x:v>
      </x:c>
      <x:c r="V1473" s="31" t="n">
        <x:v>19</x:v>
      </x:c>
      <x:c r="W1473" s="31" t="n">
        <x:v>5.147656461663505</x:v>
      </x:c>
      <x:c r="X1473" s="31" t="n">
        <x:v>1</x:v>
      </x:c>
      <x:c r="Y1473" s="40" t="n">
        <x:v>0</x:v>
      </x:c>
      <x:c r="Z1473" s="40" t="n">
        <x:v>1</x:v>
      </x:c>
      <x:c r="AA1473" s="40" t="n">
        <x:v>1</x:v>
      </x:c>
      <x:c r="AB1473" s="31" t="n">
        <x:v>0.09331023550682649</x:v>
      </x:c>
      <x:c r="AC1473" s="31" t="n">
        <x:v>5</x:v>
      </x:c>
      <x:c r="AD1473" s="44" t="b">
        <x:v>1</x:v>
      </x:c>
    </x:row>
    <x:row r="1474">
      <x:c r="A1474" s="31" t="str">
        <x:v>36061030700</x:v>
      </x:c>
      <x:c r="B1474" s="31" t="str">
        <x:v>Manhattan</x:v>
      </x:c>
      <x:c r="C1474" s="31" t="str">
        <x:v>030700</x:v>
      </x:c>
      <x:c r="D1474" s="31" t="str">
        <x:v>MN1203</x:v>
      </x:c>
      <x:c r="E1474" s="31" t="str">
        <x:v>Inwood</x:v>
      </x:c>
      <x:c r="F1474" s="31" t="n">
        <x:v>0.03248108232732151</x:v>
      </x:c>
      <x:c r="G1474" s="31" t="n">
        <x:v>40.871268426751456</x:v>
      </x:c>
      <x:c r="H1474" s="31" t="n">
        <x:v>-73.91667296715957</x:v>
      </x:c>
      <x:c r="I1474" s="31" t="n">
        <x:v>3427</x:v>
      </x:c>
      <x:c r="J1474" s="31" t="n">
        <x:v>105507.5679272354</x:v>
      </x:c>
      <x:c r="K1474" s="31"/>
      <x:c r="L1474" s="40"/>
      <x:c r="M1474" s="40"/>
      <x:c r="N1474" s="31" t="n">
        <x:v>52</x:v>
      </x:c>
      <x:c r="O1474" s="31" t="n">
        <x:v>1898</x:v>
      </x:c>
      <x:c r="P1474" s="31" t="n">
        <x:v>6.830611169652266</x:v>
      </x:c>
      <x:c r="Q1474" s="40" t="n">
        <x:v>0.279768177028451</x:v>
      </x:c>
      <x:c r="R1474" s="40" t="n">
        <x:v>0.7044257112750263</x:v>
      </x:c>
      <x:c r="S1474" s="40" t="n">
        <x:v>0</x:v>
      </x:c>
      <x:c r="T1474" s="31" t="n">
        <x:v>73.66917161155953</x:v>
      </x:c>
      <x:c r="U1474" s="31" t="n">
        <x:v>125</x:v>
      </x:c>
      <x:c r="V1474" s="31" t="n">
        <x:v>40</x:v>
      </x:c>
      <x:c r="W1474" s="31" t="n">
        <x:v>11.672016340822877</x:v>
      </x:c>
      <x:c r="X1474" s="31" t="n">
        <x:v>1</x:v>
      </x:c>
      <x:c r="Y1474" s="40" t="n">
        <x:v>0</x:v>
      </x:c>
      <x:c r="Z1474" s="40" t="n">
        <x:v>1</x:v>
      </x:c>
      <x:c r="AA1474" s="40" t="n">
        <x:v>1</x:v>
      </x:c>
      <x:c r="AB1474" s="31" t="n">
        <x:v>0.08589767113847478</x:v>
      </x:c>
      <x:c r="AC1474" s="31" t="n">
        <x:v>3</x:v>
      </x:c>
      <x:c r="AD1474" s="44" t="b">
        <x:v>1</x:v>
      </x:c>
    </x:row>
    <x:row r="1475">
      <x:c r="A1475" s="31" t="str">
        <x:v>36061030900</x:v>
      </x:c>
      <x:c r="B1475" s="31" t="str">
        <x:v>Manhattan</x:v>
      </x:c>
      <x:c r="C1475" s="31" t="str">
        <x:v>030900</x:v>
      </x:c>
      <x:c r="D1475" s="31" t="str">
        <x:v>BX0802</x:v>
      </x:c>
      <x:c r="E1475" s="31" t="str">
        <x:v>Kingsbridge-Marble Hill</x:v>
      </x:c>
      <x:c r="F1475" s="31" t="n">
        <x:v>0.11773068888709538</x:v>
      </x:c>
      <x:c r="G1475" s="31" t="n">
        <x:v>40.87596545433937</x:v>
      </x:c>
      <x:c r="H1475" s="31" t="n">
        <x:v>-73.91037360589095</x:v>
      </x:c>
      <x:c r="I1475" s="31" t="n">
        <x:v>8594</x:v>
      </x:c>
      <x:c r="J1475" s="31" t="n">
        <x:v>72997.10960021401</x:v>
      </x:c>
      <x:c r="K1475" s="31"/>
      <x:c r="L1475" s="40"/>
      <x:c r="M1475" s="40"/>
      <x:c r="N1475" s="31" t="n">
        <x:v>187</x:v>
      </x:c>
      <x:c r="O1475" s="31" t="n">
        <x:v>3155</x:v>
      </x:c>
      <x:c r="P1475" s="31" t="n">
        <x:v>11.093849080532657</x:v>
      </x:c>
      <x:c r="Q1475" s="40" t="n">
        <x:v>0.4421553090332805</x:v>
      </x:c>
      <x:c r="R1475" s="40" t="n">
        <x:v>0.49667194928684627</x:v>
      </x:c>
      <x:c r="S1475" s="40" t="n">
        <x:v>0.2478605388272583</x:v>
      </x:c>
      <x:c r="T1475" s="31" t="n">
        <x:v>120.31115792710611</x:v>
      </x:c>
      <x:c r="U1475" s="31" t="n">
        <x:v>356.42</x:v>
      </x:c>
      <x:c r="V1475" s="31" t="n">
        <x:v>34</x:v>
      </x:c>
      <x:c r="W1475" s="31" t="n">
        <x:v>3.9562485454968583</x:v>
      </x:c>
      <x:c r="X1475" s="31" t="n">
        <x:v>1</x:v>
      </x:c>
      <x:c r="Y1475" s="40" t="n">
        <x:v>0</x:v>
      </x:c>
      <x:c r="Z1475" s="40" t="n">
        <x:v>1</x:v>
      </x:c>
      <x:c r="AA1475" s="40" t="n">
        <x:v>0.9977812995245642</x:v>
      </x:c>
      <x:c r="AB1475" s="31" t="n">
        <x:v>0.12748289017590073</x:v>
      </x:c>
      <x:c r="AC1475" s="31" t="n">
        <x:v>4</x:v>
      </x:c>
      <x:c r="AD1475" s="44" t="b">
        <x:v>1</x:v>
      </x:c>
    </x:row>
    <x:row r="1476">
      <x:c r="A1476" s="31" t="str">
        <x:v>36061031100</x:v>
      </x:c>
      <x:c r="B1476" s="31" t="str">
        <x:v>Manhattan</x:v>
      </x:c>
      <x:c r="C1476" s="31" t="str">
        <x:v>031100</x:v>
      </x:c>
      <x:c r="D1476" s="31" t="str">
        <x:v>MN1291</x:v>
      </x:c>
      <x:c r="E1476" s="31" t="str">
        <x:v>Highbridge Park</x:v>
      </x:c>
      <x:c r="F1476" s="31" t="n">
        <x:v>0.2781115978592746</x:v>
      </x:c>
      <x:c r="G1476" s="31" t="n">
        <x:v>40.846598791852685</x:v>
      </x:c>
      <x:c r="H1476" s="31" t="n">
        <x:v>-73.93023199597938</x:v>
      </x:c>
      <x:c r="I1476" s="31" t="n">
        <x:v>12</x:v>
      </x:c>
      <x:c r="J1476" s="31" t="n">
        <x:v>43.14814661584894</x:v>
      </x:c>
      <x:c r="K1476" s="31"/>
      <x:c r="L1476" s="40"/>
      <x:c r="M1476" s="40"/>
      <x:c r="N1476" s="31" t="n">
        <x:v>0</x:v>
      </x:c>
      <x:c r="O1476" s="31"/>
      <x:c r="P1476" s="31"/>
      <x:c r="Q1476" s="40"/>
      <x:c r="R1476" s="40"/>
      <x:c r="S1476" s="40"/>
      <x:c r="T1476" s="31"/>
      <x:c r="U1476" s="31"/>
      <x:c r="V1476" s="31" t="n">
        <x:v>0</x:v>
      </x:c>
      <x:c r="W1476" s="31" t="n">
        <x:v>0</x:v>
      </x:c>
      <x:c r="X1476" s="31"/>
      <x:c r="Y1476" s="40"/>
      <x:c r="Z1476" s="40"/>
      <x:c r="AA1476" s="40"/>
      <x:c r="AB1476" s="31" t="n">
        <x:v>0.15933184936204894</x:v>
      </x:c>
      <x:c r="AC1476" s="31" t="n">
        <x:v>14</x:v>
      </x:c>
      <x:c r="AD1476" s="44" t="b">
        <x:v>0</x:v>
      </x:c>
    </x:row>
    <x:row r="1477">
      <x:c r="A1477" s="31" t="str">
        <x:v>36061031703</x:v>
      </x:c>
      <x:c r="B1477" s="31" t="str">
        <x:v>Manhattan</x:v>
      </x:c>
      <x:c r="C1477" s="31" t="str">
        <x:v>031703</x:v>
      </x:c>
      <x:c r="D1477" s="31" t="str">
        <x:v>MN0101</x:v>
      </x:c>
      <x:c r="E1477" s="31" t="str">
        <x:v>Financial District-Battery Park City</x:v>
      </x:c>
      <x:c r="F1477" s="31" t="n">
        <x:v>0.09504769662642046</x:v>
      </x:c>
      <x:c r="G1477" s="31" t="n">
        <x:v>40.7154059713842</x:v>
      </x:c>
      <x:c r="H1477" s="31" t="n">
        <x:v>-74.01509448087045</x:v>
      </x:c>
      <x:c r="I1477" s="31" t="n">
        <x:v>5847</x:v>
      </x:c>
      <x:c r="J1477" s="31" t="n">
        <x:v>61516.482855773975</x:v>
      </x:c>
      <x:c r="K1477" s="31"/>
      <x:c r="L1477" s="40"/>
      <x:c r="M1477" s="40"/>
      <x:c r="N1477" s="31" t="n">
        <x:v>11</x:v>
      </x:c>
      <x:c r="O1477" s="31" t="n">
        <x:v>2805</x:v>
      </x:c>
      <x:c r="P1477" s="31" t="n">
        <x:v>27.641711229946523</x:v>
      </x:c>
      <x:c r="Q1477" s="40" t="n">
        <x:v>1</x:v>
      </x:c>
      <x:c r="R1477" s="40" t="n">
        <x:v>0</x:v>
      </x:c>
      <x:c r="S1477" s="40" t="n">
        <x:v>0</x:v>
      </x:c>
      <x:c r="T1477" s="31" t="n">
        <x:v>290.95112480281284</x:v>
      </x:c>
      <x:c r="U1477" s="31" t="n">
        <x:v>441.34</x:v>
      </x:c>
      <x:c r="V1477" s="31" t="n">
        <x:v>56</x:v>
      </x:c>
      <x:c r="W1477" s="31" t="n">
        <x:v>9.577561142466221</x:v>
      </x:c>
      <x:c r="X1477" s="31" t="n">
        <x:v>1</x:v>
      </x:c>
      <x:c r="Y1477" s="40" t="n">
        <x:v>0</x:v>
      </x:c>
      <x:c r="Z1477" s="40" t="n">
        <x:v>1</x:v>
      </x:c>
      <x:c r="AA1477" s="40" t="n">
        <x:v>1</x:v>
      </x:c>
      <x:c r="AB1477" s="31" t="n">
        <x:v>0.056774828028540614</x:v>
      </x:c>
      <x:c r="AC1477" s="31" t="n">
        <x:v>4</x:v>
      </x:c>
      <x:c r="AD1477" s="44" t="b">
        <x:v>1</x:v>
      </x:c>
    </x:row>
    <x:row r="1478">
      <x:c r="A1478" s="31" t="str">
        <x:v>36061031704</x:v>
      </x:c>
      <x:c r="B1478" s="31" t="str">
        <x:v>Manhattan</x:v>
      </x:c>
      <x:c r="C1478" s="31" t="str">
        <x:v>031704</x:v>
      </x:c>
      <x:c r="D1478" s="31" t="str">
        <x:v>MN0101</x:v>
      </x:c>
      <x:c r="E1478" s="31" t="str">
        <x:v>Financial District-Battery Park City</x:v>
      </x:c>
      <x:c r="F1478" s="31" t="n">
        <x:v>0.08651287989626377</x:v>
      </x:c>
      <x:c r="G1478" s="31" t="n">
        <x:v>40.70837881451091</x:v>
      </x:c>
      <x:c r="H1478" s="31" t="n">
        <x:v>-74.01704593956863</x:v>
      </x:c>
      <x:c r="I1478" s="31" t="n">
        <x:v>10422</x:v>
      </x:c>
      <x:c r="J1478" s="31" t="n">
        <x:v>120467.61144117333</x:v>
      </x:c>
      <x:c r="K1478" s="31"/>
      <x:c r="L1478" s="40"/>
      <x:c r="M1478" s="40"/>
      <x:c r="N1478" s="31" t="n">
        <x:v>19</x:v>
      </x:c>
      <x:c r="O1478" s="31" t="n">
        <x:v>5462</x:v>
      </x:c>
      <x:c r="P1478" s="31" t="n">
        <x:v>18.071609756097562</x:v>
      </x:c>
      <x:c r="Q1478" s="40" t="n">
        <x:v>0.6248626876601977</x:v>
      </x:c>
      <x:c r="R1478" s="40" t="n">
        <x:v>0.31343830098864883</x:v>
      </x:c>
      <x:c r="S1478" s="40" t="n">
        <x:v>0.31343830098864883</x:v>
      </x:c>
      <x:c r="T1478" s="31" t="n">
        <x:v>262.7978085491011</x:v>
      </x:c>
      <x:c r="U1478" s="31" t="n">
        <x:v>447</x:v>
      </x:c>
      <x:c r="V1478" s="31" t="n">
        <x:v>91</x:v>
      </x:c>
      <x:c r="W1478" s="31" t="n">
        <x:v>8.731529456918057</x:v>
      </x:c>
      <x:c r="X1478" s="31" t="n">
        <x:v>1</x:v>
      </x:c>
      <x:c r="Y1478" s="40" t="n">
        <x:v>0</x:v>
      </x:c>
      <x:c r="Z1478" s="40" t="n">
        <x:v>1</x:v>
      </x:c>
      <x:c r="AA1478" s="40" t="n">
        <x:v>1</x:v>
      </x:c>
      <x:c r="AB1478" s="31" t="n">
        <x:v>0.14001558152472965</x:v>
      </x:c>
      <x:c r="AC1478" s="31" t="n">
        <x:v>3</x:v>
      </x:c>
      <x:c r="AD1478" s="44" t="b">
        <x:v>1</x:v>
      </x:c>
    </x:row>
    <x:row r="1479">
      <x:c r="A1479" s="31" t="str">
        <x:v>36061031900</x:v>
      </x:c>
      <x:c r="B1479" s="31" t="str">
        <x:v>Manhattan</x:v>
      </x:c>
      <x:c r="C1479" s="31" t="str">
        <x:v>031900</x:v>
      </x:c>
      <x:c r="D1479" s="31" t="str">
        <x:v>MN0191</x:v>
      </x:c>
      <x:c r="E1479" s="31" t="str">
        <x:v>The Battery-Governors Island-Ellis Island-Liberty Island</x:v>
      </x:c>
      <x:c r="F1479" s="31" t="n">
        <x:v>0.038636120603406224</x:v>
      </x:c>
      <x:c r="G1479" s="31" t="n">
        <x:v>40.702941222121574</x:v>
      </x:c>
      <x:c r="H1479" s="31" t="n">
        <x:v>-74.01557137383686</x:v>
      </x:c>
      <x:c r="I1479" s="31" t="n">
        <x:v>3</x:v>
      </x:c>
      <x:c r="J1479" s="31" t="n">
        <x:v>77.64754724716111</x:v>
      </x:c>
      <x:c r="K1479" s="31"/>
      <x:c r="L1479" s="40"/>
      <x:c r="M1479" s="40"/>
      <x:c r="N1479" s="31" t="n">
        <x:v>0</x:v>
      </x:c>
      <x:c r="O1479" s="31"/>
      <x:c r="P1479" s="31"/>
      <x:c r="Q1479" s="40"/>
      <x:c r="R1479" s="40"/>
      <x:c r="S1479" s="40"/>
      <x:c r="T1479" s="31"/>
      <x:c r="U1479" s="31"/>
      <x:c r="V1479" s="31" t="n">
        <x:v>0</x:v>
      </x:c>
      <x:c r="W1479" s="31" t="n">
        <x:v>0</x:v>
      </x:c>
      <x:c r="X1479" s="31"/>
      <x:c r="Y1479" s="40"/>
      <x:c r="Z1479" s="40"/>
      <x:c r="AA1479" s="40"/>
      <x:c r="AB1479" s="31" t="n">
        <x:v>0.22307184964169102</x:v>
      </x:c>
      <x:c r="AC1479" s="31" t="n">
        <x:v>3</x:v>
      </x:c>
      <x:c r="AD1479" s="44" t="b">
        <x:v>0</x:v>
      </x:c>
    </x:row>
    <x:row r="1480">
      <x:c r="A1480" s="31" t="str">
        <x:v>36081000101</x:v>
      </x:c>
      <x:c r="B1480" s="31" t="str">
        <x:v>Queens</x:v>
      </x:c>
      <x:c r="C1480" s="31" t="str">
        <x:v>000101</x:v>
      </x:c>
      <x:c r="D1480" s="31" t="str">
        <x:v>QN0201</x:v>
      </x:c>
      <x:c r="E1480" s="31" t="str">
        <x:v>Long Island City-Hunters Point</x:v>
      </x:c>
      <x:c r="F1480" s="31" t="n">
        <x:v>0.11374242909528523</x:v>
      </x:c>
      <x:c r="G1480" s="31" t="n">
        <x:v>40.741365114961184</x:v>
      </x:c>
      <x:c r="H1480" s="31" t="n">
        <x:v>-73.9587702660374</x:v>
      </x:c>
      <x:c r="I1480" s="31" t="n">
        <x:v>4659</x:v>
      </x:c>
      <x:c r="J1480" s="31" t="n">
        <x:v>40960.96801394161</x:v>
      </x:c>
      <x:c r="K1480" s="31"/>
      <x:c r="L1480" s="40"/>
      <x:c r="M1480" s="40"/>
      <x:c r="N1480" s="31" t="n">
        <x:v>16</x:v>
      </x:c>
      <x:c r="O1480" s="31" t="n">
        <x:v>6637</x:v>
      </x:c>
      <x:c r="P1480" s="31" t="n">
        <x:v>34.57254783787856</x:v>
      </x:c>
      <x:c r="Q1480" s="40" t="n">
        <x:v>0.9778514389031189</x:v>
      </x:c>
      <x:c r="R1480" s="40" t="n">
        <x:v>0.022148561096881122</x:v>
      </x:c>
      <x:c r="S1480" s="40" t="n">
        <x:v>0</x:v>
      </x:c>
      <x:c r="T1480" s="31" t="n">
        <x:v>380.0030563701531</x:v>
      </x:c>
      <x:c r="U1480" s="31" t="n">
        <x:v>609</x:v>
      </x:c>
      <x:c r="V1480" s="31" t="n">
        <x:v>97</x:v>
      </x:c>
      <x:c r="W1480" s="31" t="n">
        <x:v>20.819918437432925</x:v>
      </x:c>
      <x:c r="X1480" s="31" t="n">
        <x:v>3.7640500226005726</x:v>
      </x:c>
      <x:c r="Y1480" s="40" t="n">
        <x:v>0.9213500075335241</x:v>
      </x:c>
      <x:c r="Z1480" s="40" t="n">
        <x:v>1</x:v>
      </x:c>
      <x:c r="AA1480" s="40" t="n">
        <x:v>0.924815428657526</x:v>
      </x:c>
      <x:c r="AB1480" s="31" t="n">
        <x:v>0.09973871590965032</x:v>
      </x:c>
      <x:c r="AC1480" s="31" t="n">
        <x:v>4</x:v>
      </x:c>
      <x:c r="AD1480" s="44" t="b">
        <x:v>1</x:v>
      </x:c>
    </x:row>
    <x:row r="1481">
      <x:c r="A1481" s="31" t="str">
        <x:v>36081000102</x:v>
      </x:c>
      <x:c r="B1481" s="31" t="str">
        <x:v>Queens</x:v>
      </x:c>
      <x:c r="C1481" s="31" t="str">
        <x:v>000102</x:v>
      </x:c>
      <x:c r="D1481" s="31" t="str">
        <x:v>QN0201</x:v>
      </x:c>
      <x:c r="E1481" s="31" t="str">
        <x:v>Long Island City-Hunters Point</x:v>
      </x:c>
      <x:c r="F1481" s="31" t="n">
        <x:v>0.04312598586037936</x:v>
      </x:c>
      <x:c r="G1481" s="31" t="n">
        <x:v>40.74660092428267</x:v>
      </x:c>
      <x:c r="H1481" s="31" t="n">
        <x:v>-73.95692138539066</x:v>
      </x:c>
      <x:c r="I1481" s="31" t="n">
        <x:v>7484</x:v>
      </x:c>
      <x:c r="J1481" s="31" t="n">
        <x:v>173538.06181334605</x:v>
      </x:c>
      <x:c r="K1481" s="31"/>
      <x:c r="L1481" s="40"/>
      <x:c r="M1481" s="40"/>
      <x:c r="N1481" s="31" t="n">
        <x:v>11</x:v>
      </x:c>
      <x:c r="O1481" s="31" t="n">
        <x:v>3803</x:v>
      </x:c>
      <x:c r="P1481" s="31" t="n">
        <x:v>33.67210097291612</x:v>
      </x:c>
      <x:c r="Q1481" s="40" t="n">
        <x:v>0.994740993952143</x:v>
      </x:c>
      <x:c r="R1481" s="40" t="n">
        <x:v>0.005259006047856955</x:v>
      </x:c>
      <x:c r="S1481" s="40" t="n">
        <x:v>0</x:v>
      </x:c>
      <x:c r="T1481" s="31" t="n">
        <x:v>337.6694250809571</x:v>
      </x:c>
      <x:c r="U1481" s="31" t="n">
        <x:v>426</x:v>
      </x:c>
      <x:c r="V1481" s="31" t="n">
        <x:v>44</x:v>
      </x:c>
      <x:c r="W1481" s="31" t="n">
        <x:v>5.879208979155532</x:v>
      </x:c>
      <x:c r="X1481" s="31" t="n">
        <x:v>1.7675519326847227</x:v>
      </x:c>
      <x:c r="Y1481" s="40" t="n">
        <x:v>0.2558506442282409</x:v>
      </x:c>
      <x:c r="Z1481" s="40" t="n">
        <x:v>1</x:v>
      </x:c>
      <x:c r="AA1481" s="40" t="n">
        <x:v>1</x:v>
      </x:c>
      <x:c r="AB1481" s="31" t="n">
        <x:v>0.10756489885854341</x:v>
      </x:c>
      <x:c r="AC1481" s="31" t="n">
        <x:v>5</x:v>
      </x:c>
      <x:c r="AD1481" s="44" t="b">
        <x:v>1</x:v>
      </x:c>
    </x:row>
    <x:row r="1482">
      <x:c r="A1482" s="31" t="str">
        <x:v>36081000103</x:v>
      </x:c>
      <x:c r="B1482" s="31" t="str">
        <x:v>Queens</x:v>
      </x:c>
      <x:c r="C1482" s="31" t="str">
        <x:v>000103</x:v>
      </x:c>
      <x:c r="D1482" s="31" t="str">
        <x:v>QN0201</x:v>
      </x:c>
      <x:c r="E1482" s="31" t="str">
        <x:v>Long Island City-Hunters Point</x:v>
      </x:c>
      <x:c r="F1482" s="31" t="n">
        <x:v>0.07127963812736743</x:v>
      </x:c>
      <x:c r="G1482" s="31" t="n">
        <x:v>40.75087384587415</x:v>
      </x:c>
      <x:c r="H1482" s="31" t="n">
        <x:v>-73.95280398322448</x:v>
      </x:c>
      <x:c r="I1482" s="31" t="n">
        <x:v>33</x:v>
      </x:c>
      <x:c r="J1482" s="31" t="n">
        <x:v>462.96531333440976</x:v>
      </x:c>
      <x:c r="K1482" s="31"/>
      <x:c r="L1482" s="40"/>
      <x:c r="M1482" s="40"/>
      <x:c r="N1482" s="31" t="n">
        <x:v>5</x:v>
      </x:c>
      <x:c r="O1482" s="31" t="n">
        <x:v>17</x:v>
      </x:c>
      <x:c r="P1482" s="31" t="n">
        <x:v>2.9411764705882355</x:v>
      </x:c>
      <x:c r="Q1482" s="40" t="n">
        <x:v>0</x:v>
      </x:c>
      <x:c r="R1482" s="40" t="n">
        <x:v>0.9411764705882353</x:v>
      </x:c>
      <x:c r="S1482" s="40" t="n">
        <x:v>0</x:v>
      </x:c>
      <x:c r="T1482" s="31" t="n">
        <x:v>34.75941176470589</x:v>
      </x:c>
      <x:c r="U1482" s="31" t="n">
        <x:v>40</x:v>
      </x:c>
      <x:c r="V1482" s="31" t="n">
        <x:v>0</x:v>
      </x:c>
      <x:c r="W1482" s="31" t="n">
        <x:v>0</x:v>
      </x:c>
      <x:c r="X1482" s="31" t="n">
        <x:v>4</x:v>
      </x:c>
      <x:c r="Y1482" s="40" t="n">
        <x:v>1</x:v>
      </x:c>
      <x:c r="Z1482" s="40" t="n">
        <x:v>1</x:v>
      </x:c>
      <x:c r="AA1482" s="40" t="n">
        <x:v>1</x:v>
      </x:c>
      <x:c r="AB1482" s="31" t="n">
        <x:v>0.3698165371989795</x:v>
      </x:c>
      <x:c r="AC1482" s="31" t="n">
        <x:v>5</x:v>
      </x:c>
      <x:c r="AD1482" s="44" t="b">
        <x:v>1</x:v>
      </x:c>
    </x:row>
    <x:row r="1483">
      <x:c r="A1483" s="31" t="str">
        <x:v>36081000104</x:v>
      </x:c>
      <x:c r="B1483" s="31" t="str">
        <x:v>Queens</x:v>
      </x:c>
      <x:c r="C1483" s="31" t="str">
        <x:v>000104</x:v>
      </x:c>
      <x:c r="D1483" s="31" t="str">
        <x:v>QN0201</x:v>
      </x:c>
      <x:c r="E1483" s="31" t="str">
        <x:v>Long Island City-Hunters Point</x:v>
      </x:c>
      <x:c r="F1483" s="31" t="n">
        <x:v>0.21447071528136477</x:v>
      </x:c>
      <x:c r="G1483" s="31" t="n">
        <x:v>40.740982121904445</x:v>
      </x:c>
      <x:c r="H1483" s="31" t="n">
        <x:v>-73.94447008761647</x:v>
      </x:c>
      <x:c r="I1483" s="31" t="n">
        <x:v>27</x:v>
      </x:c>
      <x:c r="J1483" s="31" t="n">
        <x:v>125.89131324795844</x:v>
      </x:c>
      <x:c r="K1483" s="31"/>
      <x:c r="L1483" s="40"/>
      <x:c r="M1483" s="40"/>
      <x:c r="N1483" s="31" t="n">
        <x:v>0</x:v>
      </x:c>
      <x:c r="O1483" s="31"/>
      <x:c r="P1483" s="31"/>
      <x:c r="Q1483" s="40"/>
      <x:c r="R1483" s="40"/>
      <x:c r="S1483" s="40"/>
      <x:c r="T1483" s="31"/>
      <x:c r="U1483" s="31"/>
      <x:c r="V1483" s="31" t="n">
        <x:v>0</x:v>
      </x:c>
      <x:c r="W1483" s="31" t="n">
        <x:v>0</x:v>
      </x:c>
      <x:c r="X1483" s="31"/>
      <x:c r="Y1483" s="40"/>
      <x:c r="Z1483" s="40"/>
      <x:c r="AA1483" s="40"/>
      <x:c r="AB1483" s="31" t="n">
        <x:v>0.2790224995326932</x:v>
      </x:c>
      <x:c r="AC1483" s="31" t="n">
        <x:v>6</x:v>
      </x:c>
      <x:c r="AD1483" s="44" t="b">
        <x:v>0</x:v>
      </x:c>
    </x:row>
    <x:row r="1484">
      <x:c r="A1484" s="31" t="str">
        <x:v>36081000200</x:v>
      </x:c>
      <x:c r="B1484" s="31" t="str">
        <x:v>Queens</x:v>
      </x:c>
      <x:c r="C1484" s="31" t="str">
        <x:v>000200</x:v>
      </x:c>
      <x:c r="D1484" s="31" t="str">
        <x:v>QN0905</x:v>
      </x:c>
      <x:c r="E1484" s="31" t="str">
        <x:v>Woodhaven</x:v>
      </x:c>
      <x:c r="F1484" s="31" t="n">
        <x:v>0.05974895974159206</x:v>
      </x:c>
      <x:c r="G1484" s="31" t="n">
        <x:v>40.693291369198654</x:v>
      </x:c>
      <x:c r="H1484" s="31" t="n">
        <x:v>-73.86612850999397</x:v>
      </x:c>
      <x:c r="I1484" s="31" t="n">
        <x:v>3084</x:v>
      </x:c>
      <x:c r="J1484" s="31" t="n">
        <x:v>51615.961404817324</x:v>
      </x:c>
      <x:c r="K1484" s="31"/>
      <x:c r="L1484" s="40"/>
      <x:c r="M1484" s="40"/>
      <x:c r="N1484" s="31" t="n">
        <x:v>452</x:v>
      </x:c>
      <x:c r="O1484" s="31" t="n">
        <x:v>908</x:v>
      </x:c>
      <x:c r="P1484" s="31" t="n">
        <x:v>2.3788546255506606</x:v>
      </x:c>
      <x:c r="Q1484" s="40" t="n">
        <x:v>0</x:v>
      </x:c>
      <x:c r="R1484" s="40" t="n">
        <x:v>0.14647577092511013</x:v>
      </x:c>
      <x:c r="S1484" s="40" t="n">
        <x:v>0.003303964757709251</x:v>
      </x:c>
      <x:c r="T1484" s="31" t="n">
        <x:v>30.375031164746698</x:v>
      </x:c>
      <x:c r="U1484" s="31" t="n">
        <x:v>68.2</x:v>
      </x:c>
      <x:c r="V1484" s="31" t="n">
        <x:v>1</x:v>
      </x:c>
      <x:c r="W1484" s="31" t="n">
        <x:v>0.324254215304799</x:v>
      </x:c>
      <x:c r="X1484" s="31" t="n">
        <x:v>2</x:v>
      </x:c>
      <x:c r="Y1484" s="40" t="n">
        <x:v>0</x:v>
      </x:c>
      <x:c r="Z1484" s="40" t="n">
        <x:v>1</x:v>
      </x:c>
      <x:c r="AA1484" s="40" t="n">
        <x:v>1</x:v>
      </x:c>
      <x:c r="AB1484" s="31" t="n">
        <x:v>0.15295773303808502</x:v>
      </x:c>
      <x:c r="AC1484" s="31" t="n">
        <x:v>5</x:v>
      </x:c>
      <x:c r="AD1484" s="44" t="b">
        <x:v>1</x:v>
      </x:c>
    </x:row>
    <x:row r="1485">
      <x:c r="A1485" s="31" t="str">
        <x:v>36081000400</x:v>
      </x:c>
      <x:c r="B1485" s="31" t="str">
        <x:v>Queens</x:v>
      </x:c>
      <x:c r="C1485" s="31" t="str">
        <x:v>000400</x:v>
      </x:c>
      <x:c r="D1485" s="31" t="str">
        <x:v>QN0905</x:v>
      </x:c>
      <x:c r="E1485" s="31" t="str">
        <x:v>Woodhaven</x:v>
      </x:c>
      <x:c r="F1485" s="31" t="n">
        <x:v>0.08683663237918962</x:v>
      </x:c>
      <x:c r="G1485" s="31" t="n">
        <x:v>40.68968297942111</x:v>
      </x:c>
      <x:c r="H1485" s="31" t="n">
        <x:v>-73.86477198726223</x:v>
      </x:c>
      <x:c r="I1485" s="31" t="n">
        <x:v>4918</x:v>
      </x:c>
      <x:c r="J1485" s="31" t="n">
        <x:v>56635.084356157015</x:v>
      </x:c>
      <x:c r="K1485" s="31"/>
      <x:c r="L1485" s="40"/>
      <x:c r="M1485" s="40"/>
      <x:c r="N1485" s="31" t="n">
        <x:v>669</x:v>
      </x:c>
      <x:c r="O1485" s="31" t="n">
        <x:v>1245</x:v>
      </x:c>
      <x:c r="P1485" s="31" t="n">
        <x:v>2.1913654618473895</x:v>
      </x:c>
      <x:c r="Q1485" s="40" t="n">
        <x:v>0</x:v>
      </x:c>
      <x:c r="R1485" s="40" t="n">
        <x:v>0.09477911646586346</x:v>
      </x:c>
      <x:c r="S1485" s="40" t="n">
        <x:v>0.014457831325301205</x:v>
      </x:c>
      <x:c r="T1485" s="31" t="n">
        <x:v>28.11154539861847</x:v>
      </x:c>
      <x:c r="U1485" s="31" t="n">
        <x:v>45.17</x:v>
      </x:c>
      <x:c r="V1485" s="31" t="n">
        <x:v>0</x:v>
      </x:c>
      <x:c r="W1485" s="31" t="n">
        <x:v>0</x:v>
      </x:c>
      <x:c r="X1485" s="31" t="n">
        <x:v>2</x:v>
      </x:c>
      <x:c r="Y1485" s="40" t="n">
        <x:v>0</x:v>
      </x:c>
      <x:c r="Z1485" s="40" t="n">
        <x:v>1</x:v>
      </x:c>
      <x:c r="AA1485" s="40" t="n">
        <x:v>1</x:v>
      </x:c>
      <x:c r="AB1485" s="31" t="n">
        <x:v>0.29774521664342035</x:v>
      </x:c>
      <x:c r="AC1485" s="31" t="n">
        <x:v>8</x:v>
      </x:c>
      <x:c r="AD1485" s="44" t="b">
        <x:v>1</x:v>
      </x:c>
    </x:row>
    <x:row r="1486">
      <x:c r="A1486" s="31" t="str">
        <x:v>36081000600</x:v>
      </x:c>
      <x:c r="B1486" s="31" t="str">
        <x:v>Queens</x:v>
      </x:c>
      <x:c r="C1486" s="31" t="str">
        <x:v>000600</x:v>
      </x:c>
      <x:c r="D1486" s="31" t="str">
        <x:v>QN0905</x:v>
      </x:c>
      <x:c r="E1486" s="31" t="str">
        <x:v>Woodhaven</x:v>
      </x:c>
      <x:c r="F1486" s="31" t="n">
        <x:v>0.08276446928912708</x:v>
      </x:c>
      <x:c r="G1486" s="31" t="n">
        <x:v>40.685907407554076</x:v>
      </x:c>
      <x:c r="H1486" s="31" t="n">
        <x:v>-73.86372830269167</x:v>
      </x:c>
      <x:c r="I1486" s="31" t="n">
        <x:v>4177</x:v>
      </x:c>
      <x:c r="J1486" s="31" t="n">
        <x:v>50468.516694140635</x:v>
      </x:c>
      <x:c r="K1486" s="31"/>
      <x:c r="L1486" s="40"/>
      <x:c r="M1486" s="40"/>
      <x:c r="N1486" s="31" t="n">
        <x:v>636</x:v>
      </x:c>
      <x:c r="O1486" s="31" t="n">
        <x:v>1105</x:v>
      </x:c>
      <x:c r="P1486" s="31" t="n">
        <x:v>2.1063348416289593</x:v>
      </x:c>
      <x:c r="Q1486" s="40" t="n">
        <x:v>0</x:v>
      </x:c>
      <x:c r="R1486" s="40" t="n">
        <x:v>0.08597285067873303</x:v>
      </x:c>
      <x:c r="S1486" s="40" t="n">
        <x:v>0.009954751131221719</x:v>
      </x:c>
      <x:c r="T1486" s="31" t="n">
        <x:v>27.23690108444344</x:v>
      </x:c>
      <x:c r="U1486" s="31" t="n">
        <x:v>40.3</x:v>
      </x:c>
      <x:c r="V1486" s="31" t="n">
        <x:v>0</x:v>
      </x:c>
      <x:c r="W1486" s="31" t="n">
        <x:v>0</x:v>
      </x:c>
      <x:c r="X1486" s="31" t="n">
        <x:v>2</x:v>
      </x:c>
      <x:c r="Y1486" s="40" t="n">
        <x:v>0</x:v>
      </x:c>
      <x:c r="Z1486" s="40" t="n">
        <x:v>1</x:v>
      </x:c>
      <x:c r="AA1486" s="40" t="n">
        <x:v>1</x:v>
      </x:c>
      <x:c r="AB1486" s="31" t="n">
        <x:v>0.30014112022470996</x:v>
      </x:c>
      <x:c r="AC1486" s="31" t="n">
        <x:v>7</x:v>
      </x:c>
      <x:c r="AD1486" s="44" t="b">
        <x:v>1</x:v>
      </x:c>
    </x:row>
    <x:row r="1487">
      <x:c r="A1487" s="31" t="str">
        <x:v>36081000701</x:v>
      </x:c>
      <x:c r="B1487" s="31" t="str">
        <x:v>Queens</x:v>
      </x:c>
      <x:c r="C1487" s="31" t="str">
        <x:v>000701</x:v>
      </x:c>
      <x:c r="D1487" s="31" t="str">
        <x:v>QN0201</x:v>
      </x:c>
      <x:c r="E1487" s="31" t="str">
        <x:v>Long Island City-Hunters Point</x:v>
      </x:c>
      <x:c r="F1487" s="31" t="n">
        <x:v>0.09289273103549703</x:v>
      </x:c>
      <x:c r="G1487" s="31" t="n">
        <x:v>40.74285297972136</x:v>
      </x:c>
      <x:c r="H1487" s="31" t="n">
        <x:v>-73.95283651751555</x:v>
      </x:c>
      <x:c r="I1487" s="31" t="n">
        <x:v>3460</x:v>
      </x:c>
      <x:c r="J1487" s="31" t="n">
        <x:v>37247.263175821936</x:v>
      </x:c>
      <x:c r="K1487" s="31"/>
      <x:c r="L1487" s="40"/>
      <x:c r="M1487" s="40"/>
      <x:c r="N1487" s="31" t="n">
        <x:v>194</x:v>
      </x:c>
      <x:c r="O1487" s="31" t="n">
        <x:v>1956</x:v>
      </x:c>
      <x:c r="P1487" s="31" t="n">
        <x:v>7.462295501022495</x:v>
      </x:c>
      <x:c r="Q1487" s="40" t="n">
        <x:v>0.3880368098159509</x:v>
      </x:c>
      <x:c r="R1487" s="40" t="n">
        <x:v>0.5664621676891616</x:v>
      </x:c>
      <x:c r="S1487" s="40" t="n">
        <x:v>0.012269938650306749</x:v>
      </x:c>
      <x:c r="T1487" s="31" t="n">
        <x:v>84.13118653104958</x:v>
      </x:c>
      <x:c r="U1487" s="31" t="n">
        <x:v>152</x:v>
      </x:c>
      <x:c r="V1487" s="31" t="n">
        <x:v>45</x:v>
      </x:c>
      <x:c r="W1487" s="31" t="n">
        <x:v>13.00578034682081</x:v>
      </x:c>
      <x:c r="X1487" s="31" t="n">
        <x:v>4</x:v>
      </x:c>
      <x:c r="Y1487" s="40" t="n">
        <x:v>1</x:v>
      </x:c>
      <x:c r="Z1487" s="40" t="n">
        <x:v>1</x:v>
      </x:c>
      <x:c r="AA1487" s="40" t="n">
        <x:v>0.9693251533742331</x:v>
      </x:c>
      <x:c r="AB1487" s="31" t="n">
        <x:v>0.23906202594578504</x:v>
      </x:c>
      <x:c r="AC1487" s="31" t="n">
        <x:v>5</x:v>
      </x:c>
      <x:c r="AD1487" s="44" t="b">
        <x:v>1</x:v>
      </x:c>
    </x:row>
    <x:row r="1488">
      <x:c r="A1488" s="31" t="str">
        <x:v>36081000702</x:v>
      </x:c>
      <x:c r="B1488" s="31" t="str">
        <x:v>Queens</x:v>
      </x:c>
      <x:c r="C1488" s="31" t="str">
        <x:v>000702</x:v>
      </x:c>
      <x:c r="D1488" s="31" t="str">
        <x:v>QN0201</x:v>
      </x:c>
      <x:c r="E1488" s="31" t="str">
        <x:v>Long Island City-Hunters Point</x:v>
      </x:c>
      <x:c r="F1488" s="31" t="n">
        <x:v>0.11751343033387857</x:v>
      </x:c>
      <x:c r="G1488" s="31" t="n">
        <x:v>40.74641555416029</x:v>
      </x:c>
      <x:c r="H1488" s="31" t="n">
        <x:v>-73.95028051434022</x:v>
      </x:c>
      <x:c r="I1488" s="31" t="n">
        <x:v>4260</x:v>
      </x:c>
      <x:c r="J1488" s="31" t="n">
        <x:v>36251.17561368526</x:v>
      </x:c>
      <x:c r="K1488" s="31"/>
      <x:c r="L1488" s="40"/>
      <x:c r="M1488" s="40"/>
      <x:c r="N1488" s="31" t="n">
        <x:v>330</x:v>
      </x:c>
      <x:c r="O1488" s="31" t="n">
        <x:v>2738</x:v>
      </x:c>
      <x:c r="P1488" s="31" t="n">
        <x:v>5.883925268220496</x:v>
      </x:c>
      <x:c r="Q1488" s="40" t="n">
        <x:v>0.15960555149744338</x:v>
      </x:c>
      <x:c r="R1488" s="40" t="n">
        <x:v>0.7615047479912345</x:v>
      </x:c>
      <x:c r="S1488" s="40" t="n">
        <x:v>0</x:v>
      </x:c>
      <x:c r="T1488" s="31" t="n">
        <x:v>62.962186345032336</x:v>
      </x:c>
      <x:c r="U1488" s="31" t="n">
        <x:v>164</x:v>
      </x:c>
      <x:c r="V1488" s="31" t="n">
        <x:v>63</x:v>
      </x:c>
      <x:c r="W1488" s="31" t="n">
        <x:v>14.788732394366196</x:v>
      </x:c>
      <x:c r="X1488" s="31" t="n">
        <x:v>4</x:v>
      </x:c>
      <x:c r="Y1488" s="40" t="n">
        <x:v>1</x:v>
      </x:c>
      <x:c r="Z1488" s="40" t="n">
        <x:v>1</x:v>
      </x:c>
      <x:c r="AA1488" s="40" t="n">
        <x:v>0.960189919649379</x:v>
      </x:c>
      <x:c r="AB1488" s="31" t="n">
        <x:v>0.2470458428525142</x:v>
      </x:c>
      <x:c r="AC1488" s="31" t="n">
        <x:v>5</x:v>
      </x:c>
      <x:c r="AD1488" s="44" t="b">
        <x:v>1</x:v>
      </x:c>
    </x:row>
    <x:row r="1489">
      <x:c r="A1489" s="31" t="str">
        <x:v>36081000800</x:v>
      </x:c>
      <x:c r="B1489" s="31" t="str">
        <x:v>Queens</x:v>
      </x:c>
      <x:c r="C1489" s="31" t="str">
        <x:v>000800</x:v>
      </x:c>
      <x:c r="D1489" s="31" t="str">
        <x:v>QN0905</x:v>
      </x:c>
      <x:c r="E1489" s="31" t="str">
        <x:v>Woodhaven</x:v>
      </x:c>
      <x:c r="F1489" s="31" t="n">
        <x:v>0.07330169695642505</x:v>
      </x:c>
      <x:c r="G1489" s="31" t="n">
        <x:v>40.687348108152506</x:v>
      </x:c>
      <x:c r="H1489" s="31" t="n">
        <x:v>-73.85826038594269</x:v>
      </x:c>
      <x:c r="I1489" s="31" t="n">
        <x:v>3580</x:v>
      </x:c>
      <x:c r="J1489" s="31" t="n">
        <x:v>48839.251322219294</x:v>
      </x:c>
      <x:c r="K1489" s="31"/>
      <x:c r="L1489" s="40"/>
      <x:c r="M1489" s="40"/>
      <x:c r="N1489" s="31" t="n">
        <x:v>627</x:v>
      </x:c>
      <x:c r="O1489" s="31" t="n">
        <x:v>997</x:v>
      </x:c>
      <x:c r="P1489" s="31" t="n">
        <x:v>2.116331658291457</x:v>
      </x:c>
      <x:c r="Q1489" s="40" t="n">
        <x:v>0</x:v>
      </x:c>
      <x:c r="R1489" s="40" t="n">
        <x:v>0.028084252758274825</x:v>
      </x:c>
      <x:c r="S1489" s="40" t="n">
        <x:v>0.0020060180541624875</x:v>
      </x:c>
      <x:c r="T1489" s="31" t="n">
        <x:v>26.761114078375126</x:v>
      </x:c>
      <x:c r="U1489" s="31" t="n">
        <x:v>44.52429022</x:v>
      </x:c>
      <x:c r="V1489" s="31" t="n">
        <x:v>0</x:v>
      </x:c>
      <x:c r="W1489" s="31" t="n">
        <x:v>0</x:v>
      </x:c>
      <x:c r="X1489" s="31" t="n">
        <x:v>2</x:v>
      </x:c>
      <x:c r="Y1489" s="40" t="n">
        <x:v>0</x:v>
      </x:c>
      <x:c r="Z1489" s="40" t="n">
        <x:v>1</x:v>
      </x:c>
      <x:c r="AA1489" s="40" t="n">
        <x:v>1</x:v>
      </x:c>
      <x:c r="AB1489" s="31" t="n">
        <x:v>0.37227736087405805</x:v>
      </x:c>
      <x:c r="AC1489" s="31" t="n">
        <x:v>5</x:v>
      </x:c>
      <x:c r="AD1489" s="44" t="b">
        <x:v>1</x:v>
      </x:c>
    </x:row>
    <x:row r="1490">
      <x:c r="A1490" s="31" t="str">
        <x:v>36081001000</x:v>
      </x:c>
      <x:c r="B1490" s="31" t="str">
        <x:v>Queens</x:v>
      </x:c>
      <x:c r="C1490" s="31" t="str">
        <x:v>001000</x:v>
      </x:c>
      <x:c r="D1490" s="31" t="str">
        <x:v>QN0905</x:v>
      </x:c>
      <x:c r="E1490" s="31" t="str">
        <x:v>Woodhaven</x:v>
      </x:c>
      <x:c r="F1490" s="31" t="n">
        <x:v>0.06252475477394685</x:v>
      </x:c>
      <x:c r="G1490" s="31" t="n">
        <x:v>40.6907547112337</x:v>
      </x:c>
      <x:c r="H1490" s="31" t="n">
        <x:v>-73.85928965279354</x:v>
      </x:c>
      <x:c r="I1490" s="31" t="n">
        <x:v>3789</x:v>
      </x:c>
      <x:c r="J1490" s="31" t="n">
        <x:v>60599.997772063565</x:v>
      </x:c>
      <x:c r="K1490" s="31"/>
      <x:c r="L1490" s="40"/>
      <x:c r="M1490" s="40"/>
      <x:c r="N1490" s="31" t="n">
        <x:v>534</x:v>
      </x:c>
      <x:c r="O1490" s="31" t="n">
        <x:v>998</x:v>
      </x:c>
      <x:c r="P1490" s="31" t="n">
        <x:v>2.1718436873747495</x:v>
      </x:c>
      <x:c r="Q1490" s="40" t="n">
        <x:v>0</x:v>
      </x:c>
      <x:c r="R1490" s="40" t="n">
        <x:v>0.08016032064128256</x:v>
      </x:c>
      <x:c r="S1490" s="40" t="n">
        <x:v>0.008016032064128256</x:v>
      </x:c>
      <x:c r="T1490" s="31" t="n">
        <x:v>26.86246886225451</x:v>
      </x:c>
      <x:c r="U1490" s="31" t="n">
        <x:v>75</x:v>
      </x:c>
      <x:c r="V1490" s="31" t="n">
        <x:v>1</x:v>
      </x:c>
      <x:c r="W1490" s="31" t="n">
        <x:v>0.2639218791237794</x:v>
      </x:c>
      <x:c r="X1490" s="31" t="n">
        <x:v>2</x:v>
      </x:c>
      <x:c r="Y1490" s="40" t="n">
        <x:v>0</x:v>
      </x:c>
      <x:c r="Z1490" s="40" t="n">
        <x:v>1</x:v>
      </x:c>
      <x:c r="AA1490" s="40" t="n">
        <x:v>1</x:v>
      </x:c>
      <x:c r="AB1490" s="31" t="n">
        <x:v>0.24642648497581196</x:v>
      </x:c>
      <x:c r="AC1490" s="31" t="n">
        <x:v>6</x:v>
      </x:c>
      <x:c r="AD1490" s="44" t="b">
        <x:v>1</x:v>
      </x:c>
    </x:row>
    <x:row r="1491">
      <x:c r="A1491" s="31" t="str">
        <x:v>36081001200</x:v>
      </x:c>
      <x:c r="B1491" s="31" t="str">
        <x:v>Queens</x:v>
      </x:c>
      <x:c r="C1491" s="31" t="str">
        <x:v>001200</x:v>
      </x:c>
      <x:c r="D1491" s="31" t="str">
        <x:v>QN0905</x:v>
      </x:c>
      <x:c r="E1491" s="31" t="str">
        <x:v>Woodhaven</x:v>
      </x:c>
      <x:c r="F1491" s="31" t="n">
        <x:v>0.08684049096648301</x:v>
      </x:c>
      <x:c r="G1491" s="31" t="n">
        <x:v>40.694274130483535</x:v>
      </x:c>
      <x:c r="H1491" s="31" t="n">
        <x:v>-73.86085307504631</x:v>
      </x:c>
      <x:c r="I1491" s="31" t="n">
        <x:v>4183</x:v>
      </x:c>
      <x:c r="J1491" s="31" t="n">
        <x:v>48168.7741909989</x:v>
      </x:c>
      <x:c r="K1491" s="31"/>
      <x:c r="L1491" s="40"/>
      <x:c r="M1491" s="40"/>
      <x:c r="N1491" s="31" t="n">
        <x:v>553</x:v>
      </x:c>
      <x:c r="O1491" s="31" t="n">
        <x:v>1259</x:v>
      </x:c>
      <x:c r="P1491" s="31" t="n">
        <x:v>3.157664813343924</x:v>
      </x:c>
      <x:c r="Q1491" s="40" t="n">
        <x:v>0</x:v>
      </x:c>
      <x:c r="R1491" s="40" t="n">
        <x:v>0.37410643367752183</x:v>
      </x:c>
      <x:c r="S1491" s="40" t="n">
        <x:v>0.0023828435266084196</x:v>
      </x:c>
      <x:c r="T1491" s="31" t="n">
        <x:v>38.328768221662685</x:v>
      </x:c>
      <x:c r="U1491" s="31" t="n">
        <x:v>69.83966957</x:v>
      </x:c>
      <x:c r="V1491" s="31" t="n">
        <x:v>7</x:v>
      </x:c>
      <x:c r="W1491" s="31" t="n">
        <x:v>1.6734401147501792</x:v>
      </x:c>
      <x:c r="X1491" s="31" t="n">
        <x:v>2</x:v>
      </x:c>
      <x:c r="Y1491" s="40" t="n">
        <x:v>0</x:v>
      </x:c>
      <x:c r="Z1491" s="40" t="n">
        <x:v>1</x:v>
      </x:c>
      <x:c r="AA1491" s="40" t="n">
        <x:v>0.9984114376489277</x:v>
      </x:c>
      <x:c r="AB1491" s="31" t="n">
        <x:v>0.03643807366937335</x:v>
      </x:c>
      <x:c r="AC1491" s="31" t="n">
        <x:v>5</x:v>
      </x:c>
      <x:c r="AD1491" s="44" t="b">
        <x:v>1</x:v>
      </x:c>
    </x:row>
    <x:row r="1492">
      <x:c r="A1492" s="31" t="str">
        <x:v>36081001400</x:v>
      </x:c>
      <x:c r="B1492" s="31" t="str">
        <x:v>Queens</x:v>
      </x:c>
      <x:c r="C1492" s="31" t="str">
        <x:v>001400</x:v>
      </x:c>
      <x:c r="D1492" s="31" t="str">
        <x:v>QN0905</x:v>
      </x:c>
      <x:c r="E1492" s="31" t="str">
        <x:v>Woodhaven</x:v>
      </x:c>
      <x:c r="F1492" s="31" t="n">
        <x:v>0.08272865616642275</x:v>
      </x:c>
      <x:c r="G1492" s="31" t="n">
        <x:v>40.69506571765319</x:v>
      </x:c>
      <x:c r="H1492" s="31" t="n">
        <x:v>-73.85527114257431</x:v>
      </x:c>
      <x:c r="I1492" s="31" t="n">
        <x:v>4114</x:v>
      </x:c>
      <x:c r="J1492" s="31" t="n">
        <x:v>49728.838719729596</x:v>
      </x:c>
      <x:c r="K1492" s="31"/>
      <x:c r="L1492" s="40"/>
      <x:c r="M1492" s="40"/>
      <x:c r="N1492" s="31" t="n">
        <x:v>576</x:v>
      </x:c>
      <x:c r="O1492" s="31" t="n">
        <x:v>1183</x:v>
      </x:c>
      <x:c r="P1492" s="31" t="n">
        <x:v>2.4575232459847847</x:v>
      </x:c>
      <x:c r="Q1492" s="40" t="n">
        <x:v>0</x:v>
      </x:c>
      <x:c r="R1492" s="40" t="n">
        <x:v>0.17075232459847844</x:v>
      </x:c>
      <x:c r="S1492" s="40" t="n">
        <x:v>0.00422654268808115</x:v>
      </x:c>
      <x:c r="T1492" s="31" t="n">
        <x:v>30.784225993705586</x:v>
      </x:c>
      <x:c r="U1492" s="31" t="n">
        <x:v>44.66</x:v>
      </x:c>
      <x:c r="V1492" s="31" t="n">
        <x:v>0</x:v>
      </x:c>
      <x:c r="W1492" s="31" t="n">
        <x:v>0</x:v>
      </x:c>
      <x:c r="X1492" s="31" t="n">
        <x:v>2</x:v>
      </x:c>
      <x:c r="Y1492" s="40" t="n">
        <x:v>0</x:v>
      </x:c>
      <x:c r="Z1492" s="40" t="n">
        <x:v>1</x:v>
      </x:c>
      <x:c r="AA1492" s="40" t="n">
        <x:v>0.9991546914623838</x:v>
      </x:c>
      <x:c r="AB1492" s="31" t="n">
        <x:v>0.25467742540795807</x:v>
      </x:c>
      <x:c r="AC1492" s="31" t="n">
        <x:v>8</x:v>
      </x:c>
      <x:c r="AD1492" s="44" t="b">
        <x:v>1</x:v>
      </x:c>
    </x:row>
    <x:row r="1493">
      <x:c r="A1493" s="31" t="str">
        <x:v>36081001600</x:v>
      </x:c>
      <x:c r="B1493" s="31" t="str">
        <x:v>Queens</x:v>
      </x:c>
      <x:c r="C1493" s="31" t="str">
        <x:v>001600</x:v>
      </x:c>
      <x:c r="D1493" s="31" t="str">
        <x:v>QN0905</x:v>
      </x:c>
      <x:c r="E1493" s="31" t="str">
        <x:v>Woodhaven</x:v>
      </x:c>
      <x:c r="F1493" s="31" t="n">
        <x:v>0.05823981502632863</x:v>
      </x:c>
      <x:c r="G1493" s="31" t="n">
        <x:v>40.68970418954681</x:v>
      </x:c>
      <x:c r="H1493" s="31" t="n">
        <x:v>-73.8548287625364</x:v>
      </x:c>
      <x:c r="I1493" s="31" t="n">
        <x:v>3041</x:v>
      </x:c>
      <x:c r="J1493" s="31" t="n">
        <x:v>52215.13836582838</x:v>
      </x:c>
      <x:c r="K1493" s="31"/>
      <x:c r="L1493" s="40"/>
      <x:c r="M1493" s="40"/>
      <x:c r="N1493" s="31" t="n">
        <x:v>509</x:v>
      </x:c>
      <x:c r="O1493" s="31" t="n">
        <x:v>784</x:v>
      </x:c>
      <x:c r="P1493" s="31" t="n">
        <x:v>2.329081632653061</x:v>
      </x:c>
      <x:c r="Q1493" s="40" t="n">
        <x:v>0</x:v>
      </x:c>
      <x:c r="R1493" s="40" t="n">
        <x:v>0.12627551020408162</x:v>
      </x:c>
      <x:c r="S1493" s="40" t="n">
        <x:v>0</x:v>
      </x:c>
      <x:c r="T1493" s="31" t="n">
        <x:v>28.714266345459187</x:v>
      </x:c>
      <x:c r="U1493" s="31" t="n">
        <x:v>44.80565052</x:v>
      </x:c>
      <x:c r="V1493" s="31" t="n">
        <x:v>0</x:v>
      </x:c>
      <x:c r="W1493" s="31" t="n">
        <x:v>0</x:v>
      </x:c>
      <x:c r="X1493" s="31" t="n">
        <x:v>2</x:v>
      </x:c>
      <x:c r="Y1493" s="40" t="n">
        <x:v>0</x:v>
      </x:c>
      <x:c r="Z1493" s="40" t="n">
        <x:v>1</x:v>
      </x:c>
      <x:c r="AA1493" s="40" t="n">
        <x:v>1</x:v>
      </x:c>
      <x:c r="AB1493" s="31" t="n">
        <x:v>0.15995544216608243</x:v>
      </x:c>
      <x:c r="AC1493" s="31" t="n">
        <x:v>5</x:v>
      </x:c>
      <x:c r="AD1493" s="44" t="b">
        <x:v>1</x:v>
      </x:c>
    </x:row>
    <x:row r="1494">
      <x:c r="A1494" s="31" t="str">
        <x:v>36081001800</x:v>
      </x:c>
      <x:c r="B1494" s="31" t="str">
        <x:v>Queens</x:v>
      </x:c>
      <x:c r="C1494" s="31" t="str">
        <x:v>001800</x:v>
      </x:c>
      <x:c r="D1494" s="31" t="str">
        <x:v>QN0905</x:v>
      </x:c>
      <x:c r="E1494" s="31" t="str">
        <x:v>Woodhaven</x:v>
      </x:c>
      <x:c r="F1494" s="31" t="n">
        <x:v>0.06866877001119147</x:v>
      </x:c>
      <x:c r="G1494" s="31" t="n">
        <x:v>40.690273679314</x:v>
      </x:c>
      <x:c r="H1494" s="31" t="n">
        <x:v>-73.85201093253876</x:v>
      </x:c>
      <x:c r="I1494" s="31" t="n">
        <x:v>3044</x:v>
      </x:c>
      <x:c r="J1494" s="31" t="n">
        <x:v>44328.73924352943</x:v>
      </x:c>
      <x:c r="K1494" s="31"/>
      <x:c r="L1494" s="40"/>
      <x:c r="M1494" s="40"/>
      <x:c r="N1494" s="31" t="n">
        <x:v>468</x:v>
      </x:c>
      <x:c r="O1494" s="31" t="n">
        <x:v>894</x:v>
      </x:c>
      <x:c r="P1494" s="31" t="n">
        <x:v>2.759228187919463</x:v>
      </x:c>
      <x:c r="Q1494" s="40" t="n">
        <x:v>0</x:v>
      </x:c>
      <x:c r="R1494" s="40" t="n">
        <x:v>0.28859060402684567</x:v>
      </x:c>
      <x:c r="S1494" s="40" t="n">
        <x:v>0.013422818791946308</x:v>
      </x:c>
      <x:c r="T1494" s="31" t="n">
        <x:v>33.079373384832216</x:v>
      </x:c>
      <x:c r="U1494" s="31" t="n">
        <x:v>62.13726361</x:v>
      </x:c>
      <x:c r="V1494" s="31" t="n">
        <x:v>4</x:v>
      </x:c>
      <x:c r="W1494" s="31" t="n">
        <x:v>1.314060446780552</x:v>
      </x:c>
      <x:c r="X1494" s="31" t="n">
        <x:v>2</x:v>
      </x:c>
      <x:c r="Y1494" s="40" t="n">
        <x:v>0</x:v>
      </x:c>
      <x:c r="Z1494" s="40" t="n">
        <x:v>1</x:v>
      </x:c>
      <x:c r="AA1494" s="40" t="n">
        <x:v>1</x:v>
      </x:c>
      <x:c r="AB1494" s="31" t="n">
        <x:v>0.09302855637661078</x:v>
      </x:c>
      <x:c r="AC1494" s="31" t="n">
        <x:v>6</x:v>
      </x:c>
      <x:c r="AD1494" s="44" t="b">
        <x:v>1</x:v>
      </x:c>
    </x:row>
    <x:row r="1495">
      <x:c r="A1495" s="31" t="str">
        <x:v>36081001901</x:v>
      </x:c>
      <x:c r="B1495" s="31" t="str">
        <x:v>Queens</x:v>
      </x:c>
      <x:c r="C1495" s="31" t="str">
        <x:v>001901</x:v>
      </x:c>
      <x:c r="D1495" s="31" t="str">
        <x:v>QN0201</x:v>
      </x:c>
      <x:c r="E1495" s="31" t="str">
        <x:v>Long Island City-Hunters Point</x:v>
      </x:c>
      <x:c r="F1495" s="31" t="n">
        <x:v>0.0886181984357065</x:v>
      </x:c>
      <x:c r="G1495" s="31" t="n">
        <x:v>40.74469933044738</x:v>
      </x:c>
      <x:c r="H1495" s="31" t="n">
        <x:v>-73.94509836409007</x:v>
      </x:c>
      <x:c r="I1495" s="31" t="n">
        <x:v>1434</x:v>
      </x:c>
      <x:c r="J1495" s="31" t="n">
        <x:v>16181.777843750493</x:v>
      </x:c>
      <x:c r="K1495" s="31"/>
      <x:c r="L1495" s="40"/>
      <x:c r="M1495" s="40"/>
      <x:c r="N1495" s="31" t="n">
        <x:v>31</x:v>
      </x:c>
      <x:c r="O1495" s="31" t="n">
        <x:v>2924</x:v>
      </x:c>
      <x:c r="P1495" s="31" t="n">
        <x:v>29.937756497948016</x:v>
      </x:c>
      <x:c r="Q1495" s="40" t="n">
        <x:v>0.896032831737346</x:v>
      </x:c>
      <x:c r="R1495" s="40" t="n">
        <x:v>0.09883720930232558</x:v>
      </x:c>
      <x:c r="S1495" s="40" t="n">
        <x:v>0.0003419972640218878</x:v>
      </x:c>
      <x:c r="T1495" s="31" t="n">
        <x:v>302.5477218655821</x:v>
      </x:c>
      <x:c r="U1495" s="31" t="n">
        <x:v>498</x:v>
      </x:c>
      <x:c r="V1495" s="31" t="n">
        <x:v>44</x:v>
      </x:c>
      <x:c r="W1495" s="31" t="n">
        <x:v>30.683403068340308</x:v>
      </x:c>
      <x:c r="X1495" s="31" t="n">
        <x:v>4</x:v>
      </x:c>
      <x:c r="Y1495" s="40" t="n">
        <x:v>1</x:v>
      </x:c>
      <x:c r="Z1495" s="40" t="n">
        <x:v>1</x:v>
      </x:c>
      <x:c r="AA1495" s="40" t="n">
        <x:v>0.9018467852257182</x:v>
      </x:c>
      <x:c r="AB1495" s="31" t="n">
        <x:v>0.033522773919879616</x:v>
      </x:c>
      <x:c r="AC1495" s="31" t="n">
        <x:v>6</x:v>
      </x:c>
      <x:c r="AD1495" s="44" t="b">
        <x:v>1</x:v>
      </x:c>
    </x:row>
    <x:row r="1496">
      <x:c r="A1496" s="31" t="str">
        <x:v>36081001902</x:v>
      </x:c>
      <x:c r="B1496" s="31" t="str">
        <x:v>Queens</x:v>
      </x:c>
      <x:c r="C1496" s="31" t="str">
        <x:v>001902</x:v>
      </x:c>
      <x:c r="D1496" s="31" t="str">
        <x:v>QN0201</x:v>
      </x:c>
      <x:c r="E1496" s="31" t="str">
        <x:v>Long Island City-Hunters Point</x:v>
      </x:c>
      <x:c r="F1496" s="31" t="n">
        <x:v>0.0684798955409923</x:v>
      </x:c>
      <x:c r="G1496" s="31" t="n">
        <x:v>40.74814913894269</x:v>
      </x:c>
      <x:c r="H1496" s="31" t="n">
        <x:v>-73.94004806520807</x:v>
      </x:c>
      <x:c r="I1496" s="31" t="n">
        <x:v>8645</x:v>
      </x:c>
      <x:c r="J1496" s="31" t="n">
        <x:v>126241.43088572723</x:v>
      </x:c>
      <x:c r="K1496" s="31"/>
      <x:c r="L1496" s="40"/>
      <x:c r="M1496" s="40"/>
      <x:c r="N1496" s="31" t="n">
        <x:v>46</x:v>
      </x:c>
      <x:c r="O1496" s="31" t="n">
        <x:v>8352</x:v>
      </x:c>
      <x:c r="P1496" s="31" t="n">
        <x:v>41.89263537009439</x:v>
      </x:c>
      <x:c r="Q1496" s="40" t="n">
        <x:v>0.9389367816091954</x:v>
      </x:c>
      <x:c r="R1496" s="40" t="n">
        <x:v>0.02442528735632184</x:v>
      </x:c>
      <x:c r="S1496" s="40" t="n">
        <x:v>0</x:v>
      </x:c>
      <x:c r="T1496" s="31" t="n">
        <x:v>447.8315326775348</x:v>
      </x:c>
      <x:c r="U1496" s="31" t="n">
        <x:v>794</x:v>
      </x:c>
      <x:c r="V1496" s="31" t="n">
        <x:v>112</x:v>
      </x:c>
      <x:c r="W1496" s="31" t="n">
        <x:v>12.955465587044534</x:v>
      </x:c>
      <x:c r="X1496" s="31" t="n">
        <x:v>4</x:v>
      </x:c>
      <x:c r="Y1496" s="40" t="n">
        <x:v>1</x:v>
      </x:c>
      <x:c r="Z1496" s="40" t="n">
        <x:v>1</x:v>
      </x:c>
      <x:c r="AA1496" s="40" t="n">
        <x:v>0.9801245210727969</x:v>
      </x:c>
      <x:c r="AB1496" s="31" t="n">
        <x:v>0.19932313658837475</x:v>
      </x:c>
      <x:c r="AC1496" s="31" t="n">
        <x:v>4</x:v>
      </x:c>
      <x:c r="AD1496" s="44" t="b">
        <x:v>1</x:v>
      </x:c>
    </x:row>
    <x:row r="1497">
      <x:c r="A1497" s="31" t="str">
        <x:v>36081001903</x:v>
      </x:c>
      <x:c r="B1497" s="31" t="str">
        <x:v>Queens</x:v>
      </x:c>
      <x:c r="C1497" s="31" t="str">
        <x:v>001903</x:v>
      </x:c>
      <x:c r="D1497" s="31" t="str">
        <x:v>QN0201</x:v>
      </x:c>
      <x:c r="E1497" s="31" t="str">
        <x:v>Long Island City-Hunters Point</x:v>
      </x:c>
      <x:c r="F1497" s="31" t="n">
        <x:v>0.17972679762791266</x:v>
      </x:c>
      <x:c r="G1497" s="31" t="n">
        <x:v>40.750603091022064</x:v>
      </x:c>
      <x:c r="H1497" s="31" t="n">
        <x:v>-73.94682448285627</x:v>
      </x:c>
      <x:c r="I1497" s="31" t="n">
        <x:v>2214</x:v>
      </x:c>
      <x:c r="J1497" s="31" t="n">
        <x:v>12318.69720721131</x:v>
      </x:c>
      <x:c r="K1497" s="31"/>
      <x:c r="L1497" s="40"/>
      <x:c r="M1497" s="40"/>
      <x:c r="N1497" s="31" t="n">
        <x:v>30</x:v>
      </x:c>
      <x:c r="O1497" s="31" t="n">
        <x:v>3626</x:v>
      </x:c>
      <x:c r="P1497" s="31" t="n">
        <x:v>48.82984004412576</x:v>
      </x:c>
      <x:c r="Q1497" s="40" t="n">
        <x:v>0.9114726971869829</x:v>
      </x:c>
      <x:c r="R1497" s="40" t="n">
        <x:v>0.08135686707115279</x:v>
      </x:c>
      <x:c r="S1497" s="40" t="n">
        <x:v>0</x:v>
      </x:c>
      <x:c r="T1497" s="31" t="n">
        <x:v>576.0510588660869</x:v>
      </x:c>
      <x:c r="U1497" s="31" t="n">
        <x:v>760</x:v>
      </x:c>
      <x:c r="V1497" s="31" t="n">
        <x:v>64</x:v>
      </x:c>
      <x:c r="W1497" s="31" t="n">
        <x:v>28.906955736224027</x:v>
      </x:c>
      <x:c r="X1497" s="31" t="n">
        <x:v>4</x:v>
      </x:c>
      <x:c r="Y1497" s="40" t="n">
        <x:v>1</x:v>
      </x:c>
      <x:c r="Z1497" s="40" t="n">
        <x:v>1</x:v>
      </x:c>
      <x:c r="AA1497" s="40" t="n">
        <x:v>0.9387755102040817</x:v>
      </x:c>
      <x:c r="AB1497" s="31" t="n">
        <x:v>0.14488961251951735</x:v>
      </x:c>
      <x:c r="AC1497" s="31" t="n">
        <x:v>7</x:v>
      </x:c>
      <x:c r="AD1497" s="44" t="b">
        <x:v>1</x:v>
      </x:c>
    </x:row>
    <x:row r="1498">
      <x:c r="A1498" s="31" t="str">
        <x:v>36081002000</x:v>
      </x:c>
      <x:c r="B1498" s="31" t="str">
        <x:v>Queens</x:v>
      </x:c>
      <x:c r="C1498" s="31" t="str">
        <x:v>002000</x:v>
      </x:c>
      <x:c r="D1498" s="31" t="str">
        <x:v>QN0905</x:v>
      </x:c>
      <x:c r="E1498" s="31" t="str">
        <x:v>Woodhaven</x:v>
      </x:c>
      <x:c r="F1498" s="31" t="n">
        <x:v>0.05659595560828455</x:v>
      </x:c>
      <x:c r="G1498" s="31" t="n">
        <x:v>40.69135000235668</x:v>
      </x:c>
      <x:c r="H1498" s="31" t="n">
        <x:v>-73.84951572322652</x:v>
      </x:c>
      <x:c r="I1498" s="31" t="n">
        <x:v>1871</x:v>
      </x:c>
      <x:c r="J1498" s="31" t="n">
        <x:v>33058.89934873936</x:v>
      </x:c>
      <x:c r="K1498" s="31"/>
      <x:c r="L1498" s="40"/>
      <x:c r="M1498" s="40"/>
      <x:c r="N1498" s="31" t="n">
        <x:v>316</x:v>
      </x:c>
      <x:c r="O1498" s="31" t="n">
        <x:v>512</x:v>
      </x:c>
      <x:c r="P1498" s="31" t="n">
        <x:v>2.34033203125</x:v>
      </x:c>
      <x:c r="Q1498" s="40" t="n">
        <x:v>0</x:v>
      </x:c>
      <x:c r="R1498" s="40" t="n">
        <x:v>0.103515625</x:v>
      </x:c>
      <x:c r="S1498" s="40" t="n">
        <x:v>0</x:v>
      </x:c>
      <x:c r="T1498" s="31" t="n">
        <x:v>29.895385349179687</x:v>
      </x:c>
      <x:c r="U1498" s="31" t="n">
        <x:v>39.53408592</x:v>
      </x:c>
      <x:c r="V1498" s="31" t="n">
        <x:v>1</x:v>
      </x:c>
      <x:c r="W1498" s="31" t="n">
        <x:v>0.5344735435595938</x:v>
      </x:c>
      <x:c r="X1498" s="31" t="n">
        <x:v>2</x:v>
      </x:c>
      <x:c r="Y1498" s="40" t="n">
        <x:v>0</x:v>
      </x:c>
      <x:c r="Z1498" s="40" t="n">
        <x:v>1</x:v>
      </x:c>
      <x:c r="AA1498" s="40" t="n">
        <x:v>1</x:v>
      </x:c>
      <x:c r="AB1498" s="31" t="n">
        <x:v>0.050281789713588924</x:v>
      </x:c>
      <x:c r="AC1498" s="31" t="n">
        <x:v>5</x:v>
      </x:c>
      <x:c r="AD1498" s="44" t="b">
        <x:v>1</x:v>
      </x:c>
    </x:row>
    <x:row r="1499">
      <x:c r="A1499" s="31" t="str">
        <x:v>36081002200</x:v>
      </x:c>
      <x:c r="B1499" s="31" t="str">
        <x:v>Queens</x:v>
      </x:c>
      <x:c r="C1499" s="31" t="str">
        <x:v>002200</x:v>
      </x:c>
      <x:c r="D1499" s="31" t="str">
        <x:v>QN0905</x:v>
      </x:c>
      <x:c r="E1499" s="31" t="str">
        <x:v>Woodhaven</x:v>
      </x:c>
      <x:c r="F1499" s="31" t="n">
        <x:v>0.057190576464574726</x:v>
      </x:c>
      <x:c r="G1499" s="31" t="n">
        <x:v>40.69597981093168</x:v>
      </x:c>
      <x:c r="H1499" s="31" t="n">
        <x:v>-73.85058020880976</x:v>
      </x:c>
      <x:c r="I1499" s="31" t="n">
        <x:v>2290</x:v>
      </x:c>
      <x:c r="J1499" s="31" t="n">
        <x:v>40041.56176705936</x:v>
      </x:c>
      <x:c r="K1499" s="31"/>
      <x:c r="L1499" s="40"/>
      <x:c r="M1499" s="40"/>
      <x:c r="N1499" s="31" t="n">
        <x:v>292</x:v>
      </x:c>
      <x:c r="O1499" s="31" t="n">
        <x:v>725</x:v>
      </x:c>
      <x:c r="P1499" s="31" t="n">
        <x:v>2.961034482758621</x:v>
      </x:c>
      <x:c r="Q1499" s="40" t="n">
        <x:v>0</x:v>
      </x:c>
      <x:c r="R1499" s="40" t="n">
        <x:v>0.3627586206896552</x:v>
      </x:c>
      <x:c r="S1499" s="40" t="n">
        <x:v>0.005517241379310344</x:v>
      </x:c>
      <x:c r="T1499" s="31" t="n">
        <x:v>35.882128144917125</x:v>
      </x:c>
      <x:c r="U1499" s="31" t="n">
        <x:v>45.47</x:v>
      </x:c>
      <x:c r="V1499" s="31" t="n">
        <x:v>1</x:v>
      </x:c>
      <x:c r="W1499" s="31" t="n">
        <x:v>0.4366812227074236</x:v>
      </x:c>
      <x:c r="X1499" s="31" t="n">
        <x:v>2</x:v>
      </x:c>
      <x:c r="Y1499" s="40" t="n">
        <x:v>0</x:v>
      </x:c>
      <x:c r="Z1499" s="40" t="n">
        <x:v>1</x:v>
      </x:c>
      <x:c r="AA1499" s="40" t="n">
        <x:v>0.9986206896551724</x:v>
      </x:c>
      <x:c r="AB1499" s="31" t="n">
        <x:v>0.1653663553453951</x:v>
      </x:c>
      <x:c r="AC1499" s="31" t="n">
        <x:v>8</x:v>
      </x:c>
      <x:c r="AD1499" s="44" t="b">
        <x:v>1</x:v>
      </x:c>
    </x:row>
    <x:row r="1500">
      <x:c r="A1500" s="31" t="str">
        <x:v>36081002400</x:v>
      </x:c>
      <x:c r="B1500" s="31" t="str">
        <x:v>Queens</x:v>
      </x:c>
      <x:c r="C1500" s="31" t="str">
        <x:v>002400</x:v>
      </x:c>
      <x:c r="D1500" s="31" t="str">
        <x:v>QN0902</x:v>
      </x:c>
      <x:c r="E1500" s="31" t="str">
        <x:v>Richmond Hill</x:v>
      </x:c>
      <x:c r="F1500" s="31" t="n">
        <x:v>0.05449865628766357</x:v>
      </x:c>
      <x:c r="G1500" s="31" t="n">
        <x:v>40.69717776782631</x:v>
      </x:c>
      <x:c r="H1500" s="31" t="n">
        <x:v>-73.84656974518802</x:v>
      </x:c>
      <x:c r="I1500" s="31" t="n">
        <x:v>2195</x:v>
      </x:c>
      <x:c r="J1500" s="31" t="n">
        <x:v>40276.22237902524</x:v>
      </x:c>
      <x:c r="K1500" s="31"/>
      <x:c r="L1500" s="40"/>
      <x:c r="M1500" s="40"/>
      <x:c r="N1500" s="31" t="n">
        <x:v>311</x:v>
      </x:c>
      <x:c r="O1500" s="31" t="n">
        <x:v>656</x:v>
      </x:c>
      <x:c r="P1500" s="31" t="n">
        <x:v>2.1791158536585367</x:v>
      </x:c>
      <x:c r="Q1500" s="40" t="n">
        <x:v>0</x:v>
      </x:c>
      <x:c r="R1500" s="40" t="n">
        <x:v>0.16463414634146342</x:v>
      </x:c>
      <x:c r="S1500" s="40" t="n">
        <x:v>0.006097560975609756</x:v>
      </x:c>
      <x:c r="T1500" s="31" t="n">
        <x:v>31.11217203504573</x:v>
      </x:c>
      <x:c r="U1500" s="31" t="n">
        <x:v>45.76</x:v>
      </x:c>
      <x:c r="V1500" s="31" t="n">
        <x:v>2</x:v>
      </x:c>
      <x:c r="W1500" s="31" t="n">
        <x:v>0.9111617312072894</x:v>
      </x:c>
      <x:c r="X1500" s="31" t="n">
        <x:v>2.913109756097561</x:v>
      </x:c>
      <x:c r="Y1500" s="40" t="n">
        <x:v>0</x:v>
      </x:c>
      <x:c r="Z1500" s="40" t="n">
        <x:v>1</x:v>
      </x:c>
      <x:c r="AA1500" s="40" t="n">
        <x:v>1</x:v>
      </x:c>
      <x:c r="AB1500" s="31" t="n">
        <x:v>0.05947748254331687</x:v>
      </x:c>
      <x:c r="AC1500" s="31" t="n">
        <x:v>6</x:v>
      </x:c>
      <x:c r="AD1500" s="44" t="b">
        <x:v>1</x:v>
      </x:c>
    </x:row>
    <x:row r="1501">
      <x:c r="A1501" s="31" t="str">
        <x:v>36081002500</x:v>
      </x:c>
      <x:c r="B1501" s="31" t="str">
        <x:v>Queens</x:v>
      </x:c>
      <x:c r="C1501" s="31" t="str">
        <x:v>002500</x:v>
      </x:c>
      <x:c r="D1501" s="31" t="str">
        <x:v>QN0105</x:v>
      </x:c>
      <x:c r="E1501" s="31" t="str">
        <x:v>Queensbridge-Ravenswood-Dutch Kills</x:v>
      </x:c>
      <x:c r="F1501" s="31" t="n">
        <x:v>0.08157358165963613</x:v>
      </x:c>
      <x:c r="G1501" s="31" t="n">
        <x:v>40.754963996192735</x:v>
      </x:c>
      <x:c r="H1501" s="31" t="n">
        <x:v>-73.94517570457185</x:v>
      </x:c>
      <x:c r="I1501" s="31" t="n">
        <x:v>7242</x:v>
      </x:c>
      <x:c r="J1501" s="31" t="n">
        <x:v>88778.74248818785</x:v>
      </x:c>
      <x:c r="K1501" s="31"/>
      <x:c r="L1501" s="40"/>
      <x:c r="M1501" s="40"/>
      <x:c r="N1501" s="31" t="n">
        <x:v>5</x:v>
      </x:c>
      <x:c r="O1501" s="31" t="n">
        <x:v>3149</x:v>
      </x:c>
      <x:c r="P1501" s="31" t="n">
        <x:v>6</x:v>
      </x:c>
      <x:c r="Q1501" s="40" t="n">
        <x:v>0</x:v>
      </x:c>
      <x:c r="R1501" s="40" t="n">
        <x:v>1</x:v>
      </x:c>
      <x:c r="S1501" s="40" t="n">
        <x:v>1</x:v>
      </x:c>
      <x:c r="T1501" s="31" t="n">
        <x:v>61.44776119402985</x:v>
      </x:c>
      <x:c r="U1501" s="31" t="n">
        <x:v>68</x:v>
      </x:c>
      <x:c r="V1501" s="31" t="n">
        <x:v>98</x:v>
      </x:c>
      <x:c r="W1501" s="31" t="n">
        <x:v>13.532173432753384</x:v>
      </x:c>
      <x:c r="X1501" s="31" t="n">
        <x:v>4</x:v>
      </x:c>
      <x:c r="Y1501" s="40" t="n">
        <x:v>1</x:v>
      </x:c>
      <x:c r="Z1501" s="40" t="n">
        <x:v>1</x:v>
      </x:c>
      <x:c r="AA1501" s="40" t="n">
        <x:v>1</x:v>
      </x:c>
      <x:c r="AB1501" s="31" t="n">
        <x:v>0.03206823752609793</x:v>
      </x:c>
      <x:c r="AC1501" s="31" t="n">
        <x:v>6</x:v>
      </x:c>
      <x:c r="AD1501" s="44" t="b">
        <x:v>1</x:v>
      </x:c>
    </x:row>
    <x:row r="1502">
      <x:c r="A1502" s="31" t="str">
        <x:v>36081002600</x:v>
      </x:c>
      <x:c r="B1502" s="31" t="str">
        <x:v>Queens</x:v>
      </x:c>
      <x:c r="C1502" s="31" t="str">
        <x:v>002600</x:v>
      </x:c>
      <x:c r="D1502" s="31" t="str">
        <x:v>QN0902</x:v>
      </x:c>
      <x:c r="E1502" s="31" t="str">
        <x:v>Richmond Hill</x:v>
      </x:c>
      <x:c r="F1502" s="31" t="n">
        <x:v>0.05715210540203168</x:v>
      </x:c>
      <x:c r="G1502" s="31" t="n">
        <x:v>40.697260313913155</x:v>
      </x:c>
      <x:c r="H1502" s="31" t="n">
        <x:v>-73.84309179736181</x:v>
      </x:c>
      <x:c r="I1502" s="31" t="n">
        <x:v>2150</x:v>
      </x:c>
      <x:c r="J1502" s="31" t="n">
        <x:v>37618.911584726506</x:v>
      </x:c>
      <x:c r="K1502" s="31"/>
      <x:c r="L1502" s="40"/>
      <x:c r="M1502" s="40"/>
      <x:c r="N1502" s="31" t="n">
        <x:v>345</x:v>
      </x:c>
      <x:c r="O1502" s="31" t="n">
        <x:v>622</x:v>
      </x:c>
      <x:c r="P1502" s="31" t="n">
        <x:v>3.0164790996784565</x:v>
      </x:c>
      <x:c r="Q1502" s="40" t="n">
        <x:v>0</x:v>
      </x:c>
      <x:c r="R1502" s="40" t="n">
        <x:v>0.2845659163987138</x:v>
      </x:c>
      <x:c r="S1502" s="40" t="n">
        <x:v>0.003215434083601286</x:v>
      </x:c>
      <x:c r="T1502" s="31" t="n">
        <x:v>36.248247147909964</x:v>
      </x:c>
      <x:c r="U1502" s="31" t="n">
        <x:v>63.69</x:v>
      </x:c>
      <x:c r="V1502" s="31" t="n">
        <x:v>1</x:v>
      </x:c>
      <x:c r="W1502" s="31" t="n">
        <x:v>0.4651162790697675</x:v>
      </x:c>
      <x:c r="X1502" s="31" t="n">
        <x:v>3</x:v>
      </x:c>
      <x:c r="Y1502" s="40" t="n">
        <x:v>0</x:v>
      </x:c>
      <x:c r="Z1502" s="40" t="n">
        <x:v>1</x:v>
      </x:c>
      <x:c r="AA1502" s="40" t="n">
        <x:v>1</x:v>
      </x:c>
      <x:c r="AB1502" s="31" t="n">
        <x:v>0.16494558370620777</x:v>
      </x:c>
      <x:c r="AC1502" s="31" t="n">
        <x:v>5</x:v>
      </x:c>
      <x:c r="AD1502" s="44" t="b">
        <x:v>1</x:v>
      </x:c>
    </x:row>
    <x:row r="1503">
      <x:c r="A1503" s="31" t="str">
        <x:v>36081002800</x:v>
      </x:c>
      <x:c r="B1503" s="31" t="str">
        <x:v>Queens</x:v>
      </x:c>
      <x:c r="C1503" s="31" t="str">
        <x:v>002800</x:v>
      </x:c>
      <x:c r="D1503" s="31" t="str">
        <x:v>QN0902</x:v>
      </x:c>
      <x:c r="E1503" s="31" t="str">
        <x:v>Richmond Hill</x:v>
      </x:c>
      <x:c r="F1503" s="31" t="n">
        <x:v>0.08689545150187959</x:v>
      </x:c>
      <x:c r="G1503" s="31" t="n">
        <x:v>40.692386165286266</x:v>
      </x:c>
      <x:c r="H1503" s="31" t="n">
        <x:v>-73.84436856212028</x:v>
      </x:c>
      <x:c r="I1503" s="31" t="n">
        <x:v>3304</x:v>
      </x:c>
      <x:c r="J1503" s="31" t="n">
        <x:v>38022.70363861948</x:v>
      </x:c>
      <x:c r="K1503" s="31"/>
      <x:c r="L1503" s="40"/>
      <x:c r="M1503" s="40"/>
      <x:c r="N1503" s="31" t="n">
        <x:v>424</x:v>
      </x:c>
      <x:c r="O1503" s="31" t="n">
        <x:v>968</x:v>
      </x:c>
      <x:c r="P1503" s="31" t="n">
        <x:v>2.471590909090909</x:v>
      </x:c>
      <x:c r="Q1503" s="40" t="n">
        <x:v>0</x:v>
      </x:c>
      <x:c r="R1503" s="40" t="n">
        <x:v>0.1787190082644628</x:v>
      </x:c>
      <x:c r="S1503" s="40" t="n">
        <x:v>0.012396694214876033</x:v>
      </x:c>
      <x:c r="T1503" s="31" t="n">
        <x:v>30.290650672256728</x:v>
      </x:c>
      <x:c r="U1503" s="31" t="n">
        <x:v>45.71883969</x:v>
      </x:c>
      <x:c r="V1503" s="31" t="n">
        <x:v>0</x:v>
      </x:c>
      <x:c r="W1503" s="31" t="n">
        <x:v>0</x:v>
      </x:c>
      <x:c r="X1503" s="31" t="n">
        <x:v>2.87396694214876</x:v>
      </x:c>
      <x:c r="Y1503" s="40" t="n">
        <x:v>0</x:v>
      </x:c>
      <x:c r="Z1503" s="40" t="n">
        <x:v>1</x:v>
      </x:c>
      <x:c r="AA1503" s="40" t="n">
        <x:v>0.9979338842975206</x:v>
      </x:c>
      <x:c r="AB1503" s="31" t="n">
        <x:v>0.08538548288456611</x:v>
      </x:c>
      <x:c r="AC1503" s="31" t="n">
        <x:v>8</x:v>
      </x:c>
      <x:c r="AD1503" s="44" t="b">
        <x:v>1</x:v>
      </x:c>
    </x:row>
    <x:row r="1504">
      <x:c r="A1504" s="31" t="str">
        <x:v>36081003000</x:v>
      </x:c>
      <x:c r="B1504" s="31" t="str">
        <x:v>Queens</x:v>
      </x:c>
      <x:c r="C1504" s="31" t="str">
        <x:v>003000</x:v>
      </x:c>
      <x:c r="D1504" s="31" t="str">
        <x:v>QN0905</x:v>
      </x:c>
      <x:c r="E1504" s="31" t="str">
        <x:v>Woodhaven</x:v>
      </x:c>
      <x:c r="F1504" s="31" t="n">
        <x:v>0.04379565237352215</x:v>
      </x:c>
      <x:c r="G1504" s="31" t="n">
        <x:v>40.691627644965024</x:v>
      </x:c>
      <x:c r="H1504" s="31" t="n">
        <x:v>-73.8472602175426</x:v>
      </x:c>
      <x:c r="I1504" s="31" t="n">
        <x:v>1479</x:v>
      </x:c>
      <x:c r="J1504" s="31" t="n">
        <x:v>33770.475374723945</x:v>
      </x:c>
      <x:c r="K1504" s="31"/>
      <x:c r="L1504" s="40"/>
      <x:c r="M1504" s="40"/>
      <x:c r="N1504" s="31" t="n">
        <x:v>253</x:v>
      </x:c>
      <x:c r="O1504" s="31" t="n">
        <x:v>434</x:v>
      </x:c>
      <x:c r="P1504" s="31" t="n">
        <x:v>2.620967741935484</x:v>
      </x:c>
      <x:c r="Q1504" s="40" t="n">
        <x:v>0</x:v>
      </x:c>
      <x:c r="R1504" s="40" t="n">
        <x:v>0.20276497695852536</x:v>
      </x:c>
      <x:c r="S1504" s="40" t="n">
        <x:v>0.002304147465437788</x:v>
      </x:c>
      <x:c r="T1504" s="31" t="n">
        <x:v>34.43299095064516</x:v>
      </x:c>
      <x:c r="U1504" s="31" t="n">
        <x:v>54.89601841</x:v>
      </x:c>
      <x:c r="V1504" s="31" t="n">
        <x:v>0</x:v>
      </x:c>
      <x:c r="W1504" s="31" t="n">
        <x:v>0</x:v>
      </x:c>
      <x:c r="X1504" s="31" t="n">
        <x:v>2</x:v>
      </x:c>
      <x:c r="Y1504" s="40" t="n">
        <x:v>0</x:v>
      </x:c>
      <x:c r="Z1504" s="40" t="n">
        <x:v>1</x:v>
      </x:c>
      <x:c r="AA1504" s="40" t="n">
        <x:v>1</x:v>
      </x:c>
      <x:c r="AB1504" s="31" t="n">
        <x:v>0.07191532425847416</x:v>
      </x:c>
      <x:c r="AC1504" s="31" t="n">
        <x:v>5</x:v>
      </x:c>
      <x:c r="AD1504" s="44" t="b">
        <x:v>1</x:v>
      </x:c>
    </x:row>
    <x:row r="1505">
      <x:c r="A1505" s="31" t="str">
        <x:v>36081003100</x:v>
      </x:c>
      <x:c r="B1505" s="31" t="str">
        <x:v>Queens</x:v>
      </x:c>
      <x:c r="C1505" s="31" t="str">
        <x:v>003100</x:v>
      </x:c>
      <x:c r="D1505" s="31" t="str">
        <x:v>QN0105</x:v>
      </x:c>
      <x:c r="E1505" s="31" t="str">
        <x:v>Queensbridge-Ravenswood-Dutch Kills</x:v>
      </x:c>
      <x:c r="F1505" s="31" t="n">
        <x:v>0.06369681102968607</x:v>
      </x:c>
      <x:c r="G1505" s="31" t="n">
        <x:v>40.75317591913051</x:v>
      </x:c>
      <x:c r="H1505" s="31" t="n">
        <x:v>-73.93390405088384</x:v>
      </x:c>
      <x:c r="I1505" s="31" t="n">
        <x:v>2157</x:v>
      </x:c>
      <x:c r="J1505" s="31" t="n">
        <x:v>33863.547721325085</x:v>
      </x:c>
      <x:c r="K1505" s="31"/>
      <x:c r="L1505" s="40"/>
      <x:c r="M1505" s="40"/>
      <x:c r="N1505" s="31" t="n">
        <x:v>150</x:v>
      </x:c>
      <x:c r="O1505" s="31" t="n">
        <x:v>1753</x:v>
      </x:c>
      <x:c r="P1505" s="31" t="n">
        <x:v>7.740444951511694</x:v>
      </x:c>
      <x:c r="Q1505" s="40" t="n">
        <x:v>0.5499144324015972</x:v>
      </x:c>
      <x:c r="R1505" s="40" t="n">
        <x:v>0.3462635482030804</x:v>
      </x:c>
      <x:c r="S1505" s="40" t="n">
        <x:v>0.005704506560182544</x:v>
      </x:c>
      <x:c r="T1505" s="31" t="n">
        <x:v>71.66912936025503</x:v>
      </x:c>
      <x:c r="U1505" s="31" t="n">
        <x:v>124</x:v>
      </x:c>
      <x:c r="V1505" s="31" t="n">
        <x:v>32</x:v>
      </x:c>
      <x:c r="W1505" s="31" t="n">
        <x:v>14.83541956420955</x:v>
      </x:c>
      <x:c r="X1505" s="31" t="n">
        <x:v>4</x:v>
      </x:c>
      <x:c r="Y1505" s="40" t="n">
        <x:v>1</x:v>
      </x:c>
      <x:c r="Z1505" s="40" t="n">
        <x:v>1</x:v>
      </x:c>
      <x:c r="AA1505" s="40" t="n">
        <x:v>0.849971477467199</x:v>
      </x:c>
      <x:c r="AB1505" s="31" t="n">
        <x:v>0.04602476870179928</x:v>
      </x:c>
      <x:c r="AC1505" s="31" t="n">
        <x:v>5</x:v>
      </x:c>
      <x:c r="AD1505" s="44" t="b">
        <x:v>1</x:v>
      </x:c>
    </x:row>
    <x:row r="1506">
      <x:c r="A1506" s="31" t="str">
        <x:v>36081003200</x:v>
      </x:c>
      <x:c r="B1506" s="31" t="str">
        <x:v>Queens</x:v>
      </x:c>
      <x:c r="C1506" s="31" t="str">
        <x:v>003200</x:v>
      </x:c>
      <x:c r="D1506" s="31" t="str">
        <x:v>QN0904</x:v>
      </x:c>
      <x:c r="E1506" s="31" t="str">
        <x:v>Ozone Park (North)</x:v>
      </x:c>
      <x:c r="F1506" s="31" t="n">
        <x:v>0.062126569266170224</x:v>
      </x:c>
      <x:c r="G1506" s="31" t="n">
        <x:v>40.6873089089349</x:v>
      </x:c>
      <x:c r="H1506" s="31" t="n">
        <x:v>-73.84675898862162</x:v>
      </x:c>
      <x:c r="I1506" s="31" t="n">
        <x:v>1791</x:v>
      </x:c>
      <x:c r="J1506" s="31" t="n">
        <x:v>28828.245646830735</x:v>
      </x:c>
      <x:c r="K1506" s="31"/>
      <x:c r="L1506" s="40"/>
      <x:c r="M1506" s="40"/>
      <x:c r="N1506" s="31" t="n">
        <x:v>269</x:v>
      </x:c>
      <x:c r="O1506" s="31" t="n">
        <x:v>476</x:v>
      </x:c>
      <x:c r="P1506" s="31" t="n">
        <x:v>2.2326680672268906</x:v>
      </x:c>
      <x:c r="Q1506" s="40" t="n">
        <x:v>0</x:v>
      </x:c>
      <x:c r="R1506" s="40" t="n">
        <x:v>0.17857142857142858</x:v>
      </x:c>
      <x:c r="S1506" s="40" t="n">
        <x:v>0.018907563025210083</x:v>
      </x:c>
      <x:c r="T1506" s="31" t="n">
        <x:v>27.636593255602538</x:v>
      </x:c>
      <x:c r="U1506" s="31" t="n">
        <x:v>50.72</x:v>
      </x:c>
      <x:c r="V1506" s="31" t="n">
        <x:v>0</x:v>
      </x:c>
      <x:c r="W1506" s="31" t="n">
        <x:v>0</x:v>
      </x:c>
      <x:c r="X1506" s="31" t="n">
        <x:v>4</x:v>
      </x:c>
      <x:c r="Y1506" s="40" t="n">
        <x:v>1</x:v>
      </x:c>
      <x:c r="Z1506" s="40" t="n">
        <x:v>1</x:v>
      </x:c>
      <x:c r="AA1506" s="40" t="n">
        <x:v>0.9936974789915967</x:v>
      </x:c>
      <x:c r="AB1506" s="31" t="n">
        <x:v>0.18786691283228676</x:v>
      </x:c>
      <x:c r="AC1506" s="31" t="n">
        <x:v>8</x:v>
      </x:c>
      <x:c r="AD1506" s="44" t="b">
        <x:v>1</x:v>
      </x:c>
    </x:row>
    <x:row r="1507">
      <x:c r="A1507" s="31" t="str">
        <x:v>36081003301</x:v>
      </x:c>
      <x:c r="B1507" s="31" t="str">
        <x:v>Queens</x:v>
      </x:c>
      <x:c r="C1507" s="31" t="str">
        <x:v>003301</x:v>
      </x:c>
      <x:c r="D1507" s="31" t="str">
        <x:v>QN0105</x:v>
      </x:c>
      <x:c r="E1507" s="31" t="str">
        <x:v>Queensbridge-Ravenswood-Dutch Kills</x:v>
      </x:c>
      <x:c r="F1507" s="31" t="n">
        <x:v>0.07413847771177685</x:v>
      </x:c>
      <x:c r="G1507" s="31" t="n">
        <x:v>40.751415356770636</x:v>
      </x:c>
      <x:c r="H1507" s="31" t="n">
        <x:v>-73.93893215802977</x:v>
      </x:c>
      <x:c r="I1507" s="31" t="n">
        <x:v>4399</x:v>
      </x:c>
      <x:c r="J1507" s="31" t="n">
        <x:v>59334.911314225996</x:v>
      </x:c>
      <x:c r="K1507" s="31"/>
      <x:c r="L1507" s="40"/>
      <x:c r="M1507" s="40"/>
      <x:c r="N1507" s="31" t="n">
        <x:v>53</x:v>
      </x:c>
      <x:c r="O1507" s="31" t="n">
        <x:v>4740</x:v>
      </x:c>
      <x:c r="P1507" s="31" t="n">
        <x:v>32.745991561181434</x:v>
      </x:c>
      <x:c r="Q1507" s="40" t="n">
        <x:v>0.9611814345991562</x:v>
      </x:c>
      <x:c r="R1507" s="40" t="n">
        <x:v>0.03481012658227848</x:v>
      </x:c>
      <x:c r="S1507" s="40" t="n">
        <x:v>0</x:v>
      </x:c>
      <x:c r="T1507" s="31" t="n">
        <x:v>339.7375769573825</x:v>
      </x:c>
      <x:c r="U1507" s="31" t="n">
        <x:v>728</x:v>
      </x:c>
      <x:c r="V1507" s="31" t="n">
        <x:v>77</x:v>
      </x:c>
      <x:c r="W1507" s="31" t="n">
        <x:v>17.50397817685838</x:v>
      </x:c>
      <x:c r="X1507" s="31" t="n">
        <x:v>4</x:v>
      </x:c>
      <x:c r="Y1507" s="40" t="n">
        <x:v>1</x:v>
      </x:c>
      <x:c r="Z1507" s="40" t="n">
        <x:v>1</x:v>
      </x:c>
      <x:c r="AA1507" s="40" t="n">
        <x:v>0.7495780590717299</x:v>
      </x:c>
      <x:c r="AB1507" s="31" t="n">
        <x:v>0.04427100265078747</x:v>
      </x:c>
      <x:c r="AC1507" s="31" t="n">
        <x:v>7</x:v>
      </x:c>
      <x:c r="AD1507" s="44" t="b">
        <x:v>1</x:v>
      </x:c>
    </x:row>
    <x:row r="1508">
      <x:c r="A1508" s="31" t="str">
        <x:v>36081003302</x:v>
      </x:c>
      <x:c r="B1508" s="31" t="str">
        <x:v>Queens</x:v>
      </x:c>
      <x:c r="C1508" s="31" t="str">
        <x:v>003302</x:v>
      </x:c>
      <x:c r="D1508" s="31" t="str">
        <x:v>QN0105</x:v>
      </x:c>
      <x:c r="E1508" s="31" t="str">
        <x:v>Queensbridge-Ravenswood-Dutch Kills</x:v>
      </x:c>
      <x:c r="F1508" s="31" t="n">
        <x:v>0.12651426464180154</x:v>
      </x:c>
      <x:c r="G1508" s="31" t="n">
        <x:v>40.755949900298035</x:v>
      </x:c>
      <x:c r="H1508" s="31" t="n">
        <x:v>-73.93756599357059</x:v>
      </x:c>
      <x:c r="I1508" s="31" t="n">
        <x:v>2166</x:v>
      </x:c>
      <x:c r="J1508" s="31" t="n">
        <x:v>17120.599057604864</x:v>
      </x:c>
      <x:c r="K1508" s="31"/>
      <x:c r="L1508" s="40"/>
      <x:c r="M1508" s="40"/>
      <x:c r="N1508" s="31" t="n">
        <x:v>136</x:v>
      </x:c>
      <x:c r="O1508" s="31" t="n">
        <x:v>712</x:v>
      </x:c>
      <x:c r="P1508" s="31" t="n">
        <x:v>4.023876404494382</x:v>
      </x:c>
      <x:c r="Q1508" s="40" t="n">
        <x:v>0</x:v>
      </x:c>
      <x:c r="R1508" s="40" t="n">
        <x:v>0.7008426966292135</x:v>
      </x:c>
      <x:c r="S1508" s="40" t="n">
        <x:v>0</x:v>
      </x:c>
      <x:c r="T1508" s="31" t="n">
        <x:v>39.006756231868756</x:v>
      </x:c>
      <x:c r="U1508" s="31" t="n">
        <x:v>72</x:v>
      </x:c>
      <x:c r="V1508" s="31" t="n">
        <x:v>6</x:v>
      </x:c>
      <x:c r="W1508" s="31" t="n">
        <x:v>2.770083102493075</x:v>
      </x:c>
      <x:c r="X1508" s="31" t="n">
        <x:v>3.7780898876404496</x:v>
      </x:c>
      <x:c r="Y1508" s="40" t="n">
        <x:v>0.7780898876404494</x:v>
      </x:c>
      <x:c r="Z1508" s="40" t="n">
        <x:v>1</x:v>
      </x:c>
      <x:c r="AA1508" s="40" t="n">
        <x:v>0.9845505617977528</x:v>
      </x:c>
      <x:c r="AB1508" s="31" t="n">
        <x:v>0.15816382589221126</x:v>
      </x:c>
      <x:c r="AC1508" s="31" t="n">
        <x:v>8</x:v>
      </x:c>
      <x:c r="AD1508" s="44" t="b">
        <x:v>1</x:v>
      </x:c>
    </x:row>
    <x:row r="1509">
      <x:c r="A1509" s="31" t="str">
        <x:v>36081003400</x:v>
      </x:c>
      <x:c r="B1509" s="31" t="str">
        <x:v>Queens</x:v>
      </x:c>
      <x:c r="C1509" s="31" t="str">
        <x:v>003400</x:v>
      </x:c>
      <x:c r="D1509" s="31" t="str">
        <x:v>QN0904</x:v>
      </x:c>
      <x:c r="E1509" s="31" t="str">
        <x:v>Ozone Park (North)</x:v>
      </x:c>
      <x:c r="F1509" s="31" t="n">
        <x:v>0.08261843043539084</x:v>
      </x:c>
      <x:c r="G1509" s="31" t="n">
        <x:v>40.68477324457927</x:v>
      </x:c>
      <x:c r="H1509" s="31" t="n">
        <x:v>-73.85818620775571</x:v>
      </x:c>
      <x:c r="I1509" s="31" t="n">
        <x:v>2442</x:v>
      </x:c>
      <x:c r="J1509" s="31" t="n">
        <x:v>29557.569505144373</x:v>
      </x:c>
      <x:c r="K1509" s="31"/>
      <x:c r="L1509" s="40"/>
      <x:c r="M1509" s="40"/>
      <x:c r="N1509" s="31" t="n">
        <x:v>382</x:v>
      </x:c>
      <x:c r="O1509" s="31" t="n">
        <x:v>645</x:v>
      </x:c>
      <x:c r="P1509" s="31" t="n">
        <x:v>2.127906976744186</x:v>
      </x:c>
      <x:c r="Q1509" s="40" t="n">
        <x:v>0</x:v>
      </x:c>
      <x:c r="R1509" s="40" t="n">
        <x:v>0.11627906976744186</x:v>
      </x:c>
      <x:c r="S1509" s="40" t="n">
        <x:v>0.007751937984496124</x:v>
      </x:c>
      <x:c r="T1509" s="31" t="n">
        <x:v>26.649396068139538</x:v>
      </x:c>
      <x:c r="U1509" s="31" t="n">
        <x:v>44.96</x:v>
      </x:c>
      <x:c r="V1509" s="31" t="n">
        <x:v>1</x:v>
      </x:c>
      <x:c r="W1509" s="31" t="n">
        <x:v>0.4095004095004095</x:v>
      </x:c>
      <x:c r="X1509" s="31" t="n">
        <x:v>4</x:v>
      </x:c>
      <x:c r="Y1509" s="40" t="n">
        <x:v>1</x:v>
      </x:c>
      <x:c r="Z1509" s="40" t="n">
        <x:v>1</x:v>
      </x:c>
      <x:c r="AA1509" s="40" t="n">
        <x:v>1</x:v>
      </x:c>
      <x:c r="AB1509" s="31" t="n">
        <x:v>0.19897503696407576</x:v>
      </x:c>
      <x:c r="AC1509" s="31" t="n">
        <x:v>8</x:v>
      </x:c>
      <x:c r="AD1509" s="44" t="b">
        <x:v>1</x:v>
      </x:c>
    </x:row>
    <x:row r="1510">
      <x:c r="A1510" s="31" t="str">
        <x:v>36081003600</x:v>
      </x:c>
      <x:c r="B1510" s="31" t="str">
        <x:v>Queens</x:v>
      </x:c>
      <x:c r="C1510" s="31" t="str">
        <x:v>003600</x:v>
      </x:c>
      <x:c r="D1510" s="31" t="str">
        <x:v>QN0904</x:v>
      </x:c>
      <x:c r="E1510" s="31" t="str">
        <x:v>Ozone Park (North)</x:v>
      </x:c>
      <x:c r="F1510" s="31" t="n">
        <x:v>0.06948981429457932</x:v>
      </x:c>
      <x:c r="G1510" s="31" t="n">
        <x:v>40.6837714732929</x:v>
      </x:c>
      <x:c r="H1510" s="31" t="n">
        <x:v>-73.85681724873768</x:v>
      </x:c>
      <x:c r="I1510" s="31" t="n">
        <x:v>4195</x:v>
      </x:c>
      <x:c r="J1510" s="31" t="n">
        <x:v>60368.55965993334</x:v>
      </x:c>
      <x:c r="K1510" s="31"/>
      <x:c r="L1510" s="40"/>
      <x:c r="M1510" s="40"/>
      <x:c r="N1510" s="31" t="n">
        <x:v>496</x:v>
      </x:c>
      <x:c r="O1510" s="31" t="n">
        <x:v>993</x:v>
      </x:c>
      <x:c r="P1510" s="31" t="n">
        <x:v>2.1490918264379415</x:v>
      </x:c>
      <x:c r="Q1510" s="40" t="n">
        <x:v>0</x:v>
      </x:c>
      <x:c r="R1510" s="40" t="n">
        <x:v>0.12890231621349446</x:v>
      </x:c>
      <x:c r="S1510" s="40" t="n">
        <x:v>0.01812688821752266</x:v>
      </x:c>
      <x:c r="T1510" s="31" t="n">
        <x:v>26.791663553023255</x:v>
      </x:c>
      <x:c r="U1510" s="31" t="n">
        <x:v>40.89074201</x:v>
      </x:c>
      <x:c r="V1510" s="31" t="n">
        <x:v>1</x:v>
      </x:c>
      <x:c r="W1510" s="31" t="n">
        <x:v>0.23837902264600716</x:v>
      </x:c>
      <x:c r="X1510" s="31" t="n">
        <x:v>4</x:v>
      </x:c>
      <x:c r="Y1510" s="40" t="n">
        <x:v>1</x:v>
      </x:c>
      <x:c r="Z1510" s="40" t="n">
        <x:v>1</x:v>
      </x:c>
      <x:c r="AA1510" s="40" t="n">
        <x:v>0.9959718026183283</x:v>
      </x:c>
      <x:c r="AB1510" s="31" t="n">
        <x:v>0.11944075713942738</x:v>
      </x:c>
      <x:c r="AC1510" s="31" t="n">
        <x:v>6</x:v>
      </x:c>
      <x:c r="AD1510" s="44" t="b">
        <x:v>1</x:v>
      </x:c>
    </x:row>
    <x:row r="1511">
      <x:c r="A1511" s="31" t="str">
        <x:v>36081003700</x:v>
      </x:c>
      <x:c r="B1511" s="31" t="str">
        <x:v>Queens</x:v>
      </x:c>
      <x:c r="C1511" s="31" t="str">
        <x:v>003700</x:v>
      </x:c>
      <x:c r="D1511" s="31" t="str">
        <x:v>QN0105</x:v>
      </x:c>
      <x:c r="E1511" s="31" t="str">
        <x:v>Queensbridge-Ravenswood-Dutch Kills</x:v>
      </x:c>
      <x:c r="F1511" s="31" t="n">
        <x:v>0.14873288048238062</x:v>
      </x:c>
      <x:c r="G1511" s="31" t="n">
        <x:v>40.76216228541068</x:v>
      </x:c>
      <x:c r="H1511" s="31" t="n">
        <x:v>-73.94360139780729</x:v>
      </x:c>
      <x:c r="I1511" s="31" t="n">
        <x:v>2</x:v>
      </x:c>
      <x:c r="J1511" s="31" t="n">
        <x:v>13.44692574710759</x:v>
      </x:c>
      <x:c r="K1511" s="31"/>
      <x:c r="L1511" s="40"/>
      <x:c r="M1511" s="40"/>
      <x:c r="N1511" s="31" t="n">
        <x:v>1</x:v>
      </x:c>
      <x:c r="O1511" s="31" t="n">
        <x:v>405</x:v>
      </x:c>
      <x:c r="P1511" s="31" t="n">
        <x:v>17</x:v>
      </x:c>
      <x:c r="Q1511" s="40" t="n">
        <x:v>1</x:v>
      </x:c>
      <x:c r="R1511" s="40" t="n">
        <x:v>0</x:v>
      </x:c>
      <x:c r="S1511" s="40" t="n">
        <x:v>0</x:v>
      </x:c>
      <x:c r="T1511" s="31" t="n">
        <x:v>175</x:v>
      </x:c>
      <x:c r="U1511" s="31" t="n">
        <x:v>175</x:v>
      </x:c>
      <x:c r="V1511" s="31" t="n">
        <x:v>0</x:v>
      </x:c>
      <x:c r="W1511" s="31" t="n">
        <x:v>0</x:v>
      </x:c>
      <x:c r="X1511" s="31" t="n">
        <x:v>3</x:v>
      </x:c>
      <x:c r="Y1511" s="40" t="n">
        <x:v>0</x:v>
      </x:c>
      <x:c r="Z1511" s="40" t="n">
        <x:v>1</x:v>
      </x:c>
      <x:c r="AA1511" s="40" t="n">
        <x:v>1</x:v>
      </x:c>
      <x:c r="AB1511" s="31" t="n">
        <x:v>0.14295360941947033</x:v>
      </x:c>
      <x:c r="AC1511" s="31" t="n">
        <x:v>8</x:v>
      </x:c>
      <x:c r="AD1511" s="44" t="b">
        <x:v>1</x:v>
      </x:c>
    </x:row>
    <x:row r="1512">
      <x:c r="A1512" s="31" t="str">
        <x:v>36081003800</x:v>
      </x:c>
      <x:c r="B1512" s="31" t="str">
        <x:v>Queens</x:v>
      </x:c>
      <x:c r="C1512" s="31" t="str">
        <x:v>003800</x:v>
      </x:c>
      <x:c r="D1512" s="31" t="str">
        <x:v>QN0904</x:v>
      </x:c>
      <x:c r="E1512" s="31" t="str">
        <x:v>Ozone Park (North)</x:v>
      </x:c>
      <x:c r="F1512" s="31" t="n">
        <x:v>0.06803488203878272</x:v>
      </x:c>
      <x:c r="G1512" s="31" t="n">
        <x:v>40.68479996812654</x:v>
      </x:c>
      <x:c r="H1512" s="31" t="n">
        <x:v>-73.84749367000391</x:v>
      </x:c>
      <x:c r="I1512" s="31" t="n">
        <x:v>2490</x:v>
      </x:c>
      <x:c r="J1512" s="31" t="n">
        <x:v>36598.872892593485</x:v>
      </x:c>
      <x:c r="K1512" s="31"/>
      <x:c r="L1512" s="40"/>
      <x:c r="M1512" s="40"/>
      <x:c r="N1512" s="31" t="n">
        <x:v>333</x:v>
      </x:c>
      <x:c r="O1512" s="31" t="n">
        <x:v>752</x:v>
      </x:c>
      <x:c r="P1512" s="31" t="n">
        <x:v>2.4022606382978724</x:v>
      </x:c>
      <x:c r="Q1512" s="40" t="n">
        <x:v>0</x:v>
      </x:c>
      <x:c r="R1512" s="40" t="n">
        <x:v>0.2845744680851064</x:v>
      </x:c>
      <x:c r="S1512" s="40" t="n">
        <x:v>0.009308510638297872</x:v>
      </x:c>
      <x:c r="T1512" s="31" t="n">
        <x:v>29.594126076200002</x:v>
      </x:c>
      <x:c r="U1512" s="31" t="n">
        <x:v>58.93167921</x:v>
      </x:c>
      <x:c r="V1512" s="31" t="n">
        <x:v>1</x:v>
      </x:c>
      <x:c r="W1512" s="31" t="n">
        <x:v>0.40160642570281124</x:v>
      </x:c>
      <x:c r="X1512" s="31" t="n">
        <x:v>4</x:v>
      </x:c>
      <x:c r="Y1512" s="40" t="n">
        <x:v>1</x:v>
      </x:c>
      <x:c r="Z1512" s="40" t="n">
        <x:v>1</x:v>
      </x:c>
      <x:c r="AA1512" s="40" t="n">
        <x:v>0.9973404255319149</x:v>
      </x:c>
      <x:c r="AB1512" s="31" t="n">
        <x:v>0.011389343931282731</x:v>
      </x:c>
      <x:c r="AC1512" s="31" t="n">
        <x:v>8</x:v>
      </x:c>
      <x:c r="AD1512" s="44" t="b">
        <x:v>1</x:v>
      </x:c>
    </x:row>
    <x:row r="1513">
      <x:c r="A1513" s="31" t="str">
        <x:v>36081003900</x:v>
      </x:c>
      <x:c r="B1513" s="31" t="str">
        <x:v>Queens</x:v>
      </x:c>
      <x:c r="C1513" s="31" t="str">
        <x:v>003900</x:v>
      </x:c>
      <x:c r="D1513" s="31" t="str">
        <x:v>QN0105</x:v>
      </x:c>
      <x:c r="E1513" s="31" t="str">
        <x:v>Queensbridge-Ravenswood-Dutch Kills</x:v>
      </x:c>
      <x:c r="F1513" s="31" t="n">
        <x:v>0.05669863890682392</x:v>
      </x:c>
      <x:c r="G1513" s="31" t="n">
        <x:v>40.76280227565534</x:v>
      </x:c>
      <x:c r="H1513" s="31" t="n">
        <x:v>-73.9409305044631</x:v>
      </x:c>
      <x:c r="I1513" s="31" t="n">
        <x:v>1462</x:v>
      </x:c>
      <x:c r="J1513" s="31" t="n">
        <x:v>25785.451435661224</x:v>
      </x:c>
      <x:c r="K1513" s="31"/>
      <x:c r="L1513" s="40"/>
      <x:c r="M1513" s="40"/>
      <x:c r="N1513" s="31" t="n">
        <x:v>129</x:v>
      </x:c>
      <x:c r="O1513" s="31" t="n">
        <x:v>460</x:v>
      </x:c>
      <x:c r="P1513" s="31" t="n">
        <x:v>2.958695652173913</x:v>
      </x:c>
      <x:c r="Q1513" s="40" t="n">
        <x:v>0</x:v>
      </x:c>
      <x:c r="R1513" s="40" t="n">
        <x:v>0.6956521739130435</x:v>
      </x:c>
      <x:c r="S1513" s="40" t="n">
        <x:v>0.0391304347826087</x:v>
      </x:c>
      <x:c r="T1513" s="31" t="n">
        <x:v>34.664152173913045</x:v>
      </x:c>
      <x:c r="U1513" s="31" t="n">
        <x:v>58.93</x:v>
      </x:c>
      <x:c r="V1513" s="31" t="n">
        <x:v>0</x:v>
      </x:c>
      <x:c r="W1513" s="31" t="n">
        <x:v>0</x:v>
      </x:c>
      <x:c r="X1513" s="31" t="n">
        <x:v>3.0282608695652176</x:v>
      </x:c>
      <x:c r="Y1513" s="40" t="n">
        <x:v>0.02826086956521739</x:v>
      </x:c>
      <x:c r="Z1513" s="40" t="n">
        <x:v>1</x:v>
      </x:c>
      <x:c r="AA1513" s="40" t="n">
        <x:v>1</x:v>
      </x:c>
      <x:c r="AB1513" s="31" t="n">
        <x:v>0.1510252786918186</x:v>
      </x:c>
      <x:c r="AC1513" s="31" t="n">
        <x:v>3</x:v>
      </x:c>
      <x:c r="AD1513" s="44" t="b">
        <x:v>1</x:v>
      </x:c>
    </x:row>
    <x:row r="1514">
      <x:c r="A1514" s="31" t="str">
        <x:v>36081004001</x:v>
      </x:c>
      <x:c r="B1514" s="31" t="str">
        <x:v>Queens</x:v>
      </x:c>
      <x:c r="C1514" s="31" t="str">
        <x:v>004001</x:v>
      </x:c>
      <x:c r="D1514" s="31" t="str">
        <x:v>QN0904</x:v>
      </x:c>
      <x:c r="E1514" s="31" t="str">
        <x:v>Ozone Park (North)</x:v>
      </x:c>
      <x:c r="F1514" s="31" t="n">
        <x:v>0.06729055063848714</x:v>
      </x:c>
      <x:c r="G1514" s="31" t="n">
        <x:v>40.683248062290694</x:v>
      </x:c>
      <x:c r="H1514" s="31" t="n">
        <x:v>-73.84587448370864</x:v>
      </x:c>
      <x:c r="I1514" s="31" t="n">
        <x:v>2403</x:v>
      </x:c>
      <x:c r="J1514" s="31" t="n">
        <x:v>35710.808979850925</x:v>
      </x:c>
      <x:c r="K1514" s="31"/>
      <x:c r="L1514" s="40"/>
      <x:c r="M1514" s="40"/>
      <x:c r="N1514" s="31" t="n">
        <x:v>314</x:v>
      </x:c>
      <x:c r="O1514" s="31" t="n">
        <x:v>729</x:v>
      </x:c>
      <x:c r="P1514" s="31" t="n">
        <x:v>2.4442916093535074</x:v>
      </x:c>
      <x:c r="Q1514" s="40" t="n">
        <x:v>0</x:v>
      </x:c>
      <x:c r="R1514" s="40" t="n">
        <x:v>0.2908093278463649</x:v>
      </x:c>
      <x:c r="S1514" s="40" t="n">
        <x:v>0.024691358024691357</x:v>
      </x:c>
      <x:c r="T1514" s="31" t="n">
        <x:v>30.25563638609722</x:v>
      </x:c>
      <x:c r="U1514" s="31" t="n">
        <x:v>47.65</x:v>
      </x:c>
      <x:c r="V1514" s="31" t="n">
        <x:v>2</x:v>
      </x:c>
      <x:c r="W1514" s="31" t="n">
        <x:v>0.8322929671244278</x:v>
      </x:c>
      <x:c r="X1514" s="31" t="n">
        <x:v>3.888888888888889</x:v>
      </x:c>
      <x:c r="Y1514" s="40" t="n">
        <x:v>0.8888888888888888</x:v>
      </x:c>
      <x:c r="Z1514" s="40" t="n">
        <x:v>1</x:v>
      </x:c>
      <x:c r="AA1514" s="40" t="n">
        <x:v>0.9876543209876543</x:v>
      </x:c>
      <x:c r="AB1514" s="31" t="n">
        <x:v>0.13416962549941217</x:v>
      </x:c>
      <x:c r="AC1514" s="31" t="n">
        <x:v>7</x:v>
      </x:c>
      <x:c r="AD1514" s="44" t="b">
        <x:v>1</x:v>
      </x:c>
    </x:row>
    <x:row r="1515">
      <x:c r="A1515" s="31" t="str">
        <x:v>36081004002</x:v>
      </x:c>
      <x:c r="B1515" s="31" t="str">
        <x:v>Queens</x:v>
      </x:c>
      <x:c r="C1515" s="31" t="str">
        <x:v>004002</x:v>
      </x:c>
      <x:c r="D1515" s="31" t="str">
        <x:v>QN1002</x:v>
      </x:c>
      <x:c r="E1515" s="31" t="str">
        <x:v>Ozone Park</x:v>
      </x:c>
      <x:c r="F1515" s="31" t="n">
        <x:v>0.050108769925103304</x:v>
      </x:c>
      <x:c r="G1515" s="31" t="n">
        <x:v>40.68154278566465</x:v>
      </x:c>
      <x:c r="H1515" s="31" t="n">
        <x:v>-73.84297350895145</x:v>
      </x:c>
      <x:c r="I1515" s="31" t="n">
        <x:v>1361</x:v>
      </x:c>
      <x:c r="J1515" s="31" t="n">
        <x:v>27160.914187960763</x:v>
      </x:c>
      <x:c r="K1515" s="31"/>
      <x:c r="L1515" s="40"/>
      <x:c r="M1515" s="40"/>
      <x:c r="N1515" s="31" t="n">
        <x:v>161</x:v>
      </x:c>
      <x:c r="O1515" s="31" t="n">
        <x:v>395</x:v>
      </x:c>
      <x:c r="P1515" s="31" t="n">
        <x:v>2.7296437659033077</x:v>
      </x:c>
      <x:c r="Q1515" s="40" t="n">
        <x:v>0</x:v>
      </x:c>
      <x:c r="R1515" s="40" t="n">
        <x:v>0.4506329113924051</x:v>
      </x:c>
      <x:c r="S1515" s="40" t="n">
        <x:v>0</x:v>
      </x:c>
      <x:c r="T1515" s="31" t="n">
        <x:v>31.23395408163265</x:v>
      </x:c>
      <x:c r="U1515" s="31" t="n">
        <x:v>42.85</x:v>
      </x:c>
      <x:c r="V1515" s="31" t="n">
        <x:v>0</x:v>
      </x:c>
      <x:c r="W1515" s="31" t="n">
        <x:v>0</x:v>
      </x:c>
      <x:c r="X1515" s="31" t="n">
        <x:v>3</x:v>
      </x:c>
      <x:c r="Y1515" s="40" t="n">
        <x:v>0</x:v>
      </x:c>
      <x:c r="Z1515" s="40" t="n">
        <x:v>1</x:v>
      </x:c>
      <x:c r="AA1515" s="40" t="n">
        <x:v>0.9924050632911392</x:v>
      </x:c>
      <x:c r="AB1515" s="31" t="n">
        <x:v>0.10805902101168748</x:v>
      </x:c>
      <x:c r="AC1515" s="31" t="n">
        <x:v>6</x:v>
      </x:c>
      <x:c r="AD1515" s="44" t="b">
        <x:v>1</x:v>
      </x:c>
    </x:row>
    <x:row r="1516">
      <x:c r="A1516" s="31" t="str">
        <x:v>36081004200</x:v>
      </x:c>
      <x:c r="B1516" s="31" t="str">
        <x:v>Queens</x:v>
      </x:c>
      <x:c r="C1516" s="31" t="str">
        <x:v>004200</x:v>
      </x:c>
      <x:c r="D1516" s="31" t="str">
        <x:v>QN0904</x:v>
      </x:c>
      <x:c r="E1516" s="31" t="str">
        <x:v>Ozone Park (North)</x:v>
      </x:c>
      <x:c r="F1516" s="31" t="n">
        <x:v>0.07733814635057966</x:v>
      </x:c>
      <x:c r="G1516" s="31" t="n">
        <x:v>40.68181454802856</x:v>
      </x:c>
      <x:c r="H1516" s="31" t="n">
        <x:v>-73.85796411745211</x:v>
      </x:c>
      <x:c r="I1516" s="31" t="n">
        <x:v>4505</x:v>
      </x:c>
      <x:c r="J1516" s="31" t="n">
        <x:v>58250.68497993855</x:v>
      </x:c>
      <x:c r="K1516" s="31"/>
      <x:c r="L1516" s="40"/>
      <x:c r="M1516" s="40"/>
      <x:c r="N1516" s="31" t="n">
        <x:v>536</x:v>
      </x:c>
      <x:c r="O1516" s="31" t="n">
        <x:v>1138</x:v>
      </x:c>
      <x:c r="P1516" s="31" t="n">
        <x:v>2.24707381370826</x:v>
      </x:c>
      <x:c r="Q1516" s="40" t="n">
        <x:v>0</x:v>
      </x:c>
      <x:c r="R1516" s="40" t="n">
        <x:v>0.17398945518453426</x:v>
      </x:c>
      <x:c r="S1516" s="40" t="n">
        <x:v>0.007029876977152899</x:v>
      </x:c>
      <x:c r="T1516" s="31" t="n">
        <x:v>27.996372417451667</x:v>
      </x:c>
      <x:c r="U1516" s="31" t="n">
        <x:v>50</x:v>
      </x:c>
      <x:c r="V1516" s="31" t="n">
        <x:v>2</x:v>
      </x:c>
      <x:c r="W1516" s="31" t="n">
        <x:v>0.4439511653718091</x:v>
      </x:c>
      <x:c r="X1516" s="31" t="n">
        <x:v>4</x:v>
      </x:c>
      <x:c r="Y1516" s="40" t="n">
        <x:v>1</x:v>
      </x:c>
      <x:c r="Z1516" s="40" t="n">
        <x:v>1</x:v>
      </x:c>
      <x:c r="AA1516" s="40" t="n">
        <x:v>1</x:v>
      </x:c>
      <x:c r="AB1516" s="31" t="n">
        <x:v>0.05491187473912077</x:v>
      </x:c>
      <x:c r="AC1516" s="31" t="n">
        <x:v>8</x:v>
      </x:c>
      <x:c r="AD1516" s="44" t="b">
        <x:v>1</x:v>
      </x:c>
    </x:row>
    <x:row r="1517">
      <x:c r="A1517" s="31" t="str">
        <x:v>36081004300</x:v>
      </x:c>
      <x:c r="B1517" s="31" t="str">
        <x:v>Queens</x:v>
      </x:c>
      <x:c r="C1517" s="31" t="str">
        <x:v>004300</x:v>
      </x:c>
      <x:c r="D1517" s="31" t="str">
        <x:v>QN0105</x:v>
      </x:c>
      <x:c r="E1517" s="31" t="str">
        <x:v>Queensbridge-Ravenswood-Dutch Kills</x:v>
      </x:c>
      <x:c r="F1517" s="31" t="n">
        <x:v>0.06604867872008437</x:v>
      </x:c>
      <x:c r="G1517" s="31" t="n">
        <x:v>40.760940304773094</x:v>
      </x:c>
      <x:c r="H1517" s="31" t="n">
        <x:v>-73.93751637863073</x:v>
      </x:c>
      <x:c r="I1517" s="31" t="n">
        <x:v>2326</x:v>
      </x:c>
      <x:c r="J1517" s="31" t="n">
        <x:v>35216.450125484494</x:v>
      </x:c>
      <x:c r="K1517" s="31"/>
      <x:c r="L1517" s="40"/>
      <x:c r="M1517" s="40"/>
      <x:c r="N1517" s="31" t="n">
        <x:v>16</x:v>
      </x:c>
      <x:c r="O1517" s="31" t="n">
        <x:v>1061</x:v>
      </x:c>
      <x:c r="P1517" s="31" t="n">
        <x:v>5.866163996229972</x:v>
      </x:c>
      <x:c r="Q1517" s="40" t="n">
        <x:v>0</x:v>
      </x:c>
      <x:c r="R1517" s="40" t="n">
        <x:v>0.9754948162111216</x:v>
      </x:c>
      <x:c r="S1517" s="40" t="n">
        <x:v>0.9575871819038643</x:v>
      </x:c>
      <x:c r="T1517" s="31" t="n">
        <x:v>61.12575871819039</x:v>
      </x:c>
      <x:c r="U1517" s="31" t="n">
        <x:v>63</x:v>
      </x:c>
      <x:c r="V1517" s="31" t="n">
        <x:v>20</x:v>
      </x:c>
      <x:c r="W1517" s="31" t="n">
        <x:v>8.598452278589853</x:v>
      </x:c>
      <x:c r="X1517" s="31" t="n">
        <x:v>3.0113100848256362</x:v>
      </x:c>
      <x:c r="Y1517" s="40" t="n">
        <x:v>0.011310084825636193</x:v>
      </x:c>
      <x:c r="Z1517" s="40" t="n">
        <x:v>1</x:v>
      </x:c>
      <x:c r="AA1517" s="40" t="n">
        <x:v>1</x:v>
      </x:c>
      <x:c r="AB1517" s="31" t="n">
        <x:v>0.025516674568176283</x:v>
      </x:c>
      <x:c r="AC1517" s="31" t="n">
        <x:v>4</x:v>
      </x:c>
      <x:c r="AD1517" s="44" t="b">
        <x:v>1</x:v>
      </x:c>
    </x:row>
    <x:row r="1518">
      <x:c r="A1518" s="31" t="str">
        <x:v>36081004401</x:v>
      </x:c>
      <x:c r="B1518" s="31" t="str">
        <x:v>Queens</x:v>
      </x:c>
      <x:c r="C1518" s="31" t="str">
        <x:v>004401</x:v>
      </x:c>
      <x:c r="D1518" s="31" t="str">
        <x:v>QN1002</x:v>
      </x:c>
      <x:c r="E1518" s="31" t="str">
        <x:v>Ozone Park</x:v>
      </x:c>
      <x:c r="F1518" s="31" t="n">
        <x:v>0.10162842283452422</x:v>
      </x:c>
      <x:c r="G1518" s="31" t="n">
        <x:v>40.6771843360146</x:v>
      </x:c>
      <x:c r="H1518" s="31" t="n">
        <x:v>-73.85935580858984</x:v>
      </x:c>
      <x:c r="I1518" s="31" t="n">
        <x:v>3916</x:v>
      </x:c>
      <x:c r="J1518" s="31" t="n">
        <x:v>38532.5275230946</x:v>
      </x:c>
      <x:c r="K1518" s="31"/>
      <x:c r="L1518" s="40"/>
      <x:c r="M1518" s="40"/>
      <x:c r="N1518" s="31" t="n">
        <x:v>487</x:v>
      </x:c>
      <x:c r="O1518" s="31" t="n">
        <x:v>972</x:v>
      </x:c>
      <x:c r="P1518" s="31" t="n">
        <x:v>1.9591666666666665</x:v>
      </x:c>
      <x:c r="Q1518" s="40" t="n">
        <x:v>0</x:v>
      </x:c>
      <x:c r="R1518" s="40" t="n">
        <x:v>0.043209876543209874</x:v>
      </x:c>
      <x:c r="S1518" s="40" t="n">
        <x:v>0.012345679012345678</x:v>
      </x:c>
      <x:c r="T1518" s="31" t="n">
        <x:v>24.830539971903296</x:v>
      </x:c>
      <x:c r="U1518" s="31" t="n">
        <x:v>38.42798367</x:v>
      </x:c>
      <x:c r="V1518" s="31" t="n">
        <x:v>1</x:v>
      </x:c>
      <x:c r="W1518" s="31" t="n">
        <x:v>0.25536261491317674</x:v>
      </x:c>
      <x:c r="X1518" s="31" t="n">
        <x:v>3.1069958847736627</x:v>
      </x:c>
      <x:c r="Y1518" s="40" t="n">
        <x:v>0.10699588477366255</x:v>
      </x:c>
      <x:c r="Z1518" s="40" t="n">
        <x:v>1</x:v>
      </x:c>
      <x:c r="AA1518" s="40" t="n">
        <x:v>1</x:v>
      </x:c>
      <x:c r="AB1518" s="31" t="n">
        <x:v>0.20992930237188584</x:v>
      </x:c>
      <x:c r="AC1518" s="31" t="n">
        <x:v>7</x:v>
      </x:c>
      <x:c r="AD1518" s="44" t="b">
        <x:v>1</x:v>
      </x:c>
    </x:row>
    <x:row r="1519">
      <x:c r="A1519" s="31" t="str">
        <x:v>36081004500</x:v>
      </x:c>
      <x:c r="B1519" s="31" t="str">
        <x:v>Queens</x:v>
      </x:c>
      <x:c r="C1519" s="31" t="str">
        <x:v>004500</x:v>
      </x:c>
      <x:c r="D1519" s="31" t="str">
        <x:v>QN0105</x:v>
      </x:c>
      <x:c r="E1519" s="31" t="str">
        <x:v>Queensbridge-Ravenswood-Dutch Kills</x:v>
      </x:c>
      <x:c r="F1519" s="31" t="n">
        <x:v>0.08520905896249426</x:v>
      </x:c>
      <x:c r="G1519" s="31" t="n">
        <x:v>40.76453014446721</x:v>
      </x:c>
      <x:c r="H1519" s="31" t="n">
        <x:v>-73.93376054388222</x:v>
      </x:c>
      <x:c r="I1519" s="31" t="n">
        <x:v>3252</x:v>
      </x:c>
      <x:c r="J1519" s="31" t="n">
        <x:v>38164.95616306953</x:v>
      </x:c>
      <x:c r="K1519" s="31"/>
      <x:c r="L1519" s="40"/>
      <x:c r="M1519" s="40"/>
      <x:c r="N1519" s="31" t="n">
        <x:v>162</x:v>
      </x:c>
      <x:c r="O1519" s="31" t="n">
        <x:v>1587</x:v>
      </x:c>
      <x:c r="P1519" s="31" t="n">
        <x:v>11.333648393194707</x:v>
      </x:c>
      <x:c r="Q1519" s="40" t="n">
        <x:v>0.6868304977945809</x:v>
      </x:c>
      <x:c r="R1519" s="40" t="n">
        <x:v>0.2999369880277253</x:v>
      </x:c>
      <x:c r="S1519" s="40" t="n">
        <x:v>0.6893509766855702</x:v>
      </x:c>
      <x:c r="T1519" s="31" t="n">
        <x:v>101.14450767201521</x:v>
      </x:c>
      <x:c r="U1519" s="31" t="n">
        <x:v>138.72</x:v>
      </x:c>
      <x:c r="V1519" s="31" t="n">
        <x:v>44</x:v>
      </x:c>
      <x:c r="W1519" s="31" t="n">
        <x:v>13.530135301353015</x:v>
      </x:c>
      <x:c r="X1519" s="31" t="n">
        <x:v>3</x:v>
      </x:c>
      <x:c r="Y1519" s="40" t="n">
        <x:v>0</x:v>
      </x:c>
      <x:c r="Z1519" s="40" t="n">
        <x:v>1</x:v>
      </x:c>
      <x:c r="AA1519" s="40" t="n">
        <x:v>0.994328922495274</x:v>
      </x:c>
      <x:c r="AB1519" s="31" t="n">
        <x:v>0.07709789256181795</x:v>
      </x:c>
      <x:c r="AC1519" s="31" t="n">
        <x:v>9</x:v>
      </x:c>
      <x:c r="AD1519" s="44" t="b">
        <x:v>1</x:v>
      </x:c>
    </x:row>
    <x:row r="1520">
      <x:c r="A1520" s="31" t="str">
        <x:v>36081004700</x:v>
      </x:c>
      <x:c r="B1520" s="31" t="str">
        <x:v>Queens</x:v>
      </x:c>
      <x:c r="C1520" s="31" t="str">
        <x:v>004700</x:v>
      </x:c>
      <x:c r="D1520" s="31" t="str">
        <x:v>QN0105</x:v>
      </x:c>
      <x:c r="E1520" s="31" t="str">
        <x:v>Queensbridge-Ravenswood-Dutch Kills</x:v>
      </x:c>
      <x:c r="F1520" s="31" t="n">
        <x:v>0.06919266227043158</x:v>
      </x:c>
      <x:c r="G1520" s="31" t="n">
        <x:v>40.76028791434103</x:v>
      </x:c>
      <x:c r="H1520" s="31" t="n">
        <x:v>-73.9331581433274</x:v>
      </x:c>
      <x:c r="I1520" s="31" t="n">
        <x:v>4090</x:v>
      </x:c>
      <x:c r="J1520" s="31" t="n">
        <x:v>59110.31409681426</x:v>
      </x:c>
      <x:c r="K1520" s="31"/>
      <x:c r="L1520" s="40"/>
      <x:c r="M1520" s="40"/>
      <x:c r="N1520" s="31" t="n">
        <x:v>152</x:v>
      </x:c>
      <x:c r="O1520" s="31" t="n">
        <x:v>1634</x:v>
      </x:c>
      <x:c r="P1520" s="31" t="n">
        <x:v>5.037331701346389</x:v>
      </x:c>
      <x:c r="Q1520" s="40" t="n">
        <x:v>0</x:v>
      </x:c>
      <x:c r="R1520" s="40" t="n">
        <x:v>0.8543451652386781</x:v>
      </x:c>
      <x:c r="S1520" s="40" t="n">
        <x:v>0.5893512851897185</x:v>
      </x:c>
      <x:c r="T1520" s="31" t="n">
        <x:v>58.79366635291922</x:v>
      </x:c>
      <x:c r="U1520" s="31" t="n">
        <x:v>75</x:v>
      </x:c>
      <x:c r="V1520" s="31" t="n">
        <x:v>28</x:v>
      </x:c>
      <x:c r="W1520" s="31" t="n">
        <x:v>6.845965770171149</x:v>
      </x:c>
      <x:c r="X1520" s="31" t="n">
        <x:v>3</x:v>
      </x:c>
      <x:c r="Y1520" s="40" t="n">
        <x:v>0</x:v>
      </x:c>
      <x:c r="Z1520" s="40" t="n">
        <x:v>1</x:v>
      </x:c>
      <x:c r="AA1520" s="40" t="n">
        <x:v>1</x:v>
      </x:c>
      <x:c r="AB1520" s="31" t="n">
        <x:v>0.18443519066398517</x:v>
      </x:c>
      <x:c r="AC1520" s="31" t="n">
        <x:v>5</x:v>
      </x:c>
      <x:c r="AD1520" s="44" t="b">
        <x:v>1</x:v>
      </x:c>
    </x:row>
    <x:row r="1521">
      <x:c r="A1521" s="31" t="str">
        <x:v>36081005000</x:v>
      </x:c>
      <x:c r="B1521" s="31" t="str">
        <x:v>Queens</x:v>
      </x:c>
      <x:c r="C1521" s="31" t="str">
        <x:v>005000</x:v>
      </x:c>
      <x:c r="D1521" s="31" t="str">
        <x:v>QN1002</x:v>
      </x:c>
      <x:c r="E1521" s="31" t="str">
        <x:v>Ozone Park</x:v>
      </x:c>
      <x:c r="F1521" s="31" t="n">
        <x:v>0.05874353034105257</x:v>
      </x:c>
      <x:c r="G1521" s="31" t="n">
        <x:v>40.67767316420404</x:v>
      </x:c>
      <x:c r="H1521" s="31" t="n">
        <x:v>-73.85488125852095</x:v>
      </x:c>
      <x:c r="I1521" s="31" t="n">
        <x:v>0</x:v>
      </x:c>
      <x:c r="J1521" s="31" t="n">
        <x:v>0</x:v>
      </x:c>
      <x:c r="K1521" s="31"/>
      <x:c r="L1521" s="40"/>
      <x:c r="M1521" s="40"/>
      <x:c r="N1521" s="31" t="n">
        <x:v>0</x:v>
      </x:c>
      <x:c r="O1521" s="31"/>
      <x:c r="P1521" s="31"/>
      <x:c r="Q1521" s="40"/>
      <x:c r="R1521" s="40"/>
      <x:c r="S1521" s="40"/>
      <x:c r="T1521" s="31"/>
      <x:c r="U1521" s="31"/>
      <x:c r="V1521" s="31" t="n">
        <x:v>0</x:v>
      </x:c>
      <x:c r="W1521" s="31"/>
      <x:c r="X1521" s="31"/>
      <x:c r="Y1521" s="40"/>
      <x:c r="Z1521" s="40"/>
      <x:c r="AA1521" s="40"/>
      <x:c r="AB1521" s="31" t="n">
        <x:v>0.320815975636765</x:v>
      </x:c>
      <x:c r="AC1521" s="31" t="n">
        <x:v>4</x:v>
      </x:c>
      <x:c r="AD1521" s="44" t="b">
        <x:v>0</x:v>
      </x:c>
    </x:row>
    <x:row r="1522">
      <x:c r="A1522" s="31" t="str">
        <x:v>36081005100</x:v>
      </x:c>
      <x:c r="B1522" s="31" t="str">
        <x:v>Queens</x:v>
      </x:c>
      <x:c r="C1522" s="31" t="str">
        <x:v>005100</x:v>
      </x:c>
      <x:c r="D1522" s="31" t="str">
        <x:v>QN0105</x:v>
      </x:c>
      <x:c r="E1522" s="31" t="str">
        <x:v>Queensbridge-Ravenswood-Dutch Kills</x:v>
      </x:c>
      <x:c r="F1522" s="31" t="n">
        <x:v>0.052947959528165174</x:v>
      </x:c>
      <x:c r="G1522" s="31" t="n">
        <x:v>40.755639676298244</x:v>
      </x:c>
      <x:c r="H1522" s="31" t="n">
        <x:v>-73.93213792905011</x:v>
      </x:c>
      <x:c r="I1522" s="31" t="n">
        <x:v>2512</x:v>
      </x:c>
      <x:c r="J1522" s="31" t="n">
        <x:v>47442.81030629263</x:v>
      </x:c>
      <x:c r="K1522" s="31"/>
      <x:c r="L1522" s="40"/>
      <x:c r="M1522" s="40"/>
      <x:c r="N1522" s="31" t="n">
        <x:v>168</x:v>
      </x:c>
      <x:c r="O1522" s="31" t="n">
        <x:v>1493</x:v>
      </x:c>
      <x:c r="P1522" s="31" t="n">
        <x:v>5.378097789685198</x:v>
      </x:c>
      <x:c r="Q1522" s="40" t="n">
        <x:v>0</x:v>
      </x:c>
      <x:c r="R1522" s="40" t="n">
        <x:v>0.8633623576691226</x:v>
      </x:c>
      <x:c r="S1522" s="40" t="n">
        <x:v>0.006697923643670462</x:v>
      </x:c>
      <x:c r="T1522" s="31" t="n">
        <x:v>54.88516320743715</x:v>
      </x:c>
      <x:c r="U1522" s="31" t="n">
        <x:v>90</x:v>
      </x:c>
      <x:c r="V1522" s="31" t="n">
        <x:v>28</x:v>
      </x:c>
      <x:c r="W1522" s="31" t="n">
        <x:v>11.146496815286623</x:v>
      </x:c>
      <x:c r="X1522" s="31" t="n">
        <x:v>3.5760214333556597</x:v>
      </x:c>
      <x:c r="Y1522" s="40" t="n">
        <x:v>0.5760214333556597</x:v>
      </x:c>
      <x:c r="Z1522" s="40" t="n">
        <x:v>1</x:v>
      </x:c>
      <x:c r="AA1522" s="40" t="n">
        <x:v>0.9591426657736102</x:v>
      </x:c>
      <x:c r="AB1522" s="31" t="n">
        <x:v>0.06788825119833859</x:v>
      </x:c>
      <x:c r="AC1522" s="31" t="n">
        <x:v>6</x:v>
      </x:c>
      <x:c r="AD1522" s="44" t="b">
        <x:v>1</x:v>
      </x:c>
    </x:row>
    <x:row r="1523">
      <x:c r="A1523" s="31" t="str">
        <x:v>36081005200</x:v>
      </x:c>
      <x:c r="B1523" s="31" t="str">
        <x:v>Queens</x:v>
      </x:c>
      <x:c r="C1523" s="31" t="str">
        <x:v>005200</x:v>
      </x:c>
      <x:c r="D1523" s="31" t="str">
        <x:v>QN0904</x:v>
      </x:c>
      <x:c r="E1523" s="31" t="str">
        <x:v>Ozone Park (North)</x:v>
      </x:c>
      <x:c r="F1523" s="31" t="n">
        <x:v>0.05040640639921947</x:v>
      </x:c>
      <x:c r="G1523" s="31" t="n">
        <x:v>40.680759850851885</x:v>
      </x:c>
      <x:c r="H1523" s="31" t="n">
        <x:v>-73.85466458021855</x:v>
      </x:c>
      <x:c r="I1523" s="31" t="n">
        <x:v>3080</x:v>
      </x:c>
      <x:c r="J1523" s="31" t="n">
        <x:v>61103.344198083774</x:v>
      </x:c>
      <x:c r="K1523" s="31"/>
      <x:c r="L1523" s="40"/>
      <x:c r="M1523" s="40"/>
      <x:c r="N1523" s="31" t="n">
        <x:v>350</x:v>
      </x:c>
      <x:c r="O1523" s="31" t="n">
        <x:v>823</x:v>
      </x:c>
      <x:c r="P1523" s="31" t="n">
        <x:v>2.3031591737545565</x:v>
      </x:c>
      <x:c r="Q1523" s="40" t="n">
        <x:v>0</x:v>
      </x:c>
      <x:c r="R1523" s="40" t="n">
        <x:v>0.30619684082624543</x:v>
      </x:c>
      <x:c r="S1523" s="40" t="n">
        <x:v>0.004860267314702308</x:v>
      </x:c>
      <x:c r="T1523" s="31" t="n">
        <x:v>27.42768901939099</x:v>
      </x:c>
      <x:c r="U1523" s="31" t="n">
        <x:v>41.82947009</x:v>
      </x:c>
      <x:c r="V1523" s="31" t="n">
        <x:v>0</x:v>
      </x:c>
      <x:c r="W1523" s="31" t="n">
        <x:v>0</x:v>
      </x:c>
      <x:c r="X1523" s="31" t="n">
        <x:v>3.9173754556500606</x:v>
      </x:c>
      <x:c r="Y1523" s="40" t="n">
        <x:v>0.9173754556500607</x:v>
      </x:c>
      <x:c r="Z1523" s="40" t="n">
        <x:v>1</x:v>
      </x:c>
      <x:c r="AA1523" s="40" t="n">
        <x:v>0.9975698663426489</x:v>
      </x:c>
      <x:c r="AB1523" s="31" t="n">
        <x:v>0.14977200458182255</x:v>
      </x:c>
      <x:c r="AC1523" s="31" t="n">
        <x:v>6</x:v>
      </x:c>
      <x:c r="AD1523" s="44" t="b">
        <x:v>1</x:v>
      </x:c>
    </x:row>
    <x:row r="1524">
      <x:c r="A1524" s="31" t="str">
        <x:v>36081005300</x:v>
      </x:c>
      <x:c r="B1524" s="31" t="str">
        <x:v>Queens</x:v>
      </x:c>
      <x:c r="C1524" s="31" t="str">
        <x:v>005300</x:v>
      </x:c>
      <x:c r="D1524" s="31" t="str">
        <x:v>QN0103</x:v>
      </x:c>
      <x:c r="E1524" s="31" t="str">
        <x:v>Astoria (Central)</x:v>
      </x:c>
      <x:c r="F1524" s="31" t="n">
        <x:v>0.07574988533811122</x:v>
      </x:c>
      <x:c r="G1524" s="31" t="n">
        <x:v>40.76034456296925</x:v>
      </x:c>
      <x:c r="H1524" s="31" t="n">
        <x:v>-73.9292713031798</x:v>
      </x:c>
      <x:c r="I1524" s="31" t="n">
        <x:v>5397</x:v>
      </x:c>
      <x:c r="J1524" s="31" t="n">
        <x:v>71247.63259918317</x:v>
      </x:c>
      <x:c r="K1524" s="31"/>
      <x:c r="L1524" s="40"/>
      <x:c r="M1524" s="40"/>
      <x:c r="N1524" s="31" t="n">
        <x:v>482</x:v>
      </x:c>
      <x:c r="O1524" s="31" t="n">
        <x:v>2615</x:v>
      </x:c>
      <x:c r="P1524" s="31" t="n">
        <x:v>3.927941740130318</x:v>
      </x:c>
      <x:c r="Q1524" s="40" t="n">
        <x:v>0</x:v>
      </x:c>
      <x:c r="R1524" s="40" t="n">
        <x:v>0.7713193116634799</x:v>
      </x:c>
      <x:c r="S1524" s="40" t="n">
        <x:v>0.030975143403441683</x:v>
      </x:c>
      <x:c r="T1524" s="31" t="n">
        <x:v>43.61056685816061</x:v>
      </x:c>
      <x:c r="U1524" s="31" t="n">
        <x:v>70</x:v>
      </x:c>
      <x:c r="V1524" s="31" t="n">
        <x:v>20</x:v>
      </x:c>
      <x:c r="W1524" s="31" t="n">
        <x:v>3.7057624606262736</x:v>
      </x:c>
      <x:c r="X1524" s="31" t="n">
        <x:v>3</x:v>
      </x:c>
      <x:c r="Y1524" s="40" t="n">
        <x:v>0</x:v>
      </x:c>
      <x:c r="Z1524" s="40" t="n">
        <x:v>1</x:v>
      </x:c>
      <x:c r="AA1524" s="40" t="n">
        <x:v>1</x:v>
      </x:c>
      <x:c r="AB1524" s="31" t="n">
        <x:v>0.2522404030493048</x:v>
      </x:c>
      <x:c r="AC1524" s="31" t="n">
        <x:v>10</x:v>
      </x:c>
      <x:c r="AD1524" s="44" t="b">
        <x:v>1</x:v>
      </x:c>
    </x:row>
    <x:row r="1525">
      <x:c r="A1525" s="31" t="str">
        <x:v>36081005400</x:v>
      </x:c>
      <x:c r="B1525" s="31" t="str">
        <x:v>Queens</x:v>
      </x:c>
      <x:c r="C1525" s="31" t="str">
        <x:v>005400</x:v>
      </x:c>
      <x:c r="D1525" s="31" t="str">
        <x:v>QN1002</x:v>
      </x:c>
      <x:c r="E1525" s="31" t="str">
        <x:v>Ozone Park</x:v>
      </x:c>
      <x:c r="F1525" s="31" t="n">
        <x:v>0.16093919875243917</x:v>
      </x:c>
      <x:c r="G1525" s="31" t="n">
        <x:v>40.678747852734666</x:v>
      </x:c>
      <x:c r="H1525" s="31" t="n">
        <x:v>-73.84877213005979</x:v>
      </x:c>
      <x:c r="I1525" s="31" t="n">
        <x:v>5609</x:v>
      </x:c>
      <x:c r="J1525" s="31" t="n">
        <x:v>34851.67096319343</x:v>
      </x:c>
      <x:c r="K1525" s="31"/>
      <x:c r="L1525" s="40"/>
      <x:c r="M1525" s="40"/>
      <x:c r="N1525" s="31" t="n">
        <x:v>1042</x:v>
      </x:c>
      <x:c r="O1525" s="31" t="n">
        <x:v>1658</x:v>
      </x:c>
      <x:c r="P1525" s="31" t="n">
        <x:v>2.1954704463208685</x:v>
      </x:c>
      <x:c r="Q1525" s="40" t="n">
        <x:v>0</x:v>
      </x:c>
      <x:c r="R1525" s="40" t="n">
        <x:v>0.0669481302774427</x:v>
      </x:c>
      <x:c r="S1525" s="40" t="n">
        <x:v>0.009650180940892641</x:v>
      </x:c>
      <x:c r="T1525" s="31" t="n">
        <x:v>28.684681699408568</x:v>
      </x:c>
      <x:c r="U1525" s="31" t="n">
        <x:v>47.83</x:v>
      </x:c>
      <x:c r="V1525" s="31" t="n">
        <x:v>0</x:v>
      </x:c>
      <x:c r="W1525" s="31" t="n">
        <x:v>0</x:v>
      </x:c>
      <x:c r="X1525" s="31" t="n">
        <x:v>3.0729794933655006</x:v>
      </x:c>
      <x:c r="Y1525" s="40" t="n">
        <x:v>0.07297949336550061</x:v>
      </x:c>
      <x:c r="Z1525" s="40" t="n">
        <x:v>1</x:v>
      </x:c>
      <x:c r="AA1525" s="40" t="n">
        <x:v>0.9993968636911942</x:v>
      </x:c>
      <x:c r="AB1525" s="31" t="n">
        <x:v>0.16206641949259604</x:v>
      </x:c>
      <x:c r="AC1525" s="31" t="n">
        <x:v>8</x:v>
      </x:c>
      <x:c r="AD1525" s="44" t="b">
        <x:v>1</x:v>
      </x:c>
    </x:row>
    <x:row r="1526">
      <x:c r="A1526" s="31" t="str">
        <x:v>36081005500</x:v>
      </x:c>
      <x:c r="B1526" s="31" t="str">
        <x:v>Queens</x:v>
      </x:c>
      <x:c r="C1526" s="31" t="str">
        <x:v>005500</x:v>
      </x:c>
      <x:c r="D1526" s="31" t="str">
        <x:v>QN0105</x:v>
      </x:c>
      <x:c r="E1526" s="31" t="str">
        <x:v>Queensbridge-Ravenswood-Dutch Kills</x:v>
      </x:c>
      <x:c r="F1526" s="31" t="n">
        <x:v>0.06407247464237546</x:v>
      </x:c>
      <x:c r="G1526" s="31" t="n">
        <x:v>40.75379464273439</x:v>
      </x:c>
      <x:c r="H1526" s="31" t="n">
        <x:v>-73.92778876158637</x:v>
      </x:c>
      <x:c r="I1526" s="31" t="n">
        <x:v>1367</x:v>
      </x:c>
      <x:c r="J1526" s="31" t="n">
        <x:v>21335.214655435055</x:v>
      </x:c>
      <x:c r="K1526" s="31"/>
      <x:c r="L1526" s="40"/>
      <x:c r="M1526" s="40"/>
      <x:c r="N1526" s="31" t="n">
        <x:v>101</x:v>
      </x:c>
      <x:c r="O1526" s="31" t="n">
        <x:v>890</x:v>
      </x:c>
      <x:c r="P1526" s="31" t="n">
        <x:v>5.63370786516854</x:v>
      </x:c>
      <x:c r="Q1526" s="40" t="n">
        <x:v>0.09550561797752809</x:v>
      </x:c>
      <x:c r="R1526" s="40" t="n">
        <x:v>0.7348314606741573</x:v>
      </x:c>
      <x:c r="S1526" s="40" t="n">
        <x:v>0</x:v>
      </x:c>
      <x:c r="T1526" s="31" t="n">
        <x:v>52.94418828825623</x:v>
      </x:c>
      <x:c r="U1526" s="31" t="n">
        <x:v>128</x:v>
      </x:c>
      <x:c r="V1526" s="31" t="n">
        <x:v>12</x:v>
      </x:c>
      <x:c r="W1526" s="31" t="n">
        <x:v>8.778346744696416</x:v>
      </x:c>
      <x:c r="X1526" s="31" t="n">
        <x:v>3.746067415730337</x:v>
      </x:c>
      <x:c r="Y1526" s="40" t="n">
        <x:v>0.7460674157303371</x:v>
      </x:c>
      <x:c r="Z1526" s="40" t="n">
        <x:v>1</x:v>
      </x:c>
      <x:c r="AA1526" s="40" t="n">
        <x:v>0.9471910112359551</x:v>
      </x:c>
      <x:c r="AB1526" s="31" t="n">
        <x:v>0.09399678243643131</x:v>
      </x:c>
      <x:c r="AC1526" s="31" t="n">
        <x:v>6</x:v>
      </x:c>
      <x:c r="AD1526" s="44" t="b">
        <x:v>1</x:v>
      </x:c>
    </x:row>
    <x:row r="1527">
      <x:c r="A1527" s="31" t="str">
        <x:v>36081005700</x:v>
      </x:c>
      <x:c r="B1527" s="31" t="str">
        <x:v>Queens</x:v>
      </x:c>
      <x:c r="C1527" s="31" t="str">
        <x:v>005700</x:v>
      </x:c>
      <x:c r="D1527" s="31" t="str">
        <x:v>QN0103</x:v>
      </x:c>
      <x:c r="E1527" s="31" t="str">
        <x:v>Astoria (Central)</x:v>
      </x:c>
      <x:c r="F1527" s="31" t="n">
        <x:v>0.08631282306014693</x:v>
      </x:c>
      <x:c r="G1527" s="31" t="n">
        <x:v>40.756954396871855</x:v>
      </x:c>
      <x:c r="H1527" s="31" t="n">
        <x:v>-73.9256726073031</x:v>
      </x:c>
      <x:c r="I1527" s="31" t="n">
        <x:v>4277</x:v>
      </x:c>
      <x:c r="J1527" s="31" t="n">
        <x:v>49552.312719740155</x:v>
      </x:c>
      <x:c r="K1527" s="31"/>
      <x:c r="L1527" s="40"/>
      <x:c r="M1527" s="40"/>
      <x:c r="N1527" s="31" t="n">
        <x:v>264</x:v>
      </x:c>
      <x:c r="O1527" s="31" t="n">
        <x:v>2003</x:v>
      </x:c>
      <x:c r="P1527" s="31" t="n">
        <x:v>4.123315027458812</x:v>
      </x:c>
      <x:c r="Q1527" s="40" t="n">
        <x:v>0.044433349975037444</x:v>
      </x:c>
      <x:c r="R1527" s="40" t="n">
        <x:v>0.8267598602096855</x:v>
      </x:c>
      <x:c r="S1527" s="40" t="n">
        <x:v>0.00399400898652022</x:v>
      </x:c>
      <x:c r="T1527" s="31" t="n">
        <x:v>43.816905101703234</x:v>
      </x:c>
      <x:c r="U1527" s="31" t="n">
        <x:v>70</x:v>
      </x:c>
      <x:c r="V1527" s="31" t="n">
        <x:v>10</x:v>
      </x:c>
      <x:c r="W1527" s="31" t="n">
        <x:v>2.338087444470423</x:v>
      </x:c>
      <x:c r="X1527" s="31" t="n">
        <x:v>3.08736894658013</x:v>
      </x:c>
      <x:c r="Y1527" s="40" t="n">
        <x:v>0.08736894658012981</x:v>
      </x:c>
      <x:c r="Z1527" s="40" t="n">
        <x:v>1</x:v>
      </x:c>
      <x:c r="AA1527" s="40" t="n">
        <x:v>0.9555666500249625</x:v>
      </x:c>
      <x:c r="AB1527" s="31" t="n">
        <x:v>0.048389385323041594</x:v>
      </x:c>
      <x:c r="AC1527" s="31" t="n">
        <x:v>6</x:v>
      </x:c>
      <x:c r="AD1527" s="44" t="b">
        <x:v>1</x:v>
      </x:c>
    </x:row>
    <x:row r="1528">
      <x:c r="A1528" s="31" t="str">
        <x:v>36081005800</x:v>
      </x:c>
      <x:c r="B1528" s="31" t="str">
        <x:v>Queens</x:v>
      </x:c>
      <x:c r="C1528" s="31" t="str">
        <x:v>005800</x:v>
      </x:c>
      <x:c r="D1528" s="31" t="str">
        <x:v>QN1002</x:v>
      </x:c>
      <x:c r="E1528" s="31" t="str">
        <x:v>Ozone Park</x:v>
      </x:c>
      <x:c r="F1528" s="31" t="n">
        <x:v>0.22754884610092402</x:v>
      </x:c>
      <x:c r="G1528" s="31" t="n">
        <x:v>40.67354827817503</x:v>
      </x:c>
      <x:c r="H1528" s="31" t="n">
        <x:v>-73.8486967243334</x:v>
      </x:c>
      <x:c r="I1528" s="31" t="n">
        <x:v>6194</x:v>
      </x:c>
      <x:c r="J1528" s="31" t="n">
        <x:v>27220.529157299243</x:v>
      </x:c>
      <x:c r="K1528" s="31"/>
      <x:c r="L1528" s="40"/>
      <x:c r="M1528" s="40"/>
      <x:c r="N1528" s="31" t="n">
        <x:v>1145</x:v>
      </x:c>
      <x:c r="O1528" s="31" t="n">
        <x:v>2036</x:v>
      </x:c>
      <x:c r="P1528" s="31" t="n">
        <x:v>2.154803536345776</x:v>
      </x:c>
      <x:c r="Q1528" s="40" t="n">
        <x:v>0</x:v>
      </x:c>
      <x:c r="R1528" s="40" t="n">
        <x:v>0.17583497053045186</x:v>
      </x:c>
      <x:c r="S1528" s="40" t="n">
        <x:v>0.0481335952848723</x:v>
      </x:c>
      <x:c r="T1528" s="31" t="n">
        <x:v>26.63553019712248</x:v>
      </x:c>
      <x:c r="U1528" s="31" t="n">
        <x:v>43.7</x:v>
      </x:c>
      <x:c r="V1528" s="31" t="n">
        <x:v>0</x:v>
      </x:c>
      <x:c r="W1528" s="31" t="n">
        <x:v>0</x:v>
      </x:c>
      <x:c r="X1528" s="31" t="n">
        <x:v>3</x:v>
      </x:c>
      <x:c r="Y1528" s="40" t="n">
        <x:v>0</x:v>
      </x:c>
      <x:c r="Z1528" s="40" t="n">
        <x:v>1</x:v>
      </x:c>
      <x:c r="AA1528" s="40" t="n">
        <x:v>0.9985265225933202</x:v>
      </x:c>
      <x:c r="AB1528" s="31" t="n">
        <x:v>0.23463929648714343</x:v>
      </x:c>
      <x:c r="AC1528" s="31" t="n">
        <x:v>6</x:v>
      </x:c>
      <x:c r="AD1528" s="44" t="b">
        <x:v>1</x:v>
      </x:c>
    </x:row>
    <x:row r="1529">
      <x:c r="A1529" s="31" t="str">
        <x:v>36081005900</x:v>
      </x:c>
      <x:c r="B1529" s="31" t="str">
        <x:v>Queens</x:v>
      </x:c>
      <x:c r="C1529" s="31" t="str">
        <x:v>005900</x:v>
      </x:c>
      <x:c r="D1529" s="31" t="str">
        <x:v>QN0103</x:v>
      </x:c>
      <x:c r="E1529" s="31" t="str">
        <x:v>Astoria (Central)</x:v>
      </x:c>
      <x:c r="F1529" s="31" t="n">
        <x:v>0.07344707270897899</x:v>
      </x:c>
      <x:c r="G1529" s="31" t="n">
        <x:v>40.75970035926343</x:v>
      </x:c>
      <x:c r="H1529" s="31" t="n">
        <x:v>-73.92392537085522</x:v>
      </x:c>
      <x:c r="I1529" s="31" t="n">
        <x:v>4231</x:v>
      </x:c>
      <x:c r="J1529" s="31" t="n">
        <x:v>57606.10796245873</x:v>
      </x:c>
      <x:c r="K1529" s="31"/>
      <x:c r="L1529" s="40"/>
      <x:c r="M1529" s="40"/>
      <x:c r="N1529" s="31" t="n">
        <x:v>417</x:v>
      </x:c>
      <x:c r="O1529" s="31" t="n">
        <x:v>1971</x:v>
      </x:c>
      <x:c r="P1529" s="31" t="n">
        <x:v>3.5877727042110603</x:v>
      </x:c>
      <x:c r="Q1529" s="40" t="n">
        <x:v>0</x:v>
      </x:c>
      <x:c r="R1529" s="40" t="n">
        <x:v>0.686960933536276</x:v>
      </x:c>
      <x:c r="S1529" s="40" t="n">
        <x:v>0.0025367833587011668</x:v>
      </x:c>
      <x:c r="T1529" s="31" t="n">
        <x:v>40.58204963443479</x:v>
      </x:c>
      <x:c r="U1529" s="31" t="n">
        <x:v>65.76</x:v>
      </x:c>
      <x:c r="V1529" s="31" t="n">
        <x:v>9</x:v>
      </x:c>
      <x:c r="W1529" s="31" t="n">
        <x:v>2.127156700543607</x:v>
      </x:c>
      <x:c r="X1529" s="31" t="n">
        <x:v>3.010654490106545</x:v>
      </x:c>
      <x:c r="Y1529" s="40" t="n">
        <x:v>0.0106544901065449</x:v>
      </x:c>
      <x:c r="Z1529" s="40" t="n">
        <x:v>1</x:v>
      </x:c>
      <x:c r="AA1529" s="40" t="n">
        <x:v>0.9918822932521563</x:v>
      </x:c>
      <x:c r="AB1529" s="31" t="n">
        <x:v>0.19429244276416952</x:v>
      </x:c>
      <x:c r="AC1529" s="31" t="n">
        <x:v>6</x:v>
      </x:c>
      <x:c r="AD1529" s="44" t="b">
        <x:v>1</x:v>
      </x:c>
    </x:row>
    <x:row r="1530">
      <x:c r="A1530" s="31" t="str">
        <x:v>36081006100</x:v>
      </x:c>
      <x:c r="B1530" s="31" t="str">
        <x:v>Queens</x:v>
      </x:c>
      <x:c r="C1530" s="31" t="str">
        <x:v>006100</x:v>
      </x:c>
      <x:c r="D1530" s="31" t="str">
        <x:v>QN0103</x:v>
      </x:c>
      <x:c r="E1530" s="31" t="str">
        <x:v>Astoria (Central)</x:v>
      </x:c>
      <x:c r="F1530" s="31" t="n">
        <x:v>0.07529832002661559</x:v>
      </x:c>
      <x:c r="G1530" s="31" t="n">
        <x:v>40.76203065335053</x:v>
      </x:c>
      <x:c r="H1530" s="31" t="n">
        <x:v>-73.92204076347087</x:v>
      </x:c>
      <x:c r="I1530" s="31" t="n">
        <x:v>6291</x:v>
      </x:c>
      <x:c r="J1530" s="31" t="n">
        <x:v>83547.68071553695</x:v>
      </x:c>
      <x:c r="K1530" s="31"/>
      <x:c r="L1530" s="40"/>
      <x:c r="M1530" s="40"/>
      <x:c r="N1530" s="31" t="n">
        <x:v>487</x:v>
      </x:c>
      <x:c r="O1530" s="31" t="n">
        <x:v>3384</x:v>
      </x:c>
      <x:c r="P1530" s="31" t="n">
        <x:v>3.9708320994965947</x:v>
      </x:c>
      <x:c r="Q1530" s="40" t="n">
        <x:v>0</x:v>
      </x:c>
      <x:c r="R1530" s="40" t="n">
        <x:v>0.916371158392435</x:v>
      </x:c>
      <x:c r="S1530" s="40" t="n">
        <x:v>0.0076832151300236405</x:v>
      </x:c>
      <x:c r="T1530" s="31" t="n">
        <x:v>44.30581147839323</x:v>
      </x:c>
      <x:c r="U1530" s="31" t="n">
        <x:v>90</x:v>
      </x:c>
      <x:c r="V1530" s="31" t="n">
        <x:v>16</x:v>
      </x:c>
      <x:c r="W1530" s="31" t="n">
        <x:v>2.5433158480368783</x:v>
      </x:c>
      <x:c r="X1530" s="31" t="n">
        <x:v>3</x:v>
      </x:c>
      <x:c r="Y1530" s="40" t="n">
        <x:v>0</x:v>
      </x:c>
      <x:c r="Z1530" s="40" t="n">
        <x:v>1</x:v>
      </x:c>
      <x:c r="AA1530" s="40" t="n">
        <x:v>0.9784278959810875</x:v>
      </x:c>
      <x:c r="AB1530" s="31" t="n">
        <x:v>0.3005323235073561</x:v>
      </x:c>
      <x:c r="AC1530" s="31" t="n">
        <x:v>6</x:v>
      </x:c>
      <x:c r="AD1530" s="44" t="b">
        <x:v>1</x:v>
      </x:c>
    </x:row>
    <x:row r="1531">
      <x:c r="A1531" s="31" t="str">
        <x:v>36081006201</x:v>
      </x:c>
      <x:c r="B1531" s="31" t="str">
        <x:v>Queens</x:v>
      </x:c>
      <x:c r="C1531" s="31" t="str">
        <x:v>006201</x:v>
      </x:c>
      <x:c r="D1531" s="31" t="str">
        <x:v>QN1003</x:v>
      </x:c>
      <x:c r="E1531" s="31" t="str">
        <x:v>Howard Beach-Lindenwood</x:v>
      </x:c>
      <x:c r="F1531" s="31" t="n">
        <x:v>0.15538963038660758</x:v>
      </x:c>
      <x:c r="G1531" s="31" t="n">
        <x:v>40.66679363855783</x:v>
      </x:c>
      <x:c r="H1531" s="31" t="n">
        <x:v>-73.84678537872874</x:v>
      </x:c>
      <x:c r="I1531" s="31" t="n">
        <x:v>5389</x:v>
      </x:c>
      <x:c r="J1531" s="31" t="n">
        <x:v>34680.56386125787</x:v>
      </x:c>
      <x:c r="K1531" s="31"/>
      <x:c r="L1531" s="40"/>
      <x:c r="M1531" s="40"/>
      <x:c r="N1531" s="31" t="n">
        <x:v>112</x:v>
      </x:c>
      <x:c r="O1531" s="31" t="n">
        <x:v>2955</x:v>
      </x:c>
      <x:c r="P1531" s="31" t="n">
        <x:v>4.914297800338409</x:v>
      </x:c>
      <x:c r="Q1531" s="40" t="n">
        <x:v>0</x:v>
      </x:c>
      <x:c r="R1531" s="40" t="n">
        <x:v>0.7580372250423012</x:v>
      </x:c>
      <x:c r="S1531" s="40" t="n">
        <x:v>0.1918781725888325</x:v>
      </x:c>
      <x:c r="T1531" s="31" t="n">
        <x:v>57.000677926294415</x:v>
      </x:c>
      <x:c r="U1531" s="31" t="n">
        <x:v>68.29730451</x:v>
      </x:c>
      <x:c r="V1531" s="31" t="n">
        <x:v>28</x:v>
      </x:c>
      <x:c r="W1531" s="31" t="n">
        <x:v>5.195769159398775</x:v>
      </x:c>
      <x:c r="X1531" s="31" t="n">
        <x:v>2</x:v>
      </x:c>
      <x:c r="Y1531" s="40" t="n">
        <x:v>0</x:v>
      </x:c>
      <x:c r="Z1531" s="40" t="n">
        <x:v>1</x:v>
      </x:c>
      <x:c r="AA1531" s="40" t="n">
        <x:v>1</x:v>
      </x:c>
      <x:c r="AB1531" s="31" t="n">
        <x:v>0.22213124219692196</x:v>
      </x:c>
      <x:c r="AC1531" s="31" t="n">
        <x:v>3</x:v>
      </x:c>
      <x:c r="AD1531" s="44" t="b">
        <x:v>1</x:v>
      </x:c>
    </x:row>
    <x:row r="1532">
      <x:c r="A1532" s="31" t="str">
        <x:v>36081006202</x:v>
      </x:c>
      <x:c r="B1532" s="31" t="str">
        <x:v>Queens</x:v>
      </x:c>
      <x:c r="C1532" s="31" t="str">
        <x:v>006202</x:v>
      </x:c>
      <x:c r="D1532" s="31" t="str">
        <x:v>QN1003</x:v>
      </x:c>
      <x:c r="E1532" s="31" t="str">
        <x:v>Howard Beach-Lindenwood</x:v>
      </x:c>
      <x:c r="F1532" s="31" t="n">
        <x:v>0.4463228639125631</x:v>
      </x:c>
      <x:c r="G1532" s="31" t="n">
        <x:v>40.66564332784293</x:v>
      </x:c>
      <x:c r="H1532" s="31" t="n">
        <x:v>-73.85471165573883</x:v>
      </x:c>
      <x:c r="I1532" s="31" t="n">
        <x:v>6949</x:v>
      </x:c>
      <x:c r="J1532" s="31" t="n">
        <x:v>15569.44660885969</x:v>
      </x:c>
      <x:c r="K1532" s="31"/>
      <x:c r="L1532" s="40"/>
      <x:c r="M1532" s="40"/>
      <x:c r="N1532" s="31" t="n">
        <x:v>634</x:v>
      </x:c>
      <x:c r="O1532" s="31" t="n">
        <x:v>2313</x:v>
      </x:c>
      <x:c r="P1532" s="31" t="n">
        <x:v>2.2953955901426717</x:v>
      </x:c>
      <x:c r="Q1532" s="40" t="n">
        <x:v>0</x:v>
      </x:c>
      <x:c r="R1532" s="40" t="n">
        <x:v>0.2840466926070039</x:v>
      </x:c>
      <x:c r="S1532" s="40" t="n">
        <x:v>0.3852140077821012</x:v>
      </x:c>
      <x:c r="T1532" s="31" t="n">
        <x:v>30.173547037225607</x:v>
      </x:c>
      <x:c r="U1532" s="31" t="n">
        <x:v>41</x:v>
      </x:c>
      <x:c r="V1532" s="31" t="n">
        <x:v>2</x:v>
      </x:c>
      <x:c r="W1532" s="31" t="n">
        <x:v>0.2878111958555188</x:v>
      </x:c>
      <x:c r="X1532" s="31" t="n">
        <x:v>2.001297016861219</x:v>
      </x:c>
      <x:c r="Y1532" s="40" t="n">
        <x:v>0</x:v>
      </x:c>
      <x:c r="Z1532" s="40" t="n">
        <x:v>1</x:v>
      </x:c>
      <x:c r="AA1532" s="40" t="n">
        <x:v>0.9926502377864246</x:v>
      </x:c>
      <x:c r="AB1532" s="31" t="n">
        <x:v>0.20765639275603973</x:v>
      </x:c>
      <x:c r="AC1532" s="31" t="n">
        <x:v>12</x:v>
      </x:c>
      <x:c r="AD1532" s="44" t="b">
        <x:v>1</x:v>
      </x:c>
    </x:row>
    <x:row r="1533">
      <x:c r="A1533" s="31" t="str">
        <x:v>36081006300</x:v>
      </x:c>
      <x:c r="B1533" s="31" t="str">
        <x:v>Queens</x:v>
      </x:c>
      <x:c r="C1533" s="31" t="str">
        <x:v>006300</x:v>
      </x:c>
      <x:c r="D1533" s="31" t="str">
        <x:v>QN0103</x:v>
      </x:c>
      <x:c r="E1533" s="31" t="str">
        <x:v>Astoria (Central)</x:v>
      </x:c>
      <x:c r="F1533" s="31" t="n">
        <x:v>0.08208130571840565</x:v>
      </x:c>
      <x:c r="G1533" s="31" t="n">
        <x:v>40.764485477038825</x:v>
      </x:c>
      <x:c r="H1533" s="31" t="n">
        <x:v>-73.92002557161584</x:v>
      </x:c>
      <x:c r="I1533" s="31" t="n">
        <x:v>5877</x:v>
      </x:c>
      <x:c r="J1533" s="31" t="n">
        <x:v>71599.73819327487</x:v>
      </x:c>
      <x:c r="K1533" s="31"/>
      <x:c r="L1533" s="40"/>
      <x:c r="M1533" s="40"/>
      <x:c r="N1533" s="31" t="n">
        <x:v>516</x:v>
      </x:c>
      <x:c r="O1533" s="31" t="n">
        <x:v>2981</x:v>
      </x:c>
      <x:c r="P1533" s="31" t="n">
        <x:v>3.8983719368915746</x:v>
      </x:c>
      <x:c r="Q1533" s="40" t="n">
        <x:v>0</x:v>
      </x:c>
      <x:c r="R1533" s="40" t="n">
        <x:v>0.8584367661858436</x:v>
      </x:c>
      <x:c r="S1533" s="40" t="n">
        <x:v>0.0006709158000670916</x:v>
      </x:c>
      <x:c r="T1533" s="31" t="n">
        <x:v>44.50825050824597</x:v>
      </x:c>
      <x:c r="U1533" s="31" t="n">
        <x:v>118</x:v>
      </x:c>
      <x:c r="V1533" s="31" t="n">
        <x:v>28</x:v>
      </x:c>
      <x:c r="W1533" s="31" t="n">
        <x:v>4.764335545346265</x:v>
      </x:c>
      <x:c r="X1533" s="31" t="n">
        <x:v>3</x:v>
      </x:c>
      <x:c r="Y1533" s="40" t="n">
        <x:v>0</x:v>
      </x:c>
      <x:c r="Z1533" s="40" t="n">
        <x:v>1</x:v>
      </x:c>
      <x:c r="AA1533" s="40" t="n">
        <x:v>0.9983227104998322</x:v>
      </x:c>
      <x:c r="AB1533" s="31" t="n">
        <x:v>0.23445409383047242</x:v>
      </x:c>
      <x:c r="AC1533" s="31" t="n">
        <x:v>7</x:v>
      </x:c>
      <x:c r="AD1533" s="44" t="b">
        <x:v>1</x:v>
      </x:c>
    </x:row>
    <x:row r="1534">
      <x:c r="A1534" s="31" t="str">
        <x:v>36081006501</x:v>
      </x:c>
      <x:c r="B1534" s="31" t="str">
        <x:v>Queens</x:v>
      </x:c>
      <x:c r="C1534" s="31" t="str">
        <x:v>006501</x:v>
      </x:c>
      <x:c r="D1534" s="31" t="str">
        <x:v>QN0103</x:v>
      </x:c>
      <x:c r="E1534" s="31" t="str">
        <x:v>Astoria (Central)</x:v>
      </x:c>
      <x:c r="F1534" s="31" t="n">
        <x:v>0.042987338163237486</x:v>
      </x:c>
      <x:c r="G1534" s="31" t="n">
        <x:v>40.76804853208235</x:v>
      </x:c>
      <x:c r="H1534" s="31" t="n">
        <x:v>-73.91767501665244</x:v>
      </x:c>
      <x:c r="I1534" s="31" t="n">
        <x:v>3645</x:v>
      </x:c>
      <x:c r="J1534" s="31" t="n">
        <x:v>84792.40994542859</x:v>
      </x:c>
      <x:c r="K1534" s="31"/>
      <x:c r="L1534" s="40"/>
      <x:c r="M1534" s="40"/>
      <x:c r="N1534" s="31" t="n">
        <x:v>255</x:v>
      </x:c>
      <x:c r="O1534" s="31" t="n">
        <x:v>2024</x:v>
      </x:c>
      <x:c r="P1534" s="31" t="n">
        <x:v>4.233695652173913</x:v>
      </x:c>
      <x:c r="Q1534" s="40" t="n">
        <x:v>0</x:v>
      </x:c>
      <x:c r="R1534" s="40" t="n">
        <x:v>0.8488142292490118</x:v>
      </x:c>
      <x:c r="S1534" s="40" t="n">
        <x:v>0.0029644268774703555</x:v>
      </x:c>
      <x:c r="T1534" s="31" t="n">
        <x:v>46.9131598756</x:v>
      </x:c>
      <x:c r="U1534" s="31" t="n">
        <x:v>84</x:v>
      </x:c>
      <x:c r="V1534" s="31" t="n">
        <x:v>17</x:v>
      </x:c>
      <x:c r="W1534" s="31" t="n">
        <x:v>4.663923182441701</x:v>
      </x:c>
      <x:c r="X1534" s="31" t="n">
        <x:v>3</x:v>
      </x:c>
      <x:c r="Y1534" s="40" t="n">
        <x:v>0</x:v>
      </x:c>
      <x:c r="Z1534" s="40" t="n">
        <x:v>1</x:v>
      </x:c>
      <x:c r="AA1534" s="40" t="n">
        <x:v>0.9881422924901185</x:v>
      </x:c>
      <x:c r="AB1534" s="31" t="n">
        <x:v>0.26188692210532105</x:v>
      </x:c>
      <x:c r="AC1534" s="31" t="n">
        <x:v>5</x:v>
      </x:c>
      <x:c r="AD1534" s="44" t="b">
        <x:v>1</x:v>
      </x:c>
    </x:row>
    <x:row r="1535">
      <x:c r="A1535" s="31" t="str">
        <x:v>36081006502</x:v>
      </x:c>
      <x:c r="B1535" s="31" t="str">
        <x:v>Queens</x:v>
      </x:c>
      <x:c r="C1535" s="31" t="str">
        <x:v>006502</x:v>
      </x:c>
      <x:c r="D1535" s="31" t="str">
        <x:v>QN0103</x:v>
      </x:c>
      <x:c r="E1535" s="31" t="str">
        <x:v>Astoria (Central)</x:v>
      </x:c>
      <x:c r="F1535" s="31" t="n">
        <x:v>0.05921151169758666</x:v>
      </x:c>
      <x:c r="G1535" s="31" t="n">
        <x:v>40.76679518958022</x:v>
      </x:c>
      <x:c r="H1535" s="31" t="n">
        <x:v>-73.91511947569892</x:v>
      </x:c>
      <x:c r="I1535" s="31" t="n">
        <x:v>4004</x:v>
      </x:c>
      <x:c r="J1535" s="31" t="n">
        <x:v>67621.98574577508</x:v>
      </x:c>
      <x:c r="K1535" s="31"/>
      <x:c r="L1535" s="40"/>
      <x:c r="M1535" s="40"/>
      <x:c r="N1535" s="31" t="n">
        <x:v>422</x:v>
      </x:c>
      <x:c r="O1535" s="31" t="n">
        <x:v>2002</x:v>
      </x:c>
      <x:c r="P1535" s="31" t="n">
        <x:v>3.613834702258727</x:v>
      </x:c>
      <x:c r="Q1535" s="40" t="n">
        <x:v>0</x:v>
      </x:c>
      <x:c r="R1535" s="40" t="n">
        <x:v>0.7767232767232767</x:v>
      </x:c>
      <x:c r="S1535" s="40" t="n">
        <x:v>0.004995004995004995</x:v>
      </x:c>
      <x:c r="T1535" s="31" t="n">
        <x:v>42.08910775290946</x:v>
      </x:c>
      <x:c r="U1535" s="31" t="n">
        <x:v>179</x:v>
      </x:c>
      <x:c r="V1535" s="31" t="n">
        <x:v>24</x:v>
      </x:c>
      <x:c r="W1535" s="31" t="n">
        <x:v>5.994005994005994</x:v>
      </x:c>
      <x:c r="X1535" s="31" t="n">
        <x:v>3</x:v>
      </x:c>
      <x:c r="Y1535" s="40" t="n">
        <x:v>0</x:v>
      </x:c>
      <x:c r="Z1535" s="40" t="n">
        <x:v>1</x:v>
      </x:c>
      <x:c r="AA1535" s="40" t="n">
        <x:v>0.9820179820179821</x:v>
      </x:c>
      <x:c r="AB1535" s="31" t="n">
        <x:v>0.34828109686806014</x:v>
      </x:c>
      <x:c r="AC1535" s="31" t="n">
        <x:v>7</x:v>
      </x:c>
      <x:c r="AD1535" s="44" t="b">
        <x:v>1</x:v>
      </x:c>
    </x:row>
    <x:row r="1536">
      <x:c r="A1536" s="31" t="str">
        <x:v>36081006900</x:v>
      </x:c>
      <x:c r="B1536" s="31" t="str">
        <x:v>Queens</x:v>
      </x:c>
      <x:c r="C1536" s="31" t="str">
        <x:v>006900</x:v>
      </x:c>
      <x:c r="D1536" s="31" t="str">
        <x:v>QN0103</x:v>
      </x:c>
      <x:c r="E1536" s="31" t="str">
        <x:v>Astoria (Central)</x:v>
      </x:c>
      <x:c r="F1536" s="31" t="n">
        <x:v>0.08131181659707873</x:v>
      </x:c>
      <x:c r="G1536" s="31" t="n">
        <x:v>40.77150501984072</x:v>
      </x:c>
      <x:c r="H1536" s="31" t="n">
        <x:v>-73.92216785380496</x:v>
      </x:c>
      <x:c r="I1536" s="31" t="n">
        <x:v>5196</x:v>
      </x:c>
      <x:c r="J1536" s="31" t="n">
        <x:v>63902.15121803927</x:v>
      </x:c>
      <x:c r="K1536" s="31"/>
      <x:c r="L1536" s="40"/>
      <x:c r="M1536" s="40"/>
      <x:c r="N1536" s="31" t="n">
        <x:v>412</x:v>
      </x:c>
      <x:c r="O1536" s="31" t="n">
        <x:v>2618</x:v>
      </x:c>
      <x:c r="P1536" s="31" t="n">
        <x:v>5.317469418960244</x:v>
      </x:c>
      <x:c r="Q1536" s="40" t="n">
        <x:v>0.12032085561497326</x:v>
      </x:c>
      <x:c r="R1536" s="40" t="n">
        <x:v>0.7383498854087089</x:v>
      </x:c>
      <x:c r="S1536" s="40" t="n">
        <x:v>0.016042780748663103</x:v>
      </x:c>
      <x:c r="T1536" s="31" t="n">
        <x:v>53.527717110930325</x:v>
      </x:c>
      <x:c r="U1536" s="31" t="n">
        <x:v>141.02720753</x:v>
      </x:c>
      <x:c r="V1536" s="31" t="n">
        <x:v>57</x:v>
      </x:c>
      <x:c r="W1536" s="31" t="n">
        <x:v>10.969976905311778</x:v>
      </x:c>
      <x:c r="X1536" s="31" t="n">
        <x:v>3</x:v>
      </x:c>
      <x:c r="Y1536" s="40" t="n">
        <x:v>0</x:v>
      </x:c>
      <x:c r="Z1536" s="40" t="n">
        <x:v>1</x:v>
      </x:c>
      <x:c r="AA1536" s="40" t="n">
        <x:v>0.9648586707410237</x:v>
      </x:c>
      <x:c r="AB1536" s="31" t="n">
        <x:v>0.06038095854366875</x:v>
      </x:c>
      <x:c r="AC1536" s="31" t="n">
        <x:v>7</x:v>
      </x:c>
      <x:c r="AD1536" s="44" t="b">
        <x:v>1</x:v>
      </x:c>
    </x:row>
    <x:row r="1537">
      <x:c r="A1537" s="31" t="str">
        <x:v>36081007100</x:v>
      </x:c>
      <x:c r="B1537" s="31" t="str">
        <x:v>Queens</x:v>
      </x:c>
      <x:c r="C1537" s="31" t="str">
        <x:v>007100</x:v>
      </x:c>
      <x:c r="D1537" s="31" t="str">
        <x:v>QN0103</x:v>
      </x:c>
      <x:c r="E1537" s="31" t="str">
        <x:v>Astoria (Central)</x:v>
      </x:c>
      <x:c r="F1537" s="31" t="n">
        <x:v>0.07540532738930499</x:v>
      </x:c>
      <x:c r="G1537" s="31" t="n">
        <x:v>40.769084950846405</x:v>
      </x:c>
      <x:c r="H1537" s="31" t="n">
        <x:v>-73.92304343091322</x:v>
      </x:c>
      <x:c r="I1537" s="31" t="n">
        <x:v>4355</x:v>
      </x:c>
      <x:c r="J1537" s="31" t="n">
        <x:v>57754.54004086302</x:v>
      </x:c>
      <x:c r="K1537" s="31"/>
      <x:c r="L1537" s="40"/>
      <x:c r="M1537" s="40"/>
      <x:c r="N1537" s="31" t="n">
        <x:v>358</x:v>
      </x:c>
      <x:c r="O1537" s="31" t="n">
        <x:v>2162</x:v>
      </x:c>
      <x:c r="P1537" s="31" t="n">
        <x:v>4.056674473067916</x:v>
      </x:c>
      <x:c r="Q1537" s="40" t="n">
        <x:v>0.03330249768732655</x:v>
      </x:c>
      <x:c r="R1537" s="40" t="n">
        <x:v>0.7835337650323775</x:v>
      </x:c>
      <x:c r="S1537" s="40" t="n">
        <x:v>0.005087881591119334</x:v>
      </x:c>
      <x:c r="T1537" s="31" t="n">
        <x:v>44.48518682214051</x:v>
      </x:c>
      <x:c r="U1537" s="31" t="n">
        <x:v>125</x:v>
      </x:c>
      <x:c r="V1537" s="31" t="n">
        <x:v>38</x:v>
      </x:c>
      <x:c r="W1537" s="31" t="n">
        <x:v>8.725602755453503</x:v>
      </x:c>
      <x:c r="X1537" s="31" t="n">
        <x:v>3</x:v>
      </x:c>
      <x:c r="Y1537" s="40" t="n">
        <x:v>0</x:v>
      </x:c>
      <x:c r="Z1537" s="40" t="n">
        <x:v>1</x:v>
      </x:c>
      <x:c r="AA1537" s="40" t="n">
        <x:v>0.9875115633672525</x:v>
      </x:c>
      <x:c r="AB1537" s="31" t="n">
        <x:v>0.0666501902052027</x:v>
      </x:c>
      <x:c r="AC1537" s="31" t="n">
        <x:v>7</x:v>
      </x:c>
      <x:c r="AD1537" s="44" t="b">
        <x:v>1</x:v>
      </x:c>
    </x:row>
    <x:row r="1538">
      <x:c r="A1538" s="31" t="str">
        <x:v>36081007300</x:v>
      </x:c>
      <x:c r="B1538" s="31" t="str">
        <x:v>Queens</x:v>
      </x:c>
      <x:c r="C1538" s="31" t="str">
        <x:v>007300</x:v>
      </x:c>
      <x:c r="D1538" s="31" t="str">
        <x:v>QN0103</x:v>
      </x:c>
      <x:c r="E1538" s="31" t="str">
        <x:v>Astoria (Central)</x:v>
      </x:c>
      <x:c r="F1538" s="31" t="n">
        <x:v>0.05460464787828569</x:v>
      </x:c>
      <x:c r="G1538" s="31" t="n">
        <x:v>40.766995240175596</x:v>
      </x:c>
      <x:c r="H1538" s="31" t="n">
        <x:v>-73.9253730660226</x:v>
      </x:c>
      <x:c r="I1538" s="31" t="n">
        <x:v>4470</x:v>
      </x:c>
      <x:c r="J1538" s="31" t="n">
        <x:v>81861.16335671049</x:v>
      </x:c>
      <x:c r="K1538" s="31"/>
      <x:c r="L1538" s="40"/>
      <x:c r="M1538" s="40"/>
      <x:c r="N1538" s="31" t="n">
        <x:v>189</x:v>
      </x:c>
      <x:c r="O1538" s="31" t="n">
        <x:v>2650</x:v>
      </x:c>
      <x:c r="P1538" s="31" t="n">
        <x:v>5.458301083591332</x:v>
      </x:c>
      <x:c r="Q1538" s="40" t="n">
        <x:v>0.04679245283018868</x:v>
      </x:c>
      <x:c r="R1538" s="40" t="n">
        <x:v>0.8841509433962265</x:v>
      </x:c>
      <x:c r="S1538" s="40" t="n">
        <x:v>0.03811320754716981</x:v>
      </x:c>
      <x:c r="T1538" s="31" t="n">
        <x:v>57.144735280442724</x:v>
      </x:c>
      <x:c r="U1538" s="31" t="n">
        <x:v>109</x:v>
      </x:c>
      <x:c r="V1538" s="31" t="n">
        <x:v>54</x:v>
      </x:c>
      <x:c r="W1538" s="31" t="n">
        <x:v>12.080536912751677</x:v>
      </x:c>
      <x:c r="X1538" s="31" t="n">
        <x:v>3</x:v>
      </x:c>
      <x:c r="Y1538" s="40" t="n">
        <x:v>0</x:v>
      </x:c>
      <x:c r="Z1538" s="40" t="n">
        <x:v>1</x:v>
      </x:c>
      <x:c r="AA1538" s="40" t="n">
        <x:v>0.9716981132075472</x:v>
      </x:c>
      <x:c r="AB1538" s="31" t="n">
        <x:v>0.11925090759237093</x:v>
      </x:c>
      <x:c r="AC1538" s="31" t="n">
        <x:v>6</x:v>
      </x:c>
      <x:c r="AD1538" s="44" t="b">
        <x:v>1</x:v>
      </x:c>
    </x:row>
    <x:row r="1539">
      <x:c r="A1539" s="31" t="str">
        <x:v>36081007500</x:v>
      </x:c>
      <x:c r="B1539" s="31" t="str">
        <x:v>Queens</x:v>
      </x:c>
      <x:c r="C1539" s="31" t="str">
        <x:v>007500</x:v>
      </x:c>
      <x:c r="D1539" s="31" t="str">
        <x:v>QN0103</x:v>
      </x:c>
      <x:c r="E1539" s="31" t="str">
        <x:v>Astoria (Central)</x:v>
      </x:c>
      <x:c r="F1539" s="31" t="n">
        <x:v>0.049903873780059116</x:v>
      </x:c>
      <x:c r="G1539" s="31" t="n">
        <x:v>40.764543544850824</x:v>
      </x:c>
      <x:c r="H1539" s="31" t="n">
        <x:v>-73.92733008599821</x:v>
      </x:c>
      <x:c r="I1539" s="31" t="n">
        <x:v>4477</x:v>
      </x:c>
      <x:c r="J1539" s="31" t="n">
        <x:v>89712.47442095258</x:v>
      </x:c>
      <x:c r="K1539" s="31"/>
      <x:c r="L1539" s="40"/>
      <x:c r="M1539" s="40"/>
      <x:c r="N1539" s="31" t="n">
        <x:v>178</x:v>
      </x:c>
      <x:c r="O1539" s="31" t="n">
        <x:v>2680</x:v>
      </x:c>
      <x:c r="P1539" s="31" t="n">
        <x:v>5.665168539325843</x:v>
      </x:c>
      <x:c r="Q1539" s="40" t="n">
        <x:v>0.08992537313432836</x:v>
      </x:c>
      <x:c r="R1539" s="40" t="n">
        <x:v>0.8425373134328358</x:v>
      </x:c>
      <x:c r="S1539" s="40" t="n">
        <x:v>0.026865671641791045</x:v>
      </x:c>
      <x:c r="T1539" s="31" t="n">
        <x:v>62.562993471013336</x:v>
      </x:c>
      <x:c r="U1539" s="31" t="n">
        <x:v>123.89438415</x:v>
      </x:c>
      <x:c r="V1539" s="31" t="n">
        <x:v>44</x:v>
      </x:c>
      <x:c r="W1539" s="31" t="n">
        <x:v>9.828009828009828</x:v>
      </x:c>
      <x:c r="X1539" s="31" t="n">
        <x:v>3</x:v>
      </x:c>
      <x:c r="Y1539" s="40" t="n">
        <x:v>0</x:v>
      </x:c>
      <x:c r="Z1539" s="40" t="n">
        <x:v>1</x:v>
      </x:c>
      <x:c r="AA1539" s="40" t="n">
        <x:v>0.9794776119402985</x:v>
      </x:c>
      <x:c r="AB1539" s="31" t="n">
        <x:v>0.18038560535816842</x:v>
      </x:c>
      <x:c r="AC1539" s="31" t="n">
        <x:v>8</x:v>
      </x:c>
      <x:c r="AD1539" s="44" t="b">
        <x:v>1</x:v>
      </x:c>
    </x:row>
    <x:row r="1540">
      <x:c r="A1540" s="31" t="str">
        <x:v>36081007700</x:v>
      </x:c>
      <x:c r="B1540" s="31" t="str">
        <x:v>Queens</x:v>
      </x:c>
      <x:c r="C1540" s="31" t="str">
        <x:v>007700</x:v>
      </x:c>
      <x:c r="D1540" s="31" t="str">
        <x:v>QN0102</x:v>
      </x:c>
      <x:c r="E1540" s="31" t="str">
        <x:v>Old Astoria-Hallets Point</x:v>
      </x:c>
      <x:c r="F1540" s="31" t="n">
        <x:v>0.04889815139247589</x:v>
      </x:c>
      <x:c r="G1540" s="31" t="n">
        <x:v>40.766732627692626</x:v>
      </x:c>
      <x:c r="H1540" s="31" t="n">
        <x:v>-73.93173281880948</x:v>
      </x:c>
      <x:c r="I1540" s="31" t="n">
        <x:v>2114</x:v>
      </x:c>
      <x:c r="J1540" s="31" t="n">
        <x:v>43232.71820711994</x:v>
      </x:c>
      <x:c r="K1540" s="31"/>
      <x:c r="L1540" s="40"/>
      <x:c r="M1540" s="40"/>
      <x:c r="N1540" s="31" t="n">
        <x:v>170</x:v>
      </x:c>
      <x:c r="O1540" s="31" t="n">
        <x:v>1182</x:v>
      </x:c>
      <x:c r="P1540" s="31" t="n">
        <x:v>6.027303754266212</x:v>
      </x:c>
      <x:c r="Q1540" s="40" t="n">
        <x:v>0.09475465313028765</x:v>
      </x:c>
      <x:c r="R1540" s="40" t="n">
        <x:v>0.7174280879864636</x:v>
      </x:c>
      <x:c r="S1540" s="40" t="n">
        <x:v>0.046531302876480544</x:v>
      </x:c>
      <x:c r="T1540" s="31" t="n">
        <x:v>68.24098417706364</x:v>
      </x:c>
      <x:c r="U1540" s="31" t="n">
        <x:v>124.29</x:v>
      </x:c>
      <x:c r="V1540" s="31" t="n">
        <x:v>31</x:v>
      </x:c>
      <x:c r="W1540" s="31" t="n">
        <x:v>14.66414380321665</x:v>
      </x:c>
      <x:c r="X1540" s="31" t="n">
        <x:v>3</x:v>
      </x:c>
      <x:c r="Y1540" s="40" t="n">
        <x:v>0</x:v>
      </x:c>
      <x:c r="Z1540" s="40" t="n">
        <x:v>1</x:v>
      </x:c>
      <x:c r="AA1540" s="40" t="n">
        <x:v>0.9306260575296108</x:v>
      </x:c>
      <x:c r="AB1540" s="31" t="n">
        <x:v>0.09637372293183387</x:v>
      </x:c>
      <x:c r="AC1540" s="31" t="n">
        <x:v>6</x:v>
      </x:c>
      <x:c r="AD1540" s="44" t="b">
        <x:v>1</x:v>
      </x:c>
    </x:row>
    <x:row r="1541">
      <x:c r="A1541" s="31" t="str">
        <x:v>36081007900</x:v>
      </x:c>
      <x:c r="B1541" s="31" t="str">
        <x:v>Queens</x:v>
      </x:c>
      <x:c r="C1541" s="31" t="str">
        <x:v>007900</x:v>
      </x:c>
      <x:c r="D1541" s="31" t="str">
        <x:v>QN0102</x:v>
      </x:c>
      <x:c r="E1541" s="31" t="str">
        <x:v>Old Astoria-Hallets Point</x:v>
      </x:c>
      <x:c r="F1541" s="31" t="n">
        <x:v>0.06196592896364211</x:v>
      </x:c>
      <x:c r="G1541" s="31" t="n">
        <x:v>40.76909971328035</x:v>
      </x:c>
      <x:c r="H1541" s="31" t="n">
        <x:v>-73.92994520628805</x:v>
      </x:c>
      <x:c r="I1541" s="31" t="n">
        <x:v>3628</x:v>
      </x:c>
      <x:c r="J1541" s="31" t="n">
        <x:v>58548.30324788148</x:v>
      </x:c>
      <x:c r="K1541" s="31"/>
      <x:c r="L1541" s="40"/>
      <x:c r="M1541" s="40"/>
      <x:c r="N1541" s="31" t="n">
        <x:v>296</x:v>
      </x:c>
      <x:c r="O1541" s="31" t="n">
        <x:v>1747</x:v>
      </x:c>
      <x:c r="P1541" s="31" t="n">
        <x:v>4.720480824270178</x:v>
      </x:c>
      <x:c r="Q1541" s="40" t="n">
        <x:v>0.08128219805380653</x:v>
      </x:c>
      <x:c r="R1541" s="40" t="n">
        <x:v>0.6811677160847167</x:v>
      </x:c>
      <x:c r="S1541" s="40" t="n">
        <x:v>0.030910131654264452</x:v>
      </x:c>
      <x:c r="T1541" s="31" t="n">
        <x:v>52.1801200182177</x:v>
      </x:c>
      <x:c r="U1541" s="31" t="n">
        <x:v>109</x:v>
      </x:c>
      <x:c r="V1541" s="31" t="n">
        <x:v>32</x:v>
      </x:c>
      <x:c r="W1541" s="31" t="n">
        <x:v>8.820286659316428</x:v>
      </x:c>
      <x:c r="X1541" s="31" t="n">
        <x:v>3</x:v>
      </x:c>
      <x:c r="Y1541" s="40" t="n">
        <x:v>0</x:v>
      </x:c>
      <x:c r="Z1541" s="40" t="n">
        <x:v>1</x:v>
      </x:c>
      <x:c r="AA1541" s="40" t="n">
        <x:v>0.9570692615912993</x:v>
      </x:c>
      <x:c r="AB1541" s="31" t="n">
        <x:v>0.13717008086112203</x:v>
      </x:c>
      <x:c r="AC1541" s="31" t="n">
        <x:v>6</x:v>
      </x:c>
      <x:c r="AD1541" s="44" t="b">
        <x:v>1</x:v>
      </x:c>
    </x:row>
    <x:row r="1542">
      <x:c r="A1542" s="31" t="str">
        <x:v>36081008100</x:v>
      </x:c>
      <x:c r="B1542" s="31" t="str">
        <x:v>Queens</x:v>
      </x:c>
      <x:c r="C1542" s="31" t="str">
        <x:v>008100</x:v>
      </x:c>
      <x:c r="D1542" s="31" t="str">
        <x:v>QN0102</x:v>
      </x:c>
      <x:c r="E1542" s="31" t="str">
        <x:v>Old Astoria-Hallets Point</x:v>
      </x:c>
      <x:c r="F1542" s="31" t="n">
        <x:v>0.04337072264835859</x:v>
      </x:c>
      <x:c r="G1542" s="31" t="n">
        <x:v>40.77007590911645</x:v>
      </x:c>
      <x:c r="H1542" s="31" t="n">
        <x:v>-73.9335811855613</x:v>
      </x:c>
      <x:c r="I1542" s="31" t="n">
        <x:v>1761</x:v>
      </x:c>
      <x:c r="J1542" s="31" t="n">
        <x:v>40603.42766888729</x:v>
      </x:c>
      <x:c r="K1542" s="31"/>
      <x:c r="L1542" s="40"/>
      <x:c r="M1542" s="40"/>
      <x:c r="N1542" s="31" t="n">
        <x:v>141</x:v>
      </x:c>
      <x:c r="O1542" s="31" t="n">
        <x:v>1681</x:v>
      </x:c>
      <x:c r="P1542" s="31" t="n">
        <x:v>7.189993564993565</x:v>
      </x:c>
      <x:c r="Q1542" s="40" t="n">
        <x:v>0.044616299821534804</x:v>
      </x:c>
      <x:c r="R1542" s="40" t="n">
        <x:v>0.7941701368233195</x:v>
      </x:c>
      <x:c r="S1542" s="40" t="n">
        <x:v>0.001784651992861392</x:v>
      </x:c>
      <x:c r="T1542" s="31" t="n">
        <x:v>78.70504364935569</x:v>
      </x:c>
      <x:c r="U1542" s="31" t="n">
        <x:v>219.56617791</x:v>
      </x:c>
      <x:c r="V1542" s="31" t="n">
        <x:v>27</x:v>
      </x:c>
      <x:c r="W1542" s="31" t="n">
        <x:v>15.332197614991482</x:v>
      </x:c>
      <x:c r="X1542" s="31" t="n">
        <x:v>3</x:v>
      </x:c>
      <x:c r="Y1542" s="40" t="n">
        <x:v>0</x:v>
      </x:c>
      <x:c r="Z1542" s="40" t="n">
        <x:v>1</x:v>
      </x:c>
      <x:c r="AA1542" s="40" t="n">
        <x:v>0.9048185603807257</x:v>
      </x:c>
      <x:c r="AB1542" s="31" t="n">
        <x:v>0.21049704176783024</x:v>
      </x:c>
      <x:c r="AC1542" s="31" t="n">
        <x:v>6</x:v>
      </x:c>
      <x:c r="AD1542" s="44" t="b">
        <x:v>1</x:v>
      </x:c>
    </x:row>
    <x:row r="1543">
      <x:c r="A1543" s="31" t="str">
        <x:v>36081008300</x:v>
      </x:c>
      <x:c r="B1543" s="31" t="str">
        <x:v>Queens</x:v>
      </x:c>
      <x:c r="C1543" s="31" t="str">
        <x:v>008300</x:v>
      </x:c>
      <x:c r="D1543" s="31" t="str">
        <x:v>QN0102</x:v>
      </x:c>
      <x:c r="E1543" s="31" t="str">
        <x:v>Old Astoria-Hallets Point</x:v>
      </x:c>
      <x:c r="F1543" s="31" t="n">
        <x:v>0.0738771721619605</x:v>
      </x:c>
      <x:c r="G1543" s="31" t="n">
        <x:v>40.772620233702725</x:v>
      </x:c>
      <x:c r="H1543" s="31" t="n">
        <x:v>-73.92869602395513</x:v>
      </x:c>
      <x:c r="I1543" s="31" t="n">
        <x:v>3515</x:v>
      </x:c>
      <x:c r="J1543" s="31" t="n">
        <x:v>47578.97327599499</x:v>
      </x:c>
      <x:c r="K1543" s="31"/>
      <x:c r="L1543" s="40"/>
      <x:c r="M1543" s="40"/>
      <x:c r="N1543" s="31" t="n">
        <x:v>270</x:v>
      </x:c>
      <x:c r="O1543" s="31" t="n">
        <x:v>1705</x:v>
      </x:c>
      <x:c r="P1543" s="31" t="n">
        <x:v>5.25092879256966</x:v>
      </x:c>
      <x:c r="Q1543" s="40" t="n">
        <x:v>0.11202346041055719</x:v>
      </x:c>
      <x:c r="R1543" s="40" t="n">
        <x:v>0.6580645161290323</x:v>
      </x:c>
      <x:c r="S1543" s="40" t="n">
        <x:v>0.0011730205278592375</x:v>
      </x:c>
      <x:c r="T1543" s="31" t="n">
        <x:v>55.39784560056424</x:v>
      </x:c>
      <x:c r="U1543" s="31" t="n">
        <x:v>125.8746708</x:v>
      </x:c>
      <x:c r="V1543" s="31" t="n">
        <x:v>25</x:v>
      </x:c>
      <x:c r="W1543" s="31" t="n">
        <x:v>7.112375533428165</x:v>
      </x:c>
      <x:c r="X1543" s="31" t="n">
        <x:v>3</x:v>
      </x:c>
      <x:c r="Y1543" s="40" t="n">
        <x:v>0</x:v>
      </x:c>
      <x:c r="Z1543" s="40" t="n">
        <x:v>1</x:v>
      </x:c>
      <x:c r="AA1543" s="40" t="n">
        <x:v>0.8627565982404692</x:v>
      </x:c>
      <x:c r="AB1543" s="31" t="n">
        <x:v>0.016035124334869026</x:v>
      </x:c>
      <x:c r="AC1543" s="31" t="n">
        <x:v>6</x:v>
      </x:c>
      <x:c r="AD1543" s="44" t="b">
        <x:v>1</x:v>
      </x:c>
    </x:row>
    <x:row r="1544">
      <x:c r="A1544" s="31" t="str">
        <x:v>36081008500</x:v>
      </x:c>
      <x:c r="B1544" s="31" t="str">
        <x:v>Queens</x:v>
      </x:c>
      <x:c r="C1544" s="31" t="str">
        <x:v>008500</x:v>
      </x:c>
      <x:c r="D1544" s="31" t="str">
        <x:v>QN0105</x:v>
      </x:c>
      <x:c r="E1544" s="31" t="str">
        <x:v>Queensbridge-Ravenswood-Dutch Kills</x:v>
      </x:c>
      <x:c r="F1544" s="31" t="n">
        <x:v>0.1055491608234332</x:v>
      </x:c>
      <x:c r="G1544" s="31" t="n">
        <x:v>40.760019711681565</x:v>
      </x:c>
      <x:c r="H1544" s="31" t="n">
        <x:v>-73.94072611752489</x:v>
      </x:c>
      <x:c r="I1544" s="31" t="n">
        <x:v>1979</x:v>
      </x:c>
      <x:c r="J1544" s="31" t="n">
        <x:v>18749.556932153628</x:v>
      </x:c>
      <x:c r="K1544" s="31"/>
      <x:c r="L1544" s="40"/>
      <x:c r="M1544" s="40"/>
      <x:c r="N1544" s="31" t="n">
        <x:v>121</x:v>
      </x:c>
      <x:c r="O1544" s="31" t="n">
        <x:v>551</x:v>
      </x:c>
      <x:c r="P1544" s="31" t="n">
        <x:v>4.273139745916516</x:v>
      </x:c>
      <x:c r="Q1544" s="40" t="n">
        <x:v>0.0018148820326678765</x:v>
      </x:c>
      <x:c r="R1544" s="40" t="n">
        <x:v>0.7114337568058077</x:v>
      </x:c>
      <x:c r="S1544" s="40" t="n">
        <x:v>0.007259528130671506</x:v>
      </x:c>
      <x:c r="T1544" s="31" t="n">
        <x:v>35.707705520329114</x:v>
      </x:c>
      <x:c r="U1544" s="31" t="n">
        <x:v>143</x:v>
      </x:c>
      <x:c r="V1544" s="31" t="n">
        <x:v>5</x:v>
      </x:c>
      <x:c r="W1544" s="31" t="n">
        <x:v>2.5265285497726127</x:v>
      </x:c>
      <x:c r="X1544" s="31" t="n">
        <x:v>3.1833030852994555</x:v>
      </x:c>
      <x:c r="Y1544" s="40" t="n">
        <x:v>0.18330308529945555</x:v>
      </x:c>
      <x:c r="Z1544" s="40" t="n">
        <x:v>1</x:v>
      </x:c>
      <x:c r="AA1544" s="40" t="n">
        <x:v>0.7168784029038112</x:v>
      </x:c>
      <x:c r="AB1544" s="31" t="n">
        <x:v>0.06836298079387602</x:v>
      </x:c>
      <x:c r="AC1544" s="31" t="n">
        <x:v>6</x:v>
      </x:c>
      <x:c r="AD1544" s="44" t="b">
        <x:v>1</x:v>
      </x:c>
    </x:row>
    <x:row r="1545">
      <x:c r="A1545" s="31" t="str">
        <x:v>36081008600</x:v>
      </x:c>
      <x:c r="B1545" s="31" t="str">
        <x:v>Queens</x:v>
      </x:c>
      <x:c r="C1545" s="31" t="str">
        <x:v>008600</x:v>
      </x:c>
      <x:c r="D1545" s="31" t="str">
        <x:v>QN1002</x:v>
      </x:c>
      <x:c r="E1545" s="31" t="str">
        <x:v>Ozone Park</x:v>
      </x:c>
      <x:c r="F1545" s="31" t="n">
        <x:v>0.1277862376667958</x:v>
      </x:c>
      <x:c r="G1545" s="31" t="n">
        <x:v>40.67709948213553</x:v>
      </x:c>
      <x:c r="H1545" s="31" t="n">
        <x:v>-73.84116654708424</x:v>
      </x:c>
      <x:c r="I1545" s="31" t="n">
        <x:v>2989</x:v>
      </x:c>
      <x:c r="J1545" s="31" t="n">
        <x:v>23390.625270569857</x:v>
      </x:c>
      <x:c r="K1545" s="31"/>
      <x:c r="L1545" s="40"/>
      <x:c r="M1545" s="40"/>
      <x:c r="N1545" s="31" t="n">
        <x:v>596</x:v>
      </x:c>
      <x:c r="O1545" s="31" t="n">
        <x:v>958</x:v>
      </x:c>
      <x:c r="P1545" s="31" t="n">
        <x:v>2.3163152400835076</x:v>
      </x:c>
      <x:c r="Q1545" s="40" t="n">
        <x:v>0</x:v>
      </x:c>
      <x:c r="R1545" s="40" t="n">
        <x:v>0.0407098121085595</x:v>
      </x:c>
      <x:c r="S1545" s="40" t="n">
        <x:v>0.016701461377870562</x:v>
      </x:c>
      <x:c r="T1545" s="31" t="n">
        <x:v>28.117120631691023</x:v>
      </x:c>
      <x:c r="U1545" s="31" t="n">
        <x:v>38.89</x:v>
      </x:c>
      <x:c r="V1545" s="31" t="n">
        <x:v>0</x:v>
      </x:c>
      <x:c r="W1545" s="31" t="n">
        <x:v>0</x:v>
      </x:c>
      <x:c r="X1545" s="31" t="n">
        <x:v>3</x:v>
      </x:c>
      <x:c r="Y1545" s="40" t="n">
        <x:v>0</x:v>
      </x:c>
      <x:c r="Z1545" s="40" t="n">
        <x:v>1</x:v>
      </x:c>
      <x:c r="AA1545" s="40" t="n">
        <x:v>1</x:v>
      </x:c>
      <x:c r="AB1545" s="31" t="n">
        <x:v>0.11746948473800635</x:v>
      </x:c>
      <x:c r="AC1545" s="31" t="n">
        <x:v>6</x:v>
      </x:c>
      <x:c r="AD1545" s="44" t="b">
        <x:v>1</x:v>
      </x:c>
    </x:row>
    <x:row r="1546">
      <x:c r="A1546" s="31" t="str">
        <x:v>36081008700</x:v>
      </x:c>
      <x:c r="B1546" s="31" t="str">
        <x:v>Queens</x:v>
      </x:c>
      <x:c r="C1546" s="31" t="str">
        <x:v>008700</x:v>
      </x:c>
      <x:c r="D1546" s="31" t="str">
        <x:v>QN0102</x:v>
      </x:c>
      <x:c r="E1546" s="31" t="str">
        <x:v>Old Astoria-Hallets Point</x:v>
      </x:c>
      <x:c r="F1546" s="31" t="n">
        <x:v>0.09768097657792413</x:v>
      </x:c>
      <x:c r="G1546" s="31" t="n">
        <x:v>40.77437596026954</x:v>
      </x:c>
      <x:c r="H1546" s="31" t="n">
        <x:v>-73.93458192497461</x:v>
      </x:c>
      <x:c r="I1546" s="31" t="n">
        <x:v>5176</x:v>
      </x:c>
      <x:c r="J1546" s="31" t="n">
        <x:v>52988.823221591076</x:v>
      </x:c>
      <x:c r="K1546" s="31"/>
      <x:c r="L1546" s="40"/>
      <x:c r="M1546" s="40"/>
      <x:c r="N1546" s="31" t="n">
        <x:v>56</x:v>
      </x:c>
      <x:c r="O1546" s="31" t="n">
        <x:v>3492</x:v>
      </x:c>
      <x:c r="P1546" s="31" t="n">
        <x:v>11.583476517754868</x:v>
      </x:c>
      <x:c r="Q1546" s="40" t="n">
        <x:v>0.38717067583046966</x:v>
      </x:c>
      <x:c r="R1546" s="40" t="n">
        <x:v>0.6088201603665521</x:v>
      </x:c>
      <x:c r="S1546" s="40" t="n">
        <x:v>0.3161512027491409</x:v>
      </x:c>
      <x:c r="T1546" s="31" t="n">
        <x:v>122.36362529559666</x:v>
      </x:c>
      <x:c r="U1546" s="31" t="n">
        <x:v>277</x:v>
      </x:c>
      <x:c r="V1546" s="31" t="n">
        <x:v>79</x:v>
      </x:c>
      <x:c r="W1546" s="31" t="n">
        <x:v>15.262751159196291</x:v>
      </x:c>
      <x:c r="X1546" s="31" t="n">
        <x:v>3</x:v>
      </x:c>
      <x:c r="Y1546" s="40" t="n">
        <x:v>0</x:v>
      </x:c>
      <x:c r="Z1546" s="40" t="n">
        <x:v>1</x:v>
      </x:c>
      <x:c r="AA1546" s="40" t="n">
        <x:v>0.9599083619702177</x:v>
      </x:c>
      <x:c r="AB1546" s="31" t="n">
        <x:v>0.08345827069779053</x:v>
      </x:c>
      <x:c r="AC1546" s="31" t="n">
        <x:v>5</x:v>
      </x:c>
      <x:c r="AD1546" s="44" t="b">
        <x:v>1</x:v>
      </x:c>
    </x:row>
    <x:row r="1547">
      <x:c r="A1547" s="31" t="str">
        <x:v>36081008800</x:v>
      </x:c>
      <x:c r="B1547" s="31" t="str">
        <x:v>Queens</x:v>
      </x:c>
      <x:c r="C1547" s="31" t="str">
        <x:v>008800</x:v>
      </x:c>
      <x:c r="D1547" s="31" t="str">
        <x:v>QN1002</x:v>
      </x:c>
      <x:c r="E1547" s="31" t="str">
        <x:v>Ozone Park</x:v>
      </x:c>
      <x:c r="F1547" s="31" t="n">
        <x:v>0.17386286302980083</x:v>
      </x:c>
      <x:c r="G1547" s="31" t="n">
        <x:v>40.67077684271296</x:v>
      </x:c>
      <x:c r="H1547" s="31" t="n">
        <x:v>-73.83877390972317</x:v>
      </x:c>
      <x:c r="I1547" s="31" t="n">
        <x:v>3449</x:v>
      </x:c>
      <x:c r="J1547" s="31" t="n">
        <x:v>19837.47385667304</x:v>
      </x:c>
      <x:c r="K1547" s="31"/>
      <x:c r="L1547" s="40"/>
      <x:c r="M1547" s="40"/>
      <x:c r="N1547" s="31" t="n">
        <x:v>698</x:v>
      </x:c>
      <x:c r="O1547" s="31" t="n">
        <x:v>1276</x:v>
      </x:c>
      <x:c r="P1547" s="31" t="n">
        <x:v>2.271421647819063</x:v>
      </x:c>
      <x:c r="Q1547" s="40" t="n">
        <x:v>0</x:v>
      </x:c>
      <x:c r="R1547" s="40" t="n">
        <x:v>0.16614420062695925</x:v>
      </x:c>
      <x:c r="S1547" s="40" t="n">
        <x:v>0.1206896551724138</x:v>
      </x:c>
      <x:c r="T1547" s="31" t="n">
        <x:v>28.467287076850077</x:v>
      </x:c>
      <x:c r="U1547" s="31" t="n">
        <x:v>39.93977611</x:v>
      </x:c>
      <x:c r="V1547" s="31" t="n">
        <x:v>0</x:v>
      </x:c>
      <x:c r="W1547" s="31" t="n">
        <x:v>0</x:v>
      </x:c>
      <x:c r="X1547" s="31" t="n">
        <x:v>3</x:v>
      </x:c>
      <x:c r="Y1547" s="40" t="n">
        <x:v>0</x:v>
      </x:c>
      <x:c r="Z1547" s="40" t="n">
        <x:v>1</x:v>
      </x:c>
      <x:c r="AA1547" s="40" t="n">
        <x:v>0.9827586206896551</x:v>
      </x:c>
      <x:c r="AB1547" s="31" t="n">
        <x:v>0.2166607802152927</x:v>
      </x:c>
      <x:c r="AC1547" s="31" t="n">
        <x:v>6</x:v>
      </x:c>
      <x:c r="AD1547" s="44" t="b">
        <x:v>1</x:v>
      </x:c>
    </x:row>
    <x:row r="1548">
      <x:c r="A1548" s="31" t="str">
        <x:v>36081009100</x:v>
      </x:c>
      <x:c r="B1548" s="31" t="str">
        <x:v>Queens</x:v>
      </x:c>
      <x:c r="C1548" s="31" t="str">
        <x:v>009100</x:v>
      </x:c>
      <x:c r="D1548" s="31" t="str">
        <x:v>QN0102</x:v>
      </x:c>
      <x:c r="E1548" s="31" t="str">
        <x:v>Old Astoria-Hallets Point</x:v>
      </x:c>
      <x:c r="F1548" s="31" t="n">
        <x:v>0.0720443299647756</x:v>
      </x:c>
      <x:c r="G1548" s="31" t="n">
        <x:v>40.775856585624716</x:v>
      </x:c>
      <x:c r="H1548" s="31" t="n">
        <x:v>-73.92967637469444</x:v>
      </x:c>
      <x:c r="I1548" s="31" t="n">
        <x:v>2733</x:v>
      </x:c>
      <x:c r="J1548" s="31" t="n">
        <x:v>37934.97699730481</x:v>
      </x:c>
      <x:c r="K1548" s="31"/>
      <x:c r="L1548" s="40"/>
      <x:c r="M1548" s="40"/>
      <x:c r="N1548" s="31" t="n">
        <x:v>225</x:v>
      </x:c>
      <x:c r="O1548" s="31" t="n">
        <x:v>1279</x:v>
      </x:c>
      <x:c r="P1548" s="31" t="n">
        <x:v>9.915754495699765</x:v>
      </x:c>
      <x:c r="Q1548" s="40" t="n">
        <x:v>0.3197810789679437</x:v>
      </x:c>
      <x:c r="R1548" s="40" t="n">
        <x:v>0.4440969507427678</x:v>
      </x:c>
      <x:c r="S1548" s="40" t="n">
        <x:v>0.008600469116497263</x:v>
      </x:c>
      <x:c r="T1548" s="31" t="n">
        <x:v>96.1091050836428</x:v>
      </x:c>
      <x:c r="U1548" s="31" t="n">
        <x:v>209</x:v>
      </x:c>
      <x:c r="V1548" s="31" t="n">
        <x:v>14</x:v>
      </x:c>
      <x:c r="W1548" s="31" t="n">
        <x:v>5.122575923893158</x:v>
      </x:c>
      <x:c r="X1548" s="31" t="n">
        <x:v>3</x:v>
      </x:c>
      <x:c r="Y1548" s="40" t="n">
        <x:v>0</x:v>
      </x:c>
      <x:c r="Z1548" s="40" t="n">
        <x:v>1</x:v>
      </x:c>
      <x:c r="AA1548" s="40" t="n">
        <x:v>0.9937451133698202</x:v>
      </x:c>
      <x:c r="AB1548" s="31" t="n">
        <x:v>0.24444537718246326</x:v>
      </x:c>
      <x:c r="AC1548" s="31" t="n">
        <x:v>5</x:v>
      </x:c>
      <x:c r="AD1548" s="44" t="b">
        <x:v>1</x:v>
      </x:c>
    </x:row>
    <x:row r="1549">
      <x:c r="A1549" s="31" t="str">
        <x:v>36081009400</x:v>
      </x:c>
      <x:c r="B1549" s="31" t="str">
        <x:v>Queens</x:v>
      </x:c>
      <x:c r="C1549" s="31" t="str">
        <x:v>009400</x:v>
      </x:c>
      <x:c r="D1549" s="31" t="str">
        <x:v>QN1001</x:v>
      </x:c>
      <x:c r="E1549" s="31" t="str">
        <x:v>South Ozone Park</x:v>
      </x:c>
      <x:c r="F1549" s="31" t="n">
        <x:v>0.06706418156673268</x:v>
      </x:c>
      <x:c r="G1549" s="31" t="n">
        <x:v>40.681410532797116</x:v>
      </x:c>
      <x:c r="H1549" s="31" t="n">
        <x:v>-73.83651121762935</x:v>
      </x:c>
      <x:c r="I1549" s="31" t="n">
        <x:v>2919</x:v>
      </x:c>
      <x:c r="J1549" s="31" t="n">
        <x:v>43525.46965917163</x:v>
      </x:c>
      <x:c r="K1549" s="31"/>
      <x:c r="L1549" s="40"/>
      <x:c r="M1549" s="40"/>
      <x:c r="N1549" s="31" t="n">
        <x:v>456</x:v>
      </x:c>
      <x:c r="O1549" s="31" t="n">
        <x:v>846</x:v>
      </x:c>
      <x:c r="P1549" s="31" t="n">
        <x:v>2.24822695035461</x:v>
      </x:c>
      <x:c r="Q1549" s="40" t="n">
        <x:v>0</x:v>
      </x:c>
      <x:c r="R1549" s="40" t="n">
        <x:v>0.10756501182033097</x:v>
      </x:c>
      <x:c r="S1549" s="40" t="n">
        <x:v>0.008274231678486997</x:v>
      </x:c>
      <x:c r="T1549" s="31" t="n">
        <x:v>27.729240560830366</x:v>
      </x:c>
      <x:c r="U1549" s="31" t="n">
        <x:v>44.24</x:v>
      </x:c>
      <x:c r="V1549" s="31" t="n">
        <x:v>0</x:v>
      </x:c>
      <x:c r="W1549" s="31" t="n">
        <x:v>0</x:v>
      </x:c>
      <x:c r="X1549" s="31" t="n">
        <x:v>3</x:v>
      </x:c>
      <x:c r="Y1549" s="40" t="n">
        <x:v>0</x:v>
      </x:c>
      <x:c r="Z1549" s="40" t="n">
        <x:v>1</x:v>
      </x:c>
      <x:c r="AA1549" s="40" t="n">
        <x:v>0.9964539007092199</x:v>
      </x:c>
      <x:c r="AB1549" s="31" t="n">
        <x:v>0.1888710409308257</x:v>
      </x:c>
      <x:c r="AC1549" s="31" t="n">
        <x:v>7</x:v>
      </x:c>
      <x:c r="AD1549" s="44" t="b">
        <x:v>1</x:v>
      </x:c>
    </x:row>
    <x:row r="1550">
      <x:c r="A1550" s="31" t="str">
        <x:v>36081009500</x:v>
      </x:c>
      <x:c r="B1550" s="31" t="str">
        <x:v>Queens</x:v>
      </x:c>
      <x:c r="C1550" s="31" t="str">
        <x:v>009500</x:v>
      </x:c>
      <x:c r="D1550" s="31" t="str">
        <x:v>QN0101</x:v>
      </x:c>
      <x:c r="E1550" s="31" t="str">
        <x:v>Astoria (North)-Ditmars-Steinway</x:v>
      </x:c>
      <x:c r="F1550" s="31" t="n">
        <x:v>0.06351429167204718</x:v>
      </x:c>
      <x:c r="G1550" s="31" t="n">
        <x:v>40.774465084387145</x:v>
      </x:c>
      <x:c r="H1550" s="31" t="n">
        <x:v>-73.92079721860524</x:v>
      </x:c>
      <x:c r="I1550" s="31" t="n">
        <x:v>2510</x:v>
      </x:c>
      <x:c r="J1550" s="31" t="n">
        <x:v>39518.66475911056</x:v>
      </x:c>
      <x:c r="K1550" s="31"/>
      <x:c r="L1550" s="40"/>
      <x:c r="M1550" s="40"/>
      <x:c r="N1550" s="31" t="n">
        <x:v>329</x:v>
      </x:c>
      <x:c r="O1550" s="31" t="n">
        <x:v>1014</x:v>
      </x:c>
      <x:c r="P1550" s="31" t="n">
        <x:v>2.6775147928994083</x:v>
      </x:c>
      <x:c r="Q1550" s="40" t="n">
        <x:v>0</x:v>
      </x:c>
      <x:c r="R1550" s="40" t="n">
        <x:v>0.4250493096646943</x:v>
      </x:c>
      <x:c r="S1550" s="40" t="n">
        <x:v>0</x:v>
      </x:c>
      <x:c r="T1550" s="31" t="n">
        <x:v>33.13944884924063</x:v>
      </x:c>
      <x:c r="U1550" s="31" t="n">
        <x:v>54.36</x:v>
      </x:c>
      <x:c r="V1550" s="31" t="n">
        <x:v>1</x:v>
      </x:c>
      <x:c r="W1550" s="31" t="n">
        <x:v>0.39840637450199207</x:v>
      </x:c>
      <x:c r="X1550" s="31" t="n">
        <x:v>3</x:v>
      </x:c>
      <x:c r="Y1550" s="40" t="n">
        <x:v>0</x:v>
      </x:c>
      <x:c r="Z1550" s="40" t="n">
        <x:v>1</x:v>
      </x:c>
      <x:c r="AA1550" s="40" t="n">
        <x:v>1</x:v>
      </x:c>
      <x:c r="AB1550" s="31" t="n">
        <x:v>0.2583250597053229</x:v>
      </x:c>
      <x:c r="AC1550" s="31" t="n">
        <x:v>6</x:v>
      </x:c>
      <x:c r="AD1550" s="44" t="b">
        <x:v>1</x:v>
      </x:c>
    </x:row>
    <x:row r="1551">
      <x:c r="A1551" s="31" t="str">
        <x:v>36081009600</x:v>
      </x:c>
      <x:c r="B1551" s="31" t="str">
        <x:v>Queens</x:v>
      </x:c>
      <x:c r="C1551" s="31" t="str">
        <x:v>009600</x:v>
      </x:c>
      <x:c r="D1551" s="31" t="str">
        <x:v>QN1001</x:v>
      </x:c>
      <x:c r="E1551" s="31" t="str">
        <x:v>South Ozone Park</x:v>
      </x:c>
      <x:c r="F1551" s="31" t="n">
        <x:v>0.07971167320506198</x:v>
      </x:c>
      <x:c r="G1551" s="31" t="n">
        <x:v>40.680914046551386</x:v>
      </x:c>
      <x:c r="H1551" s="31" t="n">
        <x:v>-73.83226841133545</x:v>
      </x:c>
      <x:c r="I1551" s="31" t="n">
        <x:v>3127</x:v>
      </x:c>
      <x:c r="J1551" s="31" t="n">
        <x:v>39228.88423074055</x:v>
      </x:c>
      <x:c r="K1551" s="31"/>
      <x:c r="L1551" s="40"/>
      <x:c r="M1551" s="40"/>
      <x:c r="N1551" s="31" t="n">
        <x:v>592</x:v>
      </x:c>
      <x:c r="O1551" s="31" t="n">
        <x:v>837</x:v>
      </x:c>
      <x:c r="P1551" s="31" t="n">
        <x:v>2.134109916367981</x:v>
      </x:c>
      <x:c r="Q1551" s="40" t="n">
        <x:v>0</x:v>
      </x:c>
      <x:c r="R1551" s="40" t="n">
        <x:v>0.022700119474313024</x:v>
      </x:c>
      <x:c r="S1551" s="40" t="n">
        <x:v>0.010752688172043012</x:v>
      </x:c>
      <x:c r="T1551" s="31" t="n">
        <x:v>25.91302199152927</x:v>
      </x:c>
      <x:c r="U1551" s="31" t="n">
        <x:v>35.01496841</x:v>
      </x:c>
      <x:c r="V1551" s="31" t="n">
        <x:v>1</x:v>
      </x:c>
      <x:c r="W1551" s="31" t="n">
        <x:v>0.3197953309881676</x:v>
      </x:c>
      <x:c r="X1551" s="31" t="n">
        <x:v>3.6176821983273597</x:v>
      </x:c>
      <x:c r="Y1551" s="40" t="n">
        <x:v>0.6176821983273596</x:v>
      </x:c>
      <x:c r="Z1551" s="40" t="n">
        <x:v>1</x:v>
      </x:c>
      <x:c r="AA1551" s="40" t="n">
        <x:v>1</x:v>
      </x:c>
      <x:c r="AB1551" s="31" t="n">
        <x:v>0.134216859584868</x:v>
      </x:c>
      <x:c r="AC1551" s="31" t="n">
        <x:v>4</x:v>
      </x:c>
      <x:c r="AD1551" s="44" t="b">
        <x:v>1</x:v>
      </x:c>
    </x:row>
    <x:row r="1552">
      <x:c r="A1552" s="31" t="str">
        <x:v>36081009700</x:v>
      </x:c>
      <x:c r="B1552" s="31" t="str">
        <x:v>Queens</x:v>
      </x:c>
      <x:c r="C1552" s="31" t="str">
        <x:v>009700</x:v>
      </x:c>
      <x:c r="D1552" s="31" t="str">
        <x:v>QN0101</x:v>
      </x:c>
      <x:c r="E1552" s="31" t="str">
        <x:v>Astoria (North)-Ditmars-Steinway</x:v>
      </x:c>
      <x:c r="F1552" s="31" t="n">
        <x:v>0.07789793382762282</x:v>
      </x:c>
      <x:c r="G1552" s="31" t="n">
        <x:v>40.77648152750626</x:v>
      </x:c>
      <x:c r="H1552" s="31" t="n">
        <x:v>-73.91860245680594</x:v>
      </x:c>
      <x:c r="I1552" s="31" t="n">
        <x:v>3860</x:v>
      </x:c>
      <x:c r="J1552" s="31" t="n">
        <x:v>49552.020321124786</x:v>
      </x:c>
      <x:c r="K1552" s="31"/>
      <x:c r="L1552" s="40"/>
      <x:c r="M1552" s="40"/>
      <x:c r="N1552" s="31" t="n">
        <x:v>606</x:v>
      </x:c>
      <x:c r="O1552" s="31" t="n">
        <x:v>1646</x:v>
      </x:c>
      <x:c r="P1552" s="31" t="n">
        <x:v>2.981925880923451</x:v>
      </x:c>
      <x:c r="Q1552" s="40" t="n">
        <x:v>0</x:v>
      </x:c>
      <x:c r="R1552" s="40" t="n">
        <x:v>0.38517618469015796</x:v>
      </x:c>
      <x:c r="S1552" s="40" t="n">
        <x:v>0.003037667071688943</x:v>
      </x:c>
      <x:c r="T1552" s="31" t="n">
        <x:v>36.074822248523695</x:v>
      </x:c>
      <x:c r="U1552" s="31" t="n">
        <x:v>85.27</x:v>
      </x:c>
      <x:c r="V1552" s="31" t="n">
        <x:v>7</x:v>
      </x:c>
      <x:c r="W1552" s="31" t="n">
        <x:v>1.8134715025906736</x:v>
      </x:c>
      <x:c r="X1552" s="31" t="n">
        <x:v>3</x:v>
      </x:c>
      <x:c r="Y1552" s="40" t="n">
        <x:v>0</x:v>
      </x:c>
      <x:c r="Z1552" s="40" t="n">
        <x:v>1</x:v>
      </x:c>
      <x:c r="AA1552" s="40" t="n">
        <x:v>1</x:v>
      </x:c>
      <x:c r="AB1552" s="31" t="n">
        <x:v>0.3020545560781091</x:v>
      </x:c>
      <x:c r="AC1552" s="31" t="n">
        <x:v>5</x:v>
      </x:c>
      <x:c r="AD1552" s="44" t="b">
        <x:v>1</x:v>
      </x:c>
    </x:row>
    <x:row r="1553">
      <x:c r="A1553" s="31" t="str">
        <x:v>36081009800</x:v>
      </x:c>
      <x:c r="B1553" s="31" t="str">
        <x:v>Queens</x:v>
      </x:c>
      <x:c r="C1553" s="31" t="str">
        <x:v>009800</x:v>
      </x:c>
      <x:c r="D1553" s="31" t="str">
        <x:v>QN1001</x:v>
      </x:c>
      <x:c r="E1553" s="31" t="str">
        <x:v>South Ozone Park</x:v>
      </x:c>
      <x:c r="F1553" s="31" t="n">
        <x:v>0.05240224533904385</x:v>
      </x:c>
      <x:c r="G1553" s="31" t="n">
        <x:v>40.68540011204982</x:v>
      </x:c>
      <x:c r="H1553" s="31" t="n">
        <x:v>-73.83120790816068</x:v>
      </x:c>
      <x:c r="I1553" s="31" t="n">
        <x:v>2631</x:v>
      </x:c>
      <x:c r="J1553" s="31" t="n">
        <x:v>50207.77226199686</x:v>
      </x:c>
      <x:c r="K1553" s="31"/>
      <x:c r="L1553" s="40"/>
      <x:c r="M1553" s="40"/>
      <x:c r="N1553" s="31" t="n">
        <x:v>391</x:v>
      </x:c>
      <x:c r="O1553" s="31" t="n">
        <x:v>769</x:v>
      </x:c>
      <x:c r="P1553" s="31" t="n">
        <x:v>2.358816644993498</x:v>
      </x:c>
      <x:c r="Q1553" s="40" t="n">
        <x:v>0</x:v>
      </x:c>
      <x:c r="R1553" s="40" t="n">
        <x:v>0.18725617685305593</x:v>
      </x:c>
      <x:c r="S1553" s="40" t="n">
        <x:v>0.010403120936280884</x:v>
      </x:c>
      <x:c r="T1553" s="31" t="n">
        <x:v>28.41637034197659</x:v>
      </x:c>
      <x:c r="U1553" s="31" t="n">
        <x:v>47.4</x:v>
      </x:c>
      <x:c r="V1553" s="31" t="n">
        <x:v>0</x:v>
      </x:c>
      <x:c r="W1553" s="31" t="n">
        <x:v>0</x:v>
      </x:c>
      <x:c r="X1553" s="31" t="n">
        <x:v>3.799739921976593</x:v>
      </x:c>
      <x:c r="Y1553" s="40" t="n">
        <x:v>0.7997399219765929</x:v>
      </x:c>
      <x:c r="Z1553" s="40" t="n">
        <x:v>1</x:v>
      </x:c>
      <x:c r="AA1553" s="40" t="n">
        <x:v>1</x:v>
      </x:c>
      <x:c r="AB1553" s="31" t="n">
        <x:v>0.3121117230816041</x:v>
      </x:c>
      <x:c r="AC1553" s="31" t="n">
        <x:v>8</x:v>
      </x:c>
      <x:c r="AD1553" s="44" t="b">
        <x:v>1</x:v>
      </x:c>
    </x:row>
    <x:row r="1554">
      <x:c r="A1554" s="31" t="str">
        <x:v>36081009900</x:v>
      </x:c>
      <x:c r="B1554" s="31" t="str">
        <x:v>Queens</x:v>
      </x:c>
      <x:c r="C1554" s="31" t="str">
        <x:v>009900</x:v>
      </x:c>
      <x:c r="D1554" s="31" t="str">
        <x:v>QN0191</x:v>
      </x:c>
      <x:c r="E1554" s="31" t="str">
        <x:v>Astoria Park</x:v>
      </x:c>
      <x:c r="F1554" s="31" t="n">
        <x:v>0.09595049435835629</x:v>
      </x:c>
      <x:c r="G1554" s="31" t="n">
        <x:v>40.77855880937908</x:v>
      </x:c>
      <x:c r="H1554" s="31" t="n">
        <x:v>-73.9230797520154</x:v>
      </x:c>
      <x:c r="I1554" s="31" t="n">
        <x:v>0</x:v>
      </x:c>
      <x:c r="J1554" s="31" t="n">
        <x:v>0</x:v>
      </x:c>
      <x:c r="K1554" s="31"/>
      <x:c r="L1554" s="40"/>
      <x:c r="M1554" s="40"/>
      <x:c r="N1554" s="31" t="n">
        <x:v>0</x:v>
      </x:c>
      <x:c r="O1554" s="31"/>
      <x:c r="P1554" s="31"/>
      <x:c r="Q1554" s="40"/>
      <x:c r="R1554" s="40"/>
      <x:c r="S1554" s="40"/>
      <x:c r="T1554" s="31"/>
      <x:c r="U1554" s="31"/>
      <x:c r="V1554" s="31" t="n">
        <x:v>0</x:v>
      </x:c>
      <x:c r="W1554" s="31"/>
      <x:c r="X1554" s="31"/>
      <x:c r="Y1554" s="40"/>
      <x:c r="Z1554" s="40"/>
      <x:c r="AA1554" s="40"/>
      <x:c r="AB1554" s="31" t="n">
        <x:v>0.3942097152129623</x:v>
      </x:c>
      <x:c r="AC1554" s="31" t="n">
        <x:v>6</x:v>
      </x:c>
      <x:c r="AD1554" s="44" t="b">
        <x:v>0</x:v>
      </x:c>
    </x:row>
    <x:row r="1555">
      <x:c r="A1555" s="31" t="str">
        <x:v>36081010000</x:v>
      </x:c>
      <x:c r="B1555" s="31" t="str">
        <x:v>Queens</x:v>
      </x:c>
      <x:c r="C1555" s="31" t="str">
        <x:v>010000</x:v>
      </x:c>
      <x:c r="D1555" s="31" t="str">
        <x:v>QN1001</x:v>
      </x:c>
      <x:c r="E1555" s="31" t="str">
        <x:v>South Ozone Park</x:v>
      </x:c>
      <x:c r="F1555" s="31" t="n">
        <x:v>0.08622810688848714</x:v>
      </x:c>
      <x:c r="G1555" s="31" t="n">
        <x:v>40.68115382186179</x:v>
      </x:c>
      <x:c r="H1555" s="31" t="n">
        <x:v>-73.82888538536162</x:v>
      </x:c>
      <x:c r="I1555" s="31" t="n">
        <x:v>3383</x:v>
      </x:c>
      <x:c r="J1555" s="31" t="n">
        <x:v>39233.14708016262</x:v>
      </x:c>
      <x:c r="K1555" s="31"/>
      <x:c r="L1555" s="40"/>
      <x:c r="M1555" s="40"/>
      <x:c r="N1555" s="31" t="n">
        <x:v>599</x:v>
      </x:c>
      <x:c r="O1555" s="31" t="n">
        <x:v>889</x:v>
      </x:c>
      <x:c r="P1555" s="31" t="n">
        <x:v>2.217097862767154</x:v>
      </x:c>
      <x:c r="Q1555" s="40" t="n">
        <x:v>0</x:v>
      </x:c>
      <x:c r="R1555" s="40" t="n">
        <x:v>0.030371203599550055</x:v>
      </x:c>
      <x:c r="S1555" s="40" t="n">
        <x:v>0.013498312710911136</x:v>
      </x:c>
      <x:c r="T1555" s="31" t="n">
        <x:v>26.9076353947919</x:v>
      </x:c>
      <x:c r="U1555" s="31" t="n">
        <x:v>34.60978158</x:v>
      </x:c>
      <x:c r="V1555" s="31" t="n">
        <x:v>1</x:v>
      </x:c>
      <x:c r="W1555" s="31" t="n">
        <x:v>0.2955956251847473</x:v>
      </x:c>
      <x:c r="X1555" s="31" t="n">
        <x:v>4</x:v>
      </x:c>
      <x:c r="Y1555" s="40" t="n">
        <x:v>1</x:v>
      </x:c>
      <x:c r="Z1555" s="40" t="n">
        <x:v>1</x:v>
      </x:c>
      <x:c r="AA1555" s="40" t="n">
        <x:v>1</x:v>
      </x:c>
      <x:c r="AB1555" s="31" t="n">
        <x:v>0.17477903929097463</x:v>
      </x:c>
      <x:c r="AC1555" s="31" t="n">
        <x:v>5</x:v>
      </x:c>
      <x:c r="AD1555" s="44" t="b">
        <x:v>1</x:v>
      </x:c>
    </x:row>
    <x:row r="1556">
      <x:c r="A1556" s="31" t="str">
        <x:v>36081010100</x:v>
      </x:c>
      <x:c r="B1556" s="31" t="str">
        <x:v>Queens</x:v>
      </x:c>
      <x:c r="C1556" s="31" t="str">
        <x:v>010100</x:v>
      </x:c>
      <x:c r="D1556" s="31" t="str">
        <x:v>QN0101</x:v>
      </x:c>
      <x:c r="E1556" s="31" t="str">
        <x:v>Astoria (North)-Ditmars-Steinway</x:v>
      </x:c>
      <x:c r="F1556" s="31" t="n">
        <x:v>0.06672056347710055</x:v>
      </x:c>
      <x:c r="G1556" s="31" t="n">
        <x:v>40.77840289578953</x:v>
      </x:c>
      <x:c r="H1556" s="31" t="n">
        <x:v>-73.91625566005031</x:v>
      </x:c>
      <x:c r="I1556" s="31" t="n">
        <x:v>2654</x:v>
      </x:c>
      <x:c r="J1556" s="31" t="n">
        <x:v>39777.84151824333</x:v>
      </x:c>
      <x:c r="K1556" s="31"/>
      <x:c r="L1556" s="40"/>
      <x:c r="M1556" s="40"/>
      <x:c r="N1556" s="31" t="n">
        <x:v>471</x:v>
      </x:c>
      <x:c r="O1556" s="31" t="n">
        <x:v>1152</x:v>
      </x:c>
      <x:c r="P1556" s="31" t="n">
        <x:v>2.353298611111111</x:v>
      </x:c>
      <x:c r="Q1556" s="40" t="n">
        <x:v>0</x:v>
      </x:c>
      <x:c r="R1556" s="40" t="n">
        <x:v>0.2569444444444444</x:v>
      </x:c>
      <x:c r="S1556" s="40" t="n">
        <x:v>0.0390625</x:v>
      </x:c>
      <x:c r="T1556" s="31" t="n">
        <x:v>26.97502784672174</x:v>
      </x:c>
      <x:c r="U1556" s="31" t="n">
        <x:v>46.7</x:v>
      </x:c>
      <x:c r="V1556" s="31" t="n">
        <x:v>1</x:v>
      </x:c>
      <x:c r="W1556" s="31" t="n">
        <x:v>0.37678975131876413</x:v>
      </x:c>
      <x:c r="X1556" s="31" t="n">
        <x:v>3</x:v>
      </x:c>
      <x:c r="Y1556" s="40" t="n">
        <x:v>0</x:v>
      </x:c>
      <x:c r="Z1556" s="40" t="n">
        <x:v>1</x:v>
      </x:c>
      <x:c r="AA1556" s="40" t="n">
        <x:v>0.9982638888888888</x:v>
      </x:c>
      <x:c r="AB1556" s="31" t="n">
        <x:v>0.1367840548107755</x:v>
      </x:c>
      <x:c r="AC1556" s="31" t="n">
        <x:v>5</x:v>
      </x:c>
      <x:c r="AD1556" s="44" t="b">
        <x:v>1</x:v>
      </x:c>
    </x:row>
    <x:row r="1557">
      <x:c r="A1557" s="31" t="str">
        <x:v>36081010200</x:v>
      </x:c>
      <x:c r="B1557" s="31" t="str">
        <x:v>Queens</x:v>
      </x:c>
      <x:c r="C1557" s="31" t="str">
        <x:v>010200</x:v>
      </x:c>
      <x:c r="D1557" s="31" t="str">
        <x:v>QN1001</x:v>
      </x:c>
      <x:c r="E1557" s="31" t="str">
        <x:v>South Ozone Park</x:v>
      </x:c>
      <x:c r="F1557" s="31" t="n">
        <x:v>0.08257549153574094</x:v>
      </x:c>
      <x:c r="G1557" s="31" t="n">
        <x:v>40.678777952980425</x:v>
      </x:c>
      <x:c r="H1557" s="31" t="n">
        <x:v>-73.82296744704693</x:v>
      </x:c>
      <x:c r="I1557" s="31" t="n">
        <x:v>2866</x:v>
      </x:c>
      <x:c r="J1557" s="31" t="n">
        <x:v>34707.63475576184</x:v>
      </x:c>
      <x:c r="K1557" s="31"/>
      <x:c r="L1557" s="40"/>
      <x:c r="M1557" s="40"/>
      <x:c r="N1557" s="31" t="n">
        <x:v>491</x:v>
      </x:c>
      <x:c r="O1557" s="31" t="n">
        <x:v>741</x:v>
      </x:c>
      <x:c r="P1557" s="31" t="n">
        <x:v>2.274736842105263</x:v>
      </x:c>
      <x:c r="Q1557" s="40" t="n">
        <x:v>0</x:v>
      </x:c>
      <x:c r="R1557" s="40" t="n">
        <x:v>0.06612685560053981</x:v>
      </x:c>
      <x:c r="S1557" s="40" t="n">
        <x:v>0.017543859649122806</x:v>
      </x:c>
      <x:c r="T1557" s="31" t="n">
        <x:v>27.80226222726046</x:v>
      </x:c>
      <x:c r="U1557" s="31" t="n">
        <x:v>72</x:v>
      </x:c>
      <x:c r="V1557" s="31" t="n">
        <x:v>2</x:v>
      </x:c>
      <x:c r="W1557" s="31" t="n">
        <x:v>0.6978367062107467</x:v>
      </x:c>
      <x:c r="X1557" s="31" t="n">
        <x:v>4</x:v>
      </x:c>
      <x:c r="Y1557" s="40" t="n">
        <x:v>1</x:v>
      </x:c>
      <x:c r="Z1557" s="40" t="n">
        <x:v>1</x:v>
      </x:c>
      <x:c r="AA1557" s="40" t="n">
        <x:v>1</x:v>
      </x:c>
      <x:c r="AB1557" s="31" t="n">
        <x:v>0.10033573360685291</x:v>
      </x:c>
      <x:c r="AC1557" s="31" t="n">
        <x:v>6</x:v>
      </x:c>
      <x:c r="AD1557" s="44" t="b">
        <x:v>1</x:v>
      </x:c>
    </x:row>
    <x:row r="1558">
      <x:c r="A1558" s="31" t="str">
        <x:v>36081010300</x:v>
      </x:c>
      <x:c r="B1558" s="31" t="str">
        <x:v>Queens</x:v>
      </x:c>
      <x:c r="C1558" s="31" t="str">
        <x:v>010300</x:v>
      </x:c>
      <x:c r="D1558" s="31" t="str">
        <x:v>QN0101</x:v>
      </x:c>
      <x:c r="E1558" s="31" t="str">
        <x:v>Astoria (North)-Ditmars-Steinway</x:v>
      </x:c>
      <x:c r="F1558" s="31" t="n">
        <x:v>0.09670173101110538</x:v>
      </x:c>
      <x:c r="G1558" s="31" t="n">
        <x:v>40.78106045966375</x:v>
      </x:c>
      <x:c r="H1558" s="31" t="n">
        <x:v>-73.91507721346018</x:v>
      </x:c>
      <x:c r="I1558" s="31" t="n">
        <x:v>4150</x:v>
      </x:c>
      <x:c r="J1558" s="31" t="n">
        <x:v>42915.46755790139</x:v>
      </x:c>
      <x:c r="K1558" s="31"/>
      <x:c r="L1558" s="40"/>
      <x:c r="M1558" s="40"/>
      <x:c r="N1558" s="31" t="n">
        <x:v>462</x:v>
      </x:c>
      <x:c r="O1558" s="31" t="n">
        <x:v>1946</x:v>
      </x:c>
      <x:c r="P1558" s="31" t="n">
        <x:v>2.9980610134436403</x:v>
      </x:c>
      <x:c r="Q1558" s="40" t="n">
        <x:v>0</x:v>
      </x:c>
      <x:c r="R1558" s="40" t="n">
        <x:v>0.6952723535457348</x:v>
      </x:c>
      <x:c r="S1558" s="40" t="n">
        <x:v>0.12076053442959918</x:v>
      </x:c>
      <x:c r="T1558" s="31" t="n">
        <x:v>34.091807642255525</x:v>
      </x:c>
      <x:c r="U1558" s="31" t="n">
        <x:v>52.25</x:v>
      </x:c>
      <x:c r="V1558" s="31" t="n">
        <x:v>4</x:v>
      </x:c>
      <x:c r="W1558" s="31" t="n">
        <x:v>0.963855421686747</x:v>
      </x:c>
      <x:c r="X1558" s="31" t="n">
        <x:v>3</x:v>
      </x:c>
      <x:c r="Y1558" s="40" t="n">
        <x:v>0</x:v>
      </x:c>
      <x:c r="Z1558" s="40" t="n">
        <x:v>1</x:v>
      </x:c>
      <x:c r="AA1558" s="40" t="n">
        <x:v>0.9773895169578622</x:v>
      </x:c>
      <x:c r="AB1558" s="31" t="n">
        <x:v>0.06608287530769325</x:v>
      </x:c>
      <x:c r="AC1558" s="31" t="n">
        <x:v>7</x:v>
      </x:c>
      <x:c r="AD1558" s="44" t="b">
        <x:v>1</x:v>
      </x:c>
    </x:row>
    <x:row r="1559">
      <x:c r="A1559" s="31" t="str">
        <x:v>36081010400</x:v>
      </x:c>
      <x:c r="B1559" s="31" t="str">
        <x:v>Queens</x:v>
      </x:c>
      <x:c r="C1559" s="31" t="str">
        <x:v>010400</x:v>
      </x:c>
      <x:c r="D1559" s="31" t="str">
        <x:v>QN1001</x:v>
      </x:c>
      <x:c r="E1559" s="31" t="str">
        <x:v>South Ozone Park</x:v>
      </x:c>
      <x:c r="F1559" s="31" t="n">
        <x:v>0.07200441620573635</x:v>
      </x:c>
      <x:c r="G1559" s="31" t="n">
        <x:v>40.68296784624062</x:v>
      </x:c>
      <x:c r="H1559" s="31" t="n">
        <x:v>-73.82654670260752</x:v>
      </x:c>
      <x:c r="I1559" s="31" t="n">
        <x:v>3315</x:v>
      </x:c>
      <x:c r="J1559" s="31" t="n">
        <x:v>46038.84281942008</x:v>
      </x:c>
      <x:c r="K1559" s="31"/>
      <x:c r="L1559" s="40"/>
      <x:c r="M1559" s="40"/>
      <x:c r="N1559" s="31" t="n">
        <x:v>547</x:v>
      </x:c>
      <x:c r="O1559" s="31" t="n">
        <x:v>891</x:v>
      </x:c>
      <x:c r="P1559" s="31" t="n">
        <x:v>2.490179573512907</x:v>
      </x:c>
      <x:c r="Q1559" s="40" t="n">
        <x:v>0</x:v>
      </x:c>
      <x:c r="R1559" s="40" t="n">
        <x:v>0.1425364758698092</x:v>
      </x:c>
      <x:c r="S1559" s="40" t="n">
        <x:v>0.013468013468013467</x:v>
      </x:c>
      <x:c r="T1559" s="31" t="n">
        <x:v>30.594662884242425</x:v>
      </x:c>
      <x:c r="U1559" s="31" t="n">
        <x:v>47.9771</x:v>
      </x:c>
      <x:c r="V1559" s="31" t="n">
        <x:v>0</x:v>
      </x:c>
      <x:c r="W1559" s="31" t="n">
        <x:v>0</x:v>
      </x:c>
      <x:c r="X1559" s="31" t="n">
        <x:v>4</x:v>
      </x:c>
      <x:c r="Y1559" s="40" t="n">
        <x:v>1</x:v>
      </x:c>
      <x:c r="Z1559" s="40" t="n">
        <x:v>1</x:v>
      </x:c>
      <x:c r="AA1559" s="40" t="n">
        <x:v>1</x:v>
      </x:c>
      <x:c r="AB1559" s="31" t="n">
        <x:v>0.2863774843300887</x:v>
      </x:c>
      <x:c r="AC1559" s="31" t="n">
        <x:v>4</x:v>
      </x:c>
      <x:c r="AD1559" s="44" t="b">
        <x:v>1</x:v>
      </x:c>
    </x:row>
    <x:row r="1560">
      <x:c r="A1560" s="31" t="str">
        <x:v>36081010500</x:v>
      </x:c>
      <x:c r="B1560" s="31" t="str">
        <x:v>Queens</x:v>
      </x:c>
      <x:c r="C1560" s="31" t="str">
        <x:v>010500</x:v>
      </x:c>
      <x:c r="D1560" s="31" t="str">
        <x:v>QN0101</x:v>
      </x:c>
      <x:c r="E1560" s="31" t="str">
        <x:v>Astoria (North)-Ditmars-Steinway</x:v>
      </x:c>
      <x:c r="F1560" s="31" t="n">
        <x:v>0.0764554760068727</x:v>
      </x:c>
      <x:c r="G1560" s="31" t="n">
        <x:v>40.78279005447446</x:v>
      </x:c>
      <x:c r="H1560" s="31" t="n">
        <x:v>-73.91294811117946</x:v>
      </x:c>
      <x:c r="I1560" s="31" t="n">
        <x:v>4641</x:v>
      </x:c>
      <x:c r="J1560" s="31" t="n">
        <x:v>60701.996016384925</x:v>
      </x:c>
      <x:c r="K1560" s="31"/>
      <x:c r="L1560" s="40"/>
      <x:c r="M1560" s="40"/>
      <x:c r="N1560" s="31" t="n">
        <x:v>223</x:v>
      </x:c>
      <x:c r="O1560" s="31" t="n">
        <x:v>1757</x:v>
      </x:c>
      <x:c r="P1560" s="31" t="n">
        <x:v>2.8266932270916336</x:v>
      </x:c>
      <x:c r="Q1560" s="40" t="n">
        <x:v>0</x:v>
      </x:c>
      <x:c r="R1560" s="40" t="n">
        <x:v>0.796812749003984</x:v>
      </x:c>
      <x:c r="S1560" s="40" t="n">
        <x:v>0.7592487194080819</x:v>
      </x:c>
      <x:c r="T1560" s="31" t="n">
        <x:v>26.45741672293661</x:v>
      </x:c>
      <x:c r="U1560" s="31" t="n">
        <x:v>40.63131131</x:v>
      </x:c>
      <x:c r="V1560" s="31" t="n">
        <x:v>6</x:v>
      </x:c>
      <x:c r="W1560" s="31" t="n">
        <x:v>1.292824822236587</x:v>
      </x:c>
      <x:c r="X1560" s="31" t="n">
        <x:v>3</x:v>
      </x:c>
      <x:c r="Y1560" s="40" t="n">
        <x:v>0</x:v>
      </x:c>
      <x:c r="Z1560" s="40" t="n">
        <x:v>1</x:v>
      </x:c>
      <x:c r="AA1560" s="40" t="n">
        <x:v>0.43995446784291403</x:v>
      </x:c>
      <x:c r="AB1560" s="31" t="n">
        <x:v>0.22952244731707355</x:v>
      </x:c>
      <x:c r="AC1560" s="31" t="n">
        <x:v>3</x:v>
      </x:c>
      <x:c r="AD1560" s="44" t="b">
        <x:v>1</x:v>
      </x:c>
    </x:row>
    <x:row r="1561">
      <x:c r="A1561" s="31" t="str">
        <x:v>36081010600</x:v>
      </x:c>
      <x:c r="B1561" s="31" t="str">
        <x:v>Queens</x:v>
      </x:c>
      <x:c r="C1561" s="31" t="str">
        <x:v>010600</x:v>
      </x:c>
      <x:c r="D1561" s="31" t="str">
        <x:v>QN1001</x:v>
      </x:c>
      <x:c r="E1561" s="31" t="str">
        <x:v>South Ozone Park</x:v>
      </x:c>
      <x:c r="F1561" s="31" t="n">
        <x:v>0.06680795555089244</x:v>
      </x:c>
      <x:c r="G1561" s="31" t="n">
        <x:v>40.685683464782784</x:v>
      </x:c>
      <x:c r="H1561" s="31" t="n">
        <x:v>-73.82496422844571</x:v>
      </x:c>
      <x:c r="I1561" s="31" t="n">
        <x:v>3417</x:v>
      </x:c>
      <x:c r="J1561" s="31" t="n">
        <x:v>51146.60330231216</x:v>
      </x:c>
      <x:c r="K1561" s="31"/>
      <x:c r="L1561" s="40"/>
      <x:c r="M1561" s="40"/>
      <x:c r="N1561" s="31" t="n">
        <x:v>461</x:v>
      </x:c>
      <x:c r="O1561" s="31" t="n">
        <x:v>861</x:v>
      </x:c>
      <x:c r="P1561" s="31" t="n">
        <x:v>2.490522648083624</x:v>
      </x:c>
      <x:c r="Q1561" s="40" t="n">
        <x:v>0</x:v>
      </x:c>
      <x:c r="R1561" s="40" t="n">
        <x:v>0.20905923344947736</x:v>
      </x:c>
      <x:c r="S1561" s="40" t="n">
        <x:v>0.006968641114982578</x:v>
      </x:c>
      <x:c r="T1561" s="31" t="n">
        <x:v>31.201136087096398</x:v>
      </x:c>
      <x:c r="U1561" s="31" t="n">
        <x:v>46.0156</x:v>
      </x:c>
      <x:c r="V1561" s="31" t="n">
        <x:v>0</x:v>
      </x:c>
      <x:c r="W1561" s="31" t="n">
        <x:v>0</x:v>
      </x:c>
      <x:c r="X1561" s="31" t="n">
        <x:v>4</x:v>
      </x:c>
      <x:c r="Y1561" s="40" t="n">
        <x:v>1</x:v>
      </x:c>
      <x:c r="Z1561" s="40" t="n">
        <x:v>1</x:v>
      </x:c>
      <x:c r="AA1561" s="40" t="n">
        <x:v>1</x:v>
      </x:c>
      <x:c r="AB1561" s="31" t="n">
        <x:v>0.08486068652124454</x:v>
      </x:c>
      <x:c r="AC1561" s="31" t="n">
        <x:v>9</x:v>
      </x:c>
      <x:c r="AD1561" s="44" t="b">
        <x:v>1</x:v>
      </x:c>
    </x:row>
    <x:row r="1562">
      <x:c r="A1562" s="31" t="str">
        <x:v>36081010701</x:v>
      </x:c>
      <x:c r="B1562" s="31" t="str">
        <x:v>Queens</x:v>
      </x:c>
      <x:c r="C1562" s="31" t="str">
        <x:v>010701</x:v>
      </x:c>
      <x:c r="D1562" s="31" t="str">
        <x:v>QN0101</x:v>
      </x:c>
      <x:c r="E1562" s="31" t="str">
        <x:v>Astoria (North)-Ditmars-Steinway</x:v>
      </x:c>
      <x:c r="F1562" s="31" t="n">
        <x:v>0.6159753317550505</x:v>
      </x:c>
      <x:c r="G1562" s="31" t="n">
        <x:v>40.7843674969863</x:v>
      </x:c>
      <x:c r="H1562" s="31" t="n">
        <x:v>-73.90385315713067</x:v>
      </x:c>
      <x:c r="I1562" s="31" t="n">
        <x:v>7</x:v>
      </x:c>
      <x:c r="J1562" s="31" t="n">
        <x:v>11.364091448362787</x:v>
      </x:c>
      <x:c r="K1562" s="31"/>
      <x:c r="L1562" s="40"/>
      <x:c r="M1562" s="40"/>
      <x:c r="N1562" s="31" t="n">
        <x:v>0</x:v>
      </x:c>
      <x:c r="O1562" s="31"/>
      <x:c r="P1562" s="31"/>
      <x:c r="Q1562" s="40"/>
      <x:c r="R1562" s="40"/>
      <x:c r="S1562" s="40"/>
      <x:c r="T1562" s="31"/>
      <x:c r="U1562" s="31"/>
      <x:c r="V1562" s="31" t="n">
        <x:v>0</x:v>
      </x:c>
      <x:c r="W1562" s="31" t="n">
        <x:v>0</x:v>
      </x:c>
      <x:c r="X1562" s="31"/>
      <x:c r="Y1562" s="40"/>
      <x:c r="Z1562" s="40"/>
      <x:c r="AA1562" s="40"/>
      <x:c r="AB1562" s="31" t="n">
        <x:v>0.594665257625626</x:v>
      </x:c>
      <x:c r="AC1562" s="31" t="n">
        <x:v>5</x:v>
      </x:c>
      <x:c r="AD1562" s="44" t="b">
        <x:v>0</x:v>
      </x:c>
    </x:row>
    <x:row r="1563">
      <x:c r="A1563" s="31" t="str">
        <x:v>36081010800</x:v>
      </x:c>
      <x:c r="B1563" s="31" t="str">
        <x:v>Queens</x:v>
      </x:c>
      <x:c r="C1563" s="31" t="str">
        <x:v>010800</x:v>
      </x:c>
      <x:c r="D1563" s="31" t="str">
        <x:v>QN0903</x:v>
      </x:c>
      <x:c r="E1563" s="31" t="str">
        <x:v>South Richmond Hill</x:v>
      </x:c>
      <x:c r="F1563" s="31" t="n">
        <x:v>0.060858134007331845</x:v>
      </x:c>
      <x:c r="G1563" s="31" t="n">
        <x:v>40.6886102549106</x:v>
      </x:c>
      <x:c r="H1563" s="31" t="n">
        <x:v>-73.83059727334603</x:v>
      </x:c>
      <x:c r="I1563" s="31" t="n">
        <x:v>3034</x:v>
      </x:c>
      <x:c r="J1563" s="31" t="n">
        <x:v>49853.648152184236</x:v>
      </x:c>
      <x:c r="K1563" s="31"/>
      <x:c r="L1563" s="40"/>
      <x:c r="M1563" s="40"/>
      <x:c r="N1563" s="31" t="n">
        <x:v>435</x:v>
      </x:c>
      <x:c r="O1563" s="31" t="n">
        <x:v>807</x:v>
      </x:c>
      <x:c r="P1563" s="31" t="n">
        <x:v>2.37360594795539</x:v>
      </x:c>
      <x:c r="Q1563" s="40" t="n">
        <x:v>0</x:v>
      </x:c>
      <x:c r="R1563" s="40" t="n">
        <x:v>0.14745972738537794</x:v>
      </x:c>
      <x:c r="S1563" s="40" t="n">
        <x:v>0.024783147459727387</x:v>
      </x:c>
      <x:c r="T1563" s="31" t="n">
        <x:v>28.220134854178166</x:v>
      </x:c>
      <x:c r="U1563" s="31" t="n">
        <x:v>41.39161365</x:v>
      </x:c>
      <x:c r="V1563" s="31" t="n">
        <x:v>1</x:v>
      </x:c>
      <x:c r="W1563" s="31" t="n">
        <x:v>0.3295978905735003</x:v>
      </x:c>
      <x:c r="X1563" s="31" t="n">
        <x:v>4</x:v>
      </x:c>
      <x:c r="Y1563" s="40" t="n">
        <x:v>1</x:v>
      </x:c>
      <x:c r="Z1563" s="40" t="n">
        <x:v>1</x:v>
      </x:c>
      <x:c r="AA1563" s="40" t="n">
        <x:v>0.9876084262701363</x:v>
      </x:c>
      <x:c r="AB1563" s="31" t="n">
        <x:v>0.26737792523901316</x:v>
      </x:c>
      <x:c r="AC1563" s="31" t="n">
        <x:v>5</x:v>
      </x:c>
      <x:c r="AD1563" s="44" t="b">
        <x:v>1</x:v>
      </x:c>
    </x:row>
    <x:row r="1564">
      <x:c r="A1564" s="31" t="str">
        <x:v>36081011000</x:v>
      </x:c>
      <x:c r="B1564" s="31" t="str">
        <x:v>Queens</x:v>
      </x:c>
      <x:c r="C1564" s="31" t="str">
        <x:v>011000</x:v>
      </x:c>
      <x:c r="D1564" s="31" t="str">
        <x:v>QN0903</x:v>
      </x:c>
      <x:c r="E1564" s="31" t="str">
        <x:v>South Richmond Hill</x:v>
      </x:c>
      <x:c r="F1564" s="31" t="n">
        <x:v>0.06372200641320878</x:v>
      </x:c>
      <x:c r="G1564" s="31" t="n">
        <x:v>40.687313917577356</x:v>
      </x:c>
      <x:c r="H1564" s="31" t="n">
        <x:v>-73.8350141903494</x:v>
      </x:c>
      <x:c r="I1564" s="31" t="n">
        <x:v>3190</x:v>
      </x:c>
      <x:c r="J1564" s="31" t="n">
        <x:v>50061.19831372341</x:v>
      </x:c>
      <x:c r="K1564" s="31"/>
      <x:c r="L1564" s="40"/>
      <x:c r="M1564" s="40"/>
      <x:c r="N1564" s="31" t="n">
        <x:v>446</x:v>
      </x:c>
      <x:c r="O1564" s="31" t="n">
        <x:v>864</x:v>
      </x:c>
      <x:c r="P1564" s="31" t="n">
        <x:v>2.396990740740741</x:v>
      </x:c>
      <x:c r="Q1564" s="40" t="n">
        <x:v>0</x:v>
      </x:c>
      <x:c r="R1564" s="40" t="n">
        <x:v>0.24768518518518517</x:v>
      </x:c>
      <x:c r="S1564" s="40" t="n">
        <x:v>0.016203703703703703</x:v>
      </x:c>
      <x:c r="T1564" s="31" t="n">
        <x:v>27.740921336811763</x:v>
      </x:c>
      <x:c r="U1564" s="31" t="n">
        <x:v>45.96</x:v>
      </x:c>
      <x:c r="V1564" s="31" t="n">
        <x:v>1</x:v>
      </x:c>
      <x:c r="W1564" s="31" t="n">
        <x:v>0.31347962382445144</x:v>
      </x:c>
      <x:c r="X1564" s="31" t="n">
        <x:v>3.9768518518518516</x:v>
      </x:c>
      <x:c r="Y1564" s="40" t="n">
        <x:v>0.9768518518518519</x:v>
      </x:c>
      <x:c r="Z1564" s="40" t="n">
        <x:v>1</x:v>
      </x:c>
      <x:c r="AA1564" s="40" t="n">
        <x:v>0.9837962962962963</x:v>
      </x:c>
      <x:c r="AB1564" s="31" t="n">
        <x:v>0.08139601894029652</x:v>
      </x:c>
      <x:c r="AC1564" s="31" t="n">
        <x:v>6</x:v>
      </x:c>
      <x:c r="AD1564" s="44" t="b">
        <x:v>1</x:v>
      </x:c>
    </x:row>
    <x:row r="1565">
      <x:c r="A1565" s="31" t="str">
        <x:v>36081011100</x:v>
      </x:c>
      <x:c r="B1565" s="31" t="str">
        <x:v>Queens</x:v>
      </x:c>
      <x:c r="C1565" s="31" t="str">
        <x:v>011100</x:v>
      </x:c>
      <x:c r="D1565" s="31" t="str">
        <x:v>QN0101</x:v>
      </x:c>
      <x:c r="E1565" s="31" t="str">
        <x:v>Astoria (North)-Ditmars-Steinway</x:v>
      </x:c>
      <x:c r="F1565" s="31" t="n">
        <x:v>0.05820117644054178</x:v>
      </x:c>
      <x:c r="G1565" s="31" t="n">
        <x:v>40.77879511508129</x:v>
      </x:c>
      <x:c r="H1565" s="31" t="n">
        <x:v>-73.90731303778884</x:v>
      </x:c>
      <x:c r="I1565" s="31" t="n">
        <x:v>2902</x:v>
      </x:c>
      <x:c r="J1565" s="31" t="n">
        <x:v>49861.53506647204</x:v>
      </x:c>
      <x:c r="K1565" s="31"/>
      <x:c r="L1565" s="40"/>
      <x:c r="M1565" s="40"/>
      <x:c r="N1565" s="31" t="n">
        <x:v>420</x:v>
      </x:c>
      <x:c r="O1565" s="31" t="n">
        <x:v>1244</x:v>
      </x:c>
      <x:c r="P1565" s="31" t="n">
        <x:v>3.139469453376206</x:v>
      </x:c>
      <x:c r="Q1565" s="40" t="n">
        <x:v>0</x:v>
      </x:c>
      <x:c r="R1565" s="40" t="n">
        <x:v>0.702572347266881</x:v>
      </x:c>
      <x:c r="S1565" s="40" t="n">
        <x:v>0.08360128617363344</x:v>
      </x:c>
      <x:c r="T1565" s="31" t="n">
        <x:v>34.830133310758924</x:v>
      </x:c>
      <x:c r="U1565" s="31" t="n">
        <x:v>84</x:v>
      </x:c>
      <x:c r="V1565" s="31" t="n">
        <x:v>2</x:v>
      </x:c>
      <x:c r="W1565" s="31" t="n">
        <x:v>0.6891798759476223</x:v>
      </x:c>
      <x:c r="X1565" s="31" t="n">
        <x:v>3</x:v>
      </x:c>
      <x:c r="Y1565" s="40" t="n">
        <x:v>0</x:v>
      </x:c>
      <x:c r="Z1565" s="40" t="n">
        <x:v>1</x:v>
      </x:c>
      <x:c r="AA1565" s="40" t="n">
        <x:v>0.9003215434083601</x:v>
      </x:c>
      <x:c r="AB1565" s="31" t="n">
        <x:v>0.17536329084993776</x:v>
      </x:c>
      <x:c r="AC1565" s="31" t="n">
        <x:v>5</x:v>
      </x:c>
      <x:c r="AD1565" s="44" t="b">
        <x:v>1</x:v>
      </x:c>
    </x:row>
    <x:row r="1566">
      <x:c r="A1566" s="31" t="str">
        <x:v>36081011200</x:v>
      </x:c>
      <x:c r="B1566" s="31" t="str">
        <x:v>Queens</x:v>
      </x:c>
      <x:c r="C1566" s="31" t="str">
        <x:v>011200</x:v>
      </x:c>
      <x:c r="D1566" s="31" t="str">
        <x:v>QN0904</x:v>
      </x:c>
      <x:c r="E1566" s="31" t="str">
        <x:v>Ozone Park (North)</x:v>
      </x:c>
      <x:c r="F1566" s="31" t="n">
        <x:v>0.07278916370021235</x:v>
      </x:c>
      <x:c r="G1566" s="31" t="n">
        <x:v>40.68410898989129</x:v>
      </x:c>
      <x:c r="H1566" s="31" t="n">
        <x:v>-73.83906747282943</x:v>
      </x:c>
      <x:c r="I1566" s="31" t="n">
        <x:v>2497</x:v>
      </x:c>
      <x:c r="J1566" s="31" t="n">
        <x:v>34304.556792053314</x:v>
      </x:c>
      <x:c r="K1566" s="31"/>
      <x:c r="L1566" s="40"/>
      <x:c r="M1566" s="40"/>
      <x:c r="N1566" s="31" t="n">
        <x:v>355</x:v>
      </x:c>
      <x:c r="O1566" s="31" t="n">
        <x:v>738</x:v>
      </x:c>
      <x:c r="P1566" s="31" t="n">
        <x:v>2.3020408163265307</x:v>
      </x:c>
      <x:c r="Q1566" s="40" t="n">
        <x:v>0</x:v>
      </x:c>
      <x:c r="R1566" s="40" t="n">
        <x:v>0.27235772357723576</x:v>
      </x:c>
      <x:c r="S1566" s="40" t="n">
        <x:v>0.02032520325203252</x:v>
      </x:c>
      <x:c r="T1566" s="31" t="n">
        <x:v>27.45204293422131</x:v>
      </x:c>
      <x:c r="U1566" s="31" t="n">
        <x:v>49</x:v>
      </x:c>
      <x:c r="V1566" s="31" t="n">
        <x:v>1</x:v>
      </x:c>
      <x:c r="W1566" s="31" t="n">
        <x:v>0.4004805766920304</x:v>
      </x:c>
      <x:c r="X1566" s="31" t="n">
        <x:v>3.494579945799458</x:v>
      </x:c>
      <x:c r="Y1566" s="40" t="n">
        <x:v>0.494579945799458</x:v>
      </x:c>
      <x:c r="Z1566" s="40" t="n">
        <x:v>1</x:v>
      </x:c>
      <x:c r="AA1566" s="40" t="n">
        <x:v>0.991869918699187</x:v>
      </x:c>
      <x:c r="AB1566" s="31" t="n">
        <x:v>0.16340508838647874</x:v>
      </x:c>
      <x:c r="AC1566" s="31" t="n">
        <x:v>8</x:v>
      </x:c>
      <x:c r="AD1566" s="44" t="b">
        <x:v>1</x:v>
      </x:c>
    </x:row>
    <x:row r="1567">
      <x:c r="A1567" s="31" t="str">
        <x:v>36081011300</x:v>
      </x:c>
      <x:c r="B1567" s="31" t="str">
        <x:v>Queens</x:v>
      </x:c>
      <x:c r="C1567" s="31" t="str">
        <x:v>011300</x:v>
      </x:c>
      <x:c r="D1567" s="31" t="str">
        <x:v>QN0101</x:v>
      </x:c>
      <x:c r="E1567" s="31" t="str">
        <x:v>Astoria (North)-Ditmars-Steinway</x:v>
      </x:c>
      <x:c r="F1567" s="31" t="n">
        <x:v>0.06897799281199782</x:v>
      </x:c>
      <x:c r="G1567" s="31" t="n">
        <x:v>40.776257704242774</x:v>
      </x:c>
      <x:c r="H1567" s="31" t="n">
        <x:v>-73.90846565473369</x:v>
      </x:c>
      <x:c r="I1567" s="31" t="n">
        <x:v>4280</x:v>
      </x:c>
      <x:c r="J1567" s="31" t="n">
        <x:v>62048.77563870705</x:v>
      </x:c>
      <x:c r="K1567" s="31"/>
      <x:c r="L1567" s="40"/>
      <x:c r="M1567" s="40"/>
      <x:c r="N1567" s="31" t="n">
        <x:v>381</x:v>
      </x:c>
      <x:c r="O1567" s="31" t="n">
        <x:v>2051</x:v>
      </x:c>
      <x:c r="P1567" s="31" t="n">
        <x:v>4.198554630083293</x:v>
      </x:c>
      <x:c r="Q1567" s="40" t="n">
        <x:v>0</x:v>
      </x:c>
      <x:c r="R1567" s="40" t="n">
        <x:v>0.7752315943442223</x:v>
      </x:c>
      <x:c r="S1567" s="40" t="n">
        <x:v>0.3120429058995612</x:v>
      </x:c>
      <x:c r="T1567" s="31" t="n">
        <x:v>43.62710114909923</x:v>
      </x:c>
      <x:c r="U1567" s="31" t="n">
        <x:v>77</x:v>
      </x:c>
      <x:c r="V1567" s="31" t="n">
        <x:v>19</x:v>
      </x:c>
      <x:c r="W1567" s="31" t="n">
        <x:v>4.4392523364485985</x:v>
      </x:c>
      <x:c r="X1567" s="31" t="n">
        <x:v>3</x:v>
      </x:c>
      <x:c r="Y1567" s="40" t="n">
        <x:v>0</x:v>
      </x:c>
      <x:c r="Z1567" s="40" t="n">
        <x:v>1</x:v>
      </x:c>
      <x:c r="AA1567" s="40" t="n">
        <x:v>0.9580692345197465</x:v>
      </x:c>
      <x:c r="AB1567" s="31" t="n">
        <x:v>0.06346509935300974</x:v>
      </x:c>
      <x:c r="AC1567" s="31" t="n">
        <x:v>8</x:v>
      </x:c>
      <x:c r="AD1567" s="44" t="b">
        <x:v>1</x:v>
      </x:c>
    </x:row>
    <x:row r="1568">
      <x:c r="A1568" s="31" t="str">
        <x:v>36081011400</x:v>
      </x:c>
      <x:c r="B1568" s="31" t="str">
        <x:v>Queens</x:v>
      </x:c>
      <x:c r="C1568" s="31" t="str">
        <x:v>011400</x:v>
      </x:c>
      <x:c r="D1568" s="31" t="str">
        <x:v>QN0904</x:v>
      </x:c>
      <x:c r="E1568" s="31" t="str">
        <x:v>Ozone Park (North)</x:v>
      </x:c>
      <x:c r="F1568" s="31" t="n">
        <x:v>0.04592499325284091</x:v>
      </x:c>
      <x:c r="G1568" s="31" t="n">
        <x:v>40.687927481719186</x:v>
      </x:c>
      <x:c r="H1568" s="31" t="n">
        <x:v>-73.84182659859398</x:v>
      </x:c>
      <x:c r="I1568" s="31" t="n">
        <x:v>1539</x:v>
      </x:c>
      <x:c r="J1568" s="31" t="n">
        <x:v>33511.164422540176</x:v>
      </x:c>
      <x:c r="K1568" s="31"/>
      <x:c r="L1568" s="40"/>
      <x:c r="M1568" s="40"/>
      <x:c r="N1568" s="31" t="n">
        <x:v>180</x:v>
      </x:c>
      <x:c r="O1568" s="31" t="n">
        <x:v>381</x:v>
      </x:c>
      <x:c r="P1568" s="31" t="n">
        <x:v>2.1257142857142854</x:v>
      </x:c>
      <x:c r="Q1568" s="40" t="n">
        <x:v>0</x:v>
      </x:c>
      <x:c r="R1568" s="40" t="n">
        <x:v>0.06824146981627296</x:v>
      </x:c>
      <x:c r="S1568" s="40" t="n">
        <x:v>0.07611548556430446</x:v>
      </x:c>
      <x:c r="T1568" s="31" t="n">
        <x:v>26.423962422005275</x:v>
      </x:c>
      <x:c r="U1568" s="31" t="n">
        <x:v>36.77</x:v>
      </x:c>
      <x:c r="V1568" s="31" t="n">
        <x:v>0</x:v>
      </x:c>
      <x:c r="W1568" s="31" t="n">
        <x:v>0</x:v>
      </x:c>
      <x:c r="X1568" s="31" t="n">
        <x:v>4</x:v>
      </x:c>
      <x:c r="Y1568" s="40" t="n">
        <x:v>1</x:v>
      </x:c>
      <x:c r="Z1568" s="40" t="n">
        <x:v>1</x:v>
      </x:c>
      <x:c r="AA1568" s="40" t="n">
        <x:v>0.994750656167979</x:v>
      </x:c>
      <x:c r="AB1568" s="31" t="n">
        <x:v>0.09997112999843728</x:v>
      </x:c>
      <x:c r="AC1568" s="31" t="n">
        <x:v>7</x:v>
      </x:c>
      <x:c r="AD1568" s="44" t="b">
        <x:v>1</x:v>
      </x:c>
    </x:row>
    <x:row r="1569">
      <x:c r="A1569" s="31" t="str">
        <x:v>36081011500</x:v>
      </x:c>
      <x:c r="B1569" s="31" t="str">
        <x:v>Queens</x:v>
      </x:c>
      <x:c r="C1569" s="31" t="str">
        <x:v>011500</x:v>
      </x:c>
      <x:c r="D1569" s="31" t="str">
        <x:v>QN0101</x:v>
      </x:c>
      <x:c r="E1569" s="31" t="str">
        <x:v>Astoria (North)-Ditmars-Steinway</x:v>
      </x:c>
      <x:c r="F1569" s="31" t="n">
        <x:v>0.07164037058834079</x:v>
      </x:c>
      <x:c r="G1569" s="31" t="n">
        <x:v>40.77442065282547</x:v>
      </x:c>
      <x:c r="H1569" s="31" t="n">
        <x:v>-73.91334610087691</x:v>
      </x:c>
      <x:c r="I1569" s="31" t="n">
        <x:v>2414</x:v>
      </x:c>
      <x:c r="J1569" s="31" t="n">
        <x:v>33696.08476582713</x:v>
      </x:c>
      <x:c r="K1569" s="31"/>
      <x:c r="L1569" s="40"/>
      <x:c r="M1569" s="40"/>
      <x:c r="N1569" s="31" t="n">
        <x:v>314</x:v>
      </x:c>
      <x:c r="O1569" s="31" t="n">
        <x:v>1276</x:v>
      </x:c>
      <x:c r="P1569" s="31" t="n">
        <x:v>3.7135579937304075</x:v>
      </x:c>
      <x:c r="Q1569" s="40" t="n">
        <x:v>0.06269592476489028</x:v>
      </x:c>
      <x:c r="R1569" s="40" t="n">
        <x:v>0.5932601880877743</x:v>
      </x:c>
      <x:c r="S1569" s="40" t="n">
        <x:v>0.006269592476489028</x:v>
      </x:c>
      <x:c r="T1569" s="31" t="n">
        <x:v>36.747097766357506</x:v>
      </x:c>
      <x:c r="U1569" s="31" t="n">
        <x:v>85</x:v>
      </x:c>
      <x:c r="V1569" s="31" t="n">
        <x:v>8</x:v>
      </x:c>
      <x:c r="W1569" s="31" t="n">
        <x:v>3.314001657000828</x:v>
      </x:c>
      <x:c r="X1569" s="31" t="n">
        <x:v>3</x:v>
      </x:c>
      <x:c r="Y1569" s="40" t="n">
        <x:v>0</x:v>
      </x:c>
      <x:c r="Z1569" s="40" t="n">
        <x:v>1</x:v>
      </x:c>
      <x:c r="AA1569" s="40" t="n">
        <x:v>0.9294670846394985</x:v>
      </x:c>
      <x:c r="AB1569" s="31" t="n">
        <x:v>0.12606242712586033</x:v>
      </x:c>
      <x:c r="AC1569" s="31" t="n">
        <x:v>7</x:v>
      </x:c>
      <x:c r="AD1569" s="44" t="b">
        <x:v>1</x:v>
      </x:c>
    </x:row>
    <x:row r="1570">
      <x:c r="A1570" s="31" t="str">
        <x:v>36081011600</x:v>
      </x:c>
      <x:c r="B1570" s="31" t="str">
        <x:v>Queens</x:v>
      </x:c>
      <x:c r="C1570" s="31" t="str">
        <x:v>011600</x:v>
      </x:c>
      <x:c r="D1570" s="31" t="str">
        <x:v>QN0904</x:v>
      </x:c>
      <x:c r="E1570" s="31" t="str">
        <x:v>Ozone Park (North)</x:v>
      </x:c>
      <x:c r="F1570" s="31" t="n">
        <x:v>0.052773782123436065</x:v>
      </x:c>
      <x:c r="G1570" s="31" t="n">
        <x:v>40.688772210692015</x:v>
      </x:c>
      <x:c r="H1570" s="31" t="n">
        <x:v>-73.8388033758381</x:v>
      </x:c>
      <x:c r="I1570" s="31" t="n">
        <x:v>2370</x:v>
      </x:c>
      <x:c r="J1570" s="31" t="n">
        <x:v>44908.66306410731</x:v>
      </x:c>
      <x:c r="K1570" s="31"/>
      <x:c r="L1570" s="40"/>
      <x:c r="M1570" s="40"/>
      <x:c r="N1570" s="31" t="n">
        <x:v>322</x:v>
      </x:c>
      <x:c r="O1570" s="31" t="n">
        <x:v>593</x:v>
      </x:c>
      <x:c r="P1570" s="31" t="n">
        <x:v>2.299342327150084</x:v>
      </x:c>
      <x:c r="Q1570" s="40" t="n">
        <x:v>0</x:v>
      </x:c>
      <x:c r="R1570" s="40" t="n">
        <x:v>0.17200674536256325</x:v>
      </x:c>
      <x:c r="S1570" s="40" t="n">
        <x:v>0.01011804384485666</x:v>
      </x:c>
      <x:c r="T1570" s="31" t="n">
        <x:v>27.45175029698305</x:v>
      </x:c>
      <x:c r="U1570" s="31" t="n">
        <x:v>38.63573323</x:v>
      </x:c>
      <x:c r="V1570" s="31" t="n">
        <x:v>0</x:v>
      </x:c>
      <x:c r="W1570" s="31" t="n">
        <x:v>0</x:v>
      </x:c>
      <x:c r="X1570" s="31" t="n">
        <x:v>4</x:v>
      </x:c>
      <x:c r="Y1570" s="40" t="n">
        <x:v>1</x:v>
      </x:c>
      <x:c r="Z1570" s="40" t="n">
        <x:v>1</x:v>
      </x:c>
      <x:c r="AA1570" s="40" t="n">
        <x:v>0.9949409780775716</x:v>
      </x:c>
      <x:c r="AB1570" s="31" t="n">
        <x:v>0.1283549045414672</x:v>
      </x:c>
      <x:c r="AC1570" s="31" t="n">
        <x:v>7</x:v>
      </x:c>
      <x:c r="AD1570" s="44" t="b">
        <x:v>1</x:v>
      </x:c>
    </x:row>
    <x:row r="1571">
      <x:c r="A1571" s="31" t="str">
        <x:v>36081011700</x:v>
      </x:c>
      <x:c r="B1571" s="31" t="str">
        <x:v>Queens</x:v>
      </x:c>
      <x:c r="C1571" s="31" t="str">
        <x:v>011700</x:v>
      </x:c>
      <x:c r="D1571" s="31" t="str">
        <x:v>QN0101</x:v>
      </x:c>
      <x:c r="E1571" s="31" t="str">
        <x:v>Astoria (North)-Ditmars-Steinway</x:v>
      </x:c>
      <x:c r="F1571" s="31" t="n">
        <x:v>0.08216659119641012</x:v>
      </x:c>
      <x:c r="G1571" s="31" t="n">
        <x:v>40.77222975066851</x:v>
      </x:c>
      <x:c r="H1571" s="31" t="n">
        <x:v>-73.91045567330625</x:v>
      </x:c>
      <x:c r="I1571" s="31" t="n">
        <x:v>3840</x:v>
      </x:c>
      <x:c r="J1571" s="31" t="n">
        <x:v>46734.322844438146</x:v>
      </x:c>
      <x:c r="K1571" s="31"/>
      <x:c r="L1571" s="40"/>
      <x:c r="M1571" s="40"/>
      <x:c r="N1571" s="31" t="n">
        <x:v>610</x:v>
      </x:c>
      <x:c r="O1571" s="31" t="n">
        <x:v>1755</x:v>
      </x:c>
      <x:c r="P1571" s="31" t="n">
        <x:v>2.6113960113960113</x:v>
      </x:c>
      <x:c r="Q1571" s="40" t="n">
        <x:v>0</x:v>
      </x:c>
      <x:c r="R1571" s="40" t="n">
        <x:v>0.42735042735042733</x:v>
      </x:c>
      <x:c r="S1571" s="40" t="n">
        <x:v>0.005698005698005698</x:v>
      </x:c>
      <x:c r="T1571" s="31" t="n">
        <x:v>31.57206605201945</x:v>
      </x:c>
      <x:c r="U1571" s="31" t="n">
        <x:v>49.38</x:v>
      </x:c>
      <x:c r="V1571" s="31" t="n">
        <x:v>5</x:v>
      </x:c>
      <x:c r="W1571" s="31" t="n">
        <x:v>1.3020833333333333</x:v>
      </x:c>
      <x:c r="X1571" s="31" t="n">
        <x:v>3</x:v>
      </x:c>
      <x:c r="Y1571" s="40" t="n">
        <x:v>0</x:v>
      </x:c>
      <x:c r="Z1571" s="40" t="n">
        <x:v>1</x:v>
      </x:c>
      <x:c r="AA1571" s="40" t="n">
        <x:v>0.996011396011396</x:v>
      </x:c>
      <x:c r="AB1571" s="31" t="n">
        <x:v>0.23905672707483852</x:v>
      </x:c>
      <x:c r="AC1571" s="31" t="n">
        <x:v>6</x:v>
      </x:c>
      <x:c r="AD1571" s="44" t="b">
        <x:v>1</x:v>
      </x:c>
    </x:row>
    <x:row r="1572">
      <x:c r="A1572" s="31" t="str">
        <x:v>36081011800</x:v>
      </x:c>
      <x:c r="B1572" s="31" t="str">
        <x:v>Queens</x:v>
      </x:c>
      <x:c r="C1572" s="31" t="str">
        <x:v>011800</x:v>
      </x:c>
      <x:c r="D1572" s="31" t="str">
        <x:v>QN0903</x:v>
      </x:c>
      <x:c r="E1572" s="31" t="str">
        <x:v>South Richmond Hill</x:v>
      </x:c>
      <x:c r="F1572" s="31" t="n">
        <x:v>0.06031986966648015</x:v>
      </x:c>
      <x:c r="G1572" s="31" t="n">
        <x:v>40.69064177048089</x:v>
      </x:c>
      <x:c r="H1572" s="31" t="n">
        <x:v>-73.83390226634815</x:v>
      </x:c>
      <x:c r="I1572" s="31" t="n">
        <x:v>2690</x:v>
      </x:c>
      <x:c r="J1572" s="31" t="n">
        <x:v>44595.58707393623</x:v>
      </x:c>
      <x:c r="K1572" s="31"/>
      <x:c r="L1572" s="40"/>
      <x:c r="M1572" s="40"/>
      <x:c r="N1572" s="31" t="n">
        <x:v>358</x:v>
      </x:c>
      <x:c r="O1572" s="31" t="n">
        <x:v>787</x:v>
      </x:c>
      <x:c r="P1572" s="31" t="n">
        <x:v>3.0099618805590853</x:v>
      </x:c>
      <x:c r="Q1572" s="40" t="n">
        <x:v>0</x:v>
      </x:c>
      <x:c r="R1572" s="40" t="n">
        <x:v>0.3341804320203304</x:v>
      </x:c>
      <x:c r="S1572" s="40" t="n">
        <x:v>0.01397712833545108</x:v>
      </x:c>
      <x:c r="T1572" s="31" t="n">
        <x:v>31.64858094333793</x:v>
      </x:c>
      <x:c r="U1572" s="31" t="n">
        <x:v>70</x:v>
      </x:c>
      <x:c r="V1572" s="31" t="n">
        <x:v>2</x:v>
      </x:c>
      <x:c r="W1572" s="31" t="n">
        <x:v>0.7434944237918215</x:v>
      </x:c>
      <x:c r="X1572" s="31" t="n">
        <x:v>4</x:v>
      </x:c>
      <x:c r="Y1572" s="40" t="n">
        <x:v>1</x:v>
      </x:c>
      <x:c r="Z1572" s="40" t="n">
        <x:v>1</x:v>
      </x:c>
      <x:c r="AA1572" s="40" t="n">
        <x:v>0.9212198221092758</x:v>
      </x:c>
      <x:c r="AB1572" s="31" t="n">
        <x:v>0.18185982659282135</x:v>
      </x:c>
      <x:c r="AC1572" s="31" t="n">
        <x:v>7</x:v>
      </x:c>
      <x:c r="AD1572" s="44" t="b">
        <x:v>1</x:v>
      </x:c>
    </x:row>
    <x:row r="1573">
      <x:c r="A1573" s="31" t="str">
        <x:v>36081011900</x:v>
      </x:c>
      <x:c r="B1573" s="31" t="str">
        <x:v>Queens</x:v>
      </x:c>
      <x:c r="C1573" s="31" t="str">
        <x:v>011900</x:v>
      </x:c>
      <x:c r="D1573" s="31" t="str">
        <x:v>QN0101</x:v>
      </x:c>
      <x:c r="E1573" s="31" t="str">
        <x:v>Astoria (North)-Ditmars-Steinway</x:v>
      </x:c>
      <x:c r="F1573" s="31" t="n">
        <x:v>0.043036722801523764</x:v>
      </x:c>
      <x:c r="G1573" s="31" t="n">
        <x:v>40.771205445618584</x:v>
      </x:c>
      <x:c r="H1573" s="31" t="n">
        <x:v>-73.90606390542904</x:v>
      </x:c>
      <x:c r="I1573" s="31" t="n">
        <x:v>1729</x:v>
      </x:c>
      <x:c r="J1573" s="31" t="n">
        <x:v>40174.992133434076</x:v>
      </x:c>
      <x:c r="K1573" s="31"/>
      <x:c r="L1573" s="40"/>
      <x:c r="M1573" s="40"/>
      <x:c r="N1573" s="31" t="n">
        <x:v>219</x:v>
      </x:c>
      <x:c r="O1573" s="31" t="n">
        <x:v>830</x:v>
      </x:c>
      <x:c r="P1573" s="31" t="n">
        <x:v>2.8216867469879516</x:v>
      </x:c>
      <x:c r="Q1573" s="40" t="n">
        <x:v>0</x:v>
      </x:c>
      <x:c r="R1573" s="40" t="n">
        <x:v>0.6445783132530121</x:v>
      </x:c>
      <x:c r="S1573" s="40" t="n">
        <x:v>0.0036144578313253013</x:v>
      </x:c>
      <x:c r="T1573" s="31" t="n">
        <x:v>32.69326506024096</x:v>
      </x:c>
      <x:c r="U1573" s="31" t="n">
        <x:v>49.15</x:v>
      </x:c>
      <x:c r="V1573" s="31" t="n">
        <x:v>2</x:v>
      </x:c>
      <x:c r="W1573" s="31" t="n">
        <x:v>1.156737998843262</x:v>
      </x:c>
      <x:c r="X1573" s="31" t="n">
        <x:v>3</x:v>
      </x:c>
      <x:c r="Y1573" s="40" t="n">
        <x:v>0</x:v>
      </x:c>
      <x:c r="Z1573" s="40" t="n">
        <x:v>1</x:v>
      </x:c>
      <x:c r="AA1573" s="40" t="n">
        <x:v>1</x:v>
      </x:c>
      <x:c r="AB1573" s="31" t="n">
        <x:v>0.0043940217241739835</x:v>
      </x:c>
      <x:c r="AC1573" s="31" t="n">
        <x:v>4</x:v>
      </x:c>
      <x:c r="AD1573" s="44" t="b">
        <x:v>1</x:v>
      </x:c>
    </x:row>
    <x:row r="1574">
      <x:c r="A1574" s="31" t="str">
        <x:v>36081012000</x:v>
      </x:c>
      <x:c r="B1574" s="31" t="str">
        <x:v>Queens</x:v>
      </x:c>
      <x:c r="C1574" s="31" t="str">
        <x:v>012000</x:v>
      </x:c>
      <x:c r="D1574" s="31" t="str">
        <x:v>QN0903</x:v>
      </x:c>
      <x:c r="E1574" s="31" t="str">
        <x:v>South Richmond Hill</x:v>
      </x:c>
      <x:c r="F1574" s="31" t="n">
        <x:v>0.055706511089230366</x:v>
      </x:c>
      <x:c r="G1574" s="31" t="n">
        <x:v>40.69149832365194</x:v>
      </x:c>
      <x:c r="H1574" s="31" t="n">
        <x:v>-73.82865593303727</x:v>
      </x:c>
      <x:c r="I1574" s="31" t="n">
        <x:v>2385</x:v>
      </x:c>
      <x:c r="J1574" s="31" t="n">
        <x:v>42813.66672164625</x:v>
      </x:c>
      <x:c r="K1574" s="31"/>
      <x:c r="L1574" s="40"/>
      <x:c r="M1574" s="40"/>
      <x:c r="N1574" s="31" t="n">
        <x:v>320</x:v>
      </x:c>
      <x:c r="O1574" s="31" t="n">
        <x:v>624</x:v>
      </x:c>
      <x:c r="P1574" s="31" t="n">
        <x:v>2.455032051282051</x:v>
      </x:c>
      <x:c r="Q1574" s="40" t="n">
        <x:v>0</x:v>
      </x:c>
      <x:c r="R1574" s="40" t="n">
        <x:v>0.23076923076923078</x:v>
      </x:c>
      <x:c r="S1574" s="40" t="n">
        <x:v>0.017628205128205128</x:v>
      </x:c>
      <x:c r="T1574" s="31" t="n">
        <x:v>29.880099512900642</x:v>
      </x:c>
      <x:c r="U1574" s="31" t="n">
        <x:v>37.65</x:v>
      </x:c>
      <x:c r="V1574" s="31" t="n">
        <x:v>1</x:v>
      </x:c>
      <x:c r="W1574" s="31" t="n">
        <x:v>0.4192872117400419</x:v>
      </x:c>
      <x:c r="X1574" s="31" t="n">
        <x:v>4</x:v>
      </x:c>
      <x:c r="Y1574" s="40" t="n">
        <x:v>1</x:v>
      </x:c>
      <x:c r="Z1574" s="40" t="n">
        <x:v>1</x:v>
      </x:c>
      <x:c r="AA1574" s="40" t="n">
        <x:v>1</x:v>
      </x:c>
      <x:c r="AB1574" s="31" t="n">
        <x:v>0.0983062202363964</x:v>
      </x:c>
      <x:c r="AC1574" s="31" t="n">
        <x:v>10</x:v>
      </x:c>
      <x:c r="AD1574" s="44" t="b">
        <x:v>1</x:v>
      </x:c>
    </x:row>
    <x:row r="1575">
      <x:c r="A1575" s="31" t="str">
        <x:v>36081012100</x:v>
      </x:c>
      <x:c r="B1575" s="31" t="str">
        <x:v>Queens</x:v>
      </x:c>
      <x:c r="C1575" s="31" t="str">
        <x:v>012100</x:v>
      </x:c>
      <x:c r="D1575" s="31" t="str">
        <x:v>QN0101</x:v>
      </x:c>
      <x:c r="E1575" s="31" t="str">
        <x:v>Astoria (North)-Ditmars-Steinway</x:v>
      </x:c>
      <x:c r="F1575" s="31" t="n">
        <x:v>0.05324554068239211</x:v>
      </x:c>
      <x:c r="G1575" s="31" t="n">
        <x:v>40.77275861776314</x:v>
      </x:c>
      <x:c r="H1575" s="31" t="n">
        <x:v>-73.90351406921911</x:v>
      </x:c>
      <x:c r="I1575" s="31" t="n">
        <x:v>2177</x:v>
      </x:c>
      <x:c r="J1575" s="31" t="n">
        <x:v>40886.05303091452</x:v>
      </x:c>
      <x:c r="K1575" s="31"/>
      <x:c r="L1575" s="40"/>
      <x:c r="M1575" s="40"/>
      <x:c r="N1575" s="31" t="n">
        <x:v>378</x:v>
      </x:c>
      <x:c r="O1575" s="31" t="n">
        <x:v>956</x:v>
      </x:c>
      <x:c r="P1575" s="31" t="n">
        <x:v>2.4730648535564854</x:v>
      </x:c>
      <x:c r="Q1575" s="40" t="n">
        <x:v>0</x:v>
      </x:c>
      <x:c r="R1575" s="40" t="n">
        <x:v>0.41422594142259417</x:v>
      </x:c>
      <x:c r="S1575" s="40" t="n">
        <x:v>0.03347280334728033</x:v>
      </x:c>
      <x:c r="T1575" s="31" t="n">
        <x:v>27.780833657730124</x:v>
      </x:c>
      <x:c r="U1575" s="31" t="n">
        <x:v>46.19</x:v>
      </x:c>
      <x:c r="V1575" s="31" t="n">
        <x:v>0</x:v>
      </x:c>
      <x:c r="W1575" s="31" t="n">
        <x:v>0</x:v>
      </x:c>
      <x:c r="X1575" s="31" t="n">
        <x:v>3</x:v>
      </x:c>
      <x:c r="Y1575" s="40" t="n">
        <x:v>0</x:v>
      </x:c>
      <x:c r="Z1575" s="40" t="n">
        <x:v>1</x:v>
      </x:c>
      <x:c r="AA1575" s="40" t="n">
        <x:v>1</x:v>
      </x:c>
      <x:c r="AB1575" s="31" t="n">
        <x:v>0.1757550403918658</x:v>
      </x:c>
      <x:c r="AC1575" s="31" t="n">
        <x:v>6</x:v>
      </x:c>
      <x:c r="AD1575" s="44" t="b">
        <x:v>1</x:v>
      </x:c>
    </x:row>
    <x:row r="1576">
      <x:c r="A1576" s="31" t="str">
        <x:v>36081012200</x:v>
      </x:c>
      <x:c r="B1576" s="31" t="str">
        <x:v>Queens</x:v>
      </x:c>
      <x:c r="C1576" s="31" t="str">
        <x:v>012200</x:v>
      </x:c>
      <x:c r="D1576" s="31" t="str">
        <x:v>QN0902</x:v>
      </x:c>
      <x:c r="E1576" s="31" t="str">
        <x:v>Richmond Hill</x:v>
      </x:c>
      <x:c r="F1576" s="31" t="n">
        <x:v>0.08116606793072774</x:v>
      </x:c>
      <x:c r="G1576" s="31" t="n">
        <x:v>40.69649564542699</x:v>
      </x:c>
      <x:c r="H1576" s="31" t="n">
        <x:v>-73.83106563933747</x:v>
      </x:c>
      <x:c r="I1576" s="31" t="n">
        <x:v>2802</x:v>
      </x:c>
      <x:c r="J1576" s="31" t="n">
        <x:v>34521.81522938138</x:v>
      </x:c>
      <x:c r="K1576" s="31"/>
      <x:c r="L1576" s="40"/>
      <x:c r="M1576" s="40"/>
      <x:c r="N1576" s="31" t="n">
        <x:v>392</x:v>
      </x:c>
      <x:c r="O1576" s="31" t="n">
        <x:v>857</x:v>
      </x:c>
      <x:c r="P1576" s="31" t="n">
        <x:v>2.6905950991831973</x:v>
      </x:c>
      <x:c r="Q1576" s="40" t="n">
        <x:v>0</x:v>
      </x:c>
      <x:c r="R1576" s="40" t="n">
        <x:v>0.19019836639439908</x:v>
      </x:c>
      <x:c r="S1576" s="40" t="n">
        <x:v>0.014002333722287048</x:v>
      </x:c>
      <x:c r="T1576" s="31" t="n">
        <x:v>34.18635566997666</x:v>
      </x:c>
      <x:c r="U1576" s="31" t="n">
        <x:v>47.98</x:v>
      </x:c>
      <x:c r="V1576" s="31" t="n">
        <x:v>1</x:v>
      </x:c>
      <x:c r="W1576" s="31" t="n">
        <x:v>0.35688793718772305</x:v>
      </x:c>
      <x:c r="X1576" s="31" t="n">
        <x:v>3</x:v>
      </x:c>
      <x:c r="Y1576" s="40" t="n">
        <x:v>0</x:v>
      </x:c>
      <x:c r="Z1576" s="40" t="n">
        <x:v>1</x:v>
      </x:c>
      <x:c r="AA1576" s="40" t="n">
        <x:v>1</x:v>
      </x:c>
      <x:c r="AB1576" s="31" t="n">
        <x:v>0.17615088907350196</x:v>
      </x:c>
      <x:c r="AC1576" s="31" t="n">
        <x:v>6</x:v>
      </x:c>
      <x:c r="AD1576" s="44" t="b">
        <x:v>1</x:v>
      </x:c>
    </x:row>
    <x:row r="1577">
      <x:c r="A1577" s="31" t="str">
        <x:v>36081012301</x:v>
      </x:c>
      <x:c r="B1577" s="31" t="str">
        <x:v>Queens</x:v>
      </x:c>
      <x:c r="C1577" s="31" t="str">
        <x:v>012301</x:v>
      </x:c>
      <x:c r="D1577" s="31" t="str">
        <x:v>QN0101</x:v>
      </x:c>
      <x:c r="E1577" s="31" t="str">
        <x:v>Astoria (North)-Ditmars-Steinway</x:v>
      </x:c>
      <x:c r="F1577" s="31" t="n">
        <x:v>0.22838293632202708</x:v>
      </x:c>
      <x:c r="G1577" s="31" t="n">
        <x:v>40.77578743950077</x:v>
      </x:c>
      <x:c r="H1577" s="31" t="n">
        <x:v>-73.89908445156917</x:v>
      </x:c>
      <x:c r="I1577" s="31" t="n">
        <x:v>3272</x:v>
      </x:c>
      <x:c r="J1577" s="31" t="n">
        <x:v>14326.81465915815</x:v>
      </x:c>
      <x:c r="K1577" s="31"/>
      <x:c r="L1577" s="40"/>
      <x:c r="M1577" s="40"/>
      <x:c r="N1577" s="31" t="n">
        <x:v>583</x:v>
      </x:c>
      <x:c r="O1577" s="31" t="n">
        <x:v>1397</x:v>
      </x:c>
      <x:c r="P1577" s="31" t="n">
        <x:v>2.588146551724138</x:v>
      </x:c>
      <x:c r="Q1577" s="40" t="n">
        <x:v>0</x:v>
      </x:c>
      <x:c r="R1577" s="40" t="n">
        <x:v>0.4531138153185397</x:v>
      </x:c>
      <x:c r="S1577" s="40" t="n">
        <x:v>0</x:v>
      </x:c>
      <x:c r="T1577" s="31" t="n">
        <x:v>30.57276760115963</x:v>
      </x:c>
      <x:c r="U1577" s="31" t="n">
        <x:v>64.12</x:v>
      </x:c>
      <x:c r="V1577" s="31" t="n">
        <x:v>10</x:v>
      </x:c>
      <x:c r="W1577" s="31" t="n">
        <x:v>3.0562347188264063</x:v>
      </x:c>
      <x:c r="X1577" s="31" t="n">
        <x:v>3</x:v>
      </x:c>
      <x:c r="Y1577" s="40" t="n">
        <x:v>0</x:v>
      </x:c>
      <x:c r="Z1577" s="40" t="n">
        <x:v>1</x:v>
      </x:c>
      <x:c r="AA1577" s="40" t="n">
        <x:v>1</x:v>
      </x:c>
      <x:c r="AB1577" s="31" t="n">
        <x:v>0.2872646490610547</x:v>
      </x:c>
      <x:c r="AC1577" s="31" t="n">
        <x:v>6</x:v>
      </x:c>
      <x:c r="AD1577" s="44" t="b">
        <x:v>1</x:v>
      </x:c>
    </x:row>
    <x:row r="1578">
      <x:c r="A1578" s="31" t="str">
        <x:v>36081012400</x:v>
      </x:c>
      <x:c r="B1578" s="31" t="str">
        <x:v>Queens</x:v>
      </x:c>
      <x:c r="C1578" s="31" t="str">
        <x:v>012400</x:v>
      </x:c>
      <x:c r="D1578" s="31" t="str">
        <x:v>QN0902</x:v>
      </x:c>
      <x:c r="E1578" s="31" t="str">
        <x:v>Richmond Hill</x:v>
      </x:c>
      <x:c r="F1578" s="31" t="n">
        <x:v>0.07655158043790175</x:v>
      </x:c>
      <x:c r="G1578" s="31" t="n">
        <x:v>40.69519847676279</x:v>
      </x:c>
      <x:c r="H1578" s="31" t="n">
        <x:v>-73.83429735831228</x:v>
      </x:c>
      <x:c r="I1578" s="31" t="n">
        <x:v>2873</x:v>
      </x:c>
      <x:c r="J1578" s="31" t="n">
        <x:v>37530.25063056096</x:v>
      </x:c>
      <x:c r="K1578" s="31"/>
      <x:c r="L1578" s="40"/>
      <x:c r="M1578" s="40"/>
      <x:c r="N1578" s="31" t="n">
        <x:v>358</x:v>
      </x:c>
      <x:c r="O1578" s="31" t="n">
        <x:v>778</x:v>
      </x:c>
      <x:c r="P1578" s="31" t="n">
        <x:v>3.058804627249357</x:v>
      </x:c>
      <x:c r="Q1578" s="40" t="n">
        <x:v>0</x:v>
      </x:c>
      <x:c r="R1578" s="40" t="n">
        <x:v>0.2930591259640103</x:v>
      </x:c>
      <x:c r="S1578" s="40" t="n">
        <x:v>0.02699228791773779</x:v>
      </x:c>
      <x:c r="T1578" s="31" t="n">
        <x:v>37.870433736533506</x:v>
      </x:c>
      <x:c r="U1578" s="31" t="n">
        <x:v>78.22</x:v>
      </x:c>
      <x:c r="V1578" s="31" t="n">
        <x:v>2</x:v>
      </x:c>
      <x:c r="W1578" s="31" t="n">
        <x:v>0.6961364427427776</x:v>
      </x:c>
      <x:c r="X1578" s="31" t="n">
        <x:v>3</x:v>
      </x:c>
      <x:c r="Y1578" s="40" t="n">
        <x:v>0</x:v>
      </x:c>
      <x:c r="Z1578" s="40" t="n">
        <x:v>1</x:v>
      </x:c>
      <x:c r="AA1578" s="40" t="n">
        <x:v>0.9974293059125964</x:v>
      </x:c>
      <x:c r="AB1578" s="31" t="n">
        <x:v>0.03476722496436533</x:v>
      </x:c>
      <x:c r="AC1578" s="31" t="n">
        <x:v>7</x:v>
      </x:c>
      <x:c r="AD1578" s="44" t="b">
        <x:v>1</x:v>
      </x:c>
    </x:row>
    <x:row r="1579">
      <x:c r="A1579" s="31" t="str">
        <x:v>36081012500</x:v>
      </x:c>
      <x:c r="B1579" s="31" t="str">
        <x:v>Queens</x:v>
      </x:c>
      <x:c r="C1579" s="31" t="str">
        <x:v>012500</x:v>
      </x:c>
      <x:c r="D1579" s="31" t="str">
        <x:v>QN0101</x:v>
      </x:c>
      <x:c r="E1579" s="31" t="str">
        <x:v>Astoria (North)-Ditmars-Steinway</x:v>
      </x:c>
      <x:c r="F1579" s="31" t="n">
        <x:v>0.06285304200528008</x:v>
      </x:c>
      <x:c r="G1579" s="31" t="n">
        <x:v>40.7709284648479</x:v>
      </x:c>
      <x:c r="H1579" s="31" t="n">
        <x:v>-73.91566693588307</x:v>
      </x:c>
      <x:c r="I1579" s="31" t="n">
        <x:v>1735</x:v>
      </x:c>
      <x:c r="J1579" s="31" t="n">
        <x:v>27604.073639812825</x:v>
      </x:c>
      <x:c r="K1579" s="31"/>
      <x:c r="L1579" s="40"/>
      <x:c r="M1579" s="40"/>
      <x:c r="N1579" s="31" t="n">
        <x:v>190</x:v>
      </x:c>
      <x:c r="O1579" s="31" t="n">
        <x:v>766</x:v>
      </x:c>
      <x:c r="P1579" s="31" t="n">
        <x:v>3.14621409921671</x:v>
      </x:c>
      <x:c r="Q1579" s="40" t="n">
        <x:v>0</x:v>
      </x:c>
      <x:c r="R1579" s="40" t="n">
        <x:v>0.6984334203655352</x:v>
      </x:c>
      <x:c r="S1579" s="40" t="n">
        <x:v>0.07049608355091384</x:v>
      </x:c>
      <x:c r="T1579" s="31" t="n">
        <x:v>37.303630405669296</x:v>
      </x:c>
      <x:c r="U1579" s="31" t="n">
        <x:v>60</x:v>
      </x:c>
      <x:c r="V1579" s="31" t="n">
        <x:v>3</x:v>
      </x:c>
      <x:c r="W1579" s="31" t="n">
        <x:v>1.7291066282420748</x:v>
      </x:c>
      <x:c r="X1579" s="31" t="n">
        <x:v>3</x:v>
      </x:c>
      <x:c r="Y1579" s="40" t="n">
        <x:v>0</x:v>
      </x:c>
      <x:c r="Z1579" s="40" t="n">
        <x:v>1</x:v>
      </x:c>
      <x:c r="AA1579" s="40" t="n">
        <x:v>0.9947780678851175</x:v>
      </x:c>
      <x:c r="AB1579" s="31" t="n">
        <x:v>0.1527801052052794</x:v>
      </x:c>
      <x:c r="AC1579" s="31" t="n">
        <x:v>11</x:v>
      </x:c>
      <x:c r="AD1579" s="44" t="b">
        <x:v>1</x:v>
      </x:c>
    </x:row>
    <x:row r="1580">
      <x:c r="A1580" s="31" t="str">
        <x:v>36081012601</x:v>
      </x:c>
      <x:c r="B1580" s="31" t="str">
        <x:v>Queens</x:v>
      </x:c>
      <x:c r="C1580" s="31" t="str">
        <x:v>012601</x:v>
      </x:c>
      <x:c r="D1580" s="31" t="str">
        <x:v>QN0902</x:v>
      </x:c>
      <x:c r="E1580" s="31" t="str">
        <x:v>Richmond Hill</x:v>
      </x:c>
      <x:c r="F1580" s="31" t="n">
        <x:v>0.058048531909291774</x:v>
      </x:c>
      <x:c r="G1580" s="31" t="n">
        <x:v>40.69365109586007</x:v>
      </x:c>
      <x:c r="H1580" s="31" t="n">
        <x:v>-73.83740925248574</x:v>
      </x:c>
      <x:c r="I1580" s="31" t="n">
        <x:v>2596</x:v>
      </x:c>
      <x:c r="J1580" s="31" t="n">
        <x:v>44721.199910043906</x:v>
      </x:c>
      <x:c r="K1580" s="31"/>
      <x:c r="L1580" s="40"/>
      <x:c r="M1580" s="40"/>
      <x:c r="N1580" s="31" t="n">
        <x:v>362</x:v>
      </x:c>
      <x:c r="O1580" s="31" t="n">
        <x:v>726</x:v>
      </x:c>
      <x:c r="P1580" s="31" t="n">
        <x:v>2.483815426997245</x:v>
      </x:c>
      <x:c r="Q1580" s="40" t="n">
        <x:v>0</x:v>
      </x:c>
      <x:c r="R1580" s="40" t="n">
        <x:v>0.2465564738292011</x:v>
      </x:c>
      <x:c r="S1580" s="40" t="n">
        <x:v>0.013774104683195593</x:v>
      </x:c>
      <x:c r="T1580" s="31" t="n">
        <x:v>29.016514296951726</x:v>
      </x:c>
      <x:c r="U1580" s="31" t="n">
        <x:v>45.33899726</x:v>
      </x:c>
      <x:c r="V1580" s="31" t="n">
        <x:v>0</x:v>
      </x:c>
      <x:c r="W1580" s="31" t="n">
        <x:v>0</x:v>
      </x:c>
      <x:c r="X1580" s="31" t="n">
        <x:v>3</x:v>
      </x:c>
      <x:c r="Y1580" s="40" t="n">
        <x:v>0</x:v>
      </x:c>
      <x:c r="Z1580" s="40" t="n">
        <x:v>1</x:v>
      </x:c>
      <x:c r="AA1580" s="40" t="n">
        <x:v>0.9986225895316805</x:v>
      </x:c>
      <x:c r="AB1580" s="31" t="n">
        <x:v>0.21291199227902916</x:v>
      </x:c>
      <x:c r="AC1580" s="31" t="n">
        <x:v>6</x:v>
      </x:c>
      <x:c r="AD1580" s="44" t="b">
        <x:v>1</x:v>
      </x:c>
    </x:row>
    <x:row r="1581">
      <x:c r="A1581" s="31" t="str">
        <x:v>36081012602</x:v>
      </x:c>
      <x:c r="B1581" s="31" t="str">
        <x:v>Queens</x:v>
      </x:c>
      <x:c r="C1581" s="31" t="str">
        <x:v>012602</x:v>
      </x:c>
      <x:c r="D1581" s="31" t="str">
        <x:v>QN0902</x:v>
      </x:c>
      <x:c r="E1581" s="31" t="str">
        <x:v>Richmond Hill</x:v>
      </x:c>
      <x:c r="F1581" s="31" t="n">
        <x:v>0.05760265579983069</x:v>
      </x:c>
      <x:c r="G1581" s="31" t="n">
        <x:v>40.693165864804634</x:v>
      </x:c>
      <x:c r="H1581" s="31" t="n">
        <x:v>-73.84070381161969</x:v>
      </x:c>
      <x:c r="I1581" s="31" t="n">
        <x:v>2715</x:v>
      </x:c>
      <x:c r="J1581" s="31" t="n">
        <x:v>47133.2434642359</x:v>
      </x:c>
      <x:c r="K1581" s="31"/>
      <x:c r="L1581" s="40"/>
      <x:c r="M1581" s="40"/>
      <x:c r="N1581" s="31" t="n">
        <x:v>407</x:v>
      </x:c>
      <x:c r="O1581" s="31" t="n">
        <x:v>757</x:v>
      </x:c>
      <x:c r="P1581" s="31" t="n">
        <x:v>2.330581241743725</x:v>
      </x:c>
      <x:c r="Q1581" s="40" t="n">
        <x:v>0</x:v>
      </x:c>
      <x:c r="R1581" s="40" t="n">
        <x:v>0.13606340819022458</x:v>
      </x:c>
      <x:c r="S1581" s="40" t="n">
        <x:v>0.005284015852047556</x:v>
      </x:c>
      <x:c r="T1581" s="31" t="n">
        <x:v>28.459582147397622</x:v>
      </x:c>
      <x:c r="U1581" s="31" t="n">
        <x:v>44.57951552</x:v>
      </x:c>
      <x:c r="V1581" s="31" t="n">
        <x:v>0</x:v>
      </x:c>
      <x:c r="W1581" s="31" t="n">
        <x:v>0</x:v>
      </x:c>
      <x:c r="X1581" s="31" t="n">
        <x:v>3</x:v>
      </x:c>
      <x:c r="Y1581" s="40" t="n">
        <x:v>0</x:v>
      </x:c>
      <x:c r="Z1581" s="40" t="n">
        <x:v>1</x:v>
      </x:c>
      <x:c r="AA1581" s="40" t="n">
        <x:v>1</x:v>
      </x:c>
      <x:c r="AB1581" s="31" t="n">
        <x:v>0.19392185465609105</x:v>
      </x:c>
      <x:c r="AC1581" s="31" t="n">
        <x:v>6</x:v>
      </x:c>
      <x:c r="AD1581" s="44" t="b">
        <x:v>1</x:v>
      </x:c>
    </x:row>
    <x:row r="1582">
      <x:c r="A1582" s="31" t="str">
        <x:v>36081012800</x:v>
      </x:c>
      <x:c r="B1582" s="31" t="str">
        <x:v>Queens</x:v>
      </x:c>
      <x:c r="C1582" s="31" t="str">
        <x:v>012800</x:v>
      </x:c>
      <x:c r="D1582" s="31" t="str">
        <x:v>QN0902</x:v>
      </x:c>
      <x:c r="E1582" s="31" t="str">
        <x:v>Richmond Hill</x:v>
      </x:c>
      <x:c r="F1582" s="31" t="n">
        <x:v>0.06176025763028008</x:v>
      </x:c>
      <x:c r="G1582" s="31" t="n">
        <x:v>40.69826280445823</x:v>
      </x:c>
      <x:c r="H1582" s="31" t="n">
        <x:v>-73.84012305374438</x:v>
      </x:c>
      <x:c r="I1582" s="31" t="n">
        <x:v>2212</x:v>
      </x:c>
      <x:c r="J1582" s="31" t="n">
        <x:v>35815.91277099031</x:v>
      </x:c>
      <x:c r="K1582" s="31"/>
      <x:c r="L1582" s="40"/>
      <x:c r="M1582" s="40"/>
      <x:c r="N1582" s="31" t="n">
        <x:v>317</x:v>
      </x:c>
      <x:c r="O1582" s="31" t="n">
        <x:v>720</x:v>
      </x:c>
      <x:c r="P1582" s="31" t="n">
        <x:v>3.3569444444444443</x:v>
      </x:c>
      <x:c r="Q1582" s="40" t="n">
        <x:v>0</x:v>
      </x:c>
      <x:c r="R1582" s="40" t="n">
        <x:v>0.34305555555555556</x:v>
      </x:c>
      <x:c r="S1582" s="40" t="n">
        <x:v>0</x:v>
      </x:c>
      <x:c r="T1582" s="31" t="n">
        <x:v>40.31854167920834</x:v>
      </x:c>
      <x:c r="U1582" s="31" t="n">
        <x:v>67.66</x:v>
      </x:c>
      <x:c r="V1582" s="31" t="n">
        <x:v>3</x:v>
      </x:c>
      <x:c r="W1582" s="31" t="n">
        <x:v>1.3562386980108498</x:v>
      </x:c>
      <x:c r="X1582" s="31" t="n">
        <x:v>3</x:v>
      </x:c>
      <x:c r="Y1582" s="40" t="n">
        <x:v>0</x:v>
      </x:c>
      <x:c r="Z1582" s="40" t="n">
        <x:v>1</x:v>
      </x:c>
      <x:c r="AA1582" s="40" t="n">
        <x:v>1</x:v>
      </x:c>
      <x:c r="AB1582" s="31" t="n">
        <x:v>0.1123270150271471</x:v>
      </x:c>
      <x:c r="AC1582" s="31" t="n">
        <x:v>6</x:v>
      </x:c>
      <x:c r="AD1582" s="44" t="b">
        <x:v>1</x:v>
      </x:c>
    </x:row>
    <x:row r="1583">
      <x:c r="A1583" s="31" t="str">
        <x:v>36081013000</x:v>
      </x:c>
      <x:c r="B1583" s="31" t="str">
        <x:v>Queens</x:v>
      </x:c>
      <x:c r="C1583" s="31" t="str">
        <x:v>013000</x:v>
      </x:c>
      <x:c r="D1583" s="31" t="str">
        <x:v>QN0902</x:v>
      </x:c>
      <x:c r="E1583" s="31" t="str">
        <x:v>Richmond Hill</x:v>
      </x:c>
      <x:c r="F1583" s="31" t="n">
        <x:v>0.0723194685276056</x:v>
      </x:c>
      <x:c r="G1583" s="31" t="n">
        <x:v>40.70034588730388</x:v>
      </x:c>
      <x:c r="H1583" s="31" t="n">
        <x:v>-73.83783522508061</x:v>
      </x:c>
      <x:c r="I1583" s="31" t="n">
        <x:v>1757</x:v>
      </x:c>
      <x:c r="J1583" s="31" t="n">
        <x:v>24294.979426312053</x:v>
      </x:c>
      <x:c r="K1583" s="31"/>
      <x:c r="L1583" s="40"/>
      <x:c r="M1583" s="40"/>
      <x:c r="N1583" s="31" t="n">
        <x:v>286</x:v>
      </x:c>
      <x:c r="O1583" s="31" t="n">
        <x:v>550</x:v>
      </x:c>
      <x:c r="P1583" s="31" t="n">
        <x:v>3.0415272727272726</x:v>
      </x:c>
      <x:c r="Q1583" s="40" t="n">
        <x:v>0</x:v>
      </x:c>
      <x:c r="R1583" s="40" t="n">
        <x:v>0.2927272727272727</x:v>
      </x:c>
      <x:c r="S1583" s="40" t="n">
        <x:v>0.00909090909090909</x:v>
      </x:c>
      <x:c r="T1583" s="31" t="n">
        <x:v>39.04206724332724</x:v>
      </x:c>
      <x:c r="U1583" s="31" t="n">
        <x:v>70.87018789</x:v>
      </x:c>
      <x:c r="V1583" s="31" t="n">
        <x:v>4</x:v>
      </x:c>
      <x:c r="W1583" s="31" t="n">
        <x:v>2.2766078542970973</x:v>
      </x:c>
      <x:c r="X1583" s="31" t="n">
        <x:v>3</x:v>
      </x:c>
      <x:c r="Y1583" s="40" t="n">
        <x:v>0</x:v>
      </x:c>
      <x:c r="Z1583" s="40" t="n">
        <x:v>1</x:v>
      </x:c>
      <x:c r="AA1583" s="40" t="n">
        <x:v>0.9945454545454545</x:v>
      </x:c>
      <x:c r="AB1583" s="31" t="n">
        <x:v>0.14651693029823448</x:v>
      </x:c>
      <x:c r="AC1583" s="31" t="n">
        <x:v>6</x:v>
      </x:c>
      <x:c r="AD1583" s="44" t="b">
        <x:v>1</x:v>
      </x:c>
    </x:row>
    <x:row r="1584">
      <x:c r="A1584" s="31" t="str">
        <x:v>36081013200</x:v>
      </x:c>
      <x:c r="B1584" s="31" t="str">
        <x:v>Queens</x:v>
      </x:c>
      <x:c r="C1584" s="31" t="str">
        <x:v>013200</x:v>
      </x:c>
      <x:c r="D1584" s="31" t="str">
        <x:v>QN0902</x:v>
      </x:c>
      <x:c r="E1584" s="31" t="str">
        <x:v>Richmond Hill</x:v>
      </x:c>
      <x:c r="F1584" s="31" t="n">
        <x:v>0.0742841761729511</x:v>
      </x:c>
      <x:c r="G1584" s="31" t="n">
        <x:v>40.701294298953385</x:v>
      </x:c>
      <x:c r="H1584" s="31" t="n">
        <x:v>-73.83438881336615</x:v>
      </x:c>
      <x:c r="I1584" s="31" t="n">
        <x:v>1919</x:v>
      </x:c>
      <x:c r="J1584" s="31" t="n">
        <x:v>25833.22719406775</x:v>
      </x:c>
      <x:c r="K1584" s="31"/>
      <x:c r="L1584" s="40"/>
      <x:c r="M1584" s="40"/>
      <x:c r="N1584" s="31" t="n">
        <x:v>258</x:v>
      </x:c>
      <x:c r="O1584" s="31" t="n">
        <x:v>696</x:v>
      </x:c>
      <x:c r="P1584" s="31" t="n">
        <x:v>3.4396695402298856</x:v>
      </x:c>
      <x:c r="Q1584" s="40" t="n">
        <x:v>0</x:v>
      </x:c>
      <x:c r="R1584" s="40" t="n">
        <x:v>0.6652298850574713</x:v>
      </x:c>
      <x:c r="S1584" s="40" t="n">
        <x:v>0.0028735632183908046</x:v>
      </x:c>
      <x:c r="T1584" s="31" t="n">
        <x:v>39.70048023204317</x:v>
      </x:c>
      <x:c r="U1584" s="31" t="n">
        <x:v>68.47</x:v>
      </x:c>
      <x:c r="V1584" s="31" t="n">
        <x:v>3</x:v>
      </x:c>
      <x:c r="W1584" s="31" t="n">
        <x:v>1.563314226159458</x:v>
      </x:c>
      <x:c r="X1584" s="31" t="n">
        <x:v>2.7370689655172415</x:v>
      </x:c>
      <x:c r="Y1584" s="40" t="n">
        <x:v>0</x:v>
      </x:c>
      <x:c r="Z1584" s="40" t="n">
        <x:v>1</x:v>
      </x:c>
      <x:c r="AA1584" s="40" t="n">
        <x:v>0.9985632183908046</x:v>
      </x:c>
      <x:c r="AB1584" s="31" t="n">
        <x:v>0.14942558564555056</x:v>
      </x:c>
      <x:c r="AC1584" s="31" t="n">
        <x:v>5</x:v>
      </x:c>
      <x:c r="AD1584" s="44" t="b">
        <x:v>1</x:v>
      </x:c>
    </x:row>
    <x:row r="1585">
      <x:c r="A1585" s="31" t="str">
        <x:v>36081013400</x:v>
      </x:c>
      <x:c r="B1585" s="31" t="str">
        <x:v>Queens</x:v>
      </x:c>
      <x:c r="C1585" s="31" t="str">
        <x:v>013400</x:v>
      </x:c>
      <x:c r="D1585" s="31" t="str">
        <x:v>QN0901</x:v>
      </x:c>
      <x:c r="E1585" s="31" t="str">
        <x:v>Kew Gardens</x:v>
      </x:c>
      <x:c r="F1585" s="31" t="n">
        <x:v>0.07373392834380739</x:v>
      </x:c>
      <x:c r="G1585" s="31" t="n">
        <x:v>40.705281111448606</x:v>
      </x:c>
      <x:c r="H1585" s="31" t="n">
        <x:v>-73.83498227494695</x:v>
      </x:c>
      <x:c r="I1585" s="31" t="n">
        <x:v>5904</x:v>
      </x:c>
      <x:c r="J1585" s="31" t="n">
        <x:v>80071.68657108248</x:v>
      </x:c>
      <x:c r="K1585" s="31"/>
      <x:c r="L1585" s="40"/>
      <x:c r="M1585" s="40"/>
      <x:c r="N1585" s="31" t="n">
        <x:v>158</x:v>
      </x:c>
      <x:c r="O1585" s="31" t="n">
        <x:v>3104</x:v>
      </x:c>
      <x:c r="P1585" s="31" t="n">
        <x:v>6.492637215528782</x:v>
      </x:c>
      <x:c r="Q1585" s="40" t="n">
        <x:v>0.0860180412371134</x:v>
      </x:c>
      <x:c r="R1585" s="40" t="n">
        <x:v>0.8427835051546392</x:v>
      </x:c>
      <x:c r="S1585" s="40" t="n">
        <x:v>0.009664948453608248</x:v>
      </x:c>
      <x:c r="T1585" s="31" t="n">
        <x:v>68.08921510128428</x:v>
      </x:c>
      <x:c r="U1585" s="31" t="n">
        <x:v>182</x:v>
      </x:c>
      <x:c r="V1585" s="31" t="n">
        <x:v>68</x:v>
      </x:c>
      <x:c r="W1585" s="31" t="n">
        <x:v>11.517615176151761</x:v>
      </x:c>
      <x:c r="X1585" s="31" t="n">
        <x:v>2.3849871134020617</x:v>
      </x:c>
      <x:c r="Y1585" s="40" t="n">
        <x:v>0</x:v>
      </x:c>
      <x:c r="Z1585" s="40" t="n">
        <x:v>1</x:v>
      </x:c>
      <x:c r="AA1585" s="40" t="n">
        <x:v>0.9632731958762887</x:v>
      </x:c>
      <x:c r="AB1585" s="31" t="n">
        <x:v>0.3573844708846819</x:v>
      </x:c>
      <x:c r="AC1585" s="31" t="n">
        <x:v>6</x:v>
      </x:c>
      <x:c r="AD1585" s="44" t="b">
        <x:v>1</x:v>
      </x:c>
    </x:row>
    <x:row r="1586">
      <x:c r="A1586" s="31" t="str">
        <x:v>36081013500</x:v>
      </x:c>
      <x:c r="B1586" s="31" t="str">
        <x:v>Queens</x:v>
      </x:c>
      <x:c r="C1586" s="31" t="str">
        <x:v>013500</x:v>
      </x:c>
      <x:c r="D1586" s="31" t="str">
        <x:v>QN0101</x:v>
      </x:c>
      <x:c r="E1586" s="31" t="str">
        <x:v>Astoria (North)-Ditmars-Steinway</x:v>
      </x:c>
      <x:c r="F1586" s="31" t="n">
        <x:v>0.052436000161056595</x:v>
      </x:c>
      <x:c r="G1586" s="31" t="n">
        <x:v>40.770648580083666</x:v>
      </x:c>
      <x:c r="H1586" s="31" t="n">
        <x:v>-73.89897616292656</x:v>
      </x:c>
      <x:c r="I1586" s="31" t="n">
        <x:v>1526</x:v>
      </x:c>
      <x:c r="J1586" s="31" t="n">
        <x:v>29102.143476102447</x:v>
      </x:c>
      <x:c r="K1586" s="31"/>
      <x:c r="L1586" s="40"/>
      <x:c r="M1586" s="40"/>
      <x:c r="N1586" s="31" t="n">
        <x:v>348</x:v>
      </x:c>
      <x:c r="O1586" s="31" t="n">
        <x:v>651</x:v>
      </x:c>
      <x:c r="P1586" s="31" t="n">
        <x:v>1.9710648148148149</x:v>
      </x:c>
      <x:c r="Q1586" s="40" t="n">
        <x:v>0</x:v>
      </x:c>
      <x:c r="R1586" s="40" t="n">
        <x:v>0.11674347158218126</x:v>
      </x:c>
      <x:c r="S1586" s="40" t="n">
        <x:v>0.013824884792626729</x:v>
      </x:c>
      <x:c r="T1586" s="31" t="n">
        <x:v>25.387117946553843</x:v>
      </x:c>
      <x:c r="U1586" s="31" t="n">
        <x:v>40.66</x:v>
      </x:c>
      <x:c r="V1586" s="31" t="n">
        <x:v>0</x:v>
      </x:c>
      <x:c r="W1586" s="31" t="n">
        <x:v>0</x:v>
      </x:c>
      <x:c r="X1586" s="31" t="n">
        <x:v>3</x:v>
      </x:c>
      <x:c r="Y1586" s="40" t="n">
        <x:v>0</x:v>
      </x:c>
      <x:c r="Z1586" s="40" t="n">
        <x:v>1</x:v>
      </x:c>
      <x:c r="AA1586" s="40" t="n">
        <x:v>0.9984639016897081</x:v>
      </x:c>
      <x:c r="AB1586" s="31" t="n">
        <x:v>0.2617183584578839</x:v>
      </x:c>
      <x:c r="AC1586" s="31" t="n">
        <x:v>4</x:v>
      </x:c>
      <x:c r="AD1586" s="44" t="b">
        <x:v>1</x:v>
      </x:c>
    </x:row>
    <x:row r="1587">
      <x:c r="A1587" s="31" t="str">
        <x:v>36081013600</x:v>
      </x:c>
      <x:c r="B1587" s="31" t="str">
        <x:v>Queens</x:v>
      </x:c>
      <x:c r="C1587" s="31" t="str">
        <x:v>013600</x:v>
      </x:c>
      <x:c r="D1587" s="31" t="str">
        <x:v>QN0901</x:v>
      </x:c>
      <x:c r="E1587" s="31" t="str">
        <x:v>Kew Gardens</x:v>
      </x:c>
      <x:c r="F1587" s="31" t="n">
        <x:v>0.058552536839990815</x:v>
      </x:c>
      <x:c r="G1587" s="31" t="n">
        <x:v>40.70659940153316</x:v>
      </x:c>
      <x:c r="H1587" s="31" t="n">
        <x:v>-73.82865698265883</x:v>
      </x:c>
      <x:c r="I1587" s="31" t="n">
        <x:v>1994</x:v>
      </x:c>
      <x:c r="J1587" s="31" t="n">
        <x:v>34054.886561945124</x:v>
      </x:c>
      <x:c r="K1587" s="31"/>
      <x:c r="L1587" s="40"/>
      <x:c r="M1587" s="40"/>
      <x:c r="N1587" s="31" t="n">
        <x:v>159</x:v>
      </x:c>
      <x:c r="O1587" s="31" t="n">
        <x:v>924</x:v>
      </x:c>
      <x:c r="P1587" s="31" t="n">
        <x:v>4.9561688311688314</x:v>
      </x:c>
      <x:c r="Q1587" s="40" t="n">
        <x:v>0</x:v>
      </x:c>
      <x:c r="R1587" s="40" t="n">
        <x:v>0.8528138528138528</x:v>
      </x:c>
      <x:c r="S1587" s="40" t="n">
        <x:v>0.00974025974025974</x:v>
      </x:c>
      <x:c r="T1587" s="31" t="n">
        <x:v>55.26015835845238</x:v>
      </x:c>
      <x:c r="U1587" s="31" t="n">
        <x:v>78</x:v>
      </x:c>
      <x:c r="V1587" s="31" t="n">
        <x:v>11</x:v>
      </x:c>
      <x:c r="W1587" s="31" t="n">
        <x:v>5.516549648946841</x:v>
      </x:c>
      <x:c r="X1587" s="31" t="n">
        <x:v>2</x:v>
      </x:c>
      <x:c r="Y1587" s="40" t="n">
        <x:v>0</x:v>
      </x:c>
      <x:c r="Z1587" s="40" t="n">
        <x:v>1</x:v>
      </x:c>
      <x:c r="AA1587" s="40" t="n">
        <x:v>1</x:v>
      </x:c>
      <x:c r="AB1587" s="31" t="n">
        <x:v>0.3437146510891007</x:v>
      </x:c>
      <x:c r="AC1587" s="31" t="n">
        <x:v>4</x:v>
      </x:c>
      <x:c r="AD1587" s="44" t="b">
        <x:v>1</x:v>
      </x:c>
    </x:row>
    <x:row r="1588">
      <x:c r="A1588" s="31" t="str">
        <x:v>36081013700</x:v>
      </x:c>
      <x:c r="B1588" s="31" t="str">
        <x:v>Queens</x:v>
      </x:c>
      <x:c r="C1588" s="31" t="str">
        <x:v>013700</x:v>
      </x:c>
      <x:c r="D1588" s="31" t="str">
        <x:v>QN0101</x:v>
      </x:c>
      <x:c r="E1588" s="31" t="str">
        <x:v>Astoria (North)-Ditmars-Steinway</x:v>
      </x:c>
      <x:c r="F1588" s="31" t="n">
        <x:v>0.07724031524334252</x:v>
      </x:c>
      <x:c r="G1588" s="31" t="n">
        <x:v>40.7689705709784</x:v>
      </x:c>
      <x:c r="H1588" s="31" t="n">
        <x:v>-73.90491420446854</x:v>
      </x:c>
      <x:c r="I1588" s="31" t="n">
        <x:v>1747</x:v>
      </x:c>
      <x:c r="J1588" s="31" t="n">
        <x:v>22617.72229302983</x:v>
      </x:c>
      <x:c r="K1588" s="31"/>
      <x:c r="L1588" s="40"/>
      <x:c r="M1588" s="40"/>
      <x:c r="N1588" s="31" t="n">
        <x:v>251</x:v>
      </x:c>
      <x:c r="O1588" s="31" t="n">
        <x:v>913</x:v>
      </x:c>
      <x:c r="P1588" s="31" t="n">
        <x:v>3.2943679775280903</x:v>
      </x:c>
      <x:c r="Q1588" s="40" t="n">
        <x:v>0</x:v>
      </x:c>
      <x:c r="R1588" s="40" t="n">
        <x:v>0.4709748083242059</x:v>
      </x:c>
      <x:c r="S1588" s="40" t="n">
        <x:v>0.00547645125958379</x:v>
      </x:c>
      <x:c r="T1588" s="31" t="n">
        <x:v>46.9326155669527</x:v>
      </x:c>
      <x:c r="U1588" s="31" t="n">
        <x:v>85</x:v>
      </x:c>
      <x:c r="V1588" s="31" t="n">
        <x:v>4</x:v>
      </x:c>
      <x:c r="W1588" s="31" t="n">
        <x:v>2.289639381797367</x:v>
      </x:c>
      <x:c r="X1588" s="31" t="n">
        <x:v>3</x:v>
      </x:c>
      <x:c r="Y1588" s="40" t="n">
        <x:v>0</x:v>
      </x:c>
      <x:c r="Z1588" s="40" t="n">
        <x:v>1</x:v>
      </x:c>
      <x:c r="AA1588" s="40" t="n">
        <x:v>0.9956188389923329</x:v>
      </x:c>
      <x:c r="AB1588" s="31" t="n">
        <x:v>0.16377260798699816</x:v>
      </x:c>
      <x:c r="AC1588" s="31" t="n">
        <x:v>9</x:v>
      </x:c>
      <x:c r="AD1588" s="44" t="b">
        <x:v>1</x:v>
      </x:c>
    </x:row>
    <x:row r="1589">
      <x:c r="A1589" s="31" t="str">
        <x:v>36081013800</x:v>
      </x:c>
      <x:c r="B1589" s="31" t="str">
        <x:v>Queens</x:v>
      </x:c>
      <x:c r="C1589" s="31" t="str">
        <x:v>013800</x:v>
      </x:c>
      <x:c r="D1589" s="31" t="str">
        <x:v>QN0901</x:v>
      </x:c>
      <x:c r="E1589" s="31" t="str">
        <x:v>Kew Gardens</x:v>
      </x:c>
      <x:c r="F1589" s="31" t="n">
        <x:v>0.06560147085306187</x:v>
      </x:c>
      <x:c r="G1589" s="31" t="n">
        <x:v>40.70657934118303</x:v>
      </x:c>
      <x:c r="H1589" s="31" t="n">
        <x:v>-73.82516092858741</x:v>
      </x:c>
      <x:c r="I1589" s="31" t="n">
        <x:v>3785</x:v>
      </x:c>
      <x:c r="J1589" s="31" t="n">
        <x:v>57696.87707883671</x:v>
      </x:c>
      <x:c r="K1589" s="31"/>
      <x:c r="L1589" s="40"/>
      <x:c r="M1589" s="40"/>
      <x:c r="N1589" s="31" t="n">
        <x:v>258</x:v>
      </x:c>
      <x:c r="O1589" s="31" t="n">
        <x:v>1511</x:v>
      </x:c>
      <x:c r="P1589" s="31" t="n">
        <x:v>4.655360688285904</x:v>
      </x:c>
      <x:c r="Q1589" s="40" t="n">
        <x:v>0.05029781601588352</x:v>
      </x:c>
      <x:c r="R1589" s="40" t="n">
        <x:v>0.6598279285241562</x:v>
      </x:c>
      <x:c r="S1589" s="40" t="n">
        <x:v>0.07743216412971542</x:v>
      </x:c>
      <x:c r="T1589" s="31" t="n">
        <x:v>53.35863809490365</x:v>
      </x:c>
      <x:c r="U1589" s="31" t="n">
        <x:v>107.72</x:v>
      </x:c>
      <x:c r="V1589" s="31" t="n">
        <x:v>25</x:v>
      </x:c>
      <x:c r="W1589" s="31" t="n">
        <x:v>6.605019815059445</x:v>
      </x:c>
      <x:c r="X1589" s="31" t="n">
        <x:v>2.0099272005294506</x:v>
      </x:c>
      <x:c r="Y1589" s="40" t="n">
        <x:v>0</x:v>
      </x:c>
      <x:c r="Z1589" s="40" t="n">
        <x:v>1</x:v>
      </x:c>
      <x:c r="AA1589" s="40" t="n">
        <x:v>0.9960291197882197</x:v>
      </x:c>
      <x:c r="AB1589" s="31" t="n">
        <x:v>0.27014293504382564</x:v>
      </x:c>
      <x:c r="AC1589" s="31" t="n">
        <x:v>7</x:v>
      </x:c>
      <x:c r="AD1589" s="44" t="b">
        <x:v>1</x:v>
      </x:c>
    </x:row>
    <x:row r="1590">
      <x:c r="A1590" s="31" t="str">
        <x:v>36081014000</x:v>
      </x:c>
      <x:c r="B1590" s="31" t="str">
        <x:v>Queens</x:v>
      </x:c>
      <x:c r="C1590" s="31" t="str">
        <x:v>014000</x:v>
      </x:c>
      <x:c r="D1590" s="31" t="str">
        <x:v>QN0901</x:v>
      </x:c>
      <x:c r="E1590" s="31" t="str">
        <x:v>Kew Gardens</x:v>
      </x:c>
      <x:c r="F1590" s="31" t="n">
        <x:v>0.08574692057004707</x:v>
      </x:c>
      <x:c r="G1590" s="31" t="n">
        <x:v>40.70372568729967</x:v>
      </x:c>
      <x:c r="H1590" s="31" t="n">
        <x:v>-73.8290491074386</x:v>
      </x:c>
      <x:c r="I1590" s="31" t="n">
        <x:v>3952</x:v>
      </x:c>
      <x:c r="J1590" s="31" t="n">
        <x:v>46089.11869635706</x:v>
      </x:c>
      <x:c r="K1590" s="31"/>
      <x:c r="L1590" s="40"/>
      <x:c r="M1590" s="40"/>
      <x:c r="N1590" s="31" t="n">
        <x:v>409</x:v>
      </x:c>
      <x:c r="O1590" s="31" t="n">
        <x:v>1520</x:v>
      </x:c>
      <x:c r="P1590" s="31" t="n">
        <x:v>3.9213815789473685</x:v>
      </x:c>
      <x:c r="Q1590" s="40" t="n">
        <x:v>0</x:v>
      </x:c>
      <x:c r="R1590" s="40" t="n">
        <x:v>0.6592105263157895</x:v>
      </x:c>
      <x:c r="S1590" s="40" t="n">
        <x:v>0.01381578947368421</x:v>
      </x:c>
      <x:c r="T1590" s="31" t="n">
        <x:v>45.10945640126316</x:v>
      </x:c>
      <x:c r="U1590" s="31" t="n">
        <x:v>71.08</x:v>
      </x:c>
      <x:c r="V1590" s="31" t="n">
        <x:v>20</x:v>
      </x:c>
      <x:c r="W1590" s="31" t="n">
        <x:v>5.060728744939271</x:v>
      </x:c>
      <x:c r="X1590" s="31" t="n">
        <x:v>2.067105263157895</x:v>
      </x:c>
      <x:c r="Y1590" s="40" t="n">
        <x:v>0</x:v>
      </x:c>
      <x:c r="Z1590" s="40" t="n">
        <x:v>1</x:v>
      </x:c>
      <x:c r="AA1590" s="40" t="n">
        <x:v>1</x:v>
      </x:c>
      <x:c r="AB1590" s="31" t="n">
        <x:v>0.2441137563059126</x:v>
      </x:c>
      <x:c r="AC1590" s="31" t="n">
        <x:v>9</x:v>
      </x:c>
      <x:c r="AD1590" s="44" t="b">
        <x:v>1</x:v>
      </x:c>
    </x:row>
    <x:row r="1591">
      <x:c r="A1591" s="31" t="str">
        <x:v>36081014100</x:v>
      </x:c>
      <x:c r="B1591" s="31" t="str">
        <x:v>Queens</x:v>
      </x:c>
      <x:c r="C1591" s="31" t="str">
        <x:v>014100</x:v>
      </x:c>
      <x:c r="D1591" s="31" t="str">
        <x:v>QN0104</x:v>
      </x:c>
      <x:c r="E1591" s="31" t="str">
        <x:v>Astoria (East)-Woodside (North)</x:v>
      </x:c>
      <x:c r="F1591" s="31" t="n">
        <x:v>0.0660422763340077</x:v>
      </x:c>
      <x:c r="G1591" s="31" t="n">
        <x:v>40.76699008292815</x:v>
      </x:c>
      <x:c r="H1591" s="31" t="n">
        <x:v>-73.90669049983781</x:v>
      </x:c>
      <x:c r="I1591" s="31" t="n">
        <x:v>1645</x:v>
      </x:c>
      <x:c r="J1591" s="31" t="n">
        <x:v>24908.287407908843</x:v>
      </x:c>
      <x:c r="K1591" s="31"/>
      <x:c r="L1591" s="40"/>
      <x:c r="M1591" s="40"/>
      <x:c r="N1591" s="31" t="n">
        <x:v>155</x:v>
      </x:c>
      <x:c r="O1591" s="31" t="n">
        <x:v>729</x:v>
      </x:c>
      <x:c r="P1591" s="31" t="n">
        <x:v>3.291838134430727</x:v>
      </x:c>
      <x:c r="Q1591" s="40" t="n">
        <x:v>0</x:v>
      </x:c>
      <x:c r="R1591" s="40" t="n">
        <x:v>0.7366255144032922</x:v>
      </x:c>
      <x:c r="S1591" s="40" t="n">
        <x:v>0.02194787379972565</x:v>
      </x:c>
      <x:c r="T1591" s="31" t="n">
        <x:v>38.223653495972414</x:v>
      </x:c>
      <x:c r="U1591" s="31" t="n">
        <x:v>55.43</x:v>
      </x:c>
      <x:c r="V1591" s="31" t="n">
        <x:v>1</x:v>
      </x:c>
      <x:c r="W1591" s="31" t="n">
        <x:v>0.6079027355623101</x:v>
      </x:c>
      <x:c r="X1591" s="31" t="n">
        <x:v>3</x:v>
      </x:c>
      <x:c r="Y1591" s="40" t="n">
        <x:v>0</x:v>
      </x:c>
      <x:c r="Z1591" s="40" t="n">
        <x:v>1</x:v>
      </x:c>
      <x:c r="AA1591" s="40" t="n">
        <x:v>0.9945130315500685</x:v>
      </x:c>
      <x:c r="AB1591" s="31" t="n">
        <x:v>0.28923007879476903</x:v>
      </x:c>
      <x:c r="AC1591" s="31" t="n">
        <x:v>6</x:v>
      </x:c>
      <x:c r="AD1591" s="44" t="b">
        <x:v>1</x:v>
      </x:c>
    </x:row>
    <x:row r="1592">
      <x:c r="A1592" s="31" t="str">
        <x:v>36081014201</x:v>
      </x:c>
      <x:c r="B1592" s="31" t="str">
        <x:v>Queens</x:v>
      </x:c>
      <x:c r="C1592" s="31" t="str">
        <x:v>014201</x:v>
      </x:c>
      <x:c r="D1592" s="31" t="str">
        <x:v>QN0902</x:v>
      </x:c>
      <x:c r="E1592" s="31" t="str">
        <x:v>Richmond Hill</x:v>
      </x:c>
      <x:c r="F1592" s="31" t="n">
        <x:v>0.08145800545655417</x:v>
      </x:c>
      <x:c r="G1592" s="31" t="n">
        <x:v>40.70097392231832</x:v>
      </x:c>
      <x:c r="H1592" s="31" t="n">
        <x:v>-73.82464109622661</x:v>
      </x:c>
      <x:c r="I1592" s="31" t="n">
        <x:v>4702</x:v>
      </x:c>
      <x:c r="J1592" s="31" t="n">
        <x:v>57722.994488341894</x:v>
      </x:c>
      <x:c r="K1592" s="31"/>
      <x:c r="L1592" s="40"/>
      <x:c r="M1592" s="40"/>
      <x:c r="N1592" s="31" t="n">
        <x:v>489</x:v>
      </x:c>
      <x:c r="O1592" s="31" t="n">
        <x:v>1337</x:v>
      </x:c>
      <x:c r="P1592" s="31" t="n">
        <x:v>2.9303966437833715</x:v>
      </x:c>
      <x:c r="Q1592" s="40" t="n">
        <x:v>0</x:v>
      </x:c>
      <x:c r="R1592" s="40" t="n">
        <x:v>0.3021690351533283</x:v>
      </x:c>
      <x:c r="S1592" s="40" t="n">
        <x:v>0.008227374719521317</x:v>
      </x:c>
      <x:c r="T1592" s="31" t="n">
        <x:v>28.297522156148922</x:v>
      </x:c>
      <x:c r="U1592" s="31" t="n">
        <x:v>45.96</x:v>
      </x:c>
      <x:c r="V1592" s="31" t="n">
        <x:v>5</x:v>
      </x:c>
      <x:c r="W1592" s="31" t="n">
        <x:v>1.0633772862611655</x:v>
      </x:c>
      <x:c r="X1592" s="31" t="n">
        <x:v>3</x:v>
      </x:c>
      <x:c r="Y1592" s="40" t="n">
        <x:v>0</x:v>
      </x:c>
      <x:c r="Z1592" s="40" t="n">
        <x:v>1</x:v>
      </x:c>
      <x:c r="AA1592" s="40" t="n">
        <x:v>0.9341810022438295</x:v>
      </x:c>
      <x:c r="AB1592" s="31" t="n">
        <x:v>0.1182371748258446</x:v>
      </x:c>
      <x:c r="AC1592" s="31" t="n">
        <x:v>5</x:v>
      </x:c>
      <x:c r="AD1592" s="44" t="b">
        <x:v>1</x:v>
      </x:c>
    </x:row>
    <x:row r="1593">
      <x:c r="A1593" s="31" t="str">
        <x:v>36081014202</x:v>
      </x:c>
      <x:c r="B1593" s="31" t="str">
        <x:v>Queens</x:v>
      </x:c>
      <x:c r="C1593" s="31" t="str">
        <x:v>014202</x:v>
      </x:c>
      <x:c r="D1593" s="31" t="str">
        <x:v>QN0902</x:v>
      </x:c>
      <x:c r="E1593" s="31" t="str">
        <x:v>Richmond Hill</x:v>
      </x:c>
      <x:c r="F1593" s="31" t="n">
        <x:v>0.23910955689996558</x:v>
      </x:c>
      <x:c r="G1593" s="31" t="n">
        <x:v>40.69866556683009</x:v>
      </x:c>
      <x:c r="H1593" s="31" t="n">
        <x:v>-73.82033822573896</x:v>
      </x:c>
      <x:c r="I1593" s="31" t="n">
        <x:v>2870</x:v>
      </x:c>
      <x:c r="J1593" s="31" t="n">
        <x:v>12002.866122162988</x:v>
      </x:c>
      <x:c r="K1593" s="31"/>
      <x:c r="L1593" s="40"/>
      <x:c r="M1593" s="40"/>
      <x:c r="N1593" s="31" t="n">
        <x:v>332</x:v>
      </x:c>
      <x:c r="O1593" s="31" t="n">
        <x:v>658</x:v>
      </x:c>
      <x:c r="P1593" s="31" t="n">
        <x:v>2.2811550151975686</x:v>
      </x:c>
      <x:c r="Q1593" s="40" t="n">
        <x:v>0</x:v>
      </x:c>
      <x:c r="R1593" s="40" t="n">
        <x:v>0.07446808510638298</x:v>
      </x:c>
      <x:c r="S1593" s="40" t="n">
        <x:v>0.015197568389057751</x:v>
      </x:c>
      <x:c r="T1593" s="31" t="n">
        <x:v>28.00957221042683</x:v>
      </x:c>
      <x:c r="U1593" s="31" t="n">
        <x:v>39.17</x:v>
      </x:c>
      <x:c r="V1593" s="31" t="n">
        <x:v>0</x:v>
      </x:c>
      <x:c r="W1593" s="31" t="n">
        <x:v>0</x:v>
      </x:c>
      <x:c r="X1593" s="31" t="n">
        <x:v>3</x:v>
      </x:c>
      <x:c r="Y1593" s="40" t="n">
        <x:v>0</x:v>
      </x:c>
      <x:c r="Z1593" s="40" t="n">
        <x:v>1</x:v>
      </x:c>
      <x:c r="AA1593" s="40" t="n">
        <x:v>0.9969604863221885</x:v>
      </x:c>
      <x:c r="AB1593" s="31" t="n">
        <x:v>0.2702497954693688</x:v>
      </x:c>
      <x:c r="AC1593" s="31" t="n">
        <x:v>10</x:v>
      </x:c>
      <x:c r="AD1593" s="44" t="b">
        <x:v>1</x:v>
      </x:c>
    </x:row>
    <x:row r="1594">
      <x:c r="A1594" s="31" t="str">
        <x:v>36081014300</x:v>
      </x:c>
      <x:c r="B1594" s="31" t="str">
        <x:v>Queens</x:v>
      </x:c>
      <x:c r="C1594" s="31" t="str">
        <x:v>014300</x:v>
      </x:c>
      <x:c r="D1594" s="31" t="str">
        <x:v>QN0104</x:v>
      </x:c>
      <x:c r="E1594" s="31" t="str">
        <x:v>Astoria (East)-Woodside (North)</x:v>
      </x:c>
      <x:c r="F1594" s="31" t="n">
        <x:v>0.05270933611505682</x:v>
      </x:c>
      <x:c r="G1594" s="31" t="n">
        <x:v>40.76629988318994</x:v>
      </x:c>
      <x:c r="H1594" s="31" t="n">
        <x:v>-73.91151150326873</x:v>
      </x:c>
      <x:c r="I1594" s="31" t="n">
        <x:v>4007</x:v>
      </x:c>
      <x:c r="J1594" s="31" t="n">
        <x:v>76020.68808556611</x:v>
      </x:c>
      <x:c r="K1594" s="31"/>
      <x:c r="L1594" s="40"/>
      <x:c r="M1594" s="40"/>
      <x:c r="N1594" s="31" t="n">
        <x:v>345</x:v>
      </x:c>
      <x:c r="O1594" s="31" t="n">
        <x:v>1800</x:v>
      </x:c>
      <x:c r="P1594" s="31" t="n">
        <x:v>3.3669444444444445</x:v>
      </x:c>
      <x:c r="Q1594" s="40" t="n">
        <x:v>0</x:v>
      </x:c>
      <x:c r="R1594" s="40" t="n">
        <x:v>0.805</x:v>
      </x:c>
      <x:c r="S1594" s="40" t="n">
        <x:v>0.0033333333333333335</x:v>
      </x:c>
      <x:c r="T1594" s="31" t="n">
        <x:v>39.77799114717778</x:v>
      </x:c>
      <x:c r="U1594" s="31" t="n">
        <x:v>60</x:v>
      </x:c>
      <x:c r="V1594" s="31" t="n">
        <x:v>4</x:v>
      </x:c>
      <x:c r="W1594" s="31" t="n">
        <x:v>0.9982530571499876</x:v>
      </x:c>
      <x:c r="X1594" s="31" t="n">
        <x:v>3</x:v>
      </x:c>
      <x:c r="Y1594" s="40" t="n">
        <x:v>0</x:v>
      </x:c>
      <x:c r="Z1594" s="40" t="n">
        <x:v>1</x:v>
      </x:c>
      <x:c r="AA1594" s="40" t="n">
        <x:v>1</x:v>
      </x:c>
      <x:c r="AB1594" s="31" t="n">
        <x:v>0.3326146386636438</x:v>
      </x:c>
      <x:c r="AC1594" s="31" t="n">
        <x:v>6</x:v>
      </x:c>
      <x:c r="AD1594" s="44" t="b">
        <x:v>1</x:v>
      </x:c>
    </x:row>
    <x:row r="1595">
      <x:c r="A1595" s="31" t="str">
        <x:v>36081014400</x:v>
      </x:c>
      <x:c r="B1595" s="31" t="str">
        <x:v>Queens</x:v>
      </x:c>
      <x:c r="C1595" s="31" t="str">
        <x:v>014400</x:v>
      </x:c>
      <x:c r="D1595" s="31" t="str">
        <x:v>QN0902</x:v>
      </x:c>
      <x:c r="E1595" s="31" t="str">
        <x:v>Richmond Hill</x:v>
      </x:c>
      <x:c r="F1595" s="31" t="n">
        <x:v>0.08493121396313992</x:v>
      </x:c>
      <x:c r="G1595" s="31" t="n">
        <x:v>40.698493983651744</x:v>
      </x:c>
      <x:c r="H1595" s="31" t="n">
        <x:v>-73.82849568035577</x:v>
      </x:c>
      <x:c r="I1595" s="31" t="n">
        <x:v>2005</x:v>
      </x:c>
      <x:c r="J1595" s="31" t="n">
        <x:v>23607.33947439122</x:v>
      </x:c>
      <x:c r="K1595" s="31"/>
      <x:c r="L1595" s="40"/>
      <x:c r="M1595" s="40"/>
      <x:c r="N1595" s="31" t="n">
        <x:v>250</x:v>
      </x:c>
      <x:c r="O1595" s="31" t="n">
        <x:v>581</x:v>
      </x:c>
      <x:c r="P1595" s="31" t="n">
        <x:v>2.5499139414802063</x:v>
      </x:c>
      <x:c r="Q1595" s="40" t="n">
        <x:v>0</x:v>
      </x:c>
      <x:c r="R1595" s="40" t="n">
        <x:v>0.2719449225473322</x:v>
      </x:c>
      <x:c r="S1595" s="40" t="n">
        <x:v>0.013769363166953529</x:v>
      </x:c>
      <x:c r="T1595" s="31" t="n">
        <x:v>32.004515084182444</x:v>
      </x:c>
      <x:c r="U1595" s="31" t="n">
        <x:v>45.55</x:v>
      </x:c>
      <x:c r="V1595" s="31" t="n">
        <x:v>0</x:v>
      </x:c>
      <x:c r="W1595" s="31" t="n">
        <x:v>0</x:v>
      </x:c>
      <x:c r="X1595" s="31" t="n">
        <x:v>3</x:v>
      </x:c>
      <x:c r="Y1595" s="40" t="n">
        <x:v>0</x:v>
      </x:c>
      <x:c r="Z1595" s="40" t="n">
        <x:v>1</x:v>
      </x:c>
      <x:c r="AA1595" s="40" t="n">
        <x:v>1</x:v>
      </x:c>
      <x:c r="AB1595" s="31" t="n">
        <x:v>0.22761505909882038</x:v>
      </x:c>
      <x:c r="AC1595" s="31" t="n">
        <x:v>7</x:v>
      </x:c>
      <x:c r="AD1595" s="44" t="b">
        <x:v>1</x:v>
      </x:c>
    </x:row>
    <x:row r="1596">
      <x:c r="A1596" s="31" t="str">
        <x:v>36081014500</x:v>
      </x:c>
      <x:c r="B1596" s="31" t="str">
        <x:v>Queens</x:v>
      </x:c>
      <x:c r="C1596" s="31" t="str">
        <x:v>014500</x:v>
      </x:c>
      <x:c r="D1596" s="31" t="str">
        <x:v>QN0104</x:v>
      </x:c>
      <x:c r="E1596" s="31" t="str">
        <x:v>Astoria (East)-Woodside (North)</x:v>
      </x:c>
      <x:c r="F1596" s="31" t="n">
        <x:v>0.049312009192780074</x:v>
      </x:c>
      <x:c r="G1596" s="31" t="n">
        <x:v>40.764280946263064</x:v>
      </x:c>
      <x:c r="H1596" s="31" t="n">
        <x:v>-73.907508217731</x:v>
      </x:c>
      <x:c r="I1596" s="31" t="n">
        <x:v>2368</x:v>
      </x:c>
      <x:c r="J1596" s="31" t="n">
        <x:v>48020.75678446917</x:v>
      </x:c>
      <x:c r="K1596" s="31"/>
      <x:c r="L1596" s="40"/>
      <x:c r="M1596" s="40"/>
      <x:c r="N1596" s="31" t="n">
        <x:v>377</x:v>
      </x:c>
      <x:c r="O1596" s="31" t="n">
        <x:v>1039</x:v>
      </x:c>
      <x:c r="P1596" s="31" t="n">
        <x:v>2.5563041385948027</x:v>
      </x:c>
      <x:c r="Q1596" s="40" t="n">
        <x:v>0</x:v>
      </x:c>
      <x:c r="R1596" s="40" t="n">
        <x:v>0.4302213666987488</x:v>
      </x:c>
      <x:c r="S1596" s="40" t="n">
        <x:v>0.0009624639076034649</x:v>
      </x:c>
      <x:c r="T1596" s="31" t="n">
        <x:v>30.751376201581486</x:v>
      </x:c>
      <x:c r="U1596" s="31" t="n">
        <x:v>59.02</x:v>
      </x:c>
      <x:c r="V1596" s="31" t="n">
        <x:v>1</x:v>
      </x:c>
      <x:c r="W1596" s="31" t="n">
        <x:v>0.4222972972972973</x:v>
      </x:c>
      <x:c r="X1596" s="31" t="n">
        <x:v>3</x:v>
      </x:c>
      <x:c r="Y1596" s="40" t="n">
        <x:v>0</x:v>
      </x:c>
      <x:c r="Z1596" s="40" t="n">
        <x:v>1</x:v>
      </x:c>
      <x:c r="AA1596" s="40" t="n">
        <x:v>0.9980750721847931</x:v>
      </x:c>
      <x:c r="AB1596" s="31" t="n">
        <x:v>0.37534914023298555</x:v>
      </x:c>
      <x:c r="AC1596" s="31" t="n">
        <x:v>4</x:v>
      </x:c>
      <x:c r="AD1596" s="44" t="b">
        <x:v>1</x:v>
      </x:c>
    </x:row>
    <x:row r="1597">
      <x:c r="A1597" s="31" t="str">
        <x:v>36081014700</x:v>
      </x:c>
      <x:c r="B1597" s="31" t="str">
        <x:v>Queens</x:v>
      </x:c>
      <x:c r="C1597" s="31" t="str">
        <x:v>014700</x:v>
      </x:c>
      <x:c r="D1597" s="31" t="str">
        <x:v>QN0104</x:v>
      </x:c>
      <x:c r="E1597" s="31" t="str">
        <x:v>Astoria (East)-Woodside (North)</x:v>
      </x:c>
      <x:c r="F1597" s="31" t="n">
        <x:v>0.05711900775259699</x:v>
      </x:c>
      <x:c r="G1597" s="31" t="n">
        <x:v>40.762997665680935</x:v>
      </x:c>
      <x:c r="H1597" s="31" t="n">
        <x:v>-73.9107521206544</x:v>
      </x:c>
      <x:c r="I1597" s="31" t="n">
        <x:v>2933</x:v>
      </x:c>
      <x:c r="J1597" s="31" t="n">
        <x:v>51348.931212248644</x:v>
      </x:c>
      <x:c r="K1597" s="31"/>
      <x:c r="L1597" s="40"/>
      <x:c r="M1597" s="40"/>
      <x:c r="N1597" s="31" t="n">
        <x:v>380</x:v>
      </x:c>
      <x:c r="O1597" s="31" t="n">
        <x:v>1416</x:v>
      </x:c>
      <x:c r="P1597" s="31" t="n">
        <x:v>2.922913719943423</x:v>
      </x:c>
      <x:c r="Q1597" s="40" t="n">
        <x:v>0</x:v>
      </x:c>
      <x:c r="R1597" s="40" t="n">
        <x:v>0.6221751412429378</x:v>
      </x:c>
      <x:c r="S1597" s="40" t="n">
        <x:v>0.00211864406779661</x:v>
      </x:c>
      <x:c r="T1597" s="31" t="n">
        <x:v>33.98262150027542</x:v>
      </x:c>
      <x:c r="U1597" s="31" t="n">
        <x:v>53.77</x:v>
      </x:c>
      <x:c r="V1597" s="31" t="n">
        <x:v>2</x:v>
      </x:c>
      <x:c r="W1597" s="31" t="n">
        <x:v>0.6818956699624957</x:v>
      </x:c>
      <x:c r="X1597" s="31" t="n">
        <x:v>3</x:v>
      </x:c>
      <x:c r="Y1597" s="40" t="n">
        <x:v>0</x:v>
      </x:c>
      <x:c r="Z1597" s="40" t="n">
        <x:v>1</x:v>
      </x:c>
      <x:c r="AA1597" s="40" t="n">
        <x:v>1</x:v>
      </x:c>
      <x:c r="AB1597" s="31" t="n">
        <x:v>0.18353357584934513</x:v>
      </x:c>
      <x:c r="AC1597" s="31" t="n">
        <x:v>8</x:v>
      </x:c>
      <x:c r="AD1597" s="44" t="b">
        <x:v>1</x:v>
      </x:c>
    </x:row>
    <x:row r="1598">
      <x:c r="A1598" s="31" t="str">
        <x:v>36081014800</x:v>
      </x:c>
      <x:c r="B1598" s="31" t="str">
        <x:v>Queens</x:v>
      </x:c>
      <x:c r="C1598" s="31" t="str">
        <x:v>014800</x:v>
      </x:c>
      <x:c r="D1598" s="31" t="str">
        <x:v>QN0903</x:v>
      </x:c>
      <x:c r="E1598" s="31" t="str">
        <x:v>South Richmond Hill</x:v>
      </x:c>
      <x:c r="F1598" s="31" t="n">
        <x:v>0.060454850375200875</x:v>
      </x:c>
      <x:c r="G1598" s="31" t="n">
        <x:v>40.69449529521638</x:v>
      </x:c>
      <x:c r="H1598" s="31" t="n">
        <x:v>-73.82239234644346</x:v>
      </x:c>
      <x:c r="I1598" s="31" t="n">
        <x:v>2186</x:v>
      </x:c>
      <x:c r="J1598" s="31" t="n">
        <x:v>36159.216116374955</x:v>
      </x:c>
      <x:c r="K1598" s="31"/>
      <x:c r="L1598" s="40"/>
      <x:c r="M1598" s="40"/>
      <x:c r="N1598" s="31" t="n">
        <x:v>323</x:v>
      </x:c>
      <x:c r="O1598" s="31" t="n">
        <x:v>541</x:v>
      </x:c>
      <x:c r="P1598" s="31" t="n">
        <x:v>2.271996303142329</x:v>
      </x:c>
      <x:c r="Q1598" s="40" t="n">
        <x:v>0</x:v>
      </x:c>
      <x:c r="R1598" s="40" t="n">
        <x:v>0.16081330868761554</x:v>
      </x:c>
      <x:c r="S1598" s="40" t="n">
        <x:v>0.014787430683918669</x:v>
      </x:c>
      <x:c r="T1598" s="31" t="n">
        <x:v>27.308140315584904</x:v>
      </x:c>
      <x:c r="U1598" s="31" t="n">
        <x:v>39.13</x:v>
      </x:c>
      <x:c r="V1598" s="31" t="n">
        <x:v>0</x:v>
      </x:c>
      <x:c r="W1598" s="31" t="n">
        <x:v>0</x:v>
      </x:c>
      <x:c r="X1598" s="31" t="n">
        <x:v>4</x:v>
      </x:c>
      <x:c r="Y1598" s="40" t="n">
        <x:v>1</x:v>
      </x:c>
      <x:c r="Z1598" s="40" t="n">
        <x:v>1</x:v>
      </x:c>
      <x:c r="AA1598" s="40" t="n">
        <x:v>0.9796672828096118</x:v>
      </x:c>
      <x:c r="AB1598" s="31" t="n">
        <x:v>0.2896014666635075</x:v>
      </x:c>
      <x:c r="AC1598" s="31" t="n">
        <x:v>6</x:v>
      </x:c>
      <x:c r="AD1598" s="44" t="b">
        <x:v>1</x:v>
      </x:c>
    </x:row>
    <x:row r="1599">
      <x:c r="A1599" s="31" t="str">
        <x:v>36081014900</x:v>
      </x:c>
      <x:c r="B1599" s="31" t="str">
        <x:v>Queens</x:v>
      </x:c>
      <x:c r="C1599" s="31" t="str">
        <x:v>014900</x:v>
      </x:c>
      <x:c r="D1599" s="31" t="str">
        <x:v>QN0104</x:v>
      </x:c>
      <x:c r="E1599" s="31" t="str">
        <x:v>Astoria (East)-Woodside (North)</x:v>
      </x:c>
      <x:c r="F1599" s="31" t="n">
        <x:v>0.04116010070592286</x:v>
      </x:c>
      <x:c r="G1599" s="31" t="n">
        <x:v>40.76185386257256</x:v>
      </x:c>
      <x:c r="H1599" s="31" t="n">
        <x:v>-73.91444418820844</x:v>
      </x:c>
      <x:c r="I1599" s="31" t="n">
        <x:v>2477</x:v>
      </x:c>
      <x:c r="J1599" s="31" t="n">
        <x:v>60179.63895903599</x:v>
      </x:c>
      <x:c r="K1599" s="31"/>
      <x:c r="L1599" s="40"/>
      <x:c r="M1599" s="40"/>
      <x:c r="N1599" s="31" t="n">
        <x:v>255</x:v>
      </x:c>
      <x:c r="O1599" s="31" t="n">
        <x:v>1062</x:v>
      </x:c>
      <x:c r="P1599" s="31" t="n">
        <x:v>2.8481638418079096</x:v>
      </x:c>
      <x:c r="Q1599" s="40" t="n">
        <x:v>0</x:v>
      </x:c>
      <x:c r="R1599" s="40" t="n">
        <x:v>0.7815442561205274</x:v>
      </x:c>
      <x:c r="S1599" s="40" t="n">
        <x:v>0.0160075329566855</x:v>
      </x:c>
      <x:c r="T1599" s="31" t="n">
        <x:v>33.48961393596987</x:v>
      </x:c>
      <x:c r="U1599" s="31" t="n">
        <x:v>47.51</x:v>
      </x:c>
      <x:c r="V1599" s="31" t="n">
        <x:v>2</x:v>
      </x:c>
      <x:c r="W1599" s="31" t="n">
        <x:v>0.8074283407347598</x:v>
      </x:c>
      <x:c r="X1599" s="31" t="n">
        <x:v>3</x:v>
      </x:c>
      <x:c r="Y1599" s="40" t="n">
        <x:v>0</x:v>
      </x:c>
      <x:c r="Z1599" s="40" t="n">
        <x:v>1</x:v>
      </x:c>
      <x:c r="AA1599" s="40" t="n">
        <x:v>1</x:v>
      </x:c>
      <x:c r="AB1599" s="31" t="n">
        <x:v>0.028703394758226582</x:v>
      </x:c>
      <x:c r="AC1599" s="31" t="n">
        <x:v>5</x:v>
      </x:c>
      <x:c r="AD1599" s="44" t="b">
        <x:v>1</x:v>
      </x:c>
    </x:row>
    <x:row r="1600">
      <x:c r="A1600" s="31" t="str">
        <x:v>36081015000</x:v>
      </x:c>
      <x:c r="B1600" s="31" t="str">
        <x:v>Queens</x:v>
      </x:c>
      <x:c r="C1600" s="31" t="str">
        <x:v>015000</x:v>
      </x:c>
      <x:c r="D1600" s="31" t="str">
        <x:v>QN0903</x:v>
      </x:c>
      <x:c r="E1600" s="31" t="str">
        <x:v>South Richmond Hill</x:v>
      </x:c>
      <x:c r="F1600" s="31" t="n">
        <x:v>0.05680484220866333</x:v>
      </x:c>
      <x:c r="G1600" s="31" t="n">
        <x:v>40.69340608389203</x:v>
      </x:c>
      <x:c r="H1600" s="31" t="n">
        <x:v>-73.82115577918</x:v>
      </x:c>
      <x:c r="I1600" s="31" t="n">
        <x:v>2418</x:v>
      </x:c>
      <x:c r="J1600" s="31" t="n">
        <x:v>42566.793709555095</x:v>
      </x:c>
      <x:c r="K1600" s="31"/>
      <x:c r="L1600" s="40"/>
      <x:c r="M1600" s="40"/>
      <x:c r="N1600" s="31" t="n">
        <x:v>376</x:v>
      </x:c>
      <x:c r="O1600" s="31" t="n">
        <x:v>610</x:v>
      </x:c>
      <x:c r="P1600" s="31" t="n">
        <x:v>2.3635901639344263</x:v>
      </x:c>
      <x:c r="Q1600" s="40" t="n">
        <x:v>0</x:v>
      </x:c>
      <x:c r="R1600" s="40" t="n">
        <x:v>0.06393442622950819</x:v>
      </x:c>
      <x:c r="S1600" s="40" t="n">
        <x:v>0.013114754098360656</x:v>
      </x:c>
      <x:c r="T1600" s="31" t="n">
        <x:v>29.36772988193443</x:v>
      </x:c>
      <x:c r="U1600" s="31" t="n">
        <x:v>39.78</x:v>
      </x:c>
      <x:c r="V1600" s="31" t="n">
        <x:v>0</x:v>
      </x:c>
      <x:c r="W1600" s="31" t="n">
        <x:v>0</x:v>
      </x:c>
      <x:c r="X1600" s="31" t="n">
        <x:v>4</x:v>
      </x:c>
      <x:c r="Y1600" s="40" t="n">
        <x:v>1</x:v>
      </x:c>
      <x:c r="Z1600" s="40" t="n">
        <x:v>1</x:v>
      </x:c>
      <x:c r="AA1600" s="40" t="n">
        <x:v>1</x:v>
      </x:c>
      <x:c r="AB1600" s="31" t="n">
        <x:v>0.2053059580457151</x:v>
      </x:c>
      <x:c r="AC1600" s="31" t="n">
        <x:v>4</x:v>
      </x:c>
      <x:c r="AD1600" s="44" t="b">
        <x:v>1</x:v>
      </x:c>
    </x:row>
    <x:row r="1601">
      <x:c r="A1601" s="31" t="str">
        <x:v>36081015100</x:v>
      </x:c>
      <x:c r="B1601" s="31" t="str">
        <x:v>Queens</x:v>
      </x:c>
      <x:c r="C1601" s="31" t="str">
        <x:v>015100</x:v>
      </x:c>
      <x:c r="D1601" s="31" t="str">
        <x:v>QN0104</x:v>
      </x:c>
      <x:c r="E1601" s="31" t="str">
        <x:v>Astoria (East)-Woodside (North)</x:v>
      </x:c>
      <x:c r="F1601" s="31" t="n">
        <x:v>0.05150082805684688</x:v>
      </x:c>
      <x:c r="G1601" s="31" t="n">
        <x:v>40.76016753508483</x:v>
      </x:c>
      <x:c r="H1601" s="31" t="n">
        <x:v>-73.91084470618424</x:v>
      </x:c>
      <x:c r="I1601" s="31" t="n">
        <x:v>2675</x:v>
      </x:c>
      <x:c r="J1601" s="31" t="n">
        <x:v>51940.912426637515</x:v>
      </x:c>
      <x:c r="K1601" s="31"/>
      <x:c r="L1601" s="40"/>
      <x:c r="M1601" s="40"/>
      <x:c r="N1601" s="31" t="n">
        <x:v>322</x:v>
      </x:c>
      <x:c r="O1601" s="31" t="n">
        <x:v>1241</x:v>
      </x:c>
      <x:c r="P1601" s="31" t="n">
        <x:v>2.8565672844480257</x:v>
      </x:c>
      <x:c r="Q1601" s="40" t="n">
        <x:v>0</x:v>
      </x:c>
      <x:c r="R1601" s="40" t="n">
        <x:v>0.6897663174858985</x:v>
      </x:c>
      <x:c r="S1601" s="40" t="n">
        <x:v>0.0008058017727639</x:v>
      </x:c>
      <x:c r="T1601" s="31" t="n">
        <x:v>32.85182821951652</x:v>
      </x:c>
      <x:c r="U1601" s="31" t="n">
        <x:v>47.21</x:v>
      </x:c>
      <x:c r="V1601" s="31" t="n">
        <x:v>0</x:v>
      </x:c>
      <x:c r="W1601" s="31" t="n">
        <x:v>0</x:v>
      </x:c>
      <x:c r="X1601" s="31" t="n">
        <x:v>3</x:v>
      </x:c>
      <x:c r="Y1601" s="40" t="n">
        <x:v>0</x:v>
      </x:c>
      <x:c r="Z1601" s="40" t="n">
        <x:v>1</x:v>
      </x:c>
      <x:c r="AA1601" s="40" t="n">
        <x:v>1</x:v>
      </x:c>
      <x:c r="AB1601" s="31" t="n">
        <x:v>0.09030627412577691</x:v>
      </x:c>
      <x:c r="AC1601" s="31" t="n">
        <x:v>5</x:v>
      </x:c>
      <x:c r="AD1601" s="44" t="b">
        <x:v>1</x:v>
      </x:c>
    </x:row>
    <x:row r="1602">
      <x:c r="A1602" s="31" t="str">
        <x:v>36081015200</x:v>
      </x:c>
      <x:c r="B1602" s="31" t="str">
        <x:v>Queens</x:v>
      </x:c>
      <x:c r="C1602" s="31" t="str">
        <x:v>015200</x:v>
      </x:c>
      <x:c r="D1602" s="31" t="str">
        <x:v>QN0903</x:v>
      </x:c>
      <x:c r="E1602" s="31" t="str">
        <x:v>South Richmond Hill</x:v>
      </x:c>
      <x:c r="F1602" s="31" t="n">
        <x:v>0.07179209249741736</x:v>
      </x:c>
      <x:c r="G1602" s="31" t="n">
        <x:v>40.69373926208723</x:v>
      </x:c>
      <x:c r="H1602" s="31" t="n">
        <x:v>-73.8137693588723</x:v>
      </x:c>
      <x:c r="I1602" s="31" t="n">
        <x:v>2638</x:v>
      </x:c>
      <x:c r="J1602" s="31" t="n">
        <x:v>36744.99388766108</x:v>
      </x:c>
      <x:c r="K1602" s="31"/>
      <x:c r="L1602" s="40"/>
      <x:c r="M1602" s="40"/>
      <x:c r="N1602" s="31" t="n">
        <x:v>406</x:v>
      </x:c>
      <x:c r="O1602" s="31" t="n">
        <x:v>735</x:v>
      </x:c>
      <x:c r="P1602" s="31" t="n">
        <x:v>2.4638367346938774</x:v>
      </x:c>
      <x:c r="Q1602" s="40" t="n">
        <x:v>0</x:v>
      </x:c>
      <x:c r="R1602" s="40" t="n">
        <x:v>0.20136054421768707</x:v>
      </x:c>
      <x:c r="S1602" s="40" t="n">
        <x:v>0.014965986394557823</x:v>
      </x:c>
      <x:c r="T1602" s="31" t="n">
        <x:v>30.081145055912806</x:v>
      </x:c>
      <x:c r="U1602" s="31" t="n">
        <x:v>46.11</x:v>
      </x:c>
      <x:c r="V1602" s="31" t="n">
        <x:v>0</x:v>
      </x:c>
      <x:c r="W1602" s="31" t="n">
        <x:v>0</x:v>
      </x:c>
      <x:c r="X1602" s="31" t="n">
        <x:v>4</x:v>
      </x:c>
      <x:c r="Y1602" s="40" t="n">
        <x:v>1</x:v>
      </x:c>
      <x:c r="Z1602" s="40" t="n">
        <x:v>1</x:v>
      </x:c>
      <x:c r="AA1602" s="40" t="n">
        <x:v>0.998639455782313</x:v>
      </x:c>
      <x:c r="AB1602" s="31" t="n">
        <x:v>0.13113072822669006</x:v>
      </x:c>
      <x:c r="AC1602" s="31" t="n">
        <x:v>9</x:v>
      </x:c>
      <x:c r="AD1602" s="44" t="b">
        <x:v>1</x:v>
      </x:c>
    </x:row>
    <x:row r="1603">
      <x:c r="A1603" s="31" t="str">
        <x:v>36081015300</x:v>
      </x:c>
      <x:c r="B1603" s="31" t="str">
        <x:v>Queens</x:v>
      </x:c>
      <x:c r="C1603" s="31" t="str">
        <x:v>015300</x:v>
      </x:c>
      <x:c r="D1603" s="31" t="str">
        <x:v>QN0104</x:v>
      </x:c>
      <x:c r="E1603" s="31" t="str">
        <x:v>Astoria (East)-Woodside (North)</x:v>
      </x:c>
      <x:c r="F1603" s="31" t="n">
        <x:v>0.04696792163431187</x:v>
      </x:c>
      <x:c r="G1603" s="31" t="n">
        <x:v>40.75808157581055</x:v>
      </x:c>
      <x:c r="H1603" s="31" t="n">
        <x:v>-73.91364738921457</x:v>
      </x:c>
      <x:c r="I1603" s="31" t="n">
        <x:v>2131</x:v>
      </x:c>
      <x:c r="J1603" s="31" t="n">
        <x:v>45371.39234287988</x:v>
      </x:c>
      <x:c r="K1603" s="31"/>
      <x:c r="L1603" s="40"/>
      <x:c r="M1603" s="40"/>
      <x:c r="N1603" s="31" t="n">
        <x:v>288</x:v>
      </x:c>
      <x:c r="O1603" s="31" t="n">
        <x:v>1014</x:v>
      </x:c>
      <x:c r="P1603" s="31" t="n">
        <x:v>3.1499013806706113</x:v>
      </x:c>
      <x:c r="Q1603" s="40" t="n">
        <x:v>0</x:v>
      </x:c>
      <x:c r="R1603" s="40" t="n">
        <x:v>0.7001972386587771</x:v>
      </x:c>
      <x:c r="S1603" s="40" t="n">
        <x:v>0.0009861932938856016</x:v>
      </x:c>
      <x:c r="T1603" s="31" t="n">
        <x:v>35.332214048185485</x:v>
      </x:c>
      <x:c r="U1603" s="31" t="n">
        <x:v>68.83</x:v>
      </x:c>
      <x:c r="V1603" s="31" t="n">
        <x:v>6</x:v>
      </x:c>
      <x:c r="W1603" s="31" t="n">
        <x:v>2.8155795401220085</x:v>
      </x:c>
      <x:c r="X1603" s="31" t="n">
        <x:v>3</x:v>
      </x:c>
      <x:c r="Y1603" s="40" t="n">
        <x:v>0</x:v>
      </x:c>
      <x:c r="Z1603" s="40" t="n">
        <x:v>1</x:v>
      </x:c>
      <x:c r="AA1603" s="40" t="n">
        <x:v>0.9783037475345168</x:v>
      </x:c>
      <x:c r="AB1603" s="31" t="n">
        <x:v>0.1226642169260584</x:v>
      </x:c>
      <x:c r="AC1603" s="31" t="n">
        <x:v>6</x:v>
      </x:c>
      <x:c r="AD1603" s="44" t="b">
        <x:v>1</x:v>
      </x:c>
    </x:row>
    <x:row r="1604">
      <x:c r="A1604" s="31" t="str">
        <x:v>36081015400</x:v>
      </x:c>
      <x:c r="B1604" s="31" t="str">
        <x:v>Queens</x:v>
      </x:c>
      <x:c r="C1604" s="31" t="str">
        <x:v>015400</x:v>
      </x:c>
      <x:c r="D1604" s="31" t="str">
        <x:v>QN0903</x:v>
      </x:c>
      <x:c r="E1604" s="31" t="str">
        <x:v>South Richmond Hill</x:v>
      </x:c>
      <x:c r="F1604" s="31" t="n">
        <x:v>0.05803253959911617</x:v>
      </x:c>
      <x:c r="G1604" s="31" t="n">
        <x:v>40.692196251679036</x:v>
      </x:c>
      <x:c r="H1604" s="31" t="n">
        <x:v>-73.82055406333949</x:v>
      </x:c>
      <x:c r="I1604" s="31" t="n">
        <x:v>2390</x:v>
      </x:c>
      <x:c r="J1604" s="31" t="n">
        <x:v>41183.7913093226</x:v>
      </x:c>
      <x:c r="K1604" s="31"/>
      <x:c r="L1604" s="40"/>
      <x:c r="M1604" s="40"/>
      <x:c r="N1604" s="31" t="n">
        <x:v>310</x:v>
      </x:c>
      <x:c r="O1604" s="31" t="n">
        <x:v>678</x:v>
      </x:c>
      <x:c r="P1604" s="31" t="n">
        <x:v>2.59476401179941</x:v>
      </x:c>
      <x:c r="Q1604" s="40" t="n">
        <x:v>0</x:v>
      </x:c>
      <x:c r="R1604" s="40" t="n">
        <x:v>0.29056047197640117</x:v>
      </x:c>
      <x:c r="S1604" s="40" t="n">
        <x:v>0.008849557522123894</x:v>
      </x:c>
      <x:c r="T1604" s="31" t="n">
        <x:v>30.58094068653153</x:v>
      </x:c>
      <x:c r="U1604" s="31" t="n">
        <x:v>46.16</x:v>
      </x:c>
      <x:c r="V1604" s="31" t="n">
        <x:v>1</x:v>
      </x:c>
      <x:c r="W1604" s="31" t="n">
        <x:v>0.41841004184100417</x:v>
      </x:c>
      <x:c r="X1604" s="31" t="n">
        <x:v>4</x:v>
      </x:c>
      <x:c r="Y1604" s="40" t="n">
        <x:v>1</x:v>
      </x:c>
      <x:c r="Z1604" s="40" t="n">
        <x:v>1</x:v>
      </x:c>
      <x:c r="AA1604" s="40" t="n">
        <x:v>0.9823008849557522</x:v>
      </x:c>
      <x:c r="AB1604" s="31" t="n">
        <x:v>0.12398288204082422</x:v>
      </x:c>
      <x:c r="AC1604" s="31" t="n">
        <x:v>5</x:v>
      </x:c>
      <x:c r="AD1604" s="44" t="b">
        <x:v>1</x:v>
      </x:c>
    </x:row>
    <x:row r="1605">
      <x:c r="A1605" s="31" t="str">
        <x:v>36081015500</x:v>
      </x:c>
      <x:c r="B1605" s="31" t="str">
        <x:v>Queens</x:v>
      </x:c>
      <x:c r="C1605" s="31" t="str">
        <x:v>015500</x:v>
      </x:c>
      <x:c r="D1605" s="31" t="str">
        <x:v>QN0104</x:v>
      </x:c>
      <x:c r="E1605" s="31" t="str">
        <x:v>Astoria (East)-Woodside (North)</x:v>
      </x:c>
      <x:c r="F1605" s="31" t="n">
        <x:v>0.05696005132862718</x:v>
      </x:c>
      <x:c r="G1605" s="31" t="n">
        <x:v>40.760034833773176</x:v>
      </x:c>
      <x:c r="H1605" s="31" t="n">
        <x:v>-73.91759672006447</x:v>
      </x:c>
      <x:c r="I1605" s="31" t="n">
        <x:v>2344</x:v>
      </x:c>
      <x:c r="J1605" s="31" t="n">
        <x:v>41151.64831008403</x:v>
      </x:c>
      <x:c r="K1605" s="31"/>
      <x:c r="L1605" s="40"/>
      <x:c r="M1605" s="40"/>
      <x:c r="N1605" s="31" t="n">
        <x:v>293</x:v>
      </x:c>
      <x:c r="O1605" s="31" t="n">
        <x:v>1058</x:v>
      </x:c>
      <x:c r="P1605" s="31" t="n">
        <x:v>3.288855769230769</x:v>
      </x:c>
      <x:c r="Q1605" s="40" t="n">
        <x:v>0</x:v>
      </x:c>
      <x:c r="R1605" s="40" t="n">
        <x:v>0.665406427221172</x:v>
      </x:c>
      <x:c r="S1605" s="40" t="n">
        <x:v>0.000945179584120983</x:v>
      </x:c>
      <x:c r="T1605" s="31" t="n">
        <x:v>37.82690777068506</x:v>
      </x:c>
      <x:c r="U1605" s="31" t="n">
        <x:v>71</x:v>
      </x:c>
      <x:c r="V1605" s="31" t="n">
        <x:v>18</x:v>
      </x:c>
      <x:c r="W1605" s="31" t="n">
        <x:v>7.679180887372014</x:v>
      </x:c>
      <x:c r="X1605" s="31" t="n">
        <x:v>3.0056710775047257</x:v>
      </x:c>
      <x:c r="Y1605" s="40" t="n">
        <x:v>0.005671077504725898</x:v>
      </x:c>
      <x:c r="Z1605" s="40" t="n">
        <x:v>1</x:v>
      </x:c>
      <x:c r="AA1605" s="40" t="n">
        <x:v>0.9933837429111532</x:v>
      </x:c>
      <x:c r="AB1605" s="31" t="n">
        <x:v>0.11677447369644617</x:v>
      </x:c>
      <x:c r="AC1605" s="31" t="n">
        <x:v>10</x:v>
      </x:c>
      <x:c r="AD1605" s="44" t="b">
        <x:v>1</x:v>
      </x:c>
    </x:row>
    <x:row r="1606">
      <x:c r="A1606" s="31" t="str">
        <x:v>36081015600</x:v>
      </x:c>
      <x:c r="B1606" s="31" t="str">
        <x:v>Queens</x:v>
      </x:c>
      <x:c r="C1606" s="31" t="str">
        <x:v>015600</x:v>
      </x:c>
      <x:c r="D1606" s="31" t="str">
        <x:v>QN0903</x:v>
      </x:c>
      <x:c r="E1606" s="31" t="str">
        <x:v>South Richmond Hill</x:v>
      </x:c>
      <x:c r="F1606" s="31" t="n">
        <x:v>0.08081882019592229</x:v>
      </x:c>
      <x:c r="G1606" s="31" t="n">
        <x:v>40.690342410411375</x:v>
      </x:c>
      <x:c r="H1606" s="31" t="n">
        <x:v>-73.8206117227704</x:v>
      </x:c>
      <x:c r="I1606" s="31" t="n">
        <x:v>3210</x:v>
      </x:c>
      <x:c r="J1606" s="31" t="n">
        <x:v>39718.47141814575</x:v>
      </x:c>
      <x:c r="K1606" s="31"/>
      <x:c r="L1606" s="40"/>
      <x:c r="M1606" s="40"/>
      <x:c r="N1606" s="31" t="n">
        <x:v>492</x:v>
      </x:c>
      <x:c r="O1606" s="31" t="n">
        <x:v>829</x:v>
      </x:c>
      <x:c r="P1606" s="31" t="n">
        <x:v>2.3440892641737032</x:v>
      </x:c>
      <x:c r="Q1606" s="40" t="n">
        <x:v>0</x:v>
      </x:c>
      <x:c r="R1606" s="40" t="n">
        <x:v>0.11459589867310012</x:v>
      </x:c>
      <x:c r="S1606" s="40" t="n">
        <x:v>0.03498190591073583</x:v>
      </x:c>
      <x:c r="T1606" s="31" t="n">
        <x:v>28.965643013003618</x:v>
      </x:c>
      <x:c r="U1606" s="31" t="n">
        <x:v>47.89750742</x:v>
      </x:c>
      <x:c r="V1606" s="31" t="n">
        <x:v>0</x:v>
      </x:c>
      <x:c r="W1606" s="31" t="n">
        <x:v>0</x:v>
      </x:c>
      <x:c r="X1606" s="31" t="n">
        <x:v>4</x:v>
      </x:c>
      <x:c r="Y1606" s="40" t="n">
        <x:v>1</x:v>
      </x:c>
      <x:c r="Z1606" s="40" t="n">
        <x:v>1</x:v>
      </x:c>
      <x:c r="AA1606" s="40" t="n">
        <x:v>1</x:v>
      </x:c>
      <x:c r="AB1606" s="31" t="n">
        <x:v>0.02168954254535687</x:v>
      </x:c>
      <x:c r="AC1606" s="31" t="n">
        <x:v>6</x:v>
      </x:c>
      <x:c r="AD1606" s="44" t="b">
        <x:v>1</x:v>
      </x:c>
    </x:row>
    <x:row r="1607">
      <x:c r="A1607" s="31" t="str">
        <x:v>36081015700</x:v>
      </x:c>
      <x:c r="B1607" s="31" t="str">
        <x:v>Queens</x:v>
      </x:c>
      <x:c r="C1607" s="31" t="str">
        <x:v>015700</x:v>
      </x:c>
      <x:c r="D1607" s="31" t="str">
        <x:v>QN0104</x:v>
      </x:c>
      <x:c r="E1607" s="31" t="str">
        <x:v>Astoria (East)-Woodside (North)</x:v>
      </x:c>
      <x:c r="F1607" s="31" t="n">
        <x:v>0.049610503563690886</x:v>
      </x:c>
      <x:c r="G1607" s="31" t="n">
        <x:v>40.75501504458477</x:v>
      </x:c>
      <x:c r="H1607" s="31" t="n">
        <x:v>-73.92192537299937</x:v>
      </x:c>
      <x:c r="I1607" s="31" t="n">
        <x:v>1655</x:v>
      </x:c>
      <x:c r="J1607" s="31" t="n">
        <x:v>33359.87101754128</x:v>
      </x:c>
      <x:c r="K1607" s="31"/>
      <x:c r="L1607" s="40"/>
      <x:c r="M1607" s="40"/>
      <x:c r="N1607" s="31" t="n">
        <x:v>49</x:v>
      </x:c>
      <x:c r="O1607" s="31" t="n">
        <x:v>947</x:v>
      </x:c>
      <x:c r="P1607" s="31" t="n">
        <x:v>4.342133051742344</x:v>
      </x:c>
      <x:c r="Q1607" s="40" t="n">
        <x:v>0</x:v>
      </x:c>
      <x:c r="R1607" s="40" t="n">
        <x:v>0.9683210137275607</x:v>
      </x:c>
      <x:c r="S1607" s="40" t="n">
        <x:v>0</x:v>
      </x:c>
      <x:c r="T1607" s="31" t="n">
        <x:v>51.30591723347413</x:v>
      </x:c>
      <x:c r="U1607" s="31" t="n">
        <x:v>70</x:v>
      </x:c>
      <x:c r="V1607" s="31" t="n">
        <x:v>9</x:v>
      </x:c>
      <x:c r="W1607" s="31" t="n">
        <x:v>5.438066465256798</x:v>
      </x:c>
      <x:c r="X1607" s="31" t="n">
        <x:v>3.583949313621964</x:v>
      </x:c>
      <x:c r="Y1607" s="40" t="n">
        <x:v>0.5839493136219641</x:v>
      </x:c>
      <x:c r="Z1607" s="40" t="n">
        <x:v>1</x:v>
      </x:c>
      <x:c r="AA1607" s="40" t="n">
        <x:v>1</x:v>
      </x:c>
      <x:c r="AB1607" s="31" t="n">
        <x:v>0.1867766756045212</x:v>
      </x:c>
      <x:c r="AC1607" s="31" t="n">
        <x:v>6</x:v>
      </x:c>
      <x:c r="AD1607" s="44" t="b">
        <x:v>1</x:v>
      </x:c>
    </x:row>
    <x:row r="1608">
      <x:c r="A1608" s="31" t="str">
        <x:v>36081015801</x:v>
      </x:c>
      <x:c r="B1608" s="31" t="str">
        <x:v>Queens</x:v>
      </x:c>
      <x:c r="C1608" s="31" t="str">
        <x:v>015801</x:v>
      </x:c>
      <x:c r="D1608" s="31" t="str">
        <x:v>QN1001</x:v>
      </x:c>
      <x:c r="E1608" s="31" t="str">
        <x:v>South Ozone Park</x:v>
      </x:c>
      <x:c r="F1608" s="31" t="n">
        <x:v>0.11484895978356002</x:v>
      </x:c>
      <x:c r="G1608" s="31" t="n">
        <x:v>40.688884170785634</x:v>
      </x:c>
      <x:c r="H1608" s="31" t="n">
        <x:v>-73.81231265545446</x:v>
      </x:c>
      <x:c r="I1608" s="31" t="n">
        <x:v>3817</x:v>
      </x:c>
      <x:c r="J1608" s="31" t="n">
        <x:v>33234.95491115786</x:v>
      </x:c>
      <x:c r="K1608" s="31"/>
      <x:c r="L1608" s="40"/>
      <x:c r="M1608" s="40"/>
      <x:c r="N1608" s="31" t="n">
        <x:v>619</x:v>
      </x:c>
      <x:c r="O1608" s="31" t="n">
        <x:v>999</x:v>
      </x:c>
      <x:c r="P1608" s="31" t="n">
        <x:v>2.267142857142857</x:v>
      </x:c>
      <x:c r="Q1608" s="40" t="n">
        <x:v>0</x:v>
      </x:c>
      <x:c r="R1608" s="40" t="n">
        <x:v>0.022022022022022022</x:v>
      </x:c>
      <x:c r="S1608" s="40" t="n">
        <x:v>0.028028028028028028</x:v>
      </x:c>
      <x:c r="T1608" s="31" t="n">
        <x:v>28.30862348817172</x:v>
      </x:c>
      <x:c r="U1608" s="31" t="n">
        <x:v>42.92</x:v>
      </x:c>
      <x:c r="V1608" s="31" t="n">
        <x:v>0</x:v>
      </x:c>
      <x:c r="W1608" s="31" t="n">
        <x:v>0</x:v>
      </x:c>
      <x:c r="X1608" s="31" t="n">
        <x:v>4</x:v>
      </x:c>
      <x:c r="Y1608" s="40" t="n">
        <x:v>1</x:v>
      </x:c>
      <x:c r="Z1608" s="40" t="n">
        <x:v>1</x:v>
      </x:c>
      <x:c r="AA1608" s="40" t="n">
        <x:v>0.990990990990991</x:v>
      </x:c>
      <x:c r="AB1608" s="31" t="n">
        <x:v>0.38828162974688746</x:v>
      </x:c>
      <x:c r="AC1608" s="31" t="n">
        <x:v>8</x:v>
      </x:c>
      <x:c r="AD1608" s="44" t="b">
        <x:v>1</x:v>
      </x:c>
    </x:row>
    <x:row r="1609">
      <x:c r="A1609" s="31" t="str">
        <x:v>36081015802</x:v>
      </x:c>
      <x:c r="B1609" s="31" t="str">
        <x:v>Queens</x:v>
      </x:c>
      <x:c r="C1609" s="31" t="str">
        <x:v>015802</x:v>
      </x:c>
      <x:c r="D1609" s="31" t="str">
        <x:v>QN1001</x:v>
      </x:c>
      <x:c r="E1609" s="31" t="str">
        <x:v>South Ozone Park</x:v>
      </x:c>
      <x:c r="F1609" s="31" t="n">
        <x:v>0.10750636635459711</x:v>
      </x:c>
      <x:c r="G1609" s="31" t="n">
        <x:v>40.687545420572484</x:v>
      </x:c>
      <x:c r="H1609" s="31" t="n">
        <x:v>-73.81963591908197</x:v>
      </x:c>
      <x:c r="I1609" s="31" t="n">
        <x:v>4607</x:v>
      </x:c>
      <x:c r="J1609" s="31" t="n">
        <x:v>42853.27610091808</x:v>
      </x:c>
      <x:c r="K1609" s="31"/>
      <x:c r="L1609" s="40"/>
      <x:c r="M1609" s="40"/>
      <x:c r="N1609" s="31" t="n">
        <x:v>702</x:v>
      </x:c>
      <x:c r="O1609" s="31" t="n">
        <x:v>1221</x:v>
      </x:c>
      <x:c r="P1609" s="31" t="n">
        <x:v>2.5377559377559376</x:v>
      </x:c>
      <x:c r="Q1609" s="40" t="n">
        <x:v>0</x:v>
      </x:c>
      <x:c r="R1609" s="40" t="n">
        <x:v>0.13267813267813267</x:v>
      </x:c>
      <x:c r="S1609" s="40" t="n">
        <x:v>0.027846027846027847</x:v>
      </x:c>
      <x:c r="T1609" s="31" t="n">
        <x:v>30.882204931870383</x:v>
      </x:c>
      <x:c r="U1609" s="31" t="n">
        <x:v>70</x:v>
      </x:c>
      <x:c r="V1609" s="31" t="n">
        <x:v>4</x:v>
      </x:c>
      <x:c r="W1609" s="31" t="n">
        <x:v>0.8682439765574126</x:v>
      </x:c>
      <x:c r="X1609" s="31" t="n">
        <x:v>4</x:v>
      </x:c>
      <x:c r="Y1609" s="40" t="n">
        <x:v>1</x:v>
      </x:c>
      <x:c r="Z1609" s="40" t="n">
        <x:v>1</x:v>
      </x:c>
      <x:c r="AA1609" s="40" t="n">
        <x:v>0.9983619983619983</x:v>
      </x:c>
      <x:c r="AB1609" s="31" t="n">
        <x:v>0.21185766198704098</x:v>
      </x:c>
      <x:c r="AC1609" s="31" t="n">
        <x:v>5</x:v>
      </x:c>
      <x:c r="AD1609" s="44" t="b">
        <x:v>1</x:v>
      </x:c>
    </x:row>
    <x:row r="1610">
      <x:c r="A1610" s="31" t="str">
        <x:v>36081015900</x:v>
      </x:c>
      <x:c r="B1610" s="31" t="str">
        <x:v>Queens</x:v>
      </x:c>
      <x:c r="C1610" s="31" t="str">
        <x:v>015900</x:v>
      </x:c>
      <x:c r="D1610" s="31" t="str">
        <x:v>QN0104</x:v>
      </x:c>
      <x:c r="E1610" s="31" t="str">
        <x:v>Astoria (East)-Woodside (North)</x:v>
      </x:c>
      <x:c r="F1610" s="31" t="n">
        <x:v>0.06550226303589876</x:v>
      </x:c>
      <x:c r="G1610" s="31" t="n">
        <x:v>40.75578659532829</x:v>
      </x:c>
      <x:c r="H1610" s="31" t="n">
        <x:v>-73.91834235475598</x:v>
      </x:c>
      <x:c r="I1610" s="31" t="n">
        <x:v>4010</x:v>
      </x:c>
      <x:c r="J1610" s="31" t="n">
        <x:v>61219.2589102197</x:v>
      </x:c>
      <x:c r="K1610" s="31"/>
      <x:c r="L1610" s="40"/>
      <x:c r="M1610" s="40"/>
      <x:c r="N1610" s="31" t="n">
        <x:v>368</x:v>
      </x:c>
      <x:c r="O1610" s="31" t="n">
        <x:v>2352</x:v>
      </x:c>
      <x:c r="P1610" s="31" t="n">
        <x:v>5.045068027210885</x:v>
      </x:c>
      <x:c r="Q1610" s="40" t="n">
        <x:v>0.15051020408163265</x:v>
      </x:c>
      <x:c r="R1610" s="40" t="n">
        <x:v>0.6981292517006803</x:v>
      </x:c>
      <x:c r="S1610" s="40" t="n">
        <x:v>0</x:v>
      </x:c>
      <x:c r="T1610" s="31" t="n">
        <x:v>52.712829921109694</x:v>
      </x:c>
      <x:c r="U1610" s="31" t="n">
        <x:v>140</x:v>
      </x:c>
      <x:c r="V1610" s="31" t="n">
        <x:v>11</x:v>
      </x:c>
      <x:c r="W1610" s="31" t="n">
        <x:v>2.743142144638404</x:v>
      </x:c>
      <x:c r="X1610" s="31" t="n">
        <x:v>3.57312925170068</x:v>
      </x:c>
      <x:c r="Y1610" s="40" t="n">
        <x:v>0.5731292517006803</x:v>
      </x:c>
      <x:c r="Z1610" s="40" t="n">
        <x:v>1</x:v>
      </x:c>
      <x:c r="AA1610" s="40" t="n">
        <x:v>1</x:v>
      </x:c>
      <x:c r="AB1610" s="31" t="n">
        <x:v>0.19016925896100356</x:v>
      </x:c>
      <x:c r="AC1610" s="31" t="n">
        <x:v>5</x:v>
      </x:c>
      <x:c r="AD1610" s="44" t="b">
        <x:v>1</x:v>
      </x:c>
    </x:row>
    <x:row r="1611">
      <x:c r="A1611" s="31" t="str">
        <x:v>36081016100</x:v>
      </x:c>
      <x:c r="B1611" s="31" t="str">
        <x:v>Queens</x:v>
      </x:c>
      <x:c r="C1611" s="31" t="str">
        <x:v>016100</x:v>
      </x:c>
      <x:c r="D1611" s="31" t="str">
        <x:v>QN0104</x:v>
      </x:c>
      <x:c r="E1611" s="31" t="str">
        <x:v>Astoria (East)-Woodside (North)</x:v>
      </x:c>
      <x:c r="F1611" s="31" t="n">
        <x:v>0.041524634067234854</x:v>
      </x:c>
      <x:c r="G1611" s="31" t="n">
        <x:v>40.75508365706011</x:v>
      </x:c>
      <x:c r="H1611" s="31" t="n">
        <x:v>-73.91458639763869</x:v>
      </x:c>
      <x:c r="I1611" s="31" t="n">
        <x:v>2291</x:v>
      </x:c>
      <x:c r="J1611" s="31" t="n">
        <x:v>55172.06957900012</x:v>
      </x:c>
      <x:c r="K1611" s="31"/>
      <x:c r="L1611" s="40"/>
      <x:c r="M1611" s="40"/>
      <x:c r="N1611" s="31" t="n">
        <x:v>233</x:v>
      </x:c>
      <x:c r="O1611" s="31" t="n">
        <x:v>850</x:v>
      </x:c>
      <x:c r="P1611" s="31" t="n">
        <x:v>2.982941176470588</x:v>
      </x:c>
      <x:c r="Q1611" s="40" t="n">
        <x:v>0</x:v>
      </x:c>
      <x:c r="R1611" s="40" t="n">
        <x:v>0.7258823529411764</x:v>
      </x:c>
      <x:c r="S1611" s="40" t="n">
        <x:v>0</x:v>
      </x:c>
      <x:c r="T1611" s="31" t="n">
        <x:v>35.90703476791765</x:v>
      </x:c>
      <x:c r="U1611" s="31" t="n">
        <x:v>79.78689685</x:v>
      </x:c>
      <x:c r="V1611" s="31" t="n">
        <x:v>1</x:v>
      </x:c>
      <x:c r="W1611" s="31" t="n">
        <x:v>0.43649061545176776</x:v>
      </x:c>
      <x:c r="X1611" s="31" t="n">
        <x:v>3.0176470588235293</x:v>
      </x:c>
      <x:c r="Y1611" s="40" t="n">
        <x:v>0.01764705882352941</x:v>
      </x:c>
      <x:c r="Z1611" s="40" t="n">
        <x:v>1</x:v>
      </x:c>
      <x:c r="AA1611" s="40" t="n">
        <x:v>1</x:v>
      </x:c>
      <x:c r="AB1611" s="31" t="n">
        <x:v>0.21938660501145354</x:v>
      </x:c>
      <x:c r="AC1611" s="31" t="n">
        <x:v>4</x:v>
      </x:c>
      <x:c r="AD1611" s="44" t="b">
        <x:v>1</x:v>
      </x:c>
    </x:row>
    <x:row r="1612">
      <x:c r="A1612" s="31" t="str">
        <x:v>36081016300</x:v>
      </x:c>
      <x:c r="B1612" s="31" t="str">
        <x:v>Queens</x:v>
      </x:c>
      <x:c r="C1612" s="31" t="str">
        <x:v>016300</x:v>
      </x:c>
      <x:c r="D1612" s="31" t="str">
        <x:v>QN0104</x:v>
      </x:c>
      <x:c r="E1612" s="31" t="str">
        <x:v>Astoria (East)-Woodside (North)</x:v>
      </x:c>
      <x:c r="F1612" s="31" t="n">
        <x:v>0.08441194771866391</x:v>
      </x:c>
      <x:c r="G1612" s="31" t="n">
        <x:v>40.756312880642234</x:v>
      </x:c>
      <x:c r="H1612" s="31" t="n">
        <x:v>-73.90987668799616</x:v>
      </x:c>
      <x:c r="I1612" s="31" t="n">
        <x:v>4053</x:v>
      </x:c>
      <x:c r="J1612" s="31" t="n">
        <x:v>48014.53004624677</x:v>
      </x:c>
      <x:c r="K1612" s="31"/>
      <x:c r="L1612" s="40"/>
      <x:c r="M1612" s="40"/>
      <x:c r="N1612" s="31" t="n">
        <x:v>146</x:v>
      </x:c>
      <x:c r="O1612" s="31" t="n">
        <x:v>1705</x:v>
      </x:c>
      <x:c r="P1612" s="31" t="n">
        <x:v>5.310850439882698</x:v>
      </x:c>
      <x:c r="Q1612" s="40" t="n">
        <x:v>0</x:v>
      </x:c>
      <x:c r="R1612" s="40" t="n">
        <x:v>0.9278592375366569</x:v>
      </x:c>
      <x:c r="S1612" s="40" t="n">
        <x:v>0.7958944281524927</x:v>
      </x:c>
      <x:c r="T1612" s="31" t="n">
        <x:v>59.0869560117302</x:v>
      </x:c>
      <x:c r="U1612" s="31" t="n">
        <x:v>67.04</x:v>
      </x:c>
      <x:c r="V1612" s="31" t="n">
        <x:v>56</x:v>
      </x:c>
      <x:c r="W1612" s="31" t="n">
        <x:v>13.81692573402418</x:v>
      </x:c>
      <x:c r="X1612" s="31" t="n">
        <x:v>3</x:v>
      </x:c>
      <x:c r="Y1612" s="40" t="n">
        <x:v>0</x:v>
      </x:c>
      <x:c r="Z1612" s="40" t="n">
        <x:v>1</x:v>
      </x:c>
      <x:c r="AA1612" s="40" t="n">
        <x:v>1</x:v>
      </x:c>
      <x:c r="AB1612" s="31" t="n">
        <x:v>0.07349659993296137</x:v>
      </x:c>
      <x:c r="AC1612" s="31" t="n">
        <x:v>8</x:v>
      </x:c>
      <x:c r="AD1612" s="44" t="b">
        <x:v>1</x:v>
      </x:c>
    </x:row>
    <x:row r="1613">
      <x:c r="A1613" s="31" t="str">
        <x:v>36081016400</x:v>
      </x:c>
      <x:c r="B1613" s="31" t="str">
        <x:v>Queens</x:v>
      </x:c>
      <x:c r="C1613" s="31" t="str">
        <x:v>016400</x:v>
      </x:c>
      <x:c r="D1613" s="31" t="str">
        <x:v>QN1001</x:v>
      </x:c>
      <x:c r="E1613" s="31" t="str">
        <x:v>South Ozone Park</x:v>
      </x:c>
      <x:c r="F1613" s="31" t="n">
        <x:v>0.07637843893659609</x:v>
      </x:c>
      <x:c r="G1613" s="31" t="n">
        <x:v>40.685080091562334</x:v>
      </x:c>
      <x:c r="H1613" s="31" t="n">
        <x:v>-73.81655696088369</x:v>
      </x:c>
      <x:c r="I1613" s="31" t="n">
        <x:v>3306</x:v>
      </x:c>
      <x:c r="J1613" s="31" t="n">
        <x:v>43284.46674256337</x:v>
      </x:c>
      <x:c r="K1613" s="31"/>
      <x:c r="L1613" s="40"/>
      <x:c r="M1613" s="40"/>
      <x:c r="N1613" s="31" t="n">
        <x:v>589</x:v>
      </x:c>
      <x:c r="O1613" s="31" t="n">
        <x:v>847</x:v>
      </x:c>
      <x:c r="P1613" s="31" t="n">
        <x:v>2.224155844155844</x:v>
      </x:c>
      <x:c r="Q1613" s="40" t="n">
        <x:v>0</x:v>
      </x:c>
      <x:c r="R1613" s="40" t="n">
        <x:v>0.0023612750885478157</x:v>
      </x:c>
      <x:c r="S1613" s="40" t="n">
        <x:v>0.02833530106257379</x:v>
      </x:c>
      <x:c r="T1613" s="31" t="n">
        <x:v>27.714915970023725</x:v>
      </x:c>
      <x:c r="U1613" s="31" t="n">
        <x:v>37.21</x:v>
      </x:c>
      <x:c r="V1613" s="31" t="n">
        <x:v>0</x:v>
      </x:c>
      <x:c r="W1613" s="31" t="n">
        <x:v>0</x:v>
      </x:c>
      <x:c r="X1613" s="31" t="n">
        <x:v>4</x:v>
      </x:c>
      <x:c r="Y1613" s="40" t="n">
        <x:v>1</x:v>
      </x:c>
      <x:c r="Z1613" s="40" t="n">
        <x:v>1</x:v>
      </x:c>
      <x:c r="AA1613" s="40" t="n">
        <x:v>0.9952774498229043</x:v>
      </x:c>
      <x:c r="AB1613" s="31" t="n">
        <x:v>0.10357407526142526</x:v>
      </x:c>
      <x:c r="AC1613" s="31" t="n">
        <x:v>5</x:v>
      </x:c>
      <x:c r="AD1613" s="44" t="b">
        <x:v>1</x:v>
      </x:c>
    </x:row>
    <x:row r="1614">
      <x:c r="A1614" s="31" t="str">
        <x:v>36081016600</x:v>
      </x:c>
      <x:c r="B1614" s="31" t="str">
        <x:v>Queens</x:v>
      </x:c>
      <x:c r="C1614" s="31" t="str">
        <x:v>016600</x:v>
      </x:c>
      <x:c r="D1614" s="31" t="str">
        <x:v>QN1001</x:v>
      </x:c>
      <x:c r="E1614" s="31" t="str">
        <x:v>South Ozone Park</x:v>
      </x:c>
      <x:c r="F1614" s="31" t="n">
        <x:v>0.0783884912961289</x:v>
      </x:c>
      <x:c r="G1614" s="31" t="n">
        <x:v>40.68127314788284</x:v>
      </x:c>
      <x:c r="H1614" s="31" t="n">
        <x:v>-73.82070204388276</x:v>
      </x:c>
      <x:c r="I1614" s="31" t="n">
        <x:v>3400</x:v>
      </x:c>
      <x:c r="J1614" s="31" t="n">
        <x:v>43373.71396976872</x:v>
      </x:c>
      <x:c r="K1614" s="31"/>
      <x:c r="L1614" s="40"/>
      <x:c r="M1614" s="40"/>
      <x:c r="N1614" s="31" t="n">
        <x:v>538</x:v>
      </x:c>
      <x:c r="O1614" s="31" t="n">
        <x:v>930</x:v>
      </x:c>
      <x:c r="P1614" s="31" t="n">
        <x:v>2.3061827956989247</x:v>
      </x:c>
      <x:c r="Q1614" s="40" t="n">
        <x:v>0</x:v>
      </x:c>
      <x:c r="R1614" s="40" t="n">
        <x:v>0.10215053763440861</x:v>
      </x:c>
      <x:c r="S1614" s="40" t="n">
        <x:v>0.012903225806451613</x:v>
      </x:c>
      <x:c r="T1614" s="31" t="n">
        <x:v>28.177239603376343</x:v>
      </x:c>
      <x:c r="U1614" s="31" t="n">
        <x:v>45.26</x:v>
      </x:c>
      <x:c r="V1614" s="31" t="n">
        <x:v>0</x:v>
      </x:c>
      <x:c r="W1614" s="31" t="n">
        <x:v>0</x:v>
      </x:c>
      <x:c r="X1614" s="31" t="n">
        <x:v>4</x:v>
      </x:c>
      <x:c r="Y1614" s="40" t="n">
        <x:v>1</x:v>
      </x:c>
      <x:c r="Z1614" s="40" t="n">
        <x:v>1</x:v>
      </x:c>
      <x:c r="AA1614" s="40" t="n">
        <x:v>1</x:v>
      </x:c>
      <x:c r="AB1614" s="31" t="n">
        <x:v>0.11267859819640194</x:v>
      </x:c>
      <x:c r="AC1614" s="31" t="n">
        <x:v>6</x:v>
      </x:c>
      <x:c r="AD1614" s="44" t="b">
        <x:v>1</x:v>
      </x:c>
    </x:row>
    <x:row r="1615">
      <x:c r="A1615" s="31" t="str">
        <x:v>36081016800</x:v>
      </x:c>
      <x:c r="B1615" s="31" t="str">
        <x:v>Queens</x:v>
      </x:c>
      <x:c r="C1615" s="31" t="str">
        <x:v>016800</x:v>
      </x:c>
      <x:c r="D1615" s="31" t="str">
        <x:v>QN1001</x:v>
      </x:c>
      <x:c r="E1615" s="31" t="str">
        <x:v>South Ozone Park</x:v>
      </x:c>
      <x:c r="F1615" s="31" t="n">
        <x:v>0.08164122462623394</x:v>
      </x:c>
      <x:c r="G1615" s="31" t="n">
        <x:v>40.67937406370623</x:v>
      </x:c>
      <x:c r="H1615" s="31" t="n">
        <x:v>-73.81723373719939</x:v>
      </x:c>
      <x:c r="I1615" s="31" t="n">
        <x:v>2764</x:v>
      </x:c>
      <x:c r="J1615" s="31" t="n">
        <x:v>33855.445121677396</x:v>
      </x:c>
      <x:c r="K1615" s="31"/>
      <x:c r="L1615" s="40"/>
      <x:c r="M1615" s="40"/>
      <x:c r="N1615" s="31" t="n">
        <x:v>532</x:v>
      </x:c>
      <x:c r="O1615" s="31" t="n">
        <x:v>770</x:v>
      </x:c>
      <x:c r="P1615" s="31" t="n">
        <x:v>2.284090909090909</x:v>
      </x:c>
      <x:c r="Q1615" s="40" t="n">
        <x:v>0</x:v>
      </x:c>
      <x:c r="R1615" s="40" t="n">
        <x:v>0.07662337662337662</x:v>
      </x:c>
      <x:c r="S1615" s="40" t="n">
        <x:v>0.02857142857142857</x:v>
      </x:c>
      <x:c r="T1615" s="31" t="n">
        <x:v>28.172420043155846</x:v>
      </x:c>
      <x:c r="U1615" s="31" t="n">
        <x:v>46.0055</x:v>
      </x:c>
      <x:c r="V1615" s="31" t="n">
        <x:v>0</x:v>
      </x:c>
      <x:c r="W1615" s="31" t="n">
        <x:v>0</x:v>
      </x:c>
      <x:c r="X1615" s="31" t="n">
        <x:v>4</x:v>
      </x:c>
      <x:c r="Y1615" s="40" t="n">
        <x:v>1</x:v>
      </x:c>
      <x:c r="Z1615" s="40" t="n">
        <x:v>1</x:v>
      </x:c>
      <x:c r="AA1615" s="40" t="n">
        <x:v>1</x:v>
      </x:c>
      <x:c r="AB1615" s="31" t="n">
        <x:v>0.2307739368488276</x:v>
      </x:c>
      <x:c r="AC1615" s="31" t="n">
        <x:v>8</x:v>
      </x:c>
      <x:c r="AD1615" s="44" t="b">
        <x:v>1</x:v>
      </x:c>
    </x:row>
    <x:row r="1616">
      <x:c r="A1616" s="31" t="str">
        <x:v>36081016900</x:v>
      </x:c>
      <x:c r="B1616" s="31" t="str">
        <x:v>Queens</x:v>
      </x:c>
      <x:c r="C1616" s="31" t="str">
        <x:v>016900</x:v>
      </x:c>
      <x:c r="D1616" s="31" t="str">
        <x:v>QN0202</x:v>
      </x:c>
      <x:c r="E1616" s="31" t="str">
        <x:v>Sunnyside</x:v>
      </x:c>
      <x:c r="F1616" s="31" t="n">
        <x:v>0.08908758959265956</x:v>
      </x:c>
      <x:c r="G1616" s="31" t="n">
        <x:v>40.74827235140894</x:v>
      </x:c>
      <x:c r="H1616" s="31" t="n">
        <x:v>-73.91436365583151</x:v>
      </x:c>
      <x:c r="I1616" s="31" t="n">
        <x:v>5577</x:v>
      </x:c>
      <x:c r="J1616" s="31" t="n">
        <x:v>62601.312096331785</x:v>
      </x:c>
      <x:c r="K1616" s="31"/>
      <x:c r="L1616" s="40"/>
      <x:c r="M1616" s="40"/>
      <x:c r="N1616" s="31" t="n">
        <x:v>480</x:v>
      </x:c>
      <x:c r="O1616" s="31" t="n">
        <x:v>2414</x:v>
      </x:c>
      <x:c r="P1616" s="31" t="n">
        <x:v>4.4743164871582435</x:v>
      </x:c>
      <x:c r="Q1616" s="40" t="n">
        <x:v>0</x:v>
      </x:c>
      <x:c r="R1616" s="40" t="n">
        <x:v>0.6777133388566694</x:v>
      </x:c>
      <x:c r="S1616" s="40" t="n">
        <x:v>0.4101077050538525</x:v>
      </x:c>
      <x:c r="T1616" s="31" t="n">
        <x:v>53.19063536119718</x:v>
      </x:c>
      <x:c r="U1616" s="31" t="n">
        <x:v>78.97</x:v>
      </x:c>
      <x:c r="V1616" s="31" t="n">
        <x:v>23</x:v>
      </x:c>
      <x:c r="W1616" s="31" t="n">
        <x:v>4.12408104715797</x:v>
      </x:c>
      <x:c r="X1616" s="31" t="n">
        <x:v>3</x:v>
      </x:c>
      <x:c r="Y1616" s="40" t="n">
        <x:v>0</x:v>
      </x:c>
      <x:c r="Z1616" s="40" t="n">
        <x:v>1</x:v>
      </x:c>
      <x:c r="AA1616" s="40" t="n">
        <x:v>1</x:v>
      </x:c>
      <x:c r="AB1616" s="31" t="n">
        <x:v>0.1350122717171334</x:v>
      </x:c>
      <x:c r="AC1616" s="31" t="n">
        <x:v>6</x:v>
      </x:c>
      <x:c r="AD1616" s="44" t="b">
        <x:v>1</x:v>
      </x:c>
    </x:row>
    <x:row r="1617">
      <x:c r="A1617" s="31" t="str">
        <x:v>36081017000</x:v>
      </x:c>
      <x:c r="B1617" s="31" t="str">
        <x:v>Queens</x:v>
      </x:c>
      <x:c r="C1617" s="31" t="str">
        <x:v>017000</x:v>
      </x:c>
      <x:c r="D1617" s="31" t="str">
        <x:v>QN1001</x:v>
      </x:c>
      <x:c r="E1617" s="31" t="str">
        <x:v>South Ozone Park</x:v>
      </x:c>
      <x:c r="F1617" s="31" t="n">
        <x:v>0.08439496322098829</x:v>
      </x:c>
      <x:c r="G1617" s="31" t="n">
        <x:v>40.684323108723135</x:v>
      </x:c>
      <x:c r="H1617" s="31" t="n">
        <x:v>-73.81196580750806</x:v>
      </x:c>
      <x:c r="I1617" s="31" t="n">
        <x:v>2504</x:v>
      </x:c>
      <x:c r="J1617" s="31" t="n">
        <x:v>29670.017077242795</x:v>
      </x:c>
      <x:c r="K1617" s="31"/>
      <x:c r="L1617" s="40"/>
      <x:c r="M1617" s="40"/>
      <x:c r="N1617" s="31" t="n">
        <x:v>475</x:v>
      </x:c>
      <x:c r="O1617" s="31" t="n">
        <x:v>712</x:v>
      </x:c>
      <x:c r="P1617" s="31" t="n">
        <x:v>2.218258426966292</x:v>
      </x:c>
      <x:c r="Q1617" s="40" t="n">
        <x:v>0</x:v>
      </x:c>
      <x:c r="R1617" s="40" t="n">
        <x:v>0.0028089887640449437</x:v>
      </x:c>
      <x:c r="S1617" s="40" t="n">
        <x:v>0.007022471910112359</x:v>
      </x:c>
      <x:c r="T1617" s="31" t="n">
        <x:v>27.080253593595504</x:v>
      </x:c>
      <x:c r="U1617" s="31" t="n">
        <x:v>34.65</x:v>
      </x:c>
      <x:c r="V1617" s="31" t="n">
        <x:v>1</x:v>
      </x:c>
      <x:c r="W1617" s="31" t="n">
        <x:v>0.3993610223642172</x:v>
      </x:c>
      <x:c r="X1617" s="31" t="n">
        <x:v>4</x:v>
      </x:c>
      <x:c r="Y1617" s="40" t="n">
        <x:v>1</x:v>
      </x:c>
      <x:c r="Z1617" s="40" t="n">
        <x:v>1</x:v>
      </x:c>
      <x:c r="AA1617" s="40" t="n">
        <x:v>1</x:v>
      </x:c>
      <x:c r="AB1617" s="31" t="n">
        <x:v>0.09994171979936485</x:v>
      </x:c>
      <x:c r="AC1617" s="31" t="n">
        <x:v>6</x:v>
      </x:c>
      <x:c r="AD1617" s="44" t="b">
        <x:v>1</x:v>
      </x:c>
    </x:row>
    <x:row r="1618">
      <x:c r="A1618" s="31" t="str">
        <x:v>36081017101</x:v>
      </x:c>
      <x:c r="B1618" s="31" t="str">
        <x:v>Queens</x:v>
      </x:c>
      <x:c r="C1618" s="31" t="str">
        <x:v>017101</x:v>
      </x:c>
      <x:c r="D1618" s="31" t="str">
        <x:v>QN0261</x:v>
      </x:c>
      <x:c r="E1618" s="31" t="str">
        <x:v>Sunnyside Yards (South)</x:v>
      </x:c>
      <x:c r="F1618" s="31" t="n">
        <x:v>0.3150653992879792</x:v>
      </x:c>
      <x:c r="G1618" s="31" t="n">
        <x:v>40.74866566324635</x:v>
      </x:c>
      <x:c r="H1618" s="31" t="n">
        <x:v>-73.92818250018033</x:v>
      </x:c>
      <x:c r="I1618" s="31" t="n">
        <x:v>36</x:v>
      </x:c>
      <x:c r="J1618" s="31" t="n">
        <x:v>114.26199157811969</x:v>
      </x:c>
      <x:c r="K1618" s="31"/>
      <x:c r="L1618" s="40"/>
      <x:c r="M1618" s="40"/>
      <x:c r="N1618" s="31" t="n">
        <x:v>1</x:v>
      </x:c>
      <x:c r="O1618" s="31" t="n">
        <x:v>185</x:v>
      </x:c>
      <x:c r="P1618" s="31" t="n">
        <x:v>7</x:v>
      </x:c>
      <x:c r="Q1618" s="40" t="n">
        <x:v>0</x:v>
      </x:c>
      <x:c r="R1618" s="40" t="n">
        <x:v>1</x:v>
      </x:c>
      <x:c r="S1618" s="40" t="n">
        <x:v>0</x:v>
      </x:c>
      <x:c r="T1618" s="31"/>
      <x:c r="U1618" s="31"/>
      <x:c r="V1618" s="31" t="n">
        <x:v>3</x:v>
      </x:c>
      <x:c r="W1618" s="31" t="n">
        <x:v>83.33333333333333</x:v>
      </x:c>
      <x:c r="X1618" s="31" t="n">
        <x:v>3</x:v>
      </x:c>
      <x:c r="Y1618" s="40" t="n">
        <x:v>0</x:v>
      </x:c>
      <x:c r="Z1618" s="40" t="n">
        <x:v>1</x:v>
      </x:c>
      <x:c r="AA1618" s="40" t="n">
        <x:v>0</x:v>
      </x:c>
      <x:c r="AB1618" s="31" t="n">
        <x:v>0.2539620745212869</x:v>
      </x:c>
      <x:c r="AC1618" s="31" t="n">
        <x:v>12</x:v>
      </x:c>
      <x:c r="AD1618" s="44" t="b">
        <x:v>1</x:v>
      </x:c>
    </x:row>
    <x:row r="1619">
      <x:c r="A1619" s="31" t="str">
        <x:v>36081017102</x:v>
      </x:c>
      <x:c r="B1619" s="31" t="str">
        <x:v>Queens</x:v>
      </x:c>
      <x:c r="C1619" s="31" t="str">
        <x:v>017102</x:v>
      </x:c>
      <x:c r="D1619" s="31" t="str">
        <x:v>QN0161</x:v>
      </x:c>
      <x:c r="E1619" s="31" t="str">
        <x:v>Sunnyside Yards (North)</x:v>
      </x:c>
      <x:c r="F1619" s="31" t="n">
        <x:v>0.16142541500014349</x:v>
      </x:c>
      <x:c r="G1619" s="31" t="n">
        <x:v>40.75191420069364</x:v>
      </x:c>
      <x:c r="H1619" s="31" t="n">
        <x:v>-73.91998393666415</x:v>
      </x:c>
      <x:c r="I1619" s="31" t="n">
        <x:v>27</x:v>
      </x:c>
      <x:c r="J1619" s="31" t="n">
        <x:v>167.2599076172485</x:v>
      </x:c>
      <x:c r="K1619" s="31"/>
      <x:c r="L1619" s="40"/>
      <x:c r="M1619" s="40"/>
      <x:c r="N1619" s="31" t="n">
        <x:v>0</x:v>
      </x:c>
      <x:c r="O1619" s="31"/>
      <x:c r="P1619" s="31"/>
      <x:c r="Q1619" s="40"/>
      <x:c r="R1619" s="40"/>
      <x:c r="S1619" s="40"/>
      <x:c r="T1619" s="31"/>
      <x:c r="U1619" s="31"/>
      <x:c r="V1619" s="31" t="n">
        <x:v>0</x:v>
      </x:c>
      <x:c r="W1619" s="31" t="n">
        <x:v>0</x:v>
      </x:c>
      <x:c r="X1619" s="31"/>
      <x:c r="Y1619" s="40"/>
      <x:c r="Z1619" s="40"/>
      <x:c r="AA1619" s="40"/>
      <x:c r="AB1619" s="31" t="n">
        <x:v>0.2564287298111576</x:v>
      </x:c>
      <x:c r="AC1619" s="31" t="n">
        <x:v>10</x:v>
      </x:c>
      <x:c r="AD1619" s="44" t="b">
        <x:v>0</x:v>
      </x:c>
    </x:row>
    <x:row r="1620">
      <x:c r="A1620" s="31" t="str">
        <x:v>36081017200</x:v>
      </x:c>
      <x:c r="B1620" s="31" t="str">
        <x:v>Queens</x:v>
      </x:c>
      <x:c r="C1620" s="31" t="str">
        <x:v>017200</x:v>
      </x:c>
      <x:c r="D1620" s="31" t="str">
        <x:v>QN1001</x:v>
      </x:c>
      <x:c r="E1620" s="31" t="str">
        <x:v>South Ozone Park</x:v>
      </x:c>
      <x:c r="F1620" s="31" t="n">
        <x:v>0.0737739282892849</x:v>
      </x:c>
      <x:c r="G1620" s="31" t="n">
        <x:v>40.68233098832547</x:v>
      </x:c>
      <x:c r="H1620" s="31" t="n">
        <x:v>-73.8113984142892</x:v>
      </x:c>
      <x:c r="I1620" s="31" t="n">
        <x:v>2224</x:v>
      </x:c>
      <x:c r="J1620" s="31" t="n">
        <x:v>30146.151243013297</x:v>
      </x:c>
      <x:c r="K1620" s="31"/>
      <x:c r="L1620" s="40"/>
      <x:c r="M1620" s="40"/>
      <x:c r="N1620" s="31" t="n">
        <x:v>435</x:v>
      </x:c>
      <x:c r="O1620" s="31" t="n">
        <x:v>618</x:v>
      </x:c>
      <x:c r="P1620" s="31" t="n">
        <x:v>2.267621359223301</x:v>
      </x:c>
      <x:c r="Q1620" s="40" t="n">
        <x:v>0</x:v>
      </x:c>
      <x:c r="R1620" s="40" t="n">
        <x:v>0.0048543689320388345</x:v>
      </x:c>
      <x:c r="S1620" s="40" t="n">
        <x:v>0.019417475728155338</x:v>
      </x:c>
      <x:c r="T1620" s="31" t="n">
        <x:v>27.011463425194172</x:v>
      </x:c>
      <x:c r="U1620" s="31" t="n">
        <x:v>33.84</x:v>
      </x:c>
      <x:c r="V1620" s="31" t="n">
        <x:v>0</x:v>
      </x:c>
      <x:c r="W1620" s="31" t="n">
        <x:v>0</x:v>
      </x:c>
      <x:c r="X1620" s="31" t="n">
        <x:v>4</x:v>
      </x:c>
      <x:c r="Y1620" s="40" t="n">
        <x:v>1</x:v>
      </x:c>
      <x:c r="Z1620" s="40" t="n">
        <x:v>1</x:v>
      </x:c>
      <x:c r="AA1620" s="40" t="n">
        <x:v>1</x:v>
      </x:c>
      <x:c r="AB1620" s="31" t="n">
        <x:v>0.11748968316326612</x:v>
      </x:c>
      <x:c r="AC1620" s="31" t="n">
        <x:v>5</x:v>
      </x:c>
      <x:c r="AD1620" s="44" t="b">
        <x:v>1</x:v>
      </x:c>
    </x:row>
    <x:row r="1621">
      <x:c r="A1621" s="31" t="str">
        <x:v>36081017400</x:v>
      </x:c>
      <x:c r="B1621" s="31" t="str">
        <x:v>Queens</x:v>
      </x:c>
      <x:c r="C1621" s="31" t="str">
        <x:v>017400</x:v>
      </x:c>
      <x:c r="D1621" s="31" t="str">
        <x:v>QN1001</x:v>
      </x:c>
      <x:c r="E1621" s="31" t="str">
        <x:v>South Ozone Park</x:v>
      </x:c>
      <x:c r="F1621" s="31" t="n">
        <x:v>0.07375816008128157</x:v>
      </x:c>
      <x:c r="G1621" s="31" t="n">
        <x:v>40.68058243782858</x:v>
      </x:c>
      <x:c r="H1621" s="31" t="n">
        <x:v>-73.81054002100313</x:v>
      </x:c>
      <x:c r="I1621" s="31" t="n">
        <x:v>2423</x:v>
      </x:c>
      <x:c r="J1621" s="31" t="n">
        <x:v>32850.60252763696</x:v>
      </x:c>
      <x:c r="K1621" s="31"/>
      <x:c r="L1621" s="40"/>
      <x:c r="M1621" s="40"/>
      <x:c r="N1621" s="31" t="n">
        <x:v>497</x:v>
      </x:c>
      <x:c r="O1621" s="31" t="n">
        <x:v>671</x:v>
      </x:c>
      <x:c r="P1621" s="31" t="n">
        <x:v>2.1588524590163933</x:v>
      </x:c>
      <x:c r="Q1621" s="40" t="n">
        <x:v>0</x:v>
      </x:c>
      <x:c r="R1621" s="40" t="n">
        <x:v>0</x:v>
      </x:c>
      <x:c r="S1621" s="40" t="n">
        <x:v>0.005961251862891207</x:v>
      </x:c>
      <x:c r="T1621" s="31" t="n">
        <x:v>25.618303427451565</x:v>
      </x:c>
      <x:c r="U1621" s="31" t="n">
        <x:v>32.58</x:v>
      </x:c>
      <x:c r="V1621" s="31" t="n">
        <x:v>0</x:v>
      </x:c>
      <x:c r="W1621" s="31" t="n">
        <x:v>0</x:v>
      </x:c>
      <x:c r="X1621" s="31" t="n">
        <x:v>4</x:v>
      </x:c>
      <x:c r="Y1621" s="40" t="n">
        <x:v>1</x:v>
      </x:c>
      <x:c r="Z1621" s="40" t="n">
        <x:v>1</x:v>
      </x:c>
      <x:c r="AA1621" s="40" t="n">
        <x:v>1</x:v>
      </x:c>
      <x:c r="AB1621" s="31" t="n">
        <x:v>0.09096835454041982</x:v>
      </x:c>
      <x:c r="AC1621" s="31" t="n">
        <x:v>6</x:v>
      </x:c>
      <x:c r="AD1621" s="44" t="b">
        <x:v>1</x:v>
      </x:c>
    </x:row>
    <x:row r="1622">
      <x:c r="A1622" s="31" t="str">
        <x:v>36081017600</x:v>
      </x:c>
      <x:c r="B1622" s="31" t="str">
        <x:v>Queens</x:v>
      </x:c>
      <x:c r="C1622" s="31" t="str">
        <x:v>017600</x:v>
      </x:c>
      <x:c r="D1622" s="31" t="str">
        <x:v>QN1001</x:v>
      </x:c>
      <x:c r="E1622" s="31" t="str">
        <x:v>South Ozone Park</x:v>
      </x:c>
      <x:c r="F1622" s="31" t="n">
        <x:v>0.07362984729252754</x:v>
      </x:c>
      <x:c r="G1622" s="31" t="n">
        <x:v>40.678830873658114</x:v>
      </x:c>
      <x:c r="H1622" s="31" t="n">
        <x:v>-73.80969027277739</x:v>
      </x:c>
      <x:c r="I1622" s="31" t="n">
        <x:v>2181</x:v>
      </x:c>
      <x:c r="J1622" s="31" t="n">
        <x:v>29621.139798579246</x:v>
      </x:c>
      <x:c r="K1622" s="31"/>
      <x:c r="L1622" s="40"/>
      <x:c r="M1622" s="40"/>
      <x:c r="N1622" s="31" t="n">
        <x:v>436</x:v>
      </x:c>
      <x:c r="O1622" s="31" t="n">
        <x:v>635</x:v>
      </x:c>
      <x:c r="P1622" s="31" t="n">
        <x:v>2.1110110584518167</x:v>
      </x:c>
      <x:c r="Q1622" s="40" t="n">
        <x:v>0</x:v>
      </x:c>
      <x:c r="R1622" s="40" t="n">
        <x:v>0.0031496062992125984</x:v>
      </x:c>
      <x:c r="S1622" s="40" t="n">
        <x:v>0.0031496062992125984</x:v>
      </x:c>
      <x:c r="T1622" s="31" t="n">
        <x:v>25.920978113486527</x:v>
      </x:c>
      <x:c r="U1622" s="31" t="n">
        <x:v>35.09</x:v>
      </x:c>
      <x:c r="V1622" s="31" t="n">
        <x:v>0</x:v>
      </x:c>
      <x:c r="W1622" s="31" t="n">
        <x:v>0</x:v>
      </x:c>
      <x:c r="X1622" s="31" t="n">
        <x:v>4</x:v>
      </x:c>
      <x:c r="Y1622" s="40" t="n">
        <x:v>1</x:v>
      </x:c>
      <x:c r="Z1622" s="40" t="n">
        <x:v>1</x:v>
      </x:c>
      <x:c r="AA1622" s="40" t="n">
        <x:v>0.9937007874015747</x:v>
      </x:c>
      <x:c r="AB1622" s="31" t="n">
        <x:v>0.04102021897457561</x:v>
      </x:c>
      <x:c r="AC1622" s="31" t="n">
        <x:v>6</x:v>
      </x:c>
      <x:c r="AD1622" s="44" t="b">
        <x:v>1</x:v>
      </x:c>
    </x:row>
    <x:row r="1623">
      <x:c r="A1623" s="31" t="str">
        <x:v>36081017800</x:v>
      </x:c>
      <x:c r="B1623" s="31" t="str">
        <x:v>Queens</x:v>
      </x:c>
      <x:c r="C1623" s="31" t="str">
        <x:v>017800</x:v>
      </x:c>
      <x:c r="D1623" s="31" t="str">
        <x:v>QN1001</x:v>
      </x:c>
      <x:c r="E1623" s="31" t="str">
        <x:v>South Ozone Park</x:v>
      </x:c>
      <x:c r="F1623" s="31" t="n">
        <x:v>0.07306543948002754</x:v>
      </x:c>
      <x:c r="G1623" s="31" t="n">
        <x:v>40.67709600252783</x:v>
      </x:c>
      <x:c r="H1623" s="31" t="n">
        <x:v>-73.8087466253703</x:v>
      </x:c>
      <x:c r="I1623" s="31" t="n">
        <x:v>2084</x:v>
      </x:c>
      <x:c r="J1623" s="31" t="n">
        <x:v>28522.376856019077</x:v>
      </x:c>
      <x:c r="K1623" s="31"/>
      <x:c r="L1623" s="40"/>
      <x:c r="M1623" s="40"/>
      <x:c r="N1623" s="31" t="n">
        <x:v>406</x:v>
      </x:c>
      <x:c r="O1623" s="31" t="n">
        <x:v>574</x:v>
      </x:c>
      <x:c r="P1623" s="31" t="n">
        <x:v>2.0828048780487802</x:v>
      </x:c>
      <x:c r="Q1623" s="40" t="n">
        <x:v>0</x:v>
      </x:c>
      <x:c r="R1623" s="40" t="n">
        <x:v>0</x:v>
      </x:c>
      <x:c r="S1623" s="40" t="n">
        <x:v>0.02613240418118467</x:v>
      </x:c>
      <x:c r="T1623" s="31" t="n">
        <x:v>26.044578843414634</x:v>
      </x:c>
      <x:c r="U1623" s="31" t="n">
        <x:v>35</x:v>
      </x:c>
      <x:c r="V1623" s="31" t="n">
        <x:v>0</x:v>
      </x:c>
      <x:c r="W1623" s="31" t="n">
        <x:v>0</x:v>
      </x:c>
      <x:c r="X1623" s="31" t="n">
        <x:v>4</x:v>
      </x:c>
      <x:c r="Y1623" s="40" t="n">
        <x:v>1</x:v>
      </x:c>
      <x:c r="Z1623" s="40" t="n">
        <x:v>1</x:v>
      </x:c>
      <x:c r="AA1623" s="40" t="n">
        <x:v>1</x:v>
      </x:c>
      <x:c r="AB1623" s="31" t="n">
        <x:v>0.12540923281054833</x:v>
      </x:c>
      <x:c r="AC1623" s="31" t="n">
        <x:v>8</x:v>
      </x:c>
      <x:c r="AD1623" s="44" t="b">
        <x:v>1</x:v>
      </x:c>
    </x:row>
    <x:row r="1624">
      <x:c r="A1624" s="31" t="str">
        <x:v>36081017901</x:v>
      </x:c>
      <x:c r="B1624" s="31" t="str">
        <x:v>Queens</x:v>
      </x:c>
      <x:c r="C1624" s="31" t="str">
        <x:v>017901</x:v>
      </x:c>
      <x:c r="D1624" s="31" t="str">
        <x:v>QN0202</x:v>
      </x:c>
      <x:c r="E1624" s="31" t="str">
        <x:v>Sunnyside</x:v>
      </x:c>
      <x:c r="F1624" s="31" t="n">
        <x:v>0.03721284779291494</x:v>
      </x:c>
      <x:c r="G1624" s="31" t="n">
        <x:v>40.74472082474162</x:v>
      </x:c>
      <x:c r="H1624" s="31" t="n">
        <x:v>-73.92597683428112</x:v>
      </x:c>
      <x:c r="I1624" s="31" t="n">
        <x:v>986</x:v>
      </x:c>
      <x:c r="J1624" s="31" t="n">
        <x:v>26496.225322151433</x:v>
      </x:c>
      <x:c r="K1624" s="31"/>
      <x:c r="L1624" s="40"/>
      <x:c r="M1624" s="40"/>
      <x:c r="N1624" s="31" t="n">
        <x:v>54</x:v>
      </x:c>
      <x:c r="O1624" s="31" t="n">
        <x:v>491</x:v>
      </x:c>
      <x:c r="P1624" s="31" t="n">
        <x:v>4.356415478615071</x:v>
      </x:c>
      <x:c r="Q1624" s="40" t="n">
        <x:v>0</x:v>
      </x:c>
      <x:c r="R1624" s="40" t="n">
        <x:v>0.8961303462321792</x:v>
      </x:c>
      <x:c r="S1624" s="40" t="n">
        <x:v>0</x:v>
      </x:c>
      <x:c r="T1624" s="31" t="n">
        <x:v>50.38246856162933</x:v>
      </x:c>
      <x:c r="U1624" s="31" t="n">
        <x:v>84.16</x:v>
      </x:c>
      <x:c r="V1624" s="31" t="n">
        <x:v>4</x:v>
      </x:c>
      <x:c r="W1624" s="31" t="n">
        <x:v>4.056795131845842</x:v>
      </x:c>
      <x:c r="X1624" s="31" t="n">
        <x:v>3.0040733197556007</x:v>
      </x:c>
      <x:c r="Y1624" s="40" t="n">
        <x:v>0.004073319755600814</x:v>
      </x:c>
      <x:c r="Z1624" s="40" t="n">
        <x:v>1</x:v>
      </x:c>
      <x:c r="AA1624" s="40" t="n">
        <x:v>1</x:v>
      </x:c>
      <x:c r="AB1624" s="31" t="n">
        <x:v>0.15947109645729693</x:v>
      </x:c>
      <x:c r="AC1624" s="31" t="n">
        <x:v>4</x:v>
      </x:c>
      <x:c r="AD1624" s="44" t="b">
        <x:v>1</x:v>
      </x:c>
    </x:row>
    <x:row r="1625">
      <x:c r="A1625" s="31" t="str">
        <x:v>36081017902</x:v>
      </x:c>
      <x:c r="B1625" s="31" t="str">
        <x:v>Queens</x:v>
      </x:c>
      <x:c r="C1625" s="31" t="str">
        <x:v>017902</x:v>
      </x:c>
      <x:c r="D1625" s="31" t="str">
        <x:v>QN0202</x:v>
      </x:c>
      <x:c r="E1625" s="31" t="str">
        <x:v>Sunnyside</x:v>
      </x:c>
      <x:c r="F1625" s="31" t="n">
        <x:v>0.1457214949071683</x:v>
      </x:c>
      <x:c r="G1625" s="31" t="n">
        <x:v>40.74468105504078</x:v>
      </x:c>
      <x:c r="H1625" s="31" t="n">
        <x:v>-73.93137516918316</x:v>
      </x:c>
      <x:c r="I1625" s="31" t="n">
        <x:v>124</x:v>
      </x:c>
      <x:c r="J1625" s="31" t="n">
        <x:v>850.9382921098501</x:v>
      </x:c>
      <x:c r="K1625" s="31"/>
      <x:c r="L1625" s="40"/>
      <x:c r="M1625" s="40"/>
      <x:c r="N1625" s="31" t="n">
        <x:v>1</x:v>
      </x:c>
      <x:c r="O1625" s="31" t="n">
        <x:v>2</x:v>
      </x:c>
      <x:c r="P1625" s="31" t="n">
        <x:v>3</x:v>
      </x:c>
      <x:c r="Q1625" s="40" t="n">
        <x:v>0</x:v>
      </x:c>
      <x:c r="R1625" s="40" t="n">
        <x:v>1</x:v>
      </x:c>
      <x:c r="S1625" s="40" t="n">
        <x:v>0</x:v>
      </x:c>
      <x:c r="T1625" s="31" t="n">
        <x:v>39.24957091</x:v>
      </x:c>
      <x:c r="U1625" s="31" t="n">
        <x:v>39.24957091</x:v>
      </x:c>
      <x:c r="V1625" s="31" t="n">
        <x:v>0</x:v>
      </x:c>
      <x:c r="W1625" s="31" t="n">
        <x:v>0</x:v>
      </x:c>
      <x:c r="X1625" s="31" t="n">
        <x:v>4</x:v>
      </x:c>
      <x:c r="Y1625" s="40" t="n">
        <x:v>1</x:v>
      </x:c>
      <x:c r="Z1625" s="40" t="n">
        <x:v>1</x:v>
      </x:c>
      <x:c r="AA1625" s="40" t="n">
        <x:v>1</x:v>
      </x:c>
      <x:c r="AB1625" s="31" t="n">
        <x:v>0.12945220040102587</x:v>
      </x:c>
      <x:c r="AC1625" s="31" t="n">
        <x:v>6</x:v>
      </x:c>
      <x:c r="AD1625" s="44" t="b">
        <x:v>1</x:v>
      </x:c>
    </x:row>
    <x:row r="1626">
      <x:c r="A1626" s="31" t="str">
        <x:v>36081018000</x:v>
      </x:c>
      <x:c r="B1626" s="31" t="str">
        <x:v>Queens</x:v>
      </x:c>
      <x:c r="C1626" s="31" t="str">
        <x:v>018000</x:v>
      </x:c>
      <x:c r="D1626" s="31" t="str">
        <x:v>QN1001</x:v>
      </x:c>
      <x:c r="E1626" s="31" t="str">
        <x:v>South Ozone Park</x:v>
      </x:c>
      <x:c r="F1626" s="31" t="n">
        <x:v>0.05351578659356347</x:v>
      </x:c>
      <x:c r="G1626" s="31" t="n">
        <x:v>40.67578789808865</x:v>
      </x:c>
      <x:c r="H1626" s="31" t="n">
        <x:v>-73.80540632179599</x:v>
      </x:c>
      <x:c r="I1626" s="31" t="n">
        <x:v>1365</x:v>
      </x:c>
      <x:c r="J1626" s="31" t="n">
        <x:v>25506.492324718503</x:v>
      </x:c>
      <x:c r="K1626" s="31"/>
      <x:c r="L1626" s="40"/>
      <x:c r="M1626" s="40"/>
      <x:c r="N1626" s="31" t="n">
        <x:v>229</x:v>
      </x:c>
      <x:c r="O1626" s="31" t="n">
        <x:v>353</x:v>
      </x:c>
      <x:c r="P1626" s="31" t="n">
        <x:v>2.014872521246459</x:v>
      </x:c>
      <x:c r="Q1626" s="40" t="n">
        <x:v>0</x:v>
      </x:c>
      <x:c r="R1626" s="40" t="n">
        <x:v>0</x:v>
      </x:c>
      <x:c r="S1626" s="40" t="n">
        <x:v>0.0169971671388102</x:v>
      </x:c>
      <x:c r="T1626" s="31" t="n">
        <x:v>25.21324039946023</x:v>
      </x:c>
      <x:c r="U1626" s="31" t="n">
        <x:v>33.13</x:v>
      </x:c>
      <x:c r="V1626" s="31" t="n">
        <x:v>0</x:v>
      </x:c>
      <x:c r="W1626" s="31" t="n">
        <x:v>0</x:v>
      </x:c>
      <x:c r="X1626" s="31" t="n">
        <x:v>4</x:v>
      </x:c>
      <x:c r="Y1626" s="40" t="n">
        <x:v>1</x:v>
      </x:c>
      <x:c r="Z1626" s="40" t="n">
        <x:v>1</x:v>
      </x:c>
      <x:c r="AA1626" s="40" t="n">
        <x:v>0.9971671388101983</x:v>
      </x:c>
      <x:c r="AB1626" s="31" t="n">
        <x:v>0.14651467312592992</x:v>
      </x:c>
      <x:c r="AC1626" s="31" t="n">
        <x:v>7</x:v>
      </x:c>
      <x:c r="AD1626" s="44" t="b">
        <x:v>1</x:v>
      </x:c>
    </x:row>
    <x:row r="1627">
      <x:c r="A1627" s="31" t="str">
        <x:v>36081018101</x:v>
      </x:c>
      <x:c r="B1627" s="31" t="str">
        <x:v>Queens</x:v>
      </x:c>
      <x:c r="C1627" s="31" t="str">
        <x:v>018101</x:v>
      </x:c>
      <x:c r="D1627" s="31" t="str">
        <x:v>QN0202</x:v>
      </x:c>
      <x:c r="E1627" s="31" t="str">
        <x:v>Sunnyside</x:v>
      </x:c>
      <x:c r="F1627" s="31" t="n">
        <x:v>0.03715018194085744</x:v>
      </x:c>
      <x:c r="G1627" s="31" t="n">
        <x:v>40.74450974639807</x:v>
      </x:c>
      <x:c r="H1627" s="31" t="n">
        <x:v>-73.9241222906869</x:v>
      </x:c>
      <x:c r="I1627" s="31" t="n">
        <x:v>3836</x:v>
      </x:c>
      <x:c r="J1627" s="31" t="n">
        <x:v>103256.56025337527</x:v>
      </x:c>
      <x:c r="K1627" s="31"/>
      <x:c r="L1627" s="40"/>
      <x:c r="M1627" s="40"/>
      <x:c r="N1627" s="31" t="n">
        <x:v>135</x:v>
      </x:c>
      <x:c r="O1627" s="31" t="n">
        <x:v>1743</x:v>
      </x:c>
      <x:c r="P1627" s="31" t="n">
        <x:v>4.749282845668388</x:v>
      </x:c>
      <x:c r="Q1627" s="40" t="n">
        <x:v>0</x:v>
      </x:c>
      <x:c r="R1627" s="40" t="n">
        <x:v>0.955249569707401</x:v>
      </x:c>
      <x:c r="S1627" s="40" t="n">
        <x:v>0</x:v>
      </x:c>
      <x:c r="T1627" s="31" t="n">
        <x:v>52.306546184738956</x:v>
      </x:c>
      <x:c r="U1627" s="31" t="n">
        <x:v>70.47</x:v>
      </x:c>
      <x:c r="V1627" s="31" t="n">
        <x:v>16</x:v>
      </x:c>
      <x:c r="W1627" s="31" t="n">
        <x:v>4.1710114702815435</x:v>
      </x:c>
      <x:c r="X1627" s="31" t="n">
        <x:v>3</x:v>
      </x:c>
      <x:c r="Y1627" s="40" t="n">
        <x:v>0</x:v>
      </x:c>
      <x:c r="Z1627" s="40" t="n">
        <x:v>1</x:v>
      </x:c>
      <x:c r="AA1627" s="40" t="n">
        <x:v>1</x:v>
      </x:c>
      <x:c r="AB1627" s="31" t="n">
        <x:v>0.10457469419910757</x:v>
      </x:c>
      <x:c r="AC1627" s="31" t="n">
        <x:v>5</x:v>
      </x:c>
      <x:c r="AD1627" s="44" t="b">
        <x:v>1</x:v>
      </x:c>
    </x:row>
    <x:row r="1628">
      <x:c r="A1628" s="31" t="str">
        <x:v>36081018102</x:v>
      </x:c>
      <x:c r="B1628" s="31" t="str">
        <x:v>Queens</x:v>
      </x:c>
      <x:c r="C1628" s="31" t="str">
        <x:v>018102</x:v>
      </x:c>
      <x:c r="D1628" s="31" t="str">
        <x:v>QN0202</x:v>
      </x:c>
      <x:c r="E1628" s="31" t="str">
        <x:v>Sunnyside</x:v>
      </x:c>
      <x:c r="F1628" s="31" t="n">
        <x:v>0.037250385435677796</x:v>
      </x:c>
      <x:c r="G1628" s="31" t="n">
        <x:v>40.744291621189454</x:v>
      </x:c>
      <x:c r="H1628" s="31" t="n">
        <x:v>-73.92226871065853</x:v>
      </x:c>
      <x:c r="I1628" s="31" t="n">
        <x:v>3800</x:v>
      </x:c>
      <x:c r="J1628" s="31" t="n">
        <x:v>102012.36726963967</x:v>
      </x:c>
      <x:c r="K1628" s="31"/>
      <x:c r="L1628" s="40"/>
      <x:c r="M1628" s="40"/>
      <x:c r="N1628" s="31" t="n">
        <x:v>94</x:v>
      </x:c>
      <x:c r="O1628" s="31" t="n">
        <x:v>2052</x:v>
      </x:c>
      <x:c r="P1628" s="31" t="n">
        <x:v>5.1439764936336925</x:v>
      </x:c>
      <x:c r="Q1628" s="40" t="n">
        <x:v>0.018518518518518517</x:v>
      </x:c>
      <x:c r="R1628" s="40" t="n">
        <x:v>0.9585769980506823</x:v>
      </x:c>
      <x:c r="S1628" s="40" t="n">
        <x:v>0</x:v>
      </x:c>
      <x:c r="T1628" s="31" t="n">
        <x:v>57.28356025269493</x:v>
      </x:c>
      <x:c r="U1628" s="31" t="n">
        <x:v>88.51930737</x:v>
      </x:c>
      <x:c r="V1628" s="31" t="n">
        <x:v>27</x:v>
      </x:c>
      <x:c r="W1628" s="31" t="n">
        <x:v>7.105263157894737</x:v>
      </x:c>
      <x:c r="X1628" s="31" t="n">
        <x:v>3</x:v>
      </x:c>
      <x:c r="Y1628" s="40" t="n">
        <x:v>0</x:v>
      </x:c>
      <x:c r="Z1628" s="40" t="n">
        <x:v>1</x:v>
      </x:c>
      <x:c r="AA1628" s="40" t="n">
        <x:v>1</x:v>
      </x:c>
      <x:c r="AB1628" s="31" t="n">
        <x:v>0.12614428951166787</x:v>
      </x:c>
      <x:c r="AC1628" s="31" t="n">
        <x:v>4</x:v>
      </x:c>
      <x:c r="AD1628" s="44" t="b">
        <x:v>1</x:v>
      </x:c>
    </x:row>
    <x:row r="1629">
      <x:c r="A1629" s="31" t="str">
        <x:v>36081018200</x:v>
      </x:c>
      <x:c r="B1629" s="31" t="str">
        <x:v>Queens</x:v>
      </x:c>
      <x:c r="C1629" s="31" t="str">
        <x:v>018200</x:v>
      </x:c>
      <x:c r="D1629" s="31" t="str">
        <x:v>QN1203</x:v>
      </x:c>
      <x:c r="E1629" s="31" t="str">
        <x:v>Baisley Park</x:v>
      </x:c>
      <x:c r="F1629" s="31" t="n">
        <x:v>0.10059242406415003</x:v>
      </x:c>
      <x:c r="G1629" s="31" t="n">
        <x:v>40.676155174583634</x:v>
      </x:c>
      <x:c r="H1629" s="31" t="n">
        <x:v>-73.79915246556182</x:v>
      </x:c>
      <x:c r="I1629" s="31" t="n">
        <x:v>2540</x:v>
      </x:c>
      <x:c r="J1629" s="31" t="n">
        <x:v>25250.41049194903</x:v>
      </x:c>
      <x:c r="K1629" s="31"/>
      <x:c r="L1629" s="40"/>
      <x:c r="M1629" s="40"/>
      <x:c r="N1629" s="31" t="n">
        <x:v>551</x:v>
      </x:c>
      <x:c r="O1629" s="31" t="n">
        <x:v>721</x:v>
      </x:c>
      <x:c r="P1629" s="31" t="n">
        <x:v>2.11004160887656</x:v>
      </x:c>
      <x:c r="Q1629" s="40" t="n">
        <x:v>0</x:v>
      </x:c>
      <x:c r="R1629" s="40" t="n">
        <x:v>0.012482662968099861</x:v>
      </x:c>
      <x:c r="S1629" s="40" t="n">
        <x:v>0.008321775312066574</x:v>
      </x:c>
      <x:c r="T1629" s="31" t="n">
        <x:v>25.68165733978903</x:v>
      </x:c>
      <x:c r="U1629" s="31" t="n">
        <x:v>36.39</x:v>
      </x:c>
      <x:c r="V1629" s="31" t="n">
        <x:v>0</x:v>
      </x:c>
      <x:c r="W1629" s="31" t="n">
        <x:v>0</x:v>
      </x:c>
      <x:c r="X1629" s="31" t="n">
        <x:v>5</x:v>
      </x:c>
      <x:c r="Y1629" s="40" t="n">
        <x:v>1</x:v>
      </x:c>
      <x:c r="Z1629" s="40" t="n">
        <x:v>1</x:v>
      </x:c>
      <x:c r="AA1629" s="40" t="n">
        <x:v>0.986130374479889</x:v>
      </x:c>
      <x:c r="AB1629" s="31" t="n">
        <x:v>0.2629454069929605</x:v>
      </x:c>
      <x:c r="AC1629" s="31" t="n">
        <x:v>7</x:v>
      </x:c>
      <x:c r="AD1629" s="44" t="b">
        <x:v>1</x:v>
      </x:c>
    </x:row>
    <x:row r="1630">
      <x:c r="A1630" s="31" t="str">
        <x:v>36081018300</x:v>
      </x:c>
      <x:c r="B1630" s="31" t="str">
        <x:v>Queens</x:v>
      </x:c>
      <x:c r="C1630" s="31" t="str">
        <x:v>018300</x:v>
      </x:c>
      <x:c r="D1630" s="31" t="str">
        <x:v>QN0202</x:v>
      </x:c>
      <x:c r="E1630" s="31" t="str">
        <x:v>Sunnyside</x:v>
      </x:c>
      <x:c r="F1630" s="31" t="n">
        <x:v>0.08302068103657312</x:v>
      </x:c>
      <x:c r="G1630" s="31" t="n">
        <x:v>40.745341082807045</x:v>
      </x:c>
      <x:c r="H1630" s="31" t="n">
        <x:v>-73.9196685947278</x:v>
      </x:c>
      <x:c r="I1630" s="31" t="n">
        <x:v>6044</x:v>
      </x:c>
      <x:c r="J1630" s="31" t="n">
        <x:v>72801.13731345368</x:v>
      </x:c>
      <x:c r="K1630" s="31"/>
      <x:c r="L1630" s="40"/>
      <x:c r="M1630" s="40"/>
      <x:c r="N1630" s="31" t="n">
        <x:v>361</x:v>
      </x:c>
      <x:c r="O1630" s="31" t="n">
        <x:v>2879</x:v>
      </x:c>
      <x:c r="P1630" s="31" t="n">
        <x:v>5.120207810820494</x:v>
      </x:c>
      <x:c r="Q1630" s="40" t="n">
        <x:v>0.0055574852379298365</x:v>
      </x:c>
      <x:c r="R1630" s="40" t="n">
        <x:v>0.7919416464050018</x:v>
      </x:c>
      <x:c r="S1630" s="40" t="n">
        <x:v>0.11114970475859673</x:v>
      </x:c>
      <x:c r="T1630" s="31" t="n">
        <x:v>54.931035081625566</x:v>
      </x:c>
      <x:c r="U1630" s="31" t="n">
        <x:v>83</x:v>
      </x:c>
      <x:c r="V1630" s="31" t="n">
        <x:v>42</x:v>
      </x:c>
      <x:c r="W1630" s="31" t="n">
        <x:v>6.949040370615486</x:v>
      </x:c>
      <x:c r="X1630" s="31" t="n">
        <x:v>3</x:v>
      </x:c>
      <x:c r="Y1630" s="40" t="n">
        <x:v>0</x:v>
      </x:c>
      <x:c r="Z1630" s="40" t="n">
        <x:v>1</x:v>
      </x:c>
      <x:c r="AA1630" s="40" t="n">
        <x:v>1</x:v>
      </x:c>
      <x:c r="AB1630" s="31" t="n">
        <x:v>0.19849099754425537</x:v>
      </x:c>
      <x:c r="AC1630" s="31" t="n">
        <x:v>6</x:v>
      </x:c>
      <x:c r="AD1630" s="44" t="b">
        <x:v>1</x:v>
      </x:c>
    </x:row>
    <x:row r="1631">
      <x:c r="A1631" s="31" t="str">
        <x:v>36081018401</x:v>
      </x:c>
      <x:c r="B1631" s="31" t="str">
        <x:v>Queens</x:v>
      </x:c>
      <x:c r="C1631" s="31" t="str">
        <x:v>018401</x:v>
      </x:c>
      <x:c r="D1631" s="31" t="str">
        <x:v>QN1203</x:v>
      </x:c>
      <x:c r="E1631" s="31" t="str">
        <x:v>Baisley Park</x:v>
      </x:c>
      <x:c r="F1631" s="31" t="n">
        <x:v>0.0739855112201561</x:v>
      </x:c>
      <x:c r="G1631" s="31" t="n">
        <x:v>40.6751810525264</x:v>
      </x:c>
      <x:c r="H1631" s="31" t="n">
        <x:v>-73.79219313922161</x:v>
      </x:c>
      <x:c r="I1631" s="31" t="n">
        <x:v>2174</x:v>
      </x:c>
      <x:c r="J1631" s="31" t="n">
        <x:v>29384.13162451367</x:v>
      </x:c>
      <x:c r="K1631" s="31"/>
      <x:c r="L1631" s="40"/>
      <x:c r="M1631" s="40"/>
      <x:c r="N1631" s="31" t="n">
        <x:v>346</x:v>
      </x:c>
      <x:c r="O1631" s="31" t="n">
        <x:v>656</x:v>
      </x:c>
      <x:c r="P1631" s="31" t="n">
        <x:v>3.567850609756098</x:v>
      </x:c>
      <x:c r="Q1631" s="40" t="n">
        <x:v>0</x:v>
      </x:c>
      <x:c r="R1631" s="40" t="n">
        <x:v>0.32926829268292684</x:v>
      </x:c>
      <x:c r="S1631" s="40" t="n">
        <x:v>0.2301829268292683</x:v>
      </x:c>
      <x:c r="T1631" s="31" t="n">
        <x:v>37.09152797828221</x:v>
      </x:c>
      <x:c r="U1631" s="31" t="n">
        <x:v>71</x:v>
      </x:c>
      <x:c r="V1631" s="31" t="n">
        <x:v>6</x:v>
      </x:c>
      <x:c r="W1631" s="31" t="n">
        <x:v>2.7598896044158234</x:v>
      </x:c>
      <x:c r="X1631" s="31" t="n">
        <x:v>5</x:v>
      </x:c>
      <x:c r="Y1631" s="40" t="n">
        <x:v>1</x:v>
      </x:c>
      <x:c r="Z1631" s="40" t="n">
        <x:v>1</x:v>
      </x:c>
      <x:c r="AA1631" s="40" t="n">
        <x:v>0.9939024390243902</x:v>
      </x:c>
      <x:c r="AB1631" s="31" t="n">
        <x:v>0.10918950973040066</x:v>
      </x:c>
      <x:c r="AC1631" s="31" t="n">
        <x:v>7</x:v>
      </x:c>
      <x:c r="AD1631" s="44" t="b">
        <x:v>1</x:v>
      </x:c>
    </x:row>
    <x:row r="1632">
      <x:c r="A1632" s="31" t="str">
        <x:v>36081018402</x:v>
      </x:c>
      <x:c r="B1632" s="31" t="str">
        <x:v>Queens</x:v>
      </x:c>
      <x:c r="C1632" s="31" t="str">
        <x:v>018402</x:v>
      </x:c>
      <x:c r="D1632" s="31" t="str">
        <x:v>QN1203</x:v>
      </x:c>
      <x:c r="E1632" s="31" t="str">
        <x:v>Baisley Park</x:v>
      </x:c>
      <x:c r="F1632" s="31" t="n">
        <x:v>0.08206732697536444</x:v>
      </x:c>
      <x:c r="G1632" s="31" t="n">
        <x:v>40.67894790294753</x:v>
      </x:c>
      <x:c r="H1632" s="31" t="n">
        <x:v>-73.79436108685783</x:v>
      </x:c>
      <x:c r="I1632" s="31" t="n">
        <x:v>2412</x:v>
      </x:c>
      <x:c r="J1632" s="31" t="n">
        <x:v>29390.502760301326</x:v>
      </x:c>
      <x:c r="K1632" s="31"/>
      <x:c r="L1632" s="40"/>
      <x:c r="M1632" s="40"/>
      <x:c r="N1632" s="31" t="n">
        <x:v>488</x:v>
      </x:c>
      <x:c r="O1632" s="31" t="n">
        <x:v>639</x:v>
      </x:c>
      <x:c r="P1632" s="31" t="n">
        <x:v>2.1452582159624414</x:v>
      </x:c>
      <x:c r="Q1632" s="40" t="n">
        <x:v>0</x:v>
      </x:c>
      <x:c r="R1632" s="40" t="n">
        <x:v>0</x:v>
      </x:c>
      <x:c r="S1632" s="40" t="n">
        <x:v>0.006259780907668232</x:v>
      </x:c>
      <x:c r="T1632" s="31" t="n">
        <x:v>26.15908646322884</x:v>
      </x:c>
      <x:c r="U1632" s="31" t="n">
        <x:v>32.4</x:v>
      </x:c>
      <x:c r="V1632" s="31" t="n">
        <x:v>0</x:v>
      </x:c>
      <x:c r="W1632" s="31" t="n">
        <x:v>0</x:v>
      </x:c>
      <x:c r="X1632" s="31" t="n">
        <x:v>5</x:v>
      </x:c>
      <x:c r="Y1632" s="40" t="n">
        <x:v>1</x:v>
      </x:c>
      <x:c r="Z1632" s="40" t="n">
        <x:v>1</x:v>
      </x:c>
      <x:c r="AA1632" s="40" t="n">
        <x:v>0.9984350547730829</x:v>
      </x:c>
      <x:c r="AB1632" s="31" t="n">
        <x:v>0.06121829070886531</x:v>
      </x:c>
      <x:c r="AC1632" s="31" t="n">
        <x:v>7</x:v>
      </x:c>
      <x:c r="AD1632" s="44" t="b">
        <x:v>1</x:v>
      </x:c>
    </x:row>
    <x:row r="1633">
      <x:c r="A1633" s="31" t="str">
        <x:v>36081018501</x:v>
      </x:c>
      <x:c r="B1633" s="31" t="str">
        <x:v>Queens</x:v>
      </x:c>
      <x:c r="C1633" s="31" t="str">
        <x:v>018501</x:v>
      </x:c>
      <x:c r="D1633" s="31" t="str">
        <x:v>QN0202</x:v>
      </x:c>
      <x:c r="E1633" s="31" t="str">
        <x:v>Sunnyside</x:v>
      </x:c>
      <x:c r="F1633" s="31" t="n">
        <x:v>0.03803869812399564</x:v>
      </x:c>
      <x:c r="G1633" s="31" t="n">
        <x:v>40.73870972734056</x:v>
      </x:c>
      <x:c r="H1633" s="31" t="n">
        <x:v>-73.92243128633666</x:v>
      </x:c>
      <x:c r="I1633" s="31" t="n">
        <x:v>3502</x:v>
      </x:c>
      <x:c r="J1633" s="31" t="n">
        <x:v>92064.13922433538</x:v>
      </x:c>
      <x:c r="K1633" s="31"/>
      <x:c r="L1633" s="40"/>
      <x:c r="M1633" s="40"/>
      <x:c r="N1633" s="31" t="n">
        <x:v>177</x:v>
      </x:c>
      <x:c r="O1633" s="31" t="n">
        <x:v>1631</x:v>
      </x:c>
      <x:c r="P1633" s="31" t="n">
        <x:v>5.006284488044145</x:v>
      </x:c>
      <x:c r="Q1633" s="40" t="n">
        <x:v>0</x:v>
      </x:c>
      <x:c r="R1633" s="40" t="n">
        <x:v>0.8602084610668301</x:v>
      </x:c>
      <x:c r="S1633" s="40" t="n">
        <x:v>0.46229307173513184</x:v>
      </x:c>
      <x:c r="T1633" s="31" t="n">
        <x:v>58.03294384281422</x:v>
      </x:c>
      <x:c r="U1633" s="31" t="n">
        <x:v>73.91</x:v>
      </x:c>
      <x:c r="V1633" s="31" t="n">
        <x:v>29</x:v>
      </x:c>
      <x:c r="W1633" s="31" t="n">
        <x:v>8.280982295830954</x:v>
      </x:c>
      <x:c r="X1633" s="31" t="n">
        <x:v>3</x:v>
      </x:c>
      <x:c r="Y1633" s="40" t="n">
        <x:v>0</x:v>
      </x:c>
      <x:c r="Z1633" s="40" t="n">
        <x:v>1</x:v>
      </x:c>
      <x:c r="AA1633" s="40" t="n">
        <x:v>1</x:v>
      </x:c>
      <x:c r="AB1633" s="31" t="n">
        <x:v>0.1312687798099358</x:v>
      </x:c>
      <x:c r="AC1633" s="31" t="n">
        <x:v>5</x:v>
      </x:c>
      <x:c r="AD1633" s="44" t="b">
        <x:v>1</x:v>
      </x:c>
    </x:row>
    <x:row r="1634">
      <x:c r="A1634" s="31" t="str">
        <x:v>36081018502</x:v>
      </x:c>
      <x:c r="B1634" s="31" t="str">
        <x:v>Queens</x:v>
      </x:c>
      <x:c r="C1634" s="31" t="str">
        <x:v>018502</x:v>
      </x:c>
      <x:c r="D1634" s="31" t="str">
        <x:v>QN0202</x:v>
      </x:c>
      <x:c r="E1634" s="31" t="str">
        <x:v>Sunnyside</x:v>
      </x:c>
      <x:c r="F1634" s="31" t="n">
        <x:v>0.03798643010610365</x:v>
      </x:c>
      <x:c r="G1634" s="31" t="n">
        <x:v>40.74055454365799</x:v>
      </x:c>
      <x:c r="H1634" s="31" t="n">
        <x:v>-73.9220648515943</x:v>
      </x:c>
      <x:c r="I1634" s="31" t="n">
        <x:v>3453</x:v>
      </x:c>
      <x:c r="J1634" s="31" t="n">
        <x:v>90900.88198219956</x:v>
      </x:c>
      <x:c r="K1634" s="31"/>
      <x:c r="L1634" s="40"/>
      <x:c r="M1634" s="40"/>
      <x:c r="N1634" s="31" t="n">
        <x:v>138</x:v>
      </x:c>
      <x:c r="O1634" s="31" t="n">
        <x:v>1599</x:v>
      </x:c>
      <x:c r="P1634" s="31" t="n">
        <x:v>4.626641651031895</x:v>
      </x:c>
      <x:c r="Q1634" s="40" t="n">
        <x:v>0</x:v>
      </x:c>
      <x:c r="R1634" s="40" t="n">
        <x:v>0.9737335834896811</x:v>
      </x:c>
      <x:c r="S1634" s="40" t="n">
        <x:v>0.05628517823639775</x:v>
      </x:c>
      <x:c r="T1634" s="31" t="n">
        <x:v>51.7862108725428</x:v>
      </x:c>
      <x:c r="U1634" s="31" t="n">
        <x:v>70.58</x:v>
      </x:c>
      <x:c r="V1634" s="31" t="n">
        <x:v>15</x:v>
      </x:c>
      <x:c r="W1634" s="31" t="n">
        <x:v>4.344048653344918</x:v>
      </x:c>
      <x:c r="X1634" s="31" t="n">
        <x:v>3</x:v>
      </x:c>
      <x:c r="Y1634" s="40" t="n">
        <x:v>0</x:v>
      </x:c>
      <x:c r="Z1634" s="40" t="n">
        <x:v>1</x:v>
      </x:c>
      <x:c r="AA1634" s="40" t="n">
        <x:v>0.9862414008755472</x:v>
      </x:c>
      <x:c r="AB1634" s="31" t="n">
        <x:v>0.027264042251095036</x:v>
      </x:c>
      <x:c r="AC1634" s="31" t="n">
        <x:v>7</x:v>
      </x:c>
      <x:c r="AD1634" s="44" t="b">
        <x:v>1</x:v>
      </x:c>
    </x:row>
    <x:row r="1635">
      <x:c r="A1635" s="31" t="str">
        <x:v>36081018600</x:v>
      </x:c>
      <x:c r="B1635" s="31" t="str">
        <x:v>Queens</x:v>
      </x:c>
      <x:c r="C1635" s="31" t="str">
        <x:v>018600</x:v>
      </x:c>
      <x:c r="D1635" s="31" t="str">
        <x:v>QN1203</x:v>
      </x:c>
      <x:c r="E1635" s="31" t="str">
        <x:v>Baisley Park</x:v>
      </x:c>
      <x:c r="F1635" s="31" t="n">
        <x:v>0.06962085012411041</x:v>
      </x:c>
      <x:c r="G1635" s="31" t="n">
        <x:v>40.67988135419143</x:v>
      </x:c>
      <x:c r="H1635" s="31" t="n">
        <x:v>-73.79894005806437</x:v>
      </x:c>
      <x:c r="I1635" s="31" t="n">
        <x:v>1802</x:v>
      </x:c>
      <x:c r="J1635" s="31" t="n">
        <x:v>25883.050792796177</x:v>
      </x:c>
      <x:c r="K1635" s="31"/>
      <x:c r="L1635" s="40"/>
      <x:c r="M1635" s="40"/>
      <x:c r="N1635" s="31" t="n">
        <x:v>386</x:v>
      </x:c>
      <x:c r="O1635" s="31" t="n">
        <x:v>510</x:v>
      </x:c>
      <x:c r="P1635" s="31" t="n">
        <x:v>2.0041764705882352</x:v>
      </x:c>
      <x:c r="Q1635" s="40" t="n">
        <x:v>0</x:v>
      </x:c>
      <x:c r="R1635" s="40" t="n">
        <x:v>0</x:v>
      </x:c>
      <x:c r="S1635" s="40" t="n">
        <x:v>0</x:v>
      </x:c>
      <x:c r="T1635" s="31" t="n">
        <x:v>25.159863237019607</x:v>
      </x:c>
      <x:c r="U1635" s="31" t="n">
        <x:v>32.24</x:v>
      </x:c>
      <x:c r="V1635" s="31" t="n">
        <x:v>0</x:v>
      </x:c>
      <x:c r="W1635" s="31" t="n">
        <x:v>0</x:v>
      </x:c>
      <x:c r="X1635" s="31" t="n">
        <x:v>5</x:v>
      </x:c>
      <x:c r="Y1635" s="40" t="n">
        <x:v>1</x:v>
      </x:c>
      <x:c r="Z1635" s="40" t="n">
        <x:v>1</x:v>
      </x:c>
      <x:c r="AA1635" s="40" t="n">
        <x:v>1</x:v>
      </x:c>
      <x:c r="AB1635" s="31" t="n">
        <x:v>0.1965395744333635</x:v>
      </x:c>
      <x:c r="AC1635" s="31" t="n">
        <x:v>7</x:v>
      </x:c>
      <x:c r="AD1635" s="44" t="b">
        <x:v>1</x:v>
      </x:c>
    </x:row>
    <x:row r="1636">
      <x:c r="A1636" s="31" t="str">
        <x:v>36081018700</x:v>
      </x:c>
      <x:c r="B1636" s="31" t="str">
        <x:v>Queens</x:v>
      </x:c>
      <x:c r="C1636" s="31" t="str">
        <x:v>018700</x:v>
      </x:c>
      <x:c r="D1636" s="31" t="str">
        <x:v>QN0202</x:v>
      </x:c>
      <x:c r="E1636" s="31" t="str">
        <x:v>Sunnyside</x:v>
      </x:c>
      <x:c r="F1636" s="31" t="n">
        <x:v>0.09321651652713211</x:v>
      </x:c>
      <x:c r="G1636" s="31" t="n">
        <x:v>40.736624953828525</x:v>
      </x:c>
      <x:c r="H1636" s="31" t="n">
        <x:v>-73.92465951550139</x:v>
      </x:c>
      <x:c r="I1636" s="31" t="n">
        <x:v>3611</x:v>
      </x:c>
      <x:c r="J1636" s="31" t="n">
        <x:v>38737.770242132596</x:v>
      </x:c>
      <x:c r="K1636" s="31"/>
      <x:c r="L1636" s="40"/>
      <x:c r="M1636" s="40"/>
      <x:c r="N1636" s="31" t="n">
        <x:v>447</x:v>
      </x:c>
      <x:c r="O1636" s="31" t="n">
        <x:v>1127</x:v>
      </x:c>
      <x:c r="P1636" s="31" t="n">
        <x:v>2.7431233362910383</x:v>
      </x:c>
      <x:c r="Q1636" s="40" t="n">
        <x:v>0</x:v>
      </x:c>
      <x:c r="R1636" s="40" t="n">
        <x:v>0.3025732031943212</x:v>
      </x:c>
      <x:c r="S1636" s="40" t="n">
        <x:v>0.0008873114463176575</x:v>
      </x:c>
      <x:c r="T1636" s="31" t="n">
        <x:v>33.904637809554366</x:v>
      </x:c>
      <x:c r="U1636" s="31" t="n">
        <x:v>64.64</x:v>
      </x:c>
      <x:c r="V1636" s="31" t="n">
        <x:v>4</x:v>
      </x:c>
      <x:c r="W1636" s="31" t="n">
        <x:v>1.1077263915812794</x:v>
      </x:c>
      <x:c r="X1636" s="31" t="n">
        <x:v>3.0594498669032832</x:v>
      </x:c>
      <x:c r="Y1636" s="40" t="n">
        <x:v>0.05944986690328305</x:v>
      </x:c>
      <x:c r="Z1636" s="40" t="n">
        <x:v>1</x:v>
      </x:c>
      <x:c r="AA1636" s="40" t="n">
        <x:v>0.9955634427684117</x:v>
      </x:c>
      <x:c r="AB1636" s="31" t="n">
        <x:v>0.16392419865638236</x:v>
      </x:c>
      <x:c r="AC1636" s="31" t="n">
        <x:v>6</x:v>
      </x:c>
      <x:c r="AD1636" s="44" t="b">
        <x:v>1</x:v>
      </x:c>
    </x:row>
    <x:row r="1637">
      <x:c r="A1637" s="31" t="str">
        <x:v>36081018800</x:v>
      </x:c>
      <x:c r="B1637" s="31" t="str">
        <x:v>Queens</x:v>
      </x:c>
      <x:c r="C1637" s="31" t="str">
        <x:v>018800</x:v>
      </x:c>
      <x:c r="D1637" s="31" t="str">
        <x:v>QN1203</x:v>
      </x:c>
      <x:c r="E1637" s="31" t="str">
        <x:v>Baisley Park</x:v>
      </x:c>
      <x:c r="F1637" s="31" t="n">
        <x:v>0.06875830827881084</x:v>
      </x:c>
      <x:c r="G1637" s="31" t="n">
        <x:v>40.68163192370863</x:v>
      </x:c>
      <x:c r="H1637" s="31" t="n">
        <x:v>-73.79982672769923</x:v>
      </x:c>
      <x:c r="I1637" s="31" t="n">
        <x:v>1510</x:v>
      </x:c>
      <x:c r="J1637" s="31" t="n">
        <x:v>21960.98242960022</x:v>
      </x:c>
      <x:c r="K1637" s="31"/>
      <x:c r="L1637" s="40"/>
      <x:c r="M1637" s="40"/>
      <x:c r="N1637" s="31" t="n">
        <x:v>292</x:v>
      </x:c>
      <x:c r="O1637" s="31" t="n">
        <x:v>419</x:v>
      </x:c>
      <x:c r="P1637" s="31" t="n">
        <x:v>1.9272792362768496</x:v>
      </x:c>
      <x:c r="Q1637" s="40" t="n">
        <x:v>0</x:v>
      </x:c>
      <x:c r="R1637" s="40" t="n">
        <x:v>0.014319809069212411</x:v>
      </x:c>
      <x:c r="S1637" s="40" t="n">
        <x:v>0.014319809069212411</x:v>
      </x:c>
      <x:c r="T1637" s="31" t="n">
        <x:v>23.804325383566265</x:v>
      </x:c>
      <x:c r="U1637" s="31" t="n">
        <x:v>35.53</x:v>
      </x:c>
      <x:c r="V1637" s="31" t="n">
        <x:v>0</x:v>
      </x:c>
      <x:c r="W1637" s="31" t="n">
        <x:v>0</x:v>
      </x:c>
      <x:c r="X1637" s="31" t="n">
        <x:v>5</x:v>
      </x:c>
      <x:c r="Y1637" s="40" t="n">
        <x:v>1</x:v>
      </x:c>
      <x:c r="Z1637" s="40" t="n">
        <x:v>1</x:v>
      </x:c>
      <x:c r="AA1637" s="40" t="n">
        <x:v>0.9904534606205251</x:v>
      </x:c>
      <x:c r="AB1637" s="31" t="n">
        <x:v>0.16149837832449848</x:v>
      </x:c>
      <x:c r="AC1637" s="31" t="n">
        <x:v>7</x:v>
      </x:c>
      <x:c r="AD1637" s="44" t="b">
        <x:v>1</x:v>
      </x:c>
    </x:row>
    <x:row r="1638">
      <x:c r="A1638" s="31" t="str">
        <x:v>36081018900</x:v>
      </x:c>
      <x:c r="B1638" s="31" t="str">
        <x:v>Queens</x:v>
      </x:c>
      <x:c r="C1638" s="31" t="str">
        <x:v>018900</x:v>
      </x:c>
      <x:c r="D1638" s="31" t="str">
        <x:v>QN0202</x:v>
      </x:c>
      <x:c r="E1638" s="31" t="str">
        <x:v>Sunnyside</x:v>
      </x:c>
      <x:c r="F1638" s="31" t="n">
        <x:v>0.08405071656623049</x:v>
      </x:c>
      <x:c r="G1638" s="31" t="n">
        <x:v>40.74008176171191</x:v>
      </x:c>
      <x:c r="H1638" s="31" t="n">
        <x:v>-73.92799831384697</x:v>
      </x:c>
      <x:c r="I1638" s="31" t="n">
        <x:v>3457</x:v>
      </x:c>
      <x:c r="J1638" s="31" t="n">
        <x:v>41129.928943270155</x:v>
      </x:c>
      <x:c r="K1638" s="31"/>
      <x:c r="L1638" s="40"/>
      <x:c r="M1638" s="40"/>
      <x:c r="N1638" s="31" t="n">
        <x:v>274</x:v>
      </x:c>
      <x:c r="O1638" s="31" t="n">
        <x:v>1411</x:v>
      </x:c>
      <x:c r="P1638" s="31" t="n">
        <x:v>4.208362863217576</x:v>
      </x:c>
      <x:c r="Q1638" s="40" t="n">
        <x:v>0</x:v>
      </x:c>
      <x:c r="R1638" s="40" t="n">
        <x:v>0.6428065201984409</x:v>
      </x:c>
      <x:c r="S1638" s="40" t="n">
        <x:v>0.002834868887313962</x:v>
      </x:c>
      <x:c r="T1638" s="31" t="n">
        <x:v>46.84980355379164</x:v>
      </x:c>
      <x:c r="U1638" s="31" t="n">
        <x:v>76.61</x:v>
      </x:c>
      <x:c r="V1638" s="31" t="n">
        <x:v>10</x:v>
      </x:c>
      <x:c r="W1638" s="31" t="n">
        <x:v>2.8926815157651147</x:v>
      </x:c>
      <x:c r="X1638" s="31" t="n">
        <x:v>3.3330970942593905</x:v>
      </x:c>
      <x:c r="Y1638" s="40" t="n">
        <x:v>0.3330970942593905</x:v>
      </x:c>
      <x:c r="Z1638" s="40" t="n">
        <x:v>1</x:v>
      </x:c>
      <x:c r="AA1638" s="40" t="n">
        <x:v>1</x:v>
      </x:c>
      <x:c r="AB1638" s="31" t="n">
        <x:v>0.05721777071036418</x:v>
      </x:c>
      <x:c r="AC1638" s="31" t="n">
        <x:v>7</x:v>
      </x:c>
      <x:c r="AD1638" s="44" t="b">
        <x:v>1</x:v>
      </x:c>
    </x:row>
    <x:row r="1639">
      <x:c r="A1639" s="31" t="str">
        <x:v>36081019000</x:v>
      </x:c>
      <x:c r="B1639" s="31" t="str">
        <x:v>Queens</x:v>
      </x:c>
      <x:c r="C1639" s="31" t="str">
        <x:v>019000</x:v>
      </x:c>
      <x:c r="D1639" s="31" t="str">
        <x:v>QN1203</x:v>
      </x:c>
      <x:c r="E1639" s="31" t="str">
        <x:v>Baisley Park</x:v>
      </x:c>
      <x:c r="F1639" s="31" t="n">
        <x:v>0.0726870448078082</x:v>
      </x:c>
      <x:c r="G1639" s="31" t="n">
        <x:v>40.68538612752688</x:v>
      </x:c>
      <x:c r="H1639" s="31" t="n">
        <x:v>-73.7952220137548</x:v>
      </x:c>
      <x:c r="I1639" s="31" t="n">
        <x:v>2445</x:v>
      </x:c>
      <x:c r="J1639" s="31" t="n">
        <x:v>33637.355961641086</x:v>
      </x:c>
      <x:c r="K1639" s="31"/>
      <x:c r="L1639" s="40"/>
      <x:c r="M1639" s="40"/>
      <x:c r="N1639" s="31" t="n">
        <x:v>502</x:v>
      </x:c>
      <x:c r="O1639" s="31" t="n">
        <x:v>638</x:v>
      </x:c>
      <x:c r="P1639" s="31" t="n">
        <x:v>2.2523510971786833</x:v>
      </x:c>
      <x:c r="Q1639" s="40" t="n">
        <x:v>0</x:v>
      </x:c>
      <x:c r="R1639" s="40" t="n">
        <x:v>0.003134796238244514</x:v>
      </x:c>
      <x:c r="S1639" s="40" t="n">
        <x:v>0.003134796238244514</x:v>
      </x:c>
      <x:c r="T1639" s="31" t="n">
        <x:v>27.106657812287068</x:v>
      </x:c>
      <x:c r="U1639" s="31" t="n">
        <x:v>34.25447645</x:v>
      </x:c>
      <x:c r="V1639" s="31" t="n">
        <x:v>0</x:v>
      </x:c>
      <x:c r="W1639" s="31" t="n">
        <x:v>0</x:v>
      </x:c>
      <x:c r="X1639" s="31" t="n">
        <x:v>4.6426332288401255</x:v>
      </x:c>
      <x:c r="Y1639" s="40" t="n">
        <x:v>1</x:v>
      </x:c>
      <x:c r="Z1639" s="40" t="n">
        <x:v>1</x:v>
      </x:c>
      <x:c r="AA1639" s="40" t="n">
        <x:v>0.9937304075235109</x:v>
      </x:c>
      <x:c r="AB1639" s="31" t="n">
        <x:v>0.3226834877089943</x:v>
      </x:c>
      <x:c r="AC1639" s="31" t="n">
        <x:v>8</x:v>
      </x:c>
      <x:c r="AD1639" s="44" t="b">
        <x:v>1</x:v>
      </x:c>
    </x:row>
    <x:row r="1640">
      <x:c r="A1640" s="31" t="str">
        <x:v>36081019200</x:v>
      </x:c>
      <x:c r="B1640" s="31" t="str">
        <x:v>Queens</x:v>
      </x:c>
      <x:c r="C1640" s="31" t="str">
        <x:v>019200</x:v>
      </x:c>
      <x:c r="D1640" s="31" t="str">
        <x:v>QN1203</x:v>
      </x:c>
      <x:c r="E1640" s="31" t="str">
        <x:v>Baisley Park</x:v>
      </x:c>
      <x:c r="F1640" s="31" t="n">
        <x:v>0.0774525507816087</x:v>
      </x:c>
      <x:c r="G1640" s="31" t="n">
        <x:v>40.68381969949531</x:v>
      </x:c>
      <x:c r="H1640" s="31" t="n">
        <x:v>-73.80062583948956</x:v>
      </x:c>
      <x:c r="I1640" s="31" t="n">
        <x:v>2359</x:v>
      </x:c>
      <x:c r="J1640" s="31" t="n">
        <x:v>30457.357132776964</x:v>
      </x:c>
      <x:c r="K1640" s="31"/>
      <x:c r="L1640" s="40"/>
      <x:c r="M1640" s="40"/>
      <x:c r="N1640" s="31" t="n">
        <x:v>518</x:v>
      </x:c>
      <x:c r="O1640" s="31" t="n">
        <x:v>674</x:v>
      </x:c>
      <x:c r="P1640" s="31" t="n">
        <x:v>2.096661721068249</x:v>
      </x:c>
      <x:c r="Q1640" s="40" t="n">
        <x:v>0</x:v>
      </x:c>
      <x:c r="R1640" s="40" t="n">
        <x:v>0.002967359050445104</x:v>
      </x:c>
      <x:c r="S1640" s="40" t="n">
        <x:v>0.004451038575667656</x:v>
      </x:c>
      <x:c r="T1640" s="31" t="n">
        <x:v>25.739731777655784</x:v>
      </x:c>
      <x:c r="U1640" s="31" t="n">
        <x:v>36.16</x:v>
      </x:c>
      <x:c r="V1640" s="31" t="n">
        <x:v>1</x:v>
      </x:c>
      <x:c r="W1640" s="31" t="n">
        <x:v>0.42390843577787196</x:v>
      </x:c>
      <x:c r="X1640" s="31" t="n">
        <x:v>4.759643916913946</x:v>
      </x:c>
      <x:c r="Y1640" s="40" t="n">
        <x:v>1</x:v>
      </x:c>
      <x:c r="Z1640" s="40" t="n">
        <x:v>1</x:v>
      </x:c>
      <x:c r="AA1640" s="40" t="n">
        <x:v>1</x:v>
      </x:c>
      <x:c r="AB1640" s="31" t="n">
        <x:v>0.020371602627195184</x:v>
      </x:c>
      <x:c r="AC1640" s="31" t="n">
        <x:v>7</x:v>
      </x:c>
      <x:c r="AD1640" s="44" t="b">
        <x:v>1</x:v>
      </x:c>
    </x:row>
    <x:row r="1641">
      <x:c r="A1641" s="31" t="str">
        <x:v>36081019400</x:v>
      </x:c>
      <x:c r="B1641" s="31" t="str">
        <x:v>Queens</x:v>
      </x:c>
      <x:c r="C1641" s="31" t="str">
        <x:v>019400</x:v>
      </x:c>
      <x:c r="D1641" s="31" t="str">
        <x:v>QN1202</x:v>
      </x:c>
      <x:c r="E1641" s="31" t="str">
        <x:v>South Jamaica</x:v>
      </x:c>
      <x:c r="F1641" s="31" t="n">
        <x:v>0.11754228787699438</x:v>
      </x:c>
      <x:c r="G1641" s="31" t="n">
        <x:v>40.68592342041672</x:v>
      </x:c>
      <x:c r="H1641" s="31" t="n">
        <x:v>-73.80345915192811</x:v>
      </x:c>
      <x:c r="I1641" s="31" t="n">
        <x:v>3015</x:v>
      </x:c>
      <x:c r="J1641" s="31" t="n">
        <x:v>25650.342991070043</x:v>
      </x:c>
      <x:c r="K1641" s="31"/>
      <x:c r="L1641" s="40"/>
      <x:c r="M1641" s="40"/>
      <x:c r="N1641" s="31" t="n">
        <x:v>628</x:v>
      </x:c>
      <x:c r="O1641" s="31" t="n">
        <x:v>863</x:v>
      </x:c>
      <x:c r="P1641" s="31" t="n">
        <x:v>2.0379258400927</x:v>
      </x:c>
      <x:c r="Q1641" s="40" t="n">
        <x:v>0</x:v>
      </x:c>
      <x:c r="R1641" s="40" t="n">
        <x:v>0</x:v>
      </x:c>
      <x:c r="S1641" s="40" t="n">
        <x:v>0.008111239860950173</x:v>
      </x:c>
      <x:c r="T1641" s="31" t="n">
        <x:v>25.353593423396674</x:v>
      </x:c>
      <x:c r="U1641" s="31" t="n">
        <x:v>35</x:v>
      </x:c>
      <x:c r="V1641" s="31" t="n">
        <x:v>0</x:v>
      </x:c>
      <x:c r="W1641" s="31" t="n">
        <x:v>0</x:v>
      </x:c>
      <x:c r="X1641" s="31" t="n">
        <x:v>4.045191193511008</x:v>
      </x:c>
      <x:c r="Y1641" s="40" t="n">
        <x:v>1</x:v>
      </x:c>
      <x:c r="Z1641" s="40" t="n">
        <x:v>1</x:v>
      </x:c>
      <x:c r="AA1641" s="40" t="n">
        <x:v>0.9756662804171495</x:v>
      </x:c>
      <x:c r="AB1641" s="31" t="n">
        <x:v>0.19535625041653337</x:v>
      </x:c>
      <x:c r="AC1641" s="31" t="n">
        <x:v>7</x:v>
      </x:c>
      <x:c r="AD1641" s="44" t="b">
        <x:v>1</x:v>
      </x:c>
    </x:row>
    <x:row r="1642">
      <x:c r="A1642" s="31" t="str">
        <x:v>36081019600</x:v>
      </x:c>
      <x:c r="B1642" s="31" t="str">
        <x:v>Queens</x:v>
      </x:c>
      <x:c r="C1642" s="31" t="str">
        <x:v>019600</x:v>
      </x:c>
      <x:c r="D1642" s="31" t="str">
        <x:v>QN1202</x:v>
      </x:c>
      <x:c r="E1642" s="31" t="str">
        <x:v>South Jamaica</x:v>
      </x:c>
      <x:c r="F1642" s="31" t="n">
        <x:v>0.08619447183195593</x:v>
      </x:c>
      <x:c r="G1642" s="31" t="n">
        <x:v>40.68947373356963</x:v>
      </x:c>
      <x:c r="H1642" s="31" t="n">
        <x:v>-73.7999076343487</x:v>
      </x:c>
      <x:c r="I1642" s="31" t="n">
        <x:v>3122</x:v>
      </x:c>
      <x:c r="J1642" s="31" t="n">
        <x:v>36220.420331441055</x:v>
      </x:c>
      <x:c r="K1642" s="31"/>
      <x:c r="L1642" s="40"/>
      <x:c r="M1642" s="40"/>
      <x:c r="N1642" s="31" t="n">
        <x:v>439</x:v>
      </x:c>
      <x:c r="O1642" s="31" t="n">
        <x:v>853</x:v>
      </x:c>
      <x:c r="P1642" s="31" t="n">
        <x:v>2.3345134818288393</x:v>
      </x:c>
      <x:c r="Q1642" s="40" t="n">
        <x:v>0</x:v>
      </x:c>
      <x:c r="R1642" s="40" t="n">
        <x:v>0.026963657678780773</x:v>
      </x:c>
      <x:c r="S1642" s="40" t="n">
        <x:v>0.015240328253223915</x:v>
      </x:c>
      <x:c r="T1642" s="31" t="n">
        <x:v>29.206685543650234</x:v>
      </x:c>
      <x:c r="U1642" s="31" t="n">
        <x:v>36.42</x:v>
      </x:c>
      <x:c r="V1642" s="31" t="n">
        <x:v>3</x:v>
      </x:c>
      <x:c r="W1642" s="31" t="n">
        <x:v>0.9609224855861628</x:v>
      </x:c>
      <x:c r="X1642" s="31" t="n">
        <x:v>4</x:v>
      </x:c>
      <x:c r="Y1642" s="40" t="n">
        <x:v>1</x:v>
      </x:c>
      <x:c r="Z1642" s="40" t="n">
        <x:v>1</x:v>
      </x:c>
      <x:c r="AA1642" s="40" t="n">
        <x:v>0.9988276670574443</x:v>
      </x:c>
      <x:c r="AB1642" s="31" t="n">
        <x:v>0.06559569025165772</x:v>
      </x:c>
      <x:c r="AC1642" s="31" t="n">
        <x:v>9</x:v>
      </x:c>
      <x:c r="AD1642" s="44" t="b">
        <x:v>1</x:v>
      </x:c>
    </x:row>
    <x:row r="1643">
      <x:c r="A1643" s="31" t="str">
        <x:v>36081019800</x:v>
      </x:c>
      <x:c r="B1643" s="31" t="str">
        <x:v>Queens</x:v>
      </x:c>
      <x:c r="C1643" s="31" t="str">
        <x:v>019800</x:v>
      </x:c>
      <x:c r="D1643" s="31" t="str">
        <x:v>QN1202</x:v>
      </x:c>
      <x:c r="E1643" s="31" t="str">
        <x:v>South Jamaica</x:v>
      </x:c>
      <x:c r="F1643" s="31" t="n">
        <x:v>0.08005355470471762</x:v>
      </x:c>
      <x:c r="G1643" s="31" t="n">
        <x:v>40.69184400422551</x:v>
      </x:c>
      <x:c r="H1643" s="31" t="n">
        <x:v>-73.80280932720596</x:v>
      </x:c>
      <x:c r="I1643" s="31" t="n">
        <x:v>3682</x:v>
      </x:c>
      <x:c r="J1643" s="31" t="n">
        <x:v>45994.2099208621</x:v>
      </x:c>
      <x:c r="K1643" s="31"/>
      <x:c r="L1643" s="40"/>
      <x:c r="M1643" s="40"/>
      <x:c r="N1643" s="31" t="n">
        <x:v>453</x:v>
      </x:c>
      <x:c r="O1643" s="31" t="n">
        <x:v>913</x:v>
      </x:c>
      <x:c r="P1643" s="31" t="n">
        <x:v>2.3663556531284304</x:v>
      </x:c>
      <x:c r="Q1643" s="40" t="n">
        <x:v>0</x:v>
      </x:c>
      <x:c r="R1643" s="40" t="n">
        <x:v>0.03285870755750274</x:v>
      </x:c>
      <x:c r="S1643" s="40" t="n">
        <x:v>0.012048192771084338</x:v>
      </x:c>
      <x:c r="T1643" s="31" t="n">
        <x:v>29.91677870589011</x:v>
      </x:c>
      <x:c r="U1643" s="31" t="n">
        <x:v>70</x:v>
      </x:c>
      <x:c r="V1643" s="31" t="n">
        <x:v>1</x:v>
      </x:c>
      <x:c r="W1643" s="31" t="n">
        <x:v>0.27159152634437805</x:v>
      </x:c>
      <x:c r="X1643" s="31" t="n">
        <x:v>4</x:v>
      </x:c>
      <x:c r="Y1643" s="40" t="n">
        <x:v>1</x:v>
      </x:c>
      <x:c r="Z1643" s="40" t="n">
        <x:v>1</x:v>
      </x:c>
      <x:c r="AA1643" s="40" t="n">
        <x:v>0.9967141292442497</x:v>
      </x:c>
      <x:c r="AB1643" s="31" t="n">
        <x:v>0.27890755221912694</x:v>
      </x:c>
      <x:c r="AC1643" s="31" t="n">
        <x:v>4</x:v>
      </x:c>
      <x:c r="AD1643" s="44" t="b">
        <x:v>1</x:v>
      </x:c>
    </x:row>
    <x:row r="1644">
      <x:c r="A1644" s="31" t="str">
        <x:v>36081019901</x:v>
      </x:c>
      <x:c r="B1644" s="31" t="str">
        <x:v>Queens</x:v>
      </x:c>
      <x:c r="C1644" s="31" t="str">
        <x:v>019901</x:v>
      </x:c>
      <x:c r="D1644" s="31" t="str">
        <x:v>QN0202</x:v>
      </x:c>
      <x:c r="E1644" s="31" t="str">
        <x:v>Sunnyside</x:v>
      </x:c>
      <x:c r="F1644" s="31" t="n">
        <x:v>0.12340936451302802</x:v>
      </x:c>
      <x:c r="G1644" s="31" t="n">
        <x:v>40.73864668168671</x:v>
      </x:c>
      <x:c r="H1644" s="31" t="n">
        <x:v>-73.93360302562752</x:v>
      </x:c>
      <x:c r="I1644" s="31" t="n">
        <x:v>1088</x:v>
      </x:c>
      <x:c r="J1644" s="31" t="n">
        <x:v>8816.186715596794</x:v>
      </x:c>
      <x:c r="K1644" s="31"/>
      <x:c r="L1644" s="40"/>
      <x:c r="M1644" s="40"/>
      <x:c r="N1644" s="31" t="n">
        <x:v>62</x:v>
      </x:c>
      <x:c r="O1644" s="31" t="n">
        <x:v>211</x:v>
      </x:c>
      <x:c r="P1644" s="31" t="n">
        <x:v>2.5545023696682465</x:v>
      </x:c>
      <x:c r="Q1644" s="40" t="n">
        <x:v>0</x:v>
      </x:c>
      <x:c r="R1644" s="40" t="n">
        <x:v>0.5734597156398105</x:v>
      </x:c>
      <x:c r="S1644" s="40" t="n">
        <x:v>0.04265402843601896</x:v>
      </x:c>
      <x:c r="T1644" s="31" t="n">
        <x:v>31.5344000128436</x:v>
      </x:c>
      <x:c r="U1644" s="31" t="n">
        <x:v>41.66073982</x:v>
      </x:c>
      <x:c r="V1644" s="31" t="n">
        <x:v>0</x:v>
      </x:c>
      <x:c r="W1644" s="31" t="n">
        <x:v>0</x:v>
      </x:c>
      <x:c r="X1644" s="31" t="n">
        <x:v>4</x:v>
      </x:c>
      <x:c r="Y1644" s="40" t="n">
        <x:v>1</x:v>
      </x:c>
      <x:c r="Z1644" s="40" t="n">
        <x:v>1</x:v>
      </x:c>
      <x:c r="AA1644" s="40" t="n">
        <x:v>1</x:v>
      </x:c>
      <x:c r="AB1644" s="31" t="n">
        <x:v>0.2639400382681528</x:v>
      </x:c>
      <x:c r="AC1644" s="31" t="n">
        <x:v>5</x:v>
      </x:c>
      <x:c r="AD1644" s="44" t="b">
        <x:v>1</x:v>
      </x:c>
    </x:row>
    <x:row r="1645">
      <x:c r="A1645" s="31" t="str">
        <x:v>36081019902</x:v>
      </x:c>
      <x:c r="B1645" s="31" t="str">
        <x:v>Queens</x:v>
      </x:c>
      <x:c r="C1645" s="31" t="str">
        <x:v>019902</x:v>
      </x:c>
      <x:c r="D1645" s="31" t="str">
        <x:v>QN0202</x:v>
      </x:c>
      <x:c r="E1645" s="31" t="str">
        <x:v>Sunnyside</x:v>
      </x:c>
      <x:c r="F1645" s="31" t="n">
        <x:v>0.24354928872101697</x:v>
      </x:c>
      <x:c r="G1645" s="31" t="n">
        <x:v>40.735791850037124</x:v>
      </x:c>
      <x:c r="H1645" s="31" t="n">
        <x:v>-73.93752219385622</x:v>
      </x:c>
      <x:c r="I1645" s="31" t="n">
        <x:v>317</x:v>
      </x:c>
      <x:c r="J1645" s="31" t="n">
        <x:v>1301.5845854640127</x:v>
      </x:c>
      <x:c r="K1645" s="31"/>
      <x:c r="L1645" s="40"/>
      <x:c r="M1645" s="40"/>
      <x:c r="N1645" s="31" t="n">
        <x:v>0</x:v>
      </x:c>
      <x:c r="O1645" s="31"/>
      <x:c r="P1645" s="31"/>
      <x:c r="Q1645" s="40"/>
      <x:c r="R1645" s="40"/>
      <x:c r="S1645" s="40"/>
      <x:c r="T1645" s="31"/>
      <x:c r="U1645" s="31"/>
      <x:c r="V1645" s="31" t="n">
        <x:v>0</x:v>
      </x:c>
      <x:c r="W1645" s="31" t="n">
        <x:v>0</x:v>
      </x:c>
      <x:c r="X1645" s="31"/>
      <x:c r="Y1645" s="40"/>
      <x:c r="Z1645" s="40"/>
      <x:c r="AA1645" s="40"/>
      <x:c r="AB1645" s="31" t="n">
        <x:v>0.44517273503460975</x:v>
      </x:c>
      <x:c r="AC1645" s="31" t="n">
        <x:v>6</x:v>
      </x:c>
      <x:c r="AD1645" s="44" t="b">
        <x:v>0</x:v>
      </x:c>
    </x:row>
    <x:row r="1646">
      <x:c r="A1646" s="31" t="str">
        <x:v>36081019903</x:v>
      </x:c>
      <x:c r="B1646" s="31" t="str">
        <x:v>Queens</x:v>
      </x:c>
      <x:c r="C1646" s="31" t="str">
        <x:v>019903</x:v>
      </x:c>
      <x:c r="D1646" s="31" t="str">
        <x:v>QN0202</x:v>
      </x:c>
      <x:c r="E1646" s="31" t="str">
        <x:v>Sunnyside</x:v>
      </x:c>
      <x:c r="F1646" s="31" t="n">
        <x:v>0.254679644549185</x:v>
      </x:c>
      <x:c r="G1646" s="31" t="n">
        <x:v>40.73304453774866</x:v>
      </x:c>
      <x:c r="H1646" s="31" t="n">
        <x:v>-73.92998706301928</x:v>
      </x:c>
      <x:c r="I1646" s="31" t="n">
        <x:v>0</x:v>
      </x:c>
      <x:c r="J1646" s="31" t="n">
        <x:v>0</x:v>
      </x:c>
      <x:c r="K1646" s="31"/>
      <x:c r="L1646" s="40"/>
      <x:c r="M1646" s="40"/>
      <x:c r="N1646" s="31" t="n">
        <x:v>0</x:v>
      </x:c>
      <x:c r="O1646" s="31"/>
      <x:c r="P1646" s="31"/>
      <x:c r="Q1646" s="40"/>
      <x:c r="R1646" s="40"/>
      <x:c r="S1646" s="40"/>
      <x:c r="T1646" s="31"/>
      <x:c r="U1646" s="31"/>
      <x:c r="V1646" s="31" t="n">
        <x:v>0</x:v>
      </x:c>
      <x:c r="W1646" s="31"/>
      <x:c r="X1646" s="31"/>
      <x:c r="Y1646" s="40"/>
      <x:c r="Z1646" s="40"/>
      <x:c r="AA1646" s="40"/>
      <x:c r="AB1646" s="31" t="n">
        <x:v>0.44631637296479587</x:v>
      </x:c>
      <x:c r="AC1646" s="31" t="n">
        <x:v>4</x:v>
      </x:c>
      <x:c r="AD1646" s="44" t="b">
        <x:v>0</x:v>
      </x:c>
    </x:row>
    <x:row r="1647">
      <x:c r="A1647" s="31" t="str">
        <x:v>36081020200</x:v>
      </x:c>
      <x:c r="B1647" s="31" t="str">
        <x:v>Queens</x:v>
      </x:c>
      <x:c r="C1647" s="31" t="str">
        <x:v>020200</x:v>
      </x:c>
      <x:c r="D1647" s="31" t="str">
        <x:v>QN1202</x:v>
      </x:c>
      <x:c r="E1647" s="31" t="str">
        <x:v>South Jamaica</x:v>
      </x:c>
      <x:c r="F1647" s="31" t="n">
        <x:v>0.058362649408861336</x:v>
      </x:c>
      <x:c r="G1647" s="31" t="n">
        <x:v>40.68976183803295</x:v>
      </x:c>
      <x:c r="H1647" s="31" t="n">
        <x:v>-73.80779382736051</x:v>
      </x:c>
      <x:c r="I1647" s="31" t="n">
        <x:v>1693</x:v>
      </x:c>
      <x:c r="J1647" s="31" t="n">
        <x:v>29008.278704752356</x:v>
      </x:c>
      <x:c r="K1647" s="31"/>
      <x:c r="L1647" s="40"/>
      <x:c r="M1647" s="40"/>
      <x:c r="N1647" s="31" t="n">
        <x:v>297</x:v>
      </x:c>
      <x:c r="O1647" s="31" t="n">
        <x:v>435</x:v>
      </x:c>
      <x:c r="P1647" s="31" t="n">
        <x:v>2.417662037037037</x:v>
      </x:c>
      <x:c r="Q1647" s="40" t="n">
        <x:v>0</x:v>
      </x:c>
      <x:c r="R1647" s="40" t="n">
        <x:v>0.04827586206896552</x:v>
      </x:c>
      <x:c r="S1647" s="40" t="n">
        <x:v>0.009195402298850575</x:v>
      </x:c>
      <x:c r="T1647" s="31" t="n">
        <x:v>29.159900057471265</x:v>
      </x:c>
      <x:c r="U1647" s="31" t="n">
        <x:v>65</x:v>
      </x:c>
      <x:c r="V1647" s="31" t="n">
        <x:v>1</x:v>
      </x:c>
      <x:c r="W1647" s="31" t="n">
        <x:v>0.5906674542232723</x:v>
      </x:c>
      <x:c r="X1647" s="31" t="n">
        <x:v>4</x:v>
      </x:c>
      <x:c r="Y1647" s="40" t="n">
        <x:v>1</x:v>
      </x:c>
      <x:c r="Z1647" s="40" t="n">
        <x:v>1</x:v>
      </x:c>
      <x:c r="AA1647" s="40" t="n">
        <x:v>1</x:v>
      </x:c>
      <x:c r="AB1647" s="31" t="n">
        <x:v>0.3578077311088719</x:v>
      </x:c>
      <x:c r="AC1647" s="31" t="n">
        <x:v>8</x:v>
      </x:c>
      <x:c r="AD1647" s="44" t="b">
        <x:v>1</x:v>
      </x:c>
    </x:row>
    <x:row r="1648">
      <x:c r="A1648" s="31" t="str">
        <x:v>36081020400</x:v>
      </x:c>
      <x:c r="B1648" s="31" t="str">
        <x:v>Queens</x:v>
      </x:c>
      <x:c r="C1648" s="31" t="str">
        <x:v>020400</x:v>
      </x:c>
      <x:c r="D1648" s="31" t="str">
        <x:v>QN1201</x:v>
      </x:c>
      <x:c r="E1648" s="31" t="str">
        <x:v>Jamaica</x:v>
      </x:c>
      <x:c r="F1648" s="31" t="n">
        <x:v>0.1107474914668704</x:v>
      </x:c>
      <x:c r="G1648" s="31" t="n">
        <x:v>40.69517241029508</x:v>
      </x:c>
      <x:c r="H1648" s="31" t="n">
        <x:v>-73.80341233567013</x:v>
      </x:c>
      <x:c r="I1648" s="31" t="n">
        <x:v>2278</x:v>
      </x:c>
      <x:c r="J1648" s="31" t="n">
        <x:v>20569.31466191677</x:v>
      </x:c>
      <x:c r="K1648" s="31"/>
      <x:c r="L1648" s="40"/>
      <x:c r="M1648" s="40"/>
      <x:c r="N1648" s="31" t="n">
        <x:v>310</x:v>
      </x:c>
      <x:c r="O1648" s="31" t="n">
        <x:v>668</x:v>
      </x:c>
      <x:c r="P1648" s="31" t="n">
        <x:v>2.778068862275449</x:v>
      </x:c>
      <x:c r="Q1648" s="40" t="n">
        <x:v>0</x:v>
      </x:c>
      <x:c r="R1648" s="40" t="n">
        <x:v>0.1721556886227545</x:v>
      </x:c>
      <x:c r="S1648" s="40" t="n">
        <x:v>0.017964071856287425</x:v>
      </x:c>
      <x:c r="T1648" s="31" t="n">
        <x:v>32.7571605272466</x:v>
      </x:c>
      <x:c r="U1648" s="31" t="n">
        <x:v>70</x:v>
      </x:c>
      <x:c r="V1648" s="31" t="n">
        <x:v>4</x:v>
      </x:c>
      <x:c r="W1648" s="31" t="n">
        <x:v>1.7559262510974538</x:v>
      </x:c>
      <x:c r="X1648" s="31" t="n">
        <x:v>4</x:v>
      </x:c>
      <x:c r="Y1648" s="40" t="n">
        <x:v>1</x:v>
      </x:c>
      <x:c r="Z1648" s="40" t="n">
        <x:v>1</x:v>
      </x:c>
      <x:c r="AA1648" s="40" t="n">
        <x:v>0.9895209580838323</x:v>
      </x:c>
      <x:c r="AB1648" s="31" t="n">
        <x:v>0.17787867343055777</x:v>
      </x:c>
      <x:c r="AC1648" s="31" t="n">
        <x:v>7</x:v>
      </x:c>
      <x:c r="AD1648" s="44" t="b">
        <x:v>1</x:v>
      </x:c>
    </x:row>
    <x:row r="1649">
      <x:c r="A1649" s="31" t="str">
        <x:v>36081020500</x:v>
      </x:c>
      <x:c r="B1649" s="31" t="str">
        <x:v>Queens</x:v>
      </x:c>
      <x:c r="C1649" s="31" t="str">
        <x:v>020500</x:v>
      </x:c>
      <x:c r="D1649" s="31" t="str">
        <x:v>QN0202</x:v>
      </x:c>
      <x:c r="E1649" s="31" t="str">
        <x:v>Sunnyside</x:v>
      </x:c>
      <x:c r="F1649" s="31" t="n">
        <x:v>0.21843785410497019</x:v>
      </x:c>
      <x:c r="G1649" s="31" t="n">
        <x:v>40.73036959504043</x:v>
      </x:c>
      <x:c r="H1649" s="31" t="n">
        <x:v>-73.92164180768627</x:v>
      </x:c>
      <x:c r="I1649" s="31" t="n">
        <x:v>1184</x:v>
      </x:c>
      <x:c r="J1649" s="31" t="n">
        <x:v>5420.305948578993</x:v>
      </x:c>
      <x:c r="K1649" s="31"/>
      <x:c r="L1649" s="40"/>
      <x:c r="M1649" s="40"/>
      <x:c r="N1649" s="31" t="n">
        <x:v>164</x:v>
      </x:c>
      <x:c r="O1649" s="31" t="n">
        <x:v>358</x:v>
      </x:c>
      <x:c r="P1649" s="31" t="n">
        <x:v>2.2709497206703912</x:v>
      </x:c>
      <x:c r="Q1649" s="40" t="n">
        <x:v>0</x:v>
      </x:c>
      <x:c r="R1649" s="40" t="n">
        <x:v>0.18435754189944134</x:v>
      </x:c>
      <x:c r="S1649" s="40" t="n">
        <x:v>0.008379888268156424</x:v>
      </x:c>
      <x:c r="T1649" s="31" t="n">
        <x:v>31.778571428571432</x:v>
      </x:c>
      <x:c r="U1649" s="31" t="n">
        <x:v>56.27</x:v>
      </x:c>
      <x:c r="V1649" s="31" t="n">
        <x:v>0</x:v>
      </x:c>
      <x:c r="W1649" s="31" t="n">
        <x:v>0</x:v>
      </x:c>
      <x:c r="X1649" s="31" t="n">
        <x:v>3</x:v>
      </x:c>
      <x:c r="Y1649" s="40" t="n">
        <x:v>0</x:v>
      </x:c>
      <x:c r="Z1649" s="40" t="n">
        <x:v>1</x:v>
      </x:c>
      <x:c r="AA1649" s="40" t="n">
        <x:v>0.9972067039106145</x:v>
      </x:c>
      <x:c r="AB1649" s="31" t="n">
        <x:v>0.4524312028670151</x:v>
      </x:c>
      <x:c r="AC1649" s="31" t="n">
        <x:v>6</x:v>
      </x:c>
      <x:c r="AD1649" s="44" t="b">
        <x:v>1</x:v>
      </x:c>
    </x:row>
    <x:row r="1650">
      <x:c r="A1650" s="31" t="str">
        <x:v>36081020600</x:v>
      </x:c>
      <x:c r="B1650" s="31" t="str">
        <x:v>Queens</x:v>
      </x:c>
      <x:c r="C1650" s="31" t="str">
        <x:v>020600</x:v>
      </x:c>
      <x:c r="D1650" s="31" t="str">
        <x:v>QN1201</x:v>
      </x:c>
      <x:c r="E1650" s="31" t="str">
        <x:v>Jamaica</x:v>
      </x:c>
      <x:c r="F1650" s="31" t="n">
        <x:v>0.05725070728521006</x:v>
      </x:c>
      <x:c r="G1650" s="31" t="n">
        <x:v>40.69434503555568</x:v>
      </x:c>
      <x:c r="H1650" s="31" t="n">
        <x:v>-73.80922448249092</x:v>
      </x:c>
      <x:c r="I1650" s="31" t="n">
        <x:v>2046</x:v>
      </x:c>
      <x:c r="J1650" s="31" t="n">
        <x:v>35737.54975300639</x:v>
      </x:c>
      <x:c r="K1650" s="31"/>
      <x:c r="L1650" s="40"/>
      <x:c r="M1650" s="40"/>
      <x:c r="N1650" s="31" t="n">
        <x:v>264</x:v>
      </x:c>
      <x:c r="O1650" s="31" t="n">
        <x:v>560</x:v>
      </x:c>
      <x:c r="P1650" s="31" t="n">
        <x:v>2.591276978417266</x:v>
      </x:c>
      <x:c r="Q1650" s="40" t="n">
        <x:v>0</x:v>
      </x:c>
      <x:c r="R1650" s="40" t="n">
        <x:v>0.26785714285714285</x:v>
      </x:c>
      <x:c r="S1650" s="40" t="n">
        <x:v>0.019642857142857142</x:v>
      </x:c>
      <x:c r="T1650" s="31" t="n">
        <x:v>30.68059178290203</x:v>
      </x:c>
      <x:c r="U1650" s="31" t="n">
        <x:v>70</x:v>
      </x:c>
      <x:c r="V1650" s="31" t="n">
        <x:v>3</x:v>
      </x:c>
      <x:c r="W1650" s="31" t="n">
        <x:v>1.466275659824047</x:v>
      </x:c>
      <x:c r="X1650" s="31" t="n">
        <x:v>4</x:v>
      </x:c>
      <x:c r="Y1650" s="40" t="n">
        <x:v>1</x:v>
      </x:c>
      <x:c r="Z1650" s="40" t="n">
        <x:v>1</x:v>
      </x:c>
      <x:c r="AA1650" s="40" t="n">
        <x:v>0.9660714285714286</x:v>
      </x:c>
      <x:c r="AB1650" s="31" t="n">
        <x:v>0.13382684376652454</x:v>
      </x:c>
      <x:c r="AC1650" s="31" t="n">
        <x:v>5</x:v>
      </x:c>
      <x:c r="AD1650" s="44" t="b">
        <x:v>1</x:v>
      </x:c>
    </x:row>
    <x:row r="1651">
      <x:c r="A1651" s="31" t="str">
        <x:v>36081020800</x:v>
      </x:c>
      <x:c r="B1651" s="31" t="str">
        <x:v>Queens</x:v>
      </x:c>
      <x:c r="C1651" s="31" t="str">
        <x:v>020800</x:v>
      </x:c>
      <x:c r="D1651" s="31" t="str">
        <x:v>QN1201</x:v>
      </x:c>
      <x:c r="E1651" s="31" t="str">
        <x:v>Jamaica</x:v>
      </x:c>
      <x:c r="F1651" s="31" t="n">
        <x:v>0.20959891106376263</x:v>
      </x:c>
      <x:c r="G1651" s="31" t="n">
        <x:v>40.698387799817546</x:v>
      </x:c>
      <x:c r="H1651" s="31" t="n">
        <x:v>-73.80687329242636</x:v>
      </x:c>
      <x:c r="I1651" s="31" t="n">
        <x:v>3513</x:v>
      </x:c>
      <x:c r="J1651" s="31" t="n">
        <x:v>16760.583259572857</x:v>
      </x:c>
      <x:c r="K1651" s="31"/>
      <x:c r="L1651" s="40"/>
      <x:c r="M1651" s="40"/>
      <x:c r="N1651" s="31" t="n">
        <x:v>368</x:v>
      </x:c>
      <x:c r="O1651" s="31" t="n">
        <x:v>3391</x:v>
      </x:c>
      <x:c r="P1651" s="31" t="n">
        <x:v>19.263927622841965</x:v>
      </x:c>
      <x:c r="Q1651" s="40" t="n">
        <x:v>0.6767915069301091</x:v>
      </x:c>
      <x:c r="R1651" s="40" t="n">
        <x:v>0.02506635210852256</x:v>
      </x:c>
      <x:c r="S1651" s="40" t="n">
        <x:v>0.004718372161604247</x:v>
      </x:c>
      <x:c r="T1651" s="31" t="n">
        <x:v>205.8666382863577</x:v>
      </x:c>
      <x:c r="U1651" s="31" t="n">
        <x:v>319</x:v>
      </x:c>
      <x:c r="V1651" s="31" t="n">
        <x:v>29</x:v>
      </x:c>
      <x:c r="W1651" s="31" t="n">
        <x:v>8.255052661542841</x:v>
      </x:c>
      <x:c r="X1651" s="31" t="n">
        <x:v>4</x:v>
      </x:c>
      <x:c r="Y1651" s="40" t="n">
        <x:v>1</x:v>
      </x:c>
      <x:c r="Z1651" s="40" t="n">
        <x:v>1</x:v>
      </x:c>
      <x:c r="AA1651" s="40" t="n">
        <x:v>0.9958714243585963</x:v>
      </x:c>
      <x:c r="AB1651" s="31" t="n">
        <x:v>0.24144386935016432</x:v>
      </x:c>
      <x:c r="AC1651" s="31" t="n">
        <x:v>7</x:v>
      </x:c>
      <x:c r="AD1651" s="44" t="b">
        <x:v>1</x:v>
      </x:c>
    </x:row>
    <x:row r="1652">
      <x:c r="A1652" s="31" t="str">
        <x:v>36081021200</x:v>
      </x:c>
      <x:c r="B1652" s="31" t="str">
        <x:v>Queens</x:v>
      </x:c>
      <x:c r="C1652" s="31" t="str">
        <x:v>021200</x:v>
      </x:c>
      <x:c r="D1652" s="31" t="str">
        <x:v>QN1201</x:v>
      </x:c>
      <x:c r="E1652" s="31" t="str">
        <x:v>Jamaica</x:v>
      </x:c>
      <x:c r="F1652" s="31" t="n">
        <x:v>0.09249155807973199</x:v>
      </x:c>
      <x:c r="G1652" s="31" t="n">
        <x:v>40.700902833814965</x:v>
      </x:c>
      <x:c r="H1652" s="31" t="n">
        <x:v>-73.81162339007253</x:v>
      </x:c>
      <x:c r="I1652" s="31" t="n">
        <x:v>2812</x:v>
      </x:c>
      <x:c r="J1652" s="31" t="n">
        <x:v>30402.774678916387</x:v>
      </x:c>
      <x:c r="K1652" s="31"/>
      <x:c r="L1652" s="40"/>
      <x:c r="M1652" s="40"/>
      <x:c r="N1652" s="31" t="n">
        <x:v>237</x:v>
      </x:c>
      <x:c r="O1652" s="31" t="n">
        <x:v>691</x:v>
      </x:c>
      <x:c r="P1652" s="31" t="n">
        <x:v>2.9848046309696095</x:v>
      </x:c>
      <x:c r="Q1652" s="40" t="n">
        <x:v>0</x:v>
      </x:c>
      <x:c r="R1652" s="40" t="n">
        <x:v>0.4153400868306802</x:v>
      </x:c>
      <x:c r="S1652" s="40" t="n">
        <x:v>0.024602026049204053</x:v>
      </x:c>
      <x:c r="T1652" s="31" t="n">
        <x:v>35.076762937587205</x:v>
      </x:c>
      <x:c r="U1652" s="31" t="n">
        <x:v>66.97</x:v>
      </x:c>
      <x:c r="V1652" s="31" t="n">
        <x:v>1</x:v>
      </x:c>
      <x:c r="W1652" s="31" t="n">
        <x:v>0.3556187766714083</x:v>
      </x:c>
      <x:c r="X1652" s="31" t="n">
        <x:v>4</x:v>
      </x:c>
      <x:c r="Y1652" s="40" t="n">
        <x:v>1</x:v>
      </x:c>
      <x:c r="Z1652" s="40" t="n">
        <x:v>1</x:v>
      </x:c>
      <x:c r="AA1652" s="40" t="n">
        <x:v>0.9956584659913169</x:v>
      </x:c>
      <x:c r="AB1652" s="31" t="n">
        <x:v>0.20176721298037043</x:v>
      </x:c>
      <x:c r="AC1652" s="31" t="n">
        <x:v>5</x:v>
      </x:c>
      <x:c r="AD1652" s="44" t="b">
        <x:v>1</x:v>
      </x:c>
    </x:row>
    <x:row r="1653">
      <x:c r="A1653" s="31" t="str">
        <x:v>36081021400</x:v>
      </x:c>
      <x:c r="B1653" s="31" t="str">
        <x:v>Queens</x:v>
      </x:c>
      <x:c r="C1653" s="31" t="str">
        <x:v>021400</x:v>
      </x:c>
      <x:c r="D1653" s="31" t="str">
        <x:v>QN0805</x:v>
      </x:c>
      <x:c r="E1653" s="31" t="str">
        <x:v>Jamaica Hills-Briarwood</x:v>
      </x:c>
      <x:c r="F1653" s="31" t="n">
        <x:v>0.1463278747743773</x:v>
      </x:c>
      <x:c r="G1653" s="31" t="n">
        <x:v>40.70606191944424</x:v>
      </x:c>
      <x:c r="H1653" s="31" t="n">
        <x:v>-73.81518728154165</x:v>
      </x:c>
      <x:c r="I1653" s="31" t="n">
        <x:v>6673</x:v>
      </x:c>
      <x:c r="J1653" s="31" t="n">
        <x:v>45603.06783850368</x:v>
      </x:c>
      <x:c r="K1653" s="31"/>
      <x:c r="L1653" s="40"/>
      <x:c r="M1653" s="40"/>
      <x:c r="N1653" s="31" t="n">
        <x:v>559</x:v>
      </x:c>
      <x:c r="O1653" s="31" t="n">
        <x:v>2284</x:v>
      </x:c>
      <x:c r="P1653" s="31" t="n">
        <x:v>4.454734765453749</x:v>
      </x:c>
      <x:c r="Q1653" s="40" t="n">
        <x:v>0</x:v>
      </x:c>
      <x:c r="R1653" s="40" t="n">
        <x:v>0.6339754816112084</x:v>
      </x:c>
      <x:c r="S1653" s="40" t="n">
        <x:v>0.05779334500875657</x:v>
      </x:c>
      <x:c r="T1653" s="31" t="n">
        <x:v>48.88982988376538</x:v>
      </x:c>
      <x:c r="U1653" s="31" t="n">
        <x:v>75</x:v>
      </x:c>
      <x:c r="V1653" s="31" t="n">
        <x:v>31</x:v>
      </x:c>
      <x:c r="W1653" s="31" t="n">
        <x:v>4.64558669264199</x:v>
      </x:c>
      <x:c r="X1653" s="31" t="n">
        <x:v>4</x:v>
      </x:c>
      <x:c r="Y1653" s="40" t="n">
        <x:v>1</x:v>
      </x:c>
      <x:c r="Z1653" s="40" t="n">
        <x:v>1</x:v>
      </x:c>
      <x:c r="AA1653" s="40" t="n">
        <x:v>0.9964973730297724</x:v>
      </x:c>
      <x:c r="AB1653" s="31" t="n">
        <x:v>0.22045421528896741</x:v>
      </x:c>
      <x:c r="AC1653" s="31" t="n">
        <x:v>7</x:v>
      </x:c>
      <x:c r="AD1653" s="44" t="b">
        <x:v>1</x:v>
      </x:c>
    </x:row>
    <x:row r="1654">
      <x:c r="A1654" s="31" t="str">
        <x:v>36081021601</x:v>
      </x:c>
      <x:c r="B1654" s="31" t="str">
        <x:v>Queens</x:v>
      </x:c>
      <x:c r="C1654" s="31" t="str">
        <x:v>021601</x:v>
      </x:c>
      <x:c r="D1654" s="31" t="str">
        <x:v>QN0901</x:v>
      </x:c>
      <x:c r="E1654" s="31" t="str">
        <x:v>Kew Gardens</x:v>
      </x:c>
      <x:c r="F1654" s="31" t="n">
        <x:v>0.0880474376122733</x:v>
      </x:c>
      <x:c r="G1654" s="31" t="n">
        <x:v>40.713027374456175</x:v>
      </x:c>
      <x:c r="H1654" s="31" t="n">
        <x:v>-73.82653068797276</x:v>
      </x:c>
      <x:c r="I1654" s="31" t="n">
        <x:v>2678</x:v>
      </x:c>
      <x:c r="J1654" s="31" t="n">
        <x:v>30415.422329413737</x:v>
      </x:c>
      <x:c r="K1654" s="31"/>
      <x:c r="L1654" s="40"/>
      <x:c r="M1654" s="40"/>
      <x:c r="N1654" s="31" t="n">
        <x:v>26</x:v>
      </x:c>
      <x:c r="O1654" s="31" t="n">
        <x:v>1352</x:v>
      </x:c>
      <x:c r="P1654" s="31" t="n">
        <x:v>13.714312130177515</x:v>
      </x:c>
      <x:c r="Q1654" s="40" t="n">
        <x:v>0.5835798816568047</x:v>
      </x:c>
      <x:c r="R1654" s="40" t="n">
        <x:v>0.41124260355029585</x:v>
      </x:c>
      <x:c r="S1654" s="40" t="n">
        <x:v>0</x:v>
      </x:c>
      <x:c r="T1654" s="31" t="n">
        <x:v>124.01423809253697</x:v>
      </x:c>
      <x:c r="U1654" s="31" t="n">
        <x:v>229</x:v>
      </x:c>
      <x:c r="V1654" s="31" t="n">
        <x:v>26</x:v>
      </x:c>
      <x:c r="W1654" s="31" t="n">
        <x:v>9.70873786407767</x:v>
      </x:c>
      <x:c r="X1654" s="31" t="n">
        <x:v>2</x:v>
      </x:c>
      <x:c r="Y1654" s="40" t="n">
        <x:v>0</x:v>
      </x:c>
      <x:c r="Z1654" s="40" t="n">
        <x:v>1</x:v>
      </x:c>
      <x:c r="AA1654" s="40" t="n">
        <x:v>1</x:v>
      </x:c>
      <x:c r="AB1654" s="31" t="n">
        <x:v>0.1184663116498404</x:v>
      </x:c>
      <x:c r="AC1654" s="31" t="n">
        <x:v>5</x:v>
      </x:c>
      <x:c r="AD1654" s="44" t="b">
        <x:v>1</x:v>
      </x:c>
    </x:row>
    <x:row r="1655">
      <x:c r="A1655" s="31" t="str">
        <x:v>36081021602</x:v>
      </x:c>
      <x:c r="B1655" s="31" t="str">
        <x:v>Queens</x:v>
      </x:c>
      <x:c r="C1655" s="31" t="str">
        <x:v>021602</x:v>
      </x:c>
      <x:c r="D1655" s="31" t="str">
        <x:v>QN0901</x:v>
      </x:c>
      <x:c r="E1655" s="31" t="str">
        <x:v>Kew Gardens</x:v>
      </x:c>
      <x:c r="F1655" s="31" t="n">
        <x:v>0.04331832792556244</x:v>
      </x:c>
      <x:c r="G1655" s="31" t="n">
        <x:v>40.70439811011028</x:v>
      </x:c>
      <x:c r="H1655" s="31" t="n">
        <x:v>-73.81926655632807</x:v>
      </x:c>
      <x:c r="I1655" s="31" t="n">
        <x:v>1506</x:v>
      </x:c>
      <x:c r="J1655" s="31" t="n">
        <x:v>34765.88483719611</x:v>
      </x:c>
      <x:c r="K1655" s="31"/>
      <x:c r="L1655" s="40"/>
      <x:c r="M1655" s="40"/>
      <x:c r="N1655" s="31" t="n">
        <x:v>164</x:v>
      </x:c>
      <x:c r="O1655" s="31" t="n">
        <x:v>525</x:v>
      </x:c>
      <x:c r="P1655" s="31" t="n">
        <x:v>4.0790476190476195</x:v>
      </x:c>
      <x:c r="Q1655" s="40" t="n">
        <x:v>0</x:v>
      </x:c>
      <x:c r="R1655" s="40" t="n">
        <x:v>0.48</x:v>
      </x:c>
      <x:c r="S1655" s="40" t="n">
        <x:v>0.0019047619047619048</x:v>
      </x:c>
      <x:c r="T1655" s="31" t="n">
        <x:v>44.42374855998095</x:v>
      </x:c>
      <x:c r="U1655" s="31" t="n">
        <x:v>80</x:v>
      </x:c>
      <x:c r="V1655" s="31" t="n">
        <x:v>6</x:v>
      </x:c>
      <x:c r="W1655" s="31" t="n">
        <x:v>3.9840637450199203</x:v>
      </x:c>
      <x:c r="X1655" s="31" t="n">
        <x:v>3</x:v>
      </x:c>
      <x:c r="Y1655" s="40" t="n">
        <x:v>0</x:v>
      </x:c>
      <x:c r="Z1655" s="40" t="n">
        <x:v>1</x:v>
      </x:c>
      <x:c r="AA1655" s="40" t="n">
        <x:v>1</x:v>
      </x:c>
      <x:c r="AB1655" s="31" t="n">
        <x:v>0.20434500995858262</x:v>
      </x:c>
      <x:c r="AC1655" s="31" t="n">
        <x:v>6</x:v>
      </x:c>
      <x:c r="AD1655" s="44" t="b">
        <x:v>1</x:v>
      </x:c>
    </x:row>
    <x:row r="1656">
      <x:c r="A1656" s="31" t="str">
        <x:v>36081021603</x:v>
      </x:c>
      <x:c r="B1656" s="31" t="str">
        <x:v>Queens</x:v>
      </x:c>
      <x:c r="C1656" s="31" t="str">
        <x:v>021603</x:v>
      </x:c>
      <x:c r="D1656" s="31" t="str">
        <x:v>QN0901</x:v>
      </x:c>
      <x:c r="E1656" s="31" t="str">
        <x:v>Kew Gardens</x:v>
      </x:c>
      <x:c r="F1656" s="31" t="n">
        <x:v>0.11596323157856979</x:v>
      </x:c>
      <x:c r="G1656" s="31" t="n">
        <x:v>40.70858020987553</x:v>
      </x:c>
      <x:c r="H1656" s="31" t="n">
        <x:v>-73.82304814981451</x:v>
      </x:c>
      <x:c r="I1656" s="31" t="n">
        <x:v>0</x:v>
      </x:c>
      <x:c r="J1656" s="31" t="n">
        <x:v>0</x:v>
      </x:c>
      <x:c r="K1656" s="31"/>
      <x:c r="L1656" s="40"/>
      <x:c r="M1656" s="40"/>
      <x:c r="N1656" s="31" t="n">
        <x:v>0</x:v>
      </x:c>
      <x:c r="O1656" s="31"/>
      <x:c r="P1656" s="31"/>
      <x:c r="Q1656" s="40"/>
      <x:c r="R1656" s="40"/>
      <x:c r="S1656" s="40"/>
      <x:c r="T1656" s="31"/>
      <x:c r="U1656" s="31"/>
      <x:c r="V1656" s="31" t="n">
        <x:v>0</x:v>
      </x:c>
      <x:c r="W1656" s="31"/>
      <x:c r="X1656" s="31"/>
      <x:c r="Y1656" s="40"/>
      <x:c r="Z1656" s="40"/>
      <x:c r="AA1656" s="40"/>
      <x:c r="AB1656" s="31" t="n">
        <x:v>0.21375730969902831</x:v>
      </x:c>
      <x:c r="AC1656" s="31" t="n">
        <x:v>1</x:v>
      </x:c>
      <x:c r="AD1656" s="44" t="b">
        <x:v>0</x:v>
      </x:c>
    </x:row>
    <x:row r="1657">
      <x:c r="A1657" s="31" t="str">
        <x:v>36081021900</x:v>
      </x:c>
      <x:c r="B1657" s="31" t="str">
        <x:v>Queens</x:v>
      </x:c>
      <x:c r="C1657" s="31" t="str">
        <x:v>021900</x:v>
      </x:c>
      <x:c r="D1657" s="31" t="str">
        <x:v>QN0501</x:v>
      </x:c>
      <x:c r="E1657" s="31" t="str">
        <x:v>Maspeth</x:v>
      </x:c>
      <x:c r="F1657" s="31" t="n">
        <x:v>0.4952689840162994</x:v>
      </x:c>
      <x:c r="G1657" s="31" t="n">
        <x:v>40.723519043163435</x:v>
      </x:c>
      <x:c r="H1657" s="31" t="n">
        <x:v>-73.9177187306001</x:v>
      </x:c>
      <x:c r="I1657" s="31" t="n">
        <x:v>31</x:v>
      </x:c>
      <x:c r="J1657" s="31" t="n">
        <x:v>62.592249869173685</x:v>
      </x:c>
      <x:c r="K1657" s="31"/>
      <x:c r="L1657" s="40"/>
      <x:c r="M1657" s="40"/>
      <x:c r="N1657" s="31" t="n">
        <x:v>1</x:v>
      </x:c>
      <x:c r="O1657" s="31" t="n">
        <x:v>1</x:v>
      </x:c>
      <x:c r="P1657" s="31" t="n">
        <x:v>2</x:v>
      </x:c>
      <x:c r="Q1657" s="40" t="n">
        <x:v>0</x:v>
      </x:c>
      <x:c r="R1657" s="40" t="n">
        <x:v>0</x:v>
      </x:c>
      <x:c r="S1657" s="40" t="n">
        <x:v>1</x:v>
      </x:c>
      <x:c r="T1657" s="31" t="n">
        <x:v>55.11</x:v>
      </x:c>
      <x:c r="U1657" s="31" t="n">
        <x:v>55.11</x:v>
      </x:c>
      <x:c r="V1657" s="31" t="n">
        <x:v>0</x:v>
      </x:c>
      <x:c r="W1657" s="31" t="n">
        <x:v>0</x:v>
      </x:c>
      <x:c r="X1657" s="31" t="n">
        <x:v>3</x:v>
      </x:c>
      <x:c r="Y1657" s="40" t="n">
        <x:v>0</x:v>
      </x:c>
      <x:c r="Z1657" s="40" t="n">
        <x:v>1</x:v>
      </x:c>
      <x:c r="AA1657" s="40" t="n">
        <x:v>1</x:v>
      </x:c>
      <x:c r="AB1657" s="31" t="n">
        <x:v>0.4557073609289624</x:v>
      </x:c>
      <x:c r="AC1657" s="31" t="n">
        <x:v>9</x:v>
      </x:c>
      <x:c r="AD1657" s="44" t="b">
        <x:v>1</x:v>
      </x:c>
    </x:row>
    <x:row r="1658">
      <x:c r="A1658" s="31" t="str">
        <x:v>36081022001</x:v>
      </x:c>
      <x:c r="B1658" s="31" t="str">
        <x:v>Queens</x:v>
      </x:c>
      <x:c r="C1658" s="31" t="str">
        <x:v>022001</x:v>
      </x:c>
      <x:c r="D1658" s="31" t="str">
        <x:v>QN0805</x:v>
      </x:c>
      <x:c r="E1658" s="31" t="str">
        <x:v>Jamaica Hills-Briarwood</x:v>
      </x:c>
      <x:c r="F1658" s="31" t="n">
        <x:v>0.1510894882794565</x:v>
      </x:c>
      <x:c r="G1658" s="31" t="n">
        <x:v>40.71357770279905</x:v>
      </x:c>
      <x:c r="H1658" s="31" t="n">
        <x:v>-73.8206172393627</x:v>
      </x:c>
      <x:c r="I1658" s="31" t="n">
        <x:v>6551</x:v>
      </x:c>
      <x:c r="J1658" s="31" t="n">
        <x:v>43358.410135609236</x:v>
      </x:c>
      <x:c r="K1658" s="31"/>
      <x:c r="L1658" s="40"/>
      <x:c r="M1658" s="40"/>
      <x:c r="N1658" s="31" t="n">
        <x:v>260</x:v>
      </x:c>
      <x:c r="O1658" s="31" t="n">
        <x:v>3068</x:v>
      </x:c>
      <x:c r="P1658" s="31" t="n">
        <x:v>5.5634778357235986</x:v>
      </x:c>
      <x:c r="Q1658" s="40" t="n">
        <x:v>0</x:v>
      </x:c>
      <x:c r="R1658" s="40" t="n">
        <x:v>0.9054758800521513</x:v>
      </x:c>
      <x:c r="S1658" s="40" t="n">
        <x:v>0.09485006518904825</x:v>
      </x:c>
      <x:c r="T1658" s="31" t="n">
        <x:v>63.80893961838686</x:v>
      </x:c>
      <x:c r="U1658" s="31" t="n">
        <x:v>80.13572271</x:v>
      </x:c>
      <x:c r="V1658" s="31" t="n">
        <x:v>60</x:v>
      </x:c>
      <x:c r="W1658" s="31" t="n">
        <x:v>9.158907037093574</x:v>
      </x:c>
      <x:c r="X1658" s="31" t="n">
        <x:v>4</x:v>
      </x:c>
      <x:c r="Y1658" s="40" t="n">
        <x:v>1</x:v>
      </x:c>
      <x:c r="Z1658" s="40" t="n">
        <x:v>1</x:v>
      </x:c>
      <x:c r="AA1658" s="40" t="n">
        <x:v>0.8930899608865711</x:v>
      </x:c>
      <x:c r="AB1658" s="31" t="n">
        <x:v>0.2514455938970863</x:v>
      </x:c>
      <x:c r="AC1658" s="31" t="n">
        <x:v>1</x:v>
      </x:c>
      <x:c r="AD1658" s="44" t="b">
        <x:v>1</x:v>
      </x:c>
    </x:row>
    <x:row r="1659">
      <x:c r="A1659" s="31" t="str">
        <x:v>36081022002</x:v>
      </x:c>
      <x:c r="B1659" s="31" t="str">
        <x:v>Queens</x:v>
      </x:c>
      <x:c r="C1659" s="31" t="str">
        <x:v>022002</x:v>
      </x:c>
      <x:c r="D1659" s="31" t="str">
        <x:v>QN0805</x:v>
      </x:c>
      <x:c r="E1659" s="31" t="str">
        <x:v>Jamaica Hills-Briarwood</x:v>
      </x:c>
      <x:c r="F1659" s="31" t="n">
        <x:v>0.11872791300397441</x:v>
      </x:c>
      <x:c r="G1659" s="31" t="n">
        <x:v>40.713212000326905</x:v>
      </x:c>
      <x:c r="H1659" s="31" t="n">
        <x:v>-73.81445158825278</x:v>
      </x:c>
      <x:c r="I1659" s="31" t="n">
        <x:v>6010</x:v>
      </x:c>
      <x:c r="J1659" s="31" t="n">
        <x:v>50619.941410060965</x:v>
      </x:c>
      <x:c r="K1659" s="31"/>
      <x:c r="L1659" s="40"/>
      <x:c r="M1659" s="40"/>
      <x:c r="N1659" s="31" t="n">
        <x:v>507</x:v>
      </x:c>
      <x:c r="O1659" s="31" t="n">
        <x:v>2679</x:v>
      </x:c>
      <x:c r="P1659" s="31" t="n">
        <x:v>5.592713699141471</x:v>
      </x:c>
      <x:c r="Q1659" s="40" t="n">
        <x:v>0.08324001493094438</x:v>
      </x:c>
      <x:c r="R1659" s="40" t="n">
        <x:v>0.7364688316536021</x:v>
      </x:c>
      <x:c r="S1659" s="40" t="n">
        <x:v>0.06494960806270997</x:v>
      </x:c>
      <x:c r="T1659" s="31" t="n">
        <x:v>57.691137071134754</x:v>
      </x:c>
      <x:c r="U1659" s="31" t="n">
        <x:v>120</x:v>
      </x:c>
      <x:c r="V1659" s="31" t="n">
        <x:v>34</x:v>
      </x:c>
      <x:c r="W1659" s="31" t="n">
        <x:v>5.657237936772047</x:v>
      </x:c>
      <x:c r="X1659" s="31" t="n">
        <x:v>4</x:v>
      </x:c>
      <x:c r="Y1659" s="40" t="n">
        <x:v>1</x:v>
      </x:c>
      <x:c r="Z1659" s="40" t="n">
        <x:v>1</x:v>
      </x:c>
      <x:c r="AA1659" s="40" t="n">
        <x:v>1</x:v>
      </x:c>
      <x:c r="AB1659" s="31" t="n">
        <x:v>0.21342362855456923</x:v>
      </x:c>
      <x:c r="AC1659" s="31" t="n">
        <x:v>5</x:v>
      </x:c>
      <x:c r="AD1659" s="44" t="b">
        <x:v>1</x:v>
      </x:c>
    </x:row>
    <x:row r="1660">
      <x:c r="A1660" s="31" t="str">
        <x:v>36081022900</x:v>
      </x:c>
      <x:c r="B1660" s="31" t="str">
        <x:v>Queens</x:v>
      </x:c>
      <x:c r="C1660" s="31" t="str">
        <x:v>022900</x:v>
      </x:c>
      <x:c r="D1660" s="31" t="str">
        <x:v>QN0271</x:v>
      </x:c>
      <x:c r="E1660" s="31" t="str">
        <x:v>Calvary &amp; Mount Zion Cemeteries</x:v>
      </x:c>
      <x:c r="F1660" s="31" t="n">
        <x:v>0.5126485020840507</x:v>
      </x:c>
      <x:c r="G1660" s="31" t="n">
        <x:v>40.73429565575548</x:v>
      </x:c>
      <x:c r="H1660" s="31" t="n">
        <x:v>-73.91137504248313</x:v>
      </x:c>
      <x:c r="I1660" s="31" t="n">
        <x:v>0</x:v>
      </x:c>
      <x:c r="J1660" s="31" t="n">
        <x:v>0</x:v>
      </x:c>
      <x:c r="K1660" s="31"/>
      <x:c r="L1660" s="40"/>
      <x:c r="M1660" s="40"/>
      <x:c r="N1660" s="31" t="n">
        <x:v>0</x:v>
      </x:c>
      <x:c r="O1660" s="31"/>
      <x:c r="P1660" s="31"/>
      <x:c r="Q1660" s="40"/>
      <x:c r="R1660" s="40"/>
      <x:c r="S1660" s="40"/>
      <x:c r="T1660" s="31"/>
      <x:c r="U1660" s="31"/>
      <x:c r="V1660" s="31" t="n">
        <x:v>0</x:v>
      </x:c>
      <x:c r="W1660" s="31"/>
      <x:c r="X1660" s="31"/>
      <x:c r="Y1660" s="40"/>
      <x:c r="Z1660" s="40"/>
      <x:c r="AA1660" s="40"/>
      <x:c r="AB1660" s="31" t="n">
        <x:v>0.5646292184042702</x:v>
      </x:c>
      <x:c r="AC1660" s="31" t="n">
        <x:v>12</x:v>
      </x:c>
      <x:c r="AD1660" s="44" t="b">
        <x:v>0</x:v>
      </x:c>
    </x:row>
    <x:row r="1661">
      <x:c r="A1661" s="31" t="str">
        <x:v>36081023000</x:v>
      </x:c>
      <x:c r="B1661" s="31" t="str">
        <x:v>Queens</x:v>
      </x:c>
      <x:c r="C1661" s="31" t="str">
        <x:v>023000</x:v>
      </x:c>
      <x:c r="D1661" s="31" t="str">
        <x:v>QN0805</x:v>
      </x:c>
      <x:c r="E1661" s="31" t="str">
        <x:v>Jamaica Hills-Briarwood</x:v>
      </x:c>
      <x:c r="F1661" s="31" t="n">
        <x:v>0.06395489223556589</x:v>
      </x:c>
      <x:c r="G1661" s="31" t="n">
        <x:v>40.71264168890589</x:v>
      </x:c>
      <x:c r="H1661" s="31" t="n">
        <x:v>-73.80814560696017</x:v>
      </x:c>
      <x:c r="I1661" s="31" t="n">
        <x:v>1880</x:v>
      </x:c>
      <x:c r="J1661" s="31" t="n">
        <x:v>29395.71836155038</x:v>
      </x:c>
      <x:c r="K1661" s="31"/>
      <x:c r="L1661" s="40"/>
      <x:c r="M1661" s="40"/>
      <x:c r="N1661" s="31" t="n">
        <x:v>328</x:v>
      </x:c>
      <x:c r="O1661" s="31" t="n">
        <x:v>504</x:v>
      </x:c>
      <x:c r="P1661" s="31" t="n">
        <x:v>2.3193055555555557</x:v>
      </x:c>
      <x:c r="Q1661" s="40" t="n">
        <x:v>0</x:v>
      </x:c>
      <x:c r="R1661" s="40" t="n">
        <x:v>0.06746031746031746</x:v>
      </x:c>
      <x:c r="S1661" s="40" t="n">
        <x:v>0.0496031746031746</x:v>
      </x:c>
      <x:c r="T1661" s="31" t="n">
        <x:v>28.77532106422619</x:v>
      </x:c>
      <x:c r="U1661" s="31" t="n">
        <x:v>39.33725893</x:v>
      </x:c>
      <x:c r="V1661" s="31" t="n">
        <x:v>0</x:v>
      </x:c>
      <x:c r="W1661" s="31" t="n">
        <x:v>0</x:v>
      </x:c>
      <x:c r="X1661" s="31" t="n">
        <x:v>3.0912698412698414</x:v>
      </x:c>
      <x:c r="Y1661" s="40" t="n">
        <x:v>0.09126984126984126</x:v>
      </x:c>
      <x:c r="Z1661" s="40" t="n">
        <x:v>1</x:v>
      </x:c>
      <x:c r="AA1661" s="40" t="n">
        <x:v>1</x:v>
      </x:c>
      <x:c r="AB1661" s="31" t="n">
        <x:v>0.24653505129667017</x:v>
      </x:c>
      <x:c r="AC1661" s="31" t="n">
        <x:v>5</x:v>
      </x:c>
      <x:c r="AD1661" s="44" t="b">
        <x:v>1</x:v>
      </x:c>
    </x:row>
    <x:row r="1662">
      <x:c r="A1662" s="31" t="str">
        <x:v>36081023200</x:v>
      </x:c>
      <x:c r="B1662" s="31" t="str">
        <x:v>Queens</x:v>
      </x:c>
      <x:c r="C1662" s="31" t="str">
        <x:v>023200</x:v>
      </x:c>
      <x:c r="D1662" s="31" t="str">
        <x:v>QN0805</x:v>
      </x:c>
      <x:c r="E1662" s="31" t="str">
        <x:v>Jamaica Hills-Briarwood</x:v>
      </x:c>
      <x:c r="F1662" s="31" t="n">
        <x:v>0.12759790648638372</x:v>
      </x:c>
      <x:c r="G1662" s="31" t="n">
        <x:v>40.7095894903531</x:v>
      </x:c>
      <x:c r="H1662" s="31" t="n">
        <x:v>-73.8112808718974</x:v>
      </x:c>
      <x:c r="I1662" s="31" t="n">
        <x:v>5264</x:v>
      </x:c>
      <x:c r="J1662" s="31" t="n">
        <x:v>41254.59535311211</x:v>
      </x:c>
      <x:c r="K1662" s="31"/>
      <x:c r="L1662" s="40"/>
      <x:c r="M1662" s="40"/>
      <x:c r="N1662" s="31" t="n">
        <x:v>443</x:v>
      </x:c>
      <x:c r="O1662" s="31" t="n">
        <x:v>1818</x:v>
      </x:c>
      <x:c r="P1662" s="31" t="n">
        <x:v>4.737051705170517</x:v>
      </x:c>
      <x:c r="Q1662" s="40" t="n">
        <x:v>0</x:v>
      </x:c>
      <x:c r="R1662" s="40" t="n">
        <x:v>0.6661166116611661</x:v>
      </x:c>
      <x:c r="S1662" s="40" t="n">
        <x:v>0.1111111111111111</x:v>
      </x:c>
      <x:c r="T1662" s="31" t="n">
        <x:v>50.56891458814439</x:v>
      </x:c>
      <x:c r="U1662" s="31" t="n">
        <x:v>81.876966</x:v>
      </x:c>
      <x:c r="V1662" s="31" t="n">
        <x:v>26</x:v>
      </x:c>
      <x:c r="W1662" s="31" t="n">
        <x:v>4.939209726443769</x:v>
      </x:c>
      <x:c r="X1662" s="31" t="n">
        <x:v>4</x:v>
      </x:c>
      <x:c r="Y1662" s="40" t="n">
        <x:v>1</x:v>
      </x:c>
      <x:c r="Z1662" s="40" t="n">
        <x:v>1</x:v>
      </x:c>
      <x:c r="AA1662" s="40" t="n">
        <x:v>0.9752475247524752</x:v>
      </x:c>
      <x:c r="AB1662" s="31" t="n">
        <x:v>0.06394239207453745</x:v>
      </x:c>
      <x:c r="AC1662" s="31" t="n">
        <x:v>5</x:v>
      </x:c>
      <x:c r="AD1662" s="44" t="b">
        <x:v>1</x:v>
      </x:c>
    </x:row>
    <x:row r="1663">
      <x:c r="A1663" s="31" t="str">
        <x:v>36081023501</x:v>
      </x:c>
      <x:c r="B1663" s="31" t="str">
        <x:v>Queens</x:v>
      </x:c>
      <x:c r="C1663" s="31" t="str">
        <x:v>023501</x:v>
      </x:c>
      <x:c r="D1663" s="31" t="str">
        <x:v>QN0202</x:v>
      </x:c>
      <x:c r="E1663" s="31" t="str">
        <x:v>Sunnyside</x:v>
      </x:c>
      <x:c r="F1663" s="31" t="n">
        <x:v>0.05313569200348657</x:v>
      </x:c>
      <x:c r="G1663" s="31" t="n">
        <x:v>40.737648688458584</x:v>
      </x:c>
      <x:c r="H1663" s="31" t="n">
        <x:v>-73.91808099197746</x:v>
      </x:c>
      <x:c r="I1663" s="31" t="n">
        <x:v>4403</x:v>
      </x:c>
      <x:c r="J1663" s="31" t="n">
        <x:v>82863.32282472376</x:v>
      </x:c>
      <x:c r="K1663" s="31"/>
      <x:c r="L1663" s="40"/>
      <x:c r="M1663" s="40"/>
      <x:c r="N1663" s="31" t="n">
        <x:v>237</x:v>
      </x:c>
      <x:c r="O1663" s="31" t="n">
        <x:v>1345</x:v>
      </x:c>
      <x:c r="P1663" s="31" t="n">
        <x:v>3.8260223048327138</x:v>
      </x:c>
      <x:c r="Q1663" s="40" t="n">
        <x:v>0</x:v>
      </x:c>
      <x:c r="R1663" s="40" t="n">
        <x:v>0.7412639405204461</x:v>
      </x:c>
      <x:c r="S1663" s="40" t="n">
        <x:v>0.4639405204460966</x:v>
      </x:c>
      <x:c r="T1663" s="31" t="n">
        <x:v>43.601988912133834</x:v>
      </x:c>
      <x:c r="U1663" s="31" t="n">
        <x:v>56.52</x:v>
      </x:c>
      <x:c r="V1663" s="31" t="n">
        <x:v>0</x:v>
      </x:c>
      <x:c r="W1663" s="31" t="n">
        <x:v>0</x:v>
      </x:c>
      <x:c r="X1663" s="31" t="n">
        <x:v>3</x:v>
      </x:c>
      <x:c r="Y1663" s="40" t="n">
        <x:v>0</x:v>
      </x:c>
      <x:c r="Z1663" s="40" t="n">
        <x:v>1</x:v>
      </x:c>
      <x:c r="AA1663" s="40" t="n">
        <x:v>1</x:v>
      </x:c>
      <x:c r="AB1663" s="31" t="n">
        <x:v>0.18936177246315888</x:v>
      </x:c>
      <x:c r="AC1663" s="31" t="n">
        <x:v>6</x:v>
      </x:c>
      <x:c r="AD1663" s="44" t="b">
        <x:v>1</x:v>
      </x:c>
    </x:row>
    <x:row r="1664">
      <x:c r="A1664" s="31" t="str">
        <x:v>36081023502</x:v>
      </x:c>
      <x:c r="B1664" s="31" t="str">
        <x:v>Queens</x:v>
      </x:c>
      <x:c r="C1664" s="31" t="str">
        <x:v>023502</x:v>
      </x:c>
      <x:c r="D1664" s="31" t="str">
        <x:v>QN0202</x:v>
      </x:c>
      <x:c r="E1664" s="31" t="str">
        <x:v>Sunnyside</x:v>
      </x:c>
      <x:c r="F1664" s="31" t="n">
        <x:v>0.04538331278552571</x:v>
      </x:c>
      <x:c r="G1664" s="31" t="n">
        <x:v>40.741333941136375</x:v>
      </x:c>
      <x:c r="H1664" s="31" t="n">
        <x:v>-73.91702945568346</x:v>
      </x:c>
      <x:c r="I1664" s="31" t="n">
        <x:v>3373</x:v>
      </x:c>
      <x:c r="J1664" s="31" t="n">
        <x:v>74322.47213728666</x:v>
      </x:c>
      <x:c r="K1664" s="31"/>
      <x:c r="L1664" s="40"/>
      <x:c r="M1664" s="40"/>
      <x:c r="N1664" s="31" t="n">
        <x:v>161</x:v>
      </x:c>
      <x:c r="O1664" s="31" t="n">
        <x:v>1152</x:v>
      </x:c>
      <x:c r="P1664" s="31" t="n">
        <x:v>4.0989492119089315</x:v>
      </x:c>
      <x:c r="Q1664" s="40" t="n">
        <x:v>0</x:v>
      </x:c>
      <x:c r="R1664" s="40" t="n">
        <x:v>0.8541666666666666</x:v>
      </x:c>
      <x:c r="S1664" s="40" t="n">
        <x:v>0.3385416666666667</x:v>
      </x:c>
      <x:c r="T1664" s="31" t="n">
        <x:v>47.05123186208772</x:v>
      </x:c>
      <x:c r="U1664" s="31" t="n">
        <x:v>69.69</x:v>
      </x:c>
      <x:c r="V1664" s="31" t="n">
        <x:v>9</x:v>
      </x:c>
      <x:c r="W1664" s="31" t="n">
        <x:v>2.6682478505781204</x:v>
      </x:c>
      <x:c r="X1664" s="31" t="n">
        <x:v>3</x:v>
      </x:c>
      <x:c r="Y1664" s="40" t="n">
        <x:v>0</x:v>
      </x:c>
      <x:c r="Z1664" s="40" t="n">
        <x:v>1</x:v>
      </x:c>
      <x:c r="AA1664" s="40" t="n">
        <x:v>0.9895833333333334</x:v>
      </x:c>
      <x:c r="AB1664" s="31" t="n">
        <x:v>0.1029724913145972</x:v>
      </x:c>
      <x:c r="AC1664" s="31" t="n">
        <x:v>7</x:v>
      </x:c>
      <x:c r="AD1664" s="44" t="b">
        <x:v>1</x:v>
      </x:c>
    </x:row>
    <x:row r="1665">
      <x:c r="A1665" s="31" t="str">
        <x:v>36081023600</x:v>
      </x:c>
      <x:c r="B1665" s="31" t="str">
        <x:v>Queens</x:v>
      </x:c>
      <x:c r="C1665" s="31" t="str">
        <x:v>023600</x:v>
      </x:c>
      <x:c r="D1665" s="31" t="str">
        <x:v>QN1201</x:v>
      </x:c>
      <x:c r="E1665" s="31" t="str">
        <x:v>Jamaica</x:v>
      </x:c>
      <x:c r="F1665" s="31" t="n">
        <x:v>0.06806250264613464</x:v>
      </x:c>
      <x:c r="G1665" s="31" t="n">
        <x:v>40.707343682885416</x:v>
      </x:c>
      <x:c r="H1665" s="31" t="n">
        <x:v>-73.80491905882583</x:v>
      </x:c>
      <x:c r="I1665" s="31" t="n">
        <x:v>3266</x:v>
      </x:c>
      <x:c r="J1665" s="31" t="n">
        <x:v>47985.305756098</x:v>
      </x:c>
      <x:c r="K1665" s="31"/>
      <x:c r="L1665" s="40"/>
      <x:c r="M1665" s="40"/>
      <x:c r="N1665" s="31" t="n">
        <x:v>174</x:v>
      </x:c>
      <x:c r="O1665" s="31" t="n">
        <x:v>1846</x:v>
      </x:c>
      <x:c r="P1665" s="31" t="n">
        <x:v>9.525823401950161</x:v>
      </x:c>
      <x:c r="Q1665" s="40" t="n">
        <x:v>0.49404117009750814</x:v>
      </x:c>
      <x:c r="R1665" s="40" t="n">
        <x:v>0.38894907908992415</x:v>
      </x:c>
      <x:c r="S1665" s="40" t="n">
        <x:v>0.053629469122426866</x:v>
      </x:c>
      <x:c r="T1665" s="31" t="n">
        <x:v>126.19392703795658</x:v>
      </x:c>
      <x:c r="U1665" s="31" t="n">
        <x:v>223</x:v>
      </x:c>
      <x:c r="V1665" s="31" t="n">
        <x:v>20</x:v>
      </x:c>
      <x:c r="W1665" s="31" t="n">
        <x:v>6.12369871402327</x:v>
      </x:c>
      <x:c r="X1665" s="31" t="n">
        <x:v>3.0373781148429035</x:v>
      </x:c>
      <x:c r="Y1665" s="40" t="n">
        <x:v>0.03737811484290358</x:v>
      </x:c>
      <x:c r="Z1665" s="40" t="n">
        <x:v>1</x:v>
      </x:c>
      <x:c r="AA1665" s="40" t="n">
        <x:v>0.9729144095341279</x:v>
      </x:c>
      <x:c r="AB1665" s="31" t="n">
        <x:v>0.08515467684231291</x:v>
      </x:c>
      <x:c r="AC1665" s="31" t="n">
        <x:v>7</x:v>
      </x:c>
      <x:c r="AD1665" s="44" t="b">
        <x:v>1</x:v>
      </x:c>
    </x:row>
    <x:row r="1666">
      <x:c r="A1666" s="31" t="str">
        <x:v>36081023800</x:v>
      </x:c>
      <x:c r="B1666" s="31" t="str">
        <x:v>Queens</x:v>
      </x:c>
      <x:c r="C1666" s="31" t="str">
        <x:v>023800</x:v>
      </x:c>
      <x:c r="D1666" s="31" t="str">
        <x:v>QN1201</x:v>
      </x:c>
      <x:c r="E1666" s="31" t="str">
        <x:v>Jamaica</x:v>
      </x:c>
      <x:c r="F1666" s="31" t="n">
        <x:v>0.06050352441244834</x:v>
      </x:c>
      <x:c r="G1666" s="31" t="n">
        <x:v>40.705222221985345</x:v>
      </x:c>
      <x:c r="H1666" s="31" t="n">
        <x:v>-73.8090375522391</x:v>
      </x:c>
      <x:c r="I1666" s="31" t="n">
        <x:v>4863</x:v>
      </x:c>
      <x:c r="J1666" s="31" t="n">
        <x:v>80375.4830354884</x:v>
      </x:c>
      <x:c r="K1666" s="31"/>
      <x:c r="L1666" s="40"/>
      <x:c r="M1666" s="40"/>
      <x:c r="N1666" s="31" t="n">
        <x:v>191</x:v>
      </x:c>
      <x:c r="O1666" s="31" t="n">
        <x:v>1734</x:v>
      </x:c>
      <x:c r="P1666" s="31" t="n">
        <x:v>5.2644175317185695</x:v>
      </x:c>
      <x:c r="Q1666" s="40" t="n">
        <x:v>0.0461361014994233</x:v>
      </x:c>
      <x:c r="R1666" s="40" t="n">
        <x:v>0.8073817762399077</x:v>
      </x:c>
      <x:c r="S1666" s="40" t="n">
        <x:v>0.0017301038062283738</x:v>
      </x:c>
      <x:c r="T1666" s="31" t="n">
        <x:v>53.86500614247305</x:v>
      </x:c>
      <x:c r="U1666" s="31" t="n">
        <x:v>80</x:v>
      </x:c>
      <x:c r="V1666" s="31" t="n">
        <x:v>17</x:v>
      </x:c>
      <x:c r="W1666" s="31" t="n">
        <x:v>3.495784495167592</x:v>
      </x:c>
      <x:c r="X1666" s="31" t="n">
        <x:v>4</x:v>
      </x:c>
      <x:c r="Y1666" s="40" t="n">
        <x:v>1</x:v>
      </x:c>
      <x:c r="Z1666" s="40" t="n">
        <x:v>1</x:v>
      </x:c>
      <x:c r="AA1666" s="40" t="n">
        <x:v>0.9094579008073818</x:v>
      </x:c>
      <x:c r="AB1666" s="31" t="n">
        <x:v>0.1949052832716444</x:v>
      </x:c>
      <x:c r="AC1666" s="31" t="n">
        <x:v>4</x:v>
      </x:c>
      <x:c r="AD1666" s="44" t="b">
        <x:v>1</x:v>
      </x:c>
    </x:row>
    <x:row r="1667">
      <x:c r="A1667" s="31" t="str">
        <x:v>36081024000</x:v>
      </x:c>
      <x:c r="B1667" s="31" t="str">
        <x:v>Queens</x:v>
      </x:c>
      <x:c r="C1667" s="31" t="str">
        <x:v>024000</x:v>
      </x:c>
      <x:c r="D1667" s="31" t="str">
        <x:v>QN1201</x:v>
      </x:c>
      <x:c r="E1667" s="31" t="str">
        <x:v>Jamaica</x:v>
      </x:c>
      <x:c r="F1667" s="31" t="n">
        <x:v>0.10399754882812501</x:v>
      </x:c>
      <x:c r="G1667" s="31" t="n">
        <x:v>40.70327808500336</x:v>
      </x:c>
      <x:c r="H1667" s="31" t="n">
        <x:v>-73.80508344745526</x:v>
      </x:c>
      <x:c r="I1667" s="31" t="n">
        <x:v>6252</x:v>
      </x:c>
      <x:c r="J1667" s="31" t="n">
        <x:v>60116.801505894866</x:v>
      </x:c>
      <x:c r="K1667" s="31"/>
      <x:c r="L1667" s="40"/>
      <x:c r="M1667" s="40"/>
      <x:c r="N1667" s="31" t="n">
        <x:v>194</x:v>
      </x:c>
      <x:c r="O1667" s="31" t="n">
        <x:v>2531</x:v>
      </x:c>
      <x:c r="P1667" s="31" t="n">
        <x:v>7.3602765705254845</x:v>
      </x:c>
      <x:c r="Q1667" s="40" t="n">
        <x:v>0.2615566969577242</x:v>
      </x:c>
      <x:c r="R1667" s="40" t="n">
        <x:v>0.6301856973528249</x:v>
      </x:c>
      <x:c r="S1667" s="40" t="n">
        <x:v>0.018964836033188465</x:v>
      </x:c>
      <x:c r="T1667" s="31" t="n">
        <x:v>73.6416844877132</x:v>
      </x:c>
      <x:c r="U1667" s="31" t="n">
        <x:v>156.08922531</x:v>
      </x:c>
      <x:c r="V1667" s="31" t="n">
        <x:v>41</x:v>
      </x:c>
      <x:c r="W1667" s="31" t="n">
        <x:v>6.55790147152911</x:v>
      </x:c>
      <x:c r="X1667" s="31" t="n">
        <x:v>3.629000395100751</x:v>
      </x:c>
      <x:c r="Y1667" s="40" t="n">
        <x:v>0.6290003951007507</x:v>
      </x:c>
      <x:c r="Z1667" s="40" t="n">
        <x:v>1</x:v>
      </x:c>
      <x:c r="AA1667" s="40" t="n">
        <x:v>0.9450809956538917</x:v>
      </x:c>
      <x:c r="AB1667" s="31" t="n">
        <x:v>0.15511177122581385</x:v>
      </x:c>
      <x:c r="AC1667" s="31" t="n">
        <x:v>8</x:v>
      </x:c>
      <x:c r="AD1667" s="44" t="b">
        <x:v>1</x:v>
      </x:c>
    </x:row>
    <x:row r="1668">
      <x:c r="A1668" s="31" t="str">
        <x:v>36081024300</x:v>
      </x:c>
      <x:c r="B1668" s="31" t="str">
        <x:v>Queens</x:v>
      </x:c>
      <x:c r="C1668" s="31" t="str">
        <x:v>024300</x:v>
      </x:c>
      <x:c r="D1668" s="31" t="str">
        <x:v>QN0203</x:v>
      </x:c>
      <x:c r="E1668" s="31" t="str">
        <x:v>Woodside</x:v>
      </x:c>
      <x:c r="F1668" s="31" t="n">
        <x:v>0.2128964160091684</x:v>
      </x:c>
      <x:c r="G1668" s="31" t="n">
        <x:v>40.73659051005377</x:v>
      </x:c>
      <x:c r="H1668" s="31" t="n">
        <x:v>-73.90215125140811</x:v>
      </x:c>
      <x:c r="I1668" s="31" t="n">
        <x:v>6231</x:v>
      </x:c>
      <x:c r="J1668" s="31" t="n">
        <x:v>29267.75432298335</x:v>
      </x:c>
      <x:c r="K1668" s="31"/>
      <x:c r="L1668" s="40"/>
      <x:c r="M1668" s="40"/>
      <x:c r="N1668" s="31" t="n">
        <x:v>1013</x:v>
      </x:c>
      <x:c r="O1668" s="31" t="n">
        <x:v>1902</x:v>
      </x:c>
      <x:c r="P1668" s="31" t="n">
        <x:v>2.3736855941114614</x:v>
      </x:c>
      <x:c r="Q1668" s="40" t="n">
        <x:v>0</x:v>
      </x:c>
      <x:c r="R1668" s="40" t="n">
        <x:v>0.32597266035751843</x:v>
      </x:c>
      <x:c r="S1668" s="40" t="n">
        <x:v>0.002103049421661409</x:v>
      </x:c>
      <x:c r="T1668" s="31" t="n">
        <x:v>28.119881732528917</x:v>
      </x:c>
      <x:c r="U1668" s="31" t="n">
        <x:v>56.42733458</x:v>
      </x:c>
      <x:c r="V1668" s="31" t="n">
        <x:v>2</x:v>
      </x:c>
      <x:c r="W1668" s="31" t="n">
        <x:v>0.3209757663296421</x:v>
      </x:c>
      <x:c r="X1668" s="31" t="n">
        <x:v>3</x:v>
      </x:c>
      <x:c r="Y1668" s="40" t="n">
        <x:v>0</x:v>
      </x:c>
      <x:c r="Z1668" s="40" t="n">
        <x:v>1</x:v>
      </x:c>
      <x:c r="AA1668" s="40" t="n">
        <x:v>1</x:v>
      </x:c>
      <x:c r="AB1668" s="31" t="n">
        <x:v>0.29806049314240024</x:v>
      </x:c>
      <x:c r="AC1668" s="31" t="n">
        <x:v>7</x:v>
      </x:c>
      <x:c r="AD1668" s="44" t="b">
        <x:v>1</x:v>
      </x:c>
    </x:row>
    <x:row r="1669">
      <x:c r="A1669" s="31" t="str">
        <x:v>36081024500</x:v>
      </x:c>
      <x:c r="B1669" s="31" t="str">
        <x:v>Queens</x:v>
      </x:c>
      <x:c r="C1669" s="31" t="str">
        <x:v>024500</x:v>
      </x:c>
      <x:c r="D1669" s="31" t="str">
        <x:v>QN0203</x:v>
      </x:c>
      <x:c r="E1669" s="31" t="str">
        <x:v>Woodside</x:v>
      </x:c>
      <x:c r="F1669" s="31" t="n">
        <x:v>0.09953411001815024</x:v>
      </x:c>
      <x:c r="G1669" s="31" t="n">
        <x:v>40.739353738256106</x:v>
      </x:c>
      <x:c r="H1669" s="31" t="n">
        <x:v>-73.9050484474969</x:v>
      </x:c>
      <x:c r="I1669" s="31" t="n">
        <x:v>5544</x:v>
      </x:c>
      <x:c r="J1669" s="31" t="n">
        <x:v>55699.49838290653</x:v>
      </x:c>
      <x:c r="K1669" s="31"/>
      <x:c r="L1669" s="40"/>
      <x:c r="M1669" s="40"/>
      <x:c r="N1669" s="31" t="n">
        <x:v>318</x:v>
      </x:c>
      <x:c r="O1669" s="31" t="n">
        <x:v>2219</x:v>
      </x:c>
      <x:c r="P1669" s="31" t="n">
        <x:v>10.819287967552953</x:v>
      </x:c>
      <x:c r="Q1669" s="40" t="n">
        <x:v>0.5502478593961244</x:v>
      </x:c>
      <x:c r="R1669" s="40" t="n">
        <x:v>0.31230283911671924</x:v>
      </x:c>
      <x:c r="S1669" s="40" t="n">
        <x:v>0.42541685443893645</x:v>
      </x:c>
      <x:c r="T1669" s="31" t="n">
        <x:v>105.46222423223375</x:v>
      </x:c>
      <x:c r="U1669" s="31" t="n">
        <x:v>158.77</x:v>
      </x:c>
      <x:c r="V1669" s="31" t="n">
        <x:v>32</x:v>
      </x:c>
      <x:c r="W1669" s="31" t="n">
        <x:v>5.772005772005772</x:v>
      </x:c>
      <x:c r="X1669" s="31" t="n">
        <x:v>3</x:v>
      </x:c>
      <x:c r="Y1669" s="40" t="n">
        <x:v>0</x:v>
      </x:c>
      <x:c r="Z1669" s="40" t="n">
        <x:v>1</x:v>
      </x:c>
      <x:c r="AA1669" s="40" t="n">
        <x:v>0.9986480396575034</x:v>
      </x:c>
      <x:c r="AB1669" s="31" t="n">
        <x:v>0.4830312071232267</x:v>
      </x:c>
      <x:c r="AC1669" s="31" t="n">
        <x:v>5</x:v>
      </x:c>
      <x:c r="AD1669" s="44" t="b">
        <x:v>1</x:v>
      </x:c>
    </x:row>
    <x:row r="1670">
      <x:c r="A1670" s="31" t="str">
        <x:v>36081024600</x:v>
      </x:c>
      <x:c r="B1670" s="31" t="str">
        <x:v>Queens</x:v>
      </x:c>
      <x:c r="C1670" s="31" t="str">
        <x:v>024600</x:v>
      </x:c>
      <x:c r="D1670" s="31" t="str">
        <x:v>QN1201</x:v>
      </x:c>
      <x:c r="E1670" s="31" t="str">
        <x:v>Jamaica</x:v>
      </x:c>
      <x:c r="F1670" s="31" t="n">
        <x:v>0.11739036749669995</x:v>
      </x:c>
      <x:c r="G1670" s="31" t="n">
        <x:v>40.701203148953105</x:v>
      </x:c>
      <x:c r="H1670" s="31" t="n">
        <x:v>-73.79649296728743</x:v>
      </x:c>
      <x:c r="I1670" s="31" t="n">
        <x:v>1</x:v>
      </x:c>
      <x:c r="J1670" s="31" t="n">
        <x:v>8.518586501810821</x:v>
      </x:c>
      <x:c r="K1670" s="31"/>
      <x:c r="L1670" s="40"/>
      <x:c r="M1670" s="40"/>
      <x:c r="N1670" s="31" t="n">
        <x:v>0</x:v>
      </x:c>
      <x:c r="O1670" s="31"/>
      <x:c r="P1670" s="31"/>
      <x:c r="Q1670" s="40"/>
      <x:c r="R1670" s="40"/>
      <x:c r="S1670" s="40"/>
      <x:c r="T1670" s="31"/>
      <x:c r="U1670" s="31"/>
      <x:c r="V1670" s="31" t="n">
        <x:v>0</x:v>
      </x:c>
      <x:c r="W1670" s="31" t="n">
        <x:v>0</x:v>
      </x:c>
      <x:c r="X1670" s="31"/>
      <x:c r="Y1670" s="40"/>
      <x:c r="Z1670" s="40"/>
      <x:c r="AA1670" s="40"/>
      <x:c r="AB1670" s="31" t="n">
        <x:v>0.024563591098934974</x:v>
      </x:c>
      <x:c r="AC1670" s="31" t="n">
        <x:v>7</x:v>
      </x:c>
      <x:c r="AD1670" s="44" t="b">
        <x:v>0</x:v>
      </x:c>
    </x:row>
    <x:row r="1671">
      <x:c r="A1671" s="31" t="str">
        <x:v>36081024700</x:v>
      </x:c>
      <x:c r="B1671" s="31" t="str">
        <x:v>Queens</x:v>
      </x:c>
      <x:c r="C1671" s="31" t="str">
        <x:v>024700</x:v>
      </x:c>
      <x:c r="D1671" s="31" t="str">
        <x:v>QN0203</x:v>
      </x:c>
      <x:c r="E1671" s="31" t="str">
        <x:v>Woodside</x:v>
      </x:c>
      <x:c r="F1671" s="31" t="n">
        <x:v>0.03768731637576045</x:v>
      </x:c>
      <x:c r="G1671" s="31" t="n">
        <x:v>40.74227851278975</x:v>
      </x:c>
      <x:c r="H1671" s="31" t="n">
        <x:v>-73.89944877150427</x:v>
      </x:c>
      <x:c r="I1671" s="31" t="n">
        <x:v>1537</x:v>
      </x:c>
      <x:c r="J1671" s="31" t="n">
        <x:v>40782.951608317766</x:v>
      </x:c>
      <x:c r="K1671" s="31"/>
      <x:c r="L1671" s="40"/>
      <x:c r="M1671" s="40"/>
      <x:c r="N1671" s="31" t="n">
        <x:v>139</x:v>
      </x:c>
      <x:c r="O1671" s="31" t="n">
        <x:v>536</x:v>
      </x:c>
      <x:c r="P1671" s="31" t="n">
        <x:v>3.4874067164179103</x:v>
      </x:c>
      <x:c r="Q1671" s="40" t="n">
        <x:v>0.054104477611940295</x:v>
      </x:c>
      <x:c r="R1671" s="40" t="n">
        <x:v>0.5223880597014925</x:v>
      </x:c>
      <x:c r="S1671" s="40" t="n">
        <x:v>0.005597014925373134</x:v>
      </x:c>
      <x:c r="T1671" s="31" t="n">
        <x:v>40.71787423364151</x:v>
      </x:c>
      <x:c r="U1671" s="31" t="n">
        <x:v>95</x:v>
      </x:c>
      <x:c r="V1671" s="31" t="n">
        <x:v>2</x:v>
      </x:c>
      <x:c r="W1671" s="31" t="n">
        <x:v>1.3012361743656475</x:v>
      </x:c>
      <x:c r="X1671" s="31" t="n">
        <x:v>3</x:v>
      </x:c>
      <x:c r="Y1671" s="40" t="n">
        <x:v>0</x:v>
      </x:c>
      <x:c r="Z1671" s="40" t="n">
        <x:v>1</x:v>
      </x:c>
      <x:c r="AA1671" s="40" t="n">
        <x:v>0.9888059701492538</x:v>
      </x:c>
      <x:c r="AB1671" s="31" t="n">
        <x:v>0.33478114937551845</x:v>
      </x:c>
      <x:c r="AC1671" s="31" t="n">
        <x:v>7</x:v>
      </x:c>
      <x:c r="AD1671" s="44" t="b">
        <x:v>1</x:v>
      </x:c>
    </x:row>
    <x:row r="1672">
      <x:c r="A1672" s="31" t="str">
        <x:v>36081024900</x:v>
      </x:c>
      <x:c r="B1672" s="31" t="str">
        <x:v>Queens</x:v>
      </x:c>
      <x:c r="C1672" s="31" t="str">
        <x:v>024900</x:v>
      </x:c>
      <x:c r="D1672" s="31" t="str">
        <x:v>QN0203</x:v>
      </x:c>
      <x:c r="E1672" s="31" t="str">
        <x:v>Woodside</x:v>
      </x:c>
      <x:c r="F1672" s="31" t="n">
        <x:v>0.0788032042983098</x:v>
      </x:c>
      <x:c r="G1672" s="31" t="n">
        <x:v>40.743115157342</x:v>
      </x:c>
      <x:c r="H1672" s="31" t="n">
        <x:v>-73.9042554520985</x:v>
      </x:c>
      <x:c r="I1672" s="31" t="n">
        <x:v>5724</x:v>
      </x:c>
      <x:c r="J1672" s="31" t="n">
        <x:v>72636.64023523433</x:v>
      </x:c>
      <x:c r="K1672" s="31"/>
      <x:c r="L1672" s="40"/>
      <x:c r="M1672" s="40"/>
      <x:c r="N1672" s="31" t="n">
        <x:v>358</x:v>
      </x:c>
      <x:c r="O1672" s="31" t="n">
        <x:v>2371</x:v>
      </x:c>
      <x:c r="P1672" s="31" t="n">
        <x:v>5.011809363137917</x:v>
      </x:c>
      <x:c r="Q1672" s="40" t="n">
        <x:v>0.1172501054407423</x:v>
      </x:c>
      <x:c r="R1672" s="40" t="n">
        <x:v>0.7018135807676086</x:v>
      </x:c>
      <x:c r="S1672" s="40" t="n">
        <x:v>0.0063264445381695485</x:v>
      </x:c>
      <x:c r="T1672" s="31" t="n">
        <x:v>51.89594323571684</x:v>
      </x:c>
      <x:c r="U1672" s="31" t="n">
        <x:v>121.21669525</x:v>
      </x:c>
      <x:c r="V1672" s="31" t="n">
        <x:v>17</x:v>
      </x:c>
      <x:c r="W1672" s="31" t="n">
        <x:v>2.96995108315863</x:v>
      </x:c>
      <x:c r="X1672" s="31" t="n">
        <x:v>3</x:v>
      </x:c>
      <x:c r="Y1672" s="40" t="n">
        <x:v>0</x:v>
      </x:c>
      <x:c r="Z1672" s="40" t="n">
        <x:v>1</x:v>
      </x:c>
      <x:c r="AA1672" s="40" t="n">
        <x:v>0.9443272880641079</x:v>
      </x:c>
      <x:c r="AB1672" s="31" t="n">
        <x:v>0.3181376075265756</x:v>
      </x:c>
      <x:c r="AC1672" s="31" t="n">
        <x:v>7</x:v>
      </x:c>
      <x:c r="AD1672" s="44" t="b">
        <x:v>1</x:v>
      </x:c>
    </x:row>
    <x:row r="1673">
      <x:c r="A1673" s="31" t="str">
        <x:v>36081025100</x:v>
      </x:c>
      <x:c r="B1673" s="31" t="str">
        <x:v>Queens</x:v>
      </x:c>
      <x:c r="C1673" s="31" t="str">
        <x:v>025100</x:v>
      </x:c>
      <x:c r="D1673" s="31" t="str">
        <x:v>QN0203</x:v>
      </x:c>
      <x:c r="E1673" s="31" t="str">
        <x:v>Woodside</x:v>
      </x:c>
      <x:c r="F1673" s="31" t="n">
        <x:v>0.09493227414342285</x:v>
      </x:c>
      <x:c r="G1673" s="31" t="n">
        <x:v>40.74482934756206</x:v>
      </x:c>
      <x:c r="H1673" s="31" t="n">
        <x:v>-73.90965910620278</x:v>
      </x:c>
      <x:c r="I1673" s="31" t="n">
        <x:v>5818</x:v>
      </x:c>
      <x:c r="J1673" s="31" t="n">
        <x:v>61285.796137256926</x:v>
      </x:c>
      <x:c r="K1673" s="31"/>
      <x:c r="L1673" s="40"/>
      <x:c r="M1673" s="40"/>
      <x:c r="N1673" s="31" t="n">
        <x:v>376</x:v>
      </x:c>
      <x:c r="O1673" s="31" t="n">
        <x:v>2360</x:v>
      </x:c>
      <x:c r="P1673" s="31" t="n">
        <x:v>6.040408336877924</x:v>
      </x:c>
      <x:c r="Q1673" s="40" t="n">
        <x:v>0.375</x:v>
      </x:c>
      <x:c r="R1673" s="40" t="n">
        <x:v>0.4652542372881356</x:v>
      </x:c>
      <x:c r="S1673" s="40" t="n">
        <x:v>0.048728813559322036</x:v>
      </x:c>
      <x:c r="T1673" s="31" t="n">
        <x:v>60.88220282888368</x:v>
      </x:c>
      <x:c r="U1673" s="31" t="n">
        <x:v>114.38</x:v>
      </x:c>
      <x:c r="V1673" s="31" t="n">
        <x:v>10</x:v>
      </x:c>
      <x:c r="W1673" s="31" t="n">
        <x:v>1.7188037126160192</x:v>
      </x:c>
      <x:c r="X1673" s="31" t="n">
        <x:v>3</x:v>
      </x:c>
      <x:c r="Y1673" s="40" t="n">
        <x:v>0</x:v>
      </x:c>
      <x:c r="Z1673" s="40" t="n">
        <x:v>1</x:v>
      </x:c>
      <x:c r="AA1673" s="40" t="n">
        <x:v>0.9944915254237288</x:v>
      </x:c>
      <x:c r="AB1673" s="31" t="n">
        <x:v>0.03662739701870219</x:v>
      </x:c>
      <x:c r="AC1673" s="31" t="n">
        <x:v>8</x:v>
      </x:c>
      <x:c r="AD1673" s="44" t="b">
        <x:v>1</x:v>
      </x:c>
    </x:row>
    <x:row r="1674">
      <x:c r="A1674" s="31" t="str">
        <x:v>36081025301</x:v>
      </x:c>
      <x:c r="B1674" s="31" t="str">
        <x:v>Queens</x:v>
      </x:c>
      <x:c r="C1674" s="31" t="str">
        <x:v>025301</x:v>
      </x:c>
      <x:c r="D1674" s="31" t="str">
        <x:v>QN0202</x:v>
      </x:c>
      <x:c r="E1674" s="31" t="str">
        <x:v>Sunnyside</x:v>
      </x:c>
      <x:c r="F1674" s="31" t="n">
        <x:v>0.049155482881370526</x:v>
      </x:c>
      <x:c r="G1674" s="31" t="n">
        <x:v>40.74456616008457</x:v>
      </x:c>
      <x:c r="H1674" s="31" t="n">
        <x:v>-73.91651424197465</x:v>
      </x:c>
      <x:c r="I1674" s="31" t="n">
        <x:v>4510</x:v>
      </x:c>
      <x:c r="J1674" s="31" t="n">
        <x:v>91749.68356804096</x:v>
      </x:c>
      <x:c r="K1674" s="31"/>
      <x:c r="L1674" s="40"/>
      <x:c r="M1674" s="40"/>
      <x:c r="N1674" s="31" t="n">
        <x:v>177</x:v>
      </x:c>
      <x:c r="O1674" s="31" t="n">
        <x:v>2134</x:v>
      </x:c>
      <x:c r="P1674" s="31" t="n">
        <x:v>4.972586691658857</x:v>
      </x:c>
      <x:c r="Q1674" s="40" t="n">
        <x:v>0</x:v>
      </x:c>
      <x:c r="R1674" s="40" t="n">
        <x:v>0.9381443298969072</x:v>
      </x:c>
      <x:c r="S1674" s="40" t="n">
        <x:v>0.07872539831302718</x:v>
      </x:c>
      <x:c r="T1674" s="31" t="n">
        <x:v>53.21066648209717</x:v>
      </x:c>
      <x:c r="U1674" s="31" t="n">
        <x:v>80</x:v>
      </x:c>
      <x:c r="V1674" s="31" t="n">
        <x:v>25</x:v>
      </x:c>
      <x:c r="W1674" s="31" t="n">
        <x:v>5.543237250554324</x:v>
      </x:c>
      <x:c r="X1674" s="31" t="n">
        <x:v>3</x:v>
      </x:c>
      <x:c r="Y1674" s="40" t="n">
        <x:v>0</x:v>
      </x:c>
      <x:c r="Z1674" s="40" t="n">
        <x:v>1</x:v>
      </x:c>
      <x:c r="AA1674" s="40" t="n">
        <x:v>0.9742268041237113</x:v>
      </x:c>
      <x:c r="AB1674" s="31" t="n">
        <x:v>0.3012313928812258</x:v>
      </x:c>
      <x:c r="AC1674" s="31" t="n">
        <x:v>4</x:v>
      </x:c>
      <x:c r="AD1674" s="44" t="b">
        <x:v>1</x:v>
      </x:c>
    </x:row>
    <x:row r="1675">
      <x:c r="A1675" s="31" t="str">
        <x:v>36081025302</x:v>
      </x:c>
      <x:c r="B1675" s="31" t="str">
        <x:v>Queens</x:v>
      </x:c>
      <x:c r="C1675" s="31" t="str">
        <x:v>025302</x:v>
      </x:c>
      <x:c r="D1675" s="31" t="str">
        <x:v>QN0202</x:v>
      </x:c>
      <x:c r="E1675" s="31" t="str">
        <x:v>Sunnyside</x:v>
      </x:c>
      <x:c r="F1675" s="31" t="n">
        <x:v>0.04057746492481634</x:v>
      </x:c>
      <x:c r="G1675" s="31" t="n">
        <x:v>40.7441680287129</x:v>
      </x:c>
      <x:c r="H1675" s="31" t="n">
        <x:v>-73.91313502753509</x:v>
      </x:c>
      <x:c r="I1675" s="31" t="n">
        <x:v>3013</x:v>
      </x:c>
      <x:c r="J1675" s="31" t="n">
        <x:v>74253.03689086085</x:v>
      </x:c>
      <x:c r="K1675" s="31"/>
      <x:c r="L1675" s="40"/>
      <x:c r="M1675" s="40"/>
      <x:c r="N1675" s="31" t="n">
        <x:v>119</x:v>
      </x:c>
      <x:c r="O1675" s="31" t="n">
        <x:v>1597</x:v>
      </x:c>
      <x:c r="P1675" s="31" t="n">
        <x:v>5.686912961803381</x:v>
      </x:c>
      <x:c r="Q1675" s="40" t="n">
        <x:v>0.20100187852222917</x:v>
      </x:c>
      <x:c r="R1675" s="40" t="n">
        <x:v>0.7670632435817157</x:v>
      </x:c>
      <x:c r="S1675" s="40" t="n">
        <x:v>0</x:v>
      </x:c>
      <x:c r="T1675" s="31" t="n">
        <x:v>61.33290860535379</x:v>
      </x:c>
      <x:c r="U1675" s="31" t="n">
        <x:v>125</x:v>
      </x:c>
      <x:c r="V1675" s="31" t="n">
        <x:v>30</x:v>
      </x:c>
      <x:c r="W1675" s="31" t="n">
        <x:v>9.956853634251576</x:v>
      </x:c>
      <x:c r="X1675" s="31" t="n">
        <x:v>3</x:v>
      </x:c>
      <x:c r="Y1675" s="40" t="n">
        <x:v>0</x:v>
      </x:c>
      <x:c r="Z1675" s="40" t="n">
        <x:v>1</x:v>
      </x:c>
      <x:c r="AA1675" s="40" t="n">
        <x:v>1</x:v>
      </x:c>
      <x:c r="AB1675" s="31" t="n">
        <x:v>0.19311971633321676</x:v>
      </x:c>
      <x:c r="AC1675" s="31" t="n">
        <x:v>5</x:v>
      </x:c>
      <x:c r="AD1675" s="44" t="b">
        <x:v>1</x:v>
      </x:c>
    </x:row>
    <x:row r="1676">
      <x:c r="A1676" s="31" t="str">
        <x:v>36081025401</x:v>
      </x:c>
      <x:c r="B1676" s="31" t="str">
        <x:v>Queens</x:v>
      </x:c>
      <x:c r="C1676" s="31" t="str">
        <x:v>025401</x:v>
      </x:c>
      <x:c r="D1676" s="31" t="str">
        <x:v>QN1202</x:v>
      </x:c>
      <x:c r="E1676" s="31" t="str">
        <x:v>South Jamaica</x:v>
      </x:c>
      <x:c r="F1676" s="31" t="n">
        <x:v>0.09784380020589416</x:v>
      </x:c>
      <x:c r="G1676" s="31" t="n">
        <x:v>40.69473075422235</x:v>
      </x:c>
      <x:c r="H1676" s="31" t="n">
        <x:v>-73.79759071517783</x:v>
      </x:c>
      <x:c r="I1676" s="31" t="n">
        <x:v>3899</x:v>
      </x:c>
      <x:c r="J1676" s="31" t="n">
        <x:v>39849.22899351085</x:v>
      </x:c>
      <x:c r="K1676" s="31"/>
      <x:c r="L1676" s="40"/>
      <x:c r="M1676" s="40"/>
      <x:c r="N1676" s="31" t="n">
        <x:v>490</x:v>
      </x:c>
      <x:c r="O1676" s="31" t="n">
        <x:v>969</x:v>
      </x:c>
      <x:c r="P1676" s="31" t="n">
        <x:v>2.2879256965944275</x:v>
      </x:c>
      <x:c r="Q1676" s="40" t="n">
        <x:v>0</x:v>
      </x:c>
      <x:c r="R1676" s="40" t="n">
        <x:v>0.27347781217750256</x:v>
      </x:c>
      <x:c r="S1676" s="40" t="n">
        <x:v>0.016511867905056758</x:v>
      </x:c>
      <x:c r="T1676" s="31" t="n">
        <x:v>26.234858177082895</x:v>
      </x:c>
      <x:c r="U1676" s="31" t="n">
        <x:v>40</x:v>
      </x:c>
      <x:c r="V1676" s="31" t="n">
        <x:v>0</x:v>
      </x:c>
      <x:c r="W1676" s="31" t="n">
        <x:v>0</x:v>
      </x:c>
      <x:c r="X1676" s="31" t="n">
        <x:v>4.914344685242518</x:v>
      </x:c>
      <x:c r="Y1676" s="40" t="n">
        <x:v>1</x:v>
      </x:c>
      <x:c r="Z1676" s="40" t="n">
        <x:v>1</x:v>
      </x:c>
      <x:c r="AA1676" s="40" t="n">
        <x:v>0.9834881320949432</x:v>
      </x:c>
      <x:c r="AB1676" s="31" t="n">
        <x:v>0.1080458174871994</x:v>
      </x:c>
      <x:c r="AC1676" s="31" t="n">
        <x:v>6</x:v>
      </x:c>
      <x:c r="AD1676" s="44" t="b">
        <x:v>1</x:v>
      </x:c>
    </x:row>
    <x:row r="1677">
      <x:c r="A1677" s="31" t="str">
        <x:v>36081025402</x:v>
      </x:c>
      <x:c r="B1677" s="31" t="str">
        <x:v>Queens</x:v>
      </x:c>
      <x:c r="C1677" s="31" t="str">
        <x:v>025402</x:v>
      </x:c>
      <x:c r="D1677" s="31" t="str">
        <x:v>QN1202</x:v>
      </x:c>
      <x:c r="E1677" s="31" t="str">
        <x:v>South Jamaica</x:v>
      </x:c>
      <x:c r="F1677" s="31" t="n">
        <x:v>0.14601853553647268</x:v>
      </x:c>
      <x:c r="G1677" s="31" t="n">
        <x:v>40.69796276065151</x:v>
      </x:c>
      <x:c r="H1677" s="31" t="n">
        <x:v>-73.792318780666</x:v>
      </x:c>
      <x:c r="I1677" s="31" t="n">
        <x:v>6180</x:v>
      </x:c>
      <x:c r="J1677" s="31" t="n">
        <x:v>42323.39392594684</x:v>
      </x:c>
      <x:c r="K1677" s="31"/>
      <x:c r="L1677" s="40"/>
      <x:c r="M1677" s="40"/>
      <x:c r="N1677" s="31" t="n">
        <x:v>521</x:v>
      </x:c>
      <x:c r="O1677" s="31" t="n">
        <x:v>1807</x:v>
      </x:c>
      <x:c r="P1677" s="31" t="n">
        <x:v>3.344525959367946</x:v>
      </x:c>
      <x:c r="Q1677" s="40" t="n">
        <x:v>0</x:v>
      </x:c>
      <x:c r="R1677" s="40" t="n">
        <x:v>0.5229662423907028</x:v>
      </x:c>
      <x:c r="S1677" s="40" t="n">
        <x:v>0.4521306032097399</x:v>
      </x:c>
      <x:c r="T1677" s="31" t="n">
        <x:v>38.6168285872244</x:v>
      </x:c>
      <x:c r="U1677" s="31" t="n">
        <x:v>64.64</x:v>
      </x:c>
      <x:c r="V1677" s="31" t="n">
        <x:v>12</x:v>
      </x:c>
      <x:c r="W1677" s="31" t="n">
        <x:v>1.941747572815534</x:v>
      </x:c>
      <x:c r="X1677" s="31" t="n">
        <x:v>5</x:v>
      </x:c>
      <x:c r="Y1677" s="40" t="n">
        <x:v>1</x:v>
      </x:c>
      <x:c r="Z1677" s="40" t="n">
        <x:v>1</x:v>
      </x:c>
      <x:c r="AA1677" s="40" t="n">
        <x:v>0.9889319313779745</x:v>
      </x:c>
      <x:c r="AB1677" s="31" t="n">
        <x:v>0.17725921653115165</x:v>
      </x:c>
      <x:c r="AC1677" s="31" t="n">
        <x:v>8</x:v>
      </x:c>
      <x:c r="AD1677" s="44" t="b">
        <x:v>1</x:v>
      </x:c>
    </x:row>
    <x:row r="1678">
      <x:c r="A1678" s="31" t="str">
        <x:v>36081025500</x:v>
      </x:c>
      <x:c r="B1678" s="31" t="str">
        <x:v>Queens</x:v>
      </x:c>
      <x:c r="C1678" s="31" t="str">
        <x:v>025500</x:v>
      </x:c>
      <x:c r="D1678" s="31" t="str">
        <x:v>QN0203</x:v>
      </x:c>
      <x:c r="E1678" s="31" t="str">
        <x:v>Woodside</x:v>
      </x:c>
      <x:c r="F1678" s="31" t="n">
        <x:v>0.08414656429744892</x:v>
      </x:c>
      <x:c r="G1678" s="31" t="n">
        <x:v>40.75042439869191</x:v>
      </x:c>
      <x:c r="H1678" s="31" t="n">
        <x:v>-73.90791682501028</x:v>
      </x:c>
      <x:c r="I1678" s="31" t="n">
        <x:v>1603</x:v>
      </x:c>
      <x:c r="J1678" s="31" t="n">
        <x:v>19050.09447959836</x:v>
      </x:c>
      <x:c r="K1678" s="31"/>
      <x:c r="L1678" s="40"/>
      <x:c r="M1678" s="40"/>
      <x:c r="N1678" s="31" t="n">
        <x:v>200</x:v>
      </x:c>
      <x:c r="O1678" s="31" t="n">
        <x:v>544</x:v>
      </x:c>
      <x:c r="P1678" s="31" t="n">
        <x:v>3.277426470588235</x:v>
      </x:c>
      <x:c r="Q1678" s="40" t="n">
        <x:v>0</x:v>
      </x:c>
      <x:c r="R1678" s="40" t="n">
        <x:v>0.4411764705882353</x:v>
      </x:c>
      <x:c r="S1678" s="40" t="n">
        <x:v>0.007352941176470588</x:v>
      </x:c>
      <x:c r="T1678" s="31" t="n">
        <x:v>39.6262527194853</x:v>
      </x:c>
      <x:c r="U1678" s="31" t="n">
        <x:v>68.9</x:v>
      </x:c>
      <x:c r="V1678" s="31" t="n">
        <x:v>3</x:v>
      </x:c>
      <x:c r="W1678" s="31" t="n">
        <x:v>1.8714909544603868</x:v>
      </x:c>
      <x:c r="X1678" s="31" t="n">
        <x:v>3</x:v>
      </x:c>
      <x:c r="Y1678" s="40" t="n">
        <x:v>0</x:v>
      </x:c>
      <x:c r="Z1678" s="40" t="n">
        <x:v>1</x:v>
      </x:c>
      <x:c r="AA1678" s="40" t="n">
        <x:v>1</x:v>
      </x:c>
      <x:c r="AB1678" s="31" t="n">
        <x:v>0.1541178239200696</x:v>
      </x:c>
      <x:c r="AC1678" s="31" t="n">
        <x:v>8</x:v>
      </x:c>
      <x:c r="AD1678" s="44" t="b">
        <x:v>1</x:v>
      </x:c>
    </x:row>
    <x:row r="1679">
      <x:c r="A1679" s="31" t="str">
        <x:v>36081025700</x:v>
      </x:c>
      <x:c r="B1679" s="31" t="str">
        <x:v>Queens</x:v>
      </x:c>
      <x:c r="C1679" s="31" t="str">
        <x:v>025700</x:v>
      </x:c>
      <x:c r="D1679" s="31" t="str">
        <x:v>QN0203</x:v>
      </x:c>
      <x:c r="E1679" s="31" t="str">
        <x:v>Woodside</x:v>
      </x:c>
      <x:c r="F1679" s="31" t="n">
        <x:v>0.058165202011593205</x:v>
      </x:c>
      <x:c r="G1679" s="31" t="n">
        <x:v>40.75010336316083</x:v>
      </x:c>
      <x:c r="H1679" s="31" t="n">
        <x:v>-73.90517568096594</x:v>
      </x:c>
      <x:c r="I1679" s="31" t="n">
        <x:v>1648</x:v>
      </x:c>
      <x:c r="J1679" s="31" t="n">
        <x:v>28333.091659709677</x:v>
      </x:c>
      <x:c r="K1679" s="31"/>
      <x:c r="L1679" s="40"/>
      <x:c r="M1679" s="40"/>
      <x:c r="N1679" s="31" t="n">
        <x:v>199</x:v>
      </x:c>
      <x:c r="O1679" s="31" t="n">
        <x:v>592</x:v>
      </x:c>
      <x:c r="P1679" s="31" t="n">
        <x:v>3.239864864864865</x:v>
      </x:c>
      <x:c r="Q1679" s="40" t="n">
        <x:v>0</x:v>
      </x:c>
      <x:c r="R1679" s="40" t="n">
        <x:v>0.5574324324324325</x:v>
      </x:c>
      <x:c r="S1679" s="40" t="n">
        <x:v>0.0016891891891891893</x:v>
      </x:c>
      <x:c r="T1679" s="31" t="n">
        <x:v>37.141064744442566</x:v>
      </x:c>
      <x:c r="U1679" s="31" t="n">
        <x:v>66.61</x:v>
      </x:c>
      <x:c r="V1679" s="31" t="n">
        <x:v>2</x:v>
      </x:c>
      <x:c r="W1679" s="31" t="n">
        <x:v>1.2135922330097086</x:v>
      </x:c>
      <x:c r="X1679" s="31" t="n">
        <x:v>3</x:v>
      </x:c>
      <x:c r="Y1679" s="40" t="n">
        <x:v>0</x:v>
      </x:c>
      <x:c r="Z1679" s="40" t="n">
        <x:v>1</x:v>
      </x:c>
      <x:c r="AA1679" s="40" t="n">
        <x:v>1</x:v>
      </x:c>
      <x:c r="AB1679" s="31" t="n">
        <x:v>0.17215203888774253</x:v>
      </x:c>
      <x:c r="AC1679" s="31" t="n">
        <x:v>7</x:v>
      </x:c>
      <x:c r="AD1679" s="44" t="b">
        <x:v>1</x:v>
      </x:c>
    </x:row>
    <x:row r="1680">
      <x:c r="A1680" s="31" t="str">
        <x:v>36081025800</x:v>
      </x:c>
      <x:c r="B1680" s="31" t="str">
        <x:v>Queens</x:v>
      </x:c>
      <x:c r="C1680" s="31" t="str">
        <x:v>025800</x:v>
      </x:c>
      <x:c r="D1680" s="31" t="str">
        <x:v>QN1202</x:v>
      </x:c>
      <x:c r="E1680" s="31" t="str">
        <x:v>South Jamaica</x:v>
      </x:c>
      <x:c r="F1680" s="31" t="n">
        <x:v>0.08179683445785985</x:v>
      </x:c>
      <x:c r="G1680" s="31" t="n">
        <x:v>40.696041807971056</x:v>
      </x:c>
      <x:c r="H1680" s="31" t="n">
        <x:v>-73.78727995776532</x:v>
      </x:c>
      <x:c r="I1680" s="31" t="n">
        <x:v>2289</x:v>
      </x:c>
      <x:c r="J1680" s="31" t="n">
        <x:v>27983.968024817008</x:v>
      </x:c>
      <x:c r="K1680" s="31"/>
      <x:c r="L1680" s="40"/>
      <x:c r="M1680" s="40"/>
      <x:c r="N1680" s="31" t="n">
        <x:v>376</x:v>
      </x:c>
      <x:c r="O1680" s="31" t="n">
        <x:v>555</x:v>
      </x:c>
      <x:c r="P1680" s="31" t="n">
        <x:v>2.296108108108108</x:v>
      </x:c>
      <x:c r="Q1680" s="40" t="n">
        <x:v>0</x:v>
      </x:c>
      <x:c r="R1680" s="40" t="n">
        <x:v>0.04684684684684685</x:v>
      </x:c>
      <x:c r="S1680" s="40" t="n">
        <x:v>0.005405405405405406</x:v>
      </x:c>
      <x:c r="T1680" s="31" t="n">
        <x:v>28.30716395629091</x:v>
      </x:c>
      <x:c r="U1680" s="31" t="n">
        <x:v>36.26</x:v>
      </x:c>
      <x:c r="V1680" s="31" t="n">
        <x:v>0</x:v>
      </x:c>
      <x:c r="W1680" s="31" t="n">
        <x:v>0</x:v>
      </x:c>
      <x:c r="X1680" s="31" t="n">
        <x:v>5</x:v>
      </x:c>
      <x:c r="Y1680" s="40" t="n">
        <x:v>1</x:v>
      </x:c>
      <x:c r="Z1680" s="40" t="n">
        <x:v>1</x:v>
      </x:c>
      <x:c r="AA1680" s="40" t="n">
        <x:v>0.990990990990991</x:v>
      </x:c>
      <x:c r="AB1680" s="31" t="n">
        <x:v>0.08428323976237424</x:v>
      </x:c>
      <x:c r="AC1680" s="31" t="n">
        <x:v>6</x:v>
      </x:c>
      <x:c r="AD1680" s="44" t="b">
        <x:v>1</x:v>
      </x:c>
    </x:row>
    <x:row r="1681">
      <x:c r="A1681" s="31" t="str">
        <x:v>36081025900</x:v>
      </x:c>
      <x:c r="B1681" s="31" t="str">
        <x:v>Queens</x:v>
      </x:c>
      <x:c r="C1681" s="31" t="str">
        <x:v>025900</x:v>
      </x:c>
      <x:c r="D1681" s="31" t="str">
        <x:v>QN0203</x:v>
      </x:c>
      <x:c r="E1681" s="31" t="str">
        <x:v>Woodside</x:v>
      </x:c>
      <x:c r="F1681" s="31" t="n">
        <x:v>0.0722717432998307</x:v>
      </x:c>
      <x:c r="G1681" s="31" t="n">
        <x:v>40.74857785306373</x:v>
      </x:c>
      <x:c r="H1681" s="31" t="n">
        <x:v>-73.90352610253483</x:v>
      </x:c>
      <x:c r="I1681" s="31" t="n">
        <x:v>3542</x:v>
      </x:c>
      <x:c r="J1681" s="31" t="n">
        <x:v>49009.47228165586</x:v>
      </x:c>
      <x:c r="K1681" s="31"/>
      <x:c r="L1681" s="40"/>
      <x:c r="M1681" s="40"/>
      <x:c r="N1681" s="31" t="n">
        <x:v>256</x:v>
      </x:c>
      <x:c r="O1681" s="31" t="n">
        <x:v>1161</x:v>
      </x:c>
      <x:c r="P1681" s="31" t="n">
        <x:v>3.9635146804835926</x:v>
      </x:c>
      <x:c r="Q1681" s="40" t="n">
        <x:v>0</x:v>
      </x:c>
      <x:c r="R1681" s="40" t="n">
        <x:v>0.7321274763135228</x:v>
      </x:c>
      <x:c r="S1681" s="40" t="n">
        <x:v>0.0017226528854435831</x:v>
      </x:c>
      <x:c r="T1681" s="31" t="n">
        <x:v>43.47884298646856</x:v>
      </x:c>
      <x:c r="U1681" s="31" t="n">
        <x:v>66.72</x:v>
      </x:c>
      <x:c r="V1681" s="31" t="n">
        <x:v>7</x:v>
      </x:c>
      <x:c r="W1681" s="31" t="n">
        <x:v>1.976284584980237</x:v>
      </x:c>
      <x:c r="X1681" s="31" t="n">
        <x:v>3</x:v>
      </x:c>
      <x:c r="Y1681" s="40" t="n">
        <x:v>0</x:v>
      </x:c>
      <x:c r="Z1681" s="40" t="n">
        <x:v>1</x:v>
      </x:c>
      <x:c r="AA1681" s="40" t="n">
        <x:v>1</x:v>
      </x:c>
      <x:c r="AB1681" s="31" t="n">
        <x:v>0.1322985445161652</x:v>
      </x:c>
      <x:c r="AC1681" s="31" t="n">
        <x:v>5</x:v>
      </x:c>
      <x:c r="AD1681" s="44" t="b">
        <x:v>1</x:v>
      </x:c>
    </x:row>
    <x:row r="1682">
      <x:c r="A1682" s="31" t="str">
        <x:v>36081026000</x:v>
      </x:c>
      <x:c r="B1682" s="31" t="str">
        <x:v>Queens</x:v>
      </x:c>
      <x:c r="C1682" s="31" t="str">
        <x:v>026000</x:v>
      </x:c>
      <x:c r="D1682" s="31" t="str">
        <x:v>QN1202</x:v>
      </x:c>
      <x:c r="E1682" s="31" t="str">
        <x:v>South Jamaica</x:v>
      </x:c>
      <x:c r="F1682" s="31" t="n">
        <x:v>0.06890346860257404</x:v>
      </x:c>
      <x:c r="G1682" s="31" t="n">
        <x:v>40.69274809767341</x:v>
      </x:c>
      <x:c r="H1682" s="31" t="n">
        <x:v>-73.79331124888459</x:v>
      </x:c>
      <x:c r="I1682" s="31" t="n">
        <x:v>2915</x:v>
      </x:c>
      <x:c r="J1682" s="31" t="n">
        <x:v>42305.56253725525</x:v>
      </x:c>
      <x:c r="K1682" s="31"/>
      <x:c r="L1682" s="40"/>
      <x:c r="M1682" s="40"/>
      <x:c r="N1682" s="31" t="n">
        <x:v>280</x:v>
      </x:c>
      <x:c r="O1682" s="31" t="n">
        <x:v>864</x:v>
      </x:c>
      <x:c r="P1682" s="31" t="n">
        <x:v>4.140787949015063</x:v>
      </x:c>
      <x:c r="Q1682" s="40" t="n">
        <x:v>0</x:v>
      </x:c>
      <x:c r="R1682" s="40" t="n">
        <x:v>0.46064814814814814</x:v>
      </x:c>
      <x:c r="S1682" s="40" t="n">
        <x:v>0.3854166666666667</x:v>
      </x:c>
      <x:c r="T1682" s="31" t="n">
        <x:v>42.31711096327465</x:v>
      </x:c>
      <x:c r="U1682" s="31" t="n">
        <x:v>64.4943974</x:v>
      </x:c>
      <x:c r="V1682" s="31" t="n">
        <x:v>4</x:v>
      </x:c>
      <x:c r="W1682" s="31" t="n">
        <x:v>1.3722126929674099</x:v>
      </x:c>
      <x:c r="X1682" s="31" t="n">
        <x:v>4.956018518518518</x:v>
      </x:c>
      <x:c r="Y1682" s="40" t="n">
        <x:v>1</x:v>
      </x:c>
      <x:c r="Z1682" s="40" t="n">
        <x:v>1</x:v>
      </x:c>
      <x:c r="AA1682" s="40" t="n">
        <x:v>0.9861111111111112</x:v>
      </x:c>
      <x:c r="AB1682" s="31" t="n">
        <x:v>0.09102310228646211</x:v>
      </x:c>
      <x:c r="AC1682" s="31" t="n">
        <x:v>6</x:v>
      </x:c>
      <x:c r="AD1682" s="44" t="b">
        <x:v>1</x:v>
      </x:c>
    </x:row>
    <x:row r="1683">
      <x:c r="A1683" s="31" t="str">
        <x:v>36081026100</x:v>
      </x:c>
      <x:c r="B1683" s="31" t="str">
        <x:v>Queens</x:v>
      </x:c>
      <x:c r="C1683" s="31" t="str">
        <x:v>026100</x:v>
      </x:c>
      <x:c r="D1683" s="31" t="str">
        <x:v>QN0203</x:v>
      </x:c>
      <x:c r="E1683" s="31" t="str">
        <x:v>Woodside</x:v>
      </x:c>
      <x:c r="F1683" s="31" t="n">
        <x:v>0.08551436602530992</x:v>
      </x:c>
      <x:c r="G1683" s="31" t="n">
        <x:v>40.74721248640587</x:v>
      </x:c>
      <x:c r="H1683" s="31" t="n">
        <x:v>-73.90060163278942</x:v>
      </x:c>
      <x:c r="I1683" s="31" t="n">
        <x:v>7802</x:v>
      </x:c>
      <x:c r="J1683" s="31" t="n">
        <x:v>91236.13215691526</x:v>
      </x:c>
      <x:c r="K1683" s="31"/>
      <x:c r="L1683" s="40"/>
      <x:c r="M1683" s="40"/>
      <x:c r="N1683" s="31" t="n">
        <x:v>435</x:v>
      </x:c>
      <x:c r="O1683" s="31" t="n">
        <x:v>2324</x:v>
      </x:c>
      <x:c r="P1683" s="31" t="n">
        <x:v>3.837925096857512</x:v>
      </x:c>
      <x:c r="Q1683" s="40" t="n">
        <x:v>0</x:v>
      </x:c>
      <x:c r="R1683" s="40" t="n">
        <x:v>0.7000860585197934</x:v>
      </x:c>
      <x:c r="S1683" s="40" t="n">
        <x:v>0.20611015490533563</x:v>
      </x:c>
      <x:c r="T1683" s="31" t="n">
        <x:v>42.2369336509901</x:v>
      </x:c>
      <x:c r="U1683" s="31" t="n">
        <x:v>70.52838716</x:v>
      </x:c>
      <x:c r="V1683" s="31" t="n">
        <x:v>8</x:v>
      </x:c>
      <x:c r="W1683" s="31" t="n">
        <x:v>1.0253781081773905</x:v>
      </x:c>
      <x:c r="X1683" s="31" t="n">
        <x:v>3</x:v>
      </x:c>
      <x:c r="Y1683" s="40" t="n">
        <x:v>0</x:v>
      </x:c>
      <x:c r="Z1683" s="40" t="n">
        <x:v>1</x:v>
      </x:c>
      <x:c r="AA1683" s="40" t="n">
        <x:v>0.9995697074010327</x:v>
      </x:c>
      <x:c r="AB1683" s="31" t="n">
        <x:v>0.2706637767551884</x:v>
      </x:c>
      <x:c r="AC1683" s="31" t="n">
        <x:v>5</x:v>
      </x:c>
      <x:c r="AD1683" s="44" t="b">
        <x:v>1</x:v>
      </x:c>
    </x:row>
    <x:row r="1684">
      <x:c r="A1684" s="31" t="str">
        <x:v>36081026200</x:v>
      </x:c>
      <x:c r="B1684" s="31" t="str">
        <x:v>Queens</x:v>
      </x:c>
      <x:c r="C1684" s="31" t="str">
        <x:v>026200</x:v>
      </x:c>
      <x:c r="D1684" s="31" t="str">
        <x:v>QN1202</x:v>
      </x:c>
      <x:c r="E1684" s="31" t="str">
        <x:v>South Jamaica</x:v>
      </x:c>
      <x:c r="F1684" s="31" t="n">
        <x:v>0.055244017652017335</x:v>
      </x:c>
      <x:c r="G1684" s="31" t="n">
        <x:v>40.69100863878794</x:v>
      </x:c>
      <x:c r="H1684" s="31" t="n">
        <x:v>-73.79208776869193</x:v>
      </x:c>
      <x:c r="I1684" s="31" t="n">
        <x:v>1652</x:v>
      </x:c>
      <x:c r="J1684" s="31" t="n">
        <x:v>29903.69039424261</x:v>
      </x:c>
      <x:c r="K1684" s="31"/>
      <x:c r="L1684" s="40"/>
      <x:c r="M1684" s="40"/>
      <x:c r="N1684" s="31" t="n">
        <x:v>289</x:v>
      </x:c>
      <x:c r="O1684" s="31" t="n">
        <x:v>401</x:v>
      </x:c>
      <x:c r="P1684" s="31" t="n">
        <x:v>2.091645885286783</x:v>
      </x:c>
      <x:c r="Q1684" s="40" t="n">
        <x:v>0</x:v>
      </x:c>
      <x:c r="R1684" s="40" t="n">
        <x:v>0</x:v>
      </x:c>
      <x:c r="S1684" s="40" t="n">
        <x:v>0.007481296758104738</x:v>
      </x:c>
      <x:c r="T1684" s="31" t="n">
        <x:v>25.895906908413096</x:v>
      </x:c>
      <x:c r="U1684" s="31" t="n">
        <x:v>37.4</x:v>
      </x:c>
      <x:c r="V1684" s="31" t="n">
        <x:v>1</x:v>
      </x:c>
      <x:c r="W1684" s="31" t="n">
        <x:v>0.6053268765133172</x:v>
      </x:c>
      <x:c r="X1684" s="31" t="n">
        <x:v>4.975062344139651</x:v>
      </x:c>
      <x:c r="Y1684" s="40" t="n">
        <x:v>1</x:v>
      </x:c>
      <x:c r="Z1684" s="40" t="n">
        <x:v>1</x:v>
      </x:c>
      <x:c r="AA1684" s="40" t="n">
        <x:v>0.9900249376558603</x:v>
      </x:c>
      <x:c r="AB1684" s="31" t="n">
        <x:v>0.18574831002851017</x:v>
      </x:c>
      <x:c r="AC1684" s="31" t="n">
        <x:v>6</x:v>
      </x:c>
      <x:c r="AD1684" s="44" t="b">
        <x:v>1</x:v>
      </x:c>
    </x:row>
    <x:row r="1685">
      <x:c r="A1685" s="31" t="str">
        <x:v>36081026300</x:v>
      </x:c>
      <x:c r="B1685" s="31" t="str">
        <x:v>Queens</x:v>
      </x:c>
      <x:c r="C1685" s="31" t="str">
        <x:v>026300</x:v>
      </x:c>
      <x:c r="D1685" s="31" t="str">
        <x:v>QN0203</x:v>
      </x:c>
      <x:c r="E1685" s="31" t="str">
        <x:v>Woodside</x:v>
      </x:c>
      <x:c r="F1685" s="31" t="n">
        <x:v>0.0804326499971304</x:v>
      </x:c>
      <x:c r="G1685" s="31" t="n">
        <x:v>40.74576524264331</x:v>
      </x:c>
      <x:c r="H1685" s="31" t="n">
        <x:v>-73.89702753376633</x:v>
      </x:c>
      <x:c r="I1685" s="31" t="n">
        <x:v>6631</x:v>
      </x:c>
      <x:c r="J1685" s="31" t="n">
        <x:v>82441.64528007686</x:v>
      </x:c>
      <x:c r="K1685" s="31"/>
      <x:c r="L1685" s="40"/>
      <x:c r="M1685" s="40"/>
      <x:c r="N1685" s="31" t="n">
        <x:v>436</x:v>
      </x:c>
      <x:c r="O1685" s="31" t="n">
        <x:v>2156</x:v>
      </x:c>
      <x:c r="P1685" s="31" t="n">
        <x:v>4.202090183184594</x:v>
      </x:c>
      <x:c r="Q1685" s="40" t="n">
        <x:v>0.04823747680890538</x:v>
      </x:c>
      <x:c r="R1685" s="40" t="n">
        <x:v>0.712430426716141</x:v>
      </x:c>
      <x:c r="S1685" s="40" t="n">
        <x:v>0.003246753246753247</x:v>
      </x:c>
      <x:c r="T1685" s="31" t="n">
        <x:v>46.500809880446425</x:v>
      </x:c>
      <x:c r="U1685" s="31" t="n">
        <x:v>97.21048662</x:v>
      </x:c>
      <x:c r="V1685" s="31" t="n">
        <x:v>32</x:v>
      </x:c>
      <x:c r="W1685" s="31" t="n">
        <x:v>4.825818126979339</x:v>
      </x:c>
      <x:c r="X1685" s="31" t="n">
        <x:v>3</x:v>
      </x:c>
      <x:c r="Y1685" s="40" t="n">
        <x:v>0</x:v>
      </x:c>
      <x:c r="Z1685" s="40" t="n">
        <x:v>1</x:v>
      </x:c>
      <x:c r="AA1685" s="40" t="n">
        <x:v>0.987012987012987</x:v>
      </x:c>
      <x:c r="AB1685" s="31" t="n">
        <x:v>0.1686953653441504</x:v>
      </x:c>
      <x:c r="AC1685" s="31" t="n">
        <x:v>7</x:v>
      </x:c>
      <x:c r="AD1685" s="44" t="b">
        <x:v>1</x:v>
      </x:c>
    </x:row>
    <x:row r="1686">
      <x:c r="A1686" s="31" t="str">
        <x:v>36081026400</x:v>
      </x:c>
      <x:c r="B1686" s="31" t="str">
        <x:v>Queens</x:v>
      </x:c>
      <x:c r="C1686" s="31" t="str">
        <x:v>026400</x:v>
      </x:c>
      <x:c r="D1686" s="31" t="str">
        <x:v>QN1202</x:v>
      </x:c>
      <x:c r="E1686" s="31" t="str">
        <x:v>South Jamaica</x:v>
      </x:c>
      <x:c r="F1686" s="31" t="n">
        <x:v>0.09826982395367022</x:v>
      </x:c>
      <x:c r="G1686" s="31" t="n">
        <x:v>40.692230979945634</x:v>
      </x:c>
      <x:c r="H1686" s="31" t="n">
        <x:v>-73.78579133467179</x:v>
      </x:c>
      <x:c r="I1686" s="31" t="n">
        <x:v>2736</x:v>
      </x:c>
      <x:c r="J1686" s="31" t="n">
        <x:v>27841.710607825047</x:v>
      </x:c>
      <x:c r="K1686" s="31"/>
      <x:c r="L1686" s="40"/>
      <x:c r="M1686" s="40"/>
      <x:c r="N1686" s="31" t="n">
        <x:v>435</x:v>
      </x:c>
      <x:c r="O1686" s="31" t="n">
        <x:v>837</x:v>
      </x:c>
      <x:c r="P1686" s="31" t="n">
        <x:v>2.8539426523297493</x:v>
      </x:c>
      <x:c r="Q1686" s="40" t="n">
        <x:v>0</x:v>
      </x:c>
      <x:c r="R1686" s="40" t="n">
        <x:v>0.2532855436081243</x:v>
      </x:c>
      <x:c r="S1686" s="40" t="n">
        <x:v>0.0035842293906810036</x:v>
      </x:c>
      <x:c r="T1686" s="31" t="n">
        <x:v>33.03695557738815</x:v>
      </x:c>
      <x:c r="U1686" s="31" t="n">
        <x:v>54.97</x:v>
      </x:c>
      <x:c r="V1686" s="31" t="n">
        <x:v>5</x:v>
      </x:c>
      <x:c r="W1686" s="31" t="n">
        <x:v>1.827485380116959</x:v>
      </x:c>
      <x:c r="X1686" s="31" t="n">
        <x:v>5</x:v>
      </x:c>
      <x:c r="Y1686" s="40" t="n">
        <x:v>1</x:v>
      </x:c>
      <x:c r="Z1686" s="40" t="n">
        <x:v>1</x:v>
      </x:c>
      <x:c r="AA1686" s="40" t="n">
        <x:v>0.98805256869773</x:v>
      </x:c>
      <x:c r="AB1686" s="31" t="n">
        <x:v>0.1003320659347133</x:v>
      </x:c>
      <x:c r="AC1686" s="31" t="n">
        <x:v>9</x:v>
      </x:c>
      <x:c r="AD1686" s="44" t="b">
        <x:v>1</x:v>
      </x:c>
    </x:row>
    <x:row r="1687">
      <x:c r="A1687" s="31" t="str">
        <x:v>36081026501</x:v>
      </x:c>
      <x:c r="B1687" s="31" t="str">
        <x:v>Queens</x:v>
      </x:c>
      <x:c r="C1687" s="31" t="str">
        <x:v>026501</x:v>
      </x:c>
      <x:c r="D1687" s="31" t="str">
        <x:v>QN0401</x:v>
      </x:c>
      <x:c r="E1687" s="31" t="str">
        <x:v>Elmhurst</x:v>
      </x:c>
      <x:c r="F1687" s="31" t="n">
        <x:v>0.041444944172190655</x:v>
      </x:c>
      <x:c r="G1687" s="31" t="n">
        <x:v>40.74559940058767</x:v>
      </x:c>
      <x:c r="H1687" s="31" t="n">
        <x:v>-73.89268075667414</x:v>
      </x:c>
      <x:c r="I1687" s="31" t="n">
        <x:v>3213</x:v>
      </x:c>
      <x:c r="J1687" s="31" t="n">
        <x:v>77524.53439558271</x:v>
      </x:c>
      <x:c r="K1687" s="31"/>
      <x:c r="L1687" s="40"/>
      <x:c r="M1687" s="40"/>
      <x:c r="N1687" s="31" t="n">
        <x:v>159</x:v>
      </x:c>
      <x:c r="O1687" s="31" t="n">
        <x:v>1212</x:v>
      </x:c>
      <x:c r="P1687" s="31" t="n">
        <x:v>5.761155115511552</x:v>
      </x:c>
      <x:c r="Q1687" s="40" t="n">
        <x:v>0.12706270627062707</x:v>
      </x:c>
      <x:c r="R1687" s="40" t="n">
        <x:v>0.7128712871287128</x:v>
      </x:c>
      <x:c r="S1687" s="40" t="n">
        <x:v>0.0016501650165016502</x:v>
      </x:c>
      <x:c r="T1687" s="31" t="n">
        <x:v>66.13859304967391</x:v>
      </x:c>
      <x:c r="U1687" s="31" t="n">
        <x:v>162</x:v>
      </x:c>
      <x:c r="V1687" s="31" t="n">
        <x:v>18</x:v>
      </x:c>
      <x:c r="W1687" s="31" t="n">
        <x:v>5.602240896358543</x:v>
      </x:c>
      <x:c r="X1687" s="31" t="n">
        <x:v>3</x:v>
      </x:c>
      <x:c r="Y1687" s="40" t="n">
        <x:v>0</x:v>
      </x:c>
      <x:c r="Z1687" s="40" t="n">
        <x:v>1</x:v>
      </x:c>
      <x:c r="AA1687" s="40" t="n">
        <x:v>0.9867986798679867</x:v>
      </x:c>
      <x:c r="AB1687" s="31" t="n">
        <x:v>0.14346276357543442</x:v>
      </x:c>
      <x:c r="AC1687" s="31" t="n">
        <x:v>7</x:v>
      </x:c>
      <x:c r="AD1687" s="44" t="b">
        <x:v>1</x:v>
      </x:c>
    </x:row>
    <x:row r="1688">
      <x:c r="A1688" s="31" t="str">
        <x:v>36081026502</x:v>
      </x:c>
      <x:c r="B1688" s="31" t="str">
        <x:v>Queens</x:v>
      </x:c>
      <x:c r="C1688" s="31" t="str">
        <x:v>026502</x:v>
      </x:c>
      <x:c r="D1688" s="31" t="str">
        <x:v>QN0203</x:v>
      </x:c>
      <x:c r="E1688" s="31" t="str">
        <x:v>Woodside</x:v>
      </x:c>
      <x:c r="F1688" s="31" t="n">
        <x:v>0.026982832104532544</x:v>
      </x:c>
      <x:c r="G1688" s="31" t="n">
        <x:v>40.74393572222961</x:v>
      </x:c>
      <x:c r="H1688" s="31" t="n">
        <x:v>-73.89417841600908</x:v>
      </x:c>
      <x:c r="I1688" s="31" t="n">
        <x:v>1622</x:v>
      </x:c>
      <x:c r="J1688" s="31" t="n">
        <x:v>60112.29635630199</x:v>
      </x:c>
      <x:c r="K1688" s="31"/>
      <x:c r="L1688" s="40"/>
      <x:c r="M1688" s="40"/>
      <x:c r="N1688" s="31" t="n">
        <x:v>129</x:v>
      </x:c>
      <x:c r="O1688" s="31" t="n">
        <x:v>439</x:v>
      </x:c>
      <x:c r="P1688" s="31" t="n">
        <x:v>2.9943052391799543</x:v>
      </x:c>
      <x:c r="Q1688" s="40" t="n">
        <x:v>0</x:v>
      </x:c>
      <x:c r="R1688" s="40" t="n">
        <x:v>0.6469248291571754</x:v>
      </x:c>
      <x:c r="S1688" s="40" t="n">
        <x:v>0</x:v>
      </x:c>
      <x:c r="T1688" s="31" t="n">
        <x:v>35.71925930211845</x:v>
      </x:c>
      <x:c r="U1688" s="31" t="n">
        <x:v>58</x:v>
      </x:c>
      <x:c r="V1688" s="31" t="n">
        <x:v>3</x:v>
      </x:c>
      <x:c r="W1688" s="31" t="n">
        <x:v>1.8495684340320593</x:v>
      </x:c>
      <x:c r="X1688" s="31" t="n">
        <x:v>3</x:v>
      </x:c>
      <x:c r="Y1688" s="40" t="n">
        <x:v>0</x:v>
      </x:c>
      <x:c r="Z1688" s="40" t="n">
        <x:v>1</x:v>
      </x:c>
      <x:c r="AA1688" s="40" t="n">
        <x:v>1</x:v>
      </x:c>
      <x:c r="AB1688" s="31" t="n">
        <x:v>0.12661790459487351</x:v>
      </x:c>
      <x:c r="AC1688" s="31" t="n">
        <x:v>5</x:v>
      </x:c>
      <x:c r="AD1688" s="44" t="b">
        <x:v>1</x:v>
      </x:c>
    </x:row>
    <x:row r="1689">
      <x:c r="A1689" s="31" t="str">
        <x:v>36081026600</x:v>
      </x:c>
      <x:c r="B1689" s="31" t="str">
        <x:v>Queens</x:v>
      </x:c>
      <x:c r="C1689" s="31" t="str">
        <x:v>026600</x:v>
      </x:c>
      <x:c r="D1689" s="31" t="str">
        <x:v>QN1202</x:v>
      </x:c>
      <x:c r="E1689" s="31" t="str">
        <x:v>South Jamaica</x:v>
      </x:c>
      <x:c r="F1689" s="31" t="n">
        <x:v>0.06678316220945248</x:v>
      </x:c>
      <x:c r="G1689" s="31" t="n">
        <x:v>40.69188128234664</x:v>
      </x:c>
      <x:c r="H1689" s="31" t="n">
        <x:v>-73.78169505396866</x:v>
      </x:c>
      <x:c r="I1689" s="31" t="n">
        <x:v>1949</x:v>
      </x:c>
      <x:c r="J1689" s="31" t="n">
        <x:v>29184.002906111848</x:v>
      </x:c>
      <x:c r="K1689" s="31"/>
      <x:c r="L1689" s="40"/>
      <x:c r="M1689" s="40"/>
      <x:c r="N1689" s="31" t="n">
        <x:v>289</x:v>
      </x:c>
      <x:c r="O1689" s="31" t="n">
        <x:v>779</x:v>
      </x:c>
      <x:c r="P1689" s="31" t="n">
        <x:v>4.751322207958922</x:v>
      </x:c>
      <x:c r="Q1689" s="40" t="n">
        <x:v>0</x:v>
      </x:c>
      <x:c r="R1689" s="40" t="n">
        <x:v>0.5263157894736842</x:v>
      </x:c>
      <x:c r="S1689" s="40" t="n">
        <x:v>0.0012836970474967907</x:v>
      </x:c>
      <x:c r="T1689" s="31" t="n">
        <x:v>54.83374362350901</x:v>
      </x:c>
      <x:c r="U1689" s="31" t="n">
        <x:v>92.26240117</x:v>
      </x:c>
      <x:c r="V1689" s="31" t="n">
        <x:v>6</x:v>
      </x:c>
      <x:c r="W1689" s="31" t="n">
        <x:v>3.078501795792714</x:v>
      </x:c>
      <x:c r="X1689" s="31" t="n">
        <x:v>5</x:v>
      </x:c>
      <x:c r="Y1689" s="40" t="n">
        <x:v>1</x:v>
      </x:c>
      <x:c r="Z1689" s="40" t="n">
        <x:v>1</x:v>
      </x:c>
      <x:c r="AA1689" s="40" t="n">
        <x:v>0.9987163029525032</x:v>
      </x:c>
      <x:c r="AB1689" s="31" t="n">
        <x:v>0.17148118625262587</x:v>
      </x:c>
      <x:c r="AC1689" s="31" t="n">
        <x:v>5</x:v>
      </x:c>
      <x:c r="AD1689" s="44" t="b">
        <x:v>1</x:v>
      </x:c>
    </x:row>
    <x:row r="1690">
      <x:c r="A1690" s="31" t="str">
        <x:v>36081026700</x:v>
      </x:c>
      <x:c r="B1690" s="31" t="str">
        <x:v>Queens</x:v>
      </x:c>
      <x:c r="C1690" s="31" t="str">
        <x:v>026700</x:v>
      </x:c>
      <x:c r="D1690" s="31" t="str">
        <x:v>QN0401</x:v>
      </x:c>
      <x:c r="E1690" s="31" t="str">
        <x:v>Elmhurst</x:v>
      </x:c>
      <x:c r="F1690" s="31" t="n">
        <x:v>0.08092972038316402</x:v>
      </x:c>
      <x:c r="G1690" s="31" t="n">
        <x:v>40.74532709032941</x:v>
      </x:c>
      <x:c r="H1690" s="31" t="n">
        <x:v>-73.88803613205201</x:v>
      </x:c>
      <x:c r="I1690" s="31" t="n">
        <x:v>6196</x:v>
      </x:c>
      <x:c r="J1690" s="31" t="n">
        <x:v>76560.25463408083</x:v>
      </x:c>
      <x:c r="K1690" s="31"/>
      <x:c r="L1690" s="40"/>
      <x:c r="M1690" s="40"/>
      <x:c r="N1690" s="31" t="n">
        <x:v>250</x:v>
      </x:c>
      <x:c r="O1690" s="31" t="n">
        <x:v>2097</x:v>
      </x:c>
      <x:c r="P1690" s="31" t="n">
        <x:v>4.904625655698617</x:v>
      </x:c>
      <x:c r="Q1690" s="40" t="n">
        <x:v>0</x:v>
      </x:c>
      <x:c r="R1690" s="40" t="n">
        <x:v>0.8845970433953266</x:v>
      </x:c>
      <x:c r="S1690" s="40" t="n">
        <x:v>0.023366714353838816</x:v>
      </x:c>
      <x:c r="T1690" s="31" t="n">
        <x:v>54.43776160277114</x:v>
      </x:c>
      <x:c r="U1690" s="31" t="n">
        <x:v>96</x:v>
      </x:c>
      <x:c r="V1690" s="31" t="n">
        <x:v>28</x:v>
      </x:c>
      <x:c r="W1690" s="31" t="n">
        <x:v>4.519044544867657</x:v>
      </x:c>
      <x:c r="X1690" s="31" t="n">
        <x:v>3</x:v>
      </x:c>
      <x:c r="Y1690" s="40" t="n">
        <x:v>0</x:v>
      </x:c>
      <x:c r="Z1690" s="40" t="n">
        <x:v>1</x:v>
      </x:c>
      <x:c r="AA1690" s="40" t="n">
        <x:v>0.9980925131139723</x:v>
      </x:c>
      <x:c r="AB1690" s="31" t="n">
        <x:v>0.05739269981862883</x:v>
      </x:c>
      <x:c r="AC1690" s="31" t="n">
        <x:v>9</x:v>
      </x:c>
      <x:c r="AD1690" s="44" t="b">
        <x:v>1</x:v>
      </x:c>
    </x:row>
    <x:row r="1691">
      <x:c r="A1691" s="31" t="str">
        <x:v>36081026901</x:v>
      </x:c>
      <x:c r="B1691" s="31" t="str">
        <x:v>Queens</x:v>
      </x:c>
      <x:c r="C1691" s="31" t="str">
        <x:v>026901</x:v>
      </x:c>
      <x:c r="D1691" s="31" t="str">
        <x:v>QN0401</x:v>
      </x:c>
      <x:c r="E1691" s="31" t="str">
        <x:v>Elmhurst</x:v>
      </x:c>
      <x:c r="F1691" s="31" t="n">
        <x:v>0.044132511069143135</x:v>
      </x:c>
      <x:c r="G1691" s="31" t="n">
        <x:v>40.746871547502195</x:v>
      </x:c>
      <x:c r="H1691" s="31" t="n">
        <x:v>-73.88221812270639</x:v>
      </x:c>
      <x:c r="I1691" s="31" t="n">
        <x:v>5210</x:v>
      </x:c>
      <x:c r="J1691" s="31" t="n">
        <x:v>118053.55901542532</x:v>
      </x:c>
      <x:c r="K1691" s="31"/>
      <x:c r="L1691" s="40"/>
      <x:c r="M1691" s="40"/>
      <x:c r="N1691" s="31" t="n">
        <x:v>152</x:v>
      </x:c>
      <x:c r="O1691" s="31" t="n">
        <x:v>1573</x:v>
      </x:c>
      <x:c r="P1691" s="31" t="n">
        <x:v>5.287507946598856</x:v>
      </x:c>
      <x:c r="Q1691" s="40" t="n">
        <x:v>0</x:v>
      </x:c>
      <x:c r="R1691" s="40" t="n">
        <x:v>0.9109980928162746</x:v>
      </x:c>
      <x:c r="S1691" s="40" t="n">
        <x:v>0.003814367450731087</x:v>
      </x:c>
      <x:c r="T1691" s="31" t="n">
        <x:v>57.52907535493282</x:v>
      </x:c>
      <x:c r="U1691" s="31" t="n">
        <x:v>67.59</x:v>
      </x:c>
      <x:c r="V1691" s="31" t="n">
        <x:v>23</x:v>
      </x:c>
      <x:c r="W1691" s="31" t="n">
        <x:v>4.414587332053744</x:v>
      </x:c>
      <x:c r="X1691" s="31" t="n">
        <x:v>3</x:v>
      </x:c>
      <x:c r="Y1691" s="40" t="n">
        <x:v>0</x:v>
      </x:c>
      <x:c r="Z1691" s="40" t="n">
        <x:v>1</x:v>
      </x:c>
      <x:c r="AA1691" s="40" t="n">
        <x:v>0.9936427209154481</x:v>
      </x:c>
      <x:c r="AB1691" s="31" t="n">
        <x:v>0.1510851793608126</x:v>
      </x:c>
      <x:c r="AC1691" s="31" t="n">
        <x:v>8</x:v>
      </x:c>
      <x:c r="AD1691" s="44" t="b">
        <x:v>1</x:v>
      </x:c>
    </x:row>
    <x:row r="1692">
      <x:c r="A1692" s="31" t="str">
        <x:v>36081026902</x:v>
      </x:c>
      <x:c r="B1692" s="31" t="str">
        <x:v>Queens</x:v>
      </x:c>
      <x:c r="C1692" s="31" t="str">
        <x:v>026902</x:v>
      </x:c>
      <x:c r="D1692" s="31" t="str">
        <x:v>QN0401</x:v>
      </x:c>
      <x:c r="E1692" s="31" t="str">
        <x:v>Elmhurst</x:v>
      </x:c>
      <x:c r="F1692" s="31" t="n">
        <x:v>0.03031013307481778</x:v>
      </x:c>
      <x:c r="G1692" s="31" t="n">
        <x:v>40.744614087838514</x:v>
      </x:c>
      <x:c r="H1692" s="31" t="n">
        <x:v>-73.88295405146208</x:v>
      </x:c>
      <x:c r="I1692" s="31" t="n">
        <x:v>4244</x:v>
      </x:c>
      <x:c r="J1692" s="31" t="n">
        <x:v>140019.18069854975</x:v>
      </x:c>
      <x:c r="K1692" s="31"/>
      <x:c r="L1692" s="40"/>
      <x:c r="M1692" s="40"/>
      <x:c r="N1692" s="31" t="n">
        <x:v>133</x:v>
      </x:c>
      <x:c r="O1692" s="31" t="n">
        <x:v>1429</x:v>
      </x:c>
      <x:c r="P1692" s="31" t="n">
        <x:v>5.236703988803359</x:v>
      </x:c>
      <x:c r="Q1692" s="40" t="n">
        <x:v>0</x:v>
      </x:c>
      <x:c r="R1692" s="40" t="n">
        <x:v>0.8957312806158153</x:v>
      </x:c>
      <x:c r="S1692" s="40" t="n">
        <x:v>0.002099370188943317</x:v>
      </x:c>
      <x:c r="T1692" s="31" t="n">
        <x:v>58.58665179154654</x:v>
      </x:c>
      <x:c r="U1692" s="31" t="n">
        <x:v>71.41</x:v>
      </x:c>
      <x:c r="V1692" s="31" t="n">
        <x:v>24</x:v>
      </x:c>
      <x:c r="W1692" s="31" t="n">
        <x:v>5.655042412818096</x:v>
      </x:c>
      <x:c r="X1692" s="31" t="n">
        <x:v>3</x:v>
      </x:c>
      <x:c r="Y1692" s="40" t="n">
        <x:v>0</x:v>
      </x:c>
      <x:c r="Z1692" s="40" t="n">
        <x:v>1</x:v>
      </x:c>
      <x:c r="AA1692" s="40" t="n">
        <x:v>1</x:v>
      </x:c>
      <x:c r="AB1692" s="31" t="n">
        <x:v>0.14622362973905653</x:v>
      </x:c>
      <x:c r="AC1692" s="31" t="n">
        <x:v>4</x:v>
      </x:c>
      <x:c r="AD1692" s="44" t="b">
        <x:v>1</x:v>
      </x:c>
    </x:row>
    <x:row r="1693">
      <x:c r="A1693" s="31" t="str">
        <x:v>36081027000</x:v>
      </x:c>
      <x:c r="B1693" s="31" t="str">
        <x:v>Queens</x:v>
      </x:c>
      <x:c r="C1693" s="31" t="str">
        <x:v>027000</x:v>
      </x:c>
      <x:c r="D1693" s="31" t="str">
        <x:v>QN1202</x:v>
      </x:c>
      <x:c r="E1693" s="31" t="str">
        <x:v>South Jamaica</x:v>
      </x:c>
      <x:c r="F1693" s="31" t="n">
        <x:v>0.07145385035475493</x:v>
      </x:c>
      <x:c r="G1693" s="31" t="n">
        <x:v>40.68868416924592</x:v>
      </x:c>
      <x:c r="H1693" s="31" t="n">
        <x:v>-73.79139843783119</x:v>
      </x:c>
      <x:c r="I1693" s="31" t="n">
        <x:v>1960</x:v>
      </x:c>
      <x:c r="J1693" s="31" t="n">
        <x:v>27430.29228332649</x:v>
      </x:c>
      <x:c r="K1693" s="31"/>
      <x:c r="L1693" s="40"/>
      <x:c r="M1693" s="40"/>
      <x:c r="N1693" s="31" t="n">
        <x:v>383</x:v>
      </x:c>
      <x:c r="O1693" s="31" t="n">
        <x:v>510</x:v>
      </x:c>
      <x:c r="P1693" s="31" t="n">
        <x:v>1.9310588235294117</x:v>
      </x:c>
      <x:c r="Q1693" s="40" t="n">
        <x:v>0</x:v>
      </x:c>
      <x:c r="R1693" s="40" t="n">
        <x:v>0.01764705882352941</x:v>
      </x:c>
      <x:c r="S1693" s="40" t="n">
        <x:v>0.01568627450980392</x:v>
      </x:c>
      <x:c r="T1693" s="31" t="n">
        <x:v>24.047858531372547</x:v>
      </x:c>
      <x:c r="U1693" s="31" t="n">
        <x:v>36.15</x:v>
      </x:c>
      <x:c r="V1693" s="31" t="n">
        <x:v>0</x:v>
      </x:c>
      <x:c r="W1693" s="31" t="n">
        <x:v>0</x:v>
      </x:c>
      <x:c r="X1693" s="31" t="n">
        <x:v>4.966666666666667</x:v>
      </x:c>
      <x:c r="Y1693" s="40" t="n">
        <x:v>1</x:v>
      </x:c>
      <x:c r="Z1693" s="40" t="n">
        <x:v>1</x:v>
      </x:c>
      <x:c r="AA1693" s="40" t="n">
        <x:v>1</x:v>
      </x:c>
      <x:c r="AB1693" s="31" t="n">
        <x:v>0.2881751713432521</x:v>
      </x:c>
      <x:c r="AC1693" s="31" t="n">
        <x:v>7</x:v>
      </x:c>
      <x:c r="AD1693" s="44" t="b">
        <x:v>1</x:v>
      </x:c>
    </x:row>
    <x:row r="1694">
      <x:c r="A1694" s="31" t="str">
        <x:v>36081027101</x:v>
      </x:c>
      <x:c r="B1694" s="31" t="str">
        <x:v>Queens</x:v>
      </x:c>
      <x:c r="C1694" s="31" t="str">
        <x:v>027101</x:v>
      </x:c>
      <x:c r="D1694" s="31" t="str">
        <x:v>QN0401</x:v>
      </x:c>
      <x:c r="E1694" s="31" t="str">
        <x:v>Elmhurst</x:v>
      </x:c>
      <x:c r="F1694" s="31" t="n">
        <x:v>0.03471762875925448</x:v>
      </x:c>
      <x:c r="G1694" s="31" t="n">
        <x:v>40.744172795215825</x:v>
      </x:c>
      <x:c r="H1694" s="31" t="n">
        <x:v>-73.88026823163081</x:v>
      </x:c>
      <x:c r="I1694" s="31" t="n">
        <x:v>5454</x:v>
      </x:c>
      <x:c r="J1694" s="31" t="n">
        <x:v>157095.98249984623</x:v>
      </x:c>
      <x:c r="K1694" s="31"/>
      <x:c r="L1694" s="40"/>
      <x:c r="M1694" s="40"/>
      <x:c r="N1694" s="31" t="n">
        <x:v>158</x:v>
      </x:c>
      <x:c r="O1694" s="31" t="n">
        <x:v>1796</x:v>
      </x:c>
      <x:c r="P1694" s="31" t="n">
        <x:v>5.1809576837416484</x:v>
      </x:c>
      <x:c r="Q1694" s="40" t="n">
        <x:v>0</x:v>
      </x:c>
      <x:c r="R1694" s="40" t="n">
        <x:v>0.8975501113585747</x:v>
      </x:c>
      <x:c r="S1694" s="40" t="n">
        <x:v>0</x:v>
      </x:c>
      <x:c r="T1694" s="31" t="n">
        <x:v>55.02240680735524</x:v>
      </x:c>
      <x:c r="U1694" s="31" t="n">
        <x:v>72.54312981</x:v>
      </x:c>
      <x:c r="V1694" s="31" t="n">
        <x:v>26</x:v>
      </x:c>
      <x:c r="W1694" s="31" t="n">
        <x:v>4.767143381004767</x:v>
      </x:c>
      <x:c r="X1694" s="31" t="n">
        <x:v>3</x:v>
      </x:c>
      <x:c r="Y1694" s="40" t="n">
        <x:v>0</x:v>
      </x:c>
      <x:c r="Z1694" s="40" t="n">
        <x:v>1</x:v>
      </x:c>
      <x:c r="AA1694" s="40" t="n">
        <x:v>1</x:v>
      </x:c>
      <x:c r="AB1694" s="31" t="n">
        <x:v>0.12811440912580907</x:v>
      </x:c>
      <x:c r="AC1694" s="31" t="n">
        <x:v>7</x:v>
      </x:c>
      <x:c r="AD1694" s="44" t="b">
        <x:v>1</x:v>
      </x:c>
    </x:row>
    <x:row r="1695">
      <x:c r="A1695" s="31" t="str">
        <x:v>36081027102</x:v>
      </x:c>
      <x:c r="B1695" s="31" t="str">
        <x:v>Queens</x:v>
      </x:c>
      <x:c r="C1695" s="31" t="str">
        <x:v>027102</x:v>
      </x:c>
      <x:c r="D1695" s="31" t="str">
        <x:v>QN0401</x:v>
      </x:c>
      <x:c r="E1695" s="31" t="str">
        <x:v>Elmhurst</x:v>
      </x:c>
      <x:c r="F1695" s="31" t="n">
        <x:v>0.018950464174737433</x:v>
      </x:c>
      <x:c r="G1695" s="31" t="n">
        <x:v>40.74712402905487</x:v>
      </x:c>
      <x:c r="H1695" s="31" t="n">
        <x:v>-73.87805225172093</x:v>
      </x:c>
      <x:c r="I1695" s="31" t="n">
        <x:v>3112</x:v>
      </x:c>
      <x:c r="J1695" s="31" t="n">
        <x:v>164217.61342123526</x:v>
      </x:c>
      <x:c r="K1695" s="31"/>
      <x:c r="L1695" s="40"/>
      <x:c r="M1695" s="40"/>
      <x:c r="N1695" s="31" t="n">
        <x:v>50</x:v>
      </x:c>
      <x:c r="O1695" s="31" t="n">
        <x:v>889</x:v>
      </x:c>
      <x:c r="P1695" s="31" t="n">
        <x:v>5.395669291338582</x:v>
      </x:c>
      <x:c r="Q1695" s="40" t="n">
        <x:v>0</x:v>
      </x:c>
      <x:c r="R1695" s="40" t="n">
        <x:v>0.922384701912261</x:v>
      </x:c>
      <x:c r="S1695" s="40" t="n">
        <x:v>0.2744656917885264</x:v>
      </x:c>
      <x:c r="T1695" s="31" t="n">
        <x:v>59.69622047244095</x:v>
      </x:c>
      <x:c r="U1695" s="31" t="n">
        <x:v>67.21</x:v>
      </x:c>
      <x:c r="V1695" s="31" t="n">
        <x:v>14</x:v>
      </x:c>
      <x:c r="W1695" s="31" t="n">
        <x:v>4.4987146529562985</x:v>
      </x:c>
      <x:c r="X1695" s="31" t="n">
        <x:v>3</x:v>
      </x:c>
      <x:c r="Y1695" s="40" t="n">
        <x:v>0</x:v>
      </x:c>
      <x:c r="Z1695" s="40" t="n">
        <x:v>1</x:v>
      </x:c>
      <x:c r="AA1695" s="40" t="n">
        <x:v>1</x:v>
      </x:c>
      <x:c r="AB1695" s="31" t="n">
        <x:v>0.1143335907214361</x:v>
      </x:c>
      <x:c r="AC1695" s="31" t="n">
        <x:v>7</x:v>
      </x:c>
      <x:c r="AD1695" s="44" t="b">
        <x:v>1</x:v>
      </x:c>
    </x:row>
    <x:row r="1696">
      <x:c r="A1696" s="31" t="str">
        <x:v>36081027200</x:v>
      </x:c>
      <x:c r="B1696" s="31" t="str">
        <x:v>Queens</x:v>
      </x:c>
      <x:c r="C1696" s="31" t="str">
        <x:v>027200</x:v>
      </x:c>
      <x:c r="D1696" s="31" t="str">
        <x:v>QN1203</x:v>
      </x:c>
      <x:c r="E1696" s="31" t="str">
        <x:v>Baisley Park</x:v>
      </x:c>
      <x:c r="F1696" s="31" t="n">
        <x:v>0.059324157379907025</x:v>
      </x:c>
      <x:c r="G1696" s="31" t="n">
        <x:v>40.683577338390904</x:v>
      </x:c>
      <x:c r="H1696" s="31" t="n">
        <x:v>-73.79132011148506</x:v>
      </x:c>
      <x:c r="I1696" s="31" t="n">
        <x:v>2065</x:v>
      </x:c>
      <x:c r="J1696" s="31" t="n">
        <x:v>34808.75399166498</x:v>
      </x:c>
      <x:c r="K1696" s="31"/>
      <x:c r="L1696" s="40"/>
      <x:c r="M1696" s="40"/>
      <x:c r="N1696" s="31" t="n">
        <x:v>419</x:v>
      </x:c>
      <x:c r="O1696" s="31" t="n">
        <x:v>554</x:v>
      </x:c>
      <x:c r="P1696" s="31" t="n">
        <x:v>2.2349638989169676</x:v>
      </x:c>
      <x:c r="Q1696" s="40" t="n">
        <x:v>0</x:v>
      </x:c>
      <x:c r="R1696" s="40" t="n">
        <x:v>0</x:v>
      </x:c>
      <x:c r="S1696" s="40" t="n">
        <x:v>0.009025270758122744</x:v>
      </x:c>
      <x:c r="T1696" s="31" t="n">
        <x:v>26.542450202735505</x:v>
      </x:c>
      <x:c r="U1696" s="31" t="n">
        <x:v>33.78</x:v>
      </x:c>
      <x:c r="V1696" s="31" t="n">
        <x:v>1</x:v>
      </x:c>
      <x:c r="W1696" s="31" t="n">
        <x:v>0.48426150121065376</x:v>
      </x:c>
      <x:c r="X1696" s="31" t="n">
        <x:v>5</x:v>
      </x:c>
      <x:c r="Y1696" s="40" t="n">
        <x:v>1</x:v>
      </x:c>
      <x:c r="Z1696" s="40" t="n">
        <x:v>1</x:v>
      </x:c>
      <x:c r="AA1696" s="40" t="n">
        <x:v>0.9963898916967509</x:v>
      </x:c>
      <x:c r="AB1696" s="31" t="n">
        <x:v>0.2253914703756264</x:v>
      </x:c>
      <x:c r="AC1696" s="31" t="n">
        <x:v>6</x:v>
      </x:c>
      <x:c r="AD1696" s="44" t="b">
        <x:v>1</x:v>
      </x:c>
    </x:row>
    <x:row r="1697">
      <x:c r="A1697" s="31" t="str">
        <x:v>36081027301</x:v>
      </x:c>
      <x:c r="B1697" s="31" t="str">
        <x:v>Queens</x:v>
      </x:c>
      <x:c r="C1697" s="31" t="str">
        <x:v>027301</x:v>
      </x:c>
      <x:c r="D1697" s="31" t="str">
        <x:v>QN0301</x:v>
      </x:c>
      <x:c r="E1697" s="31" t="str">
        <x:v>Jackson Heights</x:v>
      </x:c>
      <x:c r="F1697" s="31" t="n">
        <x:v>0.03808620921250861</x:v>
      </x:c>
      <x:c r="G1697" s="31" t="n">
        <x:v>40.75032900321369</x:v>
      </x:c>
      <x:c r="H1697" s="31" t="n">
        <x:v>-73.87225689678527</x:v>
      </x:c>
      <x:c r="I1697" s="31" t="n">
        <x:v>3673</x:v>
      </x:c>
      <x:c r="J1697" s="31" t="n">
        <x:v>96439.10685639149</x:v>
      </x:c>
      <x:c r="K1697" s="31"/>
      <x:c r="L1697" s="40"/>
      <x:c r="M1697" s="40"/>
      <x:c r="N1697" s="31" t="n">
        <x:v>222</x:v>
      </x:c>
      <x:c r="O1697" s="31" t="n">
        <x:v>835</x:v>
      </x:c>
      <x:c r="P1697" s="31" t="n">
        <x:v>3.0820359281437124</x:v>
      </x:c>
      <x:c r="Q1697" s="40" t="n">
        <x:v>0</x:v>
      </x:c>
      <x:c r="R1697" s="40" t="n">
        <x:v>0.4754491017964072</x:v>
      </x:c>
      <x:c r="S1697" s="40" t="n">
        <x:v>0.005988023952095809</x:v>
      </x:c>
      <x:c r="T1697" s="31" t="n">
        <x:v>37.47836320849102</x:v>
      </x:c>
      <x:c r="U1697" s="31" t="n">
        <x:v>96.54658313</x:v>
      </x:c>
      <x:c r="V1697" s="31" t="n">
        <x:v>1</x:v>
      </x:c>
      <x:c r="W1697" s="31" t="n">
        <x:v>0.27225701061802343</x:v>
      </x:c>
      <x:c r="X1697" s="31" t="n">
        <x:v>3.001197604790419</x:v>
      </x:c>
      <x:c r="Y1697" s="40" t="n">
        <x:v>0.0011976047904191617</x:v>
      </x:c>
      <x:c r="Z1697" s="40" t="n">
        <x:v>1</x:v>
      </x:c>
      <x:c r="AA1697" s="40" t="n">
        <x:v>1</x:v>
      </x:c>
      <x:c r="AB1697" s="31" t="n">
        <x:v>0.22794568415772806</x:v>
      </x:c>
      <x:c r="AC1697" s="31" t="n">
        <x:v>7</x:v>
      </x:c>
      <x:c r="AD1697" s="44" t="b">
        <x:v>1</x:v>
      </x:c>
    </x:row>
    <x:row r="1698">
      <x:c r="A1698" s="31" t="str">
        <x:v>36081027302</x:v>
      </x:c>
      <x:c r="B1698" s="31" t="str">
        <x:v>Queens</x:v>
      </x:c>
      <x:c r="C1698" s="31" t="str">
        <x:v>027302</x:v>
      </x:c>
      <x:c r="D1698" s="31" t="str">
        <x:v>QN0301</x:v>
      </x:c>
      <x:c r="E1698" s="31" t="str">
        <x:v>Jackson Heights</x:v>
      </x:c>
      <x:c r="F1698" s="31" t="n">
        <x:v>0.04501167029097796</x:v>
      </x:c>
      <x:c r="G1698" s="31" t="n">
        <x:v>40.7537781963437</x:v>
      </x:c>
      <x:c r="H1698" s="31" t="n">
        <x:v>-73.87321009553723</x:v>
      </x:c>
      <x:c r="I1698" s="31" t="n">
        <x:v>4765</x:v>
      </x:c>
      <x:c r="J1698" s="31" t="n">
        <x:v>105861.43480561054</x:v>
      </x:c>
      <x:c r="K1698" s="31"/>
      <x:c r="L1698" s="40"/>
      <x:c r="M1698" s="40"/>
      <x:c r="N1698" s="31" t="n">
        <x:v>39</x:v>
      </x:c>
      <x:c r="O1698" s="31" t="n">
        <x:v>1708</x:v>
      </x:c>
      <x:c r="P1698" s="31" t="n">
        <x:v>5.427985948477752</x:v>
      </x:c>
      <x:c r="Q1698" s="40" t="n">
        <x:v>0</x:v>
      </x:c>
      <x:c r="R1698" s="40" t="n">
        <x:v>1</x:v>
      </x:c>
      <x:c r="S1698" s="40" t="n">
        <x:v>0.1405152224824356</x:v>
      </x:c>
      <x:c r="T1698" s="31" t="n">
        <x:v>58.7710302015925</x:v>
      </x:c>
      <x:c r="U1698" s="31" t="n">
        <x:v>84</x:v>
      </x:c>
      <x:c r="V1698" s="31" t="n">
        <x:v>23</x:v>
      </x:c>
      <x:c r="W1698" s="31" t="n">
        <x:v>4.826862539349423</x:v>
      </x:c>
      <x:c r="X1698" s="31" t="n">
        <x:v>3.0245901639344264</x:v>
      </x:c>
      <x:c r="Y1698" s="40" t="n">
        <x:v>0.02459016393442623</x:v>
      </x:c>
      <x:c r="Z1698" s="40" t="n">
        <x:v>1</x:v>
      </x:c>
      <x:c r="AA1698" s="40" t="n">
        <x:v>1</x:v>
      </x:c>
      <x:c r="AB1698" s="31" t="n">
        <x:v>0.03868929999523911</x:v>
      </x:c>
      <x:c r="AC1698" s="31" t="n">
        <x:v>5</x:v>
      </x:c>
      <x:c r="AD1698" s="44" t="b">
        <x:v>1</x:v>
      </x:c>
    </x:row>
    <x:row r="1699">
      <x:c r="A1699" s="31" t="str">
        <x:v>36081027400</x:v>
      </x:c>
      <x:c r="B1699" s="31" t="str">
        <x:v>Queens</x:v>
      </x:c>
      <x:c r="C1699" s="31" t="str">
        <x:v>027400</x:v>
      </x:c>
      <x:c r="D1699" s="31" t="str">
        <x:v>QN1203</x:v>
      </x:c>
      <x:c r="E1699" s="31" t="str">
        <x:v>Baisley Park</x:v>
      </x:c>
      <x:c r="F1699" s="31" t="n">
        <x:v>0.05548816057808196</x:v>
      </x:c>
      <x:c r="G1699" s="31" t="n">
        <x:v>40.68490502626851</x:v>
      </x:c>
      <x:c r="H1699" s="31" t="n">
        <x:v>-73.78898897024986</x:v>
      </x:c>
      <x:c r="I1699" s="31" t="n">
        <x:v>1927</x:v>
      </x:c>
      <x:c r="J1699" s="31" t="n">
        <x:v>34728.129026521965</x:v>
      </x:c>
      <x:c r="K1699" s="31"/>
      <x:c r="L1699" s="40"/>
      <x:c r="M1699" s="40"/>
      <x:c r="N1699" s="31" t="n">
        <x:v>402</x:v>
      </x:c>
      <x:c r="O1699" s="31" t="n">
        <x:v>561</x:v>
      </x:c>
      <x:c r="P1699" s="31" t="n">
        <x:v>1.9487522281639929</x:v>
      </x:c>
      <x:c r="Q1699" s="40" t="n">
        <x:v>0</x:v>
      </x:c>
      <x:c r="R1699" s="40" t="n">
        <x:v>0</x:v>
      </x:c>
      <x:c r="S1699" s="40" t="n">
        <x:v>0</x:v>
      </x:c>
      <x:c r="T1699" s="31" t="n">
        <x:v>26.61110738519643</x:v>
      </x:c>
      <x:c r="U1699" s="31" t="n">
        <x:v>33.37</x:v>
      </x:c>
      <x:c r="V1699" s="31" t="n">
        <x:v>0</x:v>
      </x:c>
      <x:c r="W1699" s="31" t="n">
        <x:v>0</x:v>
      </x:c>
      <x:c r="X1699" s="31" t="n">
        <x:v>5</x:v>
      </x:c>
      <x:c r="Y1699" s="40" t="n">
        <x:v>1</x:v>
      </x:c>
      <x:c r="Z1699" s="40" t="n">
        <x:v>1</x:v>
      </x:c>
      <x:c r="AA1699" s="40" t="n">
        <x:v>0.9982174688057041</x:v>
      </x:c>
      <x:c r="AB1699" s="31" t="n">
        <x:v>0.26073481860978737</x:v>
      </x:c>
      <x:c r="AC1699" s="31" t="n">
        <x:v>6</x:v>
      </x:c>
      <x:c r="AD1699" s="44" t="b">
        <x:v>1</x:v>
      </x:c>
    </x:row>
    <x:row r="1700">
      <x:c r="A1700" s="31" t="str">
        <x:v>36081027500</x:v>
      </x:c>
      <x:c r="B1700" s="31" t="str">
        <x:v>Queens</x:v>
      </x:c>
      <x:c r="C1700" s="31" t="str">
        <x:v>027500</x:v>
      </x:c>
      <x:c r="D1700" s="31" t="str">
        <x:v>QN0301</x:v>
      </x:c>
      <x:c r="E1700" s="31" t="str">
        <x:v>Jackson Heights</x:v>
      </x:c>
      <x:c r="F1700" s="31" t="n">
        <x:v>0.06857065324372992</x:v>
      </x:c>
      <x:c r="G1700" s="31" t="n">
        <x:v>40.752153719315686</x:v>
      </x:c>
      <x:c r="H1700" s="31" t="n">
        <x:v>-73.87556898323417</x:v>
      </x:c>
      <x:c r="I1700" s="31" t="n">
        <x:v>6773</x:v>
      </x:c>
      <x:c r="J1700" s="31" t="n">
        <x:v>98774.0334910594</x:v>
      </x:c>
      <x:c r="K1700" s="31"/>
      <x:c r="L1700" s="40"/>
      <x:c r="M1700" s="40"/>
      <x:c r="N1700" s="31" t="n">
        <x:v>347</x:v>
      </x:c>
      <x:c r="O1700" s="31" t="n">
        <x:v>2119</x:v>
      </x:c>
      <x:c r="P1700" s="31" t="n">
        <x:v>4.5552147239263805</x:v>
      </x:c>
      <x:c r="Q1700" s="40" t="n">
        <x:v>0</x:v>
      </x:c>
      <x:c r="R1700" s="40" t="n">
        <x:v>0.6654082114204813</x:v>
      </x:c>
      <x:c r="S1700" s="40" t="n">
        <x:v>0.33978291647003306</x:v>
      </x:c>
      <x:c r="T1700" s="31" t="n">
        <x:v>52.17093883704106</x:v>
      </x:c>
      <x:c r="U1700" s="31" t="n">
        <x:v>75</x:v>
      </x:c>
      <x:c r="V1700" s="31" t="n">
        <x:v>23</x:v>
      </x:c>
      <x:c r="W1700" s="31" t="n">
        <x:v>3.39583640927211</x:v>
      </x:c>
      <x:c r="X1700" s="31" t="n">
        <x:v>3</x:v>
      </x:c>
      <x:c r="Y1700" s="40" t="n">
        <x:v>0</x:v>
      </x:c>
      <x:c r="Z1700" s="40" t="n">
        <x:v>1</x:v>
      </x:c>
      <x:c r="AA1700" s="40" t="n">
        <x:v>1</x:v>
      </x:c>
      <x:c r="AB1700" s="31" t="n">
        <x:v>0.14364984796084884</x:v>
      </x:c>
      <x:c r="AC1700" s="31" t="n">
        <x:v>8</x:v>
      </x:c>
      <x:c r="AD1700" s="44" t="b">
        <x:v>1</x:v>
      </x:c>
    </x:row>
    <x:row r="1701">
      <x:c r="A1701" s="31" t="str">
        <x:v>36081027600</x:v>
      </x:c>
      <x:c r="B1701" s="31" t="str">
        <x:v>Queens</x:v>
      </x:c>
      <x:c r="C1701" s="31" t="str">
        <x:v>027600</x:v>
      </x:c>
      <x:c r="D1701" s="31" t="str">
        <x:v>QN1203</x:v>
      </x:c>
      <x:c r="E1701" s="31" t="str">
        <x:v>Baisley Park</x:v>
      </x:c>
      <x:c r="F1701" s="31" t="n">
        <x:v>0.0612745044654643</x:v>
      </x:c>
      <x:c r="G1701" s="31" t="n">
        <x:v>40.68758815961372</x:v>
      </x:c>
      <x:c r="H1701" s="31" t="n">
        <x:v>-73.78623989996132</x:v>
      </x:c>
      <x:c r="I1701" s="31" t="n">
        <x:v>1365</x:v>
      </x:c>
      <x:c r="J1701" s="31" t="n">
        <x:v>22276.801940835685</x:v>
      </x:c>
      <x:c r="K1701" s="31"/>
      <x:c r="L1701" s="40"/>
      <x:c r="M1701" s="40"/>
      <x:c r="N1701" s="31" t="n">
        <x:v>233</x:v>
      </x:c>
      <x:c r="O1701" s="31" t="n">
        <x:v>395</x:v>
      </x:c>
      <x:c r="P1701" s="31" t="n">
        <x:v>2.1062595419847328</x:v>
      </x:c>
      <x:c r="Q1701" s="40" t="n">
        <x:v>0</x:v>
      </x:c>
      <x:c r="R1701" s="40" t="n">
        <x:v>0.012658227848101266</x:v>
      </x:c>
      <x:c r="S1701" s="40" t="n">
        <x:v>0.002531645569620253</x:v>
      </x:c>
      <x:c r="T1701" s="31" t="n">
        <x:v>26.876674722144703</x:v>
      </x:c>
      <x:c r="U1701" s="31" t="n">
        <x:v>36.07</x:v>
      </x:c>
      <x:c r="V1701" s="31" t="n">
        <x:v>0</x:v>
      </x:c>
      <x:c r="W1701" s="31" t="n">
        <x:v>0</x:v>
      </x:c>
      <x:c r="X1701" s="31" t="n">
        <x:v>5</x:v>
      </x:c>
      <x:c r="Y1701" s="40" t="n">
        <x:v>1</x:v>
      </x:c>
      <x:c r="Z1701" s="40" t="n">
        <x:v>1</x:v>
      </x:c>
      <x:c r="AA1701" s="40" t="n">
        <x:v>0.979746835443038</x:v>
      </x:c>
      <x:c r="AB1701" s="31" t="n">
        <x:v>0.05537586901278912</x:v>
      </x:c>
      <x:c r="AC1701" s="31" t="n">
        <x:v>7</x:v>
      </x:c>
      <x:c r="AD1701" s="44" t="b">
        <x:v>1</x:v>
      </x:c>
    </x:row>
    <x:row r="1702">
      <x:c r="A1702" s="31" t="str">
        <x:v>36081027701</x:v>
      </x:c>
      <x:c r="B1702" s="31" t="str">
        <x:v>Queens</x:v>
      </x:c>
      <x:c r="C1702" s="31" t="str">
        <x:v>027701</x:v>
      </x:c>
      <x:c r="D1702" s="31" t="str">
        <x:v>QN0301</x:v>
      </x:c>
      <x:c r="E1702" s="31" t="str">
        <x:v>Jackson Heights</x:v>
      </x:c>
      <x:c r="F1702" s="31" t="n">
        <x:v>0.028476905409169823</x:v>
      </x:c>
      <x:c r="G1702" s="31" t="n">
        <x:v>40.750393616998494</x:v>
      </x:c>
      <x:c r="H1702" s="31" t="n">
        <x:v>-73.87779493904506</x:v>
      </x:c>
      <x:c r="I1702" s="31" t="n">
        <x:v>3448</x:v>
      </x:c>
      <x:c r="J1702" s="31" t="n">
        <x:v>121080.57214986965</x:v>
      </x:c>
      <x:c r="K1702" s="31"/>
      <x:c r="L1702" s="40"/>
      <x:c r="M1702" s="40"/>
      <x:c r="N1702" s="31" t="n">
        <x:v>118</x:v>
      </x:c>
      <x:c r="O1702" s="31" t="n">
        <x:v>1011</x:v>
      </x:c>
      <x:c r="P1702" s="31" t="n">
        <x:v>4.896636993076163</x:v>
      </x:c>
      <x:c r="Q1702" s="40" t="n">
        <x:v>0</x:v>
      </x:c>
      <x:c r="R1702" s="40" t="n">
        <x:v>0.7606330365974283</x:v>
      </x:c>
      <x:c r="S1702" s="40" t="n">
        <x:v>0.08704253214638971</x:v>
      </x:c>
      <x:c r="T1702" s="31" t="n">
        <x:v>55.29656052643917</x:v>
      </x:c>
      <x:c r="U1702" s="31" t="n">
        <x:v>83</x:v>
      </x:c>
      <x:c r="V1702" s="31" t="n">
        <x:v>16</x:v>
      </x:c>
      <x:c r="W1702" s="31" t="n">
        <x:v>4.640371229698376</x:v>
      </x:c>
      <x:c r="X1702" s="31" t="n">
        <x:v>3</x:v>
      </x:c>
      <x:c r="Y1702" s="40" t="n">
        <x:v>0</x:v>
      </x:c>
      <x:c r="Z1702" s="40" t="n">
        <x:v>1</x:v>
      </x:c>
      <x:c r="AA1702" s="40" t="n">
        <x:v>1</x:v>
      </x:c>
      <x:c r="AB1702" s="31" t="n">
        <x:v>0.31149484784082165</x:v>
      </x:c>
      <x:c r="AC1702" s="31" t="n">
        <x:v>4</x:v>
      </x:c>
      <x:c r="AD1702" s="44" t="b">
        <x:v>1</x:v>
      </x:c>
    </x:row>
    <x:row r="1703">
      <x:c r="A1703" s="31" t="str">
        <x:v>36081027702</x:v>
      </x:c>
      <x:c r="B1703" s="31" t="str">
        <x:v>Queens</x:v>
      </x:c>
      <x:c r="C1703" s="31" t="str">
        <x:v>027702</x:v>
      </x:c>
      <x:c r="D1703" s="31" t="str">
        <x:v>QN0301</x:v>
      </x:c>
      <x:c r="E1703" s="31" t="str">
        <x:v>Jackson Heights</x:v>
      </x:c>
      <x:c r="F1703" s="31" t="n">
        <x:v>0.03881976151429063</x:v>
      </x:c>
      <x:c r="G1703" s="31" t="n">
        <x:v>40.754405560123736</x:v>
      </x:c>
      <x:c r="H1703" s="31" t="n">
        <x:v>-73.87805144199312</x:v>
      </x:c>
      <x:c r="I1703" s="31" t="n">
        <x:v>5196</x:v>
      </x:c>
      <x:c r="J1703" s="31" t="n">
        <x:v>133849.35397110073</x:v>
      </x:c>
      <x:c r="K1703" s="31"/>
      <x:c r="L1703" s="40"/>
      <x:c r="M1703" s="40"/>
      <x:c r="N1703" s="31" t="n">
        <x:v>135</x:v>
      </x:c>
      <x:c r="O1703" s="31" t="n">
        <x:v>1772</x:v>
      </x:c>
      <x:c r="P1703" s="31" t="n">
        <x:v>5.520598194130925</x:v>
      </x:c>
      <x:c r="Q1703" s="40" t="n">
        <x:v>0</x:v>
      </x:c>
      <x:c r="R1703" s="40" t="n">
        <x:v>0.8860045146726863</x:v>
      </x:c>
      <x:c r="S1703" s="40" t="n">
        <x:v>0.3871331828442438</x:v>
      </x:c>
      <x:c r="T1703" s="31" t="n">
        <x:v>60.86715575620768</x:v>
      </x:c>
      <x:c r="U1703" s="31" t="n">
        <x:v>68.35</x:v>
      </x:c>
      <x:c r="V1703" s="31" t="n">
        <x:v>24</x:v>
      </x:c>
      <x:c r="W1703" s="31" t="n">
        <x:v>4.618937644341801</x:v>
      </x:c>
      <x:c r="X1703" s="31" t="n">
        <x:v>3</x:v>
      </x:c>
      <x:c r="Y1703" s="40" t="n">
        <x:v>0</x:v>
      </x:c>
      <x:c r="Z1703" s="40" t="n">
        <x:v>1</x:v>
      </x:c>
      <x:c r="AA1703" s="40" t="n">
        <x:v>1</x:v>
      </x:c>
      <x:c r="AB1703" s="31" t="n">
        <x:v>0.1997244118685355</x:v>
      </x:c>
      <x:c r="AC1703" s="31" t="n">
        <x:v>5</x:v>
      </x:c>
      <x:c r="AD1703" s="44" t="b">
        <x:v>1</x:v>
      </x:c>
    </x:row>
    <x:row r="1704">
      <x:c r="A1704" s="31" t="str">
        <x:v>36081027800</x:v>
      </x:c>
      <x:c r="B1704" s="31" t="str">
        <x:v>Queens</x:v>
      </x:c>
      <x:c r="C1704" s="31" t="str">
        <x:v>027800</x:v>
      </x:c>
      <x:c r="D1704" s="31" t="str">
        <x:v>QN1203</x:v>
      </x:c>
      <x:c r="E1704" s="31" t="str">
        <x:v>Baisley Park</x:v>
      </x:c>
      <x:c r="F1704" s="31" t="n">
        <x:v>0.0676908728807966</x:v>
      </x:c>
      <x:c r="G1704" s="31" t="n">
        <x:v>40.686097489365196</x:v>
      </x:c>
      <x:c r="H1704" s="31" t="n">
        <x:v>-73.78291580838292</x:v>
      </x:c>
      <x:c r="I1704" s="31" t="n">
        <x:v>2529</x:v>
      </x:c>
      <x:c r="J1704" s="31" t="n">
        <x:v>37361.019179846604</x:v>
      </x:c>
      <x:c r="K1704" s="31"/>
      <x:c r="L1704" s="40"/>
      <x:c r="M1704" s="40"/>
      <x:c r="N1704" s="31" t="n">
        <x:v>157</x:v>
      </x:c>
      <x:c r="O1704" s="31" t="n">
        <x:v>1276</x:v>
      </x:c>
      <x:c r="P1704" s="31" t="n">
        <x:v>6.95300156739812</x:v>
      </x:c>
      <x:c r="Q1704" s="40" t="n">
        <x:v>0</x:v>
      </x:c>
      <x:c r="R1704" s="40" t="n">
        <x:v>0.8221003134796239</x:v>
      </x:c>
      <x:c r="S1704" s="40" t="n">
        <x:v>0.822884012539185</x:v>
      </x:c>
      <x:c r="T1704" s="31" t="n">
        <x:v>64.76201524374608</x:v>
      </x:c>
      <x:c r="U1704" s="31" t="n">
        <x:v>73.17</x:v>
      </x:c>
      <x:c r="V1704" s="31" t="n">
        <x:v>9</x:v>
      </x:c>
      <x:c r="W1704" s="31" t="n">
        <x:v>3.558718861209964</x:v>
      </x:c>
      <x:c r="X1704" s="31" t="n">
        <x:v>5</x:v>
      </x:c>
      <x:c r="Y1704" s="40" t="n">
        <x:v>1</x:v>
      </x:c>
      <x:c r="Z1704" s="40" t="n">
        <x:v>1</x:v>
      </x:c>
      <x:c r="AA1704" s="40" t="n">
        <x:v>1</x:v>
      </x:c>
      <x:c r="AB1704" s="31" t="n">
        <x:v>0.02916515310232649</x:v>
      </x:c>
      <x:c r="AC1704" s="31" t="n">
        <x:v>6</x:v>
      </x:c>
      <x:c r="AD1704" s="44" t="b">
        <x:v>1</x:v>
      </x:c>
    </x:row>
    <x:row r="1705">
      <x:c r="A1705" s="31" t="str">
        <x:v>36081027900</x:v>
      </x:c>
      <x:c r="B1705" s="31" t="str">
        <x:v>Queens</x:v>
      </x:c>
      <x:c r="C1705" s="31" t="str">
        <x:v>027900</x:v>
      </x:c>
      <x:c r="D1705" s="31" t="str">
        <x:v>QN0301</x:v>
      </x:c>
      <x:c r="E1705" s="31" t="str">
        <x:v>Jackson Heights</x:v>
      </x:c>
      <x:c r="F1705" s="31" t="n">
        <x:v>0.06862811315391126</x:v>
      </x:c>
      <x:c r="G1705" s="31" t="n">
        <x:v>40.75166328714197</x:v>
      </x:c>
      <x:c r="H1705" s="31" t="n">
        <x:v>-73.88021630810901</x:v>
      </x:c>
      <x:c r="I1705" s="31" t="n">
        <x:v>6358</x:v>
      </x:c>
      <x:c r="J1705" s="31" t="n">
        <x:v>92644.24895000401</x:v>
      </x:c>
      <x:c r="K1705" s="31"/>
      <x:c r="L1705" s="40"/>
      <x:c r="M1705" s="40"/>
      <x:c r="N1705" s="31" t="n">
        <x:v>234</x:v>
      </x:c>
      <x:c r="O1705" s="31" t="n">
        <x:v>2318</x:v>
      </x:c>
      <x:c r="P1705" s="31" t="n">
        <x:v>5.77739430543572</x:v>
      </x:c>
      <x:c r="Q1705" s="40" t="n">
        <x:v>0.15012942191544434</x:v>
      </x:c>
      <x:c r="R1705" s="40" t="n">
        <x:v>0.7808455565142364</x:v>
      </x:c>
      <x:c r="S1705" s="40" t="n">
        <x:v>0.15099223468507333</x:v>
      </x:c>
      <x:c r="T1705" s="31" t="n">
        <x:v>64.17957826097066</x:v>
      </x:c>
      <x:c r="U1705" s="31" t="n">
        <x:v>98.00868078</x:v>
      </x:c>
      <x:c r="V1705" s="31" t="n">
        <x:v>36</x:v>
      </x:c>
      <x:c r="W1705" s="31" t="n">
        <x:v>5.662157911292859</x:v>
      </x:c>
      <x:c r="X1705" s="31" t="n">
        <x:v>3</x:v>
      </x:c>
      <x:c r="Y1705" s="40" t="n">
        <x:v>0</x:v>
      </x:c>
      <x:c r="Z1705" s="40" t="n">
        <x:v>1</x:v>
      </x:c>
      <x:c r="AA1705" s="40" t="n">
        <x:v>1</x:v>
      </x:c>
      <x:c r="AB1705" s="31" t="n">
        <x:v>0.2530739896306088</x:v>
      </x:c>
      <x:c r="AC1705" s="31" t="n">
        <x:v>6</x:v>
      </x:c>
      <x:c r="AD1705" s="44" t="b">
        <x:v>1</x:v>
      </x:c>
    </x:row>
    <x:row r="1706">
      <x:c r="A1706" s="31" t="str">
        <x:v>36081028000</x:v>
      </x:c>
      <x:c r="B1706" s="31" t="str">
        <x:v>Queens</x:v>
      </x:c>
      <x:c r="C1706" s="31" t="str">
        <x:v>028000</x:v>
      </x:c>
      <x:c r="D1706" s="31" t="str">
        <x:v>QN1203</x:v>
      </x:c>
      <x:c r="E1706" s="31" t="str">
        <x:v>Baisley Park</x:v>
      </x:c>
      <x:c r="F1706" s="31" t="n">
        <x:v>0.06368311307248622</x:v>
      </x:c>
      <x:c r="G1706" s="31" t="n">
        <x:v>40.68831423025262</x:v>
      </x:c>
      <x:c r="H1706" s="31" t="n">
        <x:v>-73.77972556676927</x:v>
      </x:c>
      <x:c r="I1706" s="31" t="n">
        <x:v>1901</x:v>
      </x:c>
      <x:c r="J1706" s="31" t="n">
        <x:v>29850.927636596833</x:v>
      </x:c>
      <x:c r="K1706" s="31"/>
      <x:c r="L1706" s="40"/>
      <x:c r="M1706" s="40"/>
      <x:c r="N1706" s="31" t="n">
        <x:v>366</x:v>
      </x:c>
      <x:c r="O1706" s="31" t="n">
        <x:v>519</x:v>
      </x:c>
      <x:c r="P1706" s="31" t="n">
        <x:v>2.053179190751445</x:v>
      </x:c>
      <x:c r="Q1706" s="40" t="n">
        <x:v>0</x:v>
      </x:c>
      <x:c r="R1706" s="40" t="n">
        <x:v>0</x:v>
      </x:c>
      <x:c r="S1706" s="40" t="n">
        <x:v>0.1233140655105973</x:v>
      </x:c>
      <x:c r="T1706" s="31" t="n">
        <x:v>26.46593506547206</x:v>
      </x:c>
      <x:c r="U1706" s="31" t="n">
        <x:v>32.48</x:v>
      </x:c>
      <x:c r="V1706" s="31" t="n">
        <x:v>0</x:v>
      </x:c>
      <x:c r="W1706" s="31" t="n">
        <x:v>0</x:v>
      </x:c>
      <x:c r="X1706" s="31" t="n">
        <x:v>5</x:v>
      </x:c>
      <x:c r="Y1706" s="40" t="n">
        <x:v>1</x:v>
      </x:c>
      <x:c r="Z1706" s="40" t="n">
        <x:v>1</x:v>
      </x:c>
      <x:c r="AA1706" s="40" t="n">
        <x:v>1</x:v>
      </x:c>
      <x:c r="AB1706" s="31" t="n">
        <x:v>0.104188737319636</x:v>
      </x:c>
      <x:c r="AC1706" s="31" t="n">
        <x:v>7</x:v>
      </x:c>
      <x:c r="AD1706" s="44" t="b">
        <x:v>1</x:v>
      </x:c>
    </x:row>
    <x:row r="1707">
      <x:c r="A1707" s="31" t="str">
        <x:v>36081028100</x:v>
      </x:c>
      <x:c r="B1707" s="31" t="str">
        <x:v>Queens</x:v>
      </x:c>
      <x:c r="C1707" s="31" t="str">
        <x:v>028100</x:v>
      </x:c>
      <x:c r="D1707" s="31" t="str">
        <x:v>QN0301</x:v>
      </x:c>
      <x:c r="E1707" s="31" t="str">
        <x:v>Jackson Heights</x:v>
      </x:c>
      <x:c r="F1707" s="31" t="n">
        <x:v>0.06734423985845672</x:v>
      </x:c>
      <x:c r="G1707" s="31" t="n">
        <x:v>40.75222022565479</x:v>
      </x:c>
      <x:c r="H1707" s="31" t="n">
        <x:v>-73.88259187465124</x:v>
      </x:c>
      <x:c r="I1707" s="31" t="n">
        <x:v>5991</x:v>
      </x:c>
      <x:c r="J1707" s="31" t="n">
        <x:v>88960.83781763383</x:v>
      </x:c>
      <x:c r="K1707" s="31"/>
      <x:c r="L1707" s="40"/>
      <x:c r="M1707" s="40"/>
      <x:c r="N1707" s="31" t="n">
        <x:v>182</x:v>
      </x:c>
      <x:c r="O1707" s="31" t="n">
        <x:v>2462</x:v>
      </x:c>
      <x:c r="P1707" s="31" t="n">
        <x:v>5.291125101543461</x:v>
      </x:c>
      <x:c r="Q1707" s="40" t="n">
        <x:v>0.036555645816409424</x:v>
      </x:c>
      <x:c r="R1707" s="40" t="n">
        <x:v>0.9012997562956946</x:v>
      </x:c>
      <x:c r="S1707" s="40" t="n">
        <x:v>0.08285946385052803</x:v>
      </x:c>
      <x:c r="T1707" s="31" t="n">
        <x:v>60.1826020691123</x:v>
      </x:c>
      <x:c r="U1707" s="31" t="n">
        <x:v>84.59702863</x:v>
      </x:c>
      <x:c r="V1707" s="31" t="n">
        <x:v>37</x:v>
      </x:c>
      <x:c r="W1707" s="31" t="n">
        <x:v>6.175930562510432</x:v>
      </x:c>
      <x:c r="X1707" s="31" t="n">
        <x:v>3</x:v>
      </x:c>
      <x:c r="Y1707" s="40" t="n">
        <x:v>0</x:v>
      </x:c>
      <x:c r="Z1707" s="40" t="n">
        <x:v>1</x:v>
      </x:c>
      <x:c r="AA1707" s="40" t="n">
        <x:v>0.983753046303818</x:v>
      </x:c>
      <x:c r="AB1707" s="31" t="n">
        <x:v>0.12440450777323835</x:v>
      </x:c>
      <x:c r="AC1707" s="31" t="n">
        <x:v>5</x:v>
      </x:c>
      <x:c r="AD1707" s="44" t="b">
        <x:v>1</x:v>
      </x:c>
    </x:row>
    <x:row r="1708">
      <x:c r="A1708" s="31" t="str">
        <x:v>36081028200</x:v>
      </x:c>
      <x:c r="B1708" s="31" t="str">
        <x:v>Queens</x:v>
      </x:c>
      <x:c r="C1708" s="31" t="str">
        <x:v>028200</x:v>
      </x:c>
      <x:c r="D1708" s="31" t="str">
        <x:v>QN1203</x:v>
      </x:c>
      <x:c r="E1708" s="31" t="str">
        <x:v>Baisley Park</x:v>
      </x:c>
      <x:c r="F1708" s="31" t="n">
        <x:v>0.07033182938798496</x:v>
      </x:c>
      <x:c r="G1708" s="31" t="n">
        <x:v>40.68499082666433</x:v>
      </x:c>
      <x:c r="H1708" s="31" t="n">
        <x:v>-73.77388331625168</x:v>
      </x:c>
      <x:c r="I1708" s="31" t="n">
        <x:v>1801</x:v>
      </x:c>
      <x:c r="J1708" s="31" t="n">
        <x:v>25607.182632273052</x:v>
      </x:c>
      <x:c r="K1708" s="31"/>
      <x:c r="L1708" s="40"/>
      <x:c r="M1708" s="40"/>
      <x:c r="N1708" s="31" t="n">
        <x:v>390</x:v>
      </x:c>
      <x:c r="O1708" s="31" t="n">
        <x:v>528</x:v>
      </x:c>
      <x:c r="P1708" s="31" t="n">
        <x:v>1.9221946564885497</x:v>
      </x:c>
      <x:c r="Q1708" s="40" t="n">
        <x:v>0</x:v>
      </x:c>
      <x:c r="R1708" s="40" t="n">
        <x:v>0.028409090909090908</x:v>
      </x:c>
      <x:c r="S1708" s="40" t="n">
        <x:v>0.03787878787878788</x:v>
      </x:c>
      <x:c r="T1708" s="31" t="n">
        <x:v>24.265658928276515</x:v>
      </x:c>
      <x:c r="U1708" s="31" t="n">
        <x:v>33.97491022</x:v>
      </x:c>
      <x:c r="V1708" s="31" t="n">
        <x:v>0</x:v>
      </x:c>
      <x:c r="W1708" s="31" t="n">
        <x:v>0</x:v>
      </x:c>
      <x:c r="X1708" s="31" t="n">
        <x:v>5</x:v>
      </x:c>
      <x:c r="Y1708" s="40" t="n">
        <x:v>1</x:v>
      </x:c>
      <x:c r="Z1708" s="40" t="n">
        <x:v>1</x:v>
      </x:c>
      <x:c r="AA1708" s="40" t="n">
        <x:v>1</x:v>
      </x:c>
      <x:c r="AB1708" s="31" t="n">
        <x:v>0.3630304535042306</x:v>
      </x:c>
      <x:c r="AC1708" s="31" t="n">
        <x:v>6</x:v>
      </x:c>
      <x:c r="AD1708" s="44" t="b">
        <x:v>1</x:v>
      </x:c>
    </x:row>
    <x:row r="1709">
      <x:c r="A1709" s="31" t="str">
        <x:v>36081028300</x:v>
      </x:c>
      <x:c r="B1709" s="31" t="str">
        <x:v>Queens</x:v>
      </x:c>
      <x:c r="C1709" s="31" t="str">
        <x:v>028300</x:v>
      </x:c>
      <x:c r="D1709" s="31" t="str">
        <x:v>QN0301</x:v>
      </x:c>
      <x:c r="E1709" s="31" t="str">
        <x:v>Jackson Heights</x:v>
      </x:c>
      <x:c r="F1709" s="31" t="n">
        <x:v>0.06862563051538108</x:v>
      </x:c>
      <x:c r="G1709" s="31" t="n">
        <x:v>40.75117434827176</x:v>
      </x:c>
      <x:c r="H1709" s="31" t="n">
        <x:v>-73.8848654004677</x:v>
      </x:c>
      <x:c r="I1709" s="31" t="n">
        <x:v>7523</x:v>
      </x:c>
      <x:c r="J1709" s="31" t="n">
        <x:v>109623.76510790481</x:v>
      </x:c>
      <x:c r="K1709" s="31"/>
      <x:c r="L1709" s="40"/>
      <x:c r="M1709" s="40"/>
      <x:c r="N1709" s="31" t="n">
        <x:v>112</x:v>
      </x:c>
      <x:c r="O1709" s="31" t="n">
        <x:v>3155</x:v>
      </x:c>
      <x:c r="P1709" s="31" t="n">
        <x:v>5.654516640253566</x:v>
      </x:c>
      <x:c r="Q1709" s="40" t="n">
        <x:v>0</x:v>
      </x:c>
      <x:c r="R1709" s="40" t="n">
        <x:v>0.9942947702060222</x:v>
      </x:c>
      <x:c r="S1709" s="40" t="n">
        <x:v>0.08557844690966719</x:v>
      </x:c>
      <x:c r="T1709" s="31" t="n">
        <x:v>62.54600894937243</x:v>
      </x:c>
      <x:c r="U1709" s="31" t="n">
        <x:v>77.80945941</x:v>
      </x:c>
      <x:c r="V1709" s="31" t="n">
        <x:v>53</x:v>
      </x:c>
      <x:c r="W1709" s="31" t="n">
        <x:v>7.04506181044796</x:v>
      </x:c>
      <x:c r="X1709" s="31" t="n">
        <x:v>3</x:v>
      </x:c>
      <x:c r="Y1709" s="40" t="n">
        <x:v>0</x:v>
      </x:c>
      <x:c r="Z1709" s="40" t="n">
        <x:v>1</x:v>
      </x:c>
      <x:c r="AA1709" s="40" t="n">
        <x:v>1</x:v>
      </x:c>
      <x:c r="AB1709" s="31" t="n">
        <x:v>0.06740859204308894</x:v>
      </x:c>
      <x:c r="AC1709" s="31" t="n">
        <x:v>6</x:v>
      </x:c>
      <x:c r="AD1709" s="44" t="b">
        <x:v>1</x:v>
      </x:c>
    </x:row>
    <x:row r="1710">
      <x:c r="A1710" s="31" t="str">
        <x:v>36081028400</x:v>
      </x:c>
      <x:c r="B1710" s="31" t="str">
        <x:v>Queens</x:v>
      </x:c>
      <x:c r="C1710" s="31" t="str">
        <x:v>028400</x:v>
      </x:c>
      <x:c r="D1710" s="31" t="str">
        <x:v>QN1203</x:v>
      </x:c>
      <x:c r="E1710" s="31" t="str">
        <x:v>Baisley Park</x:v>
      </x:c>
      <x:c r="F1710" s="31" t="n">
        <x:v>0.1659175032853392</x:v>
      </x:c>
      <x:c r="G1710" s="31" t="n">
        <x:v>40.68250215446025</x:v>
      </x:c>
      <x:c r="H1710" s="31" t="n">
        <x:v>-73.77785584183574</x:v>
      </x:c>
      <x:c r="I1710" s="31" t="n">
        <x:v>3766</x:v>
      </x:c>
      <x:c r="J1710" s="31" t="n">
        <x:v>22698.027184771236</x:v>
      </x:c>
      <x:c r="K1710" s="31"/>
      <x:c r="L1710" s="40"/>
      <x:c r="M1710" s="40"/>
      <x:c r="N1710" s="31" t="n">
        <x:v>730</x:v>
      </x:c>
      <x:c r="O1710" s="31" t="n">
        <x:v>1095</x:v>
      </x:c>
      <x:c r="P1710" s="31" t="n">
        <x:v>1.9261004566210045</x:v>
      </x:c>
      <x:c r="Q1710" s="40" t="n">
        <x:v>0</x:v>
      </x:c>
      <x:c r="R1710" s="40" t="n">
        <x:v>0.0018264840182648401</x:v>
      </x:c>
      <x:c r="S1710" s="40" t="n">
        <x:v>0.0036529680365296802</x:v>
      </x:c>
      <x:c r="T1710" s="31" t="n">
        <x:v>24.71963402453712</x:v>
      </x:c>
      <x:c r="U1710" s="31" t="n">
        <x:v>35.72</x:v>
      </x:c>
      <x:c r="V1710" s="31" t="n">
        <x:v>0</x:v>
      </x:c>
      <x:c r="W1710" s="31" t="n">
        <x:v>0</x:v>
      </x:c>
      <x:c r="X1710" s="31" t="n">
        <x:v>5</x:v>
      </x:c>
      <x:c r="Y1710" s="40" t="n">
        <x:v>1</x:v>
      </x:c>
      <x:c r="Z1710" s="40" t="n">
        <x:v>1</x:v>
      </x:c>
      <x:c r="AA1710" s="40" t="n">
        <x:v>0.9963470319634703</x:v>
      </x:c>
      <x:c r="AB1710" s="31" t="n">
        <x:v>0.25942067594131574</x:v>
      </x:c>
      <x:c r="AC1710" s="31" t="n">
        <x:v>7</x:v>
      </x:c>
      <x:c r="AD1710" s="44" t="b">
        <x:v>1</x:v>
      </x:c>
    </x:row>
    <x:row r="1711">
      <x:c r="A1711" s="31" t="str">
        <x:v>36081028500</x:v>
      </x:c>
      <x:c r="B1711" s="31" t="str">
        <x:v>Queens</x:v>
      </x:c>
      <x:c r="C1711" s="31" t="str">
        <x:v>028500</x:v>
      </x:c>
      <x:c r="D1711" s="31" t="str">
        <x:v>QN0301</x:v>
      </x:c>
      <x:c r="E1711" s="31" t="str">
        <x:v>Jackson Heights</x:v>
      </x:c>
      <x:c r="F1711" s="31" t="n">
        <x:v>0.06103002384857094</x:v>
      </x:c>
      <x:c r="G1711" s="31" t="n">
        <x:v>40.75146611024724</x:v>
      </x:c>
      <x:c r="H1711" s="31" t="n">
        <x:v>-73.88711606951746</x:v>
      </x:c>
      <x:c r="I1711" s="31" t="n">
        <x:v>4858</x:v>
      </x:c>
      <x:c r="J1711" s="31" t="n">
        <x:v>79600.1655194135</x:v>
      </x:c>
      <x:c r="K1711" s="31"/>
      <x:c r="L1711" s="40"/>
      <x:c r="M1711" s="40"/>
      <x:c r="N1711" s="31" t="n">
        <x:v>116</x:v>
      </x:c>
      <x:c r="O1711" s="31" t="n">
        <x:v>2163</x:v>
      </x:c>
      <x:c r="P1711" s="31" t="n">
        <x:v>5.592233009708738</x:v>
      </x:c>
      <x:c r="Q1711" s="40" t="n">
        <x:v>0</x:v>
      </x:c>
      <x:c r="R1711" s="40" t="n">
        <x:v>0.9958391123439667</x:v>
      </x:c>
      <x:c r="S1711" s="40" t="n">
        <x:v>0.06241331484049931</x:v>
      </x:c>
      <x:c r="T1711" s="31" t="n">
        <x:v>64.05046867317151</x:v>
      </x:c>
      <x:c r="U1711" s="31" t="n">
        <x:v>88.05375351</x:v>
      </x:c>
      <x:c r="V1711" s="31" t="n">
        <x:v>74</x:v>
      </x:c>
      <x:c r="W1711" s="31" t="n">
        <x:v>15.232606010703995</x:v>
      </x:c>
      <x:c r="X1711" s="31" t="n">
        <x:v>3</x:v>
      </x:c>
      <x:c r="Y1711" s="40" t="n">
        <x:v>0</x:v>
      </x:c>
      <x:c r="Z1711" s="40" t="n">
        <x:v>1</x:v>
      </x:c>
      <x:c r="AA1711" s="40" t="n">
        <x:v>1</x:v>
      </x:c>
      <x:c r="AB1711" s="31" t="n">
        <x:v>0.13799126167619075</x:v>
      </x:c>
      <x:c r="AC1711" s="31" t="n">
        <x:v>6</x:v>
      </x:c>
      <x:c r="AD1711" s="44" t="b">
        <x:v>1</x:v>
      </x:c>
    </x:row>
    <x:row r="1712">
      <x:c r="A1712" s="31" t="str">
        <x:v>36081028700</x:v>
      </x:c>
      <x:c r="B1712" s="31" t="str">
        <x:v>Queens</x:v>
      </x:c>
      <x:c r="C1712" s="31" t="str">
        <x:v>028700</x:v>
      </x:c>
      <x:c r="D1712" s="31" t="str">
        <x:v>QN0301</x:v>
      </x:c>
      <x:c r="E1712" s="31" t="str">
        <x:v>Jackson Heights</x:v>
      </x:c>
      <x:c r="F1712" s="31" t="n">
        <x:v>0.07549492571273818</x:v>
      </x:c>
      <x:c r="G1712" s="31" t="n">
        <x:v>40.75096600247439</x:v>
      </x:c>
      <x:c r="H1712" s="31" t="n">
        <x:v>-73.88943499673766</x:v>
      </x:c>
      <x:c r="I1712" s="31" t="n">
        <x:v>6544</x:v>
      </x:c>
      <x:c r="J1712" s="31" t="n">
        <x:v>86681.32246265444</x:v>
      </x:c>
      <x:c r="K1712" s="31"/>
      <x:c r="L1712" s="40"/>
      <x:c r="M1712" s="40"/>
      <x:c r="N1712" s="31" t="n">
        <x:v>98</x:v>
      </x:c>
      <x:c r="O1712" s="31" t="n">
        <x:v>2812</x:v>
      </x:c>
      <x:c r="P1712" s="31" t="n">
        <x:v>5.722972972972973</x:v>
      </x:c>
      <x:c r="Q1712" s="40" t="n">
        <x:v>0</x:v>
      </x:c>
      <x:c r="R1712" s="40" t="n">
        <x:v>0.9640825035561877</x:v>
      </x:c>
      <x:c r="S1712" s="40" t="n">
        <x:v>0.077524893314367</x:v>
      </x:c>
      <x:c r="T1712" s="31" t="n">
        <x:v>61.917658376164525</x:v>
      </x:c>
      <x:c r="U1712" s="31" t="n">
        <x:v>74.54653926</x:v>
      </x:c>
      <x:c r="V1712" s="31" t="n">
        <x:v>65</x:v>
      </x:c>
      <x:c r="W1712" s="31" t="n">
        <x:v>9.93276283618582</x:v>
      </x:c>
      <x:c r="X1712" s="31" t="n">
        <x:v>3</x:v>
      </x:c>
      <x:c r="Y1712" s="40" t="n">
        <x:v>0</x:v>
      </x:c>
      <x:c r="Z1712" s="40" t="n">
        <x:v>1</x:v>
      </x:c>
      <x:c r="AA1712" s="40" t="n">
        <x:v>0.9985775248933144</x:v>
      </x:c>
      <x:c r="AB1712" s="31" t="n">
        <x:v>0.1530790740701741</x:v>
      </x:c>
      <x:c r="AC1712" s="31" t="n">
        <x:v>4</x:v>
      </x:c>
      <x:c r="AD1712" s="44" t="b">
        <x:v>1</x:v>
      </x:c>
    </x:row>
    <x:row r="1713">
      <x:c r="A1713" s="31" t="str">
        <x:v>36081028801</x:v>
      </x:c>
      <x:c r="B1713" s="31" t="str">
        <x:v>Queens</x:v>
      </x:c>
      <x:c r="C1713" s="31" t="str">
        <x:v>028801</x:v>
      </x:c>
      <x:c r="D1713" s="31" t="str">
        <x:v>QN1203</x:v>
      </x:c>
      <x:c r="E1713" s="31" t="str">
        <x:v>Baisley Park</x:v>
      </x:c>
      <x:c r="F1713" s="31" t="n">
        <x:v>0.09209367361362202</x:v>
      </x:c>
      <x:c r="G1713" s="31" t="n">
        <x:v>40.67837791068784</x:v>
      </x:c>
      <x:c r="H1713" s="31" t="n">
        <x:v>-73.78912774834266</x:v>
      </x:c>
      <x:c r="I1713" s="31" t="n">
        <x:v>2940</x:v>
      </x:c>
      <x:c r="J1713" s="31" t="n">
        <x:v>31924.016977916825</x:v>
      </x:c>
      <x:c r="K1713" s="31"/>
      <x:c r="L1713" s="40"/>
      <x:c r="M1713" s="40"/>
      <x:c r="N1713" s="31" t="n">
        <x:v>625</x:v>
      </x:c>
      <x:c r="O1713" s="31" t="n">
        <x:v>815</x:v>
      </x:c>
      <x:c r="P1713" s="31" t="n">
        <x:v>1.964759556103576</x:v>
      </x:c>
      <x:c r="Q1713" s="40" t="n">
        <x:v>0</x:v>
      </x:c>
      <x:c r="R1713" s="40" t="n">
        <x:v>0</x:v>
      </x:c>
      <x:c r="S1713" s="40" t="n">
        <x:v>0.008588957055214725</x:v>
      </x:c>
      <x:c r="T1713" s="31" t="n">
        <x:v>23.79333973808458</x:v>
      </x:c>
      <x:c r="U1713" s="31" t="n">
        <x:v>35.91691858</x:v>
      </x:c>
      <x:c r="V1713" s="31" t="n">
        <x:v>0</x:v>
      </x:c>
      <x:c r="W1713" s="31" t="n">
        <x:v>0</x:v>
      </x:c>
      <x:c r="X1713" s="31" t="n">
        <x:v>5</x:v>
      </x:c>
      <x:c r="Y1713" s="40" t="n">
        <x:v>1</x:v>
      </x:c>
      <x:c r="Z1713" s="40" t="n">
        <x:v>1</x:v>
      </x:c>
      <x:c r="AA1713" s="40" t="n">
        <x:v>0.9865030674846625</x:v>
      </x:c>
      <x:c r="AB1713" s="31" t="n">
        <x:v>0.18970377967352733</x:v>
      </x:c>
      <x:c r="AC1713" s="31" t="n">
        <x:v>5</x:v>
      </x:c>
      <x:c r="AD1713" s="44" t="b">
        <x:v>1</x:v>
      </x:c>
    </x:row>
    <x:row r="1714">
      <x:c r="A1714" s="31" t="str">
        <x:v>36081028802</x:v>
      </x:c>
      <x:c r="B1714" s="31" t="str">
        <x:v>Queens</x:v>
      </x:c>
      <x:c r="C1714" s="31" t="str">
        <x:v>028802</x:v>
      </x:c>
      <x:c r="D1714" s="31" t="str">
        <x:v>QN1203</x:v>
      </x:c>
      <x:c r="E1714" s="31" t="str">
        <x:v>Baisley Park</x:v>
      </x:c>
      <x:c r="F1714" s="31" t="n">
        <x:v>0.07721519533868515</x:v>
      </x:c>
      <x:c r="G1714" s="31" t="n">
        <x:v>40.6804527344089</x:v>
      </x:c>
      <x:c r="H1714" s="31" t="n">
        <x:v>-73.78258547690177</x:v>
      </x:c>
      <x:c r="I1714" s="31" t="n">
        <x:v>1952</x:v>
      </x:c>
      <x:c r="J1714" s="31" t="n">
        <x:v>25279.99821068949</x:v>
      </x:c>
      <x:c r="K1714" s="31"/>
      <x:c r="L1714" s="40"/>
      <x:c r="M1714" s="40"/>
      <x:c r="N1714" s="31" t="n">
        <x:v>384</x:v>
      </x:c>
      <x:c r="O1714" s="31" t="n">
        <x:v>595</x:v>
      </x:c>
      <x:c r="P1714" s="31" t="n">
        <x:v>1.9728013582342954</x:v>
      </x:c>
      <x:c r="Q1714" s="40" t="n">
        <x:v>0</x:v>
      </x:c>
      <x:c r="R1714" s="40" t="n">
        <x:v>0</x:v>
      </x:c>
      <x:c r="S1714" s="40" t="n">
        <x:v>0.008403361344537815</x:v>
      </x:c>
      <x:c r="T1714" s="31" t="n">
        <x:v>25.400852703683306</x:v>
      </x:c>
      <x:c r="U1714" s="31" t="n">
        <x:v>33.41</x:v>
      </x:c>
      <x:c r="V1714" s="31" t="n">
        <x:v>0</x:v>
      </x:c>
      <x:c r="W1714" s="31" t="n">
        <x:v>0</x:v>
      </x:c>
      <x:c r="X1714" s="31" t="n">
        <x:v>5</x:v>
      </x:c>
      <x:c r="Y1714" s="40" t="n">
        <x:v>1</x:v>
      </x:c>
      <x:c r="Z1714" s="40" t="n">
        <x:v>1</x:v>
      </x:c>
      <x:c r="AA1714" s="40" t="n">
        <x:v>0.9764705882352941</x:v>
      </x:c>
      <x:c r="AB1714" s="31" t="n">
        <x:v>0.34615199147371783</x:v>
      </x:c>
      <x:c r="AC1714" s="31" t="n">
        <x:v>5</x:v>
      </x:c>
      <x:c r="AD1714" s="44" t="b">
        <x:v>1</x:v>
      </x:c>
    </x:row>
    <x:row r="1715">
      <x:c r="A1715" s="31" t="str">
        <x:v>36081028803</x:v>
      </x:c>
      <x:c r="B1715" s="31" t="str">
        <x:v>Queens</x:v>
      </x:c>
      <x:c r="C1715" s="31" t="str">
        <x:v>028803</x:v>
      </x:c>
      <x:c r="D1715" s="31" t="str">
        <x:v>QN1203</x:v>
      </x:c>
      <x:c r="E1715" s="31" t="str">
        <x:v>Baisley Park</x:v>
      </x:c>
      <x:c r="F1715" s="31" t="n">
        <x:v>0.1458312578792183</x:v>
      </x:c>
      <x:c r="G1715" s="31" t="n">
        <x:v>40.67814043565114</x:v>
      </x:c>
      <x:c r="H1715" s="31" t="n">
        <x:v>-73.78569363671255</x:v>
      </x:c>
      <x:c r="I1715" s="31" t="n">
        <x:v>8</x:v>
      </x:c>
      <x:c r="J1715" s="31" t="n">
        <x:v>54.857923577850734</x:v>
      </x:c>
      <x:c r="K1715" s="31"/>
      <x:c r="L1715" s="40"/>
      <x:c r="M1715" s="40"/>
      <x:c r="N1715" s="31" t="n">
        <x:v>0</x:v>
      </x:c>
      <x:c r="O1715" s="31"/>
      <x:c r="P1715" s="31"/>
      <x:c r="Q1715" s="40"/>
      <x:c r="R1715" s="40"/>
      <x:c r="S1715" s="40"/>
      <x:c r="T1715" s="31"/>
      <x:c r="U1715" s="31"/>
      <x:c r="V1715" s="31" t="n">
        <x:v>0</x:v>
      </x:c>
      <x:c r="W1715" s="31" t="n">
        <x:v>0</x:v>
      </x:c>
      <x:c r="X1715" s="31"/>
      <x:c r="Y1715" s="40"/>
      <x:c r="Z1715" s="40"/>
      <x:c r="AA1715" s="40"/>
      <x:c r="AB1715" s="31" t="n">
        <x:v>0.26678631074805725</x:v>
      </x:c>
      <x:c r="AC1715" s="31" t="n">
        <x:v>8</x:v>
      </x:c>
      <x:c r="AD1715" s="44" t="b">
        <x:v>0</x:v>
      </x:c>
    </x:row>
    <x:row r="1716">
      <x:c r="A1716" s="31" t="str">
        <x:v>36081028900</x:v>
      </x:c>
      <x:c r="B1716" s="31" t="str">
        <x:v>Queens</x:v>
      </x:c>
      <x:c r="C1716" s="31" t="str">
        <x:v>028900</x:v>
      </x:c>
      <x:c r="D1716" s="31" t="str">
        <x:v>QN0301</x:v>
      </x:c>
      <x:c r="E1716" s="31" t="str">
        <x:v>Jackson Heights</x:v>
      </x:c>
      <x:c r="F1716" s="31" t="n">
        <x:v>0.06668318404894111</x:v>
      </x:c>
      <x:c r="G1716" s="31" t="n">
        <x:v>40.75127691344431</x:v>
      </x:c>
      <x:c r="H1716" s="31" t="n">
        <x:v>-73.89190157348452</x:v>
      </x:c>
      <x:c r="I1716" s="31" t="n">
        <x:v>5202</x:v>
      </x:c>
      <x:c r="J1716" s="31" t="n">
        <x:v>78010.67201863174</x:v>
      </x:c>
      <x:c r="K1716" s="31"/>
      <x:c r="L1716" s="40"/>
      <x:c r="M1716" s="40"/>
      <x:c r="N1716" s="31" t="n">
        <x:v>249</x:v>
      </x:c>
      <x:c r="O1716" s="31" t="n">
        <x:v>2104</x:v>
      </x:c>
      <x:c r="P1716" s="31" t="n">
        <x:v>5.548954372623574</x:v>
      </x:c>
      <x:c r="Q1716" s="40" t="n">
        <x:v>0.07557034220532319</x:v>
      </x:c>
      <x:c r="R1716" s="40" t="n">
        <x:v>0.8070342205323194</x:v>
      </x:c>
      <x:c r="S1716" s="40" t="n">
        <x:v>0.0004752851711026616</x:v>
      </x:c>
      <x:c r="T1716" s="31" t="n">
        <x:v>59.29821084079373</x:v>
      </x:c>
      <x:c r="U1716" s="31" t="n">
        <x:v>79.7262558</x:v>
      </x:c>
      <x:c r="V1716" s="31" t="n">
        <x:v>40</x:v>
      </x:c>
      <x:c r="W1716" s="31" t="n">
        <x:v>7.6893502499038835</x:v>
      </x:c>
      <x:c r="X1716" s="31" t="n">
        <x:v>3</x:v>
      </x:c>
      <x:c r="Y1716" s="40" t="n">
        <x:v>0</x:v>
      </x:c>
      <x:c r="Z1716" s="40" t="n">
        <x:v>1</x:v>
      </x:c>
      <x:c r="AA1716" s="40" t="n">
        <x:v>1</x:v>
      </x:c>
      <x:c r="AB1716" s="31" t="n">
        <x:v>0.10578280905346678</x:v>
      </x:c>
      <x:c r="AC1716" s="31" t="n">
        <x:v>6</x:v>
      </x:c>
      <x:c r="AD1716" s="44" t="b">
        <x:v>1</x:v>
      </x:c>
    </x:row>
    <x:row r="1717">
      <x:c r="A1717" s="31" t="str">
        <x:v>36081029100</x:v>
      </x:c>
      <x:c r="B1717" s="31" t="str">
        <x:v>Queens</x:v>
      </x:c>
      <x:c r="C1717" s="31" t="str">
        <x:v>029100</x:v>
      </x:c>
      <x:c r="D1717" s="31" t="str">
        <x:v>QN0301</x:v>
      </x:c>
      <x:c r="E1717" s="31" t="str">
        <x:v>Jackson Heights</x:v>
      </x:c>
      <x:c r="F1717" s="31" t="n">
        <x:v>0.10093298467917813</x:v>
      </x:c>
      <x:c r="G1717" s="31" t="n">
        <x:v>40.75133634756788</x:v>
      </x:c>
      <x:c r="H1717" s="31" t="n">
        <x:v>-73.89519902855162</x:v>
      </x:c>
      <x:c r="I1717" s="31" t="n">
        <x:v>7341</x:v>
      </x:c>
      <x:c r="J1717" s="31" t="n">
        <x:v>72731.42692979735</x:v>
      </x:c>
      <x:c r="K1717" s="31"/>
      <x:c r="L1717" s="40"/>
      <x:c r="M1717" s="40"/>
      <x:c r="N1717" s="31" t="n">
        <x:v>428</x:v>
      </x:c>
      <x:c r="O1717" s="31" t="n">
        <x:v>2404</x:v>
      </x:c>
      <x:c r="P1717" s="31" t="n">
        <x:v>4.517678868552412</x:v>
      </x:c>
      <x:c r="Q1717" s="40" t="n">
        <x:v>0</x:v>
      </x:c>
      <x:c r="R1717" s="40" t="n">
        <x:v>0.8165557404326124</x:v>
      </x:c>
      <x:c r="S1717" s="40" t="n">
        <x:v>0.0029118136439267887</x:v>
      </x:c>
      <x:c r="T1717" s="31" t="n">
        <x:v>52.63169198797837</x:v>
      </x:c>
      <x:c r="U1717" s="31" t="n">
        <x:v>96.2166059</x:v>
      </x:c>
      <x:c r="V1717" s="31" t="n">
        <x:v>24</x:v>
      </x:c>
      <x:c r="W1717" s="31" t="n">
        <x:v>3.2693093583980386</x:v>
      </x:c>
      <x:c r="X1717" s="31" t="n">
        <x:v>3</x:v>
      </x:c>
      <x:c r="Y1717" s="40" t="n">
        <x:v>0</x:v>
      </x:c>
      <x:c r="Z1717" s="40" t="n">
        <x:v>1</x:v>
      </x:c>
      <x:c r="AA1717" s="40" t="n">
        <x:v>1</x:v>
      </x:c>
      <x:c r="AB1717" s="31" t="n">
        <x:v>0.12729094069126076</x:v>
      </x:c>
      <x:c r="AC1717" s="31" t="n">
        <x:v>6</x:v>
      </x:c>
      <x:c r="AD1717" s="44" t="b">
        <x:v>1</x:v>
      </x:c>
    </x:row>
    <x:row r="1718">
      <x:c r="A1718" s="31" t="str">
        <x:v>36081029300</x:v>
      </x:c>
      <x:c r="B1718" s="31" t="str">
        <x:v>Queens</x:v>
      </x:c>
      <x:c r="C1718" s="31" t="str">
        <x:v>029300</x:v>
      </x:c>
      <x:c r="D1718" s="31" t="str">
        <x:v>QN0203</x:v>
      </x:c>
      <x:c r="E1718" s="31" t="str">
        <x:v>Woodside</x:v>
      </x:c>
      <x:c r="F1718" s="31" t="n">
        <x:v>0.05843411126033057</x:v>
      </x:c>
      <x:c r="G1718" s="31" t="n">
        <x:v>40.751932562312625</x:v>
      </x:c>
      <x:c r="H1718" s="31" t="n">
        <x:v>-73.89948323586937</x:v>
      </x:c>
      <x:c r="I1718" s="31" t="n">
        <x:v>1457</x:v>
      </x:c>
      <x:c r="J1718" s="31" t="n">
        <x:v>24934.066225614355</x:v>
      </x:c>
      <x:c r="K1718" s="31"/>
      <x:c r="L1718" s="40"/>
      <x:c r="M1718" s="40"/>
      <x:c r="N1718" s="31" t="n">
        <x:v>184</x:v>
      </x:c>
      <x:c r="O1718" s="31" t="n">
        <x:v>368</x:v>
      </x:c>
      <x:c r="P1718" s="31" t="n">
        <x:v>2.207445652173913</x:v>
      </x:c>
      <x:c r="Q1718" s="40" t="n">
        <x:v>0</x:v>
      </x:c>
      <x:c r="R1718" s="40" t="n">
        <x:v>0.22554347826086957</x:v>
      </x:c>
      <x:c r="S1718" s="40" t="n">
        <x:v>0.008152173913043478</x:v>
      </x:c>
      <x:c r="T1718" s="31" t="n">
        <x:v>26.726857468913042</x:v>
      </x:c>
      <x:c r="U1718" s="31" t="n">
        <x:v>37.82566955</x:v>
      </x:c>
      <x:c r="V1718" s="31" t="n">
        <x:v>1</x:v>
      </x:c>
      <x:c r="W1718" s="31" t="n">
        <x:v>0.6863417982155113</x:v>
      </x:c>
      <x:c r="X1718" s="31" t="n">
        <x:v>3</x:v>
      </x:c>
      <x:c r="Y1718" s="40" t="n">
        <x:v>0</x:v>
      </x:c>
      <x:c r="Z1718" s="40" t="n">
        <x:v>1</x:v>
      </x:c>
      <x:c r="AA1718" s="40" t="n">
        <x:v>1</x:v>
      </x:c>
      <x:c r="AB1718" s="31" t="n">
        <x:v>0.09155614361622218</x:v>
      </x:c>
      <x:c r="AC1718" s="31" t="n">
        <x:v>6</x:v>
      </x:c>
      <x:c r="AD1718" s="44" t="b">
        <x:v>1</x:v>
      </x:c>
    </x:row>
    <x:row r="1719">
      <x:c r="A1719" s="31" t="str">
        <x:v>36081029400</x:v>
      </x:c>
      <x:c r="B1719" s="31" t="str">
        <x:v>Queens</x:v>
      </x:c>
      <x:c r="C1719" s="31" t="str">
        <x:v>029400</x:v>
      </x:c>
      <x:c r="D1719" s="31" t="str">
        <x:v>QN1204</x:v>
      </x:c>
      <x:c r="E1719" s="31" t="str">
        <x:v>Springfield Gardens (North)-Rochdale Village</x:v>
      </x:c>
      <x:c r="F1719" s="31" t="n">
        <x:v>0.41103162608686294</x:v>
      </x:c>
      <x:c r="G1719" s="31" t="n">
        <x:v>40.67132475141589</x:v>
      </x:c>
      <x:c r="H1719" s="31" t="n">
        <x:v>-73.78106481973275</x:v>
      </x:c>
      <x:c r="I1719" s="31" t="n">
        <x:v>8072</x:v>
      </x:c>
      <x:c r="J1719" s="31" t="n">
        <x:v>19638.391519523004</x:v>
      </x:c>
      <x:c r="K1719" s="31"/>
      <x:c r="L1719" s="40"/>
      <x:c r="M1719" s="40"/>
      <x:c r="N1719" s="31" t="n">
        <x:v>1266</x:v>
      </x:c>
      <x:c r="O1719" s="31" t="n">
        <x:v>2525</x:v>
      </x:c>
      <x:c r="P1719" s="31" t="n">
        <x:v>3.10637519872814</x:v>
      </x:c>
      <x:c r="Q1719" s="40" t="n">
        <x:v>0.10693069306930693</x:v>
      </x:c>
      <x:c r="R1719" s="40" t="n">
        <x:v>0.08435643564356436</x:v>
      </x:c>
      <x:c r="S1719" s="40" t="n">
        <x:v>0.006336633663366337</x:v>
      </x:c>
      <x:c r="T1719" s="31" t="n">
        <x:v>36.22006992038646</x:v>
      </x:c>
      <x:c r="U1719" s="31" t="n">
        <x:v>113.21</x:v>
      </x:c>
      <x:c r="V1719" s="31" t="n">
        <x:v>7</x:v>
      </x:c>
      <x:c r="W1719" s="31" t="n">
        <x:v>0.867195242814668</x:v>
      </x:c>
      <x:c r="X1719" s="31" t="n">
        <x:v>5</x:v>
      </x:c>
      <x:c r="Y1719" s="40" t="n">
        <x:v>1</x:v>
      </x:c>
      <x:c r="Z1719" s="40" t="n">
        <x:v>1</x:v>
      </x:c>
      <x:c r="AA1719" s="40" t="n">
        <x:v>0.994059405940594</x:v>
      </x:c>
      <x:c r="AB1719" s="31" t="n">
        <x:v>0.2628419719730134</x:v>
      </x:c>
      <x:c r="AC1719" s="31" t="n">
        <x:v>9</x:v>
      </x:c>
      <x:c r="AD1719" s="44" t="b">
        <x:v>1</x:v>
      </x:c>
    </x:row>
    <x:row r="1720">
      <x:c r="A1720" s="31" t="str">
        <x:v>36081029500</x:v>
      </x:c>
      <x:c r="B1720" s="31" t="str">
        <x:v>Queens</x:v>
      </x:c>
      <x:c r="C1720" s="31" t="str">
        <x:v>029500</x:v>
      </x:c>
      <x:c r="D1720" s="31" t="str">
        <x:v>QN0104</x:v>
      </x:c>
      <x:c r="E1720" s="31" t="str">
        <x:v>Astoria (East)-Woodside (North)</x:v>
      </x:c>
      <x:c r="F1720" s="31" t="n">
        <x:v>0.07060170903028869</x:v>
      </x:c>
      <x:c r="G1720" s="31" t="n">
        <x:v>40.75599809021873</x:v>
      </x:c>
      <x:c r="H1720" s="31" t="n">
        <x:v>-73.90672442254828</x:v>
      </x:c>
      <x:c r="I1720" s="31" t="n">
        <x:v>3826</x:v>
      </x:c>
      <x:c r="J1720" s="31" t="n">
        <x:v>54191.32273920757</x:v>
      </x:c>
      <x:c r="K1720" s="31"/>
      <x:c r="L1720" s="40"/>
      <x:c r="M1720" s="40"/>
      <x:c r="N1720" s="31" t="n">
        <x:v>257</x:v>
      </x:c>
      <x:c r="O1720" s="31" t="n">
        <x:v>1676</x:v>
      </x:c>
      <x:c r="P1720" s="31" t="n">
        <x:v>5.118585918854415</x:v>
      </x:c>
      <x:c r="Q1720" s="40" t="n">
        <x:v>0</x:v>
      </x:c>
      <x:c r="R1720" s="40" t="n">
        <x:v>0.8269689737470167</x:v>
      </x:c>
      <x:c r="S1720" s="40" t="n">
        <x:v>0.5763723150357996</x:v>
      </x:c>
      <x:c r="T1720" s="31" t="n">
        <x:v>58.33919672837709</x:v>
      </x:c>
      <x:c r="U1720" s="31" t="n">
        <x:v>79.27</x:v>
      </x:c>
      <x:c r="V1720" s="31" t="n">
        <x:v>26</x:v>
      </x:c>
      <x:c r="W1720" s="31" t="n">
        <x:v>6.7956089911134345</x:v>
      </x:c>
      <x:c r="X1720" s="31" t="n">
        <x:v>3</x:v>
      </x:c>
      <x:c r="Y1720" s="40" t="n">
        <x:v>0</x:v>
      </x:c>
      <x:c r="Z1720" s="40" t="n">
        <x:v>1</x:v>
      </x:c>
      <x:c r="AA1720" s="40" t="n">
        <x:v>1</x:v>
      </x:c>
      <x:c r="AB1720" s="31" t="n">
        <x:v>0.14313497931859476</x:v>
      </x:c>
      <x:c r="AC1720" s="31" t="n">
        <x:v>5</x:v>
      </x:c>
      <x:c r="AD1720" s="44" t="b">
        <x:v>1</x:v>
      </x:c>
    </x:row>
    <x:row r="1721">
      <x:c r="A1721" s="31" t="str">
        <x:v>36081029700</x:v>
      </x:c>
      <x:c r="B1721" s="31" t="str">
        <x:v>Queens</x:v>
      </x:c>
      <x:c r="C1721" s="31" t="str">
        <x:v>029700</x:v>
      </x:c>
      <x:c r="D1721" s="31" t="str">
        <x:v>QN0104</x:v>
      </x:c>
      <x:c r="E1721" s="31" t="str">
        <x:v>Astoria (East)-Woodside (North)</x:v>
      </x:c>
      <x:c r="F1721" s="31" t="n">
        <x:v>0.20070312647533572</x:v>
      </x:c>
      <x:c r="G1721" s="31" t="n">
        <x:v>40.758681543626615</x:v>
      </x:c>
      <x:c r="H1721" s="31" t="n">
        <x:v>-73.90299445224841</x:v>
      </x:c>
      <x:c r="I1721" s="31" t="n">
        <x:v>2258</x:v>
      </x:c>
      <x:c r="J1721" s="31" t="n">
        <x:v>11250.44756229786</x:v>
      </x:c>
      <x:c r="K1721" s="31"/>
      <x:c r="L1721" s="40"/>
      <x:c r="M1721" s="40"/>
      <x:c r="N1721" s="31" t="n">
        <x:v>395</x:v>
      </x:c>
      <x:c r="O1721" s="31" t="n">
        <x:v>827</x:v>
      </x:c>
      <x:c r="P1721" s="31" t="n">
        <x:v>2.471480582524272</x:v>
      </x:c>
      <x:c r="Q1721" s="40" t="n">
        <x:v>0</x:v>
      </x:c>
      <x:c r="R1721" s="40" t="n">
        <x:v>0.4848851269649335</x:v>
      </x:c>
      <x:c r="S1721" s="40" t="n">
        <x:v>0</x:v>
      </x:c>
      <x:c r="T1721" s="31" t="n">
        <x:v>28.14441084293833</x:v>
      </x:c>
      <x:c r="U1721" s="31" t="n">
        <x:v>40</x:v>
      </x:c>
      <x:c r="V1721" s="31" t="n">
        <x:v>2</x:v>
      </x:c>
      <x:c r="W1721" s="31" t="n">
        <x:v>0.8857395925597874</x:v>
      </x:c>
      <x:c r="X1721" s="31" t="n">
        <x:v>3</x:v>
      </x:c>
      <x:c r="Y1721" s="40" t="n">
        <x:v>0</x:v>
      </x:c>
      <x:c r="Z1721" s="40" t="n">
        <x:v>1</x:v>
      </x:c>
      <x:c r="AA1721" s="40" t="n">
        <x:v>1</x:v>
      </x:c>
      <x:c r="AB1721" s="31" t="n">
        <x:v>0.2886414388819333</x:v>
      </x:c>
      <x:c r="AC1721" s="31" t="n">
        <x:v>13</x:v>
      </x:c>
      <x:c r="AD1721" s="44" t="b">
        <x:v>1</x:v>
      </x:c>
    </x:row>
    <x:row r="1722">
      <x:c r="A1722" s="31" t="str">
        <x:v>36081029900</x:v>
      </x:c>
      <x:c r="B1722" s="31" t="str">
        <x:v>Queens</x:v>
      </x:c>
      <x:c r="C1722" s="31" t="str">
        <x:v>029900</x:v>
      </x:c>
      <x:c r="D1722" s="31" t="str">
        <x:v>QN0171</x:v>
      </x:c>
      <x:c r="E1722" s="31" t="str">
        <x:v>St. Michael's Cemetery</x:v>
      </x:c>
      <x:c r="F1722" s="31" t="n">
        <x:v>0.1574235702622819</x:v>
      </x:c>
      <x:c r="G1722" s="31" t="n">
        <x:v>40.763987809791125</x:v>
      </x:c>
      <x:c r="H1722" s="31" t="n">
        <x:v>-73.89939935847808</x:v>
      </x:c>
      <x:c r="I1722" s="31" t="n">
        <x:v>5</x:v>
      </x:c>
      <x:c r="J1722" s="31" t="n">
        <x:v>31.761444564302206</x:v>
      </x:c>
      <x:c r="K1722" s="31"/>
      <x:c r="L1722" s="40"/>
      <x:c r="M1722" s="40"/>
      <x:c r="N1722" s="31" t="n">
        <x:v>0</x:v>
      </x:c>
      <x:c r="O1722" s="31"/>
      <x:c r="P1722" s="31"/>
      <x:c r="Q1722" s="40"/>
      <x:c r="R1722" s="40"/>
      <x:c r="S1722" s="40"/>
      <x:c r="T1722" s="31"/>
      <x:c r="U1722" s="31"/>
      <x:c r="V1722" s="31" t="n">
        <x:v>0</x:v>
      </x:c>
      <x:c r="W1722" s="31" t="n">
        <x:v>0</x:v>
      </x:c>
      <x:c r="X1722" s="31"/>
      <x:c r="Y1722" s="40"/>
      <x:c r="Z1722" s="40"/>
      <x:c r="AA1722" s="40"/>
      <x:c r="AB1722" s="31" t="n">
        <x:v>0.5006044105639584</x:v>
      </x:c>
      <x:c r="AC1722" s="31" t="n">
        <x:v>6</x:v>
      </x:c>
      <x:c r="AD1722" s="44" t="b">
        <x:v>0</x:v>
      </x:c>
    </x:row>
    <x:row r="1723">
      <x:c r="A1723" s="31" t="str">
        <x:v>36081030600</x:v>
      </x:c>
      <x:c r="B1723" s="31" t="str">
        <x:v>Queens</x:v>
      </x:c>
      <x:c r="C1723" s="31" t="str">
        <x:v>030600</x:v>
      </x:c>
      <x:c r="D1723" s="31" t="str">
        <x:v>QN1306</x:v>
      </x:c>
      <x:c r="E1723" s="31" t="str">
        <x:v>Springfield Gardens (South)-Brookville</x:v>
      </x:c>
      <x:c r="F1723" s="31" t="n">
        <x:v>0.5213643265431301</x:v>
      </x:c>
      <x:c r="G1723" s="31" t="n">
        <x:v>40.66487989090024</x:v>
      </x:c>
      <x:c r="H1723" s="31" t="n">
        <x:v>-73.78037749417396</x:v>
      </x:c>
      <x:c r="I1723" s="31" t="n">
        <x:v>5287</x:v>
      </x:c>
      <x:c r="J1723" s="31" t="n">
        <x:v>10140.701484229052</x:v>
      </x:c>
      <x:c r="K1723" s="31"/>
      <x:c r="L1723" s="40"/>
      <x:c r="M1723" s="40"/>
      <x:c r="N1723" s="31" t="n">
        <x:v>872</x:v>
      </x:c>
      <x:c r="O1723" s="31" t="n">
        <x:v>1338</x:v>
      </x:c>
      <x:c r="P1723" s="31" t="n">
        <x:v>1.9300074738415545</x:v>
      </x:c>
      <x:c r="Q1723" s="40" t="n">
        <x:v>0</x:v>
      </x:c>
      <x:c r="R1723" s="40" t="n">
        <x:v>0.014947683109118086</x:v>
      </x:c>
      <x:c r="S1723" s="40" t="n">
        <x:v>0.009715994020926755</x:v>
      </x:c>
      <x:c r="T1723" s="31" t="n">
        <x:v>25.16717602210167</x:v>
      </x:c>
      <x:c r="U1723" s="31" t="n">
        <x:v>46.10309598</x:v>
      </x:c>
      <x:c r="V1723" s="31" t="n">
        <x:v>2</x:v>
      </x:c>
      <x:c r="W1723" s="31" t="n">
        <x:v>0.3782863627766219</x:v>
      </x:c>
      <x:c r="X1723" s="31" t="n">
        <x:v>5</x:v>
      </x:c>
      <x:c r="Y1723" s="40" t="n">
        <x:v>1</x:v>
      </x:c>
      <x:c r="Z1723" s="40" t="n">
        <x:v>1</x:v>
      </x:c>
      <x:c r="AA1723" s="40" t="n">
        <x:v>0.9850523168908819</x:v>
      </x:c>
      <x:c r="AB1723" s="31" t="n">
        <x:v>0.6599854441605103</x:v>
      </x:c>
      <x:c r="AC1723" s="31" t="n">
        <x:v>8</x:v>
      </x:c>
      <x:c r="AD1723" s="44" t="b">
        <x:v>1</x:v>
      </x:c>
    </x:row>
    <x:row r="1724">
      <x:c r="A1724" s="31" t="str">
        <x:v>36081030903</x:v>
      </x:c>
      <x:c r="B1724" s="31" t="str">
        <x:v>Queens</x:v>
      </x:c>
      <x:c r="C1724" s="31" t="str">
        <x:v>030903</x:v>
      </x:c>
      <x:c r="D1724" s="31" t="str">
        <x:v>QN0301</x:v>
      </x:c>
      <x:c r="E1724" s="31" t="str">
        <x:v>Jackson Heights</x:v>
      </x:c>
      <x:c r="F1724" s="31" t="n">
        <x:v>0.1357980093760761</x:v>
      </x:c>
      <x:c r="G1724" s="31" t="n">
        <x:v>40.757948312791214</x:v>
      </x:c>
      <x:c r="H1724" s="31" t="n">
        <x:v>-73.89006484058571</x:v>
      </x:c>
      <x:c r="I1724" s="31" t="n">
        <x:v>6748</x:v>
      </x:c>
      <x:c r="J1724" s="31" t="n">
        <x:v>49691.45005146749</x:v>
      </x:c>
      <x:c r="K1724" s="31"/>
      <x:c r="L1724" s="40"/>
      <x:c r="M1724" s="40"/>
      <x:c r="N1724" s="31" t="n">
        <x:v>971</x:v>
      </x:c>
      <x:c r="O1724" s="31" t="n">
        <x:v>1898</x:v>
      </x:c>
      <x:c r="P1724" s="31" t="n">
        <x:v>2.309536354056902</x:v>
      </x:c>
      <x:c r="Q1724" s="40" t="n">
        <x:v>0</x:v>
      </x:c>
      <x:c r="R1724" s="40" t="n">
        <x:v>0.29557428872497366</x:v>
      </x:c>
      <x:c r="S1724" s="40" t="n">
        <x:v>0.011064278187565859</x:v>
      </x:c>
      <x:c r="T1724" s="31" t="n">
        <x:v>27.000756387876713</x:v>
      </x:c>
      <x:c r="U1724" s="31" t="n">
        <x:v>47.77</x:v>
      </x:c>
      <x:c r="V1724" s="31" t="n">
        <x:v>0</x:v>
      </x:c>
      <x:c r="W1724" s="31" t="n">
        <x:v>0</x:v>
      </x:c>
      <x:c r="X1724" s="31" t="n">
        <x:v>3</x:v>
      </x:c>
      <x:c r="Y1724" s="40" t="n">
        <x:v>0</x:v>
      </x:c>
      <x:c r="Z1724" s="40" t="n">
        <x:v>1</x:v>
      </x:c>
      <x:c r="AA1724" s="40" t="n">
        <x:v>1</x:v>
      </x:c>
      <x:c r="AB1724" s="31" t="n">
        <x:v>0.28909882500952405</x:v>
      </x:c>
      <x:c r="AC1724" s="31" t="n">
        <x:v>8</x:v>
      </x:c>
      <x:c r="AD1724" s="44" t="b">
        <x:v>1</x:v>
      </x:c>
    </x:row>
    <x:row r="1725">
      <x:c r="A1725" s="31" t="str">
        <x:v>36081030904</x:v>
      </x:c>
      <x:c r="B1725" s="31" t="str">
        <x:v>Queens</x:v>
      </x:c>
      <x:c r="C1725" s="31" t="str">
        <x:v>030904</x:v>
      </x:c>
      <x:c r="D1725" s="31" t="str">
        <x:v>QN0301</x:v>
      </x:c>
      <x:c r="E1725" s="31" t="str">
        <x:v>Jackson Heights</x:v>
      </x:c>
      <x:c r="F1725" s="31" t="n">
        <x:v>0.16000350644836145</x:v>
      </x:c>
      <x:c r="G1725" s="31" t="n">
        <x:v>40.763583251794344</x:v>
      </x:c>
      <x:c r="H1725" s="31" t="n">
        <x:v>-73.8910548474026</x:v>
      </x:c>
      <x:c r="I1725" s="31" t="n">
        <x:v>3724</x:v>
      </x:c>
      <x:c r="J1725" s="31" t="n">
        <x:v>23274.489932518205</x:v>
      </x:c>
      <x:c r="K1725" s="31"/>
      <x:c r="L1725" s="40"/>
      <x:c r="M1725" s="40"/>
      <x:c r="N1725" s="31" t="n">
        <x:v>494</x:v>
      </x:c>
      <x:c r="O1725" s="31" t="n">
        <x:v>1137</x:v>
      </x:c>
      <x:c r="P1725" s="31" t="n">
        <x:v>2.135664028144239</x:v>
      </x:c>
      <x:c r="Q1725" s="40" t="n">
        <x:v>0</x:v>
      </x:c>
      <x:c r="R1725" s="40" t="n">
        <x:v>0.3649956024626209</x:v>
      </x:c>
      <x:c r="S1725" s="40" t="n">
        <x:v>0.04661389621811785</x:v>
      </x:c>
      <x:c r="T1725" s="31" t="n">
        <x:v>25.528194643113455</x:v>
      </x:c>
      <x:c r="U1725" s="31" t="n">
        <x:v>37</x:v>
      </x:c>
      <x:c r="V1725" s="31" t="n">
        <x:v>2</x:v>
      </x:c>
      <x:c r="W1725" s="31" t="n">
        <x:v>0.5370569280343717</x:v>
      </x:c>
      <x:c r="X1725" s="31" t="n">
        <x:v>3</x:v>
      </x:c>
      <x:c r="Y1725" s="40" t="n">
        <x:v>0</x:v>
      </x:c>
      <x:c r="Z1725" s="40" t="n">
        <x:v>1</x:v>
      </x:c>
      <x:c r="AA1725" s="40" t="n">
        <x:v>1</x:v>
      </x:c>
      <x:c r="AB1725" s="31" t="n">
        <x:v>0.4700684951676022</x:v>
      </x:c>
      <x:c r="AC1725" s="31" t="n">
        <x:v>7</x:v>
      </x:c>
      <x:c r="AD1725" s="44" t="b">
        <x:v>1</x:v>
      </x:c>
    </x:row>
    <x:row r="1726">
      <x:c r="A1726" s="31" t="str">
        <x:v>36081030905</x:v>
      </x:c>
      <x:c r="B1726" s="31" t="str">
        <x:v>Queens</x:v>
      </x:c>
      <x:c r="C1726" s="31" t="str">
        <x:v>030905</x:v>
      </x:c>
      <x:c r="D1726" s="31" t="str">
        <x:v>QN0301</x:v>
      </x:c>
      <x:c r="E1726" s="31" t="str">
        <x:v>Jackson Heights</x:v>
      </x:c>
      <x:c r="F1726" s="31" t="n">
        <x:v>0.07463560309917355</x:v>
      </x:c>
      <x:c r="G1726" s="31" t="n">
        <x:v>40.760016810031125</x:v>
      </x:c>
      <x:c r="H1726" s="31" t="n">
        <x:v>-73.89606455945199</x:v>
      </x:c>
      <x:c r="I1726" s="31" t="n">
        <x:v>3424</x:v>
      </x:c>
      <x:c r="J1726" s="31" t="n">
        <x:v>45876.22874099766</x:v>
      </x:c>
      <x:c r="K1726" s="31"/>
      <x:c r="L1726" s="40"/>
      <x:c r="M1726" s="40"/>
      <x:c r="N1726" s="31" t="n">
        <x:v>481</x:v>
      </x:c>
      <x:c r="O1726" s="31" t="n">
        <x:v>1206</x:v>
      </x:c>
      <x:c r="P1726" s="31" t="n">
        <x:v>2.458540630182421</x:v>
      </x:c>
      <x:c r="Q1726" s="40" t="n">
        <x:v>0</x:v>
      </x:c>
      <x:c r="R1726" s="40" t="n">
        <x:v>0.6741293532338308</x:v>
      </x:c>
      <x:c r="S1726" s="40" t="n">
        <x:v>0</x:v>
      </x:c>
      <x:c r="T1726" s="31" t="n">
        <x:v>25.941268656716417</x:v>
      </x:c>
      <x:c r="U1726" s="31" t="n">
        <x:v>31.97</x:v>
      </x:c>
      <x:c r="V1726" s="31" t="n">
        <x:v>0</x:v>
      </x:c>
      <x:c r="W1726" s="31" t="n">
        <x:v>0</x:v>
      </x:c>
      <x:c r="X1726" s="31" t="n">
        <x:v>3</x:v>
      </x:c>
      <x:c r="Y1726" s="40" t="n">
        <x:v>0</x:v>
      </x:c>
      <x:c r="Z1726" s="40" t="n">
        <x:v>1</x:v>
      </x:c>
      <x:c r="AA1726" s="40" t="n">
        <x:v>1</x:v>
      </x:c>
      <x:c r="AB1726" s="31" t="n">
        <x:v>0.5001199871068479</x:v>
      </x:c>
      <x:c r="AC1726" s="31" t="n">
        <x:v>5</x:v>
      </x:c>
      <x:c r="AD1726" s="44" t="b">
        <x:v>1</x:v>
      </x:c>
    </x:row>
    <x:row r="1727">
      <x:c r="A1727" s="31" t="str">
        <x:v>36081030906</x:v>
      </x:c>
      <x:c r="B1727" s="31" t="str">
        <x:v>Queens</x:v>
      </x:c>
      <x:c r="C1727" s="31" t="str">
        <x:v>030906</x:v>
      </x:c>
      <x:c r="D1727" s="31" t="str">
        <x:v>QN0301</x:v>
      </x:c>
      <x:c r="E1727" s="31" t="str">
        <x:v>Jackson Heights</x:v>
      </x:c>
      <x:c r="F1727" s="31" t="n">
        <x:v>0.08366553402598428</x:v>
      </x:c>
      <x:c r="G1727" s="31" t="n">
        <x:v>40.75631769027013</x:v>
      </x:c>
      <x:c r="H1727" s="31" t="n">
        <x:v>-73.89623142206625</x:v>
      </x:c>
      <x:c r="I1727" s="31" t="n">
        <x:v>4924</x:v>
      </x:c>
      <x:c r="J1727" s="31" t="n">
        <x:v>58853.386371390836</x:v>
      </x:c>
      <x:c r="K1727" s="31"/>
      <x:c r="L1727" s="40"/>
      <x:c r="M1727" s="40"/>
      <x:c r="N1727" s="31" t="n">
        <x:v>512</x:v>
      </x:c>
      <x:c r="O1727" s="31" t="n">
        <x:v>1569</x:v>
      </x:c>
      <x:c r="P1727" s="31" t="n">
        <x:v>3.3975462077756533</x:v>
      </x:c>
      <x:c r="Q1727" s="40" t="n">
        <x:v>0</x:v>
      </x:c>
      <x:c r="R1727" s="40" t="n">
        <x:v>0.6781389420012747</x:v>
      </x:c>
      <x:c r="S1727" s="40" t="n">
        <x:v>0</x:v>
      </x:c>
      <x:c r="T1727" s="31" t="n">
        <x:v>36.79530274059911</x:v>
      </x:c>
      <x:c r="U1727" s="31" t="n">
        <x:v>66.44</x:v>
      </x:c>
      <x:c r="V1727" s="31" t="n">
        <x:v>6</x:v>
      </x:c>
      <x:c r="W1727" s="31" t="n">
        <x:v>1.2185215272136476</x:v>
      </x:c>
      <x:c r="X1727" s="31" t="n">
        <x:v>3</x:v>
      </x:c>
      <x:c r="Y1727" s="40" t="n">
        <x:v>0</x:v>
      </x:c>
      <x:c r="Z1727" s="40" t="n">
        <x:v>1</x:v>
      </x:c>
      <x:c r="AA1727" s="40" t="n">
        <x:v>1</x:v>
      </x:c>
      <x:c r="AB1727" s="31" t="n">
        <x:v>0.24499736761310256</x:v>
      </x:c>
      <x:c r="AC1727" s="31" t="n">
        <x:v>5</x:v>
      </x:c>
      <x:c r="AD1727" s="44" t="b">
        <x:v>1</x:v>
      </x:c>
    </x:row>
    <x:row r="1728">
      <x:c r="A1728" s="31" t="str">
        <x:v>36081031700</x:v>
      </x:c>
      <x:c r="B1728" s="31" t="str">
        <x:v>Queens</x:v>
      </x:c>
      <x:c r="C1728" s="31" t="str">
        <x:v>031700</x:v>
      </x:c>
      <x:c r="D1728" s="31" t="str">
        <x:v>QN0101</x:v>
      </x:c>
      <x:c r="E1728" s="31" t="str">
        <x:v>Astoria (North)-Ditmars-Steinway</x:v>
      </x:c>
      <x:c r="F1728" s="31" t="n">
        <x:v>0.2958680139218894</x:v>
      </x:c>
      <x:c r="G1728" s="31" t="n">
        <x:v>40.77090996919224</x:v>
      </x:c>
      <x:c r="H1728" s="31" t="n">
        <x:v>-73.89304663099462</x:v>
      </x:c>
      <x:c r="I1728" s="31" t="n">
        <x:v>6781</x:v>
      </x:c>
      <x:c r="J1728" s="31" t="n">
        <x:v>22919.00334245059</x:v>
      </x:c>
      <x:c r="K1728" s="31"/>
      <x:c r="L1728" s="40"/>
      <x:c r="M1728" s="40"/>
      <x:c r="N1728" s="31" t="n">
        <x:v>777</x:v>
      </x:c>
      <x:c r="O1728" s="31" t="n">
        <x:v>2606</x:v>
      </x:c>
      <x:c r="P1728" s="31" t="n">
        <x:v>2.488690888119954</x:v>
      </x:c>
      <x:c r="Q1728" s="40" t="n">
        <x:v>0</x:v>
      </x:c>
      <x:c r="R1728" s="40" t="n">
        <x:v>0.3522640061396777</x:v>
      </x:c>
      <x:c r="S1728" s="40" t="n">
        <x:v>0.3914044512663085</x:v>
      </x:c>
      <x:c r="T1728" s="31" t="n">
        <x:v>30.681337887969292</x:v>
      </x:c>
      <x:c r="U1728" s="31" t="n">
        <x:v>45.84258844</x:v>
      </x:c>
      <x:c r="V1728" s="31" t="n">
        <x:v>1</x:v>
      </x:c>
      <x:c r="W1728" s="31" t="n">
        <x:v>0.1474708745022858</x:v>
      </x:c>
      <x:c r="X1728" s="31" t="n">
        <x:v>3</x:v>
      </x:c>
      <x:c r="Y1728" s="40" t="n">
        <x:v>0</x:v>
      </x:c>
      <x:c r="Z1728" s="40" t="n">
        <x:v>1</x:v>
      </x:c>
      <x:c r="AA1728" s="40" t="n">
        <x:v>0.9996162701458173</x:v>
      </x:c>
      <x:c r="AB1728" s="31" t="n">
        <x:v>0.08224445945165375</x:v>
      </x:c>
      <x:c r="AC1728" s="31" t="n">
        <x:v>7</x:v>
      </x:c>
      <x:c r="AD1728" s="44" t="b">
        <x:v>1</x:v>
      </x:c>
    </x:row>
    <x:row r="1729">
      <x:c r="A1729" s="31" t="str">
        <x:v>36081032000</x:v>
      </x:c>
      <x:c r="B1729" s="31" t="str">
        <x:v>Queens</x:v>
      </x:c>
      <x:c r="C1729" s="31" t="str">
        <x:v>032000</x:v>
      </x:c>
      <x:c r="D1729" s="31" t="str">
        <x:v>QN1306</x:v>
      </x:c>
      <x:c r="E1729" s="31" t="str">
        <x:v>Springfield Gardens (South)-Brookville</x:v>
      </x:c>
      <x:c r="F1729" s="31" t="n">
        <x:v>0.40889358090493</x:v>
      </x:c>
      <x:c r="G1729" s="31" t="n">
        <x:v>40.66130405315</x:v>
      </x:c>
      <x:c r="H1729" s="31" t="n">
        <x:v>-73.7649656860495</x:v>
      </x:c>
      <x:c r="I1729" s="31" t="n">
        <x:v>5200</x:v>
      </x:c>
      <x:c r="J1729" s="31" t="n">
        <x:v>12717.245373458256</x:v>
      </x:c>
      <x:c r="K1729" s="31"/>
      <x:c r="L1729" s="40"/>
      <x:c r="M1729" s="40"/>
      <x:c r="N1729" s="31" t="n">
        <x:v>741</x:v>
      </x:c>
      <x:c r="O1729" s="31" t="n">
        <x:v>1166</x:v>
      </x:c>
      <x:c r="P1729" s="31" t="n">
        <x:v>1.8965751072961374</x:v>
      </x:c>
      <x:c r="Q1729" s="40" t="n">
        <x:v>0</x:v>
      </x:c>
      <x:c r="R1729" s="40" t="n">
        <x:v>0.0008576329331046312</x:v>
      </x:c>
      <x:c r="S1729" s="40" t="n">
        <x:v>0.012006861063464836</x:v>
      </x:c>
      <x:c r="T1729" s="31" t="n">
        <x:v>24.742239642173537</x:v>
      </x:c>
      <x:c r="U1729" s="31" t="n">
        <x:v>35</x:v>
      </x:c>
      <x:c r="V1729" s="31" t="n">
        <x:v>1</x:v>
      </x:c>
      <x:c r="W1729" s="31" t="n">
        <x:v>0.19230769230769232</x:v>
      </x:c>
      <x:c r="X1729" s="31" t="n">
        <x:v>4.471698113207547</x:v>
      </x:c>
      <x:c r="Y1729" s="40" t="n">
        <x:v>1</x:v>
      </x:c>
      <x:c r="Z1729" s="40" t="n">
        <x:v>1</x:v>
      </x:c>
      <x:c r="AA1729" s="40" t="n">
        <x:v>0.9982847341337907</x:v>
      </x:c>
      <x:c r="AB1729" s="31" t="n">
        <x:v>0.09824155183442</x:v>
      </x:c>
      <x:c r="AC1729" s="31" t="n">
        <x:v>8</x:v>
      </x:c>
      <x:c r="AD1729" s="44" t="b">
        <x:v>1</x:v>
      </x:c>
    </x:row>
    <x:row r="1730">
      <x:c r="A1730" s="31" t="str">
        <x:v>36081032700</x:v>
      </x:c>
      <x:c r="B1730" s="31" t="str">
        <x:v>Queens</x:v>
      </x:c>
      <x:c r="C1730" s="31" t="str">
        <x:v>032700</x:v>
      </x:c>
      <x:c r="D1730" s="31" t="str">
        <x:v>QN0301</x:v>
      </x:c>
      <x:c r="E1730" s="31" t="str">
        <x:v>Jackson Heights</x:v>
      </x:c>
      <x:c r="F1730" s="31" t="n">
        <x:v>0.05824339443798783</x:v>
      </x:c>
      <x:c r="G1730" s="31" t="n">
        <x:v>40.7584365833986</x:v>
      </x:c>
      <x:c r="H1730" s="31" t="n">
        <x:v>-73.88541772181814</x:v>
      </x:c>
      <x:c r="I1730" s="31" t="n">
        <x:v>3932</x:v>
      </x:c>
      <x:c r="J1730" s="31" t="n">
        <x:v>67509.80154816405</x:v>
      </x:c>
      <x:c r="K1730" s="31"/>
      <x:c r="L1730" s="40"/>
      <x:c r="M1730" s="40"/>
      <x:c r="N1730" s="31" t="n">
        <x:v>470</x:v>
      </x:c>
      <x:c r="O1730" s="31" t="n">
        <x:v>1059</x:v>
      </x:c>
      <x:c r="P1730" s="31" t="n">
        <x:v>2.2686496694995277</x:v>
      </x:c>
      <x:c r="Q1730" s="40" t="n">
        <x:v>0</x:v>
      </x:c>
      <x:c r="R1730" s="40" t="n">
        <x:v>0.21435316336166194</x:v>
      </x:c>
      <x:c r="S1730" s="40" t="n">
        <x:v>0</x:v>
      </x:c>
      <x:c r="T1730" s="31" t="n">
        <x:v>27.69115542282342</x:v>
      </x:c>
      <x:c r="U1730" s="31" t="n">
        <x:v>45.2</x:v>
      </x:c>
      <x:c r="V1730" s="31" t="n">
        <x:v>1</x:v>
      </x:c>
      <x:c r="W1730" s="31" t="n">
        <x:v>0.25432349949135297</x:v>
      </x:c>
      <x:c r="X1730" s="31" t="n">
        <x:v>3</x:v>
      </x:c>
      <x:c r="Y1730" s="40" t="n">
        <x:v>0</x:v>
      </x:c>
      <x:c r="Z1730" s="40" t="n">
        <x:v>1</x:v>
      </x:c>
      <x:c r="AA1730" s="40" t="n">
        <x:v>1</x:v>
      </x:c>
      <x:c r="AB1730" s="31" t="n">
        <x:v>0.3061512222813788</x:v>
      </x:c>
      <x:c r="AC1730" s="31" t="n">
        <x:v>7</x:v>
      </x:c>
      <x:c r="AD1730" s="44" t="b">
        <x:v>1</x:v>
      </x:c>
    </x:row>
    <x:row r="1731">
      <x:c r="A1731" s="31" t="str">
        <x:v>36081032800</x:v>
      </x:c>
      <x:c r="B1731" s="31" t="str">
        <x:v>Queens</x:v>
      </x:c>
      <x:c r="C1731" s="31" t="str">
        <x:v>032800</x:v>
      </x:c>
      <x:c r="D1731" s="31" t="str">
        <x:v>QN1305</x:v>
      </x:c>
      <x:c r="E1731" s="31" t="str">
        <x:v>Laurelton</x:v>
      </x:c>
      <x:c r="F1731" s="31" t="n">
        <x:v>0.1416633527397555</x:v>
      </x:c>
      <x:c r="G1731" s="31" t="n">
        <x:v>40.671838005002755</x:v>
      </x:c>
      <x:c r="H1731" s="31" t="n">
        <x:v>-73.75569087375732</x:v>
      </x:c>
      <x:c r="I1731" s="31" t="n">
        <x:v>2660</x:v>
      </x:c>
      <x:c r="J1731" s="31" t="n">
        <x:v>18776.90982569492</x:v>
      </x:c>
      <x:c r="K1731" s="31"/>
      <x:c r="L1731" s="40"/>
      <x:c r="M1731" s="40"/>
      <x:c r="N1731" s="31" t="n">
        <x:v>479</x:v>
      </x:c>
      <x:c r="O1731" s="31" t="n">
        <x:v>775</x:v>
      </x:c>
      <x:c r="P1731" s="31" t="n">
        <x:v>2.0058709677419353</x:v>
      </x:c>
      <x:c r="Q1731" s="40" t="n">
        <x:v>0</x:v>
      </x:c>
      <x:c r="R1731" s="40" t="n">
        <x:v>0.003870967741935484</x:v>
      </x:c>
      <x:c r="S1731" s="40" t="n">
        <x:v>0.0025806451612903226</x:v>
      </x:c>
      <x:c r="T1731" s="31" t="n">
        <x:v>25.373019574901186</x:v>
      </x:c>
      <x:c r="U1731" s="31" t="n">
        <x:v>38.54</x:v>
      </x:c>
      <x:c r="V1731" s="31" t="n">
        <x:v>0</x:v>
      </x:c>
      <x:c r="W1731" s="31" t="n">
        <x:v>0</x:v>
      </x:c>
      <x:c r="X1731" s="31" t="n">
        <x:v>4.016774193548387</x:v>
      </x:c>
      <x:c r="Y1731" s="40" t="n">
        <x:v>1</x:v>
      </x:c>
      <x:c r="Z1731" s="40" t="n">
        <x:v>1</x:v>
      </x:c>
      <x:c r="AA1731" s="40" t="n">
        <x:v>0.9793548387096774</x:v>
      </x:c>
      <x:c r="AB1731" s="31" t="n">
        <x:v>0.2830288582626983</x:v>
      </x:c>
      <x:c r="AC1731" s="31" t="n">
        <x:v>7</x:v>
      </x:c>
      <x:c r="AD1731" s="44" t="b">
        <x:v>1</x:v>
      </x:c>
    </x:row>
    <x:row r="1732">
      <x:c r="A1732" s="31" t="str">
        <x:v>36081032900</x:v>
      </x:c>
      <x:c r="B1732" s="31" t="str">
        <x:v>Queens</x:v>
      </x:c>
      <x:c r="C1732" s="31" t="str">
        <x:v>032900</x:v>
      </x:c>
      <x:c r="D1732" s="31" t="str">
        <x:v>QN0302</x:v>
      </x:c>
      <x:c r="E1732" s="31" t="str">
        <x:v>East Elmhurst</x:v>
      </x:c>
      <x:c r="F1732" s="31" t="n">
        <x:v>0.1687160130617252</x:v>
      </x:c>
      <x:c r="G1732" s="31" t="n">
        <x:v>40.76443537226696</x:v>
      </x:c>
      <x:c r="H1732" s="31" t="n">
        <x:v>-73.88273264187565</x:v>
      </x:c>
      <x:c r="I1732" s="31" t="n">
        <x:v>4251</x:v>
      </x:c>
      <x:c r="J1732" s="31" t="n">
        <x:v>25196.185725683077</x:v>
      </x:c>
      <x:c r="K1732" s="31"/>
      <x:c r="L1732" s="40"/>
      <x:c r="M1732" s="40"/>
      <x:c r="N1732" s="31" t="n">
        <x:v>705</x:v>
      </x:c>
      <x:c r="O1732" s="31" t="n">
        <x:v>1030</x:v>
      </x:c>
      <x:c r="P1732" s="31" t="n">
        <x:v>2.0346504854368934</x:v>
      </x:c>
      <x:c r="Q1732" s="40" t="n">
        <x:v>0</x:v>
      </x:c>
      <x:c r="R1732" s="40" t="n">
        <x:v>0.15825242718446603</x:v>
      </x:c>
      <x:c r="S1732" s="40" t="n">
        <x:v>0.006796116504854369</x:v>
      </x:c>
      <x:c r="T1732" s="31" t="n">
        <x:v>25.419093619624878</x:v>
      </x:c>
      <x:c r="U1732" s="31" t="n">
        <x:v>40</x:v>
      </x:c>
      <x:c r="V1732" s="31" t="n">
        <x:v>2</x:v>
      </x:c>
      <x:c r="W1732" s="31" t="n">
        <x:v>0.4704775346977182</x:v>
      </x:c>
      <x:c r="X1732" s="31" t="n">
        <x:v>3.6844660194174756</x:v>
      </x:c>
      <x:c r="Y1732" s="40" t="n">
        <x:v>0.6844660194174758</x:v>
      </x:c>
      <x:c r="Z1732" s="40" t="n">
        <x:v>1</x:v>
      </x:c>
      <x:c r="AA1732" s="40" t="n">
        <x:v>0.983495145631068</x:v>
      </x:c>
      <x:c r="AB1732" s="31" t="n">
        <x:v>0.48506243298944623</x:v>
      </x:c>
      <x:c r="AC1732" s="31" t="n">
        <x:v>5</x:v>
      </x:c>
      <x:c r="AD1732" s="44" t="b">
        <x:v>1</x:v>
      </x:c>
    </x:row>
    <x:row r="1733">
      <x:c r="A1733" s="31" t="str">
        <x:v>36081033000</x:v>
      </x:c>
      <x:c r="B1733" s="31" t="str">
        <x:v>Queens</x:v>
      </x:c>
      <x:c r="C1733" s="31" t="str">
        <x:v>033000</x:v>
      </x:c>
      <x:c r="D1733" s="31" t="str">
        <x:v>QN1204</x:v>
      </x:c>
      <x:c r="E1733" s="31" t="str">
        <x:v>Springfield Gardens (North)-Rochdale Village</x:v>
      </x:c>
      <x:c r="F1733" s="31" t="n">
        <x:v>0.31621407715901917</x:v>
      </x:c>
      <x:c r="G1733" s="31" t="n">
        <x:v>40.67013599539098</x:v>
      </x:c>
      <x:c r="H1733" s="31" t="n">
        <x:v>-73.76372927425864</x:v>
      </x:c>
      <x:c r="I1733" s="31" t="n">
        <x:v>7365</x:v>
      </x:c>
      <x:c r="J1733" s="31" t="n">
        <x:v>23291.183195162608</x:v>
      </x:c>
      <x:c r="K1733" s="31"/>
      <x:c r="L1733" s="40"/>
      <x:c r="M1733" s="40"/>
      <x:c r="N1733" s="31" t="n">
        <x:v>1377</x:v>
      </x:c>
      <x:c r="O1733" s="31" t="n">
        <x:v>2016</x:v>
      </x:c>
      <x:c r="P1733" s="31" t="n">
        <x:v>1.9755456349206348</x:v>
      </x:c>
      <x:c r="Q1733" s="40" t="n">
        <x:v>0</x:v>
      </x:c>
      <x:c r="R1733" s="40" t="n">
        <x:v>0.008432539682539682</x:v>
      </x:c>
      <x:c r="S1733" s="40" t="n">
        <x:v>0.013392857142857142</x:v>
      </x:c>
      <x:c r="T1733" s="31" t="n">
        <x:v>24.988526079347285</x:v>
      </x:c>
      <x:c r="U1733" s="31" t="n">
        <x:v>40.36</x:v>
      </x:c>
      <x:c r="V1733" s="31" t="n">
        <x:v>1</x:v>
      </x:c>
      <x:c r="W1733" s="31" t="n">
        <x:v>0.13577732518669383</x:v>
      </x:c>
      <x:c r="X1733" s="31" t="n">
        <x:v>4.487103174603175</x:v>
      </x:c>
      <x:c r="Y1733" s="40" t="n">
        <x:v>1</x:v>
      </x:c>
      <x:c r="Z1733" s="40" t="n">
        <x:v>1</x:v>
      </x:c>
      <x:c r="AA1733" s="40" t="n">
        <x:v>0.9955357142857143</x:v>
      </x:c>
      <x:c r="AB1733" s="31" t="n">
        <x:v>0.33885776071317314</x:v>
      </x:c>
      <x:c r="AC1733" s="31" t="n">
        <x:v>7</x:v>
      </x:c>
      <x:c r="AD1733" s="44" t="b">
        <x:v>1</x:v>
      </x:c>
    </x:row>
    <x:row r="1734">
      <x:c r="A1734" s="31" t="str">
        <x:v>36081033100</x:v>
      </x:c>
      <x:c r="B1734" s="31" t="str">
        <x:v>Queens</x:v>
      </x:c>
      <x:c r="C1734" s="31" t="str">
        <x:v>033100</x:v>
      </x:c>
      <x:c r="D1734" s="31" t="str">
        <x:v>QN8081</x:v>
      </x:c>
      <x:c r="E1734" s="31" t="str">
        <x:v>LaGuardia Airport</x:v>
      </x:c>
      <x:c r="F1734" s="31" t="n">
        <x:v>1.0973099087716656</x:v>
      </x:c>
      <x:c r="G1734" s="31" t="n">
        <x:v>40.77440746360195</x:v>
      </x:c>
      <x:c r="H1734" s="31" t="n">
        <x:v>-73.87325473518688</x:v>
      </x:c>
      <x:c r="I1734" s="31" t="n">
        <x:v>0</x:v>
      </x:c>
      <x:c r="J1734" s="31" t="n">
        <x:v>0</x:v>
      </x:c>
      <x:c r="K1734" s="31"/>
      <x:c r="L1734" s="40"/>
      <x:c r="M1734" s="40"/>
      <x:c r="N1734" s="31" t="n">
        <x:v>0</x:v>
      </x:c>
      <x:c r="O1734" s="31"/>
      <x:c r="P1734" s="31"/>
      <x:c r="Q1734" s="40"/>
      <x:c r="R1734" s="40"/>
      <x:c r="S1734" s="40"/>
      <x:c r="T1734" s="31"/>
      <x:c r="U1734" s="31"/>
      <x:c r="V1734" s="31" t="n">
        <x:v>0</x:v>
      </x:c>
      <x:c r="W1734" s="31"/>
      <x:c r="X1734" s="31"/>
      <x:c r="Y1734" s="40"/>
      <x:c r="Z1734" s="40"/>
      <x:c r="AA1734" s="40"/>
      <x:c r="AB1734" s="31" t="n">
        <x:v>0.6504718855508779</x:v>
      </x:c>
      <x:c r="AC1734" s="31" t="n">
        <x:v>1</x:v>
      </x:c>
      <x:c r="AD1734" s="44" t="b">
        <x:v>0</x:v>
      </x:c>
    </x:row>
    <x:row r="1735">
      <x:c r="A1735" s="31" t="str">
        <x:v>36081033401</x:v>
      </x:c>
      <x:c r="B1735" s="31" t="str">
        <x:v>Queens</x:v>
      </x:c>
      <x:c r="C1735" s="31" t="str">
        <x:v>033401</x:v>
      </x:c>
      <x:c r="D1735" s="31" t="str">
        <x:v>QN1204</x:v>
      </x:c>
      <x:c r="E1735" s="31" t="str">
        <x:v>Springfield Gardens (North)-Rochdale Village</x:v>
      </x:c>
      <x:c r="F1735" s="31" t="n">
        <x:v>0.21650964338771234</x:v>
      </x:c>
      <x:c r="G1735" s="31" t="n">
        <x:v>40.67917931277703</x:v>
      </x:c>
      <x:c r="H1735" s="31" t="n">
        <x:v>-73.76743674578078</x:v>
      </x:c>
      <x:c r="I1735" s="31" t="n">
        <x:v>4196</x:v>
      </x:c>
      <x:c r="J1735" s="31" t="n">
        <x:v>19380.199118826582</x:v>
      </x:c>
      <x:c r="K1735" s="31"/>
      <x:c r="L1735" s="40"/>
      <x:c r="M1735" s="40"/>
      <x:c r="N1735" s="31" t="n">
        <x:v>695</x:v>
      </x:c>
      <x:c r="O1735" s="31" t="n">
        <x:v>1490</x:v>
      </x:c>
      <x:c r="P1735" s="31" t="n">
        <x:v>4.376604026845638</x:v>
      </x:c>
      <x:c r="Q1735" s="40" t="n">
        <x:v>0.11006711409395974</x:v>
      </x:c>
      <x:c r="R1735" s="40" t="n">
        <x:v>0.2181208053691275</x:v>
      </x:c>
      <x:c r="S1735" s="40" t="n">
        <x:v>0.004697986577181208</x:v>
      </x:c>
      <x:c r="T1735" s="31" t="n">
        <x:v>48.73718123038095</x:v>
      </x:c>
      <x:c r="U1735" s="31" t="n">
        <x:v>163</x:v>
      </x:c>
      <x:c r="V1735" s="31" t="n">
        <x:v>9</x:v>
      </x:c>
      <x:c r="W1735" s="31" t="n">
        <x:v>2.1448999046711155</x:v>
      </x:c>
      <x:c r="X1735" s="31" t="n">
        <x:v>5</x:v>
      </x:c>
      <x:c r="Y1735" s="40" t="n">
        <x:v>1</x:v>
      </x:c>
      <x:c r="Z1735" s="40" t="n">
        <x:v>1</x:v>
      </x:c>
      <x:c r="AA1735" s="40" t="n">
        <x:v>0.9865771812080537</x:v>
      </x:c>
      <x:c r="AB1735" s="31" t="n">
        <x:v>0.37267296519161885</x:v>
      </x:c>
      <x:c r="AC1735" s="31" t="n">
        <x:v>10</x:v>
      </x:c>
      <x:c r="AD1735" s="44" t="b">
        <x:v>1</x:v>
      </x:c>
    </x:row>
    <x:row r="1736">
      <x:c r="A1736" s="31" t="str">
        <x:v>36081033403</x:v>
      </x:c>
      <x:c r="B1736" s="31" t="str">
        <x:v>Queens</x:v>
      </x:c>
      <x:c r="C1736" s="31" t="str">
        <x:v>033403</x:v>
      </x:c>
      <x:c r="D1736" s="31" t="str">
        <x:v>QN1204</x:v>
      </x:c>
      <x:c r="E1736" s="31" t="str">
        <x:v>Springfield Gardens (North)-Rochdale Village</x:v>
      </x:c>
      <x:c r="F1736" s="31" t="n">
        <x:v>0.09759321287914659</x:v>
      </x:c>
      <x:c r="G1736" s="31" t="n">
        <x:v>40.67756850798218</x:v>
      </x:c>
      <x:c r="H1736" s="31" t="n">
        <x:v>-73.77564519496829</x:v>
      </x:c>
      <x:c r="I1736" s="31" t="n">
        <x:v>4874</x:v>
      </x:c>
      <x:c r="J1736" s="31" t="n">
        <x:v>49941.99756529853</x:v>
      </x:c>
      <x:c r="K1736" s="31"/>
      <x:c r="L1736" s="40"/>
      <x:c r="M1736" s="40"/>
      <x:c r="N1736" s="31" t="n">
        <x:v>1</x:v>
      </x:c>
      <x:c r="O1736" s="31" t="n">
        <x:v>5860</x:v>
      </x:c>
      <x:c r="P1736" s="31" t="n">
        <x:v>14</x:v>
      </x:c>
      <x:c r="Q1736" s="40" t="n">
        <x:v>1</x:v>
      </x:c>
      <x:c r="R1736" s="40" t="n">
        <x:v>0</x:v>
      </x:c>
      <x:c r="S1736" s="40" t="n">
        <x:v>1</x:v>
      </x:c>
      <x:c r="T1736" s="31" t="n">
        <x:v>127.34455298</x:v>
      </x:c>
      <x:c r="U1736" s="31" t="n">
        <x:v>127.34455298</x:v>
      </x:c>
      <x:c r="V1736" s="31" t="n">
        <x:v>122</x:v>
      </x:c>
      <x:c r="W1736" s="31" t="n">
        <x:v>25.030775543701274</x:v>
      </x:c>
      <x:c r="X1736" s="31" t="n">
        <x:v>5</x:v>
      </x:c>
      <x:c r="Y1736" s="40" t="n">
        <x:v>1</x:v>
      </x:c>
      <x:c r="Z1736" s="40" t="n">
        <x:v>1</x:v>
      </x:c>
      <x:c r="AA1736" s="40" t="n">
        <x:v>1</x:v>
      </x:c>
      <x:c r="AB1736" s="31" t="n">
        <x:v>0.16227598572300633</x:v>
      </x:c>
      <x:c r="AC1736" s="31" t="n">
        <x:v>5</x:v>
      </x:c>
      <x:c r="AD1736" s="44" t="b">
        <x:v>1</x:v>
      </x:c>
    </x:row>
    <x:row r="1737">
      <x:c r="A1737" s="31" t="str">
        <x:v>36081033404</x:v>
      </x:c>
      <x:c r="B1737" s="31" t="str">
        <x:v>Queens</x:v>
      </x:c>
      <x:c r="C1737" s="31" t="str">
        <x:v>033404</x:v>
      </x:c>
      <x:c r="D1737" s="31" t="str">
        <x:v>QN1204</x:v>
      </x:c>
      <x:c r="E1737" s="31" t="str">
        <x:v>Springfield Gardens (North)-Rochdale Village</x:v>
      </x:c>
      <x:c r="F1737" s="31" t="n">
        <x:v>0.0887293248970529</x:v>
      </x:c>
      <x:c r="G1737" s="31" t="n">
        <x:v>40.67493354649347</x:v>
      </x:c>
      <x:c r="H1737" s="31" t="n">
        <x:v>-73.77239738387607</x:v>
      </x:c>
      <x:c r="I1737" s="31" t="n">
        <x:v>4723</x:v>
      </x:c>
      <x:c r="J1737" s="31" t="n">
        <x:v>53229.3016483536</x:v>
      </x:c>
      <x:c r="K1737" s="31"/>
      <x:c r="L1737" s="40"/>
      <x:c r="M1737" s="40"/>
      <x:c r="N1737" s="31" t="n">
        <x:v>0</x:v>
      </x:c>
      <x:c r="O1737" s="31"/>
      <x:c r="P1737" s="31"/>
      <x:c r="Q1737" s="40"/>
      <x:c r="R1737" s="40"/>
      <x:c r="S1737" s="40"/>
      <x:c r="T1737" s="31"/>
      <x:c r="U1737" s="31"/>
      <x:c r="V1737" s="31" t="n">
        <x:v>0</x:v>
      </x:c>
      <x:c r="W1737" s="31" t="n">
        <x:v>0</x:v>
      </x:c>
      <x:c r="X1737" s="31"/>
      <x:c r="Y1737" s="40"/>
      <x:c r="Z1737" s="40"/>
      <x:c r="AA1737" s="40"/>
      <x:c r="AB1737" s="31" t="n">
        <x:v>0.16846837047658952</x:v>
      </x:c>
      <x:c r="AC1737" s="31" t="n">
        <x:v>5</x:v>
      </x:c>
      <x:c r="AD1737" s="44" t="b">
        <x:v>0</x:v>
      </x:c>
    </x:row>
    <x:row r="1738">
      <x:c r="A1738" s="31" t="str">
        <x:v>36081033405</x:v>
      </x:c>
      <x:c r="B1738" s="31" t="str">
        <x:v>Queens</x:v>
      </x:c>
      <x:c r="C1738" s="31" t="str">
        <x:v>033405</x:v>
      </x:c>
      <x:c r="D1738" s="31" t="str">
        <x:v>QN1204</x:v>
      </x:c>
      <x:c r="E1738" s="31" t="str">
        <x:v>Springfield Gardens (North)-Rochdale Village</x:v>
      </x:c>
      <x:c r="F1738" s="31" t="n">
        <x:v>0.1061583544034091</x:v>
      </x:c>
      <x:c r="G1738" s="31" t="n">
        <x:v>40.67344636034821</x:v>
      </x:c>
      <x:c r="H1738" s="31" t="n">
        <x:v>-73.76777734543937</x:v>
      </x:c>
      <x:c r="I1738" s="31" t="n">
        <x:v>3653</x:v>
      </x:c>
      <x:c r="J1738" s="31" t="n">
        <x:v>34410.857445268484</x:v>
      </x:c>
      <x:c r="K1738" s="31"/>
      <x:c r="L1738" s="40"/>
      <x:c r="M1738" s="40"/>
      <x:c r="N1738" s="31" t="n">
        <x:v>313</x:v>
      </x:c>
      <x:c r="O1738" s="31" t="n">
        <x:v>393</x:v>
      </x:c>
      <x:c r="P1738" s="31" t="n">
        <x:v>1.8955979643765903</x:v>
      </x:c>
      <x:c r="Q1738" s="40" t="n">
        <x:v>0</x:v>
      </x:c>
      <x:c r="R1738" s="40" t="n">
        <x:v>0.030534351145038167</x:v>
      </x:c>
      <x:c r="S1738" s="40" t="n">
        <x:v>0.007633587786259542</x:v>
      </x:c>
      <x:c r="T1738" s="31" t="n">
        <x:v>26.105843659745545</x:v>
      </x:c>
      <x:c r="U1738" s="31" t="n">
        <x:v>34.73</x:v>
      </x:c>
      <x:c r="V1738" s="31" t="n">
        <x:v>1</x:v>
      </x:c>
      <x:c r="W1738" s="31" t="n">
        <x:v>0.27374760470845877</x:v>
      </x:c>
      <x:c r="X1738" s="31" t="n">
        <x:v>5</x:v>
      </x:c>
      <x:c r="Y1738" s="40" t="n">
        <x:v>1</x:v>
      </x:c>
      <x:c r="Z1738" s="40" t="n">
        <x:v>1</x:v>
      </x:c>
      <x:c r="AA1738" s="40" t="n">
        <x:v>1</x:v>
      </x:c>
      <x:c r="AB1738" s="31" t="n">
        <x:v>0.07528978056104926</x:v>
      </x:c>
      <x:c r="AC1738" s="31" t="n">
        <x:v>3</x:v>
      </x:c>
      <x:c r="AD1738" s="44" t="b">
        <x:v>1</x:v>
      </x:c>
    </x:row>
    <x:row r="1739">
      <x:c r="A1739" s="31" t="str">
        <x:v>36081033700</x:v>
      </x:c>
      <x:c r="B1739" s="31" t="str">
        <x:v>Queens</x:v>
      </x:c>
      <x:c r="C1739" s="31" t="str">
        <x:v>033700</x:v>
      </x:c>
      <x:c r="D1739" s="31" t="str">
        <x:v>QN0301</x:v>
      </x:c>
      <x:c r="E1739" s="31" t="str">
        <x:v>Jackson Heights</x:v>
      </x:c>
      <x:c r="F1739" s="31" t="n">
        <x:v>0.05824111847380051</x:v>
      </x:c>
      <x:c r="G1739" s="31" t="n">
        <x:v>40.75873071519487</x:v>
      </x:c>
      <x:c r="H1739" s="31" t="n">
        <x:v>-73.88262795319372</x:v>
      </x:c>
      <x:c r="I1739" s="31" t="n">
        <x:v>3765</x:v>
      </x:c>
      <x:c r="J1739" s="31" t="n">
        <x:v>64645.04972880401</x:v>
      </x:c>
      <x:c r="K1739" s="31"/>
      <x:c r="L1739" s="40"/>
      <x:c r="M1739" s="40"/>
      <x:c r="N1739" s="31" t="n">
        <x:v>493</x:v>
      </x:c>
      <x:c r="O1739" s="31" t="n">
        <x:v>882</x:v>
      </x:c>
      <x:c r="P1739" s="31" t="n">
        <x:v>2.058956916099773</x:v>
      </x:c>
      <x:c r="Q1739" s="40" t="n">
        <x:v>0</x:v>
      </x:c>
      <x:c r="R1739" s="40" t="n">
        <x:v>0.08503401360544217</x:v>
      </x:c>
      <x:c r="S1739" s="40" t="n">
        <x:v>0.003401360544217687</x:v>
      </x:c>
      <x:c r="T1739" s="31" t="n">
        <x:v>25.68590702947846</x:v>
      </x:c>
      <x:c r="U1739" s="31" t="n">
        <x:v>39.48</x:v>
      </x:c>
      <x:c r="V1739" s="31" t="n">
        <x:v>1</x:v>
      </x:c>
      <x:c r="W1739" s="31" t="n">
        <x:v>0.2656042496679947</x:v>
      </x:c>
      <x:c r="X1739" s="31" t="n">
        <x:v>3.441043083900227</x:v>
      </x:c>
      <x:c r="Y1739" s="40" t="n">
        <x:v>0.4410430839002268</x:v>
      </x:c>
      <x:c r="Z1739" s="40" t="n">
        <x:v>1</x:v>
      </x:c>
      <x:c r="AA1739" s="40" t="n">
        <x:v>1</x:v>
      </x:c>
      <x:c r="AB1739" s="31" t="n">
        <x:v>0.21268223866726305</x:v>
      </x:c>
      <x:c r="AC1739" s="31" t="n">
        <x:v>4</x:v>
      </x:c>
      <x:c r="AD1739" s="44" t="b">
        <x:v>1</x:v>
      </x:c>
    </x:row>
    <x:row r="1740">
      <x:c r="A1740" s="31" t="str">
        <x:v>36081033900</x:v>
      </x:c>
      <x:c r="B1740" s="31" t="str">
        <x:v>Queens</x:v>
      </x:c>
      <x:c r="C1740" s="31" t="str">
        <x:v>033900</x:v>
      </x:c>
      <x:c r="D1740" s="31" t="str">
        <x:v>QN0301</x:v>
      </x:c>
      <x:c r="E1740" s="31" t="str">
        <x:v>Jackson Heights</x:v>
      </x:c>
      <x:c r="F1740" s="31" t="n">
        <x:v>0.05823044476010101</x:v>
      </x:c>
      <x:c r="G1740" s="31" t="n">
        <x:v>40.7590237257483</x:v>
      </x:c>
      <x:c r="H1740" s="31" t="n">
        <x:v>-73.87983826288128</x:v>
      </x:c>
      <x:c r="I1740" s="31" t="n">
        <x:v>3481</x:v>
      </x:c>
      <x:c r="J1740" s="31" t="n">
        <x:v>59779.725439863905</x:v>
      </x:c>
      <x:c r="K1740" s="31"/>
      <x:c r="L1740" s="40"/>
      <x:c r="M1740" s="40"/>
      <x:c r="N1740" s="31" t="n">
        <x:v>352</x:v>
      </x:c>
      <x:c r="O1740" s="31" t="n">
        <x:v>1078</x:v>
      </x:c>
      <x:c r="P1740" s="31" t="n">
        <x:v>3.61734693877551</x:v>
      </x:c>
      <x:c r="Q1740" s="40" t="n">
        <x:v>0</x:v>
      </x:c>
      <x:c r="R1740" s="40" t="n">
        <x:v>0.4777365491651206</x:v>
      </x:c>
      <x:c r="S1740" s="40" t="n">
        <x:v>0.37012987012987014</x:v>
      </x:c>
      <x:c r="T1740" s="31" t="n">
        <x:v>41.532580853320965</x:v>
      </x:c>
      <x:c r="U1740" s="31" t="n">
        <x:v>67</x:v>
      </x:c>
      <x:c r="V1740" s="31" t="n">
        <x:v>6</x:v>
      </x:c>
      <x:c r="W1740" s="31" t="n">
        <x:v>1.7236426314277506</x:v>
      </x:c>
      <x:c r="X1740" s="31" t="n">
        <x:v>3.987012987012987</x:v>
      </x:c>
      <x:c r="Y1740" s="40" t="n">
        <x:v>0.987012987012987</x:v>
      </x:c>
      <x:c r="Z1740" s="40" t="n">
        <x:v>1</x:v>
      </x:c>
      <x:c r="AA1740" s="40" t="n">
        <x:v>1</x:v>
      </x:c>
      <x:c r="AB1740" s="31" t="n">
        <x:v>0.09371217115075407</x:v>
      </x:c>
      <x:c r="AC1740" s="31" t="n">
        <x:v>1</x:v>
      </x:c>
      <x:c r="AD1740" s="44" t="b">
        <x:v>1</x:v>
      </x:c>
    </x:row>
    <x:row r="1741">
      <x:c r="A1741" s="31" t="str">
        <x:v>36081034700</x:v>
      </x:c>
      <x:c r="B1741" s="31" t="str">
        <x:v>Queens</x:v>
      </x:c>
      <x:c r="C1741" s="31" t="str">
        <x:v>034700</x:v>
      </x:c>
      <x:c r="D1741" s="31" t="str">
        <x:v>QN0302</x:v>
      </x:c>
      <x:c r="E1741" s="31" t="str">
        <x:v>East Elmhurst</x:v>
      </x:c>
      <x:c r="F1741" s="31" t="n">
        <x:v>0.14772608451417585</x:v>
      </x:c>
      <x:c r="G1741" s="31" t="n">
        <x:v>40.76688669580999</x:v>
      </x:c>
      <x:c r="H1741" s="31" t="n">
        <x:v>-73.87867579890515</x:v>
      </x:c>
      <x:c r="I1741" s="31" t="n">
        <x:v>3688</x:v>
      </x:c>
      <x:c r="J1741" s="31" t="n">
        <x:v>24965.12387862076</x:v>
      </x:c>
      <x:c r="K1741" s="31"/>
      <x:c r="L1741" s="40"/>
      <x:c r="M1741" s="40"/>
      <x:c r="N1741" s="31" t="n">
        <x:v>517</x:v>
      </x:c>
      <x:c r="O1741" s="31" t="n">
        <x:v>954</x:v>
      </x:c>
      <x:c r="P1741" s="31" t="n">
        <x:v>2.063679245283019</x:v>
      </x:c>
      <x:c r="Q1741" s="40" t="n">
        <x:v>0</x:v>
      </x:c>
      <x:c r="R1741" s="40" t="n">
        <x:v>0.09119496855345911</x:v>
      </x:c>
      <x:c r="S1741" s="40" t="n">
        <x:v>0.008385744234800839</x:v>
      </x:c>
      <x:c r="T1741" s="31" t="n">
        <x:v>23.76450237206316</x:v>
      </x:c>
      <x:c r="U1741" s="31" t="n">
        <x:v>44.25</x:v>
      </x:c>
      <x:c r="V1741" s="31" t="n">
        <x:v>0</x:v>
      </x:c>
      <x:c r="W1741" s="31" t="n">
        <x:v>0</x:v>
      </x:c>
      <x:c r="X1741" s="31" t="n">
        <x:v>4</x:v>
      </x:c>
      <x:c r="Y1741" s="40" t="n">
        <x:v>1</x:v>
      </x:c>
      <x:c r="Z1741" s="40" t="n">
        <x:v>1</x:v>
      </x:c>
      <x:c r="AA1741" s="40" t="n">
        <x:v>0.9958071278825996</x:v>
      </x:c>
      <x:c r="AB1741" s="31" t="n">
        <x:v>0.3977686170204108</x:v>
      </x:c>
      <x:c r="AC1741" s="31" t="n">
        <x:v>7</x:v>
      </x:c>
      <x:c r="AD1741" s="44" t="b">
        <x:v>1</x:v>
      </x:c>
    </x:row>
    <x:row r="1742">
      <x:c r="A1742" s="31" t="str">
        <x:v>36081035100</x:v>
      </x:c>
      <x:c r="B1742" s="31" t="str">
        <x:v>Queens</x:v>
      </x:c>
      <x:c r="C1742" s="31" t="str">
        <x:v>035100</x:v>
      </x:c>
      <x:c r="D1742" s="31" t="str">
        <x:v>QN0301</x:v>
      </x:c>
      <x:c r="E1742" s="31" t="str">
        <x:v>Jackson Heights</x:v>
      </x:c>
      <x:c r="F1742" s="31" t="n">
        <x:v>0.0537595482710629</x:v>
      </x:c>
      <x:c r="G1742" s="31" t="n">
        <x:v>40.75909928742108</x:v>
      </x:c>
      <x:c r="H1742" s="31" t="n">
        <x:v>-73.87704632432302</x:v>
      </x:c>
      <x:c r="I1742" s="31" t="n">
        <x:v>4178</x:v>
      </x:c>
      <x:c r="J1742" s="31" t="n">
        <x:v>77716.42683703294</x:v>
      </x:c>
      <x:c r="K1742" s="31"/>
      <x:c r="L1742" s="40"/>
      <x:c r="M1742" s="40"/>
      <x:c r="N1742" s="31" t="n">
        <x:v>308</x:v>
      </x:c>
      <x:c r="O1742" s="31" t="n">
        <x:v>1456</x:v>
      </x:c>
      <x:c r="P1742" s="31" t="n">
        <x:v>4.419642857142857</x:v>
      </x:c>
      <x:c r="Q1742" s="40" t="n">
        <x:v>0</x:v>
      </x:c>
      <x:c r="R1742" s="40" t="n">
        <x:v>0.6861263736263736</x:v>
      </x:c>
      <x:c r="S1742" s="40" t="n">
        <x:v>0.4993131868131868</x:v>
      </x:c>
      <x:c r="T1742" s="31" t="n">
        <x:v>50.725935366002744</x:v>
      </x:c>
      <x:c r="U1742" s="31" t="n">
        <x:v>69.57851126</x:v>
      </x:c>
      <x:c r="V1742" s="31" t="n">
        <x:v>12</x:v>
      </x:c>
      <x:c r="W1742" s="31" t="n">
        <x:v>2.8721876495931067</x:v>
      </x:c>
      <x:c r="X1742" s="31" t="n">
        <x:v>4</x:v>
      </x:c>
      <x:c r="Y1742" s="40" t="n">
        <x:v>1</x:v>
      </x:c>
      <x:c r="Z1742" s="40" t="n">
        <x:v>1</x:v>
      </x:c>
      <x:c r="AA1742" s="40" t="n">
        <x:v>1</x:v>
      </x:c>
      <x:c r="AB1742" s="31" t="n">
        <x:v>0.11607684454343932</x:v>
      </x:c>
      <x:c r="AC1742" s="31" t="n">
        <x:v>6</x:v>
      </x:c>
      <x:c r="AD1742" s="44" t="b">
        <x:v>1</x:v>
      </x:c>
    </x:row>
    <x:row r="1743">
      <x:c r="A1743" s="31" t="str">
        <x:v>36081035200</x:v>
      </x:c>
      <x:c r="B1743" s="31" t="str">
        <x:v>Queens</x:v>
      </x:c>
      <x:c r="C1743" s="31" t="str">
        <x:v>035200</x:v>
      </x:c>
      <x:c r="D1743" s="31" t="str">
        <x:v>QN1205</x:v>
      </x:c>
      <x:c r="E1743" s="31" t="str">
        <x:v>St. Albans</x:v>
      </x:c>
      <x:c r="F1743" s="31" t="n">
        <x:v>0.23367066108098025</x:v>
      </x:c>
      <x:c r="G1743" s="31" t="n">
        <x:v>40.67947715008368</x:v>
      </x:c>
      <x:c r="H1743" s="31" t="n">
        <x:v>-73.75761013077374</x:v>
      </x:c>
      <x:c r="I1743" s="31" t="n">
        <x:v>2550</x:v>
      </x:c>
      <x:c r="J1743" s="31" t="n">
        <x:v>10912.794906315941</x:v>
      </x:c>
      <x:c r="K1743" s="31"/>
      <x:c r="L1743" s="40"/>
      <x:c r="M1743" s="40"/>
      <x:c r="N1743" s="31" t="n">
        <x:v>594</x:v>
      </x:c>
      <x:c r="O1743" s="31" t="n">
        <x:v>756</x:v>
      </x:c>
      <x:c r="P1743" s="31" t="n">
        <x:v>1.9236375661375662</x:v>
      </x:c>
      <x:c r="Q1743" s="40" t="n">
        <x:v>0</x:v>
      </x:c>
      <x:c r="R1743" s="40" t="n">
        <x:v>0.021164021164021163</x:v>
      </x:c>
      <x:c r="S1743" s="40" t="n">
        <x:v>0.011904761904761904</x:v>
      </x:c>
      <x:c r="T1743" s="31" t="n">
        <x:v>24.778463529799733</x:v>
      </x:c>
      <x:c r="U1743" s="31" t="n">
        <x:v>35.61</x:v>
      </x:c>
      <x:c r="V1743" s="31" t="n">
        <x:v>0</x:v>
      </x:c>
      <x:c r="W1743" s="31" t="n">
        <x:v>0</x:v>
      </x:c>
      <x:c r="X1743" s="31" t="n">
        <x:v>4.525132275132275</x:v>
      </x:c>
      <x:c r="Y1743" s="40" t="n">
        <x:v>1</x:v>
      </x:c>
      <x:c r="Z1743" s="40" t="n">
        <x:v>1</x:v>
      </x:c>
      <x:c r="AA1743" s="40" t="n">
        <x:v>0.9907407407407407</x:v>
      </x:c>
      <x:c r="AB1743" s="31" t="n">
        <x:v>0.10834961509698177</x:v>
      </x:c>
      <x:c r="AC1743" s="31" t="n">
        <x:v>6</x:v>
      </x:c>
      <x:c r="AD1743" s="44" t="b">
        <x:v>1</x:v>
      </x:c>
    </x:row>
    <x:row r="1744">
      <x:c r="A1744" s="31" t="str">
        <x:v>36081035300</x:v>
      </x:c>
      <x:c r="B1744" s="31" t="str">
        <x:v>Queens</x:v>
      </x:c>
      <x:c r="C1744" s="31" t="str">
        <x:v>035300</x:v>
      </x:c>
      <x:c r="D1744" s="31" t="str">
        <x:v>QN0302</x:v>
      </x:c>
      <x:c r="E1744" s="31" t="str">
        <x:v>East Elmhurst</x:v>
      </x:c>
      <x:c r="F1744" s="31" t="n">
        <x:v>0.05992976730945822</x:v>
      </x:c>
      <x:c r="G1744" s="31" t="n">
        <x:v>40.75961388461856</x:v>
      </x:c>
      <x:c r="H1744" s="31" t="n">
        <x:v>-73.87412557126567</x:v>
      </x:c>
      <x:c r="I1744" s="31" t="n">
        <x:v>2828</x:v>
      </x:c>
      <x:c r="J1744" s="31" t="n">
        <x:v>47188.56967017925</x:v>
      </x:c>
      <x:c r="K1744" s="31"/>
      <x:c r="L1744" s="40"/>
      <x:c r="M1744" s="40"/>
      <x:c r="N1744" s="31" t="n">
        <x:v>361</x:v>
      </x:c>
      <x:c r="O1744" s="31" t="n">
        <x:v>735</x:v>
      </x:c>
      <x:c r="P1744" s="31" t="n">
        <x:v>2.4258503401360545</x:v>
      </x:c>
      <x:c r="Q1744" s="40" t="n">
        <x:v>0</x:v>
      </x:c>
      <x:c r="R1744" s="40" t="n">
        <x:v>0.22040816326530613</x:v>
      </x:c>
      <x:c r="S1744" s="40" t="n">
        <x:v>0</x:v>
      </x:c>
      <x:c r="T1744" s="31" t="n">
        <x:v>28.831232102095235</x:v>
      </x:c>
      <x:c r="U1744" s="31" t="n">
        <x:v>46.08820053</x:v>
      </x:c>
      <x:c r="V1744" s="31" t="n">
        <x:v>0</x:v>
      </x:c>
      <x:c r="W1744" s="31" t="n">
        <x:v>0</x:v>
      </x:c>
      <x:c r="X1744" s="31" t="n">
        <x:v>4</x:v>
      </x:c>
      <x:c r="Y1744" s="40" t="n">
        <x:v>1</x:v>
      </x:c>
      <x:c r="Z1744" s="40" t="n">
        <x:v>1</x:v>
      </x:c>
      <x:c r="AA1744" s="40" t="n">
        <x:v>1</x:v>
      </x:c>
      <x:c r="AB1744" s="31" t="n">
        <x:v>0.11913237148956896</x:v>
      </x:c>
      <x:c r="AC1744" s="31" t="n">
        <x:v>6</x:v>
      </x:c>
      <x:c r="AD1744" s="44" t="b">
        <x:v>1</x:v>
      </x:c>
    </x:row>
    <x:row r="1745">
      <x:c r="A1745" s="31" t="str">
        <x:v>36081035700</x:v>
      </x:c>
      <x:c r="B1745" s="31" t="str">
        <x:v>Queens</x:v>
      </x:c>
      <x:c r="C1745" s="31" t="str">
        <x:v>035700</x:v>
      </x:c>
      <x:c r="D1745" s="31" t="str">
        <x:v>QN0302</x:v>
      </x:c>
      <x:c r="E1745" s="31" t="str">
        <x:v>East Elmhurst</x:v>
      </x:c>
      <x:c r="F1745" s="31" t="n">
        <x:v>0.23878398281429353</x:v>
      </x:c>
      <x:c r="G1745" s="31" t="n">
        <x:v>40.76801488646497</x:v>
      </x:c>
      <x:c r="H1745" s="31" t="n">
        <x:v>-73.87123890037232</x:v>
      </x:c>
      <x:c r="I1745" s="31" t="n">
        <x:v>5593</x:v>
      </x:c>
      <x:c r="J1745" s="31" t="n">
        <x:v>23422.844087284422</x:v>
      </x:c>
      <x:c r="K1745" s="31"/>
      <x:c r="L1745" s="40"/>
      <x:c r="M1745" s="40"/>
      <x:c r="N1745" s="31" t="n">
        <x:v>802</x:v>
      </x:c>
      <x:c r="O1745" s="31" t="n">
        <x:v>1270</x:v>
      </x:c>
      <x:c r="P1745" s="31" t="n">
        <x:v>1.981859732072498</x:v>
      </x:c>
      <x:c r="Q1745" s="40" t="n">
        <x:v>0</x:v>
      </x:c>
      <x:c r="R1745" s="40" t="n">
        <x:v>0.012598425196850394</x:v>
      </x:c>
      <x:c r="S1745" s="40" t="n">
        <x:v>0.005511811023622047</x:v>
      </x:c>
      <x:c r="T1745" s="31" t="n">
        <x:v>25.462493163393702</x:v>
      </x:c>
      <x:c r="U1745" s="31" t="n">
        <x:v>42</x:v>
      </x:c>
      <x:c r="V1745" s="31" t="n">
        <x:v>1</x:v>
      </x:c>
      <x:c r="W1745" s="31" t="n">
        <x:v>0.17879492222420884</x:v>
      </x:c>
      <x:c r="X1745" s="31" t="n">
        <x:v>4</x:v>
      </x:c>
      <x:c r="Y1745" s="40" t="n">
        <x:v>1</x:v>
      </x:c>
      <x:c r="Z1745" s="40" t="n">
        <x:v>1</x:v>
      </x:c>
      <x:c r="AA1745" s="40" t="n">
        <x:v>1</x:v>
      </x:c>
      <x:c r="AB1745" s="31" t="n">
        <x:v>0.20211375881404234</x:v>
      </x:c>
      <x:c r="AC1745" s="31" t="n">
        <x:v>4</x:v>
      </x:c>
      <x:c r="AD1745" s="44" t="b">
        <x:v>1</x:v>
      </x:c>
    </x:row>
    <x:row r="1746">
      <x:c r="A1746" s="31" t="str">
        <x:v>36081035800</x:v>
      </x:c>
      <x:c r="B1746" s="31" t="str">
        <x:v>Queens</x:v>
      </x:c>
      <x:c r="C1746" s="31" t="str">
        <x:v>035800</x:v>
      </x:c>
      <x:c r="D1746" s="31" t="str">
        <x:v>QN1305</x:v>
      </x:c>
      <x:c r="E1746" s="31" t="str">
        <x:v>Laurelton</x:v>
      </x:c>
      <x:c r="F1746" s="31" t="n">
        <x:v>0.20236864120430154</x:v>
      </x:c>
      <x:c r="G1746" s="31" t="n">
        <x:v>40.675790234450794</x:v>
      </x:c>
      <x:c r="H1746" s="31" t="n">
        <x:v>-73.75097864726328</x:v>
      </x:c>
      <x:c r="I1746" s="31" t="n">
        <x:v>4508</x:v>
      </x:c>
      <x:c r="J1746" s="31" t="n">
        <x:v>22276.178627146794</x:v>
      </x:c>
      <x:c r="K1746" s="31"/>
      <x:c r="L1746" s="40"/>
      <x:c r="M1746" s="40"/>
      <x:c r="N1746" s="31" t="n">
        <x:v>872</x:v>
      </x:c>
      <x:c r="O1746" s="31" t="n">
        <x:v>1321</x:v>
      </x:c>
      <x:c r="P1746" s="31" t="n">
        <x:v>1.986057619408643</x:v>
      </x:c>
      <x:c r="Q1746" s="40" t="n">
        <x:v>0</x:v>
      </x:c>
      <x:c r="R1746" s="40" t="n">
        <x:v>0.004542013626040878</x:v>
      </x:c>
      <x:c r="S1746" s="40" t="n">
        <x:v>0.002271006813020439</x:v>
      </x:c>
      <x:c r="T1746" s="31" t="n">
        <x:v>25.834939701317595</x:v>
      </x:c>
      <x:c r="U1746" s="31" t="n">
        <x:v>38.04</x:v>
      </x:c>
      <x:c r="V1746" s="31" t="n">
        <x:v>1</x:v>
      </x:c>
      <x:c r="W1746" s="31" t="n">
        <x:v>0.2218278615794144</x:v>
      </x:c>
      <x:c r="X1746" s="31" t="n">
        <x:v>4</x:v>
      </x:c>
      <x:c r="Y1746" s="40" t="n">
        <x:v>1</x:v>
      </x:c>
      <x:c r="Z1746" s="40" t="n">
        <x:v>1</x:v>
      </x:c>
      <x:c r="AA1746" s="40" t="n">
        <x:v>0.9939439818319455</x:v>
      </x:c>
      <x:c r="AB1746" s="31" t="n">
        <x:v>0.10974724873850508</x:v>
      </x:c>
      <x:c r="AC1746" s="31" t="n">
        <x:v>6</x:v>
      </x:c>
      <x:c r="AD1746" s="44" t="b">
        <x:v>1</x:v>
      </x:c>
    </x:row>
    <x:row r="1747">
      <x:c r="A1747" s="31" t="str">
        <x:v>36081036100</x:v>
      </x:c>
      <x:c r="B1747" s="31" t="str">
        <x:v>Queens</x:v>
      </x:c>
      <x:c r="C1747" s="31" t="str">
        <x:v>036100</x:v>
      </x:c>
      <x:c r="D1747" s="31" t="str">
        <x:v>QN0302</x:v>
      </x:c>
      <x:c r="E1747" s="31" t="str">
        <x:v>East Elmhurst</x:v>
      </x:c>
      <x:c r="F1747" s="31" t="n">
        <x:v>0.060761557465277775</x:v>
      </x:c>
      <x:c r="G1747" s="31" t="n">
        <x:v>40.761283163061876</x:v>
      </x:c>
      <x:c r="H1747" s="31" t="n">
        <x:v>-73.8724164579789</x:v>
      </x:c>
      <x:c r="I1747" s="31" t="n">
        <x:v>2706</x:v>
      </x:c>
      <x:c r="J1747" s="31" t="n">
        <x:v>44534.73730567794</x:v>
      </x:c>
      <x:c r="K1747" s="31"/>
      <x:c r="L1747" s="40"/>
      <x:c r="M1747" s="40"/>
      <x:c r="N1747" s="31" t="n">
        <x:v>345</x:v>
      </x:c>
      <x:c r="O1747" s="31" t="n">
        <x:v>771</x:v>
      </x:c>
      <x:c r="P1747" s="31" t="n">
        <x:v>2.309662775616083</x:v>
      </x:c>
      <x:c r="Q1747" s="40" t="n">
        <x:v>0</x:v>
      </x:c>
      <x:c r="R1747" s="40" t="n">
        <x:v>0.1828793774319066</x:v>
      </x:c>
      <x:c r="S1747" s="40" t="n">
        <x:v>0.007782101167315175</x:v>
      </x:c>
      <x:c r="T1747" s="31" t="n">
        <x:v>27.596407617246378</x:v>
      </x:c>
      <x:c r="U1747" s="31" t="n">
        <x:v>60</x:v>
      </x:c>
      <x:c r="V1747" s="31" t="n">
        <x:v>1</x:v>
      </x:c>
      <x:c r="W1747" s="31" t="n">
        <x:v>0.36954915003695493</x:v>
      </x:c>
      <x:c r="X1747" s="31" t="n">
        <x:v>4</x:v>
      </x:c>
      <x:c r="Y1747" s="40" t="n">
        <x:v>1</x:v>
      </x:c>
      <x:c r="Z1747" s="40" t="n">
        <x:v>1</x:v>
      </x:c>
      <x:c r="AA1747" s="40" t="n">
        <x:v>0.9844357976653697</x:v>
      </x:c>
      <x:c r="AB1747" s="31" t="n">
        <x:v>0.03642163126333751</x:v>
      </x:c>
      <x:c r="AC1747" s="31" t="n">
        <x:v>7</x:v>
      </x:c>
      <x:c r="AD1747" s="44" t="b">
        <x:v>1</x:v>
      </x:c>
    </x:row>
    <x:row r="1748">
      <x:c r="A1748" s="31" t="str">
        <x:v>36081036300</x:v>
      </x:c>
      <x:c r="B1748" s="31" t="str">
        <x:v>Queens</x:v>
      </x:c>
      <x:c r="C1748" s="31" t="str">
        <x:v>036300</x:v>
      </x:c>
      <x:c r="D1748" s="31" t="str">
        <x:v>QN0302</x:v>
      </x:c>
      <x:c r="E1748" s="31" t="str">
        <x:v>East Elmhurst</x:v>
      </x:c>
      <x:c r="F1748" s="31" t="n">
        <x:v>0.05198773320671201</x:v>
      </x:c>
      <x:c r="G1748" s="31" t="n">
        <x:v>40.75967930682916</x:v>
      </x:c>
      <x:c r="H1748" s="31" t="n">
        <x:v>-73.86941575666445</x:v>
      </x:c>
      <x:c r="I1748" s="31" t="n">
        <x:v>2462</x:v>
      </x:c>
      <x:c r="J1748" s="31" t="n">
        <x:v>47357.32543311077</x:v>
      </x:c>
      <x:c r="K1748" s="31"/>
      <x:c r="L1748" s="40"/>
      <x:c r="M1748" s="40"/>
      <x:c r="N1748" s="31" t="n">
        <x:v>300</x:v>
      </x:c>
      <x:c r="O1748" s="31" t="n">
        <x:v>652</x:v>
      </x:c>
      <x:c r="P1748" s="31" t="n">
        <x:v>2.1353527607361964</x:v>
      </x:c>
      <x:c r="Q1748" s="40" t="n">
        <x:v>0</x:v>
      </x:c>
      <x:c r="R1748" s="40" t="n">
        <x:v>0.10276073619631902</x:v>
      </x:c>
      <x:c r="S1748" s="40" t="n">
        <x:v>0.006134969325153374</x:v>
      </x:c>
      <x:c r="T1748" s="31" t="n">
        <x:v>25.92278589743077</x:v>
      </x:c>
      <x:c r="U1748" s="31" t="n">
        <x:v>48.67267114</x:v>
      </x:c>
      <x:c r="V1748" s="31" t="n">
        <x:v>2</x:v>
      </x:c>
      <x:c r="W1748" s="31" t="n">
        <x:v>0.8123476848090982</x:v>
      </x:c>
      <x:c r="X1748" s="31" t="n">
        <x:v>4</x:v>
      </x:c>
      <x:c r="Y1748" s="40" t="n">
        <x:v>1</x:v>
      </x:c>
      <x:c r="Z1748" s="40" t="n">
        <x:v>1</x:v>
      </x:c>
      <x:c r="AA1748" s="40" t="n">
        <x:v>0.9969325153374233</x:v>
      </x:c>
      <x:c r="AB1748" s="31" t="n">
        <x:v>0.15583948633358494</x:v>
      </x:c>
      <x:c r="AC1748" s="31" t="n">
        <x:v>4</x:v>
      </x:c>
      <x:c r="AD1748" s="44" t="b">
        <x:v>1</x:v>
      </x:c>
    </x:row>
    <x:row r="1749">
      <x:c r="A1749" s="31" t="str">
        <x:v>36081036500</x:v>
      </x:c>
      <x:c r="B1749" s="31" t="str">
        <x:v>Queens</x:v>
      </x:c>
      <x:c r="C1749" s="31" t="str">
        <x:v>036500</x:v>
      </x:c>
      <x:c r="D1749" s="31" t="str">
        <x:v>QN0302</x:v>
      </x:c>
      <x:c r="E1749" s="31" t="str">
        <x:v>East Elmhurst</x:v>
      </x:c>
      <x:c r="F1749" s="31" t="n">
        <x:v>0.06413491968584997</x:v>
      </x:c>
      <x:c r="G1749" s="31" t="n">
        <x:v>40.75952323518092</x:v>
      </x:c>
      <x:c r="H1749" s="31" t="n">
        <x:v>-73.86560505621782</x:v>
      </x:c>
      <x:c r="I1749" s="31" t="n">
        <x:v>4142</x:v>
      </x:c>
      <x:c r="J1749" s="31" t="n">
        <x:v>64582.60211891784</x:v>
      </x:c>
      <x:c r="K1749" s="31"/>
      <x:c r="L1749" s="40"/>
      <x:c r="M1749" s="40"/>
      <x:c r="N1749" s="31" t="n">
        <x:v>381</x:v>
      </x:c>
      <x:c r="O1749" s="31" t="n">
        <x:v>969</x:v>
      </x:c>
      <x:c r="P1749" s="31" t="n">
        <x:v>2.5690092879256965</x:v>
      </x:c>
      <x:c r="Q1749" s="40" t="n">
        <x:v>0</x:v>
      </x:c>
      <x:c r="R1749" s="40" t="n">
        <x:v>0.2518059855521156</x:v>
      </x:c>
      <x:c r="S1749" s="40" t="n">
        <x:v>0.007223942208462332</x:v>
      </x:c>
      <x:c r="T1749" s="31" t="n">
        <x:v>30.84176637410548</x:v>
      </x:c>
      <x:c r="U1749" s="31" t="n">
        <x:v>66</x:v>
      </x:c>
      <x:c r="V1749" s="31" t="n">
        <x:v>5</x:v>
      </x:c>
      <x:c r="W1749" s="31" t="n">
        <x:v>1.2071463061323031</x:v>
      </x:c>
      <x:c r="X1749" s="31" t="n">
        <x:v>4</x:v>
      </x:c>
      <x:c r="Y1749" s="40" t="n">
        <x:v>1</x:v>
      </x:c>
      <x:c r="Z1749" s="40" t="n">
        <x:v>1</x:v>
      </x:c>
      <x:c r="AA1749" s="40" t="n">
        <x:v>0.9979360165118679</x:v>
      </x:c>
      <x:c r="AB1749" s="31" t="n">
        <x:v>0.18593813991410132</x:v>
      </x:c>
      <x:c r="AC1749" s="31" t="n">
        <x:v>5</x:v>
      </x:c>
      <x:c r="AD1749" s="44" t="b">
        <x:v>1</x:v>
      </x:c>
    </x:row>
    <x:row r="1750">
      <x:c r="A1750" s="31" t="str">
        <x:v>36081036600</x:v>
      </x:c>
      <x:c r="B1750" s="31" t="str">
        <x:v>Queens</x:v>
      </x:c>
      <x:c r="C1750" s="31" t="str">
        <x:v>036600</x:v>
      </x:c>
      <x:c r="D1750" s="31" t="str">
        <x:v>QN1205</x:v>
      </x:c>
      <x:c r="E1750" s="31" t="str">
        <x:v>St. Albans</x:v>
      </x:c>
      <x:c r="F1750" s="31" t="n">
        <x:v>0.14301216208749426</x:v>
      </x:c>
      <x:c r="G1750" s="31" t="n">
        <x:v>40.68565001987942</x:v>
      </x:c>
      <x:c r="H1750" s="31" t="n">
        <x:v>-73.76309660360425</x:v>
      </x:c>
      <x:c r="I1750" s="31" t="n">
        <x:v>3003</x:v>
      </x:c>
      <x:c r="J1750" s="31" t="n">
        <x:v>20998.21411106824</x:v>
      </x:c>
      <x:c r="K1750" s="31"/>
      <x:c r="L1750" s="40"/>
      <x:c r="M1750" s="40"/>
      <x:c r="N1750" s="31" t="n">
        <x:v>652</x:v>
      </x:c>
      <x:c r="O1750" s="31" t="n">
        <x:v>997</x:v>
      </x:c>
      <x:c r="P1750" s="31" t="n">
        <x:v>1.9508726178535607</x:v>
      </x:c>
      <x:c r="Q1750" s="40" t="n">
        <x:v>0</x:v>
      </x:c>
      <x:c r="R1750" s="40" t="n">
        <x:v>0.012036108324974924</x:v>
      </x:c>
      <x:c r="S1750" s="40" t="n">
        <x:v>0.16349047141424272</x:v>
      </x:c>
      <x:c r="T1750" s="31" t="n">
        <x:v>24.373423627999998</x:v>
      </x:c>
      <x:c r="U1750" s="31" t="n">
        <x:v>35.8083513</x:v>
      </x:c>
      <x:c r="V1750" s="31" t="n">
        <x:v>0</x:v>
      </x:c>
      <x:c r="W1750" s="31" t="n">
        <x:v>0</x:v>
      </x:c>
      <x:c r="X1750" s="31" t="n">
        <x:v>4.965897693079238</x:v>
      </x:c>
      <x:c r="Y1750" s="40" t="n">
        <x:v>1</x:v>
      </x:c>
      <x:c r="Z1750" s="40" t="n">
        <x:v>1</x:v>
      </x:c>
      <x:c r="AA1750" s="40" t="n">
        <x:v>0.9979939819458375</x:v>
      </x:c>
      <x:c r="AB1750" s="31" t="n">
        <x:v>0.3249905541652968</x:v>
      </x:c>
      <x:c r="AC1750" s="31" t="n">
        <x:v>9</x:v>
      </x:c>
      <x:c r="AD1750" s="44" t="b">
        <x:v>1</x:v>
      </x:c>
    </x:row>
    <x:row r="1751">
      <x:c r="A1751" s="31" t="str">
        <x:v>36081036700</x:v>
      </x:c>
      <x:c r="B1751" s="31" t="str">
        <x:v>Queens</x:v>
      </x:c>
      <x:c r="C1751" s="31" t="str">
        <x:v>036700</x:v>
      </x:c>
      <x:c r="D1751" s="31" t="str">
        <x:v>QN0302</x:v>
      </x:c>
      <x:c r="E1751" s="31" t="str">
        <x:v>East Elmhurst</x:v>
      </x:c>
      <x:c r="F1751" s="31" t="n">
        <x:v>0.07565759527806475</x:v>
      </x:c>
      <x:c r="G1751" s="31" t="n">
        <x:v>40.76322041526646</x:v>
      </x:c>
      <x:c r="H1751" s="31" t="n">
        <x:v>-73.8679417257127</x:v>
      </x:c>
      <x:c r="I1751" s="31" t="n">
        <x:v>3099</x:v>
      </x:c>
      <x:c r="J1751" s="31" t="n">
        <x:v>40960.85777786394</x:v>
      </x:c>
      <x:c r="K1751" s="31"/>
      <x:c r="L1751" s="40"/>
      <x:c r="M1751" s="40"/>
      <x:c r="N1751" s="31" t="n">
        <x:v>471</x:v>
      </x:c>
      <x:c r="O1751" s="31" t="n">
        <x:v>793</x:v>
      </x:c>
      <x:c r="P1751" s="31" t="n">
        <x:v>2.153871374527112</x:v>
      </x:c>
      <x:c r="Q1751" s="40" t="n">
        <x:v>0</x:v>
      </x:c>
      <x:c r="R1751" s="40" t="n">
        <x:v>0.03278688524590164</x:v>
      </x:c>
      <x:c r="S1751" s="40" t="n">
        <x:v>0.01008827238335435</x:v>
      </x:c>
      <x:c r="T1751" s="31" t="n">
        <x:v>27.970496558798988</x:v>
      </x:c>
      <x:c r="U1751" s="31" t="n">
        <x:v>39.37328895</x:v>
      </x:c>
      <x:c r="V1751" s="31" t="n">
        <x:v>0</x:v>
      </x:c>
      <x:c r="W1751" s="31" t="n">
        <x:v>0</x:v>
      </x:c>
      <x:c r="X1751" s="31" t="n">
        <x:v>4</x:v>
      </x:c>
      <x:c r="Y1751" s="40" t="n">
        <x:v>1</x:v>
      </x:c>
      <x:c r="Z1751" s="40" t="n">
        <x:v>1</x:v>
      </x:c>
      <x:c r="AA1751" s="40" t="n">
        <x:v>0.9974779319041615</x:v>
      </x:c>
      <x:c r="AB1751" s="31" t="n">
        <x:v>0.2220695183783747</x:v>
      </x:c>
      <x:c r="AC1751" s="31" t="n">
        <x:v>6</x:v>
      </x:c>
      <x:c r="AD1751" s="44" t="b">
        <x:v>1</x:v>
      </x:c>
    </x:row>
    <x:row r="1752">
      <x:c r="A1752" s="31" t="str">
        <x:v>36081036800</x:v>
      </x:c>
      <x:c r="B1752" s="31" t="str">
        <x:v>Queens</x:v>
      </x:c>
      <x:c r="C1752" s="31" t="str">
        <x:v>036800</x:v>
      </x:c>
      <x:c r="D1752" s="31" t="str">
        <x:v>QN1205</x:v>
      </x:c>
      <x:c r="E1752" s="31" t="str">
        <x:v>St. Albans</x:v>
      </x:c>
      <x:c r="F1752" s="31" t="n">
        <x:v>0.09003603065025252</x:v>
      </x:c>
      <x:c r="G1752" s="31" t="n">
        <x:v>40.68532580371902</x:v>
      </x:c>
      <x:c r="H1752" s="31" t="n">
        <x:v>-73.76648176482273</x:v>
      </x:c>
      <x:c r="I1752" s="31" t="n">
        <x:v>2513</x:v>
      </x:c>
      <x:c r="J1752" s="31" t="n">
        <x:v>27911.048297562327</x:v>
      </x:c>
      <x:c r="K1752" s="31"/>
      <x:c r="L1752" s="40"/>
      <x:c r="M1752" s="40"/>
      <x:c r="N1752" s="31" t="n">
        <x:v>556</x:v>
      </x:c>
      <x:c r="O1752" s="31" t="n">
        <x:v>778</x:v>
      </x:c>
      <x:c r="P1752" s="31" t="n">
        <x:v>2.060681233933162</x:v>
      </x:c>
      <x:c r="Q1752" s="40" t="n">
        <x:v>0</x:v>
      </x:c>
      <x:c r="R1752" s="40" t="n">
        <x:v>0.0012853470437017994</x:v>
      </x:c>
      <x:c r="S1752" s="40" t="n">
        <x:v>0</x:v>
      </x:c>
      <x:c r="T1752" s="31" t="n">
        <x:v>26.106914831208226</x:v>
      </x:c>
      <x:c r="U1752" s="31" t="n">
        <x:v>37.47</x:v>
      </x:c>
      <x:c r="V1752" s="31" t="n">
        <x:v>0</x:v>
      </x:c>
      <x:c r="W1752" s="31" t="n">
        <x:v>0</x:v>
      </x:c>
      <x:c r="X1752" s="31" t="n">
        <x:v>5</x:v>
      </x:c>
      <x:c r="Y1752" s="40" t="n">
        <x:v>1</x:v>
      </x:c>
      <x:c r="Z1752" s="40" t="n">
        <x:v>1</x:v>
      </x:c>
      <x:c r="AA1752" s="40" t="n">
        <x:v>1</x:v>
      </x:c>
      <x:c r="AB1752" s="31" t="n">
        <x:v>0.43093292578638565</x:v>
      </x:c>
      <x:c r="AC1752" s="31" t="n">
        <x:v>4</x:v>
      </x:c>
      <x:c r="AD1752" s="44" t="b">
        <x:v>1</x:v>
      </x:c>
    </x:row>
    <x:row r="1753">
      <x:c r="A1753" s="31" t="str">
        <x:v>36081037100</x:v>
      </x:c>
      <x:c r="B1753" s="31" t="str">
        <x:v>Queens</x:v>
      </x:c>
      <x:c r="C1753" s="31" t="str">
        <x:v>037100</x:v>
      </x:c>
      <x:c r="D1753" s="31" t="str">
        <x:v>QN0302</x:v>
      </x:c>
      <x:c r="E1753" s="31" t="str">
        <x:v>East Elmhurst</x:v>
      </x:c>
      <x:c r="F1753" s="31" t="n">
        <x:v>0.07246110805785123</x:v>
      </x:c>
      <x:c r="G1753" s="31" t="n">
        <x:v>40.76413688924301</x:v>
      </x:c>
      <x:c r="H1753" s="31" t="n">
        <x:v>-73.86361585854955</x:v>
      </x:c>
      <x:c r="I1753" s="31" t="n">
        <x:v>1917</x:v>
      </x:c>
      <x:c r="J1753" s="31" t="n">
        <x:v>26455.571152314045</x:v>
      </x:c>
      <x:c r="K1753" s="31"/>
      <x:c r="L1753" s="40"/>
      <x:c r="M1753" s="40"/>
      <x:c r="N1753" s="31" t="n">
        <x:v>298</x:v>
      </x:c>
      <x:c r="O1753" s="31" t="n">
        <x:v>494</x:v>
      </x:c>
      <x:c r="P1753" s="31" t="n">
        <x:v>2.2497357723577234</x:v>
      </x:c>
      <x:c r="Q1753" s="40" t="n">
        <x:v>0</x:v>
      </x:c>
      <x:c r="R1753" s="40" t="n">
        <x:v>0.01417004048582996</x:v>
      </x:c>
      <x:c r="S1753" s="40" t="n">
        <x:v>0.016194331983805668</x:v>
      </x:c>
      <x:c r="T1753" s="31" t="n">
        <x:v>29.862565454867077</x:v>
      </x:c>
      <x:c r="U1753" s="31" t="n">
        <x:v>43.08</x:v>
      </x:c>
      <x:c r="V1753" s="31" t="n">
        <x:v>0</x:v>
      </x:c>
      <x:c r="W1753" s="31" t="n">
        <x:v>0</x:v>
      </x:c>
      <x:c r="X1753" s="31" t="n">
        <x:v>4</x:v>
      </x:c>
      <x:c r="Y1753" s="40" t="n">
        <x:v>1</x:v>
      </x:c>
      <x:c r="Z1753" s="40" t="n">
        <x:v>1</x:v>
      </x:c>
      <x:c r="AA1753" s="40" t="n">
        <x:v>0.9898785425101214</x:v>
      </x:c>
      <x:c r="AB1753" s="31" t="n">
        <x:v>0.41018437102530597</x:v>
      </x:c>
      <x:c r="AC1753" s="31" t="n">
        <x:v>5</x:v>
      </x:c>
      <x:c r="AD1753" s="44" t="b">
        <x:v>1</x:v>
      </x:c>
    </x:row>
    <x:row r="1754">
      <x:c r="A1754" s="31" t="str">
        <x:v>36081037300</x:v>
      </x:c>
      <x:c r="B1754" s="31" t="str">
        <x:v>Queens</x:v>
      </x:c>
      <x:c r="C1754" s="31" t="str">
        <x:v>037300</x:v>
      </x:c>
      <x:c r="D1754" s="31" t="str">
        <x:v>QN0302</x:v>
      </x:c>
      <x:c r="E1754" s="31" t="str">
        <x:v>East Elmhurst</x:v>
      </x:c>
      <x:c r="F1754" s="31" t="n">
        <x:v>0.09160250168517563</x:v>
      </x:c>
      <x:c r="G1754" s="31" t="n">
        <x:v>40.759714573045194</x:v>
      </x:c>
      <x:c r="H1754" s="31" t="n">
        <x:v>-73.85999683170081</x:v>
      </x:c>
      <x:c r="I1754" s="31" t="n">
        <x:v>2887</x:v>
      </x:c>
      <x:c r="J1754" s="31" t="n">
        <x:v>31516.60649970233</x:v>
      </x:c>
      <x:c r="K1754" s="31"/>
      <x:c r="L1754" s="40"/>
      <x:c r="M1754" s="40"/>
      <x:c r="N1754" s="31" t="n">
        <x:v>286</x:v>
      </x:c>
      <x:c r="O1754" s="31" t="n">
        <x:v>1081</x:v>
      </x:c>
      <x:c r="P1754" s="31" t="n">
        <x:v>4.950120481927711</x:v>
      </x:c>
      <x:c r="Q1754" s="40" t="n">
        <x:v>0.11655874190564293</x:v>
      </x:c>
      <x:c r="R1754" s="40" t="n">
        <x:v>0.4431082331174838</x:v>
      </x:c>
      <x:c r="S1754" s="40" t="n">
        <x:v>0.11655874190564293</x:v>
      </x:c>
      <x:c r="T1754" s="31" t="n">
        <x:v>44.18442180235231</x:v>
      </x:c>
      <x:c r="U1754" s="31" t="n">
        <x:v>90</x:v>
      </x:c>
      <x:c r="V1754" s="31" t="n">
        <x:v>10</x:v>
      </x:c>
      <x:c r="W1754" s="31" t="n">
        <x:v>3.4638032559750607</x:v>
      </x:c>
      <x:c r="X1754" s="31" t="n">
        <x:v>4</x:v>
      </x:c>
      <x:c r="Y1754" s="40" t="n">
        <x:v>1</x:v>
      </x:c>
      <x:c r="Z1754" s="40" t="n">
        <x:v>1</x:v>
      </x:c>
      <x:c r="AA1754" s="40" t="n">
        <x:v>0.8612395929694727</x:v>
      </x:c>
      <x:c r="AB1754" s="31" t="n">
        <x:v>0.06972650978190738</x:v>
      </x:c>
      <x:c r="AC1754" s="31" t="n">
        <x:v>6</x:v>
      </x:c>
      <x:c r="AD1754" s="44" t="b">
        <x:v>1</x:v>
      </x:c>
    </x:row>
    <x:row r="1755">
      <x:c r="A1755" s="31" t="str">
        <x:v>36081037501</x:v>
      </x:c>
      <x:c r="B1755" s="31" t="str">
        <x:v>Queens</x:v>
      </x:c>
      <x:c r="C1755" s="31" t="str">
        <x:v>037501</x:v>
      </x:c>
      <x:c r="D1755" s="31" t="str">
        <x:v>QN0402</x:v>
      </x:c>
      <x:c r="E1755" s="31" t="str">
        <x:v>Corona</x:v>
      </x:c>
      <x:c r="F1755" s="31" t="n">
        <x:v>0.02048973805085658</x:v>
      </x:c>
      <x:c r="G1755" s="31" t="n">
        <x:v>40.74690979257956</x:v>
      </x:c>
      <x:c r="H1755" s="31" t="n">
        <x:v>-73.86773456068063</x:v>
      </x:c>
      <x:c r="I1755" s="31" t="n">
        <x:v>1479</x:v>
      </x:c>
      <x:c r="J1755" s="31" t="n">
        <x:v>72182.47477488713</x:v>
      </x:c>
      <x:c r="K1755" s="31"/>
      <x:c r="L1755" s="40"/>
      <x:c r="M1755" s="40"/>
      <x:c r="N1755" s="31" t="n">
        <x:v>106</x:v>
      </x:c>
      <x:c r="O1755" s="31" t="n">
        <x:v>361</x:v>
      </x:c>
      <x:c r="P1755" s="31" t="n">
        <x:v>2.5852906976744188</x:v>
      </x:c>
      <x:c r="Q1755" s="40" t="n">
        <x:v>0</x:v>
      </x:c>
      <x:c r="R1755" s="40" t="n">
        <x:v>0.3739612188365651</x:v>
      </x:c>
      <x:c r="S1755" s="40" t="n">
        <x:v>0</x:v>
      </x:c>
      <x:c r="T1755" s="31" t="n">
        <x:v>30.833295547590026</x:v>
      </x:c>
      <x:c r="U1755" s="31" t="n">
        <x:v>52</x:v>
      </x:c>
      <x:c r="V1755" s="31" t="n">
        <x:v>3</x:v>
      </x:c>
      <x:c r="W1755" s="31" t="n">
        <x:v>2.028397565922921</x:v>
      </x:c>
      <x:c r="X1755" s="31" t="n">
        <x:v>4</x:v>
      </x:c>
      <x:c r="Y1755" s="40" t="n">
        <x:v>1</x:v>
      </x:c>
      <x:c r="Z1755" s="40" t="n">
        <x:v>1</x:v>
      </x:c>
      <x:c r="AA1755" s="40" t="n">
        <x:v>1</x:v>
      </x:c>
      <x:c r="AB1755" s="31" t="n">
        <x:v>0.10116550624340863</x:v>
      </x:c>
      <x:c r="AC1755" s="31" t="n">
        <x:v>7</x:v>
      </x:c>
      <x:c r="AD1755" s="44" t="b">
        <x:v>1</x:v>
      </x:c>
    </x:row>
    <x:row r="1756">
      <x:c r="A1756" s="31" t="str">
        <x:v>36081037502</x:v>
      </x:c>
      <x:c r="B1756" s="31" t="str">
        <x:v>Queens</x:v>
      </x:c>
      <x:c r="C1756" s="31" t="str">
        <x:v>037502</x:v>
      </x:c>
      <x:c r="D1756" s="31" t="str">
        <x:v>QN0303</x:v>
      </x:c>
      <x:c r="E1756" s="31" t="str">
        <x:v>North Corona</x:v>
      </x:c>
      <x:c r="F1756" s="31" t="n">
        <x:v>0.038664431625200876</x:v>
      </x:c>
      <x:c r="G1756" s="31" t="n">
        <x:v>40.75369979131</x:v>
      </x:c>
      <x:c r="H1756" s="31" t="n">
        <x:v>-73.87120195037896</x:v>
      </x:c>
      <x:c r="I1756" s="31" t="n">
        <x:v>2778</x:v>
      </x:c>
      <x:c r="J1756" s="31" t="n">
        <x:v>71848.98065821671</x:v>
      </x:c>
      <x:c r="K1756" s="31"/>
      <x:c r="L1756" s="40"/>
      <x:c r="M1756" s="40"/>
      <x:c r="N1756" s="31" t="n">
        <x:v>156</x:v>
      </x:c>
      <x:c r="O1756" s="31" t="n">
        <x:v>702</x:v>
      </x:c>
      <x:c r="P1756" s="31" t="n">
        <x:v>4.076937321937322</x:v>
      </x:c>
      <x:c r="Q1756" s="40" t="n">
        <x:v>0</x:v>
      </x:c>
      <x:c r="R1756" s="40" t="n">
        <x:v>0.6424501424501424</x:v>
      </x:c>
      <x:c r="S1756" s="40" t="n">
        <x:v>0.011396011396011397</x:v>
      </x:c>
      <x:c r="T1756" s="31" t="n">
        <x:v>44.03257086039394</x:v>
      </x:c>
      <x:c r="U1756" s="31" t="n">
        <x:v>70</x:v>
      </x:c>
      <x:c r="V1756" s="31" t="n">
        <x:v>7</x:v>
      </x:c>
      <x:c r="W1756" s="31" t="n">
        <x:v>2.5197984161267097</x:v>
      </x:c>
      <x:c r="X1756" s="31" t="n">
        <x:v>3.8304843304843303</x:v>
      </x:c>
      <x:c r="Y1756" s="40" t="n">
        <x:v>0.8304843304843305</x:v>
      </x:c>
      <x:c r="Z1756" s="40" t="n">
        <x:v>1</x:v>
      </x:c>
      <x:c r="AA1756" s="40" t="n">
        <x:v>0.9401709401709402</x:v>
      </x:c>
      <x:c r="AB1756" s="31" t="n">
        <x:v>0.05347969872439333</x:v>
      </x:c>
      <x:c r="AC1756" s="31" t="n">
        <x:v>9</x:v>
      </x:c>
      <x:c r="AD1756" s="44" t="b">
        <x:v>1</x:v>
      </x:c>
    </x:row>
    <x:row r="1757">
      <x:c r="A1757" s="31" t="str">
        <x:v>36081037600</x:v>
      </x:c>
      <x:c r="B1757" s="31" t="str">
        <x:v>Queens</x:v>
      </x:c>
      <x:c r="C1757" s="31" t="str">
        <x:v>037600</x:v>
      </x:c>
      <x:c r="D1757" s="31" t="str">
        <x:v>QN1205</x:v>
      </x:c>
      <x:c r="E1757" s="31" t="str">
        <x:v>St. Albans</x:v>
      </x:c>
      <x:c r="F1757" s="31" t="n">
        <x:v>0.2970514780066288</x:v>
      </x:c>
      <x:c r="G1757" s="31" t="n">
        <x:v>40.687814595006465</x:v>
      </x:c>
      <x:c r="H1757" s="31" t="n">
        <x:v>-73.75411746733278</x:v>
      </x:c>
      <x:c r="I1757" s="31" t="n">
        <x:v>6373</x:v>
      </x:c>
      <x:c r="J1757" s="31" t="n">
        <x:v>21454.193874967976</x:v>
      </x:c>
      <x:c r="K1757" s="31"/>
      <x:c r="L1757" s="40"/>
      <x:c r="M1757" s="40"/>
      <x:c r="N1757" s="31" t="n">
        <x:v>1457</x:v>
      </x:c>
      <x:c r="O1757" s="31" t="n">
        <x:v>1978</x:v>
      </x:c>
      <x:c r="P1757" s="31" t="n">
        <x:v>2.007332995951417</x:v>
      </x:c>
      <x:c r="Q1757" s="40" t="n">
        <x:v>0</x:v>
      </x:c>
      <x:c r="R1757" s="40" t="n">
        <x:v>0</x:v>
      </x:c>
      <x:c r="S1757" s="40" t="n">
        <x:v>0.00910010111223458</x:v>
      </x:c>
      <x:c r="T1757" s="31" t="n">
        <x:v>25.521984101400303</x:v>
      </x:c>
      <x:c r="U1757" s="31" t="n">
        <x:v>36</x:v>
      </x:c>
      <x:c r="V1757" s="31" t="n">
        <x:v>1</x:v>
      </x:c>
      <x:c r="W1757" s="31" t="n">
        <x:v>0.1569119723834929</x:v>
      </x:c>
      <x:c r="X1757" s="31" t="n">
        <x:v>4.6142568250758345</x:v>
      </x:c>
      <x:c r="Y1757" s="40" t="n">
        <x:v>1</x:v>
      </x:c>
      <x:c r="Z1757" s="40" t="n">
        <x:v>1</x:v>
      </x:c>
      <x:c r="AA1757" s="40" t="n">
        <x:v>0.9964610717896866</x:v>
      </x:c>
      <x:c r="AB1757" s="31" t="n">
        <x:v>0.19216423799337054</x:v>
      </x:c>
      <x:c r="AC1757" s="31" t="n">
        <x:v>9</x:v>
      </x:c>
      <x:c r="AD1757" s="44" t="b">
        <x:v>1</x:v>
      </x:c>
    </x:row>
    <x:row r="1758">
      <x:c r="A1758" s="31" t="str">
        <x:v>36081037700</x:v>
      </x:c>
      <x:c r="B1758" s="31" t="str">
        <x:v>Queens</x:v>
      </x:c>
      <x:c r="C1758" s="31" t="str">
        <x:v>037700</x:v>
      </x:c>
      <x:c r="D1758" s="31" t="str">
        <x:v>QN0303</x:v>
      </x:c>
      <x:c r="E1758" s="31" t="str">
        <x:v>North Corona</x:v>
      </x:c>
      <x:c r="F1758" s="31" t="n">
        <x:v>0.0566886662932593</x:v>
      </x:c>
      <x:c r="G1758" s="31" t="n">
        <x:v>40.75566144908994</x:v>
      </x:c>
      <x:c r="H1758" s="31" t="n">
        <x:v>-73.86871361572852</x:v>
      </x:c>
      <x:c r="I1758" s="31" t="n">
        <x:v>4493</x:v>
      </x:c>
      <x:c r="J1758" s="31" t="n">
        <x:v>79257.4652710475</x:v>
      </x:c>
      <x:c r="K1758" s="31"/>
      <x:c r="L1758" s="40"/>
      <x:c r="M1758" s="40"/>
      <x:c r="N1758" s="31" t="n">
        <x:v>331</x:v>
      </x:c>
      <x:c r="O1758" s="31" t="n">
        <x:v>891</x:v>
      </x:c>
      <x:c r="P1758" s="31" t="n">
        <x:v>2.49320987654321</x:v>
      </x:c>
      <x:c r="Q1758" s="40" t="n">
        <x:v>0</x:v>
      </x:c>
      <x:c r="R1758" s="40" t="n">
        <x:v>0.3254769921436588</x:v>
      </x:c>
      <x:c r="S1758" s="40" t="n">
        <x:v>0.008978675645342313</x:v>
      </x:c>
      <x:c r="T1758" s="31" t="n">
        <x:v>29.669970730768345</x:v>
      </x:c>
      <x:c r="U1758" s="31" t="n">
        <x:v>67</x:v>
      </x:c>
      <x:c r="V1758" s="31" t="n">
        <x:v>2</x:v>
      </x:c>
      <x:c r="W1758" s="31" t="n">
        <x:v>0.4451368795904741</x:v>
      </x:c>
      <x:c r="X1758" s="31" t="n">
        <x:v>4</x:v>
      </x:c>
      <x:c r="Y1758" s="40" t="n">
        <x:v>1</x:v>
      </x:c>
      <x:c r="Z1758" s="40" t="n">
        <x:v>1</x:v>
      </x:c>
      <x:c r="AA1758" s="40" t="n">
        <x:v>0.978675645342312</x:v>
      </x:c>
      <x:c r="AB1758" s="31" t="n">
        <x:v>0.024712579530899958</x:v>
      </x:c>
      <x:c r="AC1758" s="31" t="n">
        <x:v>7</x:v>
      </x:c>
      <x:c r="AD1758" s="44" t="b">
        <x:v>1</x:v>
      </x:c>
    </x:row>
    <x:row r="1759">
      <x:c r="A1759" s="31" t="str">
        <x:v>36081037900</x:v>
      </x:c>
      <x:c r="B1759" s="31" t="str">
        <x:v>Queens</x:v>
      </x:c>
      <x:c r="C1759" s="31" t="str">
        <x:v>037900</x:v>
      </x:c>
      <x:c r="D1759" s="31" t="str">
        <x:v>QN0303</x:v>
      </x:c>
      <x:c r="E1759" s="31" t="str">
        <x:v>North Corona</x:v>
      </x:c>
      <x:c r="F1759" s="31" t="n">
        <x:v>0.07607489936509987</x:v>
      </x:c>
      <x:c r="G1759" s="31" t="n">
        <x:v>40.75547350705011</x:v>
      </x:c>
      <x:c r="H1759" s="31" t="n">
        <x:v>-73.86408414265522</x:v>
      </x:c>
      <x:c r="I1759" s="31" t="n">
        <x:v>6504</x:v>
      </x:c>
      <x:c r="J1759" s="31" t="n">
        <x:v>85494.6908149809</x:v>
      </x:c>
      <x:c r="K1759" s="31"/>
      <x:c r="L1759" s="40"/>
      <x:c r="M1759" s="40"/>
      <x:c r="N1759" s="31" t="n">
        <x:v>490</x:v>
      </x:c>
      <x:c r="O1759" s="31" t="n">
        <x:v>1516</x:v>
      </x:c>
      <x:c r="P1759" s="31" t="n">
        <x:v>2.9899406332453826</x:v>
      </x:c>
      <x:c r="Q1759" s="40" t="n">
        <x:v>0</x:v>
      </x:c>
      <x:c r="R1759" s="40" t="n">
        <x:v>0.5521108179419525</x:v>
      </x:c>
      <x:c r="S1759" s="40" t="n">
        <x:v>0.011213720316622692</x:v>
      </x:c>
      <x:c r="T1759" s="31" t="n">
        <x:v>33.56701720934567</x:v>
      </x:c>
      <x:c r="U1759" s="31" t="n">
        <x:v>84</x:v>
      </x:c>
      <x:c r="V1759" s="31" t="n">
        <x:v>6</x:v>
      </x:c>
      <x:c r="W1759" s="31" t="n">
        <x:v>0.9225092250922509</x:v>
      </x:c>
      <x:c r="X1759" s="31" t="n">
        <x:v>4</x:v>
      </x:c>
      <x:c r="Y1759" s="40" t="n">
        <x:v>1</x:v>
      </x:c>
      <x:c r="Z1759" s="40" t="n">
        <x:v>1</x:v>
      </x:c>
      <x:c r="AA1759" s="40" t="n">
        <x:v>0.9980211081794196</x:v>
      </x:c>
      <x:c r="AB1759" s="31" t="n">
        <x:v>0.24430390655455064</x:v>
      </x:c>
      <x:c r="AC1759" s="31" t="n">
        <x:v>7</x:v>
      </x:c>
      <x:c r="AD1759" s="44" t="b">
        <x:v>1</x:v>
      </x:c>
    </x:row>
    <x:row r="1760">
      <x:c r="A1760" s="31" t="str">
        <x:v>36081038100</x:v>
      </x:c>
      <x:c r="B1760" s="31" t="str">
        <x:v>Queens</x:v>
      </x:c>
      <x:c r="C1760" s="31" t="str">
        <x:v>038100</x:v>
      </x:c>
      <x:c r="D1760" s="31" t="str">
        <x:v>QN0303</x:v>
      </x:c>
      <x:c r="E1760" s="31" t="str">
        <x:v>North Corona</x:v>
      </x:c>
      <x:c r="F1760" s="31" t="n">
        <x:v>0.11030318207501148</x:v>
      </x:c>
      <x:c r="G1760" s="31" t="n">
        <x:v>40.75612654602855</x:v>
      </x:c>
      <x:c r="H1760" s="31" t="n">
        <x:v>-73.85766700601204</x:v>
      </x:c>
      <x:c r="I1760" s="31" t="n">
        <x:v>6966</x:v>
      </x:c>
      <x:c r="J1760" s="31" t="n">
        <x:v>63153.20980733615</x:v>
      </x:c>
      <x:c r="K1760" s="31"/>
      <x:c r="L1760" s="40"/>
      <x:c r="M1760" s="40"/>
      <x:c r="N1760" s="31" t="n">
        <x:v>502</x:v>
      </x:c>
      <x:c r="O1760" s="31" t="n">
        <x:v>1785</x:v>
      </x:c>
      <x:c r="P1760" s="31" t="n">
        <x:v>4.001066217732884</x:v>
      </x:c>
      <x:c r="Q1760" s="40" t="n">
        <x:v>0.07394957983193277</x:v>
      </x:c>
      <x:c r="R1760" s="40" t="n">
        <x:v>0.5574229691876751</x:v>
      </x:c>
      <x:c r="S1760" s="40" t="n">
        <x:v>0.17086834733893558</x:v>
      </x:c>
      <x:c r="T1760" s="31" t="n">
        <x:v>43.837427921785306</x:v>
      </x:c>
      <x:c r="U1760" s="31" t="n">
        <x:v>115.19</x:v>
      </x:c>
      <x:c r="V1760" s="31" t="n">
        <x:v>12</x:v>
      </x:c>
      <x:c r="W1760" s="31" t="n">
        <x:v>1.7226528854435832</x:v>
      </x:c>
      <x:c r="X1760" s="31" t="n">
        <x:v>4</x:v>
      </x:c>
      <x:c r="Y1760" s="40" t="n">
        <x:v>1</x:v>
      </x:c>
      <x:c r="Z1760" s="40" t="n">
        <x:v>1</x:v>
      </x:c>
      <x:c r="AA1760" s="40" t="n">
        <x:v>0.9915966386554622</x:v>
      </x:c>
      <x:c r="AB1760" s="31" t="n">
        <x:v>0.11369631016350089</x:v>
      </x:c>
      <x:c r="AC1760" s="31" t="n">
        <x:v>6</x:v>
      </x:c>
      <x:c r="AD1760" s="44" t="b">
        <x:v>1</x:v>
      </x:c>
    </x:row>
    <x:row r="1761">
      <x:c r="A1761" s="31" t="str">
        <x:v>36081038301</x:v>
      </x:c>
      <x:c r="B1761" s="31" t="str">
        <x:v>Queens</x:v>
      </x:c>
      <x:c r="C1761" s="31" t="str">
        <x:v>038301</x:v>
      </x:c>
      <x:c r="D1761" s="31" t="str">
        <x:v>QN0707</x:v>
      </x:c>
      <x:c r="E1761" s="31" t="str">
        <x:v>Flushing-Willets Point</x:v>
      </x:c>
      <x:c r="F1761" s="31" t="n">
        <x:v>0.2296432506646723</x:v>
      </x:c>
      <x:c r="G1761" s="31" t="n">
        <x:v>40.76063665762994</x:v>
      </x:c>
      <x:c r="H1761" s="31" t="n">
        <x:v>-73.84124850522193</x:v>
      </x:c>
      <x:c r="I1761" s="31" t="n">
        <x:v>2</x:v>
      </x:c>
      <x:c r="J1761" s="31" t="n">
        <x:v>8.709160814486218</x:v>
      </x:c>
      <x:c r="K1761" s="31"/>
      <x:c r="L1761" s="40"/>
      <x:c r="M1761" s="40"/>
      <x:c r="N1761" s="31" t="n">
        <x:v>7</x:v>
      </x:c>
      <x:c r="O1761" s="31" t="n">
        <x:v>7</x:v>
      </x:c>
      <x:c r="P1761" s="31"/>
      <x:c r="Q1761" s="40" t="n">
        <x:v>0</x:v>
      </x:c>
      <x:c r="R1761" s="40" t="n">
        <x:v>0</x:v>
      </x:c>
      <x:c r="S1761" s="40" t="n">
        <x:v>0</x:v>
      </x:c>
      <x:c r="T1761" s="31"/>
      <x:c r="U1761" s="31"/>
      <x:c r="V1761" s="31" t="n">
        <x:v>0</x:v>
      </x:c>
      <x:c r="W1761" s="31" t="n">
        <x:v>0</x:v>
      </x:c>
      <x:c r="X1761" s="31" t="n">
        <x:v>4</x:v>
      </x:c>
      <x:c r="Y1761" s="40" t="n">
        <x:v>1</x:v>
      </x:c>
      <x:c r="Z1761" s="40" t="n">
        <x:v>1</x:v>
      </x:c>
      <x:c r="AA1761" s="40" t="n">
        <x:v>0</x:v>
      </x:c>
      <x:c r="AB1761" s="31" t="n">
        <x:v>0.4785745863385527</x:v>
      </x:c>
      <x:c r="AC1761" s="31" t="n">
        <x:v>4</x:v>
      </x:c>
      <x:c r="AD1761" s="44" t="b">
        <x:v>1</x:v>
      </x:c>
    </x:row>
    <x:row r="1762">
      <x:c r="A1762" s="31" t="str">
        <x:v>36081038302</x:v>
      </x:c>
      <x:c r="B1762" s="31" t="str">
        <x:v>Queens</x:v>
      </x:c>
      <x:c r="C1762" s="31" t="str">
        <x:v>038302</x:v>
      </x:c>
      <x:c r="D1762" s="31" t="str">
        <x:v>QN8191</x:v>
      </x:c>
      <x:c r="E1762" s="31" t="str">
        <x:v>Flushing Meadows-Corona Park</x:v>
      </x:c>
      <x:c r="F1762" s="31" t="n">
        <x:v>1.9803099589251894</x:v>
      </x:c>
      <x:c r="G1762" s="31" t="n">
        <x:v>40.74054598481202</x:v>
      </x:c>
      <x:c r="H1762" s="31" t="n">
        <x:v>-73.84077046136758</x:v>
      </x:c>
      <x:c r="I1762" s="31" t="n">
        <x:v>44</x:v>
      </x:c>
      <x:c r="J1762" s="31" t="n">
        <x:v>22.218743990905818</x:v>
      </x:c>
      <x:c r="K1762" s="31"/>
      <x:c r="L1762" s="40"/>
      <x:c r="M1762" s="40"/>
      <x:c r="N1762" s="31" t="n">
        <x:v>0</x:v>
      </x:c>
      <x:c r="O1762" s="31"/>
      <x:c r="P1762" s="31"/>
      <x:c r="Q1762" s="40"/>
      <x:c r="R1762" s="40"/>
      <x:c r="S1762" s="40"/>
      <x:c r="T1762" s="31"/>
      <x:c r="U1762" s="31"/>
      <x:c r="V1762" s="31" t="n">
        <x:v>0</x:v>
      </x:c>
      <x:c r="W1762" s="31" t="n">
        <x:v>0</x:v>
      </x:c>
      <x:c r="X1762" s="31"/>
      <x:c r="Y1762" s="40"/>
      <x:c r="Z1762" s="40"/>
      <x:c r="AA1762" s="40"/>
      <x:c r="AB1762" s="31" t="n">
        <x:v>0.6653080968481406</x:v>
      </x:c>
      <x:c r="AC1762" s="31" t="n">
        <x:v>26</x:v>
      </x:c>
      <x:c r="AD1762" s="44" t="b">
        <x:v>0</x:v>
      </x:c>
    </x:row>
    <x:row r="1763">
      <x:c r="A1763" s="31" t="str">
        <x:v>36081038400</x:v>
      </x:c>
      <x:c r="B1763" s="31" t="str">
        <x:v>Queens</x:v>
      </x:c>
      <x:c r="C1763" s="31" t="str">
        <x:v>038400</x:v>
      </x:c>
      <x:c r="D1763" s="31" t="str">
        <x:v>QN1205</x:v>
      </x:c>
      <x:c r="E1763" s="31" t="str">
        <x:v>St. Albans</x:v>
      </x:c>
      <x:c r="F1763" s="31" t="n">
        <x:v>0.11502476169292356</x:v>
      </x:c>
      <x:c r="G1763" s="31" t="n">
        <x:v>40.69334434722792</x:v>
      </x:c>
      <x:c r="H1763" s="31" t="n">
        <x:v>-73.74763449304567</x:v>
      </x:c>
      <x:c r="I1763" s="31" t="n">
        <x:v>2720</x:v>
      </x:c>
      <x:c r="J1763" s="31" t="n">
        <x:v>23647.082245312205</x:v>
      </x:c>
      <x:c r="K1763" s="31"/>
      <x:c r="L1763" s="40"/>
      <x:c r="M1763" s="40"/>
      <x:c r="N1763" s="31" t="n">
        <x:v>624</x:v>
      </x:c>
      <x:c r="O1763" s="31" t="n">
        <x:v>855</x:v>
      </x:c>
      <x:c r="P1763" s="31" t="n">
        <x:v>1.9541871345029238</x:v>
      </x:c>
      <x:c r="Q1763" s="40" t="n">
        <x:v>0</x:v>
      </x:c>
      <x:c r="R1763" s="40" t="n">
        <x:v>0</x:v>
      </x:c>
      <x:c r="S1763" s="40" t="n">
        <x:v>0.0035087719298245615</x:v>
      </x:c>
      <x:c r="T1763" s="31" t="n">
        <x:v>25.495255310838253</x:v>
      </x:c>
      <x:c r="U1763" s="31" t="n">
        <x:v>35.93</x:v>
      </x:c>
      <x:c r="V1763" s="31" t="n">
        <x:v>2</x:v>
      </x:c>
      <x:c r="W1763" s="31" t="n">
        <x:v>0.7352941176470588</x:v>
      </x:c>
      <x:c r="X1763" s="31" t="n">
        <x:v>5</x:v>
      </x:c>
      <x:c r="Y1763" s="40" t="n">
        <x:v>1</x:v>
      </x:c>
      <x:c r="Z1763" s="40" t="n">
        <x:v>1</x:v>
      </x:c>
      <x:c r="AA1763" s="40" t="n">
        <x:v>0.9906432748538012</x:v>
      </x:c>
      <x:c r="AB1763" s="31" t="n">
        <x:v>0.35733355563578917</x:v>
      </x:c>
      <x:c r="AC1763" s="31" t="n">
        <x:v>7</x:v>
      </x:c>
      <x:c r="AD1763" s="44" t="b">
        <x:v>1</x:v>
      </x:c>
    </x:row>
    <x:row r="1764">
      <x:c r="A1764" s="31" t="str">
        <x:v>36081039400</x:v>
      </x:c>
      <x:c r="B1764" s="31" t="str">
        <x:v>Queens</x:v>
      </x:c>
      <x:c r="C1764" s="31" t="str">
        <x:v>039400</x:v>
      </x:c>
      <x:c r="D1764" s="31" t="str">
        <x:v>QN1205</x:v>
      </x:c>
      <x:c r="E1764" s="31" t="str">
        <x:v>St. Albans</x:v>
      </x:c>
      <x:c r="F1764" s="31" t="n">
        <x:v>0.13449100157971763</x:v>
      </x:c>
      <x:c r="G1764" s="31" t="n">
        <x:v>40.68963933201587</x:v>
      </x:c>
      <x:c r="H1764" s="31" t="n">
        <x:v>-73.75877967324341</x:v>
      </x:c>
      <x:c r="I1764" s="31" t="n">
        <x:v>3332</x:v>
      </x:c>
      <x:c r="J1764" s="31" t="n">
        <x:v>24774.89170920483</x:v>
      </x:c>
      <x:c r="K1764" s="31"/>
      <x:c r="L1764" s="40"/>
      <x:c r="M1764" s="40"/>
      <x:c r="N1764" s="31" t="n">
        <x:v>671</x:v>
      </x:c>
      <x:c r="O1764" s="31" t="n">
        <x:v>1053</x:v>
      </x:c>
      <x:c r="P1764" s="31" t="n">
        <x:v>2.3637488106565177</x:v>
      </x:c>
      <x:c r="Q1764" s="40" t="n">
        <x:v>0</x:v>
      </x:c>
      <x:c r="R1764" s="40" t="n">
        <x:v>0.0731244064577398</x:v>
      </x:c>
      <x:c r="S1764" s="40" t="n">
        <x:v>0.003798670465337132</x:v>
      </x:c>
      <x:c r="T1764" s="31" t="n">
        <x:v>29.071377147816968</x:v>
      </x:c>
      <x:c r="U1764" s="31" t="n">
        <x:v>55</x:v>
      </x:c>
      <x:c r="V1764" s="31" t="n">
        <x:v>3</x:v>
      </x:c>
      <x:c r="W1764" s="31" t="n">
        <x:v>0.900360144057623</x:v>
      </x:c>
      <x:c r="X1764" s="31" t="n">
        <x:v>5</x:v>
      </x:c>
      <x:c r="Y1764" s="40" t="n">
        <x:v>1</x:v>
      </x:c>
      <x:c r="Z1764" s="40" t="n">
        <x:v>1</x:v>
      </x:c>
      <x:c r="AA1764" s="40" t="n">
        <x:v>0.9962013295346629</x:v>
      </x:c>
      <x:c r="AB1764" s="31" t="n">
        <x:v>0.21160362978456773</x:v>
      </x:c>
      <x:c r="AC1764" s="31" t="n">
        <x:v>4</x:v>
      </x:c>
      <x:c r="AD1764" s="44" t="b">
        <x:v>1</x:v>
      </x:c>
    </x:row>
    <x:row r="1765">
      <x:c r="A1765" s="31" t="str">
        <x:v>36081039800</x:v>
      </x:c>
      <x:c r="B1765" s="31" t="str">
        <x:v>Queens</x:v>
      </x:c>
      <x:c r="C1765" s="31" t="str">
        <x:v>039800</x:v>
      </x:c>
      <x:c r="D1765" s="31" t="str">
        <x:v>QN1205</x:v>
      </x:c>
      <x:c r="E1765" s="31" t="str">
        <x:v>St. Albans</x:v>
      </x:c>
      <x:c r="F1765" s="31" t="n">
        <x:v>0.07752381141170225</x:v>
      </x:c>
      <x:c r="G1765" s="31" t="n">
        <x:v>40.69456541679203</x:v>
      </x:c>
      <x:c r="H1765" s="31" t="n">
        <x:v>-73.76480865124034</x:v>
      </x:c>
      <x:c r="I1765" s="31" t="n">
        <x:v>1688</x:v>
      </x:c>
      <x:c r="J1765" s="31" t="n">
        <x:v>21773.95524370717</x:v>
      </x:c>
      <x:c r="K1765" s="31"/>
      <x:c r="L1765" s="40"/>
      <x:c r="M1765" s="40"/>
      <x:c r="N1765" s="31" t="n">
        <x:v>358</x:v>
      </x:c>
      <x:c r="O1765" s="31" t="n">
        <x:v>486</x:v>
      </x:c>
      <x:c r="P1765" s="31" t="n">
        <x:v>2.2815637860082303</x:v>
      </x:c>
      <x:c r="Q1765" s="40" t="n">
        <x:v>0</x:v>
      </x:c>
      <x:c r="R1765" s="40" t="n">
        <x:v>0</x:v>
      </x:c>
      <x:c r="S1765" s="40" t="n">
        <x:v>0.018518518518518517</x:v>
      </x:c>
      <x:c r="T1765" s="31" t="n">
        <x:v>28.540012326604167</x:v>
      </x:c>
      <x:c r="U1765" s="31" t="n">
        <x:v>36.33</x:v>
      </x:c>
      <x:c r="V1765" s="31" t="n">
        <x:v>0</x:v>
      </x:c>
      <x:c r="W1765" s="31" t="n">
        <x:v>0</x:v>
      </x:c>
      <x:c r="X1765" s="31" t="n">
        <x:v>5</x:v>
      </x:c>
      <x:c r="Y1765" s="40" t="n">
        <x:v>1</x:v>
      </x:c>
      <x:c r="Z1765" s="40" t="n">
        <x:v>1</x:v>
      </x:c>
      <x:c r="AA1765" s="40" t="n">
        <x:v>0.9876543209876543</x:v>
      </x:c>
      <x:c r="AB1765" s="31" t="n">
        <x:v>0.23390880944803757</x:v>
      </x:c>
      <x:c r="AC1765" s="31" t="n">
        <x:v>7</x:v>
      </x:c>
      <x:c r="AD1765" s="44" t="b">
        <x:v>1</x:v>
      </x:c>
    </x:row>
    <x:row r="1766">
      <x:c r="A1766" s="31" t="str">
        <x:v>36081039901</x:v>
      </x:c>
      <x:c r="B1766" s="31" t="str">
        <x:v>Queens</x:v>
      </x:c>
      <x:c r="C1766" s="31" t="str">
        <x:v>039901</x:v>
      </x:c>
      <x:c r="D1766" s="31" t="str">
        <x:v>QN0402</x:v>
      </x:c>
      <x:c r="E1766" s="31" t="str">
        <x:v>Corona</x:v>
      </x:c>
      <x:c r="F1766" s="31" t="n">
        <x:v>0.040713576767318065</x:v>
      </x:c>
      <x:c r="G1766" s="31" t="n">
        <x:v>40.750769890310835</x:v>
      </x:c>
      <x:c r="H1766" s="31" t="n">
        <x:v>-73.85334013877696</x:v>
      </x:c>
      <x:c r="I1766" s="31" t="n">
        <x:v>2875</x:v>
      </x:c>
      <x:c r="J1766" s="31" t="n">
        <x:v>70615.26469243654</x:v>
      </x:c>
      <x:c r="K1766" s="31"/>
      <x:c r="L1766" s="40"/>
      <x:c r="M1766" s="40"/>
      <x:c r="N1766" s="31" t="n">
        <x:v>248</x:v>
      </x:c>
      <x:c r="O1766" s="31" t="n">
        <x:v>586</x:v>
      </x:c>
      <x:c r="P1766" s="31" t="n">
        <x:v>2.621872852233677</x:v>
      </x:c>
      <x:c r="Q1766" s="40" t="n">
        <x:v>0</x:v>
      </x:c>
      <x:c r="R1766" s="40" t="n">
        <x:v>0.42150170648464164</x:v>
      </x:c>
      <x:c r="S1766" s="40" t="n">
        <x:v>0.008532423208191127</x:v>
      </x:c>
      <x:c r="T1766" s="31" t="n">
        <x:v>29.292407486735396</x:v>
      </x:c>
      <x:c r="U1766" s="31" t="n">
        <x:v>61.14</x:v>
      </x:c>
      <x:c r="V1766" s="31" t="n">
        <x:v>1</x:v>
      </x:c>
      <x:c r="W1766" s="31" t="n">
        <x:v>0.3478260869565218</x:v>
      </x:c>
      <x:c r="X1766" s="31" t="n">
        <x:v>4</x:v>
      </x:c>
      <x:c r="Y1766" s="40" t="n">
        <x:v>1</x:v>
      </x:c>
      <x:c r="Z1766" s="40" t="n">
        <x:v>1</x:v>
      </x:c>
      <x:c r="AA1766" s="40" t="n">
        <x:v>0.9931740614334471</x:v>
      </x:c>
      <x:c r="AB1766" s="31" t="n">
        <x:v>0.3339650549947117</x:v>
      </x:c>
      <x:c r="AC1766" s="31" t="n">
        <x:v>5</x:v>
      </x:c>
      <x:c r="AD1766" s="44" t="b">
        <x:v>1</x:v>
      </x:c>
    </x:row>
    <x:row r="1767">
      <x:c r="A1767" s="31" t="str">
        <x:v>36081039902</x:v>
      </x:c>
      <x:c r="B1767" s="31" t="str">
        <x:v>Queens</x:v>
      </x:c>
      <x:c r="C1767" s="31" t="str">
        <x:v>039902</x:v>
      </x:c>
      <x:c r="D1767" s="31" t="str">
        <x:v>QN0303</x:v>
      </x:c>
      <x:c r="E1767" s="31" t="str">
        <x:v>North Corona</x:v>
      </x:c>
      <x:c r="F1767" s="31" t="n">
        <x:v>0.024446358256140954</x:v>
      </x:c>
      <x:c r="G1767" s="31" t="n">
        <x:v>40.753554323913754</x:v>
      </x:c>
      <x:c r="H1767" s="31" t="n">
        <x:v>-73.85397792685968</x:v>
      </x:c>
      <x:c r="I1767" s="31" t="n">
        <x:v>2285</x:v>
      </x:c>
      <x:c r="J1767" s="31" t="n">
        <x:v>93469.95474984522</x:v>
      </x:c>
      <x:c r="K1767" s="31"/>
      <x:c r="L1767" s="40"/>
      <x:c r="M1767" s="40"/>
      <x:c r="N1767" s="31" t="n">
        <x:v>76</x:v>
      </x:c>
      <x:c r="O1767" s="31" t="n">
        <x:v>725</x:v>
      </x:c>
      <x:c r="P1767" s="31" t="n">
        <x:v>5.024017467248909</x:v>
      </x:c>
      <x:c r="Q1767" s="40" t="n">
        <x:v>0</x:v>
      </x:c>
      <x:c r="R1767" s="40" t="n">
        <x:v>0.84</x:v>
      </x:c>
      <x:c r="S1767" s="40" t="n">
        <x:v>0.001379310344827586</x:v>
      </x:c>
      <x:c r="T1767" s="31" t="n">
        <x:v>42.92903050764272</x:v>
      </x:c>
      <x:c r="U1767" s="31" t="n">
        <x:v>61.11</x:v>
      </x:c>
      <x:c r="V1767" s="31" t="n">
        <x:v>8</x:v>
      </x:c>
      <x:c r="W1767" s="31" t="n">
        <x:v>3.50109409190372</x:v>
      </x:c>
      <x:c r="X1767" s="31" t="n">
        <x:v>4</x:v>
      </x:c>
      <x:c r="Y1767" s="40" t="n">
        <x:v>1</x:v>
      </x:c>
      <x:c r="Z1767" s="40" t="n">
        <x:v>1</x:v>
      </x:c>
      <x:c r="AA1767" s="40" t="n">
        <x:v>0.7489655172413793</x:v>
      </x:c>
      <x:c r="AB1767" s="31" t="n">
        <x:v>0.15129946555150872</x:v>
      </x:c>
      <x:c r="AC1767" s="31" t="n">
        <x:v>4</x:v>
      </x:c>
      <x:c r="AD1767" s="44" t="b">
        <x:v>1</x:v>
      </x:c>
    </x:row>
    <x:row r="1768">
      <x:c r="A1768" s="31" t="str">
        <x:v>36081040000</x:v>
      </x:c>
      <x:c r="B1768" s="31" t="str">
        <x:v>Queens</x:v>
      </x:c>
      <x:c r="C1768" s="31" t="str">
        <x:v>040000</x:v>
      </x:c>
      <x:c r="D1768" s="31" t="str">
        <x:v>QN1205</x:v>
      </x:c>
      <x:c r="E1768" s="31" t="str">
        <x:v>St. Albans</x:v>
      </x:c>
      <x:c r="F1768" s="31" t="n">
        <x:v>0.07578104248737373</x:v>
      </x:c>
      <x:c r="G1768" s="31" t="n">
        <x:v>40.698147636522975</x:v>
      </x:c>
      <x:c r="H1768" s="31" t="n">
        <x:v>-73.76486334256577</x:v>
      </x:c>
      <x:c r="I1768" s="31" t="n">
        <x:v>1474</x:v>
      </x:c>
      <x:c r="J1768" s="31" t="n">
        <x:v>19450.774911754357</x:v>
      </x:c>
      <x:c r="K1768" s="31"/>
      <x:c r="L1768" s="40"/>
      <x:c r="M1768" s="40"/>
      <x:c r="N1768" s="31" t="n">
        <x:v>336</x:v>
      </x:c>
      <x:c r="O1768" s="31" t="n">
        <x:v>430</x:v>
      </x:c>
      <x:c r="P1768" s="31" t="n">
        <x:v>2.3351162790697675</x:v>
      </x:c>
      <x:c r="Q1768" s="40" t="n">
        <x:v>0</x:v>
      </x:c>
      <x:c r="R1768" s="40" t="n">
        <x:v>0.05116279069767442</x:v>
      </x:c>
      <x:c r="S1768" s="40" t="n">
        <x:v>0.004651162790697674</x:v>
      </x:c>
      <x:c r="T1768" s="31" t="n">
        <x:v>28.44150831544186</x:v>
      </x:c>
      <x:c r="U1768" s="31" t="n">
        <x:v>35.22</x:v>
      </x:c>
      <x:c r="V1768" s="31" t="n">
        <x:v>0</x:v>
      </x:c>
      <x:c r="W1768" s="31" t="n">
        <x:v>0</x:v>
      </x:c>
      <x:c r="X1768" s="31" t="n">
        <x:v>5</x:v>
      </x:c>
      <x:c r="Y1768" s="40" t="n">
        <x:v>1</x:v>
      </x:c>
      <x:c r="Z1768" s="40" t="n">
        <x:v>1</x:v>
      </x:c>
      <x:c r="AA1768" s="40" t="n">
        <x:v>1</x:v>
      </x:c>
      <x:c r="AB1768" s="31" t="n">
        <x:v>0.3586132578038663</x:v>
      </x:c>
      <x:c r="AC1768" s="31" t="n">
        <x:v>4</x:v>
      </x:c>
      <x:c r="AD1768" s="44" t="b">
        <x:v>1</x:v>
      </x:c>
    </x:row>
    <x:row r="1769">
      <x:c r="A1769" s="31" t="str">
        <x:v>36081040101</x:v>
      </x:c>
      <x:c r="B1769" s="31" t="str">
        <x:v>Queens</x:v>
      </x:c>
      <x:c r="C1769" s="31" t="str">
        <x:v>040101</x:v>
      </x:c>
      <x:c r="D1769" s="31" t="str">
        <x:v>QN0402</x:v>
      </x:c>
      <x:c r="E1769" s="31" t="str">
        <x:v>Corona</x:v>
      </x:c>
      <x:c r="F1769" s="31" t="n">
        <x:v>0.03340808207762999</x:v>
      </x:c>
      <x:c r="G1769" s="31" t="n">
        <x:v>40.74977878438225</x:v>
      </x:c>
      <x:c r="H1769" s="31" t="n">
        <x:v>-73.85659375420339</x:v>
      </x:c>
      <x:c r="I1769" s="31" t="n">
        <x:v>2847</x:v>
      </x:c>
      <x:c r="J1769" s="31" t="n">
        <x:v>85218.89982742672</x:v>
      </x:c>
      <x:c r="K1769" s="31"/>
      <x:c r="L1769" s="40"/>
      <x:c r="M1769" s="40"/>
      <x:c r="N1769" s="31" t="n">
        <x:v>236</x:v>
      </x:c>
      <x:c r="O1769" s="31" t="n">
        <x:v>715</x:v>
      </x:c>
      <x:c r="P1769" s="31" t="n">
        <x:v>2.7885874125874124</x:v>
      </x:c>
      <x:c r="Q1769" s="40" t="n">
        <x:v>0</x:v>
      </x:c>
      <x:c r="R1769" s="40" t="n">
        <x:v>0.5916083916083916</x:v>
      </x:c>
      <x:c r="S1769" s="40" t="n">
        <x:v>0.005594405594405594</x:v>
      </x:c>
      <x:c r="T1769" s="31" t="n">
        <x:v>30.90309069074928</x:v>
      </x:c>
      <x:c r="U1769" s="31" t="n">
        <x:v>48.22331393</x:v>
      </x:c>
      <x:c r="V1769" s="31" t="n">
        <x:v>2</x:v>
      </x:c>
      <x:c r="W1769" s="31" t="n">
        <x:v>0.7024938531787847</x:v>
      </x:c>
      <x:c r="X1769" s="31" t="n">
        <x:v>4</x:v>
      </x:c>
      <x:c r="Y1769" s="40" t="n">
        <x:v>1</x:v>
      </x:c>
      <x:c r="Z1769" s="40" t="n">
        <x:v>1</x:v>
      </x:c>
      <x:c r="AA1769" s="40" t="n">
        <x:v>0.9706293706293706</x:v>
      </x:c>
      <x:c r="AB1769" s="31" t="n">
        <x:v>0.21687386407553672</x:v>
      </x:c>
      <x:c r="AC1769" s="31" t="n">
        <x:v>6</x:v>
      </x:c>
      <x:c r="AD1769" s="44" t="b">
        <x:v>1</x:v>
      </x:c>
    </x:row>
    <x:row r="1770">
      <x:c r="A1770" s="31" t="str">
        <x:v>36081040102</x:v>
      </x:c>
      <x:c r="B1770" s="31" t="str">
        <x:v>Queens</x:v>
      </x:c>
      <x:c r="C1770" s="31" t="str">
        <x:v>040102</x:v>
      </x:c>
      <x:c r="D1770" s="31" t="str">
        <x:v>QN0303</x:v>
      </x:c>
      <x:c r="E1770" s="31" t="str">
        <x:v>North Corona</x:v>
      </x:c>
      <x:c r="F1770" s="31" t="n">
        <x:v>0.047923881641342404</x:v>
      </x:c>
      <x:c r="G1770" s="31" t="n">
        <x:v>40.75268311388014</x:v>
      </x:c>
      <x:c r="H1770" s="31" t="n">
        <x:v>-73.85746192585769</x:v>
      </x:c>
      <x:c r="I1770" s="31" t="n">
        <x:v>4808</x:v>
      </x:c>
      <x:c r="J1770" s="31" t="n">
        <x:v>100325.76317549979</x:v>
      </x:c>
      <x:c r="K1770" s="31"/>
      <x:c r="L1770" s="40"/>
      <x:c r="M1770" s="40"/>
      <x:c r="N1770" s="31" t="n">
        <x:v>296</x:v>
      </x:c>
      <x:c r="O1770" s="31" t="n">
        <x:v>1167</x:v>
      </x:c>
      <x:c r="P1770" s="31" t="n">
        <x:v>3.223909973521624</x:v>
      </x:c>
      <x:c r="Q1770" s="40" t="n">
        <x:v>0</x:v>
      </x:c>
      <x:c r="R1770" s="40" t="n">
        <x:v>0.49700085689802914</x:v>
      </x:c>
      <x:c r="S1770" s="40" t="n">
        <x:v>0.08997429305912596</x:v>
      </x:c>
      <x:c r="T1770" s="31" t="n">
        <x:v>36.685259434755785</x:v>
      </x:c>
      <x:c r="U1770" s="31" t="n">
        <x:v>66</x:v>
      </x:c>
      <x:c r="V1770" s="31" t="n">
        <x:v>11</x:v>
      </x:c>
      <x:c r="W1770" s="31" t="n">
        <x:v>2.2878535773710484</x:v>
      </x:c>
      <x:c r="X1770" s="31" t="n">
        <x:v>4</x:v>
      </x:c>
      <x:c r="Y1770" s="40" t="n">
        <x:v>1</x:v>
      </x:c>
      <x:c r="Z1770" s="40" t="n">
        <x:v>1</x:v>
      </x:c>
      <x:c r="AA1770" s="40" t="n">
        <x:v>1</x:v>
      </x:c>
      <x:c r="AB1770" s="31" t="n">
        <x:v>0.1936753389628454</x:v>
      </x:c>
      <x:c r="AC1770" s="31" t="n">
        <x:v>6</x:v>
      </x:c>
      <x:c r="AD1770" s="44" t="b">
        <x:v>1</x:v>
      </x:c>
    </x:row>
    <x:row r="1771">
      <x:c r="A1771" s="31" t="str">
        <x:v>36081040200</x:v>
      </x:c>
      <x:c r="B1771" s="31" t="str">
        <x:v>Queens</x:v>
      </x:c>
      <x:c r="C1771" s="31" t="str">
        <x:v>040200</x:v>
      </x:c>
      <x:c r="D1771" s="31" t="str">
        <x:v>QN1205</x:v>
      </x:c>
      <x:c r="E1771" s="31" t="str">
        <x:v>St. Albans</x:v>
      </x:c>
      <x:c r="F1771" s="31" t="n">
        <x:v>0.0843824925232438</x:v>
      </x:c>
      <x:c r="G1771" s="31" t="n">
        <x:v>40.70003354228178</x:v>
      </x:c>
      <x:c r="H1771" s="31" t="n">
        <x:v>-73.76876456489792</x:v>
      </x:c>
      <x:c r="I1771" s="31" t="n">
        <x:v>1474</x:v>
      </x:c>
      <x:c r="J1771" s="31" t="n">
        <x:v>17468.078459450287</x:v>
      </x:c>
      <x:c r="K1771" s="31"/>
      <x:c r="L1771" s="40"/>
      <x:c r="M1771" s="40"/>
      <x:c r="N1771" s="31" t="n">
        <x:v>363</x:v>
      </x:c>
      <x:c r="O1771" s="31" t="n">
        <x:v>439</x:v>
      </x:c>
      <x:c r="P1771" s="31" t="n">
        <x:v>1.9213211845102507</x:v>
      </x:c>
      <x:c r="Q1771" s="40" t="n">
        <x:v>0</x:v>
      </x:c>
      <x:c r="R1771" s="40" t="n">
        <x:v>0</x:v>
      </x:c>
      <x:c r="S1771" s="40" t="n">
        <x:v>0.002277904328018223</x:v>
      </x:c>
      <x:c r="T1771" s="31" t="n">
        <x:v>25.930548870660594</x:v>
      </x:c>
      <x:c r="U1771" s="31" t="n">
        <x:v>34.57</x:v>
      </x:c>
      <x:c r="V1771" s="31" t="n">
        <x:v>0</x:v>
      </x:c>
      <x:c r="W1771" s="31" t="n">
        <x:v>0</x:v>
      </x:c>
      <x:c r="X1771" s="31" t="n">
        <x:v>5</x:v>
      </x:c>
      <x:c r="Y1771" s="40" t="n">
        <x:v>1</x:v>
      </x:c>
      <x:c r="Z1771" s="40" t="n">
        <x:v>1</x:v>
      </x:c>
      <x:c r="AA1771" s="40" t="n">
        <x:v>1</x:v>
      </x:c>
      <x:c r="AB1771" s="31" t="n">
        <x:v>0.29067945678522705</x:v>
      </x:c>
      <x:c r="AC1771" s="31" t="n">
        <x:v>7</x:v>
      </x:c>
      <x:c r="AD1771" s="44" t="b">
        <x:v>1</x:v>
      </x:c>
    </x:row>
    <x:row r="1772">
      <x:c r="A1772" s="31" t="str">
        <x:v>36081040301</x:v>
      </x:c>
      <x:c r="B1772" s="31" t="str">
        <x:v>Queens</x:v>
      </x:c>
      <x:c r="C1772" s="31" t="str">
        <x:v>040301</x:v>
      </x:c>
      <x:c r="D1772" s="31" t="str">
        <x:v>QN0402</x:v>
      </x:c>
      <x:c r="E1772" s="31" t="str">
        <x:v>Corona</x:v>
      </x:c>
      <x:c r="F1772" s="31" t="n">
        <x:v>0.03372147869210571</x:v>
      </x:c>
      <x:c r="G1772" s="31" t="n">
        <x:v>40.74891571009717</x:v>
      </x:c>
      <x:c r="H1772" s="31" t="n">
        <x:v>-73.85952638535235</x:v>
      </x:c>
      <x:c r="I1772" s="31" t="n">
        <x:v>2768</x:v>
      </x:c>
      <x:c r="J1772" s="31" t="n">
        <x:v>82084.18216986422</x:v>
      </x:c>
      <x:c r="K1772" s="31"/>
      <x:c r="L1772" s="40"/>
      <x:c r="M1772" s="40"/>
      <x:c r="N1772" s="31" t="n">
        <x:v>191</x:v>
      </x:c>
      <x:c r="O1772" s="31" t="n">
        <x:v>612</x:v>
      </x:c>
      <x:c r="P1772" s="31" t="n">
        <x:v>2.8656716417910446</x:v>
      </x:c>
      <x:c r="Q1772" s="40" t="n">
        <x:v>0</x:v>
      </x:c>
      <x:c r="R1772" s="40" t="n">
        <x:v>0.5571895424836601</x:v>
      </x:c>
      <x:c r="S1772" s="40" t="n">
        <x:v>0.0196078431372549</x:v>
      </x:c>
      <x:c r="T1772" s="31" t="n">
        <x:v>32.134516192845396</x:v>
      </x:c>
      <x:c r="U1772" s="31" t="n">
        <x:v>59</x:v>
      </x:c>
      <x:c r="V1772" s="31" t="n">
        <x:v>2</x:v>
      </x:c>
      <x:c r="W1772" s="31" t="n">
        <x:v>0.722543352601156</x:v>
      </x:c>
      <x:c r="X1772" s="31" t="n">
        <x:v>4</x:v>
      </x:c>
      <x:c r="Y1772" s="40" t="n">
        <x:v>1</x:v>
      </x:c>
      <x:c r="Z1772" s="40" t="n">
        <x:v>1</x:v>
      </x:c>
      <x:c r="AA1772" s="40" t="n">
        <x:v>0.9934640522875817</x:v>
      </x:c>
      <x:c r="AB1772" s="31" t="n">
        <x:v>0.05696670681749257</x:v>
      </x:c>
      <x:c r="AC1772" s="31" t="n">
        <x:v>7</x:v>
      </x:c>
      <x:c r="AD1772" s="44" t="b">
        <x:v>1</x:v>
      </x:c>
    </x:row>
    <x:row r="1773">
      <x:c r="A1773" s="31" t="str">
        <x:v>36081040302</x:v>
      </x:c>
      <x:c r="B1773" s="31" t="str">
        <x:v>Queens</x:v>
      </x:c>
      <x:c r="C1773" s="31" t="str">
        <x:v>040302</x:v>
      </x:c>
      <x:c r="D1773" s="31" t="str">
        <x:v>QN0303</x:v>
      </x:c>
      <x:c r="E1773" s="31" t="str">
        <x:v>North Corona</x:v>
      </x:c>
      <x:c r="F1773" s="31" t="n">
        <x:v>0.04294702721354167</x:v>
      </x:c>
      <x:c r="G1773" s="31" t="n">
        <x:v>40.75204903535339</x:v>
      </x:c>
      <x:c r="H1773" s="31" t="n">
        <x:v>-73.86116409508863</x:v>
      </x:c>
      <x:c r="I1773" s="31" t="n">
        <x:v>4760</x:v>
      </x:c>
      <x:c r="J1773" s="31" t="n">
        <x:v>110834.2138870818</x:v>
      </x:c>
      <x:c r="K1773" s="31"/>
      <x:c r="L1773" s="40"/>
      <x:c r="M1773" s="40"/>
      <x:c r="N1773" s="31" t="n">
        <x:v>274</x:v>
      </x:c>
      <x:c r="O1773" s="31" t="n">
        <x:v>1005</x:v>
      </x:c>
      <x:c r="P1773" s="31" t="n">
        <x:v>3.193006012024048</x:v>
      </x:c>
      <x:c r="Q1773" s="40" t="n">
        <x:v>0</x:v>
      </x:c>
      <x:c r="R1773" s="40" t="n">
        <x:v>0.6248756218905472</x:v>
      </x:c>
      <x:c r="S1773" s="40" t="n">
        <x:v>0.001990049751243781</x:v>
      </x:c>
      <x:c r="T1773" s="31" t="n">
        <x:v>35.59842997459</x:v>
      </x:c>
      <x:c r="U1773" s="31" t="n">
        <x:v>59.7047153</x:v>
      </x:c>
      <x:c r="V1773" s="31" t="n">
        <x:v>15</x:v>
      </x:c>
      <x:c r="W1773" s="31" t="n">
        <x:v>3.1512605042016806</x:v>
      </x:c>
      <x:c r="X1773" s="31" t="n">
        <x:v>4</x:v>
      </x:c>
      <x:c r="Y1773" s="40" t="n">
        <x:v>1</x:v>
      </x:c>
      <x:c r="Z1773" s="40" t="n">
        <x:v>1</x:v>
      </x:c>
      <x:c r="AA1773" s="40" t="n">
        <x:v>0.9950248756218906</x:v>
      </x:c>
      <x:c r="AB1773" s="31" t="n">
        <x:v>0.09023030513429021</x:v>
      </x:c>
      <x:c r="AC1773" s="31" t="n">
        <x:v>7</x:v>
      </x:c>
      <x:c r="AD1773" s="44" t="b">
        <x:v>1</x:v>
      </x:c>
    </x:row>
    <x:row r="1774">
      <x:c r="A1774" s="31" t="str">
        <x:v>36081040400</x:v>
      </x:c>
      <x:c r="B1774" s="31" t="str">
        <x:v>Queens</x:v>
      </x:c>
      <x:c r="C1774" s="31" t="str">
        <x:v>040400</x:v>
      </x:c>
      <x:c r="D1774" s="31" t="str">
        <x:v>QN1205</x:v>
      </x:c>
      <x:c r="E1774" s="31" t="str">
        <x:v>St. Albans</x:v>
      </x:c>
      <x:c r="F1774" s="31" t="n">
        <x:v>0.18267832179823806</x:v>
      </x:c>
      <x:c r="G1774" s="31" t="n">
        <x:v>40.70515293326556</x:v>
      </x:c>
      <x:c r="H1774" s="31" t="n">
        <x:v>-73.77078143061765</x:v>
      </x:c>
      <x:c r="I1774" s="31" t="n">
        <x:v>4270</x:v>
      </x:c>
      <x:c r="J1774" s="31" t="n">
        <x:v>23374.420992963074</x:v>
      </x:c>
      <x:c r="K1774" s="31"/>
      <x:c r="L1774" s="40"/>
      <x:c r="M1774" s="40"/>
      <x:c r="N1774" s="31" t="n">
        <x:v>838</x:v>
      </x:c>
      <x:c r="O1774" s="31" t="n">
        <x:v>1302</x:v>
      </x:c>
      <x:c r="P1774" s="31" t="n">
        <x:v>1.9182872503840247</x:v>
      </x:c>
      <x:c r="Q1774" s="40" t="n">
        <x:v>0</x:v>
      </x:c>
      <x:c r="R1774" s="40" t="n">
        <x:v>0.004608294930875576</x:v>
      </x:c>
      <x:c r="S1774" s="40" t="n">
        <x:v>0.2403993855606759</x:v>
      </x:c>
      <x:c r="T1774" s="31" t="n">
        <x:v>23.956244656443417</x:v>
      </x:c>
      <x:c r="U1774" s="31" t="n">
        <x:v>38.02</x:v>
      </x:c>
      <x:c r="V1774" s="31" t="n">
        <x:v>0</x:v>
      </x:c>
      <x:c r="W1774" s="31" t="n">
        <x:v>0</x:v>
      </x:c>
      <x:c r="X1774" s="31" t="n">
        <x:v>4.559907834101383</x:v>
      </x:c>
      <x:c r="Y1774" s="40" t="n">
        <x:v>1</x:v>
      </x:c>
      <x:c r="Z1774" s="40" t="n">
        <x:v>1</x:v>
      </x:c>
      <x:c r="AA1774" s="40" t="n">
        <x:v>0.9976958525345622</x:v>
      </x:c>
      <x:c r="AB1774" s="31" t="n">
        <x:v>0.31293051898171803</x:v>
      </x:c>
      <x:c r="AC1774" s="31" t="n">
        <x:v>6</x:v>
      </x:c>
      <x:c r="AD1774" s="44" t="b">
        <x:v>1</x:v>
      </x:c>
    </x:row>
    <x:row r="1775">
      <x:c r="A1775" s="31" t="str">
        <x:v>36081040501</x:v>
      </x:c>
      <x:c r="B1775" s="31" t="str">
        <x:v>Queens</x:v>
      </x:c>
      <x:c r="C1775" s="31" t="str">
        <x:v>040501</x:v>
      </x:c>
      <x:c r="D1775" s="31" t="str">
        <x:v>QN0402</x:v>
      </x:c>
      <x:c r="E1775" s="31" t="str">
        <x:v>Corona</x:v>
      </x:c>
      <x:c r="F1775" s="31" t="n">
        <x:v>0.02758960856656049</x:v>
      </x:c>
      <x:c r="G1775" s="31" t="n">
        <x:v>40.74834905385145</x:v>
      </x:c>
      <x:c r="H1775" s="31" t="n">
        <x:v>-73.8622227256238</x:v>
      </x:c>
      <x:c r="I1775" s="31" t="n">
        <x:v>1183</x:v>
      </x:c>
      <x:c r="J1775" s="31" t="n">
        <x:v>42878.46263371184</x:v>
      </x:c>
      <x:c r="K1775" s="31"/>
      <x:c r="L1775" s="40"/>
      <x:c r="M1775" s="40"/>
      <x:c r="N1775" s="31" t="n">
        <x:v>80</x:v>
      </x:c>
      <x:c r="O1775" s="31" t="n">
        <x:v>273</x:v>
      </x:c>
      <x:c r="P1775" s="31" t="n">
        <x:v>2.9661172161172162</x:v>
      </x:c>
      <x:c r="Q1775" s="40" t="n">
        <x:v>0</x:v>
      </x:c>
      <x:c r="R1775" s="40" t="n">
        <x:v>0.652014652014652</x:v>
      </x:c>
      <x:c r="S1775" s="40" t="n">
        <x:v>0</x:v>
      </x:c>
      <x:c r="T1775" s="31" t="n">
        <x:v>35.046722399743594</x:v>
      </x:c>
      <x:c r="U1775" s="31" t="n">
        <x:v>53</x:v>
      </x:c>
      <x:c r="V1775" s="31" t="n">
        <x:v>2</x:v>
      </x:c>
      <x:c r="W1775" s="31" t="n">
        <x:v>1.6906170752324599</x:v>
      </x:c>
      <x:c r="X1775" s="31" t="n">
        <x:v>4</x:v>
      </x:c>
      <x:c r="Y1775" s="40" t="n">
        <x:v>1</x:v>
      </x:c>
      <x:c r="Z1775" s="40" t="n">
        <x:v>1</x:v>
      </x:c>
      <x:c r="AA1775" s="40" t="n">
        <x:v>1</x:v>
      </x:c>
      <x:c r="AB1775" s="31" t="n">
        <x:v>0.0966912357294255</x:v>
      </x:c>
      <x:c r="AC1775" s="31" t="n">
        <x:v>6</x:v>
      </x:c>
      <x:c r="AD1775" s="44" t="b">
        <x:v>1</x:v>
      </x:c>
    </x:row>
    <x:row r="1776">
      <x:c r="A1776" s="31" t="str">
        <x:v>36081040502</x:v>
      </x:c>
      <x:c r="B1776" s="31" t="str">
        <x:v>Queens</x:v>
      </x:c>
      <x:c r="C1776" s="31" t="str">
        <x:v>040502</x:v>
      </x:c>
      <x:c r="D1776" s="31" t="str">
        <x:v>QN0303</x:v>
      </x:c>
      <x:c r="E1776" s="31" t="str">
        <x:v>North Corona</x:v>
      </x:c>
      <x:c r="F1776" s="31" t="n">
        <x:v>0.02239884553421287</x:v>
      </x:c>
      <x:c r="G1776" s="31" t="n">
        <x:v>40.75173670335618</x:v>
      </x:c>
      <x:c r="H1776" s="31" t="n">
        <x:v>-73.86361199760711</x:v>
      </x:c>
      <x:c r="I1776" s="31" t="n">
        <x:v>2175</x:v>
      </x:c>
      <x:c r="J1776" s="31" t="n">
        <x:v>97103.21885464233</x:v>
      </x:c>
      <x:c r="K1776" s="31"/>
      <x:c r="L1776" s="40"/>
      <x:c r="M1776" s="40"/>
      <x:c r="N1776" s="31" t="n">
        <x:v>136</x:v>
      </x:c>
      <x:c r="O1776" s="31" t="n">
        <x:v>543</x:v>
      </x:c>
      <x:c r="P1776" s="31" t="n">
        <x:v>2.965930018416206</x:v>
      </x:c>
      <x:c r="Q1776" s="40" t="n">
        <x:v>0</x:v>
      </x:c>
      <x:c r="R1776" s="40" t="n">
        <x:v>0.6187845303867403</x:v>
      </x:c>
      <x:c r="S1776" s="40" t="n">
        <x:v>0.011049723756906077</x:v>
      </x:c>
      <x:c r="T1776" s="31" t="n">
        <x:v>31.957383288261685</x:v>
      </x:c>
      <x:c r="U1776" s="31" t="n">
        <x:v>55</x:v>
      </x:c>
      <x:c r="V1776" s="31" t="n">
        <x:v>2</x:v>
      </x:c>
      <x:c r="W1776" s="31" t="n">
        <x:v>0.9195402298850575</x:v>
      </x:c>
      <x:c r="X1776" s="31" t="n">
        <x:v>4</x:v>
      </x:c>
      <x:c r="Y1776" s="40" t="n">
        <x:v>1</x:v>
      </x:c>
      <x:c r="Z1776" s="40" t="n">
        <x:v>1</x:v>
      </x:c>
      <x:c r="AA1776" s="40" t="n">
        <x:v>0.9852670349907919</x:v>
      </x:c>
      <x:c r="AB1776" s="31" t="n">
        <x:v>0.10326292817977693</x:v>
      </x:c>
      <x:c r="AC1776" s="31" t="n">
        <x:v>5</x:v>
      </x:c>
      <x:c r="AD1776" s="44" t="b">
        <x:v>1</x:v>
      </x:c>
    </x:row>
    <x:row r="1777">
      <x:c r="A1777" s="31" t="str">
        <x:v>36081040701</x:v>
      </x:c>
      <x:c r="B1777" s="31" t="str">
        <x:v>Queens</x:v>
      </x:c>
      <x:c r="C1777" s="31" t="str">
        <x:v>040701</x:v>
      </x:c>
      <x:c r="D1777" s="31" t="str">
        <x:v>QN0402</x:v>
      </x:c>
      <x:c r="E1777" s="31" t="str">
        <x:v>Corona</x:v>
      </x:c>
      <x:c r="F1777" s="31" t="n">
        <x:v>0.02720244474184315</x:v>
      </x:c>
      <x:c r="G1777" s="31" t="n">
        <x:v>40.748050667723724</x:v>
      </x:c>
      <x:c r="H1777" s="31" t="n">
        <x:v>-73.86449419312731</x:v>
      </x:c>
      <x:c r="I1777" s="31" t="n">
        <x:v>3162</x:v>
      </x:c>
      <x:c r="J1777" s="31" t="n">
        <x:v>116239.55236406275</x:v>
      </x:c>
      <x:c r="K1777" s="31"/>
      <x:c r="L1777" s="40"/>
      <x:c r="M1777" s="40"/>
      <x:c r="N1777" s="31" t="n">
        <x:v>153</x:v>
      </x:c>
      <x:c r="O1777" s="31" t="n">
        <x:v>811</x:v>
      </x:c>
      <x:c r="P1777" s="31" t="n">
        <x:v>3.3353535353535353</x:v>
      </x:c>
      <x:c r="Q1777" s="40" t="n">
        <x:v>0</x:v>
      </x:c>
      <x:c r="R1777" s="40" t="n">
        <x:v>0.8532675709001233</x:v>
      </x:c>
      <x:c r="S1777" s="40" t="n">
        <x:v>0.018495684340320593</x:v>
      </x:c>
      <x:c r="T1777" s="31" t="n">
        <x:v>38.8294108354703</x:v>
      </x:c>
      <x:c r="U1777" s="31" t="n">
        <x:v>56.93</x:v>
      </x:c>
      <x:c r="V1777" s="31" t="n">
        <x:v>3</x:v>
      </x:c>
      <x:c r="W1777" s="31" t="n">
        <x:v>0.9487666034155597</x:v>
      </x:c>
      <x:c r="X1777" s="31" t="n">
        <x:v>4</x:v>
      </x:c>
      <x:c r="Y1777" s="40" t="n">
        <x:v>1</x:v>
      </x:c>
      <x:c r="Z1777" s="40" t="n">
        <x:v>1</x:v>
      </x:c>
      <x:c r="AA1777" s="40" t="n">
        <x:v>0.9963008631319359</x:v>
      </x:c>
      <x:c r="AB1777" s="31" t="n">
        <x:v>0.10316035336252762</x:v>
      </x:c>
      <x:c r="AC1777" s="31" t="n">
        <x:v>6</x:v>
      </x:c>
      <x:c r="AD1777" s="44" t="b">
        <x:v>1</x:v>
      </x:c>
    </x:row>
    <x:row r="1778">
      <x:c r="A1778" s="31" t="str">
        <x:v>36081040702</x:v>
      </x:c>
      <x:c r="B1778" s="31" t="str">
        <x:v>Queens</x:v>
      </x:c>
      <x:c r="C1778" s="31" t="str">
        <x:v>040702</x:v>
      </x:c>
      <x:c r="D1778" s="31" t="str">
        <x:v>QN0303</x:v>
      </x:c>
      <x:c r="E1778" s="31" t="str">
        <x:v>North Corona</x:v>
      </x:c>
      <x:c r="F1778" s="31" t="n">
        <x:v>0.04983836696869261</x:v>
      </x:c>
      <x:c r="G1778" s="31" t="n">
        <x:v>40.751654969604665</x:v>
      </x:c>
      <x:c r="H1778" s="31" t="n">
        <x:v>-73.86622519696242</x:v>
      </x:c>
      <x:c r="I1778" s="31" t="n">
        <x:v>5131</x:v>
      </x:c>
      <x:c r="J1778" s="31" t="n">
        <x:v>102952.81150008756</x:v>
      </x:c>
      <x:c r="K1778" s="31"/>
      <x:c r="L1778" s="40"/>
      <x:c r="M1778" s="40"/>
      <x:c r="N1778" s="31" t="n">
        <x:v>375</x:v>
      </x:c>
      <x:c r="O1778" s="31" t="n">
        <x:v>979</x:v>
      </x:c>
      <x:c r="P1778" s="31" t="n">
        <x:v>2.508471204188482</x:v>
      </x:c>
      <x:c r="Q1778" s="40" t="n">
        <x:v>0</x:v>
      </x:c>
      <x:c r="R1778" s="40" t="n">
        <x:v>0.3442288049029622</x:v>
      </x:c>
      <x:c r="S1778" s="40" t="n">
        <x:v>0.028600612870275793</x:v>
      </x:c>
      <x:c r="T1778" s="31" t="n">
        <x:v>30.06784123108274</x:v>
      </x:c>
      <x:c r="U1778" s="31" t="n">
        <x:v>53</x:v>
      </x:c>
      <x:c r="V1778" s="31" t="n">
        <x:v>12</x:v>
      </x:c>
      <x:c r="W1778" s="31" t="n">
        <x:v>2.3387253946599107</x:v>
      </x:c>
      <x:c r="X1778" s="31" t="n">
        <x:v>4</x:v>
      </x:c>
      <x:c r="Y1778" s="40" t="n">
        <x:v>1</x:v>
      </x:c>
      <x:c r="Z1778" s="40" t="n">
        <x:v>1</x:v>
      </x:c>
      <x:c r="AA1778" s="40" t="n">
        <x:v>1</x:v>
      </x:c>
      <x:c r="AB1778" s="31" t="n">
        <x:v>0.17262718660232443</x:v>
      </x:c>
      <x:c r="AC1778" s="31" t="n">
        <x:v>7</x:v>
      </x:c>
      <x:c r="AD1778" s="44" t="b">
        <x:v>1</x:v>
      </x:c>
    </x:row>
    <x:row r="1779">
      <x:c r="A1779" s="31" t="str">
        <x:v>36081040901</x:v>
      </x:c>
      <x:c r="B1779" s="31" t="str">
        <x:v>Queens</x:v>
      </x:c>
      <x:c r="C1779" s="31" t="str">
        <x:v>040901</x:v>
      </x:c>
      <x:c r="D1779" s="31" t="str">
        <x:v>QN0402</x:v>
      </x:c>
      <x:c r="E1779" s="31" t="str">
        <x:v>Corona</x:v>
      </x:c>
      <x:c r="F1779" s="31" t="n">
        <x:v>0.02735817325571051</x:v>
      </x:c>
      <x:c r="G1779" s="31" t="n">
        <x:v>40.747501596911874</x:v>
      </x:c>
      <x:c r="H1779" s="31" t="n">
        <x:v>-73.86627181276717</x:v>
      </x:c>
      <x:c r="I1779" s="31" t="n">
        <x:v>1951</x:v>
      </x:c>
      <x:c r="J1779" s="31" t="n">
        <x:v>71313.24090115428</x:v>
      </x:c>
      <x:c r="K1779" s="31"/>
      <x:c r="L1779" s="40"/>
      <x:c r="M1779" s="40"/>
      <x:c r="N1779" s="31" t="n">
        <x:v>132</x:v>
      </x:c>
      <x:c r="O1779" s="31" t="n">
        <x:v>448</x:v>
      </x:c>
      <x:c r="P1779" s="31" t="n">
        <x:v>2.6449553571428575</x:v>
      </x:c>
      <x:c r="Q1779" s="40" t="n">
        <x:v>0</x:v>
      </x:c>
      <x:c r="R1779" s="40" t="n">
        <x:v>0.44419642857142855</x:v>
      </x:c>
      <x:c r="S1779" s="40" t="n">
        <x:v>0</x:v>
      </x:c>
      <x:c r="T1779" s="31" t="n">
        <x:v>29.776875</x:v>
      </x:c>
      <x:c r="U1779" s="31" t="n">
        <x:v>46.06</x:v>
      </x:c>
      <x:c r="V1779" s="31" t="n">
        <x:v>1</x:v>
      </x:c>
      <x:c r="W1779" s="31" t="n">
        <x:v>0.5125576627370579</x:v>
      </x:c>
      <x:c r="X1779" s="31" t="n">
        <x:v>4</x:v>
      </x:c>
      <x:c r="Y1779" s="40" t="n">
        <x:v>1</x:v>
      </x:c>
      <x:c r="Z1779" s="40" t="n">
        <x:v>1</x:v>
      </x:c>
      <x:c r="AA1779" s="40" t="n">
        <x:v>1</x:v>
      </x:c>
      <x:c r="AB1779" s="31" t="n">
        <x:v>0.11134205694690194</x:v>
      </x:c>
      <x:c r="AC1779" s="31" t="n">
        <x:v>7</x:v>
      </x:c>
      <x:c r="AD1779" s="44" t="b">
        <x:v>1</x:v>
      </x:c>
    </x:row>
    <x:row r="1780">
      <x:c r="A1780" s="31" t="str">
        <x:v>36081040902</x:v>
      </x:c>
      <x:c r="B1780" s="31" t="str">
        <x:v>Queens</x:v>
      </x:c>
      <x:c r="C1780" s="31" t="str">
        <x:v>040902</x:v>
      </x:c>
      <x:c r="D1780" s="31" t="str">
        <x:v>QN0303</x:v>
      </x:c>
      <x:c r="E1780" s="31" t="str">
        <x:v>North Corona</x:v>
      </x:c>
      <x:c r="F1780" s="31" t="n">
        <x:v>0.03151294514645747</x:v>
      </x:c>
      <x:c r="G1780" s="31" t="n">
        <x:v>40.751539493001175</x:v>
      </x:c>
      <x:c r="H1780" s="31" t="n">
        <x:v>-73.86873841302427</x:v>
      </x:c>
      <x:c r="I1780" s="31" t="n">
        <x:v>3534</x:v>
      </x:c>
      <x:c r="J1780" s="31" t="n">
        <x:v>112144.38966512385</x:v>
      </x:c>
      <x:c r="K1780" s="31"/>
      <x:c r="L1780" s="40"/>
      <x:c r="M1780" s="40"/>
      <x:c r="N1780" s="31" t="n">
        <x:v>214</x:v>
      </x:c>
      <x:c r="O1780" s="31" t="n">
        <x:v>765</x:v>
      </x:c>
      <x:c r="P1780" s="31" t="n">
        <x:v>3.179738562091503</x:v>
      </x:c>
      <x:c r="Q1780" s="40" t="n">
        <x:v>0</x:v>
      </x:c>
      <x:c r="R1780" s="40" t="n">
        <x:v>0.6248366013071895</x:v>
      </x:c>
      <x:c r="S1780" s="40" t="n">
        <x:v>0.01437908496732026</x:v>
      </x:c>
      <x:c r="T1780" s="31" t="n">
        <x:v>36.28048658861111</x:v>
      </x:c>
      <x:c r="U1780" s="31" t="n">
        <x:v>63.37</x:v>
      </x:c>
      <x:c r="V1780" s="31" t="n">
        <x:v>2</x:v>
      </x:c>
      <x:c r="W1780" s="31" t="n">
        <x:v>0.5659309564233164</x:v>
      </x:c>
      <x:c r="X1780" s="31" t="n">
        <x:v>4</x:v>
      </x:c>
      <x:c r="Y1780" s="40" t="n">
        <x:v>1</x:v>
      </x:c>
      <x:c r="Z1780" s="40" t="n">
        <x:v>1</x:v>
      </x:c>
      <x:c r="AA1780" s="40" t="n">
        <x:v>0.9882352941176471</x:v>
      </x:c>
      <x:c r="AB1780" s="31" t="n">
        <x:v>0.19548869319012274</x:v>
      </x:c>
      <x:c r="AC1780" s="31" t="n">
        <x:v>6</x:v>
      </x:c>
      <x:c r="AD1780" s="44" t="b">
        <x:v>1</x:v>
      </x:c>
    </x:row>
    <x:row r="1781">
      <x:c r="A1781" s="31" t="str">
        <x:v>36081041100</x:v>
      </x:c>
      <x:c r="B1781" s="31" t="str">
        <x:v>Queens</x:v>
      </x:c>
      <x:c r="C1781" s="31" t="str">
        <x:v>041100</x:v>
      </x:c>
      <x:c r="D1781" s="31" t="str">
        <x:v>QN0402</x:v>
      </x:c>
      <x:c r="E1781" s="31" t="str">
        <x:v>Corona</x:v>
      </x:c>
      <x:c r="F1781" s="31" t="n">
        <x:v>0.05314976964818641</x:v>
      </x:c>
      <x:c r="G1781" s="31" t="n">
        <x:v>40.74379061421404</x:v>
      </x:c>
      <x:c r="H1781" s="31" t="n">
        <x:v>-73.86541767905808</x:v>
      </x:c>
      <x:c r="I1781" s="31" t="n">
        <x:v>4532</x:v>
      </x:c>
      <x:c r="J1781" s="31" t="n">
        <x:v>85268.4786782447</x:v>
      </x:c>
      <x:c r="K1781" s="31"/>
      <x:c r="L1781" s="40"/>
      <x:c r="M1781" s="40"/>
      <x:c r="N1781" s="31" t="n">
        <x:v>397</x:v>
      </x:c>
      <x:c r="O1781" s="31" t="n">
        <x:v>892</x:v>
      </x:c>
      <x:c r="P1781" s="31" t="n">
        <x:v>2.3504820627802694</x:v>
      </x:c>
      <x:c r="Q1781" s="40" t="n">
        <x:v>0</x:v>
      </x:c>
      <x:c r="R1781" s="40" t="n">
        <x:v>0.1984304932735426</x:v>
      </x:c>
      <x:c r="S1781" s="40" t="n">
        <x:v>0.006726457399103139</x:v>
      </x:c>
      <x:c r="T1781" s="31" t="n">
        <x:v>28.88220747203829</x:v>
      </x:c>
      <x:c r="U1781" s="31" t="n">
        <x:v>53</x:v>
      </x:c>
      <x:c r="V1781" s="31" t="n">
        <x:v>2</x:v>
      </x:c>
      <x:c r="W1781" s="31" t="n">
        <x:v>0.441306266548985</x:v>
      </x:c>
      <x:c r="X1781" s="31" t="n">
        <x:v>3.9966367713004485</x:v>
      </x:c>
      <x:c r="Y1781" s="40" t="n">
        <x:v>0.9966367713004485</x:v>
      </x:c>
      <x:c r="Z1781" s="40" t="n">
        <x:v>1</x:v>
      </x:c>
      <x:c r="AA1781" s="40" t="n">
        <x:v>0.9955156950672646</x:v>
      </x:c>
      <x:c r="AB1781" s="31" t="n">
        <x:v>0.14603830160976597</x:v>
      </x:c>
      <x:c r="AC1781" s="31" t="n">
        <x:v>9</x:v>
      </x:c>
      <x:c r="AD1781" s="44" t="b">
        <x:v>1</x:v>
      </x:c>
    </x:row>
    <x:row r="1782">
      <x:c r="A1782" s="31" t="str">
        <x:v>36081041300</x:v>
      </x:c>
      <x:c r="B1782" s="31" t="str">
        <x:v>Queens</x:v>
      </x:c>
      <x:c r="C1782" s="31" t="str">
        <x:v>041300</x:v>
      </x:c>
      <x:c r="D1782" s="31" t="str">
        <x:v>QN0402</x:v>
      </x:c>
      <x:c r="E1782" s="31" t="str">
        <x:v>Corona</x:v>
      </x:c>
      <x:c r="F1782" s="31" t="n">
        <x:v>0.06130414018810262</x:v>
      </x:c>
      <x:c r="G1782" s="31" t="n">
        <x:v>40.744736306743995</x:v>
      </x:c>
      <x:c r="H1782" s="31" t="n">
        <x:v>-73.86130796541607</x:v>
      </x:c>
      <x:c r="I1782" s="31" t="n">
        <x:v>4752</x:v>
      </x:c>
      <x:c r="J1782" s="31" t="n">
        <x:v>77515.15616105529</x:v>
      </x:c>
      <x:c r="K1782" s="31"/>
      <x:c r="L1782" s="40"/>
      <x:c r="M1782" s="40"/>
      <x:c r="N1782" s="31" t="n">
        <x:v>384</x:v>
      </x:c>
      <x:c r="O1782" s="31" t="n">
        <x:v>1150</x:v>
      </x:c>
      <x:c r="P1782" s="31" t="n">
        <x:v>2.7490852575488454</x:v>
      </x:c>
      <x:c r="Q1782" s="40" t="n">
        <x:v>0</x:v>
      </x:c>
      <x:c r="R1782" s="40" t="n">
        <x:v>0.5113043478260869</x:v>
      </x:c>
      <x:c r="S1782" s="40" t="n">
        <x:v>0.01565217391304348</x:v>
      </x:c>
      <x:c r="T1782" s="31" t="n">
        <x:v>31.508896390666663</x:v>
      </x:c>
      <x:c r="U1782" s="31" t="n">
        <x:v>50.49169391</x:v>
      </x:c>
      <x:c r="V1782" s="31" t="n">
        <x:v>2</x:v>
      </x:c>
      <x:c r="W1782" s="31" t="n">
        <x:v>0.42087542087542085</x:v>
      </x:c>
      <x:c r="X1782" s="31" t="n">
        <x:v>4</x:v>
      </x:c>
      <x:c r="Y1782" s="40" t="n">
        <x:v>1</x:v>
      </x:c>
      <x:c r="Z1782" s="40" t="n">
        <x:v>1</x:v>
      </x:c>
      <x:c r="AA1782" s="40" t="n">
        <x:v>0.991304347826087</x:v>
      </x:c>
      <x:c r="AB1782" s="31" t="n">
        <x:v>0.16489827590746375</x:v>
      </x:c>
      <x:c r="AC1782" s="31" t="n">
        <x:v>9</x:v>
      </x:c>
      <x:c r="AD1782" s="44" t="b">
        <x:v>1</x:v>
      </x:c>
    </x:row>
    <x:row r="1783">
      <x:c r="A1783" s="31" t="str">
        <x:v>36081041400</x:v>
      </x:c>
      <x:c r="B1783" s="31" t="str">
        <x:v>Queens</x:v>
      </x:c>
      <x:c r="C1783" s="31" t="str">
        <x:v>041400</x:v>
      </x:c>
      <x:c r="D1783" s="31" t="str">
        <x:v>QN1202</x:v>
      </x:c>
      <x:c r="E1783" s="31" t="str">
        <x:v>South Jamaica</x:v>
      </x:c>
      <x:c r="F1783" s="31" t="n">
        <x:v>0.18411446045325414</x:v>
      </x:c>
      <x:c r="G1783" s="31" t="n">
        <x:v>40.699649602012535</x:v>
      </x:c>
      <x:c r="H1783" s="31" t="n">
        <x:v>-73.78074611733543</x:v>
      </x:c>
      <x:c r="I1783" s="31" t="n">
        <x:v>4526</x:v>
      </x:c>
      <x:c r="J1783" s="31" t="n">
        <x:v>24582.534086990585</x:v>
      </x:c>
      <x:c r="K1783" s="31"/>
      <x:c r="L1783" s="40"/>
      <x:c r="M1783" s="40"/>
      <x:c r="N1783" s="31" t="n">
        <x:v>717</x:v>
      </x:c>
      <x:c r="O1783" s="31" t="n">
        <x:v>1326</x:v>
      </x:c>
      <x:c r="P1783" s="31" t="n">
        <x:v>2.485</x:v>
      </x:c>
      <x:c r="Q1783" s="40" t="n">
        <x:v>0</x:v>
      </x:c>
      <x:c r="R1783" s="40" t="n">
        <x:v>0.10407239819004525</x:v>
      </x:c>
      <x:c r="S1783" s="40" t="n">
        <x:v>0.09200603318250378</x:v>
      </x:c>
      <x:c r="T1783" s="31" t="n">
        <x:v>30.353824129416665</x:v>
      </x:c>
      <x:c r="U1783" s="31" t="n">
        <x:v>64.08</x:v>
      </x:c>
      <x:c r="V1783" s="31" t="n">
        <x:v>2</x:v>
      </x:c>
      <x:c r="W1783" s="31" t="n">
        <x:v>0.44189129474149363</x:v>
      </x:c>
      <x:c r="X1783" s="31" t="n">
        <x:v>5</x:v>
      </x:c>
      <x:c r="Y1783" s="40" t="n">
        <x:v>1</x:v>
      </x:c>
      <x:c r="Z1783" s="40" t="n">
        <x:v>1</x:v>
      </x:c>
      <x:c r="AA1783" s="40" t="n">
        <x:v>0.995475113122172</x:v>
      </x:c>
      <x:c r="AB1783" s="31" t="n">
        <x:v>0.09431056246379849</x:v>
      </x:c>
      <x:c r="AC1783" s="31" t="n">
        <x:v>7</x:v>
      </x:c>
      <x:c r="AD1783" s="44" t="b">
        <x:v>1</x:v>
      </x:c>
    </x:row>
    <x:row r="1784">
      <x:c r="A1784" s="31" t="str">
        <x:v>36081041500</x:v>
      </x:c>
      <x:c r="B1784" s="31" t="str">
        <x:v>Queens</x:v>
      </x:c>
      <x:c r="C1784" s="31" t="str">
        <x:v>041500</x:v>
      </x:c>
      <x:c r="D1784" s="31" t="str">
        <x:v>QN0402</x:v>
      </x:c>
      <x:c r="E1784" s="31" t="str">
        <x:v>Corona</x:v>
      </x:c>
      <x:c r="F1784" s="31" t="n">
        <x:v>0.06694294371377124</x:v>
      </x:c>
      <x:c r="G1784" s="31" t="n">
        <x:v>40.746626466586044</x:v>
      </x:c>
      <x:c r="H1784" s="31" t="n">
        <x:v>-73.85661279101635</x:v>
      </x:c>
      <x:c r="I1784" s="31" t="n">
        <x:v>4365</x:v>
      </x:c>
      <x:c r="J1784" s="31" t="n">
        <x:v>65204.78123375458</x:v>
      </x:c>
      <x:c r="K1784" s="31"/>
      <x:c r="L1784" s="40"/>
      <x:c r="M1784" s="40"/>
      <x:c r="N1784" s="31" t="n">
        <x:v>371</x:v>
      </x:c>
      <x:c r="O1784" s="31" t="n">
        <x:v>1096</x:v>
      </x:c>
      <x:c r="P1784" s="31" t="n">
        <x:v>2.748029197080292</x:v>
      </x:c>
      <x:c r="Q1784" s="40" t="n">
        <x:v>0</x:v>
      </x:c>
      <x:c r="R1784" s="40" t="n">
        <x:v>0.5793795620437956</x:v>
      </x:c>
      <x:c r="S1784" s="40" t="n">
        <x:v>0.002737226277372263</x:v>
      </x:c>
      <x:c r="T1784" s="31" t="n">
        <x:v>30.456211297863092</x:v>
      </x:c>
      <x:c r="U1784" s="31" t="n">
        <x:v>62.28884853</x:v>
      </x:c>
      <x:c r="V1784" s="31" t="n">
        <x:v>6</x:v>
      </x:c>
      <x:c r="W1784" s="31" t="n">
        <x:v>1.3745704467353952</x:v>
      </x:c>
      <x:c r="X1784" s="31" t="n">
        <x:v>4</x:v>
      </x:c>
      <x:c r="Y1784" s="40" t="n">
        <x:v>1</x:v>
      </x:c>
      <x:c r="Z1784" s="40" t="n">
        <x:v>1</x:v>
      </x:c>
      <x:c r="AA1784" s="40" t="n">
        <x:v>0.9863138686131386</x:v>
      </x:c>
      <x:c r="AB1784" s="31" t="n">
        <x:v>0.21837998131250544</x:v>
      </x:c>
      <x:c r="AC1784" s="31" t="n">
        <x:v>6</x:v>
      </x:c>
      <x:c r="AD1784" s="44" t="b">
        <x:v>1</x:v>
      </x:c>
    </x:row>
    <x:row r="1785">
      <x:c r="A1785" s="31" t="str">
        <x:v>36081042400</x:v>
      </x:c>
      <x:c r="B1785" s="31" t="str">
        <x:v>Queens</x:v>
      </x:c>
      <x:c r="C1785" s="31" t="str">
        <x:v>042400</x:v>
      </x:c>
      <x:c r="D1785" s="31" t="str">
        <x:v>QN1205</x:v>
      </x:c>
      <x:c r="E1785" s="31" t="str">
        <x:v>St. Albans</x:v>
      </x:c>
      <x:c r="F1785" s="31" t="n">
        <x:v>0.1988787399058052</x:v>
      </x:c>
      <x:c r="G1785" s="31" t="n">
        <x:v>40.69538479030759</x:v>
      </x:c>
      <x:c r="H1785" s="31" t="n">
        <x:v>-73.77226722483341</x:v>
      </x:c>
      <x:c r="I1785" s="31" t="n">
        <x:v>2295</x:v>
      </x:c>
      <x:c r="J1785" s="31" t="n">
        <x:v>11539.694997499377</x:v>
      </x:c>
      <x:c r="K1785" s="31"/>
      <x:c r="L1785" s="40"/>
      <x:c r="M1785" s="40"/>
      <x:c r="N1785" s="31" t="n">
        <x:v>670</x:v>
      </x:c>
      <x:c r="O1785" s="31" t="n">
        <x:v>760</x:v>
      </x:c>
      <x:c r="P1785" s="31" t="n">
        <x:v>2.0278815789473685</x:v>
      </x:c>
      <x:c r="Q1785" s="40" t="n">
        <x:v>0</x:v>
      </x:c>
      <x:c r="R1785" s="40" t="n">
        <x:v>0</x:v>
      </x:c>
      <x:c r="S1785" s="40" t="n">
        <x:v>0</x:v>
      </x:c>
      <x:c r="T1785" s="31" t="n">
        <x:v>26.823091231317523</x:v>
      </x:c>
      <x:c r="U1785" s="31" t="n">
        <x:v>37.32</x:v>
      </x:c>
      <x:c r="V1785" s="31" t="n">
        <x:v>0</x:v>
      </x:c>
      <x:c r="W1785" s="31" t="n">
        <x:v>0</x:v>
      </x:c>
      <x:c r="X1785" s="31" t="n">
        <x:v>5</x:v>
      </x:c>
      <x:c r="Y1785" s="40" t="n">
        <x:v>1</x:v>
      </x:c>
      <x:c r="Z1785" s="40" t="n">
        <x:v>1</x:v>
      </x:c>
      <x:c r="AA1785" s="40" t="n">
        <x:v>0.9986842105263158</x:v>
      </x:c>
      <x:c r="AB1785" s="31" t="n">
        <x:v>0.41944627574087906</x:v>
      </x:c>
      <x:c r="AC1785" s="31" t="n">
        <x:v>9</x:v>
      </x:c>
      <x:c r="AD1785" s="44" t="b">
        <x:v>1</x:v>
      </x:c>
    </x:row>
    <x:row r="1786">
      <x:c r="A1786" s="31" t="str">
        <x:v>36081042600</x:v>
      </x:c>
      <x:c r="B1786" s="31" t="str">
        <x:v>Queens</x:v>
      </x:c>
      <x:c r="C1786" s="31" t="str">
        <x:v>042600</x:v>
      </x:c>
      <x:c r="D1786" s="31" t="str">
        <x:v>QN1205</x:v>
      </x:c>
      <x:c r="E1786" s="31" t="str">
        <x:v>St. Albans</x:v>
      </x:c>
      <x:c r="F1786" s="31" t="n">
        <x:v>0.19997631062040863</x:v>
      </x:c>
      <x:c r="G1786" s="31" t="n">
        <x:v>40.68884870529039</x:v>
      </x:c>
      <x:c r="H1786" s="31" t="n">
        <x:v>-73.77022095019512</x:v>
      </x:c>
      <x:c r="I1786" s="31" t="n">
        <x:v>364</x:v>
      </x:c>
      <x:c r="J1786" s="31" t="n">
        <x:v>1820.2155988913014</x:v>
      </x:c>
      <x:c r="K1786" s="31"/>
      <x:c r="L1786" s="40"/>
      <x:c r="M1786" s="40"/>
      <x:c r="N1786" s="31" t="n">
        <x:v>0</x:v>
      </x:c>
      <x:c r="O1786" s="31"/>
      <x:c r="P1786" s="31"/>
      <x:c r="Q1786" s="40"/>
      <x:c r="R1786" s="40"/>
      <x:c r="S1786" s="40"/>
      <x:c r="T1786" s="31"/>
      <x:c r="U1786" s="31"/>
      <x:c r="V1786" s="31" t="n">
        <x:v>0</x:v>
      </x:c>
      <x:c r="W1786" s="31" t="n">
        <x:v>0</x:v>
      </x:c>
      <x:c r="X1786" s="31"/>
      <x:c r="Y1786" s="40"/>
      <x:c r="Z1786" s="40"/>
      <x:c r="AA1786" s="40"/>
      <x:c r="AB1786" s="31" t="n">
        <x:v>0.3718227028565772</x:v>
      </x:c>
      <x:c r="AC1786" s="31" t="n">
        <x:v>6</x:v>
      </x:c>
      <x:c r="AD1786" s="44" t="b">
        <x:v>0</x:v>
      </x:c>
    </x:row>
    <x:row r="1787">
      <x:c r="A1787" s="31" t="str">
        <x:v>36081042700</x:v>
      </x:c>
      <x:c r="B1787" s="31" t="str">
        <x:v>Queens</x:v>
      </x:c>
      <x:c r="C1787" s="31" t="str">
        <x:v>042700</x:v>
      </x:c>
      <x:c r="D1787" s="31" t="str">
        <x:v>QN0402</x:v>
      </x:c>
      <x:c r="E1787" s="31" t="str">
        <x:v>Corona</x:v>
      </x:c>
      <x:c r="F1787" s="31" t="n">
        <x:v>0.0659638828673812</x:v>
      </x:c>
      <x:c r="G1787" s="31" t="n">
        <x:v>40.74371642373935</x:v>
      </x:c>
      <x:c r="H1787" s="31" t="n">
        <x:v>-73.85381095578805</x:v>
      </x:c>
      <x:c r="I1787" s="31" t="n">
        <x:v>4998</x:v>
      </x:c>
      <x:c r="J1787" s="31" t="n">
        <x:v>75768.73559805991</x:v>
      </x:c>
      <x:c r="K1787" s="31"/>
      <x:c r="L1787" s="40"/>
      <x:c r="M1787" s="40"/>
      <x:c r="N1787" s="31" t="n">
        <x:v>431</x:v>
      </x:c>
      <x:c r="O1787" s="31" t="n">
        <x:v>1274</x:v>
      </x:c>
      <x:c r="P1787" s="31" t="n">
        <x:v>2.813139260424862</x:v>
      </x:c>
      <x:c r="Q1787" s="40" t="n">
        <x:v>0</x:v>
      </x:c>
      <x:c r="R1787" s="40" t="n">
        <x:v>0.6350078492935636</x:v>
      </x:c>
      <x:c r="S1787" s="40" t="n">
        <x:v>0.0282574568288854</x:v>
      </x:c>
      <x:c r="T1787" s="31" t="n">
        <x:v>30.30975443586508</x:v>
      </x:c>
      <x:c r="U1787" s="31" t="n">
        <x:v>50</x:v>
      </x:c>
      <x:c r="V1787" s="31" t="n">
        <x:v>4</x:v>
      </x:c>
      <x:c r="W1787" s="31" t="n">
        <x:v>0.8003201280512205</x:v>
      </x:c>
      <x:c r="X1787" s="31" t="n">
        <x:v>4</x:v>
      </x:c>
      <x:c r="Y1787" s="40" t="n">
        <x:v>1</x:v>
      </x:c>
      <x:c r="Z1787" s="40" t="n">
        <x:v>1</x:v>
      </x:c>
      <x:c r="AA1787" s="40" t="n">
        <x:v>0.989010989010989</x:v>
      </x:c>
      <x:c r="AB1787" s="31" t="n">
        <x:v>0.1885529081014298</x:v>
      </x:c>
      <x:c r="AC1787" s="31" t="n">
        <x:v>5</x:v>
      </x:c>
      <x:c r="AD1787" s="44" t="b">
        <x:v>1</x:v>
      </x:c>
    </x:row>
    <x:row r="1788">
      <x:c r="A1788" s="31" t="str">
        <x:v>36081043200</x:v>
      </x:c>
      <x:c r="B1788" s="31" t="str">
        <x:v>Queens</x:v>
      </x:c>
      <x:c r="C1788" s="31" t="str">
        <x:v>043200</x:v>
      </x:c>
      <x:c r="D1788" s="31" t="str">
        <x:v>QN1205</x:v>
      </x:c>
      <x:c r="E1788" s="31" t="str">
        <x:v>St. Albans</x:v>
      </x:c>
      <x:c r="F1788" s="31" t="n">
        <x:v>0.09328126724417471</x:v>
      </x:c>
      <x:c r="G1788" s="31" t="n">
        <x:v>40.69132621085446</x:v>
      </x:c>
      <x:c r="H1788" s="31" t="n">
        <x:v>-73.7758103019263</x:v>
      </x:c>
      <x:c r="I1788" s="31" t="n">
        <x:v>1280</x:v>
      </x:c>
      <x:c r="J1788" s="31" t="n">
        <x:v>13721.940511908453</x:v>
      </x:c>
      <x:c r="K1788" s="31"/>
      <x:c r="L1788" s="40"/>
      <x:c r="M1788" s="40"/>
      <x:c r="N1788" s="31" t="n">
        <x:v>292</x:v>
      </x:c>
      <x:c r="O1788" s="31" t="n">
        <x:v>412</x:v>
      </x:c>
      <x:c r="P1788" s="31" t="n">
        <x:v>2.191747572815534</x:v>
      </x:c>
      <x:c r="Q1788" s="40" t="n">
        <x:v>0</x:v>
      </x:c>
      <x:c r="R1788" s="40" t="n">
        <x:v>0</x:v>
      </x:c>
      <x:c r="S1788" s="40" t="n">
        <x:v>0</x:v>
      </x:c>
      <x:c r="T1788" s="31" t="n">
        <x:v>27.437551238446606</x:v>
      </x:c>
      <x:c r="U1788" s="31" t="n">
        <x:v>35.15</x:v>
      </x:c>
      <x:c r="V1788" s="31" t="n">
        <x:v>0</x:v>
      </x:c>
      <x:c r="W1788" s="31" t="n">
        <x:v>0</x:v>
      </x:c>
      <x:c r="X1788" s="31" t="n">
        <x:v>5</x:v>
      </x:c>
      <x:c r="Y1788" s="40" t="n">
        <x:v>1</x:v>
      </x:c>
      <x:c r="Z1788" s="40" t="n">
        <x:v>1</x:v>
      </x:c>
      <x:c r="AA1788" s="40" t="n">
        <x:v>1</x:v>
      </x:c>
      <x:c r="AB1788" s="31" t="n">
        <x:v>0.1399885439624427</x:v>
      </x:c>
      <x:c r="AC1788" s="31" t="n">
        <x:v>6</x:v>
      </x:c>
      <x:c r="AD1788" s="44" t="b">
        <x:v>1</x:v>
      </x:c>
    </x:row>
    <x:row r="1789">
      <x:c r="A1789" s="31" t="str">
        <x:v>36081043400</x:v>
      </x:c>
      <x:c r="B1789" s="31" t="str">
        <x:v>Queens</x:v>
      </x:c>
      <x:c r="C1789" s="31" t="str">
        <x:v>043400</x:v>
      </x:c>
      <x:c r="D1789" s="31" t="str">
        <x:v>QN1205</x:v>
      </x:c>
      <x:c r="E1789" s="31" t="str">
        <x:v>St. Albans</x:v>
      </x:c>
      <x:c r="F1789" s="31" t="n">
        <x:v>0.07941488614411156</x:v>
      </x:c>
      <x:c r="G1789" s="31" t="n">
        <x:v>40.69619976785845</x:v>
      </x:c>
      <x:c r="H1789" s="31" t="n">
        <x:v>-73.77864267825937</x:v>
      </x:c>
      <x:c r="I1789" s="31" t="n">
        <x:v>1717</x:v>
      </x:c>
      <x:c r="J1789" s="31" t="n">
        <x:v>21620.631639315292</x:v>
      </x:c>
      <x:c r="K1789" s="31"/>
      <x:c r="L1789" s="40"/>
      <x:c r="M1789" s="40"/>
      <x:c r="N1789" s="31" t="n">
        <x:v>426</x:v>
      </x:c>
      <x:c r="O1789" s="31" t="n">
        <x:v>525</x:v>
      </x:c>
      <x:c r="P1789" s="31" t="n">
        <x:v>1.9902476190476193</x:v>
      </x:c>
      <x:c r="Q1789" s="40" t="n">
        <x:v>0</x:v>
      </x:c>
      <x:c r="R1789" s="40" t="n">
        <x:v>0.005714285714285714</x:v>
      </x:c>
      <x:c r="S1789" s="40" t="n">
        <x:v>0.0019047619047619048</x:v>
      </x:c>
      <x:c r="T1789" s="31" t="n">
        <x:v>25.45252935074856</x:v>
      </x:c>
      <x:c r="U1789" s="31" t="n">
        <x:v>66</x:v>
      </x:c>
      <x:c r="V1789" s="31" t="n">
        <x:v>0</x:v>
      </x:c>
      <x:c r="W1789" s="31" t="n">
        <x:v>0</x:v>
      </x:c>
      <x:c r="X1789" s="31" t="n">
        <x:v>5</x:v>
      </x:c>
      <x:c r="Y1789" s="40" t="n">
        <x:v>1</x:v>
      </x:c>
      <x:c r="Z1789" s="40" t="n">
        <x:v>1</x:v>
      </x:c>
      <x:c r="AA1789" s="40" t="n">
        <x:v>0.9923809523809524</x:v>
      </x:c>
      <x:c r="AB1789" s="31" t="n">
        <x:v>0.3212418739890542</x:v>
      </x:c>
      <x:c r="AC1789" s="31" t="n">
        <x:v>7</x:v>
      </x:c>
      <x:c r="AD1789" s="44" t="b">
        <x:v>1</x:v>
      </x:c>
    </x:row>
    <x:row r="1790">
      <x:c r="A1790" s="31" t="str">
        <x:v>36081043701</x:v>
      </x:c>
      <x:c r="B1790" s="31" t="str">
        <x:v>Queens</x:v>
      </x:c>
      <x:c r="C1790" s="31" t="str">
        <x:v>043701</x:v>
      </x:c>
      <x:c r="D1790" s="31" t="str">
        <x:v>QN0402</x:v>
      </x:c>
      <x:c r="E1790" s="31" t="str">
        <x:v>Corona</x:v>
      </x:c>
      <x:c r="F1790" s="31" t="n">
        <x:v>0.05660304099123336</x:v>
      </x:c>
      <x:c r="G1790" s="31" t="n">
        <x:v>40.73915695191365</x:v>
      </x:c>
      <x:c r="H1790" s="31" t="n">
        <x:v>-73.85108991538758</x:v>
      </x:c>
      <x:c r="I1790" s="31" t="n">
        <x:v>3683</x:v>
      </x:c>
      <x:c r="J1790" s="31" t="n">
        <x:v>65067.17546448468</x:v>
      </x:c>
      <x:c r="K1790" s="31"/>
      <x:c r="L1790" s="40"/>
      <x:c r="M1790" s="40"/>
      <x:c r="N1790" s="31" t="n">
        <x:v>235</x:v>
      </x:c>
      <x:c r="O1790" s="31" t="n">
        <x:v>926</x:v>
      </x:c>
      <x:c r="P1790" s="31" t="n">
        <x:v>3.5141566920565834</x:v>
      </x:c>
      <x:c r="Q1790" s="40" t="n">
        <x:v>0</x:v>
      </x:c>
      <x:c r="R1790" s="40" t="n">
        <x:v>0.7861771058315334</x:v>
      </x:c>
      <x:c r="S1790" s="40" t="n">
        <x:v>0.035637149028077755</x:v>
      </x:c>
      <x:c r="T1790" s="31" t="n">
        <x:v>36.66547910794565</x:v>
      </x:c>
      <x:c r="U1790" s="31" t="n">
        <x:v>74.78</x:v>
      </x:c>
      <x:c r="V1790" s="31" t="n">
        <x:v>7</x:v>
      </x:c>
      <x:c r="W1790" s="31" t="n">
        <x:v>1.9006244909041543</x:v>
      </x:c>
      <x:c r="X1790" s="31" t="n">
        <x:v>4</x:v>
      </x:c>
      <x:c r="Y1790" s="40" t="n">
        <x:v>1</x:v>
      </x:c>
      <x:c r="Z1790" s="40" t="n">
        <x:v>1</x:v>
      </x:c>
      <x:c r="AA1790" s="40" t="n">
        <x:v>0.9935205183585313</x:v>
      </x:c>
      <x:c r="AB1790" s="31" t="n">
        <x:v>0.1616929986093854</x:v>
      </x:c>
      <x:c r="AC1790" s="31" t="n">
        <x:v>6</x:v>
      </x:c>
      <x:c r="AD1790" s="44" t="b">
        <x:v>1</x:v>
      </x:c>
    </x:row>
    <x:row r="1791">
      <x:c r="A1791" s="31" t="str">
        <x:v>36081043702</x:v>
      </x:c>
      <x:c r="B1791" s="31" t="str">
        <x:v>Queens</x:v>
      </x:c>
      <x:c r="C1791" s="31" t="str">
        <x:v>043702</x:v>
      </x:c>
      <x:c r="D1791" s="31" t="str">
        <x:v>QN0402</x:v>
      </x:c>
      <x:c r="E1791" s="31" t="str">
        <x:v>Corona</x:v>
      </x:c>
      <x:c r="F1791" s="31" t="n">
        <x:v>0.06766264946589474</x:v>
      </x:c>
      <x:c r="G1791" s="31" t="n">
        <x:v>40.73811061766269</x:v>
      </x:c>
      <x:c r="H1791" s="31" t="n">
        <x:v>-73.85655167908213</x:v>
      </x:c>
      <x:c r="I1791" s="31" t="n">
        <x:v>6998</x:v>
      </x:c>
      <x:c r="J1791" s="31" t="n">
        <x:v>103424.85928706251</x:v>
      </x:c>
      <x:c r="K1791" s="31"/>
      <x:c r="L1791" s="40"/>
      <x:c r="M1791" s="40"/>
      <x:c r="N1791" s="31" t="n">
        <x:v>327</x:v>
      </x:c>
      <x:c r="O1791" s="31" t="n">
        <x:v>2360</x:v>
      </x:c>
      <x:c r="P1791" s="31" t="n">
        <x:v>4.579911016949152</x:v>
      </x:c>
      <x:c r="Q1791" s="40" t="n">
        <x:v>0</x:v>
      </x:c>
      <x:c r="R1791" s="40" t="n">
        <x:v>0.8673728813559322</x:v>
      </x:c>
      <x:c r="S1791" s="40" t="n">
        <x:v>0.3228813559322034</x:v>
      </x:c>
      <x:c r="T1791" s="31" t="n">
        <x:v>52.307054662392694</x:v>
      </x:c>
      <x:c r="U1791" s="31" t="n">
        <x:v>81.51</x:v>
      </x:c>
      <x:c r="V1791" s="31" t="n">
        <x:v>25</x:v>
      </x:c>
      <x:c r="W1791" s="31" t="n">
        <x:v>3.5724492712203486</x:v>
      </x:c>
      <x:c r="X1791" s="31" t="n">
        <x:v>4</x:v>
      </x:c>
      <x:c r="Y1791" s="40" t="n">
        <x:v>1</x:v>
      </x:c>
      <x:c r="Z1791" s="40" t="n">
        <x:v>1</x:v>
      </x:c>
      <x:c r="AA1791" s="40" t="n">
        <x:v>0.9970338983050847</x:v>
      </x:c>
      <x:c r="AB1791" s="31" t="n">
        <x:v>0.16516676881200992</x:v>
      </x:c>
      <x:c r="AC1791" s="31" t="n">
        <x:v>8</x:v>
      </x:c>
      <x:c r="AD1791" s="44" t="b">
        <x:v>1</x:v>
      </x:c>
    </x:row>
    <x:row r="1792">
      <x:c r="A1792" s="31" t="str">
        <x:v>36081043900</x:v>
      </x:c>
      <x:c r="B1792" s="31" t="str">
        <x:v>Queens</x:v>
      </x:c>
      <x:c r="C1792" s="31" t="str">
        <x:v>043900</x:v>
      </x:c>
      <x:c r="D1792" s="31" t="str">
        <x:v>QN0402</x:v>
      </x:c>
      <x:c r="E1792" s="31" t="str">
        <x:v>Corona</x:v>
      </x:c>
      <x:c r="F1792" s="31" t="n">
        <x:v>0.06359221349611169</x:v>
      </x:c>
      <x:c r="G1792" s="31" t="n">
        <x:v>40.74186917694292</x:v>
      </x:c>
      <x:c r="H1792" s="31" t="n">
        <x:v>-73.85581319288832</x:v>
      </x:c>
      <x:c r="I1792" s="31" t="n">
        <x:v>4931</x:v>
      </x:c>
      <x:c r="J1792" s="31" t="n">
        <x:v>77540.93982436236</x:v>
      </x:c>
      <x:c r="K1792" s="31"/>
      <x:c r="L1792" s="40"/>
      <x:c r="M1792" s="40"/>
      <x:c r="N1792" s="31" t="n">
        <x:v>422</x:v>
      </x:c>
      <x:c r="O1792" s="31" t="n">
        <x:v>1256</x:v>
      </x:c>
      <x:c r="P1792" s="31" t="n">
        <x:v>2.4531501230516817</x:v>
      </x:c>
      <x:c r="Q1792" s="40" t="n">
        <x:v>0</x:v>
      </x:c>
      <x:c r="R1792" s="40" t="n">
        <x:v>0.43312101910828027</x:v>
      </x:c>
      <x:c r="S1792" s="40" t="n">
        <x:v>0.022292993630573247</x:v>
      </x:c>
      <x:c r="T1792" s="31" t="n">
        <x:v>28.959759563854167</x:v>
      </x:c>
      <x:c r="U1792" s="31" t="n">
        <x:v>58</x:v>
      </x:c>
      <x:c r="V1792" s="31" t="n">
        <x:v>4</x:v>
      </x:c>
      <x:c r="W1792" s="31" t="n">
        <x:v>0.8111944838775097</x:v>
      </x:c>
      <x:c r="X1792" s="31" t="n">
        <x:v>4</x:v>
      </x:c>
      <x:c r="Y1792" s="40" t="n">
        <x:v>1</x:v>
      </x:c>
      <x:c r="Z1792" s="40" t="n">
        <x:v>1</x:v>
      </x:c>
      <x:c r="AA1792" s="40" t="n">
        <x:v>0.9936305732484076</x:v>
      </x:c>
      <x:c r="AB1792" s="31" t="n">
        <x:v>0.09455253414809942</x:v>
      </x:c>
      <x:c r="AC1792" s="31" t="n">
        <x:v>5</x:v>
      </x:c>
      <x:c r="AD1792" s="44" t="b">
        <x:v>1</x:v>
      </x:c>
    </x:row>
    <x:row r="1793">
      <x:c r="A1793" s="31" t="str">
        <x:v>36081044000</x:v>
      </x:c>
      <x:c r="B1793" s="31" t="str">
        <x:v>Queens</x:v>
      </x:c>
      <x:c r="C1793" s="31" t="str">
        <x:v>044000</x:v>
      </x:c>
      <x:c r="D1793" s="31" t="str">
        <x:v>QN1202</x:v>
      </x:c>
      <x:c r="E1793" s="31" t="str">
        <x:v>South Jamaica</x:v>
      </x:c>
      <x:c r="F1793" s="31" t="n">
        <x:v>0.14568374844539142</x:v>
      </x:c>
      <x:c r="G1793" s="31" t="n">
        <x:v>40.70268029606699</x:v>
      </x:c>
      <x:c r="H1793" s="31" t="n">
        <x:v>-73.78464538513833</x:v>
      </x:c>
      <x:c r="I1793" s="31" t="n">
        <x:v>4783</x:v>
      </x:c>
      <x:c r="J1793" s="31" t="n">
        <x:v>32831.39026171389</x:v>
      </x:c>
      <x:c r="K1793" s="31"/>
      <x:c r="L1793" s="40"/>
      <x:c r="M1793" s="40"/>
      <x:c r="N1793" s="31" t="n">
        <x:v>752</x:v>
      </x:c>
      <x:c r="O1793" s="31" t="n">
        <x:v>1200</x:v>
      </x:c>
      <x:c r="P1793" s="31" t="n">
        <x:v>2.1213188647746244</x:v>
      </x:c>
      <x:c r="Q1793" s="40" t="n">
        <x:v>0</x:v>
      </x:c>
      <x:c r="R1793" s="40" t="n">
        <x:v>0.03666666666666667</x:v>
      </x:c>
      <x:c r="S1793" s="40" t="n">
        <x:v>0.006666666666666667</x:v>
      </x:c>
      <x:c r="T1793" s="31" t="n">
        <x:v>25.857881226304347</x:v>
      </x:c>
      <x:c r="U1793" s="31" t="n">
        <x:v>37.4</x:v>
      </x:c>
      <x:c r="V1793" s="31" t="n">
        <x:v>0</x:v>
      </x:c>
      <x:c r="W1793" s="31" t="n">
        <x:v>0</x:v>
      </x:c>
      <x:c r="X1793" s="31" t="n">
        <x:v>5</x:v>
      </x:c>
      <x:c r="Y1793" s="40" t="n">
        <x:v>1</x:v>
      </x:c>
      <x:c r="Z1793" s="40" t="n">
        <x:v>1</x:v>
      </x:c>
      <x:c r="AA1793" s="40" t="n">
        <x:v>0.9966666666666667</x:v>
      </x:c>
      <x:c r="AB1793" s="31" t="n">
        <x:v>0.20009569070127553</x:v>
      </x:c>
      <x:c r="AC1793" s="31" t="n">
        <x:v>3</x:v>
      </x:c>
      <x:c r="AD1793" s="44" t="b">
        <x:v>1</x:v>
      </x:c>
    </x:row>
    <x:row r="1794">
      <x:c r="A1794" s="31" t="str">
        <x:v>36081044301</x:v>
      </x:c>
      <x:c r="B1794" s="31" t="str">
        <x:v>Queens</x:v>
      </x:c>
      <x:c r="C1794" s="31" t="str">
        <x:v>044301</x:v>
      </x:c>
      <x:c r="D1794" s="31" t="str">
        <x:v>QN0402</x:v>
      </x:c>
      <x:c r="E1794" s="31" t="str">
        <x:v>Corona</x:v>
      </x:c>
      <x:c r="F1794" s="31" t="n">
        <x:v>0.05157031337666437</x:v>
      </x:c>
      <x:c r="G1794" s="31" t="n">
        <x:v>40.7407374897002</x:v>
      </x:c>
      <x:c r="H1794" s="31" t="n">
        <x:v>-73.85945969463427</x:v>
      </x:c>
      <x:c r="I1794" s="31" t="n">
        <x:v>4725</x:v>
      </x:c>
      <x:c r="J1794" s="31" t="n">
        <x:v>91622.47988467854</x:v>
      </x:c>
      <x:c r="K1794" s="31"/>
      <x:c r="L1794" s="40"/>
      <x:c r="M1794" s="40"/>
      <x:c r="N1794" s="31" t="n">
        <x:v>221</x:v>
      </x:c>
      <x:c r="O1794" s="31" t="n">
        <x:v>1606</x:v>
      </x:c>
      <x:c r="P1794" s="31" t="n">
        <x:v>5.340300751879699</x:v>
      </x:c>
      <x:c r="Q1794" s="40" t="n">
        <x:v>0</x:v>
      </x:c>
      <x:c r="R1794" s="40" t="n">
        <x:v>0.8549190535491905</x:v>
      </x:c>
      <x:c r="S1794" s="40" t="n">
        <x:v>0.0410958904109589</x:v>
      </x:c>
      <x:c r="T1794" s="31" t="n">
        <x:v>54.26299720991834</x:v>
      </x:c>
      <x:c r="U1794" s="31" t="n">
        <x:v>80</x:v>
      </x:c>
      <x:c r="V1794" s="31" t="n">
        <x:v>17</x:v>
      </x:c>
      <x:c r="W1794" s="31" t="n">
        <x:v>3.5978835978835977</x:v>
      </x:c>
      <x:c r="X1794" s="31" t="n">
        <x:v>4</x:v>
      </x:c>
      <x:c r="Y1794" s="40" t="n">
        <x:v>1</x:v>
      </x:c>
      <x:c r="Z1794" s="40" t="n">
        <x:v>1</x:v>
      </x:c>
      <x:c r="AA1794" s="40" t="n">
        <x:v>0.9912826899128269</x:v>
      </x:c>
      <x:c r="AB1794" s="31" t="n">
        <x:v>0.19558136686053285</x:v>
      </x:c>
      <x:c r="AC1794" s="31" t="n">
        <x:v>6</x:v>
      </x:c>
      <x:c r="AD1794" s="44" t="b">
        <x:v>1</x:v>
      </x:c>
    </x:row>
    <x:row r="1795">
      <x:c r="A1795" s="31" t="str">
        <x:v>36081044302</x:v>
      </x:c>
      <x:c r="B1795" s="31" t="str">
        <x:v>Queens</x:v>
      </x:c>
      <x:c r="C1795" s="31" t="str">
        <x:v>044302</x:v>
      </x:c>
      <x:c r="D1795" s="31" t="str">
        <x:v>QN0402</x:v>
      </x:c>
      <x:c r="E1795" s="31" t="str">
        <x:v>Corona</x:v>
      </x:c>
      <x:c r="F1795" s="31" t="n">
        <x:v>0.1073426901228191</x:v>
      </x:c>
      <x:c r="G1795" s="31" t="n">
        <x:v>40.73981238427695</x:v>
      </x:c>
      <x:c r="H1795" s="31" t="n">
        <x:v>-73.86406189507727</x:v>
      </x:c>
      <x:c r="I1795" s="31" t="n">
        <x:v>5373</x:v>
      </x:c>
      <x:c r="J1795" s="31" t="n">
        <x:v>50054.64269483402</x:v>
      </x:c>
      <x:c r="K1795" s="31"/>
      <x:c r="L1795" s="40"/>
      <x:c r="M1795" s="40"/>
      <x:c r="N1795" s="31" t="n">
        <x:v>404</x:v>
      </x:c>
      <x:c r="O1795" s="31" t="n">
        <x:v>1467</x:v>
      </x:c>
      <x:c r="P1795" s="31" t="n">
        <x:v>3.6837150647580095</x:v>
      </x:c>
      <x:c r="Q1795" s="40" t="n">
        <x:v>0</x:v>
      </x:c>
      <x:c r="R1795" s="40" t="n">
        <x:v>0.7375596455351057</x:v>
      </x:c>
      <x:c r="S1795" s="40" t="n">
        <x:v>0.23858214042263123</x:v>
      </x:c>
      <x:c r="T1795" s="31" t="n">
        <x:v>40.39591071760795</x:v>
      </x:c>
      <x:c r="U1795" s="31" t="n">
        <x:v>72</x:v>
      </x:c>
      <x:c r="V1795" s="31" t="n">
        <x:v>9</x:v>
      </x:c>
      <x:c r="W1795" s="31" t="n">
        <x:v>1.6750418760469012</x:v>
      </x:c>
      <x:c r="X1795" s="31" t="n">
        <x:v>3.903203817314247</x:v>
      </x:c>
      <x:c r="Y1795" s="40" t="n">
        <x:v>0.9032038173142468</x:v>
      </x:c>
      <x:c r="Z1795" s="40" t="n">
        <x:v>1</x:v>
      </x:c>
      <x:c r="AA1795" s="40" t="n">
        <x:v>0.994546693933197</x:v>
      </x:c>
      <x:c r="AB1795" s="31" t="n">
        <x:v>0.11226610517758666</x:v>
      </x:c>
      <x:c r="AC1795" s="31" t="n">
        <x:v>8</x:v>
      </x:c>
      <x:c r="AD1795" s="44" t="b">
        <x:v>1</x:v>
      </x:c>
    </x:row>
    <x:row r="1796">
      <x:c r="A1796" s="31" t="str">
        <x:v>36081044400</x:v>
      </x:c>
      <x:c r="B1796" s="31" t="str">
        <x:v>Queens</x:v>
      </x:c>
      <x:c r="C1796" s="31" t="str">
        <x:v>044400</x:v>
      </x:c>
      <x:c r="D1796" s="31" t="str">
        <x:v>QN1201</x:v>
      </x:c>
      <x:c r="E1796" s="31" t="str">
        <x:v>Jamaica</x:v>
      </x:c>
      <x:c r="F1796" s="31" t="n">
        <x:v>0.3480192837824266</x:v>
      </x:c>
      <x:c r="G1796" s="31" t="n">
        <x:v>40.70578394758654</x:v>
      </x:c>
      <x:c r="H1796" s="31" t="n">
        <x:v>-73.78178591386094</x:v>
      </x:c>
      <x:c r="I1796" s="31" t="n">
        <x:v>4562</x:v>
      </x:c>
      <x:c r="J1796" s="31" t="n">
        <x:v>13108.469020504204</x:v>
      </x:c>
      <x:c r="K1796" s="31"/>
      <x:c r="L1796" s="40"/>
      <x:c r="M1796" s="40"/>
      <x:c r="N1796" s="31" t="n">
        <x:v>441</x:v>
      </x:c>
      <x:c r="O1796" s="31" t="n">
        <x:v>1217</x:v>
      </x:c>
      <x:c r="P1796" s="31" t="n">
        <x:v>5.367502054231718</x:v>
      </x:c>
      <x:c r="Q1796" s="40" t="n">
        <x:v>0.2522596548890715</x:v>
      </x:c>
      <x:c r="R1796" s="40" t="n">
        <x:v>0.35497124075595726</x:v>
      </x:c>
      <x:c r="S1796" s="40" t="n">
        <x:v>0.008216926869350863</x:v>
      </x:c>
      <x:c r="T1796" s="31" t="n">
        <x:v>55.740095397288556</x:v>
      </x:c>
      <x:c r="U1796" s="31" t="n">
        <x:v>250</x:v>
      </x:c>
      <x:c r="V1796" s="31" t="n">
        <x:v>18</x:v>
      </x:c>
      <x:c r="W1796" s="31" t="n">
        <x:v>3.9456378781236303</x:v>
      </x:c>
      <x:c r="X1796" s="31" t="n">
        <x:v>4.783073130649138</x:v>
      </x:c>
      <x:c r="Y1796" s="40" t="n">
        <x:v>0.8940016433853739</x:v>
      </x:c>
      <x:c r="Z1796" s="40" t="n">
        <x:v>1</x:v>
      </x:c>
      <x:c r="AA1796" s="40" t="n">
        <x:v>0.9909613804437141</x:v>
      </x:c>
      <x:c r="AB1796" s="31" t="n">
        <x:v>0.22181492036707035</x:v>
      </x:c>
      <x:c r="AC1796" s="31" t="n">
        <x:v>15</x:v>
      </x:c>
      <x:c r="AD1796" s="44" t="b">
        <x:v>1</x:v>
      </x:c>
    </x:row>
    <x:row r="1797">
      <x:c r="A1797" s="31" t="str">
        <x:v>36081044601</x:v>
      </x:c>
      <x:c r="B1797" s="31" t="str">
        <x:v>Queens</x:v>
      </x:c>
      <x:c r="C1797" s="31" t="str">
        <x:v>044601</x:v>
      </x:c>
      <x:c r="D1797" s="31" t="str">
        <x:v>QN1201</x:v>
      </x:c>
      <x:c r="E1797" s="31" t="str">
        <x:v>Jamaica</x:v>
      </x:c>
      <x:c r="F1797" s="31" t="n">
        <x:v>0.08682330137669307</x:v>
      </x:c>
      <x:c r="G1797" s="31" t="n">
        <x:v>40.70495228291598</x:v>
      </x:c>
      <x:c r="H1797" s="31" t="n">
        <x:v>-73.79779166494671</x:v>
      </x:c>
      <x:c r="I1797" s="31" t="n">
        <x:v>4013</x:v>
      </x:c>
      <x:c r="J1797" s="31" t="n">
        <x:v>46220.31109585581</x:v>
      </x:c>
      <x:c r="K1797" s="31"/>
      <x:c r="L1797" s="40"/>
      <x:c r="M1797" s="40"/>
      <x:c r="N1797" s="31" t="n">
        <x:v>34</x:v>
      </x:c>
      <x:c r="O1797" s="31" t="n">
        <x:v>2712</x:v>
      </x:c>
      <x:c r="P1797" s="31" t="n">
        <x:v>14.660906726124118</x:v>
      </x:c>
      <x:c r="Q1797" s="40" t="n">
        <x:v>0.6957964601769911</x:v>
      </x:c>
      <x:c r="R1797" s="40" t="n">
        <x:v>0.29314159292035397</x:v>
      </x:c>
      <x:c r="S1797" s="40" t="n">
        <x:v>0.0007374631268436578</x:v>
      </x:c>
      <x:c r="T1797" s="31" t="n">
        <x:v>157.34972864768685</x:v>
      </x:c>
      <x:c r="U1797" s="31" t="n">
        <x:v>250</x:v>
      </x:c>
      <x:c r="V1797" s="31" t="n">
        <x:v>43</x:v>
      </x:c>
      <x:c r="W1797" s="31" t="n">
        <x:v>10.71517567904311</x:v>
      </x:c>
      <x:c r="X1797" s="31" t="n">
        <x:v>3.678466076696165</x:v>
      </x:c>
      <x:c r="Y1797" s="40" t="n">
        <x:v>0.3392330383480826</x:v>
      </x:c>
      <x:c r="Z1797" s="40" t="n">
        <x:v>1</x:v>
      </x:c>
      <x:c r="AA1797" s="40" t="n">
        <x:v>0.8289085545722714</x:v>
      </x:c>
      <x:c r="AB1797" s="31" t="n">
        <x:v>0.029951345917129252</x:v>
      </x:c>
      <x:c r="AC1797" s="31" t="n">
        <x:v>6</x:v>
      </x:c>
      <x:c r="AD1797" s="44" t="b">
        <x:v>1</x:v>
      </x:c>
    </x:row>
    <x:row r="1798">
      <x:c r="A1798" s="31" t="str">
        <x:v>36081044602</x:v>
      </x:c>
      <x:c r="B1798" s="31" t="str">
        <x:v>Queens</x:v>
      </x:c>
      <x:c r="C1798" s="31" t="str">
        <x:v>044602</x:v>
      </x:c>
      <x:c r="D1798" s="31" t="str">
        <x:v>QN1201</x:v>
      </x:c>
      <x:c r="E1798" s="31" t="str">
        <x:v>Jamaica</x:v>
      </x:c>
      <x:c r="F1798" s="31" t="n">
        <x:v>0.06566303567277892</x:v>
      </x:c>
      <x:c r="G1798" s="31" t="n">
        <x:v>40.70818695231313</x:v>
      </x:c>
      <x:c r="H1798" s="31" t="n">
        <x:v>-73.7998474441746</x:v>
      </x:c>
      <x:c r="I1798" s="31" t="n">
        <x:v>5472</x:v>
      </x:c>
      <x:c r="J1798" s="31" t="n">
        <x:v>83334.55716651335</x:v>
      </x:c>
      <x:c r="K1798" s="31"/>
      <x:c r="L1798" s="40"/>
      <x:c r="M1798" s="40"/>
      <x:c r="N1798" s="31" t="n">
        <x:v>175</x:v>
      </x:c>
      <x:c r="O1798" s="31" t="n">
        <x:v>1771</x:v>
      </x:c>
      <x:c r="P1798" s="31" t="n">
        <x:v>6.566346696781479</x:v>
      </x:c>
      <x:c r="Q1798" s="40" t="n">
        <x:v>0.13438735177865613</x:v>
      </x:c>
      <x:c r="R1798" s="40" t="n">
        <x:v>0.7080745341614907</x:v>
      </x:c>
      <x:c r="S1798" s="40" t="n">
        <x:v>0</x:v>
      </x:c>
      <x:c r="T1798" s="31" t="n">
        <x:v>69.18939525707289</x:v>
      </x:c>
      <x:c r="U1798" s="31" t="n">
        <x:v>146.71</x:v>
      </x:c>
      <x:c r="V1798" s="31" t="n">
        <x:v>23</x:v>
      </x:c>
      <x:c r="W1798" s="31" t="n">
        <x:v>4.203216374269005</x:v>
      </x:c>
      <x:c r="X1798" s="31" t="n">
        <x:v>3</x:v>
      </x:c>
      <x:c r="Y1798" s="40" t="n">
        <x:v>0</x:v>
      </x:c>
      <x:c r="Z1798" s="40" t="n">
        <x:v>1</x:v>
      </x:c>
      <x:c r="AA1798" s="40" t="n">
        <x:v>0.9683794466403162</x:v>
      </x:c>
      <x:c r="AB1798" s="31" t="n">
        <x:v>0.015193578902065916</x:v>
      </x:c>
      <x:c r="AC1798" s="31" t="n">
        <x:v>7</x:v>
      </x:c>
      <x:c r="AD1798" s="44" t="b">
        <x:v>1</x:v>
      </x:c>
    </x:row>
    <x:row r="1799">
      <x:c r="A1799" s="31" t="str">
        <x:v>36081044800</x:v>
      </x:c>
      <x:c r="B1799" s="31" t="str">
        <x:v>Queens</x:v>
      </x:c>
      <x:c r="C1799" s="31" t="str">
        <x:v>044800</x:v>
      </x:c>
      <x:c r="D1799" s="31" t="str">
        <x:v>QN0805</x:v>
      </x:c>
      <x:c r="E1799" s="31" t="str">
        <x:v>Jamaica Hills-Briarwood</x:v>
      </x:c>
      <x:c r="F1799" s="31" t="n">
        <x:v>0.08038358681308826</x:v>
      </x:c>
      <x:c r="G1799" s="31" t="n">
        <x:v>40.711022962572244</x:v>
      </x:c>
      <x:c r="H1799" s="31" t="n">
        <x:v>-73.80263143768109</x:v>
      </x:c>
      <x:c r="I1799" s="31" t="n">
        <x:v>3063</x:v>
      </x:c>
      <x:c r="J1799" s="31" t="n">
        <x:v>38104.793794810794</x:v>
      </x:c>
      <x:c r="K1799" s="31"/>
      <x:c r="L1799" s="40"/>
      <x:c r="M1799" s="40"/>
      <x:c r="N1799" s="31" t="n">
        <x:v>314</x:v>
      </x:c>
      <x:c r="O1799" s="31" t="n">
        <x:v>741</x:v>
      </x:c>
      <x:c r="P1799" s="31" t="n">
        <x:v>3.116400541271989</x:v>
      </x:c>
      <x:c r="Q1799" s="40" t="n">
        <x:v>0</x:v>
      </x:c>
      <x:c r="R1799" s="40" t="n">
        <x:v>0.3765182186234818</x:v>
      </x:c>
      <x:c r="S1799" s="40" t="n">
        <x:v>0.008097165991902834</x:v>
      </x:c>
      <x:c r="T1799" s="31" t="n">
        <x:v>39.63925674373297</x:v>
      </x:c>
      <x:c r="U1799" s="31" t="n">
        <x:v>84.69</x:v>
      </x:c>
      <x:c r="V1799" s="31" t="n">
        <x:v>2</x:v>
      </x:c>
      <x:c r="W1799" s="31" t="n">
        <x:v>0.6529546196539341</x:v>
      </x:c>
      <x:c r="X1799" s="31" t="n">
        <x:v>3</x:v>
      </x:c>
      <x:c r="Y1799" s="40" t="n">
        <x:v>0</x:v>
      </x:c>
      <x:c r="Z1799" s="40" t="n">
        <x:v>1</x:v>
      </x:c>
      <x:c r="AA1799" s="40" t="n">
        <x:v>0.99055330634278</x:v>
      </x:c>
      <x:c r="AB1799" s="31" t="n">
        <x:v>0.09374202219460064</x:v>
      </x:c>
      <x:c r="AC1799" s="31" t="n">
        <x:v>6</x:v>
      </x:c>
      <x:c r="AD1799" s="44" t="b">
        <x:v>1</x:v>
      </x:c>
    </x:row>
    <x:row r="1800">
      <x:c r="A1800" s="31" t="str">
        <x:v>36081045000</x:v>
      </x:c>
      <x:c r="B1800" s="31" t="str">
        <x:v>Queens</x:v>
      </x:c>
      <x:c r="C1800" s="31" t="str">
        <x:v>045000</x:v>
      </x:c>
      <x:c r="D1800" s="31" t="str">
        <x:v>QN0805</x:v>
      </x:c>
      <x:c r="E1800" s="31" t="str">
        <x:v>Jamaica Hills-Briarwood</x:v>
      </x:c>
      <x:c r="F1800" s="31" t="n">
        <x:v>0.06777502732438016</x:v>
      </x:c>
      <x:c r="G1800" s="31" t="n">
        <x:v>40.71422062282327</x:v>
      </x:c>
      <x:c r="H1800" s="31" t="n">
        <x:v>-73.80478731809636</x:v>
      </x:c>
      <x:c r="I1800" s="31" t="n">
        <x:v>2070</x:v>
      </x:c>
      <x:c r="J1800" s="31" t="n">
        <x:v>30542.22302401604</x:v>
      </x:c>
      <x:c r="K1800" s="31"/>
      <x:c r="L1800" s="40"/>
      <x:c r="M1800" s="40"/>
      <x:c r="N1800" s="31" t="n">
        <x:v>383</x:v>
      </x:c>
      <x:c r="O1800" s="31" t="n">
        <x:v>613</x:v>
      </x:c>
      <x:c r="P1800" s="31" t="n">
        <x:v>2.3841761827079937</x:v>
      </x:c>
      <x:c r="Q1800" s="40" t="n">
        <x:v>0</x:v>
      </x:c>
      <x:c r="R1800" s="40" t="n">
        <x:v>0.10114192495921696</x:v>
      </x:c>
      <x:c r="S1800" s="40" t="n">
        <x:v>0</x:v>
      </x:c>
      <x:c r="T1800" s="31" t="n">
        <x:v>29.609592263645318</x:v>
      </x:c>
      <x:c r="U1800" s="31" t="n">
        <x:v>40</x:v>
      </x:c>
      <x:c r="V1800" s="31" t="n">
        <x:v>0</x:v>
      </x:c>
      <x:c r="W1800" s="31" t="n">
        <x:v>0</x:v>
      </x:c>
      <x:c r="X1800" s="31" t="n">
        <x:v>3</x:v>
      </x:c>
      <x:c r="Y1800" s="40" t="n">
        <x:v>0</x:v>
      </x:c>
      <x:c r="Z1800" s="40" t="n">
        <x:v>1</x:v>
      </x:c>
      <x:c r="AA1800" s="40" t="n">
        <x:v>0.9934747145187602</x:v>
      </x:c>
      <x:c r="AB1800" s="31" t="n">
        <x:v>0.19946727452534158</x:v>
      </x:c>
      <x:c r="AC1800" s="31" t="n">
        <x:v>6</x:v>
      </x:c>
      <x:c r="AD1800" s="44" t="b">
        <x:v>1</x:v>
      </x:c>
    </x:row>
    <x:row r="1801">
      <x:c r="A1801" s="31" t="str">
        <x:v>36081045200</x:v>
      </x:c>
      <x:c r="B1801" s="31" t="str">
        <x:v>Queens</x:v>
      </x:c>
      <x:c r="C1801" s="31" t="str">
        <x:v>045200</x:v>
      </x:c>
      <x:c r="D1801" s="31" t="str">
        <x:v>QN0805</x:v>
      </x:c>
      <x:c r="E1801" s="31" t="str">
        <x:v>Jamaica Hills-Briarwood</x:v>
      </x:c>
      <x:c r="F1801" s="31" t="n">
        <x:v>0.08307513740099862</x:v>
      </x:c>
      <x:c r="G1801" s="31" t="n">
        <x:v>40.714673260463975</x:v>
      </x:c>
      <x:c r="H1801" s="31" t="n">
        <x:v>-73.79959321230352</x:v>
      </x:c>
      <x:c r="I1801" s="31" t="n">
        <x:v>1209</x:v>
      </x:c>
      <x:c r="J1801" s="31" t="n">
        <x:v>14553.090585504913</x:v>
      </x:c>
      <x:c r="K1801" s="31"/>
      <x:c r="L1801" s="40"/>
      <x:c r="M1801" s="40"/>
      <x:c r="N1801" s="31" t="n">
        <x:v>80</x:v>
      </x:c>
      <x:c r="O1801" s="31" t="n">
        <x:v>202</x:v>
      </x:c>
      <x:c r="P1801" s="31" t="n">
        <x:v>3.907178217821782</x:v>
      </x:c>
      <x:c r="Q1801" s="40" t="n">
        <x:v>0</x:v>
      </x:c>
      <x:c r="R1801" s="40" t="n">
        <x:v>0.594059405940594</x:v>
      </x:c>
      <x:c r="S1801" s="40" t="n">
        <x:v>0.0049504950495049506</x:v>
      </x:c>
      <x:c r="T1801" s="31" t="n">
        <x:v>50.00331683168317</x:v>
      </x:c>
      <x:c r="U1801" s="31" t="n">
        <x:v>81.31</x:v>
      </x:c>
      <x:c r="V1801" s="31" t="n">
        <x:v>1</x:v>
      </x:c>
      <x:c r="W1801" s="31" t="n">
        <x:v>0.8271298593879239</x:v>
      </x:c>
      <x:c r="X1801" s="31" t="n">
        <x:v>3</x:v>
      </x:c>
      <x:c r="Y1801" s="40" t="n">
        <x:v>0</x:v>
      </x:c>
      <x:c r="Z1801" s="40" t="n">
        <x:v>1</x:v>
      </x:c>
      <x:c r="AA1801" s="40" t="n">
        <x:v>1</x:v>
      </x:c>
      <x:c r="AB1801" s="31" t="n">
        <x:v>0.06712516381063306</x:v>
      </x:c>
      <x:c r="AC1801" s="31" t="n">
        <x:v>6</x:v>
      </x:c>
      <x:c r="AD1801" s="44" t="b">
        <x:v>1</x:v>
      </x:c>
    </x:row>
    <x:row r="1802">
      <x:c r="A1802" s="31" t="str">
        <x:v>36081045400</x:v>
      </x:c>
      <x:c r="B1802" s="31" t="str">
        <x:v>Queens</x:v>
      </x:c>
      <x:c r="C1802" s="31" t="str">
        <x:v>045400</x:v>
      </x:c>
      <x:c r="D1802" s="31" t="str">
        <x:v>QN0805</x:v>
      </x:c>
      <x:c r="E1802" s="31" t="str">
        <x:v>Jamaica Hills-Briarwood</x:v>
      </x:c>
      <x:c r="F1802" s="31" t="n">
        <x:v>0.09013487545985421</x:v>
      </x:c>
      <x:c r="G1802" s="31" t="n">
        <x:v>40.71263275547197</x:v>
      </x:c>
      <x:c r="H1802" s="31" t="n">
        <x:v>-73.79603662764468</x:v>
      </x:c>
      <x:c r="I1802" s="31" t="n">
        <x:v>5207</x:v>
      </x:c>
      <x:c r="J1802" s="31" t="n">
        <x:v>57768.982022049626</x:v>
      </x:c>
      <x:c r="K1802" s="31"/>
      <x:c r="L1802" s="40"/>
      <x:c r="M1802" s="40"/>
      <x:c r="N1802" s="31" t="n">
        <x:v>338</x:v>
      </x:c>
      <x:c r="O1802" s="31" t="n">
        <x:v>1459</x:v>
      </x:c>
      <x:c r="P1802" s="31" t="n">
        <x:v>5.278314993122421</x:v>
      </x:c>
      <x:c r="Q1802" s="40" t="n">
        <x:v>0.08910212474297464</x:v>
      </x:c>
      <x:c r="R1802" s="40" t="n">
        <x:v>0.654557916381083</x:v>
      </x:c>
      <x:c r="S1802" s="40" t="n">
        <x:v>0.00616860863605209</x:v>
      </x:c>
      <x:c r="T1802" s="31" t="n">
        <x:v>54.85588252092041</x:v>
      </x:c>
      <x:c r="U1802" s="31" t="n">
        <x:v>116.3</x:v>
      </x:c>
      <x:c r="V1802" s="31" t="n">
        <x:v>22</x:v>
      </x:c>
      <x:c r="W1802" s="31" t="n">
        <x:v>4.225081620894949</x:v>
      </x:c>
      <x:c r="X1802" s="31" t="n">
        <x:v>3</x:v>
      </x:c>
      <x:c r="Y1802" s="40" t="n">
        <x:v>0</x:v>
      </x:c>
      <x:c r="Z1802" s="40" t="n">
        <x:v>1</x:v>
      </x:c>
      <x:c r="AA1802" s="40" t="n">
        <x:v>0.9904043865661412</x:v>
      </x:c>
      <x:c r="AB1802" s="31" t="n">
        <x:v>0.17674702038418796</x:v>
      </x:c>
      <x:c r="AC1802" s="31" t="n">
        <x:v>6</x:v>
      </x:c>
      <x:c r="AD1802" s="44" t="b">
        <x:v>1</x:v>
      </x:c>
    </x:row>
    <x:row r="1803">
      <x:c r="A1803" s="31" t="str">
        <x:v>36081045500</x:v>
      </x:c>
      <x:c r="B1803" s="31" t="str">
        <x:v>Queens</x:v>
      </x:c>
      <x:c r="C1803" s="31" t="str">
        <x:v>045500</x:v>
      </x:c>
      <x:c r="D1803" s="31" t="str">
        <x:v>QN0402</x:v>
      </x:c>
      <x:c r="E1803" s="31" t="str">
        <x:v>Corona</x:v>
      </x:c>
      <x:c r="F1803" s="31" t="n">
        <x:v>0.057190383390366736</x:v>
      </x:c>
      <x:c r="G1803" s="31" t="n">
        <x:v>40.73631258060231</x:v>
      </x:c>
      <x:c r="H1803" s="31" t="n">
        <x:v>-73.86232531978835</x:v>
      </x:c>
      <x:c r="I1803" s="31" t="n">
        <x:v>13200</x:v>
      </x:c>
      <x:c r="J1803" s="31" t="n">
        <x:v>230808.03480368754</x:v>
      </x:c>
      <x:c r="K1803" s="31"/>
      <x:c r="L1803" s="40"/>
      <x:c r="M1803" s="40"/>
      <x:c r="N1803" s="31" t="n">
        <x:v>20</x:v>
      </x:c>
      <x:c r="O1803" s="31" t="n">
        <x:v>4618</x:v>
      </x:c>
      <x:c r="P1803" s="31" t="n">
        <x:v>16</x:v>
      </x:c>
      <x:c r="Q1803" s="40" t="n">
        <x:v>1</x:v>
      </x:c>
      <x:c r="R1803" s="40" t="n">
        <x:v>0</x:v>
      </x:c>
      <x:c r="S1803" s="40" t="n">
        <x:v>0</x:v>
      </x:c>
      <x:c r="T1803" s="31" t="n">
        <x:v>145.59658077089648</x:v>
      </x:c>
      <x:c r="U1803" s="31" t="n">
        <x:v>149.89</x:v>
      </x:c>
      <x:c r="V1803" s="31" t="n">
        <x:v>63</x:v>
      </x:c>
      <x:c r="W1803" s="31" t="n">
        <x:v>4.772727272727273</x:v>
      </x:c>
      <x:c r="X1803" s="31" t="n">
        <x:v>4</x:v>
      </x:c>
      <x:c r="Y1803" s="40" t="n">
        <x:v>1</x:v>
      </x:c>
      <x:c r="Z1803" s="40" t="n">
        <x:v>1</x:v>
      </x:c>
      <x:c r="AA1803" s="40" t="n">
        <x:v>1</x:v>
      </x:c>
      <x:c r="AB1803" s="31" t="n">
        <x:v>0.08727886677438104</x:v>
      </x:c>
      <x:c r="AC1803" s="31" t="n">
        <x:v>5</x:v>
      </x:c>
      <x:c r="AD1803" s="44" t="b">
        <x:v>1</x:v>
      </x:c>
    </x:row>
    <x:row r="1804">
      <x:c r="A1804" s="31" t="str">
        <x:v>36081045600</x:v>
      </x:c>
      <x:c r="B1804" s="31" t="str">
        <x:v>Queens</x:v>
      </x:c>
      <x:c r="C1804" s="31" t="str">
        <x:v>045600</x:v>
      </x:c>
      <x:c r="D1804" s="31" t="str">
        <x:v>QN0805</x:v>
      </x:c>
      <x:c r="E1804" s="31" t="str">
        <x:v>Jamaica Hills-Briarwood</x:v>
      </x:c>
      <x:c r="F1804" s="31" t="n">
        <x:v>0.06257158483090851</x:v>
      </x:c>
      <x:c r="G1804" s="31" t="n">
        <x:v>40.716629450801506</x:v>
      </x:c>
      <x:c r="H1804" s="31" t="n">
        <x:v>-73.79398725800972</x:v>
      </x:c>
      <x:c r="I1804" s="31" t="n">
        <x:v>1365</x:v>
      </x:c>
      <x:c r="J1804" s="31" t="n">
        <x:v>21815.014014568005</x:v>
      </x:c>
      <x:c r="K1804" s="31"/>
      <x:c r="L1804" s="40"/>
      <x:c r="M1804" s="40"/>
      <x:c r="N1804" s="31" t="n">
        <x:v>226</x:v>
      </x:c>
      <x:c r="O1804" s="31" t="n">
        <x:v>314</x:v>
      </x:c>
      <x:c r="P1804" s="31" t="n">
        <x:v>2.274968152866242</x:v>
      </x:c>
      <x:c r="Q1804" s="40" t="n">
        <x:v>0</x:v>
      </x:c>
      <x:c r="R1804" s="40" t="n">
        <x:v>0</x:v>
      </x:c>
      <x:c r="S1804" s="40" t="n">
        <x:v>0.009554140127388535</x:v>
      </x:c>
      <x:c r="T1804" s="31" t="n">
        <x:v>28.94201838767516</x:v>
      </x:c>
      <x:c r="U1804" s="31" t="n">
        <x:v>35.91</x:v>
      </x:c>
      <x:c r="V1804" s="31" t="n">
        <x:v>0</x:v>
      </x:c>
      <x:c r="W1804" s="31" t="n">
        <x:v>0</x:v>
      </x:c>
      <x:c r="X1804" s="31" t="n">
        <x:v>3</x:v>
      </x:c>
      <x:c r="Y1804" s="40" t="n">
        <x:v>0</x:v>
      </x:c>
      <x:c r="Z1804" s="40" t="n">
        <x:v>1</x:v>
      </x:c>
      <x:c r="AA1804" s="40" t="n">
        <x:v>1</x:v>
      </x:c>
      <x:c r="AB1804" s="31" t="n">
        <x:v>0.04052421053106701</x:v>
      </x:c>
      <x:c r="AC1804" s="31" t="n">
        <x:v>6</x:v>
      </x:c>
      <x:c r="AD1804" s="44" t="b">
        <x:v>1</x:v>
      </x:c>
    </x:row>
    <x:row r="1805">
      <x:c r="A1805" s="31" t="str">
        <x:v>36081045700</x:v>
      </x:c>
      <x:c r="B1805" s="31" t="str">
        <x:v>Queens</x:v>
      </x:c>
      <x:c r="C1805" s="31" t="str">
        <x:v>045700</x:v>
      </x:c>
      <x:c r="D1805" s="31" t="str">
        <x:v>QN0401</x:v>
      </x:c>
      <x:c r="E1805" s="31" t="str">
        <x:v>Elmhurst</x:v>
      </x:c>
      <x:c r="F1805" s="31" t="n">
        <x:v>0.05811861303195306</x:v>
      </x:c>
      <x:c r="G1805" s="31" t="n">
        <x:v>40.737721745093765</x:v>
      </x:c>
      <x:c r="H1805" s="31" t="n">
        <x:v>-73.86983829887696</x:v>
      </x:c>
      <x:c r="I1805" s="31" t="n">
        <x:v>3536</x:v>
      </x:c>
      <x:c r="J1805" s="31" t="n">
        <x:v>60841.094023629594</x:v>
      </x:c>
      <x:c r="K1805" s="31"/>
      <x:c r="L1805" s="40"/>
      <x:c r="M1805" s="40"/>
      <x:c r="N1805" s="31" t="n">
        <x:v>372</x:v>
      </x:c>
      <x:c r="O1805" s="31" t="n">
        <x:v>1078</x:v>
      </x:c>
      <x:c r="P1805" s="31" t="n">
        <x:v>3.6416558139534887</x:v>
      </x:c>
      <x:c r="Q1805" s="40" t="n">
        <x:v>0.10111317254174397</x:v>
      </x:c>
      <x:c r="R1805" s="40" t="n">
        <x:v>0.487012987012987</x:v>
      </x:c>
      <x:c r="S1805" s="40" t="n">
        <x:v>0.00927643784786642</x:v>
      </x:c>
      <x:c r="T1805" s="31" t="n">
        <x:v>44.12760831375696</x:v>
      </x:c>
      <x:c r="U1805" s="31" t="n">
        <x:v>129.16</x:v>
      </x:c>
      <x:c r="V1805" s="31" t="n">
        <x:v>4</x:v>
      </x:c>
      <x:c r="W1805" s="31" t="n">
        <x:v>1.1312217194570138</x:v>
      </x:c>
      <x:c r="X1805" s="31" t="n">
        <x:v>3</x:v>
      </x:c>
      <x:c r="Y1805" s="40" t="n">
        <x:v>0</x:v>
      </x:c>
      <x:c r="Z1805" s="40" t="n">
        <x:v>1</x:v>
      </x:c>
      <x:c r="AA1805" s="40" t="n">
        <x:v>1</x:v>
      </x:c>
      <x:c r="AB1805" s="31" t="n">
        <x:v>0.11016954281140166</x:v>
      </x:c>
      <x:c r="AC1805" s="31" t="n">
        <x:v>4</x:v>
      </x:c>
      <x:c r="AD1805" s="44" t="b">
        <x:v>1</x:v>
      </x:c>
    </x:row>
    <x:row r="1806">
      <x:c r="A1806" s="31" t="str">
        <x:v>36081045800</x:v>
      </x:c>
      <x:c r="B1806" s="31" t="str">
        <x:v>Queens</x:v>
      </x:c>
      <x:c r="C1806" s="31" t="str">
        <x:v>045800</x:v>
      </x:c>
      <x:c r="D1806" s="31" t="str">
        <x:v>QN0804</x:v>
      </x:c>
      <x:c r="E1806" s="31" t="str">
        <x:v>Jamaica Estates-Holliswood</x:v>
      </x:c>
      <x:c r="F1806" s="31" t="n">
        <x:v>0.09468712109697831</x:v>
      </x:c>
      <x:c r="G1806" s="31" t="n">
        <x:v>40.71526019881931</x:v>
      </x:c>
      <x:c r="H1806" s="31" t="n">
        <x:v>-73.79092616103242</x:v>
      </x:c>
      <x:c r="I1806" s="31" t="n">
        <x:v>2271</x:v>
      </x:c>
      <x:c r="J1806" s="31" t="n">
        <x:v>23984.2543916194</x:v>
      </x:c>
      <x:c r="K1806" s="31"/>
      <x:c r="L1806" s="40"/>
      <x:c r="M1806" s="40"/>
      <x:c r="N1806" s="31" t="n">
        <x:v>261</x:v>
      </x:c>
      <x:c r="O1806" s="31" t="n">
        <x:v>705</x:v>
      </x:c>
      <x:c r="P1806" s="31" t="n">
        <x:v>4.3445078459343796</x:v>
      </x:c>
      <x:c r="Q1806" s="40" t="n">
        <x:v>0</x:v>
      </x:c>
      <x:c r="R1806" s="40" t="n">
        <x:v>0.6539007092198581</x:v>
      </x:c>
      <x:c r="S1806" s="40" t="n">
        <x:v>0.0014184397163120568</x:v>
      </x:c>
      <x:c r="T1806" s="31" t="n">
        <x:v>49.34890827816761</x:v>
      </x:c>
      <x:c r="U1806" s="31" t="n">
        <x:v>80.4</x:v>
      </x:c>
      <x:c r="V1806" s="31" t="n">
        <x:v>11</x:v>
      </x:c>
      <x:c r="W1806" s="31" t="n">
        <x:v>4.84368119771026</x:v>
      </x:c>
      <x:c r="X1806" s="31" t="n">
        <x:v>3</x:v>
      </x:c>
      <x:c r="Y1806" s="40" t="n">
        <x:v>0</x:v>
      </x:c>
      <x:c r="Z1806" s="40" t="n">
        <x:v>1</x:v>
      </x:c>
      <x:c r="AA1806" s="40" t="n">
        <x:v>0.9985815602836879</x:v>
      </x:c>
      <x:c r="AB1806" s="31" t="n">
        <x:v>0.22589979781110694</x:v>
      </x:c>
      <x:c r="AC1806" s="31" t="n">
        <x:v>6</x:v>
      </x:c>
      <x:c r="AD1806" s="44" t="b">
        <x:v>1</x:v>
      </x:c>
    </x:row>
    <x:row r="1807">
      <x:c r="A1807" s="31" t="str">
        <x:v>36081045900</x:v>
      </x:c>
      <x:c r="B1807" s="31" t="str">
        <x:v>Queens</x:v>
      </x:c>
      <x:c r="C1807" s="31" t="str">
        <x:v>045900</x:v>
      </x:c>
      <x:c r="D1807" s="31" t="str">
        <x:v>QN0401</x:v>
      </x:c>
      <x:c r="E1807" s="31" t="str">
        <x:v>Elmhurst</x:v>
      </x:c>
      <x:c r="F1807" s="31" t="n">
        <x:v>0.05284869942823117</x:v>
      </x:c>
      <x:c r="G1807" s="31" t="n">
        <x:v>40.73987731160042</x:v>
      </x:c>
      <x:c r="H1807" s="31" t="n">
        <x:v>-73.87068054809875</x:v>
      </x:c>
      <x:c r="I1807" s="31" t="n">
        <x:v>4150</x:v>
      </x:c>
      <x:c r="J1807" s="31" t="n">
        <x:v>78526.05730886005</x:v>
      </x:c>
      <x:c r="K1807" s="31"/>
      <x:c r="L1807" s="40"/>
      <x:c r="M1807" s="40"/>
      <x:c r="N1807" s="31" t="n">
        <x:v>400</x:v>
      </x:c>
      <x:c r="O1807" s="31" t="n">
        <x:v>1077</x:v>
      </x:c>
      <x:c r="P1807" s="31" t="n">
        <x:v>2.7954738878143135</x:v>
      </x:c>
      <x:c r="Q1807" s="40" t="n">
        <x:v>0</x:v>
      </x:c>
      <x:c r="R1807" s="40" t="n">
        <x:v>0.5097493036211699</x:v>
      </x:c>
      <x:c r="S1807" s="40" t="n">
        <x:v>0</x:v>
      </x:c>
      <x:c r="T1807" s="31" t="n">
        <x:v>32.454864332759584</x:v>
      </x:c>
      <x:c r="U1807" s="31" t="n">
        <x:v>44</x:v>
      </x:c>
      <x:c r="V1807" s="31" t="n">
        <x:v>2</x:v>
      </x:c>
      <x:c r="W1807" s="31" t="n">
        <x:v>0.4819277108433735</x:v>
      </x:c>
      <x:c r="X1807" s="31" t="n">
        <x:v>3</x:v>
      </x:c>
      <x:c r="Y1807" s="40" t="n">
        <x:v>0</x:v>
      </x:c>
      <x:c r="Z1807" s="40" t="n">
        <x:v>1</x:v>
      </x:c>
      <x:c r="AA1807" s="40" t="n">
        <x:v>0.9925719591457753</x:v>
      </x:c>
      <x:c r="AB1807" s="31" t="n">
        <x:v>0.19114580693014502</x:v>
      </x:c>
      <x:c r="AC1807" s="31" t="n">
        <x:v>6</x:v>
      </x:c>
      <x:c r="AD1807" s="44" t="b">
        <x:v>1</x:v>
      </x:c>
    </x:row>
    <x:row r="1808">
      <x:c r="A1808" s="31" t="str">
        <x:v>36081046000</x:v>
      </x:c>
      <x:c r="B1808" s="31" t="str">
        <x:v>Queens</x:v>
      </x:c>
      <x:c r="C1808" s="31" t="str">
        <x:v>046000</x:v>
      </x:c>
      <x:c r="D1808" s="31" t="str">
        <x:v>QN1201</x:v>
      </x:c>
      <x:c r="E1808" s="31" t="str">
        <x:v>Jamaica</x:v>
      </x:c>
      <x:c r="F1808" s="31" t="n">
        <x:v>0.08546510858693468</x:v>
      </x:c>
      <x:c r="G1808" s="31" t="n">
        <x:v>40.70825749246008</x:v>
      </x:c>
      <x:c r="H1808" s="31" t="n">
        <x:v>-73.79349005598142</x:v>
      </x:c>
      <x:c r="I1808" s="31" t="n">
        <x:v>6193</x:v>
      </x:c>
      <x:c r="J1808" s="31" t="n">
        <x:v>72462.31944701166</x:v>
      </x:c>
      <x:c r="K1808" s="31"/>
      <x:c r="L1808" s="40"/>
      <x:c r="M1808" s="40"/>
      <x:c r="N1808" s="31" t="n">
        <x:v>186</x:v>
      </x:c>
      <x:c r="O1808" s="31" t="n">
        <x:v>2586</x:v>
      </x:c>
      <x:c r="P1808" s="31" t="n">
        <x:v>8.227958236658933</x:v>
      </x:c>
      <x:c r="Q1808" s="40" t="n">
        <x:v>0.5324825986078886</x:v>
      </x:c>
      <x:c r="R1808" s="40" t="n">
        <x:v>0.34725444702242847</x:v>
      </x:c>
      <x:c r="S1808" s="40" t="n">
        <x:v>0.0007733952049497294</x:v>
      </x:c>
      <x:c r="T1808" s="31" t="n">
        <x:v>70.3217871417284</x:v>
      </x:c>
      <x:c r="U1808" s="31" t="n">
        <x:v>144</x:v>
      </x:c>
      <x:c r="V1808" s="31" t="n">
        <x:v>32</x:v>
      </x:c>
      <x:c r="W1808" s="31" t="n">
        <x:v>5.16712417245277</x:v>
      </x:c>
      <x:c r="X1808" s="31" t="n">
        <x:v>3</x:v>
      </x:c>
      <x:c r="Y1808" s="40" t="n">
        <x:v>0</x:v>
      </x:c>
      <x:c r="Z1808" s="40" t="n">
        <x:v>1</x:v>
      </x:c>
      <x:c r="AA1808" s="40" t="n">
        <x:v>0.7517401392111369</x:v>
      </x:c>
      <x:c r="AB1808" s="31" t="n">
        <x:v>0.06816318382741317</x:v>
      </x:c>
      <x:c r="AC1808" s="31" t="n">
        <x:v>6</x:v>
      </x:c>
      <x:c r="AD1808" s="44" t="b">
        <x:v>1</x:v>
      </x:c>
    </x:row>
    <x:row r="1809">
      <x:c r="A1809" s="31" t="str">
        <x:v>36081046100</x:v>
      </x:c>
      <x:c r="B1809" s="31" t="str">
        <x:v>Queens</x:v>
      </x:c>
      <x:c r="C1809" s="31" t="str">
        <x:v>046100</x:v>
      </x:c>
      <x:c r="D1809" s="31" t="str">
        <x:v>QN0401</x:v>
      </x:c>
      <x:c r="E1809" s="31" t="str">
        <x:v>Elmhurst</x:v>
      </x:c>
      <x:c r="F1809" s="31" t="n">
        <x:v>0.04399902811495638</x:v>
      </x:c>
      <x:c r="G1809" s="31" t="n">
        <x:v>40.74172376940996</x:v>
      </x:c>
      <x:c r="H1809" s="31" t="n">
        <x:v>-73.87126638620438</x:v>
      </x:c>
      <x:c r="I1809" s="31" t="n">
        <x:v>2903</x:v>
      </x:c>
      <x:c r="J1809" s="31" t="n">
        <x:v>65978.73008502198</x:v>
      </x:c>
      <x:c r="K1809" s="31"/>
      <x:c r="L1809" s="40"/>
      <x:c r="M1809" s="40"/>
      <x:c r="N1809" s="31" t="n">
        <x:v>284</x:v>
      </x:c>
      <x:c r="O1809" s="31" t="n">
        <x:v>739</x:v>
      </x:c>
      <x:c r="P1809" s="31" t="n">
        <x:v>2.763450608930988</x:v>
      </x:c>
      <x:c r="Q1809" s="40" t="n">
        <x:v>0</x:v>
      </x:c>
      <x:c r="R1809" s="40" t="n">
        <x:v>0.618403247631935</x:v>
      </x:c>
      <x:c r="S1809" s="40" t="n">
        <x:v>0</x:v>
      </x:c>
      <x:c r="T1809" s="31" t="n">
        <x:v>31.441208095912806</x:v>
      </x:c>
      <x:c r="U1809" s="31" t="n">
        <x:v>50</x:v>
      </x:c>
      <x:c r="V1809" s="31" t="n">
        <x:v>1</x:v>
      </x:c>
      <x:c r="W1809" s="31" t="n">
        <x:v>0.3444712366517396</x:v>
      </x:c>
      <x:c r="X1809" s="31" t="n">
        <x:v>3.037889039242219</x:v>
      </x:c>
      <x:c r="Y1809" s="40" t="n">
        <x:v>0.037889039242219216</x:v>
      </x:c>
      <x:c r="Z1809" s="40" t="n">
        <x:v>1</x:v>
      </x:c>
      <x:c r="AA1809" s="40" t="n">
        <x:v>0.993234100135318</x:v>
      </x:c>
      <x:c r="AB1809" s="31" t="n">
        <x:v>0.11413947910515165</x:v>
      </x:c>
      <x:c r="AC1809" s="31" t="n">
        <x:v>5</x:v>
      </x:c>
      <x:c r="AD1809" s="44" t="b">
        <x:v>1</x:v>
      </x:c>
    </x:row>
    <x:row r="1810">
      <x:c r="A1810" s="31" t="str">
        <x:v>36081046200</x:v>
      </x:c>
      <x:c r="B1810" s="31" t="str">
        <x:v>Queens</x:v>
      </x:c>
      <x:c r="C1810" s="31" t="str">
        <x:v>046200</x:v>
      </x:c>
      <x:c r="D1810" s="31" t="str">
        <x:v>QN1201</x:v>
      </x:c>
      <x:c r="E1810" s="31" t="str">
        <x:v>Jamaica</x:v>
      </x:c>
      <x:c r="F1810" s="31" t="n">
        <x:v>0.0963798639014434</x:v>
      </x:c>
      <x:c r="G1810" s="31" t="n">
        <x:v>40.70985663172159</x:v>
      </x:c>
      <x:c r="H1810" s="31" t="n">
        <x:v>-73.7879772109158</x:v>
      </x:c>
      <x:c r="I1810" s="31" t="n">
        <x:v>8206</x:v>
      </x:c>
      <x:c r="J1810" s="31" t="n">
        <x:v>85142.26590308669</x:v>
      </x:c>
      <x:c r="K1810" s="31"/>
      <x:c r="L1810" s="40"/>
      <x:c r="M1810" s="40"/>
      <x:c r="N1810" s="31" t="n">
        <x:v>479</x:v>
      </x:c>
      <x:c r="O1810" s="31" t="n">
        <x:v>2557</x:v>
      </x:c>
      <x:c r="P1810" s="31" t="n">
        <x:v>4.856978840125392</x:v>
      </x:c>
      <x:c r="Q1810" s="40" t="n">
        <x:v>0.02659366445052796</x:v>
      </x:c>
      <x:c r="R1810" s="40" t="n">
        <x:v>0.7477512710207275</x:v>
      </x:c>
      <x:c r="S1810" s="40" t="n">
        <x:v>0.01134141572154869</x:v>
      </x:c>
      <x:c r="T1810" s="31" t="n">
        <x:v>52.04108654568337</x:v>
      </x:c>
      <x:c r="U1810" s="31" t="n">
        <x:v>100</x:v>
      </x:c>
      <x:c r="V1810" s="31" t="n">
        <x:v>34</x:v>
      </x:c>
      <x:c r="W1810" s="31" t="n">
        <x:v>4.143309773336583</x:v>
      </x:c>
      <x:c r="X1810" s="31" t="n">
        <x:v>3</x:v>
      </x:c>
      <x:c r="Y1810" s="40" t="n">
        <x:v>0</x:v>
      </x:c>
      <x:c r="Z1810" s="40" t="n">
        <x:v>1</x:v>
      </x:c>
      <x:c r="AA1810" s="40" t="n">
        <x:v>0.9757528353539304</x:v>
      </x:c>
      <x:c r="AB1810" s="31" t="n">
        <x:v>0.20953639911595695</x:v>
      </x:c>
      <x:c r="AC1810" s="31" t="n">
        <x:v>4</x:v>
      </x:c>
      <x:c r="AD1810" s="44" t="b">
        <x:v>1</x:v>
      </x:c>
    </x:row>
    <x:row r="1811">
      <x:c r="A1811" s="31" t="str">
        <x:v>36081046300</x:v>
      </x:c>
      <x:c r="B1811" s="31" t="str">
        <x:v>Queens</x:v>
      </x:c>
      <x:c r="C1811" s="31" t="str">
        <x:v>046300</x:v>
      </x:c>
      <x:c r="D1811" s="31" t="str">
        <x:v>QN0401</x:v>
      </x:c>
      <x:c r="E1811" s="31" t="str">
        <x:v>Elmhurst</x:v>
      </x:c>
      <x:c r="F1811" s="31" t="n">
        <x:v>0.06136587308525597</x:v>
      </x:c>
      <x:c r="G1811" s="31" t="n">
        <x:v>40.74400313511374</x:v>
      </x:c>
      <x:c r="H1811" s="31" t="n">
        <x:v>-73.87109903035523</x:v>
      </x:c>
      <x:c r="I1811" s="31" t="n">
        <x:v>4541</x:v>
      </x:c>
      <x:c r="J1811" s="31" t="n">
        <x:v>73998.78420520738</x:v>
      </x:c>
      <x:c r="K1811" s="31"/>
      <x:c r="L1811" s="40"/>
      <x:c r="M1811" s="40"/>
      <x:c r="N1811" s="31" t="n">
        <x:v>323</x:v>
      </x:c>
      <x:c r="O1811" s="31" t="n">
        <x:v>1118</x:v>
      </x:c>
      <x:c r="P1811" s="31" t="n">
        <x:v>3.217298747763864</x:v>
      </x:c>
      <x:c r="Q1811" s="40" t="n">
        <x:v>0</x:v>
      </x:c>
      <x:c r="R1811" s="40" t="n">
        <x:v>0.6475849731663685</x:v>
      </x:c>
      <x:c r="S1811" s="40" t="n">
        <x:v>0.04382826475849732</x:v>
      </x:c>
      <x:c r="T1811" s="31" t="n">
        <x:v>35.250111860206836</x:v>
      </x:c>
      <x:c r="U1811" s="31" t="n">
        <x:v>64.34</x:v>
      </x:c>
      <x:c r="V1811" s="31" t="n">
        <x:v>2</x:v>
      </x:c>
      <x:c r="W1811" s="31" t="n">
        <x:v>0.44043162299053074</x:v>
      </x:c>
      <x:c r="X1811" s="31" t="n">
        <x:v>3.037567084078712</x:v>
      </x:c>
      <x:c r="Y1811" s="40" t="n">
        <x:v>0.03756708407871199</x:v>
      </x:c>
      <x:c r="Z1811" s="40" t="n">
        <x:v>1</x:v>
      </x:c>
      <x:c r="AA1811" s="40" t="n">
        <x:v>0.9946332737030411</x:v>
      </x:c>
      <x:c r="AB1811" s="31" t="n">
        <x:v>0.04857250131260362</x:v>
      </x:c>
      <x:c r="AC1811" s="31" t="n">
        <x:v>6</x:v>
      </x:c>
      <x:c r="AD1811" s="44" t="b">
        <x:v>1</x:v>
      </x:c>
    </x:row>
    <x:row r="1812">
      <x:c r="A1812" s="31" t="str">
        <x:v>36081046400</x:v>
      </x:c>
      <x:c r="B1812" s="31" t="str">
        <x:v>Queens</x:v>
      </x:c>
      <x:c r="C1812" s="31" t="str">
        <x:v>046400</x:v>
      </x:c>
      <x:c r="D1812" s="31" t="str">
        <x:v>QN0804</x:v>
      </x:c>
      <x:c r="E1812" s="31" t="str">
        <x:v>Jamaica Estates-Holliswood</x:v>
      </x:c>
      <x:c r="F1812" s="31" t="n">
        <x:v>0.08860409041874713</x:v>
      </x:c>
      <x:c r="G1812" s="31" t="n">
        <x:v>40.71686940292101</x:v>
      </x:c>
      <x:c r="H1812" s="31" t="n">
        <x:v>-73.7869966230828</x:v>
      </x:c>
      <x:c r="I1812" s="31" t="n">
        <x:v>1841</x:v>
      </x:c>
      <x:c r="J1812" s="31" t="n">
        <x:v>20777.821783388856</x:v>
      </x:c>
      <x:c r="K1812" s="31"/>
      <x:c r="L1812" s="40"/>
      <x:c r="M1812" s="40"/>
      <x:c r="N1812" s="31" t="n">
        <x:v>195</x:v>
      </x:c>
      <x:c r="O1812" s="31" t="n">
        <x:v>536</x:v>
      </x:c>
      <x:c r="P1812" s="31" t="n">
        <x:v>3.7114738805970147</x:v>
      </x:c>
      <x:c r="Q1812" s="40" t="n">
        <x:v>0</x:v>
      </x:c>
      <x:c r="R1812" s="40" t="n">
        <x:v>0.5932835820895522</x:v>
      </x:c>
      <x:c r="S1812" s="40" t="n">
        <x:v>0.14365671641791045</x:v>
      </x:c>
      <x:c r="T1812" s="31" t="n">
        <x:v>43.20825620410305</x:v>
      </x:c>
      <x:c r="U1812" s="31" t="n">
        <x:v>124</x:v>
      </x:c>
      <x:c r="V1812" s="31" t="n">
        <x:v>5</x:v>
      </x:c>
      <x:c r="W1812" s="31" t="n">
        <x:v>2.7159152634437804</x:v>
      </x:c>
      <x:c r="X1812" s="31" t="n">
        <x:v>3</x:v>
      </x:c>
      <x:c r="Y1812" s="40" t="n">
        <x:v>0</x:v>
      </x:c>
      <x:c r="Z1812" s="40" t="n">
        <x:v>1</x:v>
      </x:c>
      <x:c r="AA1812" s="40" t="n">
        <x:v>0.9776119402985075</x:v>
      </x:c>
      <x:c r="AB1812" s="31" t="n">
        <x:v>0.39591275763683176</x:v>
      </x:c>
      <x:c r="AC1812" s="31" t="n">
        <x:v>6</x:v>
      </x:c>
      <x:c r="AD1812" s="44" t="b">
        <x:v>1</x:v>
      </x:c>
    </x:row>
    <x:row r="1813">
      <x:c r="A1813" s="31" t="str">
        <x:v>36081046500</x:v>
      </x:c>
      <x:c r="B1813" s="31" t="str">
        <x:v>Queens</x:v>
      </x:c>
      <x:c r="C1813" s="31" t="str">
        <x:v>046500</x:v>
      </x:c>
      <x:c r="D1813" s="31" t="str">
        <x:v>QN0401</x:v>
      </x:c>
      <x:c r="E1813" s="31" t="str">
        <x:v>Elmhurst</x:v>
      </x:c>
      <x:c r="F1813" s="31" t="n">
        <x:v>0.05010054521062902</x:v>
      </x:c>
      <x:c r="G1813" s="31" t="n">
        <x:v>40.74696647044066</x:v>
      </x:c>
      <x:c r="H1813" s="31" t="n">
        <x:v>-73.87029801382371</x:v>
      </x:c>
      <x:c r="I1813" s="31" t="n">
        <x:v>4276</x:v>
      </x:c>
      <x:c r="J1813" s="31" t="n">
        <x:v>85348.3725980058</x:v>
      </x:c>
      <x:c r="K1813" s="31"/>
      <x:c r="L1813" s="40"/>
      <x:c r="M1813" s="40"/>
      <x:c r="N1813" s="31" t="n">
        <x:v>319</x:v>
      </x:c>
      <x:c r="O1813" s="31" t="n">
        <x:v>977</x:v>
      </x:c>
      <x:c r="P1813" s="31" t="n">
        <x:v>2.8007676560900716</x:v>
      </x:c>
      <x:c r="Q1813" s="40" t="n">
        <x:v>0</x:v>
      </x:c>
      <x:c r="R1813" s="40" t="n">
        <x:v>0.33776867963152507</x:v>
      </x:c>
      <x:c r="S1813" s="40" t="n">
        <x:v>0.0040941658137154556</x:v>
      </x:c>
      <x:c r="T1813" s="31" t="n">
        <x:v>33.723379654042986</x:v>
      </x:c>
      <x:c r="U1813" s="31" t="n">
        <x:v>46.67</x:v>
      </x:c>
      <x:c r="V1813" s="31" t="n">
        <x:v>4</x:v>
      </x:c>
      <x:c r="W1813" s="31" t="n">
        <x:v>0.9354536950420954</x:v>
      </x:c>
      <x:c r="X1813" s="31" t="n">
        <x:v>3.075742067553736</x:v>
      </x:c>
      <x:c r="Y1813" s="40" t="n">
        <x:v>0.07574206755373593</x:v>
      </x:c>
      <x:c r="Z1813" s="40" t="n">
        <x:v>1</x:v>
      </x:c>
      <x:c r="AA1813" s="40" t="n">
        <x:v>1</x:v>
      </x:c>
      <x:c r="AB1813" s="31" t="n">
        <x:v>0.154158783887716</x:v>
      </x:c>
      <x:c r="AC1813" s="31" t="n">
        <x:v>5</x:v>
      </x:c>
      <x:c r="AD1813" s="44" t="b">
        <x:v>1</x:v>
      </x:c>
    </x:row>
    <x:row r="1814">
      <x:c r="A1814" s="31" t="str">
        <x:v>36081046600</x:v>
      </x:c>
      <x:c r="B1814" s="31" t="str">
        <x:v>Queens</x:v>
      </x:c>
      <x:c r="C1814" s="31" t="str">
        <x:v>046600</x:v>
      </x:c>
      <x:c r="D1814" s="31" t="str">
        <x:v>QN0804</x:v>
      </x:c>
      <x:c r="E1814" s="31" t="str">
        <x:v>Jamaica Estates-Holliswood</x:v>
      </x:c>
      <x:c r="F1814" s="31" t="n">
        <x:v>0.09292400411501377</x:v>
      </x:c>
      <x:c r="G1814" s="31" t="n">
        <x:v>40.714011302141365</x:v>
      </x:c>
      <x:c r="H1814" s="31" t="n">
        <x:v>-73.78508871313255</x:v>
      </x:c>
      <x:c r="I1814" s="31" t="n">
        <x:v>3676</x:v>
      </x:c>
      <x:c r="J1814" s="31" t="n">
        <x:v>39559.207924899</x:v>
      </x:c>
      <x:c r="K1814" s="31"/>
      <x:c r="L1814" s="40"/>
      <x:c r="M1814" s="40"/>
      <x:c r="N1814" s="31" t="n">
        <x:v>120</x:v>
      </x:c>
      <x:c r="O1814" s="31" t="n">
        <x:v>1563</x:v>
      </x:c>
      <x:c r="P1814" s="31" t="n">
        <x:v>7.907236084452975</x:v>
      </x:c>
      <x:c r="Q1814" s="40" t="n">
        <x:v>0.24248240563019835</x:v>
      </x:c>
      <x:c r="R1814" s="40" t="n">
        <x:v>0.6922584772872681</x:v>
      </x:c>
      <x:c r="S1814" s="40" t="n">
        <x:v>0</x:v>
      </x:c>
      <x:c r="T1814" s="31" t="n">
        <x:v>81.78828123973769</x:v>
      </x:c>
      <x:c r="U1814" s="31" t="n">
        <x:v>150.51</x:v>
      </x:c>
      <x:c r="V1814" s="31" t="n">
        <x:v>28</x:v>
      </x:c>
      <x:c r="W1814" s="31" t="n">
        <x:v>7.616974972796518</x:v>
      </x:c>
      <x:c r="X1814" s="31" t="n">
        <x:v>3</x:v>
      </x:c>
      <x:c r="Y1814" s="40" t="n">
        <x:v>0</x:v>
      </x:c>
      <x:c r="Z1814" s="40" t="n">
        <x:v>1</x:v>
      </x:c>
      <x:c r="AA1814" s="40" t="n">
        <x:v>1</x:v>
      </x:c>
      <x:c r="AB1814" s="31" t="n">
        <x:v>0.22175706526778874</x:v>
      </x:c>
      <x:c r="AC1814" s="31" t="n">
        <x:v>5</x:v>
      </x:c>
      <x:c r="AD1814" s="44" t="b">
        <x:v>1</x:v>
      </x:c>
    </x:row>
    <x:row r="1815">
      <x:c r="A1815" s="31" t="str">
        <x:v>36081046700</x:v>
      </x:c>
      <x:c r="B1815" s="31" t="str">
        <x:v>Queens</x:v>
      </x:c>
      <x:c r="C1815" s="31" t="str">
        <x:v>046700</x:v>
      </x:c>
      <x:c r="D1815" s="31" t="str">
        <x:v>QN0401</x:v>
      </x:c>
      <x:c r="E1815" s="31" t="str">
        <x:v>Elmhurst</x:v>
      </x:c>
      <x:c r="F1815" s="31" t="n">
        <x:v>0.05484453019577881</x:v>
      </x:c>
      <x:c r="G1815" s="31" t="n">
        <x:v>40.74545199075469</x:v>
      </x:c>
      <x:c r="H1815" s="31" t="n">
        <x:v>-73.87458990700351</x:v>
      </x:c>
      <x:c r="I1815" s="31" t="n">
        <x:v>7281</x:v>
      </x:c>
      <x:c r="J1815" s="31" t="n">
        <x:v>132757.08578428833</x:v>
      </x:c>
      <x:c r="K1815" s="31"/>
      <x:c r="L1815" s="40"/>
      <x:c r="M1815" s="40"/>
      <x:c r="N1815" s="31" t="n">
        <x:v>304</x:v>
      </x:c>
      <x:c r="O1815" s="31" t="n">
        <x:v>2041</x:v>
      </x:c>
      <x:c r="P1815" s="31" t="n">
        <x:v>4.793994068215522</x:v>
      </x:c>
      <x:c r="Q1815" s="40" t="n">
        <x:v>0</x:v>
      </x:c>
      <x:c r="R1815" s="40" t="n">
        <x:v>0.8926996570308672</x:v>
      </x:c>
      <x:c r="S1815" s="40" t="n">
        <x:v>0.0014698677119059284</x:v>
      </x:c>
      <x:c r="T1815" s="31" t="n">
        <x:v>52.687288021215096</x:v>
      </x:c>
      <x:c r="U1815" s="31" t="n">
        <x:v>75</x:v>
      </x:c>
      <x:c r="V1815" s="31" t="n">
        <x:v>22</x:v>
      </x:c>
      <x:c r="W1815" s="31" t="n">
        <x:v>3.0215629721192143</x:v>
      </x:c>
      <x:c r="X1815" s="31" t="n">
        <x:v>3</x:v>
      </x:c>
      <x:c r="Y1815" s="40" t="n">
        <x:v>0</x:v>
      </x:c>
      <x:c r="Z1815" s="40" t="n">
        <x:v>1</x:v>
      </x:c>
      <x:c r="AA1815" s="40" t="n">
        <x:v>1</x:v>
      </x:c>
      <x:c r="AB1815" s="31" t="n">
        <x:v>0.2167480300328178</x:v>
      </x:c>
      <x:c r="AC1815" s="31" t="n">
        <x:v>6</x:v>
      </x:c>
      <x:c r="AD1815" s="44" t="b">
        <x:v>1</x:v>
      </x:c>
    </x:row>
    <x:row r="1816">
      <x:c r="A1816" s="31" t="str">
        <x:v>36081046800</x:v>
      </x:c>
      <x:c r="B1816" s="31" t="str">
        <x:v>Queens</x:v>
      </x:c>
      <x:c r="C1816" s="31" t="str">
        <x:v>046800</x:v>
      </x:c>
      <x:c r="D1816" s="31" t="str">
        <x:v>QN1201</x:v>
      </x:c>
      <x:c r="E1816" s="31" t="str">
        <x:v>Jamaica</x:v>
      </x:c>
      <x:c r="F1816" s="31" t="n">
        <x:v>0.08863769375681531</x:v>
      </x:c>
      <x:c r="G1816" s="31" t="n">
        <x:v>40.71049234730654</x:v>
      </x:c>
      <x:c r="H1816" s="31" t="n">
        <x:v>-73.78228041554156</x:v>
      </x:c>
      <x:c r="I1816" s="31" t="n">
        <x:v>4173</x:v>
      </x:c>
      <x:c r="J1816" s="31" t="n">
        <x:v>47079.293505187125</x:v>
      </x:c>
      <x:c r="K1816" s="31"/>
      <x:c r="L1816" s="40"/>
      <x:c r="M1816" s="40"/>
      <x:c r="N1816" s="31" t="n">
        <x:v>526</x:v>
      </x:c>
      <x:c r="O1816" s="31" t="n">
        <x:v>1252</x:v>
      </x:c>
      <x:c r="P1816" s="31" t="n">
        <x:v>3.604432907348243</x:v>
      </x:c>
      <x:c r="Q1816" s="40" t="n">
        <x:v>0</x:v>
      </x:c>
      <x:c r="R1816" s="40" t="n">
        <x:v>0.38099041533546324</x:v>
      </x:c>
      <x:c r="S1816" s="40" t="n">
        <x:v>0.00718849840255591</x:v>
      </x:c>
      <x:c r="T1816" s="31" t="n">
        <x:v>41.80654721210064</x:v>
      </x:c>
      <x:c r="U1816" s="31" t="n">
        <x:v>92</x:v>
      </x:c>
      <x:c r="V1816" s="31" t="n">
        <x:v>6</x:v>
      </x:c>
      <x:c r="W1816" s="31" t="n">
        <x:v>1.4378145219266716</x:v>
      </x:c>
      <x:c r="X1816" s="31" t="n">
        <x:v>3.2196485623003195</x:v>
      </x:c>
      <x:c r="Y1816" s="40" t="n">
        <x:v>0.21964856230031948</x:v>
      </x:c>
      <x:c r="Z1816" s="40" t="n">
        <x:v>1</x:v>
      </x:c>
      <x:c r="AA1816" s="40" t="n">
        <x:v>1</x:v>
      </x:c>
      <x:c r="AB1816" s="31" t="n">
        <x:v>0.06792152526300636</x:v>
      </x:c>
      <x:c r="AC1816" s="31" t="n">
        <x:v>5</x:v>
      </x:c>
      <x:c r="AD1816" s="44" t="b">
        <x:v>1</x:v>
      </x:c>
    </x:row>
    <x:row r="1817">
      <x:c r="A1817" s="31" t="str">
        <x:v>36081046901</x:v>
      </x:c>
      <x:c r="B1817" s="31" t="str">
        <x:v>Queens</x:v>
      </x:c>
      <x:c r="C1817" s="31" t="str">
        <x:v>046901</x:v>
      </x:c>
      <x:c r="D1817" s="31" t="str">
        <x:v>QN0401</x:v>
      </x:c>
      <x:c r="E1817" s="31" t="str">
        <x:v>Elmhurst</x:v>
      </x:c>
      <x:c r="F1817" s="31" t="n">
        <x:v>0.028834265957479625</x:v>
      </x:c>
      <x:c r="G1817" s="31" t="n">
        <x:v>40.74336421924943</x:v>
      </x:c>
      <x:c r="H1817" s="31" t="n">
        <x:v>-73.87858624969763</x:v>
      </x:c>
      <x:c r="I1817" s="31" t="n">
        <x:v>4346</x:v>
      </x:c>
      <x:c r="J1817" s="31" t="n">
        <x:v>150723.4484973128</x:v>
      </x:c>
      <x:c r="K1817" s="31"/>
      <x:c r="L1817" s="40"/>
      <x:c r="M1817" s="40"/>
      <x:c r="N1817" s="31" t="n">
        <x:v>128</x:v>
      </x:c>
      <x:c r="O1817" s="31" t="n">
        <x:v>1419</x:v>
      </x:c>
      <x:c r="P1817" s="31" t="n">
        <x:v>5.347603946441156</x:v>
      </x:c>
      <x:c r="Q1817" s="40" t="n">
        <x:v>0</x:v>
      </x:c>
      <x:c r="R1817" s="40" t="n">
        <x:v>0.9055673009161381</x:v>
      </x:c>
      <x:c r="S1817" s="40" t="n">
        <x:v>0</x:v>
      </x:c>
      <x:c r="T1817" s="31" t="n">
        <x:v>58.10175056380411</x:v>
      </x:c>
      <x:c r="U1817" s="31" t="n">
        <x:v>69.44</x:v>
      </x:c>
      <x:c r="V1817" s="31" t="n">
        <x:v>23</x:v>
      </x:c>
      <x:c r="W1817" s="31" t="n">
        <x:v>5.2922227335480905</x:v>
      </x:c>
      <x:c r="X1817" s="31" t="n">
        <x:v>3</x:v>
      </x:c>
      <x:c r="Y1817" s="40" t="n">
        <x:v>0</x:v>
      </x:c>
      <x:c r="Z1817" s="40" t="n">
        <x:v>1</x:v>
      </x:c>
      <x:c r="AA1817" s="40" t="n">
        <x:v>0.992952783650458</x:v>
      </x:c>
      <x:c r="AB1817" s="31" t="n">
        <x:v>0.18678856965936066</x:v>
      </x:c>
      <x:c r="AC1817" s="31" t="n">
        <x:v>7</x:v>
      </x:c>
      <x:c r="AD1817" s="44" t="b">
        <x:v>1</x:v>
      </x:c>
    </x:row>
    <x:row r="1818">
      <x:c r="A1818" s="31" t="str">
        <x:v>36081046902</x:v>
      </x:c>
      <x:c r="B1818" s="31" t="str">
        <x:v>Queens</x:v>
      </x:c>
      <x:c r="C1818" s="31" t="str">
        <x:v>046902</x:v>
      </x:c>
      <x:c r="D1818" s="31" t="str">
        <x:v>QN0401</x:v>
      </x:c>
      <x:c r="E1818" s="31" t="str">
        <x:v>Elmhurst</x:v>
      </x:c>
      <x:c r="F1818" s="31" t="n">
        <x:v>0.02961806970902204</x:v>
      </x:c>
      <x:c r="G1818" s="31" t="n">
        <x:v>40.746980463351505</x:v>
      </x:c>
      <x:c r="H1818" s="31" t="n">
        <x:v>-73.87581927043925</x:v>
      </x:c>
      <x:c r="I1818" s="31" t="n">
        <x:v>4102</x:v>
      </x:c>
      <x:c r="J1818" s="31" t="n">
        <x:v>138496.53405165963</x:v>
      </x:c>
      <x:c r="K1818" s="31"/>
      <x:c r="L1818" s="40"/>
      <x:c r="M1818" s="40"/>
      <x:c r="N1818" s="31" t="n">
        <x:v>134</x:v>
      </x:c>
      <x:c r="O1818" s="31" t="n">
        <x:v>1240</x:v>
      </x:c>
      <x:c r="P1818" s="31" t="n">
        <x:v>5.355322580645161</x:v>
      </x:c>
      <x:c r="Q1818" s="40" t="n">
        <x:v>0</x:v>
      </x:c>
      <x:c r="R1818" s="40" t="n">
        <x:v>0.9370967741935484</x:v>
      </x:c>
      <x:c r="S1818" s="40" t="n">
        <x:v>0.11451612903225807</x:v>
      </x:c>
      <x:c r="T1818" s="31" t="n">
        <x:v>57.39591251844785</x:v>
      </x:c>
      <x:c r="U1818" s="31" t="n">
        <x:v>75</x:v>
      </x:c>
      <x:c r="V1818" s="31" t="n">
        <x:v>18</x:v>
      </x:c>
      <x:c r="W1818" s="31" t="n">
        <x:v>4.388103364212579</x:v>
      </x:c>
      <x:c r="X1818" s="31" t="n">
        <x:v>3</x:v>
      </x:c>
      <x:c r="Y1818" s="40" t="n">
        <x:v>0</x:v>
      </x:c>
      <x:c r="Z1818" s="40" t="n">
        <x:v>1</x:v>
      </x:c>
      <x:c r="AA1818" s="40" t="n">
        <x:v>0.9975806451612903</x:v>
      </x:c>
      <x:c r="AB1818" s="31" t="n">
        <x:v>0.21061943181430842</x:v>
      </x:c>
      <x:c r="AC1818" s="31" t="n">
        <x:v>6</x:v>
      </x:c>
      <x:c r="AD1818" s="44" t="b">
        <x:v>1</x:v>
      </x:c>
    </x:row>
    <x:row r="1819">
      <x:c r="A1819" s="31" t="str">
        <x:v>36081047000</x:v>
      </x:c>
      <x:c r="B1819" s="31" t="str">
        <x:v>Queens</x:v>
      </x:c>
      <x:c r="C1819" s="31" t="str">
        <x:v>047000</x:v>
      </x:c>
      <x:c r="D1819" s="31" t="str">
        <x:v>QN1201</x:v>
      </x:c>
      <x:c r="E1819" s="31" t="str">
        <x:v>Jamaica</x:v>
      </x:c>
      <x:c r="F1819" s="31" t="n">
        <x:v>0.08872232788682277</x:v>
      </x:c>
      <x:c r="G1819" s="31" t="n">
        <x:v>40.71129615894762</x:v>
      </x:c>
      <x:c r="H1819" s="31" t="n">
        <x:v>-73.77729773149326</x:v>
      </x:c>
      <x:c r="I1819" s="31" t="n">
        <x:v>3343</x:v>
      </x:c>
      <x:c r="J1819" s="31" t="n">
        <x:v>37679.35399829054</x:v>
      </x:c>
      <x:c r="K1819" s="31"/>
      <x:c r="L1819" s="40"/>
      <x:c r="M1819" s="40"/>
      <x:c r="N1819" s="31" t="n">
        <x:v>570</x:v>
      </x:c>
      <x:c r="O1819" s="31" t="n">
        <x:v>873</x:v>
      </x:c>
      <x:c r="P1819" s="31" t="n">
        <x:v>2.298507462686567</x:v>
      </x:c>
      <x:c r="Q1819" s="40" t="n">
        <x:v>0</x:v>
      </x:c>
      <x:c r="R1819" s="40" t="n">
        <x:v>0.03665521191294387</x:v>
      </x:c>
      <x:c r="S1819" s="40" t="n">
        <x:v>0.008018327605956471</x:v>
      </x:c>
      <x:c r="T1819" s="31" t="n">
        <x:v>27.291277842907384</x:v>
      </x:c>
      <x:c r="U1819" s="31" t="n">
        <x:v>35.44</x:v>
      </x:c>
      <x:c r="V1819" s="31" t="n">
        <x:v>2</x:v>
      </x:c>
      <x:c r="W1819" s="31" t="n">
        <x:v>0.5982650314089142</x:v>
      </x:c>
      <x:c r="X1819" s="31" t="n">
        <x:v>3.959908361970218</x:v>
      </x:c>
      <x:c r="Y1819" s="40" t="n">
        <x:v>0.9599083619702177</x:v>
      </x:c>
      <x:c r="Z1819" s="40" t="n">
        <x:v>1</x:v>
      </x:c>
      <x:c r="AA1819" s="40" t="n">
        <x:v>0.97709049255441</x:v>
      </x:c>
      <x:c r="AB1819" s="31" t="n">
        <x:v>0.1702505407855281</x:v>
      </x:c>
      <x:c r="AC1819" s="31" t="n">
        <x:v>5</x:v>
      </x:c>
      <x:c r="AD1819" s="44" t="b">
        <x:v>1</x:v>
      </x:c>
    </x:row>
    <x:row r="1820">
      <x:c r="A1820" s="31" t="str">
        <x:v>36081047100</x:v>
      </x:c>
      <x:c r="B1820" s="31" t="str">
        <x:v>Queens</x:v>
      </x:c>
      <x:c r="C1820" s="31" t="str">
        <x:v>047100</x:v>
      </x:c>
      <x:c r="D1820" s="31" t="str">
        <x:v>QN0401</x:v>
      </x:c>
      <x:c r="E1820" s="31" t="str">
        <x:v>Elmhurst</x:v>
      </x:c>
      <x:c r="F1820" s="31" t="n">
        <x:v>0.06069447335428145</x:v>
      </x:c>
      <x:c r="G1820" s="31" t="n">
        <x:v>40.74097851618488</x:v>
      </x:c>
      <x:c r="H1820" s="31" t="n">
        <x:v>-73.87657011241865</x:v>
      </x:c>
      <x:c r="I1820" s="31" t="n">
        <x:v>4785</x:v>
      </x:c>
      <x:c r="J1820" s="31" t="n">
        <x:v>78837.4910524281</x:v>
      </x:c>
      <x:c r="K1820" s="31"/>
      <x:c r="L1820" s="40"/>
      <x:c r="M1820" s="40"/>
      <x:c r="N1820" s="31" t="n">
        <x:v>313</x:v>
      </x:c>
      <x:c r="O1820" s="31" t="n">
        <x:v>1427</x:v>
      </x:c>
      <x:c r="P1820" s="31" t="n">
        <x:v>4.347652417659425</x:v>
      </x:c>
      <x:c r="Q1820" s="40" t="n">
        <x:v>0</x:v>
      </x:c>
      <x:c r="R1820" s="40" t="n">
        <x:v>0.7792571829011913</x:v>
      </x:c>
      <x:c r="S1820" s="40" t="n">
        <x:v>0.002102312543798178</x:v>
      </x:c>
      <x:c r="T1820" s="31" t="n">
        <x:v>50.7254184849542</x:v>
      </x:c>
      <x:c r="U1820" s="31" t="n">
        <x:v>95.27715666</x:v>
      </x:c>
      <x:c r="V1820" s="31" t="n">
        <x:v>13</x:v>
      </x:c>
      <x:c r="W1820" s="31" t="n">
        <x:v>2.716823406478579</x:v>
      </x:c>
      <x:c r="X1820" s="31" t="n">
        <x:v>3</x:v>
      </x:c>
      <x:c r="Y1820" s="40" t="n">
        <x:v>0</x:v>
      </x:c>
      <x:c r="Z1820" s="40" t="n">
        <x:v>1</x:v>
      </x:c>
      <x:c r="AA1820" s="40" t="n">
        <x:v>0.9943938332165382</x:v>
      </x:c>
      <x:c r="AB1820" s="31" t="n">
        <x:v>0.12970400825195005</x:v>
      </x:c>
      <x:c r="AC1820" s="31" t="n">
        <x:v>7</x:v>
      </x:c>
      <x:c r="AD1820" s="44" t="b">
        <x:v>1</x:v>
      </x:c>
    </x:row>
    <x:row r="1821">
      <x:c r="A1821" s="31" t="str">
        <x:v>36081047200</x:v>
      </x:c>
      <x:c r="B1821" s="31" t="str">
        <x:v>Queens</x:v>
      </x:c>
      <x:c r="C1821" s="31" t="str">
        <x:v>047200</x:v>
      </x:c>
      <x:c r="D1821" s="31" t="str">
        <x:v>QN0804</x:v>
      </x:c>
      <x:c r="E1821" s="31" t="str">
        <x:v>Jamaica Estates-Holliswood</x:v>
      </x:c>
      <x:c r="F1821" s="31" t="n">
        <x:v>0.200497933541021</x:v>
      </x:c>
      <x:c r="G1821" s="31" t="n">
        <x:v>40.717621143792805</x:v>
      </x:c>
      <x:c r="H1821" s="31" t="n">
        <x:v>-73.77893812773996</x:v>
      </x:c>
      <x:c r="I1821" s="31" t="n">
        <x:v>3861</x:v>
      </x:c>
      <x:c r="J1821" s="31" t="n">
        <x:v>19257.05632876289</x:v>
      </x:c>
      <x:c r="K1821" s="31"/>
      <x:c r="L1821" s="40"/>
      <x:c r="M1821" s="40"/>
      <x:c r="N1821" s="31" t="n">
        <x:v>539</x:v>
      </x:c>
      <x:c r="O1821" s="31" t="n">
        <x:v>1384</x:v>
      </x:c>
      <x:c r="P1821" s="31" t="n">
        <x:v>5.002645739910314</x:v>
      </x:c>
      <x:c r="Q1821" s="40" t="n">
        <x:v>0.1119942196531792</x:v>
      </x:c>
      <x:c r="R1821" s="40" t="n">
        <x:v>0.43713872832369943</x:v>
      </x:c>
      <x:c r="S1821" s="40" t="n">
        <x:v>0.001445086705202312</x:v>
      </x:c>
      <x:c r="T1821" s="31" t="n">
        <x:v>53.710897427158926</x:v>
      </x:c>
      <x:c r="U1821" s="31" t="n">
        <x:v>104.43</x:v>
      </x:c>
      <x:c r="V1821" s="31" t="n">
        <x:v>16</x:v>
      </x:c>
      <x:c r="W1821" s="31" t="n">
        <x:v>4.144004144004144</x:v>
      </x:c>
      <x:c r="X1821" s="31" t="n">
        <x:v>3.0289017341040463</x:v>
      </x:c>
      <x:c r="Y1821" s="40" t="n">
        <x:v>0.028901734104046242</x:v>
      </x:c>
      <x:c r="Z1821" s="40" t="n">
        <x:v>1</x:v>
      </x:c>
      <x:c r="AA1821" s="40" t="n">
        <x:v>0.9638728323699421</x:v>
      </x:c>
      <x:c r="AB1821" s="31" t="n">
        <x:v>0.3377169391287639</x:v>
      </x:c>
      <x:c r="AC1821" s="31" t="n">
        <x:v>9</x:v>
      </x:c>
      <x:c r="AD1821" s="44" t="b">
        <x:v>1</x:v>
      </x:c>
    </x:row>
    <x:row r="1822">
      <x:c r="A1822" s="31" t="str">
        <x:v>36081047300</x:v>
      </x:c>
      <x:c r="B1822" s="31" t="str">
        <x:v>Queens</x:v>
      </x:c>
      <x:c r="C1822" s="31" t="str">
        <x:v>047300</x:v>
      </x:c>
      <x:c r="D1822" s="31" t="str">
        <x:v>QN0401</x:v>
      </x:c>
      <x:c r="E1822" s="31" t="str">
        <x:v>Elmhurst</x:v>
      </x:c>
      <x:c r="F1822" s="31" t="n">
        <x:v>0.07663198775431874</x:v>
      </x:c>
      <x:c r="G1822" s="31" t="n">
        <x:v>40.737219673552936</x:v>
      </x:c>
      <x:c r="H1822" s="31" t="n">
        <x:v>-73.8762301487913</x:v>
      </x:c>
      <x:c r="I1822" s="31" t="n">
        <x:v>4863</x:v>
      </x:c>
      <x:c r="J1822" s="31" t="n">
        <x:v>63459.13948612061</x:v>
      </x:c>
      <x:c r="K1822" s="31"/>
      <x:c r="L1822" s="40"/>
      <x:c r="M1822" s="40"/>
      <x:c r="N1822" s="31" t="n">
        <x:v>234</x:v>
      </x:c>
      <x:c r="O1822" s="31" t="n">
        <x:v>2213</x:v>
      </x:c>
      <x:c r="P1822" s="31" t="n">
        <x:v>7.06299672744273</x:v>
      </x:c>
      <x:c r="Q1822" s="40" t="n">
        <x:v>0.19837324898328063</x:v>
      </x:c>
      <x:c r="R1822" s="40" t="n">
        <x:v>0.7008585630366019</x:v>
      </x:c>
      <x:c r="S1822" s="40" t="n">
        <x:v>0</x:v>
      </x:c>
      <x:c r="T1822" s="31" t="n">
        <x:v>79.05492903563636</x:v>
      </x:c>
      <x:c r="U1822" s="31" t="n">
        <x:v>192</x:v>
      </x:c>
      <x:c r="V1822" s="31" t="n">
        <x:v>39</x:v>
      </x:c>
      <x:c r="W1822" s="31" t="n">
        <x:v>8.019740900678594</x:v>
      </x:c>
      <x:c r="X1822" s="31" t="n">
        <x:v>3</x:v>
      </x:c>
      <x:c r="Y1822" s="40" t="n">
        <x:v>0</x:v>
      </x:c>
      <x:c r="Z1822" s="40" t="n">
        <x:v>1</x:v>
      </x:c>
      <x:c r="AA1822" s="40" t="n">
        <x:v>0.9941256213285133</x:v>
      </x:c>
      <x:c r="AB1822" s="31" t="n">
        <x:v>0.09567912064151637</x:v>
      </x:c>
      <x:c r="AC1822" s="31" t="n">
        <x:v>7</x:v>
      </x:c>
      <x:c r="AD1822" s="44" t="b">
        <x:v>1</x:v>
      </x:c>
    </x:row>
    <x:row r="1823">
      <x:c r="A1823" s="31" t="str">
        <x:v>36081047500</x:v>
      </x:c>
      <x:c r="B1823" s="31" t="str">
        <x:v>Queens</x:v>
      </x:c>
      <x:c r="C1823" s="31" t="str">
        <x:v>047500</x:v>
      </x:c>
      <x:c r="D1823" s="31" t="str">
        <x:v>QN0401</x:v>
      </x:c>
      <x:c r="E1823" s="31" t="str">
        <x:v>Elmhurst</x:v>
      </x:c>
      <x:c r="F1823" s="31" t="n">
        <x:v>0.10864454214553203</x:v>
      </x:c>
      <x:c r="G1823" s="31" t="n">
        <x:v>40.733642099479276</x:v>
      </x:c>
      <x:c r="H1823" s="31" t="n">
        <x:v>-73.87565217744043</x:v>
      </x:c>
      <x:c r="I1823" s="31" t="n">
        <x:v>5489</x:v>
      </x:c>
      <x:c r="J1823" s="31" t="n">
        <x:v>50522.55632544661</x:v>
      </x:c>
      <x:c r="K1823" s="31"/>
      <x:c r="L1823" s="40"/>
      <x:c r="M1823" s="40"/>
      <x:c r="N1823" s="31" t="n">
        <x:v>532</x:v>
      </x:c>
      <x:c r="O1823" s="31" t="n">
        <x:v>1858</x:v>
      </x:c>
      <x:c r="P1823" s="31" t="n">
        <x:v>3.6634375</x:v>
      </x:c>
      <x:c r="Q1823" s="40" t="n">
        <x:v>0</x:v>
      </x:c>
      <x:c r="R1823" s="40" t="n">
        <x:v>0.697524219590958</x:v>
      </x:c>
      <x:c r="S1823" s="40" t="n">
        <x:v>0.04790096878363832</x:v>
      </x:c>
      <x:c r="T1823" s="31" t="n">
        <x:v>42.95711334335495</x:v>
      </x:c>
      <x:c r="U1823" s="31" t="n">
        <x:v>106.47704621</x:v>
      </x:c>
      <x:c r="V1823" s="31" t="n">
        <x:v>21</x:v>
      </x:c>
      <x:c r="W1823" s="31" t="n">
        <x:v>3.8258334851521223</x:v>
      </x:c>
      <x:c r="X1823" s="31" t="n">
        <x:v>3</x:v>
      </x:c>
      <x:c r="Y1823" s="40" t="n">
        <x:v>0</x:v>
      </x:c>
      <x:c r="Z1823" s="40" t="n">
        <x:v>1</x:v>
      </x:c>
      <x:c r="AA1823" s="40" t="n">
        <x:v>0.996232508073197</x:v>
      </x:c>
      <x:c r="AB1823" s="31" t="n">
        <x:v>0.13038364757946128</x:v>
      </x:c>
      <x:c r="AC1823" s="31" t="n">
        <x:v>7</x:v>
      </x:c>
      <x:c r="AD1823" s="44" t="b">
        <x:v>1</x:v>
      </x:c>
    </x:row>
    <x:row r="1824">
      <x:c r="A1824" s="31" t="str">
        <x:v>36081047600</x:v>
      </x:c>
      <x:c r="B1824" s="31" t="str">
        <x:v>Queens</x:v>
      </x:c>
      <x:c r="C1824" s="31" t="str">
        <x:v>047600</x:v>
      </x:c>
      <x:c r="D1824" s="31" t="str">
        <x:v>QN0804</x:v>
      </x:c>
      <x:c r="E1824" s="31" t="str">
        <x:v>Jamaica Estates-Holliswood</x:v>
      </x:c>
      <x:c r="F1824" s="31" t="n">
        <x:v>0.20964090110981978</x:v>
      </x:c>
      <x:c r="G1824" s="31" t="n">
        <x:v>40.7224657123182</x:v>
      </x:c>
      <x:c r="H1824" s="31" t="n">
        <x:v>-73.77121987912709</x:v>
      </x:c>
      <x:c r="I1824" s="31" t="n">
        <x:v>1374</x:v>
      </x:c>
      <x:c r="J1824" s="31" t="n">
        <x:v>6554.064558615087</x:v>
      </x:c>
      <x:c r="K1824" s="31"/>
      <x:c r="L1824" s="40"/>
      <x:c r="M1824" s="40"/>
      <x:c r="N1824" s="31" t="n">
        <x:v>435</x:v>
      </x:c>
      <x:c r="O1824" s="31" t="n">
        <x:v>456</x:v>
      </x:c>
      <x:c r="P1824" s="31" t="n">
        <x:v>1.8413815789473684</x:v>
      </x:c>
      <x:c r="Q1824" s="40" t="n">
        <x:v>0</x:v>
      </x:c>
      <x:c r="R1824" s="40" t="n">
        <x:v>0.0021929824561403508</x:v>
      </x:c>
      <x:c r="S1824" s="40" t="n">
        <x:v>0</x:v>
      </x:c>
      <x:c r="T1824" s="31" t="n">
        <x:v>26.28911161849224</x:v>
      </x:c>
      <x:c r="U1824" s="31" t="n">
        <x:v>46.69</x:v>
      </x:c>
      <x:c r="V1824" s="31" t="n">
        <x:v>1</x:v>
      </x:c>
      <x:c r="W1824" s="31" t="n">
        <x:v>0.727802037845706</x:v>
      </x:c>
      <x:c r="X1824" s="31" t="n">
        <x:v>3.991228070175439</x:v>
      </x:c>
      <x:c r="Y1824" s="40" t="n">
        <x:v>0.9912280701754386</x:v>
      </x:c>
      <x:c r="Z1824" s="40" t="n">
        <x:v>1</x:v>
      </x:c>
      <x:c r="AA1824" s="40" t="n">
        <x:v>0.9890350877192983</x:v>
      </x:c>
      <x:c r="AB1824" s="31" t="n">
        <x:v>0.33140242201029446</x:v>
      </x:c>
      <x:c r="AC1824" s="31" t="n">
        <x:v>5</x:v>
      </x:c>
      <x:c r="AD1824" s="44" t="b">
        <x:v>1</x:v>
      </x:c>
    </x:row>
    <x:row r="1825">
      <x:c r="A1825" s="31" t="str">
        <x:v>36081047801</x:v>
      </x:c>
      <x:c r="B1825" s="31" t="str">
        <x:v>Queens</x:v>
      </x:c>
      <x:c r="C1825" s="31" t="str">
        <x:v>047801</x:v>
      </x:c>
      <x:c r="D1825" s="31" t="str">
        <x:v>QN0804</x:v>
      </x:c>
      <x:c r="E1825" s="31" t="str">
        <x:v>Jamaica Estates-Holliswood</x:v>
      </x:c>
      <x:c r="F1825" s="31" t="n">
        <x:v>0.2009088492051194</x:v>
      </x:c>
      <x:c r="G1825" s="31" t="n">
        <x:v>40.71979439847379</x:v>
      </x:c>
      <x:c r="H1825" s="31" t="n">
        <x:v>-73.76712548590804</x:v>
      </x:c>
      <x:c r="I1825" s="31" t="n">
        <x:v>4065</x:v>
      </x:c>
      <x:c r="J1825" s="31" t="n">
        <x:v>20233.05601561536</x:v>
      </x:c>
      <x:c r="K1825" s="31"/>
      <x:c r="L1825" s="40"/>
      <x:c r="M1825" s="40"/>
      <x:c r="N1825" s="31" t="n">
        <x:v>383</x:v>
      </x:c>
      <x:c r="O1825" s="31" t="n">
        <x:v>1922</x:v>
      </x:c>
      <x:c r="P1825" s="31" t="n">
        <x:v>4.585879292403746</x:v>
      </x:c>
      <x:c r="Q1825" s="40" t="n">
        <x:v>0</x:v>
      </x:c>
      <x:c r="R1825" s="40" t="n">
        <x:v>0.6378772112382934</x:v>
      </x:c>
      <x:c r="S1825" s="40" t="n">
        <x:v>0.29136316337148804</x:v>
      </x:c>
      <x:c r="T1825" s="31" t="n">
        <x:v>47.201386324389354</x:v>
      </x:c>
      <x:c r="U1825" s="31" t="n">
        <x:v>87</x:v>
      </x:c>
      <x:c r="V1825" s="31" t="n">
        <x:v>26</x:v>
      </x:c>
      <x:c r="W1825" s="31" t="n">
        <x:v>6.396063960639607</x:v>
      </x:c>
      <x:c r="X1825" s="31" t="n">
        <x:v>4</x:v>
      </x:c>
      <x:c r="Y1825" s="40" t="n">
        <x:v>1</x:v>
      </x:c>
      <x:c r="Z1825" s="40" t="n">
        <x:v>1</x:v>
      </x:c>
      <x:c r="AA1825" s="40" t="n">
        <x:v>0.9968782518210197</x:v>
      </x:c>
      <x:c r="AB1825" s="31" t="n">
        <x:v>0.25447880141659734</x:v>
      </x:c>
      <x:c r="AC1825" s="31" t="n">
        <x:v>7</x:v>
      </x:c>
      <x:c r="AD1825" s="44" t="b">
        <x:v>1</x:v>
      </x:c>
    </x:row>
    <x:row r="1826">
      <x:c r="A1826" s="31" t="str">
        <x:v>36081047802</x:v>
      </x:c>
      <x:c r="B1826" s="31" t="str">
        <x:v>Queens</x:v>
      </x:c>
      <x:c r="C1826" s="31" t="str">
        <x:v>047802</x:v>
      </x:c>
      <x:c r="D1826" s="31" t="str">
        <x:v>QN1206</x:v>
      </x:c>
      <x:c r="E1826" s="31" t="str">
        <x:v>Hollis</x:v>
      </x:c>
      <x:c r="F1826" s="31" t="n">
        <x:v>0.051206981434013435</x:v>
      </x:c>
      <x:c r="G1826" s="31" t="n">
        <x:v>40.718741409471164</x:v>
      </x:c>
      <x:c r="H1826" s="31" t="n">
        <x:v>-73.76249328927618</x:v>
      </x:c>
      <x:c r="I1826" s="31" t="n">
        <x:v>1511</x:v>
      </x:c>
      <x:c r="J1826" s="31" t="n">
        <x:v>29507.695194787288</x:v>
      </x:c>
      <x:c r="K1826" s="31"/>
      <x:c r="L1826" s="40"/>
      <x:c r="M1826" s="40"/>
      <x:c r="N1826" s="31" t="n">
        <x:v>278</x:v>
      </x:c>
      <x:c r="O1826" s="31" t="n">
        <x:v>442</x:v>
      </x:c>
      <x:c r="P1826" s="31" t="n">
        <x:v>2.3020361990950224</x:v>
      </x:c>
      <x:c r="Q1826" s="40" t="n">
        <x:v>0</x:v>
      </x:c>
      <x:c r="R1826" s="40" t="n">
        <x:v>0.11085972850678733</x:v>
      </x:c>
      <x:c r="S1826" s="40" t="n">
        <x:v>0.1425339366515837</x:v>
      </x:c>
      <x:c r="T1826" s="31" t="n">
        <x:v>28.61445089764706</x:v>
      </x:c>
      <x:c r="U1826" s="31" t="n">
        <x:v>37.4</x:v>
      </x:c>
      <x:c r="V1826" s="31" t="n">
        <x:v>0</x:v>
      </x:c>
      <x:c r="W1826" s="31" t="n">
        <x:v>0</x:v>
      </x:c>
      <x:c r="X1826" s="31" t="n">
        <x:v>3.9434389140271495</x:v>
      </x:c>
      <x:c r="Y1826" s="40" t="n">
        <x:v>0.9434389140271493</x:v>
      </x:c>
      <x:c r="Z1826" s="40" t="n">
        <x:v>1</x:v>
      </x:c>
      <x:c r="AA1826" s="40" t="n">
        <x:v>1</x:v>
      </x:c>
      <x:c r="AB1826" s="31" t="n">
        <x:v>0.09967463588270059</x:v>
      </x:c>
      <x:c r="AC1826" s="31" t="n">
        <x:v>5</x:v>
      </x:c>
      <x:c r="AD1826" s="44" t="b">
        <x:v>1</x:v>
      </x:c>
    </x:row>
    <x:row r="1827">
      <x:c r="A1827" s="31" t="str">
        <x:v>36081047900</x:v>
      </x:c>
      <x:c r="B1827" s="31" t="str">
        <x:v>Queens</x:v>
      </x:c>
      <x:c r="C1827" s="31" t="str">
        <x:v>047900</x:v>
      </x:c>
      <x:c r="D1827" s="31" t="str">
        <x:v>QN0401</x:v>
      </x:c>
      <x:c r="E1827" s="31" t="str">
        <x:v>Elmhurst</x:v>
      </x:c>
      <x:c r="F1827" s="31" t="n">
        <x:v>0.1520252613758322</x:v>
      </x:c>
      <x:c r="G1827" s="31" t="n">
        <x:v>40.73547267054122</x:v>
      </x:c>
      <x:c r="H1827" s="31" t="n">
        <x:v>-73.8836907792558</x:v>
      </x:c>
      <x:c r="I1827" s="31" t="n">
        <x:v>6837</x:v>
      </x:c>
      <x:c r="J1827" s="31" t="n">
        <x:v>44972.788983389924</x:v>
      </x:c>
      <x:c r="K1827" s="31"/>
      <x:c r="L1827" s="40"/>
      <x:c r="M1827" s="40"/>
      <x:c r="N1827" s="31" t="n">
        <x:v>743</x:v>
      </x:c>
      <x:c r="O1827" s="31" t="n">
        <x:v>2151</x:v>
      </x:c>
      <x:c r="P1827" s="31" t="n">
        <x:v>3.4587069372345445</x:v>
      </x:c>
      <x:c r="Q1827" s="40" t="n">
        <x:v>0</x:v>
      </x:c>
      <x:c r="R1827" s="40" t="n">
        <x:v>0.5369595536959554</x:v>
      </x:c>
      <x:c r="S1827" s="40" t="n">
        <x:v>0.02417480241748024</x:v>
      </x:c>
      <x:c r="T1827" s="31" t="n">
        <x:v>37.20817329633333</x:v>
      </x:c>
      <x:c r="U1827" s="31" t="n">
        <x:v>66.35</x:v>
      </x:c>
      <x:c r="V1827" s="31" t="n">
        <x:v>11</x:v>
      </x:c>
      <x:c r="W1827" s="31" t="n">
        <x:v>1.6088927892350444</x:v>
      </x:c>
      <x:c r="X1827" s="31" t="n">
        <x:v>3</x:v>
      </x:c>
      <x:c r="Y1827" s="40" t="n">
        <x:v>0</x:v>
      </x:c>
      <x:c r="Z1827" s="40" t="n">
        <x:v>1</x:v>
      </x:c>
      <x:c r="AA1827" s="40" t="n">
        <x:v>0.9902370990237099</x:v>
      </x:c>
      <x:c r="AB1827" s="31" t="n">
        <x:v>0.25740602936455187</x:v>
      </x:c>
      <x:c r="AC1827" s="31" t="n">
        <x:v>6</x:v>
      </x:c>
      <x:c r="AD1827" s="44" t="b">
        <x:v>1</x:v>
      </x:c>
    </x:row>
    <x:row r="1828">
      <x:c r="A1828" s="31" t="str">
        <x:v>36081048000</x:v>
      </x:c>
      <x:c r="B1828" s="31" t="str">
        <x:v>Queens</x:v>
      </x:c>
      <x:c r="C1828" s="31" t="str">
        <x:v>048000</x:v>
      </x:c>
      <x:c r="D1828" s="31" t="str">
        <x:v>QN1206</x:v>
      </x:c>
      <x:c r="E1828" s="31" t="str">
        <x:v>Hollis</x:v>
      </x:c>
      <x:c r="F1828" s="31" t="n">
        <x:v>0.08904206258537076</x:v>
      </x:c>
      <x:c r="G1828" s="31" t="n">
        <x:v>40.71288258216724</x:v>
      </x:c>
      <x:c r="H1828" s="31" t="n">
        <x:v>-73.77299729573267</x:v>
      </x:c>
      <x:c r="I1828" s="31" t="n">
        <x:v>2666</x:v>
      </x:c>
      <x:c r="J1828" s="31" t="n">
        <x:v>29940.905708961112</x:v>
      </x:c>
      <x:c r="K1828" s="31"/>
      <x:c r="L1828" s="40"/>
      <x:c r="M1828" s="40"/>
      <x:c r="N1828" s="31" t="n">
        <x:v>457</x:v>
      </x:c>
      <x:c r="O1828" s="31" t="n">
        <x:v>665</x:v>
      </x:c>
      <x:c r="P1828" s="31" t="n">
        <x:v>2.3933684210526316</x:v>
      </x:c>
      <x:c r="Q1828" s="40" t="n">
        <x:v>0</x:v>
      </x:c>
      <x:c r="R1828" s="40" t="n">
        <x:v>0.04661654135338346</x:v>
      </x:c>
      <x:c r="S1828" s="40" t="n">
        <x:v>0.02406015037593985</x:v>
      </x:c>
      <x:c r="T1828" s="31" t="n">
        <x:v>28.61025729475188</x:v>
      </x:c>
      <x:c r="U1828" s="31" t="n">
        <x:v>37.5</x:v>
      </x:c>
      <x:c r="V1828" s="31" t="n">
        <x:v>0</x:v>
      </x:c>
      <x:c r="W1828" s="31" t="n">
        <x:v>0</x:v>
      </x:c>
      <x:c r="X1828" s="31" t="n">
        <x:v>3.954887218045113</x:v>
      </x:c>
      <x:c r="Y1828" s="40" t="n">
        <x:v>0.9548872180451128</x:v>
      </x:c>
      <x:c r="Z1828" s="40" t="n">
        <x:v>1</x:v>
      </x:c>
      <x:c r="AA1828" s="40" t="n">
        <x:v>1</x:v>
      </x:c>
      <x:c r="AB1828" s="31" t="n">
        <x:v>0.1386982366457492</x:v>
      </x:c>
      <x:c r="AC1828" s="31" t="n">
        <x:v>6</x:v>
      </x:c>
      <x:c r="AD1828" s="44" t="b">
        <x:v>1</x:v>
      </x:c>
    </x:row>
    <x:row r="1829">
      <x:c r="A1829" s="31" t="str">
        <x:v>36081048100</x:v>
      </x:c>
      <x:c r="B1829" s="31" t="str">
        <x:v>Queens</x:v>
      </x:c>
      <x:c r="C1829" s="31" t="str">
        <x:v>048100</x:v>
      </x:c>
      <x:c r="D1829" s="31" t="str">
        <x:v>QN0401</x:v>
      </x:c>
      <x:c r="E1829" s="31" t="str">
        <x:v>Elmhurst</x:v>
      </x:c>
      <x:c r="F1829" s="31" t="n">
        <x:v>0.053681984128931354</x:v>
      </x:c>
      <x:c r="G1829" s="31" t="n">
        <x:v>40.74221904500149</x:v>
      </x:c>
      <x:c r="H1829" s="31" t="n">
        <x:v>-73.88505197109731</x:v>
      </x:c>
      <x:c r="I1829" s="31" t="n">
        <x:v>6321</x:v>
      </x:c>
      <x:c r="J1829" s="31" t="n">
        <x:v>117749.00094635962</x:v>
      </x:c>
      <x:c r="K1829" s="31"/>
      <x:c r="L1829" s="40"/>
      <x:c r="M1829" s="40"/>
      <x:c r="N1829" s="31" t="n">
        <x:v>260</x:v>
      </x:c>
      <x:c r="O1829" s="31" t="n">
        <x:v>1863</x:v>
      </x:c>
      <x:c r="P1829" s="31" t="n">
        <x:v>5.099838969404187</x:v>
      </x:c>
      <x:c r="Q1829" s="40" t="n">
        <x:v>0.08749329039184112</x:v>
      </x:c>
      <x:c r="R1829" s="40" t="n">
        <x:v>0.7342995169082126</x:v>
      </x:c>
      <x:c r="S1829" s="40" t="n">
        <x:v>0.0021470746108427268</x:v>
      </x:c>
      <x:c r="T1829" s="31" t="n">
        <x:v>53.91758109921632</x:v>
      </x:c>
      <x:c r="U1829" s="31" t="n">
        <x:v>86.59</x:v>
      </x:c>
      <x:c r="V1829" s="31" t="n">
        <x:v>23</x:v>
      </x:c>
      <x:c r="W1829" s="31" t="n">
        <x:v>3.6386647682328745</x:v>
      </x:c>
      <x:c r="X1829" s="31" t="n">
        <x:v>3</x:v>
      </x:c>
      <x:c r="Y1829" s="40" t="n">
        <x:v>0</x:v>
      </x:c>
      <x:c r="Z1829" s="40" t="n">
        <x:v>1</x:v>
      </x:c>
      <x:c r="AA1829" s="40" t="n">
        <x:v>1</x:v>
      </x:c>
      <x:c r="AB1829" s="31" t="n">
        <x:v>0.20061981415163746</x:v>
      </x:c>
      <x:c r="AC1829" s="31" t="n">
        <x:v>6</x:v>
      </x:c>
      <x:c r="AD1829" s="44" t="b">
        <x:v>1</x:v>
      </x:c>
    </x:row>
    <x:row r="1830">
      <x:c r="A1830" s="31" t="str">
        <x:v>36081048200</x:v>
      </x:c>
      <x:c r="B1830" s="31" t="str">
        <x:v>Queens</x:v>
      </x:c>
      <x:c r="C1830" s="31" t="str">
        <x:v>048200</x:v>
      </x:c>
      <x:c r="D1830" s="31" t="str">
        <x:v>QN1206</x:v>
      </x:c>
      <x:c r="E1830" s="31" t="str">
        <x:v>Hollis</x:v>
      </x:c>
      <x:c r="F1830" s="31" t="n">
        <x:v>0.08802038695907943</x:v>
      </x:c>
      <x:c r="G1830" s="31" t="n">
        <x:v>40.71483884438341</x:v>
      </x:c>
      <x:c r="H1830" s="31" t="n">
        <x:v>-73.76792278024983</x:v>
      </x:c>
      <x:c r="I1830" s="31" t="n">
        <x:v>1518</x:v>
      </x:c>
      <x:c r="J1830" s="31" t="n">
        <x:v>17246.00461829049</x:v>
      </x:c>
      <x:c r="K1830" s="31"/>
      <x:c r="L1830" s="40"/>
      <x:c r="M1830" s="40"/>
      <x:c r="N1830" s="31" t="n">
        <x:v>255</x:v>
      </x:c>
      <x:c r="O1830" s="31" t="n">
        <x:v>417</x:v>
      </x:c>
      <x:c r="P1830" s="31" t="n">
        <x:v>3.152877697841727</x:v>
      </x:c>
      <x:c r="Q1830" s="40" t="n">
        <x:v>0</x:v>
      </x:c>
      <x:c r="R1830" s="40" t="n">
        <x:v>0.27817745803357313</x:v>
      </x:c>
      <x:c r="S1830" s="40" t="n">
        <x:v>0.007194244604316547</x:v>
      </x:c>
      <x:c r="T1830" s="31" t="n">
        <x:v>37.23193748165048</x:v>
      </x:c>
      <x:c r="U1830" s="31" t="n">
        <x:v>68.58</x:v>
      </x:c>
      <x:c r="V1830" s="31" t="n">
        <x:v>3</x:v>
      </x:c>
      <x:c r="W1830" s="31" t="n">
        <x:v>1.976284584980237</x:v>
      </x:c>
      <x:c r="X1830" s="31" t="n">
        <x:v>4</x:v>
      </x:c>
      <x:c r="Y1830" s="40" t="n">
        <x:v>1</x:v>
      </x:c>
      <x:c r="Z1830" s="40" t="n">
        <x:v>1</x:v>
      </x:c>
      <x:c r="AA1830" s="40" t="n">
        <x:v>0.988009592326139</x:v>
      </x:c>
      <x:c r="AB1830" s="31" t="n">
        <x:v>0.10703121050871198</x:v>
      </x:c>
      <x:c r="AC1830" s="31" t="n">
        <x:v>5</x:v>
      </x:c>
      <x:c r="AD1830" s="44" t="b">
        <x:v>1</x:v>
      </x:c>
    </x:row>
    <x:row r="1831">
      <x:c r="A1831" s="31" t="str">
        <x:v>36081048301</x:v>
      </x:c>
      <x:c r="B1831" s="31" t="str">
        <x:v>Queens</x:v>
      </x:c>
      <x:c r="C1831" s="31" t="str">
        <x:v>048301</x:v>
      </x:c>
      <x:c r="D1831" s="31" t="str">
        <x:v>QN0401</x:v>
      </x:c>
      <x:c r="E1831" s="31" t="str">
        <x:v>Elmhurst</x:v>
      </x:c>
      <x:c r="F1831" s="31" t="n">
        <x:v>0.033403173446575125</x:v>
      </x:c>
      <x:c r="G1831" s="31" t="n">
        <x:v>40.74210114738913</x:v>
      </x:c>
      <x:c r="H1831" s="31" t="n">
        <x:v>-73.88962565289918</x:v>
      </x:c>
      <x:c r="I1831" s="31" t="n">
        <x:v>2145</x:v>
      </x:c>
      <x:c r="J1831" s="31" t="n">
        <x:v>64215.45555935584</x:v>
      </x:c>
      <x:c r="K1831" s="31"/>
      <x:c r="L1831" s="40"/>
      <x:c r="M1831" s="40"/>
      <x:c r="N1831" s="31" t="n">
        <x:v>213</x:v>
      </x:c>
      <x:c r="O1831" s="31" t="n">
        <x:v>709</x:v>
      </x:c>
      <x:c r="P1831" s="31" t="n">
        <x:v>3.698019801980198</x:v>
      </x:c>
      <x:c r="Q1831" s="40" t="n">
        <x:v>0</x:v>
      </x:c>
      <x:c r="R1831" s="40" t="n">
        <x:v>0.685472496473907</x:v>
      </x:c>
      <x:c r="S1831" s="40" t="n">
        <x:v>0.005641748942172073</x:v>
      </x:c>
      <x:c r="T1831" s="31" t="n">
        <x:v>41.54779501338549</x:v>
      </x:c>
      <x:c r="U1831" s="31" t="n">
        <x:v>81.18148762</x:v>
      </x:c>
      <x:c r="V1831" s="31" t="n">
        <x:v>3</x:v>
      </x:c>
      <x:c r="W1831" s="31" t="n">
        <x:v>1.3986013986013985</x:v>
      </x:c>
      <x:c r="X1831" s="31" t="n">
        <x:v>3</x:v>
      </x:c>
      <x:c r="Y1831" s="40" t="n">
        <x:v>0</x:v>
      </x:c>
      <x:c r="Z1831" s="40" t="n">
        <x:v>1</x:v>
      </x:c>
      <x:c r="AA1831" s="40" t="n">
        <x:v>0.9915373765867419</x:v>
      </x:c>
      <x:c r="AB1831" s="31" t="n">
        <x:v>0.18131255976543884</x:v>
      </x:c>
      <x:c r="AC1831" s="31" t="n">
        <x:v>6</x:v>
      </x:c>
      <x:c r="AD1831" s="44" t="b">
        <x:v>1</x:v>
      </x:c>
    </x:row>
    <x:row r="1832">
      <x:c r="A1832" s="31" t="str">
        <x:v>36081048302</x:v>
      </x:c>
      <x:c r="B1832" s="31" t="str">
        <x:v>Queens</x:v>
      </x:c>
      <x:c r="C1832" s="31" t="str">
        <x:v>048302</x:v>
      </x:c>
      <x:c r="D1832" s="31" t="str">
        <x:v>QN0203</x:v>
      </x:c>
      <x:c r="E1832" s="31" t="str">
        <x:v>Woodside</x:v>
      </x:c>
      <x:c r="F1832" s="31" t="n">
        <x:v>0.05212035007676193</x:v>
      </x:c>
      <x:c r="G1832" s="31" t="n">
        <x:v>40.74147087153288</x:v>
      </x:c>
      <x:c r="H1832" s="31" t="n">
        <x:v>-73.89466264925429</x:v>
      </x:c>
      <x:c r="I1832" s="31" t="n">
        <x:v>2092</x:v>
      </x:c>
      <x:c r="J1832" s="31" t="n">
        <x:v>40137.8731516373</x:v>
      </x:c>
      <x:c r="K1832" s="31"/>
      <x:c r="L1832" s="40"/>
      <x:c r="M1832" s="40"/>
      <x:c r="N1832" s="31" t="n">
        <x:v>226</x:v>
      </x:c>
      <x:c r="O1832" s="31" t="n">
        <x:v>607</x:v>
      </x:c>
      <x:c r="P1832" s="31" t="n">
        <x:v>2.812811980033278</x:v>
      </x:c>
      <x:c r="Q1832" s="40" t="n">
        <x:v>0</x:v>
      </x:c>
      <x:c r="R1832" s="40" t="n">
        <x:v>0.5897858319604613</x:v>
      </x:c>
      <x:c r="S1832" s="40" t="n">
        <x:v>0.014827018121911038</x:v>
      </x:c>
      <x:c r="T1832" s="31" t="n">
        <x:v>32.01208020506645</x:v>
      </x:c>
      <x:c r="U1832" s="31" t="n">
        <x:v>50</x:v>
      </x:c>
      <x:c r="V1832" s="31" t="n">
        <x:v>2</x:v>
      </x:c>
      <x:c r="W1832" s="31" t="n">
        <x:v>0.9560229445506692</x:v>
      </x:c>
      <x:c r="X1832" s="31" t="n">
        <x:v>3</x:v>
      </x:c>
      <x:c r="Y1832" s="40" t="n">
        <x:v>0</x:v>
      </x:c>
      <x:c r="Z1832" s="40" t="n">
        <x:v>1</x:v>
      </x:c>
      <x:c r="AA1832" s="40" t="n">
        <x:v>0.9917627677100495</x:v>
      </x:c>
      <x:c r="AB1832" s="31" t="n">
        <x:v>0.10152525139195649</x:v>
      </x:c>
      <x:c r="AC1832" s="31" t="n">
        <x:v>8</x:v>
      </x:c>
      <x:c r="AD1832" s="44" t="b">
        <x:v>1</x:v>
      </x:c>
    </x:row>
    <x:row r="1833">
      <x:c r="A1833" s="31" t="str">
        <x:v>36081048400</x:v>
      </x:c>
      <x:c r="B1833" s="31" t="str">
        <x:v>Queens</x:v>
      </x:c>
      <x:c r="C1833" s="31" t="str">
        <x:v>048400</x:v>
      </x:c>
      <x:c r="D1833" s="31" t="str">
        <x:v>QN1206</x:v>
      </x:c>
      <x:c r="E1833" s="31" t="str">
        <x:v>Hollis</x:v>
      </x:c>
      <x:c r="F1833" s="31" t="n">
        <x:v>0.16022234418331038</x:v>
      </x:c>
      <x:c r="G1833" s="31" t="n">
        <x:v>40.715815372317095</x:v>
      </x:c>
      <x:c r="H1833" s="31" t="n">
        <x:v>-73.7599362375532</x:v>
      </x:c>
      <x:c r="I1833" s="31" t="n">
        <x:v>5569</x:v>
      </x:c>
      <x:c r="J1833" s="31" t="n">
        <x:v>34757.94857693823</x:v>
      </x:c>
      <x:c r="K1833" s="31"/>
      <x:c r="L1833" s="40"/>
      <x:c r="M1833" s="40"/>
      <x:c r="N1833" s="31" t="n">
        <x:v>960</x:v>
      </x:c>
      <x:c r="O1833" s="31" t="n">
        <x:v>1545</x:v>
      </x:c>
      <x:c r="P1833" s="31" t="n">
        <x:v>2.292880258899676</x:v>
      </x:c>
      <x:c r="Q1833" s="40" t="n">
        <x:v>0</x:v>
      </x:c>
      <x:c r="R1833" s="40" t="n">
        <x:v>0.11132686084142394</x:v>
      </x:c>
      <x:c r="S1833" s="40" t="n">
        <x:v>0.07572815533980583</x:v>
      </x:c>
      <x:c r="T1833" s="31" t="n">
        <x:v>27.953941650867318</x:v>
      </x:c>
      <x:c r="U1833" s="31" t="n">
        <x:v>37.93</x:v>
      </x:c>
      <x:c r="V1833" s="31" t="n">
        <x:v>0</x:v>
      </x:c>
      <x:c r="W1833" s="31" t="n">
        <x:v>0</x:v>
      </x:c>
      <x:c r="X1833" s="31" t="n">
        <x:v>3.9851132686084143</x:v>
      </x:c>
      <x:c r="Y1833" s="40" t="n">
        <x:v>0.9851132686084142</x:v>
      </x:c>
      <x:c r="Z1833" s="40" t="n">
        <x:v>1</x:v>
      </x:c>
      <x:c r="AA1833" s="40" t="n">
        <x:v>1</x:v>
      </x:c>
      <x:c r="AB1833" s="31" t="n">
        <x:v>0.3257493749327307</x:v>
      </x:c>
      <x:c r="AC1833" s="31" t="n">
        <x:v>6</x:v>
      </x:c>
      <x:c r="AD1833" s="44" t="b">
        <x:v>1</x:v>
      </x:c>
    </x:row>
    <x:row r="1834">
      <x:c r="A1834" s="31" t="str">
        <x:v>36081048500</x:v>
      </x:c>
      <x:c r="B1834" s="31" t="str">
        <x:v>Queens</x:v>
      </x:c>
      <x:c r="C1834" s="31" t="str">
        <x:v>048500</x:v>
      </x:c>
      <x:c r="D1834" s="31" t="str">
        <x:v>QN0401</x:v>
      </x:c>
      <x:c r="E1834" s="31" t="str">
        <x:v>Elmhurst</x:v>
      </x:c>
      <x:c r="F1834" s="31" t="n">
        <x:v>0.12251950847358528</x:v>
      </x:c>
      <x:c r="G1834" s="31" t="n">
        <x:v>40.73975197659912</x:v>
      </x:c>
      <x:c r="H1834" s="31" t="n">
        <x:v>-73.88433640660084</x:v>
      </x:c>
      <x:c r="I1834" s="31" t="n">
        <x:v>5331</x:v>
      </x:c>
      <x:c r="J1834" s="31" t="n">
        <x:v>43511.43802661714</x:v>
      </x:c>
      <x:c r="K1834" s="31"/>
      <x:c r="L1834" s="40"/>
      <x:c r="M1834" s="40"/>
      <x:c r="N1834" s="31" t="n">
        <x:v>398</x:v>
      </x:c>
      <x:c r="O1834" s="31" t="n">
        <x:v>2355</x:v>
      </x:c>
      <x:c r="P1834" s="31" t="n">
        <x:v>5.964581740976645</x:v>
      </x:c>
      <x:c r="Q1834" s="40" t="n">
        <x:v>0.2526539278131635</x:v>
      </x:c>
      <x:c r="R1834" s="40" t="n">
        <x:v>0.5825902335456475</x:v>
      </x:c>
      <x:c r="S1834" s="40" t="n">
        <x:v>0.06624203821656051</x:v>
      </x:c>
      <x:c r="T1834" s="31" t="n">
        <x:v>62.79789955812973</x:v>
      </x:c>
      <x:c r="U1834" s="31" t="n">
        <x:v>125</x:v>
      </x:c>
      <x:c r="V1834" s="31" t="n">
        <x:v>37</x:v>
      </x:c>
      <x:c r="W1834" s="31" t="n">
        <x:v>6.940536484712062</x:v>
      </x:c>
      <x:c r="X1834" s="31" t="n">
        <x:v>3</x:v>
      </x:c>
      <x:c r="Y1834" s="40" t="n">
        <x:v>0</x:v>
      </x:c>
      <x:c r="Z1834" s="40" t="n">
        <x:v>1</x:v>
      </x:c>
      <x:c r="AA1834" s="40" t="n">
        <x:v>0.8968152866242038</x:v>
      </x:c>
      <x:c r="AB1834" s="31" t="n">
        <x:v>0.1012076667376129</x:v>
      </x:c>
      <x:c r="AC1834" s="31" t="n">
        <x:v>9</x:v>
      </x:c>
      <x:c r="AD1834" s="44" t="b">
        <x:v>1</x:v>
      </x:c>
    </x:row>
    <x:row r="1835">
      <x:c r="A1835" s="31" t="str">
        <x:v>36081048900</x:v>
      </x:c>
      <x:c r="B1835" s="31" t="str">
        <x:v>Queens</x:v>
      </x:c>
      <x:c r="C1835" s="31" t="str">
        <x:v>048900</x:v>
      </x:c>
      <x:c r="D1835" s="31" t="str">
        <x:v>QN0203</x:v>
      </x:c>
      <x:c r="E1835" s="31" t="str">
        <x:v>Woodside</x:v>
      </x:c>
      <x:c r="F1835" s="31" t="n">
        <x:v>0.1399966614902577</x:v>
      </x:c>
      <x:c r="G1835" s="31" t="n">
        <x:v>40.7373128629375</x:v>
      </x:c>
      <x:c r="H1835" s="31" t="n">
        <x:v>-73.8921814783707</x:v>
      </x:c>
      <x:c r="I1835" s="31" t="n">
        <x:v>1937</x:v>
      </x:c>
      <x:c r="J1835" s="31" t="n">
        <x:v>13836.044226917476</x:v>
      </x:c>
      <x:c r="K1835" s="31"/>
      <x:c r="L1835" s="40"/>
      <x:c r="M1835" s="40"/>
      <x:c r="N1835" s="31" t="n">
        <x:v>246</x:v>
      </x:c>
      <x:c r="O1835" s="31" t="n">
        <x:v>1052</x:v>
      </x:c>
      <x:c r="P1835" s="31" t="n">
        <x:v>8.515532319391635</x:v>
      </x:c>
      <x:c r="Q1835" s="40" t="n">
        <x:v>0.5903041825095057</x:v>
      </x:c>
      <x:c r="R1835" s="40" t="n">
        <x:v>0.11406844106463879</x:v>
      </x:c>
      <x:c r="S1835" s="40" t="n">
        <x:v>0.0019011406844106464</x:v>
      </x:c>
      <x:c r="T1835" s="31" t="n">
        <x:v>107.20665936076996</x:v>
      </x:c>
      <x:c r="U1835" s="31" t="n">
        <x:v>189</x:v>
      </x:c>
      <x:c r="V1835" s="31" t="n">
        <x:v>13</x:v>
      </x:c>
      <x:c r="W1835" s="31" t="n">
        <x:v>6.7114093959731544</x:v>
      </x:c>
      <x:c r="X1835" s="31" t="n">
        <x:v>3</x:v>
      </x:c>
      <x:c r="Y1835" s="40" t="n">
        <x:v>0</x:v>
      </x:c>
      <x:c r="Z1835" s="40" t="n">
        <x:v>1</x:v>
      </x:c>
      <x:c r="AA1835" s="40" t="n">
        <x:v>1</x:v>
      </x:c>
      <x:c r="AB1835" s="31" t="n">
        <x:v>0.226078780121164</x:v>
      </x:c>
      <x:c r="AC1835" s="31" t="n">
        <x:v>8</x:v>
      </x:c>
      <x:c r="AD1835" s="44" t="b">
        <x:v>1</x:v>
      </x:c>
    </x:row>
    <x:row r="1836">
      <x:c r="A1836" s="31" t="str">
        <x:v>36081049201</x:v>
      </x:c>
      <x:c r="B1836" s="31" t="str">
        <x:v>Queens</x:v>
      </x:c>
      <x:c r="C1836" s="31" t="str">
        <x:v>049201</x:v>
      </x:c>
      <x:c r="D1836" s="31" t="str">
        <x:v>QN0804</x:v>
      </x:c>
      <x:c r="E1836" s="31" t="str">
        <x:v>Jamaica Estates-Holliswood</x:v>
      </x:c>
      <x:c r="F1836" s="31" t="n">
        <x:v>0.11370505793983873</x:v>
      </x:c>
      <x:c r="G1836" s="31" t="n">
        <x:v>40.72439043109208</x:v>
      </x:c>
      <x:c r="H1836" s="31" t="n">
        <x:v>-73.76007902849635</x:v>
      </x:c>
      <x:c r="I1836" s="31" t="n">
        <x:v>2888</x:v>
      </x:c>
      <x:c r="J1836" s="31" t="n">
        <x:v>25399.046025973963</x:v>
      </x:c>
      <x:c r="K1836" s="31"/>
      <x:c r="L1836" s="40"/>
      <x:c r="M1836" s="40"/>
      <x:c r="N1836" s="31" t="n">
        <x:v>121</x:v>
      </x:c>
      <x:c r="O1836" s="31" t="n">
        <x:v>1297</x:v>
      </x:c>
      <x:c r="P1836" s="31" t="n">
        <x:v>2.798064764841943</x:v>
      </x:c>
      <x:c r="Q1836" s="40" t="n">
        <x:v>0</x:v>
      </x:c>
      <x:c r="R1836" s="40" t="n">
        <x:v>0.8164996144949884</x:v>
      </x:c>
      <x:c r="S1836" s="40" t="n">
        <x:v>0.8843484965304549</x:v>
      </x:c>
      <x:c r="T1836" s="31" t="n">
        <x:v>34.93617288785659</x:v>
      </x:c>
      <x:c r="U1836" s="31" t="n">
        <x:v>37.96</x:v>
      </x:c>
      <x:c r="V1836" s="31" t="n">
        <x:v>0</x:v>
      </x:c>
      <x:c r="W1836" s="31" t="n">
        <x:v>0</x:v>
      </x:c>
      <x:c r="X1836" s="31" t="n">
        <x:v>3</x:v>
      </x:c>
      <x:c r="Y1836" s="40" t="n">
        <x:v>0</x:v>
      </x:c>
      <x:c r="Z1836" s="40" t="n">
        <x:v>1</x:v>
      </x:c>
      <x:c r="AA1836" s="40" t="n">
        <x:v>1</x:v>
      </x:c>
      <x:c r="AB1836" s="31" t="n">
        <x:v>0.27477419230472594</x:v>
      </x:c>
      <x:c r="AC1836" s="31" t="n">
        <x:v>7</x:v>
      </x:c>
      <x:c r="AD1836" s="44" t="b">
        <x:v>1</x:v>
      </x:c>
    </x:row>
    <x:row r="1837">
      <x:c r="A1837" s="31" t="str">
        <x:v>36081049202</x:v>
      </x:c>
      <x:c r="B1837" s="31" t="str">
        <x:v>Queens</x:v>
      </x:c>
      <x:c r="C1837" s="31" t="str">
        <x:v>049202</x:v>
      </x:c>
      <x:c r="D1837" s="31" t="str">
        <x:v>QN1303</x:v>
      </x:c>
      <x:c r="E1837" s="31" t="str">
        <x:v>Queens Village</x:v>
      </x:c>
      <x:c r="F1837" s="31" t="n">
        <x:v>0.0740037975429006</x:v>
      </x:c>
      <x:c r="G1837" s="31" t="n">
        <x:v>40.72079904439946</x:v>
      </x:c>
      <x:c r="H1837" s="31" t="n">
        <x:v>-73.75604324902528</x:v>
      </x:c>
      <x:c r="I1837" s="31" t="n">
        <x:v>2018</x:v>
      </x:c>
      <x:c r="J1837" s="31" t="n">
        <x:v>27268.87088233748</x:v>
      </x:c>
      <x:c r="K1837" s="31"/>
      <x:c r="L1837" s="40"/>
      <x:c r="M1837" s="40"/>
      <x:c r="N1837" s="31" t="n">
        <x:v>409</x:v>
      </x:c>
      <x:c r="O1837" s="31" t="n">
        <x:v>521</x:v>
      </x:c>
      <x:c r="P1837" s="31" t="n">
        <x:v>2.1190978886756238</x:v>
      </x:c>
      <x:c r="Q1837" s="40" t="n">
        <x:v>0</x:v>
      </x:c>
      <x:c r="R1837" s="40" t="n">
        <x:v>0</x:v>
      </x:c>
      <x:c r="S1837" s="40" t="n">
        <x:v>0.013435700575815739</x:v>
      </x:c>
      <x:c r="T1837" s="31" t="n">
        <x:v>27.126956656545104</x:v>
      </x:c>
      <x:c r="U1837" s="31" t="n">
        <x:v>35.47</x:v>
      </x:c>
      <x:c r="V1837" s="31" t="n">
        <x:v>1</x:v>
      </x:c>
      <x:c r="W1837" s="31" t="n">
        <x:v>0.4955401387512388</x:v>
      </x:c>
      <x:c r="X1837" s="31" t="n">
        <x:v>3.0038387715930903</x:v>
      </x:c>
      <x:c r="Y1837" s="40" t="n">
        <x:v>0.003838771593090211</x:v>
      </x:c>
      <x:c r="Z1837" s="40" t="n">
        <x:v>1</x:v>
      </x:c>
      <x:c r="AA1837" s="40" t="n">
        <x:v>1</x:v>
      </x:c>
      <x:c r="AB1837" s="31" t="n">
        <x:v>0.08384926677852823</x:v>
      </x:c>
      <x:c r="AC1837" s="31" t="n">
        <x:v>7</x:v>
      </x:c>
      <x:c r="AD1837" s="44" t="b">
        <x:v>1</x:v>
      </x:c>
    </x:row>
    <x:row r="1838">
      <x:c r="A1838" s="31" t="str">
        <x:v>36081049301</x:v>
      </x:c>
      <x:c r="B1838" s="31" t="str">
        <x:v>Queens</x:v>
      </x:c>
      <x:c r="C1838" s="31" t="str">
        <x:v>049301</x:v>
      </x:c>
      <x:c r="D1838" s="31" t="str">
        <x:v>QN0501</x:v>
      </x:c>
      <x:c r="E1838" s="31" t="str">
        <x:v>Maspeth</x:v>
      </x:c>
      <x:c r="F1838" s="31" t="n">
        <x:v>0.06327632572170569</x:v>
      </x:c>
      <x:c r="G1838" s="31" t="n">
        <x:v>40.732367336925236</x:v>
      </x:c>
      <x:c r="H1838" s="31" t="n">
        <x:v>-73.8942515101263</x:v>
      </x:c>
      <x:c r="I1838" s="31" t="n">
        <x:v>2391</x:v>
      </x:c>
      <x:c r="J1838" s="31" t="n">
        <x:v>37786.64409997205</x:v>
      </x:c>
      <x:c r="K1838" s="31"/>
      <x:c r="L1838" s="40"/>
      <x:c r="M1838" s="40"/>
      <x:c r="N1838" s="31" t="n">
        <x:v>467</x:v>
      </x:c>
      <x:c r="O1838" s="31" t="n">
        <x:v>778</x:v>
      </x:c>
      <x:c r="P1838" s="31" t="n">
        <x:v>2.1776061776061777</x:v>
      </x:c>
      <x:c r="Q1838" s="40" t="n">
        <x:v>0</x:v>
      </x:c>
      <x:c r="R1838" s="40" t="n">
        <x:v>0.20308483290488433</x:v>
      </x:c>
      <x:c r="S1838" s="40" t="n">
        <x:v>0.010282776349614395</x:v>
      </x:c>
      <x:c r="T1838" s="31" t="n">
        <x:v>26.67028922387097</x:v>
      </x:c>
      <x:c r="U1838" s="31" t="n">
        <x:v>39.79</x:v>
      </x:c>
      <x:c r="V1838" s="31" t="n">
        <x:v>0</x:v>
      </x:c>
      <x:c r="W1838" s="31" t="n">
        <x:v>0</x:v>
      </x:c>
      <x:c r="X1838" s="31" t="n">
        <x:v>3</x:v>
      </x:c>
      <x:c r="Y1838" s="40" t="n">
        <x:v>0</x:v>
      </x:c>
      <x:c r="Z1838" s="40" t="n">
        <x:v>1</x:v>
      </x:c>
      <x:c r="AA1838" s="40" t="n">
        <x:v>0.9961439588688946</x:v>
      </x:c>
      <x:c r="AB1838" s="31" t="n">
        <x:v>0.21610053357960288</x:v>
      </x:c>
      <x:c r="AC1838" s="31" t="n">
        <x:v>6</x:v>
      </x:c>
      <x:c r="AD1838" s="44" t="b">
        <x:v>1</x:v>
      </x:c>
    </x:row>
    <x:row r="1839">
      <x:c r="A1839" s="31" t="str">
        <x:v>36081049302</x:v>
      </x:c>
      <x:c r="B1839" s="31" t="str">
        <x:v>Queens</x:v>
      </x:c>
      <x:c r="C1839" s="31" t="str">
        <x:v>049302</x:v>
      </x:c>
      <x:c r="D1839" s="31" t="str">
        <x:v>QN0501</x:v>
      </x:c>
      <x:c r="E1839" s="31" t="str">
        <x:v>Maspeth</x:v>
      </x:c>
      <x:c r="F1839" s="31" t="n">
        <x:v>0.10391290152734733</x:v>
      </x:c>
      <x:c r="G1839" s="31" t="n">
        <x:v>40.72790380806837</x:v>
      </x:c>
      <x:c r="H1839" s="31" t="n">
        <x:v>-73.8917939304488</x:v>
      </x:c>
      <x:c r="I1839" s="31" t="n">
        <x:v>3498</x:v>
      </x:c>
      <x:c r="J1839" s="31" t="n">
        <x:v>33662.80749151646</x:v>
      </x:c>
      <x:c r="K1839" s="31"/>
      <x:c r="L1839" s="40"/>
      <x:c r="M1839" s="40"/>
      <x:c r="N1839" s="31" t="n">
        <x:v>480</x:v>
      </x:c>
      <x:c r="O1839" s="31" t="n">
        <x:v>1039</x:v>
      </x:c>
      <x:c r="P1839" s="31" t="n">
        <x:v>2.2812800769971124</x:v>
      </x:c>
      <x:c r="Q1839" s="40" t="n">
        <x:v>0</x:v>
      </x:c>
      <x:c r="R1839" s="40" t="n">
        <x:v>0.2829643888354187</x:v>
      </x:c>
      <x:c r="S1839" s="40" t="n">
        <x:v>0.011549566891241578</x:v>
      </x:c>
      <x:c r="T1839" s="31" t="n">
        <x:v>28.263124775034015</x:v>
      </x:c>
      <x:c r="U1839" s="31" t="n">
        <x:v>48.73</x:v>
      </x:c>
      <x:c r="V1839" s="31" t="n">
        <x:v>1</x:v>
      </x:c>
      <x:c r="W1839" s="31" t="n">
        <x:v>0.2858776443682104</x:v>
      </x:c>
      <x:c r="X1839" s="31" t="n">
        <x:v>3</x:v>
      </x:c>
      <x:c r="Y1839" s="40" t="n">
        <x:v>0</x:v>
      </x:c>
      <x:c r="Z1839" s="40" t="n">
        <x:v>1</x:v>
      </x:c>
      <x:c r="AA1839" s="40" t="n">
        <x:v>0.9903753609239654</x:v>
      </x:c>
      <x:c r="AB1839" s="31" t="n">
        <x:v>0.09292410157923994</x:v>
      </x:c>
      <x:c r="AC1839" s="31" t="n">
        <x:v>7</x:v>
      </x:c>
      <x:c r="AD1839" s="44" t="b">
        <x:v>1</x:v>
      </x:c>
    </x:row>
    <x:row r="1840">
      <x:c r="A1840" s="31" t="str">
        <x:v>36081049500</x:v>
      </x:c>
      <x:c r="B1840" s="31" t="str">
        <x:v>Queens</x:v>
      </x:c>
      <x:c r="C1840" s="31" t="str">
        <x:v>049500</x:v>
      </x:c>
      <x:c r="D1840" s="31" t="str">
        <x:v>QN0501</x:v>
      </x:c>
      <x:c r="E1840" s="31" t="str">
        <x:v>Maspeth</x:v>
      </x:c>
      <x:c r="F1840" s="31" t="n">
        <x:v>0.04981366811043675</x:v>
      </x:c>
      <x:c r="G1840" s="31" t="n">
        <x:v>40.72539008743855</x:v>
      </x:c>
      <x:c r="H1840" s="31" t="n">
        <x:v>-73.8904910018658</x:v>
      </x:c>
      <x:c r="I1840" s="31" t="n">
        <x:v>1430</x:v>
      </x:c>
      <x:c r="J1840" s="31" t="n">
        <x:v>28706.98051847325</x:v>
      </x:c>
      <x:c r="K1840" s="31"/>
      <x:c r="L1840" s="40"/>
      <x:c r="M1840" s="40"/>
      <x:c r="N1840" s="31" t="n">
        <x:v>254</x:v>
      </x:c>
      <x:c r="O1840" s="31" t="n">
        <x:v>528</x:v>
      </x:c>
      <x:c r="P1840" s="31" t="n">
        <x:v>2.4034469696969696</x:v>
      </x:c>
      <x:c r="Q1840" s="40" t="n">
        <x:v>0</x:v>
      </x:c>
      <x:c r="R1840" s="40" t="n">
        <x:v>0.3996212121212121</x:v>
      </x:c>
      <x:c r="S1840" s="40" t="n">
        <x:v>0.003787878787878788</x:v>
      </x:c>
      <x:c r="T1840" s="31" t="n">
        <x:v>27.438496888041826</x:v>
      </x:c>
      <x:c r="U1840" s="31" t="n">
        <x:v>37</x:v>
      </x:c>
      <x:c r="V1840" s="31" t="n">
        <x:v>0</x:v>
      </x:c>
      <x:c r="W1840" s="31" t="n">
        <x:v>0</x:v>
      </x:c>
      <x:c r="X1840" s="31" t="n">
        <x:v>2.878787878787879</x:v>
      </x:c>
      <x:c r="Y1840" s="40" t="n">
        <x:v>0</x:v>
      </x:c>
      <x:c r="Z1840" s="40" t="n">
        <x:v>1</x:v>
      </x:c>
      <x:c r="AA1840" s="40" t="n">
        <x:v>0.9962121212121212</x:v>
      </x:c>
      <x:c r="AB1840" s="31" t="n">
        <x:v>0.17501257706518927</x:v>
      </x:c>
      <x:c r="AC1840" s="31" t="n">
        <x:v>7</x:v>
      </x:c>
      <x:c r="AD1840" s="44" t="b">
        <x:v>1</x:v>
      </x:c>
    </x:row>
    <x:row r="1841">
      <x:c r="A1841" s="31" t="str">
        <x:v>36081049600</x:v>
      </x:c>
      <x:c r="B1841" s="31" t="str">
        <x:v>Queens</x:v>
      </x:c>
      <x:c r="C1841" s="31" t="str">
        <x:v>049600</x:v>
      </x:c>
      <x:c r="D1841" s="31" t="str">
        <x:v>QN1303</x:v>
      </x:c>
      <x:c r="E1841" s="31" t="str">
        <x:v>Queens Village</x:v>
      </x:c>
      <x:c r="F1841" s="31" t="n">
        <x:v>0.10559024775130567</x:v>
      </x:c>
      <x:c r="G1841" s="31" t="n">
        <x:v>40.716950197124255</x:v>
      </x:c>
      <x:c r="H1841" s="31" t="n">
        <x:v>-73.75311897684603</x:v>
      </x:c>
      <x:c r="I1841" s="31" t="n">
        <x:v>3251</x:v>
      </x:c>
      <x:c r="J1841" s="31" t="n">
        <x:v>30788.828222631004</x:v>
      </x:c>
      <x:c r="K1841" s="31"/>
      <x:c r="L1841" s="40"/>
      <x:c r="M1841" s="40"/>
      <x:c r="N1841" s="31" t="n">
        <x:v>696</x:v>
      </x:c>
      <x:c r="O1841" s="31" t="n">
        <x:v>882</x:v>
      </x:c>
      <x:c r="P1841" s="31" t="n">
        <x:v>2.2811791383219955</x:v>
      </x:c>
      <x:c r="Q1841" s="40" t="n">
        <x:v>0</x:v>
      </x:c>
      <x:c r="R1841" s="40" t="n">
        <x:v>0.04081632653061224</x:v>
      </x:c>
      <x:c r="S1841" s="40" t="n">
        <x:v>0.011337868480725623</x:v>
      </x:c>
      <x:c r="T1841" s="31" t="n">
        <x:v>28.443185991009067</x:v>
      </x:c>
      <x:c r="U1841" s="31" t="n">
        <x:v>48.01</x:v>
      </x:c>
      <x:c r="V1841" s="31" t="n">
        <x:v>0</x:v>
      </x:c>
      <x:c r="W1841" s="31" t="n">
        <x:v>0</x:v>
      </x:c>
      <x:c r="X1841" s="31" t="n">
        <x:v>4</x:v>
      </x:c>
      <x:c r="Y1841" s="40" t="n">
        <x:v>1</x:v>
      </x:c>
      <x:c r="Z1841" s="40" t="n">
        <x:v>1</x:v>
      </x:c>
      <x:c r="AA1841" s="40" t="n">
        <x:v>1</x:v>
      </x:c>
      <x:c r="AB1841" s="31" t="n">
        <x:v>0.35967253159422813</x:v>
      </x:c>
      <x:c r="AC1841" s="31" t="n">
        <x:v>7</x:v>
      </x:c>
      <x:c r="AD1841" s="44" t="b">
        <x:v>1</x:v>
      </x:c>
    </x:row>
    <x:row r="1842">
      <x:c r="A1842" s="31" t="str">
        <x:v>36081049700</x:v>
      </x:c>
      <x:c r="B1842" s="31" t="str">
        <x:v>Queens</x:v>
      </x:c>
      <x:c r="C1842" s="31" t="str">
        <x:v>049700</x:v>
      </x:c>
      <x:c r="D1842" s="31" t="str">
        <x:v>QN0501</x:v>
      </x:c>
      <x:c r="E1842" s="31" t="str">
        <x:v>Maspeth</x:v>
      </x:c>
      <x:c r="F1842" s="31" t="n">
        <x:v>0.07638090601182278</x:v>
      </x:c>
      <x:c r="G1842" s="31" t="n">
        <x:v>40.73174901125292</x:v>
      </x:c>
      <x:c r="H1842" s="31" t="n">
        <x:v>-73.8903748146517</x:v>
      </x:c>
      <x:c r="I1842" s="31" t="n">
        <x:v>3381</x:v>
      </x:c>
      <x:c r="J1842" s="31" t="n">
        <x:v>44264.989465779116</x:v>
      </x:c>
      <x:c r="K1842" s="31"/>
      <x:c r="L1842" s="40"/>
      <x:c r="M1842" s="40"/>
      <x:c r="N1842" s="31" t="n">
        <x:v>597</x:v>
      </x:c>
      <x:c r="O1842" s="31" t="n">
        <x:v>1042</x:v>
      </x:c>
      <x:c r="P1842" s="31" t="n">
        <x:v>2.1802504816955683</x:v>
      </x:c>
      <x:c r="Q1842" s="40" t="n">
        <x:v>0</x:v>
      </x:c>
      <x:c r="R1842" s="40" t="n">
        <x:v>0.1746641074856046</x:v>
      </x:c>
      <x:c r="S1842" s="40" t="n">
        <x:v>0.0047984644913627635</x:v>
      </x:c>
      <x:c r="T1842" s="31" t="n">
        <x:v>26.22257552458778</x:v>
      </x:c>
      <x:c r="U1842" s="31" t="n">
        <x:v>58.65650653</x:v>
      </x:c>
      <x:c r="V1842" s="31" t="n">
        <x:v>1</x:v>
      </x:c>
      <x:c r="W1842" s="31" t="n">
        <x:v>0.2957704821058858</x:v>
      </x:c>
      <x:c r="X1842" s="31" t="n">
        <x:v>3</x:v>
      </x:c>
      <x:c r="Y1842" s="40" t="n">
        <x:v>0</x:v>
      </x:c>
      <x:c r="Z1842" s="40" t="n">
        <x:v>1</x:v>
      </x:c>
      <x:c r="AA1842" s="40" t="n">
        <x:v>0.989443378119002</x:v>
      </x:c>
      <x:c r="AB1842" s="31" t="n">
        <x:v>0.21067596720717593</x:v>
      </x:c>
      <x:c r="AC1842" s="31" t="n">
        <x:v>5</x:v>
      </x:c>
      <x:c r="AD1842" s="44" t="b">
        <x:v>1</x:v>
      </x:c>
    </x:row>
    <x:row r="1843">
      <x:c r="A1843" s="31" t="str">
        <x:v>36081049900</x:v>
      </x:c>
      <x:c r="B1843" s="31" t="str">
        <x:v>Queens</x:v>
      </x:c>
      <x:c r="C1843" s="31" t="str">
        <x:v>049900</x:v>
      </x:c>
      <x:c r="D1843" s="31" t="str">
        <x:v>QN0401</x:v>
      </x:c>
      <x:c r="E1843" s="31" t="str">
        <x:v>Elmhurst</x:v>
      </x:c>
      <x:c r="F1843" s="31" t="n">
        <x:v>0.17796678117646636</x:v>
      </x:c>
      <x:c r="G1843" s="31" t="n">
        <x:v>40.73112369056629</x:v>
      </x:c>
      <x:c r="H1843" s="31" t="n">
        <x:v>-73.8833614431151</x:v>
      </x:c>
      <x:c r="I1843" s="31" t="n">
        <x:v>5477</x:v>
      </x:c>
      <x:c r="J1843" s="31" t="n">
        <x:v>30775.406307816378</x:v>
      </x:c>
      <x:c r="K1843" s="31"/>
      <x:c r="L1843" s="40"/>
      <x:c r="M1843" s="40"/>
      <x:c r="N1843" s="31" t="n">
        <x:v>833</x:v>
      </x:c>
      <x:c r="O1843" s="31" t="n">
        <x:v>1674</x:v>
      </x:c>
      <x:c r="P1843" s="31" t="n">
        <x:v>2.229163679808841</x:v>
      </x:c>
      <x:c r="Q1843" s="40" t="n">
        <x:v>0</x:v>
      </x:c>
      <x:c r="R1843" s="40" t="n">
        <x:v>0.3088410991636798</x:v>
      </x:c>
      <x:c r="S1843" s="40" t="n">
        <x:v>0.0023894862604540022</x:v>
      </x:c>
      <x:c r="T1843" s="31" t="n">
        <x:v>26.955591113505783</x:v>
      </x:c>
      <x:c r="U1843" s="31" t="n">
        <x:v>45.92909772</x:v>
      </x:c>
      <x:c r="V1843" s="31" t="n">
        <x:v>6</x:v>
      </x:c>
      <x:c r="W1843" s="31" t="n">
        <x:v>1.0954902318787658</x:v>
      </x:c>
      <x:c r="X1843" s="31" t="n">
        <x:v>3</x:v>
      </x:c>
      <x:c r="Y1843" s="40" t="n">
        <x:v>0</x:v>
      </x:c>
      <x:c r="Z1843" s="40" t="n">
        <x:v>1</x:v>
      </x:c>
      <x:c r="AA1843" s="40" t="n">
        <x:v>0.9814814814814815</x:v>
      </x:c>
      <x:c r="AB1843" s="31" t="n">
        <x:v>0.267281973499942</x:v>
      </x:c>
      <x:c r="AC1843" s="31" t="n">
        <x:v>9</x:v>
      </x:c>
      <x:c r="AD1843" s="44" t="b">
        <x:v>1</x:v>
      </x:c>
    </x:row>
    <x:row r="1844">
      <x:c r="A1844" s="31" t="str">
        <x:v>36081050000</x:v>
      </x:c>
      <x:c r="B1844" s="31" t="str">
        <x:v>Queens</x:v>
      </x:c>
      <x:c r="C1844" s="31" t="str">
        <x:v>050000</x:v>
      </x:c>
      <x:c r="D1844" s="31" t="str">
        <x:v>QN1206</x:v>
      </x:c>
      <x:c r="E1844" s="31" t="str">
        <x:v>Hollis</x:v>
      </x:c>
      <x:c r="F1844" s="31" t="n">
        <x:v>0.12956505455549816</x:v>
      </x:c>
      <x:c r="G1844" s="31" t="n">
        <x:v>40.71194621256018</x:v>
      </x:c>
      <x:c r="H1844" s="31" t="n">
        <x:v>-73.76361685576434</x:v>
      </x:c>
      <x:c r="I1844" s="31" t="n">
        <x:v>4778</x:v>
      </x:c>
      <x:c r="J1844" s="31" t="n">
        <x:v>36877.22755485262</x:v>
      </x:c>
      <x:c r="K1844" s="31"/>
      <x:c r="L1844" s="40"/>
      <x:c r="M1844" s="40"/>
      <x:c r="N1844" s="31" t="n">
        <x:v>296</x:v>
      </x:c>
      <x:c r="O1844" s="31" t="n">
        <x:v>1967</x:v>
      </x:c>
      <x:c r="P1844" s="31" t="n">
        <x:v>4.599944077275039</x:v>
      </x:c>
      <x:c r="Q1844" s="40" t="n">
        <x:v>0</x:v>
      </x:c>
      <x:c r="R1844" s="40" t="n">
        <x:v>0.8413828164717845</x:v>
      </x:c>
      <x:c r="S1844" s="40" t="n">
        <x:v>0.228266395526182</x:v>
      </x:c>
      <x:c r="T1844" s="31" t="n">
        <x:v>48.634336943056695</x:v>
      </x:c>
      <x:c r="U1844" s="31" t="n">
        <x:v>66.41</x:v>
      </x:c>
      <x:c r="V1844" s="31" t="n">
        <x:v>20</x:v>
      </x:c>
      <x:c r="W1844" s="31" t="n">
        <x:v>4.185851820845541</x:v>
      </x:c>
      <x:c r="X1844" s="31" t="n">
        <x:v>4</x:v>
      </x:c>
      <x:c r="Y1844" s="40" t="n">
        <x:v>1</x:v>
      </x:c>
      <x:c r="Z1844" s="40" t="n">
        <x:v>1</x:v>
      </x:c>
      <x:c r="AA1844" s="40" t="n">
        <x:v>0.9862735129639044</x:v>
      </x:c>
      <x:c r="AB1844" s="31" t="n">
        <x:v>0.2983026441973795</x:v>
      </x:c>
      <x:c r="AC1844" s="31" t="n">
        <x:v>10</x:v>
      </x:c>
      <x:c r="AD1844" s="44" t="b">
        <x:v>1</x:v>
      </x:c>
    </x:row>
    <x:row r="1845">
      <x:c r="A1845" s="31" t="str">
        <x:v>36081050201</x:v>
      </x:c>
      <x:c r="B1845" s="31" t="str">
        <x:v>Queens</x:v>
      </x:c>
      <x:c r="C1845" s="31" t="str">
        <x:v>050201</x:v>
      </x:c>
      <x:c r="D1845" s="31" t="str">
        <x:v>QN1206</x:v>
      </x:c>
      <x:c r="E1845" s="31" t="str">
        <x:v>Hollis</x:v>
      </x:c>
      <x:c r="F1845" s="31" t="n">
        <x:v>0.06494469488241793</x:v>
      </x:c>
      <x:c r="G1845" s="31" t="n">
        <x:v>40.7088022429908</x:v>
      </x:c>
      <x:c r="H1845" s="31" t="n">
        <x:v>-73.76490346934521</x:v>
      </x:c>
      <x:c r="I1845" s="31" t="n">
        <x:v>1678</x:v>
      </x:c>
      <x:c r="J1845" s="31" t="n">
        <x:v>25837.368287556226</x:v>
      </x:c>
      <x:c r="K1845" s="31"/>
      <x:c r="L1845" s="40"/>
      <x:c r="M1845" s="40"/>
      <x:c r="N1845" s="31" t="n">
        <x:v>281</x:v>
      </x:c>
      <x:c r="O1845" s="31" t="n">
        <x:v>415</x:v>
      </x:c>
      <x:c r="P1845" s="31" t="n">
        <x:v>2.2796618357487923</x:v>
      </x:c>
      <x:c r="Q1845" s="40" t="n">
        <x:v>0</x:v>
      </x:c>
      <x:c r="R1845" s="40" t="n">
        <x:v>0.00963855421686747</x:v>
      </x:c>
      <x:c r="S1845" s="40" t="n">
        <x:v>0.007228915662650603</x:v>
      </x:c>
      <x:c r="T1845" s="31" t="n">
        <x:v>28.441569590605326</x:v>
      </x:c>
      <x:c r="U1845" s="31" t="n">
        <x:v>37.81</x:v>
      </x:c>
      <x:c r="V1845" s="31" t="n">
        <x:v>1</x:v>
      </x:c>
      <x:c r="W1845" s="31" t="n">
        <x:v>0.5959475566150179</x:v>
      </x:c>
      <x:c r="X1845" s="31" t="n">
        <x:v>4.048192771084337</x:v>
      </x:c>
      <x:c r="Y1845" s="40" t="n">
        <x:v>1</x:v>
      </x:c>
      <x:c r="Z1845" s="40" t="n">
        <x:v>1</x:v>
      </x:c>
      <x:c r="AA1845" s="40" t="n">
        <x:v>0.9951807228915662</x:v>
      </x:c>
      <x:c r="AB1845" s="31" t="n">
        <x:v>0.3720194370848524</x:v>
      </x:c>
      <x:c r="AC1845" s="31" t="n">
        <x:v>5</x:v>
      </x:c>
      <x:c r="AD1845" s="44" t="b">
        <x:v>1</x:v>
      </x:c>
    </x:row>
    <x:row r="1846">
      <x:c r="A1846" s="31" t="str">
        <x:v>36081050202</x:v>
      </x:c>
      <x:c r="B1846" s="31" t="str">
        <x:v>Queens</x:v>
      </x:c>
      <x:c r="C1846" s="31" t="str">
        <x:v>050202</x:v>
      </x:c>
      <x:c r="D1846" s="31" t="str">
        <x:v>QN1206</x:v>
      </x:c>
      <x:c r="E1846" s="31" t="str">
        <x:v>Hollis</x:v>
      </x:c>
      <x:c r="F1846" s="31" t="n">
        <x:v>0.059016485314078285</x:v>
      </x:c>
      <x:c r="G1846" s="31" t="n">
        <x:v>40.7101892664434</x:v>
      </x:c>
      <x:c r="H1846" s="31" t="n">
        <x:v>-73.75929236685768</x:v>
      </x:c>
      <x:c r="I1846" s="31" t="n">
        <x:v>1521</x:v>
      </x:c>
      <x:c r="J1846" s="31" t="n">
        <x:v>25772.459879734113</x:v>
      </x:c>
      <x:c r="K1846" s="31"/>
      <x:c r="L1846" s="40"/>
      <x:c r="M1846" s="40"/>
      <x:c r="N1846" s="31" t="n">
        <x:v>307</x:v>
      </x:c>
      <x:c r="O1846" s="31" t="n">
        <x:v>410</x:v>
      </x:c>
      <x:c r="P1846" s="31" t="n">
        <x:v>2.258341463414634</x:v>
      </x:c>
      <x:c r="Q1846" s="40" t="n">
        <x:v>0</x:v>
      </x:c>
      <x:c r="R1846" s="40" t="n">
        <x:v>0</x:v>
      </x:c>
      <x:c r="S1846" s="40" t="n">
        <x:v>0.007317073170731708</x:v>
      </x:c>
      <x:c r="T1846" s="31" t="n">
        <x:v>28.69101619812195</x:v>
      </x:c>
      <x:c r="U1846" s="31" t="n">
        <x:v>39</x:v>
      </x:c>
      <x:c r="V1846" s="31" t="n">
        <x:v>0</x:v>
      </x:c>
      <x:c r="W1846" s="31" t="n">
        <x:v>0</x:v>
      </x:c>
      <x:c r="X1846" s="31" t="n">
        <x:v>4.075609756097561</x:v>
      </x:c>
      <x:c r="Y1846" s="40" t="n">
        <x:v>1</x:v>
      </x:c>
      <x:c r="Z1846" s="40" t="n">
        <x:v>1</x:v>
      </x:c>
      <x:c r="AA1846" s="40" t="n">
        <x:v>1</x:v>
      </x:c>
      <x:c r="AB1846" s="31" t="n">
        <x:v>0.2917146560473257</x:v>
      </x:c>
      <x:c r="AC1846" s="31" t="n">
        <x:v>5</x:v>
      </x:c>
      <x:c r="AD1846" s="44" t="b">
        <x:v>1</x:v>
      </x:c>
    </x:row>
    <x:row r="1847">
      <x:c r="A1847" s="31" t="str">
        <x:v>36081050400</x:v>
      </x:c>
      <x:c r="B1847" s="31" t="str">
        <x:v>Queens</x:v>
      </x:c>
      <x:c r="C1847" s="31" t="str">
        <x:v>050400</x:v>
      </x:c>
      <x:c r="D1847" s="31" t="str">
        <x:v>QN1205</x:v>
      </x:c>
      <x:c r="E1847" s="31" t="str">
        <x:v>St. Albans</x:v>
      </x:c>
      <x:c r="F1847" s="31" t="n">
        <x:v>0.08351919439996557</x:v>
      </x:c>
      <x:c r="G1847" s="31" t="n">
        <x:v>40.70511947750174</x:v>
      </x:c>
      <x:c r="H1847" s="31" t="n">
        <x:v>-73.76435778017955</x:v>
      </x:c>
      <x:c r="I1847" s="31" t="n">
        <x:v>1872</x:v>
      </x:c>
      <x:c r="J1847" s="31" t="n">
        <x:v>22414.009299888217</x:v>
      </x:c>
      <x:c r="K1847" s="31"/>
      <x:c r="L1847" s="40"/>
      <x:c r="M1847" s="40"/>
      <x:c r="N1847" s="31" t="n">
        <x:v>347</x:v>
      </x:c>
      <x:c r="O1847" s="31" t="n">
        <x:v>512</x:v>
      </x:c>
      <x:c r="P1847" s="31" t="n">
        <x:v>2.86265625</x:v>
      </x:c>
      <x:c r="Q1847" s="40" t="n">
        <x:v>0</x:v>
      </x:c>
      <x:c r="R1847" s="40" t="n">
        <x:v>0.173828125</x:v>
      </x:c>
      <x:c r="S1847" s="40" t="n">
        <x:v>0.005859375</x:v>
      </x:c>
      <x:c r="T1847" s="31" t="n">
        <x:v>35.10582849990215</x:v>
      </x:c>
      <x:c r="U1847" s="31" t="n">
        <x:v>65.54</x:v>
      </x:c>
      <x:c r="V1847" s="31" t="n">
        <x:v>2</x:v>
      </x:c>
      <x:c r="W1847" s="31" t="n">
        <x:v>1.0683760683760686</x:v>
      </x:c>
      <x:c r="X1847" s="31" t="n">
        <x:v>5</x:v>
      </x:c>
      <x:c r="Y1847" s="40" t="n">
        <x:v>1</x:v>
      </x:c>
      <x:c r="Z1847" s="40" t="n">
        <x:v>1</x:v>
      </x:c>
      <x:c r="AA1847" s="40" t="n">
        <x:v>0.998046875</x:v>
      </x:c>
      <x:c r="AB1847" s="31" t="n">
        <x:v>0.1332859851707315</x:v>
      </x:c>
      <x:c r="AC1847" s="31" t="n">
        <x:v>5</x:v>
      </x:c>
      <x:c r="AD1847" s="44" t="b">
        <x:v>1</x:v>
      </x:c>
    </x:row>
    <x:row r="1848">
      <x:c r="A1848" s="31" t="str">
        <x:v>36081050500</x:v>
      </x:c>
      <x:c r="B1848" s="31" t="str">
        <x:v>Queens</x:v>
      </x:c>
      <x:c r="C1848" s="31" t="str">
        <x:v>050500</x:v>
      </x:c>
      <x:c r="D1848" s="31" t="str">
        <x:v>QN0504</x:v>
      </x:c>
      <x:c r="E1848" s="31" t="str">
        <x:v>Middle Village</x:v>
      </x:c>
      <x:c r="F1848" s="31" t="n">
        <x:v>0.04498944645173324</x:v>
      </x:c>
      <x:c r="G1848" s="31" t="n">
        <x:v>40.72908074109856</x:v>
      </x:c>
      <x:c r="H1848" s="31" t="n">
        <x:v>-73.87474402686672</x:v>
      </x:c>
      <x:c r="I1848" s="31" t="n">
        <x:v>1768</x:v>
      </x:c>
      <x:c r="J1848" s="31" t="n">
        <x:v>39298.1052100028</x:v>
      </x:c>
      <x:c r="K1848" s="31"/>
      <x:c r="L1848" s="40"/>
      <x:c r="M1848" s="40"/>
      <x:c r="N1848" s="31" t="n">
        <x:v>279</x:v>
      </x:c>
      <x:c r="O1848" s="31" t="n">
        <x:v>657</x:v>
      </x:c>
      <x:c r="P1848" s="31" t="n">
        <x:v>2.612633181126332</x:v>
      </x:c>
      <x:c r="Q1848" s="40" t="n">
        <x:v>0</x:v>
      </x:c>
      <x:c r="R1848" s="40" t="n">
        <x:v>0.573820395738204</x:v>
      </x:c>
      <x:c r="S1848" s="40" t="n">
        <x:v>0.0030441400304414</x:v>
      </x:c>
      <x:c r="T1848" s="31" t="n">
        <x:v>30.488626555296804</x:v>
      </x:c>
      <x:c r="U1848" s="31" t="n">
        <x:v>48.13927121</x:v>
      </x:c>
      <x:c r="V1848" s="31" t="n">
        <x:v>0</x:v>
      </x:c>
      <x:c r="W1848" s="31" t="n">
        <x:v>0</x:v>
      </x:c>
      <x:c r="X1848" s="31" t="n">
        <x:v>1.2100456621004567</x:v>
      </x:c>
      <x:c r="Y1848" s="40" t="n">
        <x:v>0</x:v>
      </x:c>
      <x:c r="Z1848" s="40" t="n">
        <x:v>1</x:v>
      </x:c>
      <x:c r="AA1848" s="40" t="n">
        <x:v>1</x:v>
      </x:c>
      <x:c r="AB1848" s="31" t="n">
        <x:v>0.33441508198278763</x:v>
      </x:c>
      <x:c r="AC1848" s="31" t="n">
        <x:v>6</x:v>
      </x:c>
      <x:c r="AD1848" s="44" t="b">
        <x:v>1</x:v>
      </x:c>
    </x:row>
    <x:row r="1849">
      <x:c r="A1849" s="31" t="str">
        <x:v>36081050600</x:v>
      </x:c>
      <x:c r="B1849" s="31" t="str">
        <x:v>Queens</x:v>
      </x:c>
      <x:c r="C1849" s="31" t="str">
        <x:v>050600</x:v>
      </x:c>
      <x:c r="D1849" s="31" t="str">
        <x:v>QN1206</x:v>
      </x:c>
      <x:c r="E1849" s="31" t="str">
        <x:v>Hollis</x:v>
      </x:c>
      <x:c r="F1849" s="31" t="n">
        <x:v>0.07954338016744146</x:v>
      </x:c>
      <x:c r="G1849" s="31" t="n">
        <x:v>40.70579257781809</x:v>
      </x:c>
      <x:c r="H1849" s="31" t="n">
        <x:v>-73.75966851874132</x:v>
      </x:c>
      <x:c r="I1849" s="31" t="n">
        <x:v>1635</x:v>
      </x:c>
      <x:c r="J1849" s="31" t="n">
        <x:v>20554.821740769257</x:v>
      </x:c>
      <x:c r="K1849" s="31"/>
      <x:c r="L1849" s="40"/>
      <x:c r="M1849" s="40"/>
      <x:c r="N1849" s="31" t="n">
        <x:v>356</x:v>
      </x:c>
      <x:c r="O1849" s="31" t="n">
        <x:v>439</x:v>
      </x:c>
      <x:c r="P1849" s="31" t="n">
        <x:v>2.3376993166287017</x:v>
      </x:c>
      <x:c r="Q1849" s="40" t="n">
        <x:v>0</x:v>
      </x:c>
      <x:c r="R1849" s="40" t="n">
        <x:v>0.002277904328018223</x:v>
      </x:c>
      <x:c r="S1849" s="40" t="n">
        <x:v>0.002277904328018223</x:v>
      </x:c>
      <x:c r="T1849" s="31" t="n">
        <x:v>29.1443722116895</x:v>
      </x:c>
      <x:c r="U1849" s="31" t="n">
        <x:v>39.1</x:v>
      </x:c>
      <x:c r="V1849" s="31" t="n">
        <x:v>0</x:v>
      </x:c>
      <x:c r="W1849" s="31" t="n">
        <x:v>0</x:v>
      </x:c>
      <x:c r="X1849" s="31" t="n">
        <x:v>5</x:v>
      </x:c>
      <x:c r="Y1849" s="40" t="n">
        <x:v>1</x:v>
      </x:c>
      <x:c r="Z1849" s="40" t="n">
        <x:v>1</x:v>
      </x:c>
      <x:c r="AA1849" s="40" t="n">
        <x:v>0.9977220956719818</x:v>
      </x:c>
      <x:c r="AB1849" s="31" t="n">
        <x:v>0.28655618083518286</x:v>
      </x:c>
      <x:c r="AC1849" s="31" t="n">
        <x:v>7</x:v>
      </x:c>
      <x:c r="AD1849" s="44" t="b">
        <x:v>1</x:v>
      </x:c>
    </x:row>
    <x:row r="1850">
      <x:c r="A1850" s="31" t="str">
        <x:v>36081050700</x:v>
      </x:c>
      <x:c r="B1850" s="31" t="str">
        <x:v>Queens</x:v>
      </x:c>
      <x:c r="C1850" s="31" t="str">
        <x:v>050700</x:v>
      </x:c>
      <x:c r="D1850" s="31" t="str">
        <x:v>QN0504</x:v>
      </x:c>
      <x:c r="E1850" s="31" t="str">
        <x:v>Middle Village</x:v>
      </x:c>
      <x:c r="F1850" s="31" t="n">
        <x:v>0.1436945954204689</x:v>
      </x:c>
      <x:c r="G1850" s="31" t="n">
        <x:v>40.72702041701384</x:v>
      </x:c>
      <x:c r="H1850" s="31" t="n">
        <x:v>-73.88158786111663</x:v>
      </x:c>
      <x:c r="I1850" s="31" t="n">
        <x:v>3699</x:v>
      </x:c>
      <x:c r="J1850" s="31" t="n">
        <x:v>25742.095512891417</x:v>
      </x:c>
      <x:c r="K1850" s="31"/>
      <x:c r="L1850" s="40"/>
      <x:c r="M1850" s="40"/>
      <x:c r="N1850" s="31" t="n">
        <x:v>819</x:v>
      </x:c>
      <x:c r="O1850" s="31" t="n">
        <x:v>1381</x:v>
      </x:c>
      <x:c r="P1850" s="31" t="n">
        <x:v>2.2201448225923244</x:v>
      </x:c>
      <x:c r="Q1850" s="40" t="n">
        <x:v>0</x:v>
      </x:c>
      <x:c r="R1850" s="40" t="n">
        <x:v>0.36857349746560464</x:v>
      </x:c>
      <x:c r="S1850" s="40" t="n">
        <x:v>0.004344677769732078</x:v>
      </x:c>
      <x:c r="T1850" s="31" t="n">
        <x:v>26.11563287402778</x:v>
      </x:c>
      <x:c r="U1850" s="31" t="n">
        <x:v>44</x:v>
      </x:c>
      <x:c r="V1850" s="31" t="n">
        <x:v>1</x:v>
      </x:c>
      <x:c r="W1850" s="31" t="n">
        <x:v>0.2703433360367667</x:v>
      </x:c>
      <x:c r="X1850" s="31" t="n">
        <x:v>1.0101375814627083</x:v>
      </x:c>
      <x:c r="Y1850" s="40" t="n">
        <x:v>0</x:v>
      </x:c>
      <x:c r="Z1850" s="40" t="n">
        <x:v>1</x:v>
      </x:c>
      <x:c r="AA1850" s="40" t="n">
        <x:v>0.9905865314989138</x:v>
      </x:c>
      <x:c r="AB1850" s="31" t="n">
        <x:v>0.35149813581484796</x:v>
      </x:c>
      <x:c r="AC1850" s="31" t="n">
        <x:v>7</x:v>
      </x:c>
      <x:c r="AD1850" s="44" t="b">
        <x:v>1</x:v>
      </x:c>
    </x:row>
    <x:row r="1851">
      <x:c r="A1851" s="31" t="str">
        <x:v>36081050800</x:v>
      </x:c>
      <x:c r="B1851" s="31" t="str">
        <x:v>Queens</x:v>
      </x:c>
      <x:c r="C1851" s="31" t="str">
        <x:v>050800</x:v>
      </x:c>
      <x:c r="D1851" s="31" t="str">
        <x:v>QN1206</x:v>
      </x:c>
      <x:c r="E1851" s="31" t="str">
        <x:v>Hollis</x:v>
      </x:c>
      <x:c r="F1851" s="31" t="n">
        <x:v>0.0847758954165232</x:v>
      </x:c>
      <x:c r="G1851" s="31" t="n">
        <x:v>40.706983961351</x:v>
      </x:c>
      <x:c r="H1851" s="31" t="n">
        <x:v>-73.75542226906569</x:v>
      </x:c>
      <x:c r="I1851" s="31" t="n">
        <x:v>2084</x:v>
      </x:c>
      <x:c r="J1851" s="31" t="n">
        <x:v>24582.45931536123</x:v>
      </x:c>
      <x:c r="K1851" s="31"/>
      <x:c r="L1851" s="40"/>
      <x:c r="M1851" s="40"/>
      <x:c r="N1851" s="31" t="n">
        <x:v>403</x:v>
      </x:c>
      <x:c r="O1851" s="31" t="n">
        <x:v>659</x:v>
      </x:c>
      <x:c r="P1851" s="31" t="n">
        <x:v>2.30339908952959</x:v>
      </x:c>
      <x:c r="Q1851" s="40" t="n">
        <x:v>0</x:v>
      </x:c>
      <x:c r="R1851" s="40" t="n">
        <x:v>0</x:v>
      </x:c>
      <x:c r="S1851" s="40" t="n">
        <x:v>0.0030349013657056147</x:v>
      </x:c>
      <x:c r="T1851" s="31" t="n">
        <x:v>28.097349903216994</x:v>
      </x:c>
      <x:c r="U1851" s="31" t="n">
        <x:v>35.19</x:v>
      </x:c>
      <x:c r="V1851" s="31" t="n">
        <x:v>1</x:v>
      </x:c>
      <x:c r="W1851" s="31" t="n">
        <x:v>0.4798464491362764</x:v>
      </x:c>
      <x:c r="X1851" s="31" t="n">
        <x:v>5</x:v>
      </x:c>
      <x:c r="Y1851" s="40" t="n">
        <x:v>1</x:v>
      </x:c>
      <x:c r="Z1851" s="40" t="n">
        <x:v>1</x:v>
      </x:c>
      <x:c r="AA1851" s="40" t="n">
        <x:v>1</x:v>
      </x:c>
      <x:c r="AB1851" s="31" t="n">
        <x:v>0.05818427636881809</x:v>
      </x:c>
      <x:c r="AC1851" s="31" t="n">
        <x:v>6</x:v>
      </x:c>
      <x:c r="AD1851" s="44" t="b">
        <x:v>1</x:v>
      </x:c>
    </x:row>
    <x:row r="1852">
      <x:c r="A1852" s="31" t="str">
        <x:v>36081051000</x:v>
      </x:c>
      <x:c r="B1852" s="31" t="str">
        <x:v>Queens</x:v>
      </x:c>
      <x:c r="C1852" s="31" t="str">
        <x:v>051000</x:v>
      </x:c>
      <x:c r="D1852" s="31" t="str">
        <x:v>QN1206</x:v>
      </x:c>
      <x:c r="E1852" s="31" t="str">
        <x:v>Hollis</x:v>
      </x:c>
      <x:c r="F1852" s="31" t="n">
        <x:v>0.07137357687959137</x:v>
      </x:c>
      <x:c r="G1852" s="31" t="n">
        <x:v>40.7097119108819</x:v>
      </x:c>
      <x:c r="H1852" s="31" t="n">
        <x:v>-73.75371557125212</x:v>
      </x:c>
      <x:c r="I1852" s="31" t="n">
        <x:v>1616</x:v>
      </x:c>
      <x:c r="J1852" s="31" t="n">
        <x:v>22641.432174910107</x:v>
      </x:c>
      <x:c r="K1852" s="31"/>
      <x:c r="L1852" s="40"/>
      <x:c r="M1852" s="40"/>
      <x:c r="N1852" s="31" t="n">
        <x:v>359</x:v>
      </x:c>
      <x:c r="O1852" s="31" t="n">
        <x:v>476</x:v>
      </x:c>
      <x:c r="P1852" s="31" t="n">
        <x:v>2.1466176470588234</x:v>
      </x:c>
      <x:c r="Q1852" s="40" t="n">
        <x:v>0</x:v>
      </x:c>
      <x:c r="R1852" s="40" t="n">
        <x:v>0.004201680672268907</x:v>
      </x:c>
      <x:c r="S1852" s="40" t="n">
        <x:v>0.0063025210084033615</x:v>
      </x:c>
      <x:c r="T1852" s="31" t="n">
        <x:v>26.690953282283296</x:v>
      </x:c>
      <x:c r="U1852" s="31" t="n">
        <x:v>33.78</x:v>
      </x:c>
      <x:c r="V1852" s="31" t="n">
        <x:v>0</x:v>
      </x:c>
      <x:c r="W1852" s="31" t="n">
        <x:v>0</x:v>
      </x:c>
      <x:c r="X1852" s="31" t="n">
        <x:v>4.548319327731092</x:v>
      </x:c>
      <x:c r="Y1852" s="40" t="n">
        <x:v>1</x:v>
      </x:c>
      <x:c r="Z1852" s="40" t="n">
        <x:v>1</x:v>
      </x:c>
      <x:c r="AA1852" s="40" t="n">
        <x:v>0.9936974789915967</x:v>
      </x:c>
      <x:c r="AB1852" s="31" t="n">
        <x:v>0.15105582466487</x:v>
      </x:c>
      <x:c r="AC1852" s="31" t="n">
        <x:v>7</x:v>
      </x:c>
      <x:c r="AD1852" s="44" t="b">
        <x:v>1</x:v>
      </x:c>
    </x:row>
    <x:row r="1853">
      <x:c r="A1853" s="31" t="str">
        <x:v>36081051100</x:v>
      </x:c>
      <x:c r="B1853" s="31" t="str">
        <x:v>Queens</x:v>
      </x:c>
      <x:c r="C1853" s="31" t="str">
        <x:v>051100</x:v>
      </x:c>
      <x:c r="D1853" s="31" t="str">
        <x:v>QN0501</x:v>
      </x:c>
      <x:c r="E1853" s="31" t="str">
        <x:v>Maspeth</x:v>
      </x:c>
      <x:c r="F1853" s="31" t="n">
        <x:v>0.10586528961776859</x:v>
      </x:c>
      <x:c r="G1853" s="31" t="n">
        <x:v>40.72732929895779</x:v>
      </x:c>
      <x:c r="H1853" s="31" t="n">
        <x:v>-73.90016180964261</x:v>
      </x:c>
      <x:c r="I1853" s="31" t="n">
        <x:v>2494</x:v>
      </x:c>
      <x:c r="J1853" s="31" t="n">
        <x:v>23558.240940016316</x:v>
      </x:c>
      <x:c r="K1853" s="31"/>
      <x:c r="L1853" s="40"/>
      <x:c r="M1853" s="40"/>
      <x:c r="N1853" s="31" t="n">
        <x:v>506</x:v>
      </x:c>
      <x:c r="O1853" s="31" t="n">
        <x:v>858</x:v>
      </x:c>
      <x:c r="P1853" s="31" t="n">
        <x:v>2.2448601398601395</x:v>
      </x:c>
      <x:c r="Q1853" s="40" t="n">
        <x:v>0</x:v>
      </x:c>
      <x:c r="R1853" s="40" t="n">
        <x:v>0.17482517482517482</x:v>
      </x:c>
      <x:c r="S1853" s="40" t="n">
        <x:v>0.002331002331002331</x:v>
      </x:c>
      <x:c r="T1853" s="31" t="n">
        <x:v>27.222173491964703</x:v>
      </x:c>
      <x:c r="U1853" s="31" t="n">
        <x:v>50.11425974</x:v>
      </x:c>
      <x:c r="V1853" s="31" t="n">
        <x:v>0</x:v>
      </x:c>
      <x:c r="W1853" s="31" t="n">
        <x:v>0</x:v>
      </x:c>
      <x:c r="X1853" s="31" t="n">
        <x:v>3</x:v>
      </x:c>
      <x:c r="Y1853" s="40" t="n">
        <x:v>0</x:v>
      </x:c>
      <x:c r="Z1853" s="40" t="n">
        <x:v>1</x:v>
      </x:c>
      <x:c r="AA1853" s="40" t="n">
        <x:v>0.9906759906759907</x:v>
      </x:c>
      <x:c r="AB1853" s="31" t="n">
        <x:v>0.3679511691260762</x:v>
      </x:c>
      <x:c r="AC1853" s="31" t="n">
        <x:v>8</x:v>
      </x:c>
      <x:c r="AD1853" s="44" t="b">
        <x:v>1</x:v>
      </x:c>
    </x:row>
    <x:row r="1854">
      <x:c r="A1854" s="31" t="str">
        <x:v>36081051200</x:v>
      </x:c>
      <x:c r="B1854" s="31" t="str">
        <x:v>Queens</x:v>
      </x:c>
      <x:c r="C1854" s="31" t="str">
        <x:v>051200</x:v>
      </x:c>
      <x:c r="D1854" s="31" t="str">
        <x:v>QN1303</x:v>
      </x:c>
      <x:c r="E1854" s="31" t="str">
        <x:v>Queens Village</x:v>
      </x:c>
      <x:c r="F1854" s="31" t="n">
        <x:v>0.1450871876151429</x:v>
      </x:c>
      <x:c r="G1854" s="31" t="n">
        <x:v>40.710410518437584</x:v>
      </x:c>
      <x:c r="H1854" s="31" t="n">
        <x:v>-73.75011955445811</x:v>
      </x:c>
      <x:c r="I1854" s="31" t="n">
        <x:v>2748</x:v>
      </x:c>
      <x:c r="J1854" s="31" t="n">
        <x:v>18940.335429819777</x:v>
      </x:c>
      <x:c r="K1854" s="31"/>
      <x:c r="L1854" s="40"/>
      <x:c r="M1854" s="40"/>
      <x:c r="N1854" s="31" t="n">
        <x:v>604</x:v>
      </x:c>
      <x:c r="O1854" s="31" t="n">
        <x:v>746</x:v>
      </x:c>
      <x:c r="P1854" s="31" t="n">
        <x:v>2.326648793565684</x:v>
      </x:c>
      <x:c r="Q1854" s="40" t="n">
        <x:v>0</x:v>
      </x:c>
      <x:c r="R1854" s="40" t="n">
        <x:v>0.0013404825737265416</x:v>
      </x:c>
      <x:c r="S1854" s="40" t="n">
        <x:v>0</x:v>
      </x:c>
      <x:c r="T1854" s="31" t="n">
        <x:v>27.922836021505375</x:v>
      </x:c>
      <x:c r="U1854" s="31" t="n">
        <x:v>37.51</x:v>
      </x:c>
      <x:c r="V1854" s="31" t="n">
        <x:v>0</x:v>
      </x:c>
      <x:c r="W1854" s="31" t="n">
        <x:v>0</x:v>
      </x:c>
      <x:c r="X1854" s="31" t="n">
        <x:v>5</x:v>
      </x:c>
      <x:c r="Y1854" s="40" t="n">
        <x:v>1</x:v>
      </x:c>
      <x:c r="Z1854" s="40" t="n">
        <x:v>1</x:v>
      </x:c>
      <x:c r="AA1854" s="40" t="n">
        <x:v>0.9973190348525469</x:v>
      </x:c>
      <x:c r="AB1854" s="31" t="n">
        <x:v>0.30335713404060066</x:v>
      </x:c>
      <x:c r="AC1854" s="31" t="n">
        <x:v>9</x:v>
      </x:c>
      <x:c r="AD1854" s="44" t="b">
        <x:v>1</x:v>
      </x:c>
    </x:row>
    <x:row r="1855">
      <x:c r="A1855" s="31" t="str">
        <x:v>36081051300</x:v>
      </x:c>
      <x:c r="B1855" s="31" t="str">
        <x:v>Queens</x:v>
      </x:c>
      <x:c r="C1855" s="31" t="str">
        <x:v>051300</x:v>
      </x:c>
      <x:c r="D1855" s="31" t="str">
        <x:v>QN0501</x:v>
      </x:c>
      <x:c r="E1855" s="31" t="str">
        <x:v>Maspeth</x:v>
      </x:c>
      <x:c r="F1855" s="31" t="n">
        <x:v>0.07469538497044306</x:v>
      </x:c>
      <x:c r="G1855" s="31" t="n">
        <x:v>40.731897630977244</x:v>
      </x:c>
      <x:c r="H1855" s="31" t="n">
        <x:v>-73.89751690360539</x:v>
      </x:c>
      <x:c r="I1855" s="31" t="n">
        <x:v>2638</x:v>
      </x:c>
      <x:c r="J1855" s="31" t="n">
        <x:v>35316.773600455446</x:v>
      </x:c>
      <x:c r="K1855" s="31"/>
      <x:c r="L1855" s="40"/>
      <x:c r="M1855" s="40"/>
      <x:c r="N1855" s="31" t="n">
        <x:v>487</x:v>
      </x:c>
      <x:c r="O1855" s="31" t="n">
        <x:v>858</x:v>
      </x:c>
      <x:c r="P1855" s="31" t="n">
        <x:v>2.2147552447552448</x:v>
      </x:c>
      <x:c r="Q1855" s="40" t="n">
        <x:v>0</x:v>
      </x:c>
      <x:c r="R1855" s="40" t="n">
        <x:v>0.2331002331002331</x:v>
      </x:c>
      <x:c r="S1855" s="40" t="n">
        <x:v>0.01048951048951049</x:v>
      </x:c>
      <x:c r="T1855" s="31" t="n">
        <x:v>27.192329411620047</x:v>
      </x:c>
      <x:c r="U1855" s="31" t="n">
        <x:v>40</x:v>
      </x:c>
      <x:c r="V1855" s="31" t="n">
        <x:v>0</x:v>
      </x:c>
      <x:c r="W1855" s="31" t="n">
        <x:v>0</x:v>
      </x:c>
      <x:c r="X1855" s="31" t="n">
        <x:v>3</x:v>
      </x:c>
      <x:c r="Y1855" s="40" t="n">
        <x:v>0</x:v>
      </x:c>
      <x:c r="Z1855" s="40" t="n">
        <x:v>1</x:v>
      </x:c>
      <x:c r="AA1855" s="40" t="n">
        <x:v>1</x:v>
      </x:c>
      <x:c r="AB1855" s="31" t="n">
        <x:v>0.1905631588172369</x:v>
      </x:c>
      <x:c r="AC1855" s="31" t="n">
        <x:v>5</x:v>
      </x:c>
      <x:c r="AD1855" s="44" t="b">
        <x:v>1</x:v>
      </x:c>
    </x:row>
    <x:row r="1856">
      <x:c r="A1856" s="31" t="str">
        <x:v>36081051500</x:v>
      </x:c>
      <x:c r="B1856" s="31" t="str">
        <x:v>Queens</x:v>
      </x:c>
      <x:c r="C1856" s="31" t="str">
        <x:v>051500</x:v>
      </x:c>
      <x:c r="D1856" s="31" t="str">
        <x:v>QN0501</x:v>
      </x:c>
      <x:c r="E1856" s="31" t="str">
        <x:v>Maspeth</x:v>
      </x:c>
      <x:c r="F1856" s="31" t="n">
        <x:v>0.08679727397052915</x:v>
      </x:c>
      <x:c r="G1856" s="31" t="n">
        <x:v>40.730981469121645</x:v>
      </x:c>
      <x:c r="H1856" s="31" t="n">
        <x:v>-73.90149512526669</x:v>
      </x:c>
      <x:c r="I1856" s="31" t="n">
        <x:v>3126</x:v>
      </x:c>
      <x:c r="J1856" s="31" t="n">
        <x:v>36014.95596579901</x:v>
      </x:c>
      <x:c r="K1856" s="31"/>
      <x:c r="L1856" s="40"/>
      <x:c r="M1856" s="40"/>
      <x:c r="N1856" s="31" t="n">
        <x:v>506</x:v>
      </x:c>
      <x:c r="O1856" s="31" t="n">
        <x:v>1345</x:v>
      </x:c>
      <x:c r="P1856" s="31" t="n">
        <x:v>3.57782156133829</x:v>
      </x:c>
      <x:c r="Q1856" s="40" t="n">
        <x:v>0</x:v>
      </x:c>
      <x:c r="R1856" s="40" t="n">
        <x:v>0.4996282527881041</x:v>
      </x:c>
      <x:c r="S1856" s="40" t="n">
        <x:v>0.283271375464684</x:v>
      </x:c>
      <x:c r="T1856" s="31" t="n">
        <x:v>43.21177268406273</x:v>
      </x:c>
      <x:c r="U1856" s="31" t="n">
        <x:v>75.63</x:v>
      </x:c>
      <x:c r="V1856" s="31" t="n">
        <x:v>11</x:v>
      </x:c>
      <x:c r="W1856" s="31" t="n">
        <x:v>3.5188739603326935</x:v>
      </x:c>
      <x:c r="X1856" s="31" t="n">
        <x:v>3</x:v>
      </x:c>
      <x:c r="Y1856" s="40" t="n">
        <x:v>0</x:v>
      </x:c>
      <x:c r="Z1856" s="40" t="n">
        <x:v>1</x:v>
      </x:c>
      <x:c r="AA1856" s="40" t="n">
        <x:v>0.995539033457249</x:v>
      </x:c>
      <x:c r="AB1856" s="31" t="n">
        <x:v>0.3425086802507431</x:v>
      </x:c>
      <x:c r="AC1856" s="31" t="n">
        <x:v>3</x:v>
      </x:c>
      <x:c r="AD1856" s="44" t="b">
        <x:v>1</x:v>
      </x:c>
    </x:row>
    <x:row r="1857">
      <x:c r="A1857" s="31" t="str">
        <x:v>36081051600</x:v>
      </x:c>
      <x:c r="B1857" s="31" t="str">
        <x:v>Queens</x:v>
      </x:c>
      <x:c r="C1857" s="31" t="str">
        <x:v>051600</x:v>
      </x:c>
      <x:c r="D1857" s="31" t="str">
        <x:v>QN1303</x:v>
      </x:c>
      <x:c r="E1857" s="31" t="str">
        <x:v>Queens Village</x:v>
      </x:c>
      <x:c r="F1857" s="31" t="n">
        <x:v>0.07090665338541667</x:v>
      </x:c>
      <x:c r="G1857" s="31" t="n">
        <x:v>40.70272326991279</x:v>
      </x:c>
      <x:c r="H1857" s="31" t="n">
        <x:v>-73.74727299970232</x:v>
      </x:c>
      <x:c r="I1857" s="31" t="n">
        <x:v>2069</x:v>
      </x:c>
      <x:c r="J1857" s="31" t="n">
        <x:v>29179.20817322807</x:v>
      </x:c>
      <x:c r="K1857" s="31"/>
      <x:c r="L1857" s="40"/>
      <x:c r="M1857" s="40"/>
      <x:c r="N1857" s="31" t="n">
        <x:v>432</x:v>
      </x:c>
      <x:c r="O1857" s="31" t="n">
        <x:v>583</x:v>
      </x:c>
      <x:c r="P1857" s="31" t="n">
        <x:v>2.322229845626072</x:v>
      </x:c>
      <x:c r="Q1857" s="40" t="n">
        <x:v>0</x:v>
      </x:c>
      <x:c r="R1857" s="40" t="n">
        <x:v>0.005145797598627788</x:v>
      </x:c>
      <x:c r="S1857" s="40" t="n">
        <x:v>0.036020583190394515</x:v>
      </x:c>
      <x:c r="T1857" s="31" t="n">
        <x:v>27.295615652041164</x:v>
      </x:c>
      <x:c r="U1857" s="31" t="n">
        <x:v>32.13</x:v>
      </x:c>
      <x:c r="V1857" s="31" t="n">
        <x:v>0</x:v>
      </x:c>
      <x:c r="W1857" s="31" t="n">
        <x:v>0</x:v>
      </x:c>
      <x:c r="X1857" s="31" t="n">
        <x:v>5</x:v>
      </x:c>
      <x:c r="Y1857" s="40" t="n">
        <x:v>1</x:v>
      </x:c>
      <x:c r="Z1857" s="40" t="n">
        <x:v>1</x:v>
      </x:c>
      <x:c r="AA1857" s="40" t="n">
        <x:v>1</x:v>
      </x:c>
      <x:c r="AB1857" s="31" t="n">
        <x:v>0.30285309423382234</x:v>
      </x:c>
      <x:c r="AC1857" s="31" t="n">
        <x:v>5</x:v>
      </x:c>
      <x:c r="AD1857" s="44" t="b">
        <x:v>1</x:v>
      </x:c>
    </x:row>
    <x:row r="1858">
      <x:c r="A1858" s="31" t="str">
        <x:v>36081051700</x:v>
      </x:c>
      <x:c r="B1858" s="31" t="str">
        <x:v>Queens</x:v>
      </x:c>
      <x:c r="C1858" s="31" t="str">
        <x:v>051700</x:v>
      </x:c>
      <x:c r="D1858" s="31" t="str">
        <x:v>QN0501</x:v>
      </x:c>
      <x:c r="E1858" s="31" t="str">
        <x:v>Maspeth</x:v>
      </x:c>
      <x:c r="F1858" s="31" t="n">
        <x:v>0.09817856700276917</x:v>
      </x:c>
      <x:c r="G1858" s="31" t="n">
        <x:v>40.72462684472529</x:v>
      </x:c>
      <x:c r="H1858" s="31" t="n">
        <x:v>-73.90029386408115</x:v>
      </x:c>
      <x:c r="I1858" s="31" t="n">
        <x:v>2146</x:v>
      </x:c>
      <x:c r="J1858" s="31" t="n">
        <x:v>21858.131214519268</x:v>
      </x:c>
      <x:c r="K1858" s="31"/>
      <x:c r="L1858" s="40"/>
      <x:c r="M1858" s="40"/>
      <x:c r="N1858" s="31" t="n">
        <x:v>400</x:v>
      </x:c>
      <x:c r="O1858" s="31" t="n">
        <x:v>847</x:v>
      </x:c>
      <x:c r="P1858" s="31" t="n">
        <x:v>2.2854427390791026</x:v>
      </x:c>
      <x:c r="Q1858" s="40" t="n">
        <x:v>0</x:v>
      </x:c>
      <x:c r="R1858" s="40" t="n">
        <x:v>0.23022432113341204</x:v>
      </x:c>
      <x:c r="S1858" s="40" t="n">
        <x:v>0.01652892561983471</x:v>
      </x:c>
      <x:c r="T1858" s="31" t="n">
        <x:v>28.628144192284022</x:v>
      </x:c>
      <x:c r="U1858" s="31" t="n">
        <x:v>46.68</x:v>
      </x:c>
      <x:c r="V1858" s="31" t="n">
        <x:v>2</x:v>
      </x:c>
      <x:c r="W1858" s="31" t="n">
        <x:v>0.9319664492078285</x:v>
      </x:c>
      <x:c r="X1858" s="31" t="n">
        <x:v>3</x:v>
      </x:c>
      <x:c r="Y1858" s="40" t="n">
        <x:v>0</x:v>
      </x:c>
      <x:c r="Z1858" s="40" t="n">
        <x:v>1</x:v>
      </x:c>
      <x:c r="AA1858" s="40" t="n">
        <x:v>0.9976387249114522</x:v>
      </x:c>
      <x:c r="AB1858" s="31" t="n">
        <x:v>0.41184669239430743</x:v>
      </x:c>
      <x:c r="AC1858" s="31" t="n">
        <x:v>9</x:v>
      </x:c>
      <x:c r="AD1858" s="44" t="b">
        <x:v>1</x:v>
      </x:c>
    </x:row>
    <x:row r="1859">
      <x:c r="A1859" s="31" t="str">
        <x:v>36081051800</x:v>
      </x:c>
      <x:c r="B1859" s="31" t="str">
        <x:v>Queens</x:v>
      </x:c>
      <x:c r="C1859" s="31" t="str">
        <x:v>051800</x:v>
      </x:c>
      <x:c r="D1859" s="31" t="str">
        <x:v>QN1205</x:v>
      </x:c>
      <x:c r="E1859" s="31" t="str">
        <x:v>St. Albans</x:v>
      </x:c>
      <x:c r="F1859" s="31" t="n">
        <x:v>0.06556632406379133</x:v>
      </x:c>
      <x:c r="G1859" s="31" t="n">
        <x:v>40.701838354725375</x:v>
      </x:c>
      <x:c r="H1859" s="31" t="n">
        <x:v>-73.75200956721184</x:v>
      </x:c>
      <x:c r="I1859" s="31" t="n">
        <x:v>1948</x:v>
      </x:c>
      <x:c r="J1859" s="31" t="n">
        <x:v>29710.373851441418</x:v>
      </x:c>
      <x:c r="K1859" s="31"/>
      <x:c r="L1859" s="40"/>
      <x:c r="M1859" s="40"/>
      <x:c r="N1859" s="31" t="n">
        <x:v>485</x:v>
      </x:c>
      <x:c r="O1859" s="31" t="n">
        <x:v>585</x:v>
      </x:c>
      <x:c r="P1859" s="31" t="n">
        <x:v>2.073145299145299</x:v>
      </x:c>
      <x:c r="Q1859" s="40" t="n">
        <x:v>0</x:v>
      </x:c>
      <x:c r="R1859" s="40" t="n">
        <x:v>0</x:v>
      </x:c>
      <x:c r="S1859" s="40" t="n">
        <x:v>0.005128205128205128</x:v>
      </x:c>
      <x:c r="T1859" s="31" t="n">
        <x:v>24.805666733418803</x:v>
      </x:c>
      <x:c r="U1859" s="31" t="n">
        <x:v>32.72</x:v>
      </x:c>
      <x:c r="V1859" s="31" t="n">
        <x:v>0</x:v>
      </x:c>
      <x:c r="W1859" s="31" t="n">
        <x:v>0</x:v>
      </x:c>
      <x:c r="X1859" s="31" t="n">
        <x:v>5</x:v>
      </x:c>
      <x:c r="Y1859" s="40" t="n">
        <x:v>1</x:v>
      </x:c>
      <x:c r="Z1859" s="40" t="n">
        <x:v>1</x:v>
      </x:c>
      <x:c r="AA1859" s="40" t="n">
        <x:v>1</x:v>
      </x:c>
      <x:c r="AB1859" s="31" t="n">
        <x:v>0.21642906167442674</x:v>
      </x:c>
      <x:c r="AC1859" s="31" t="n">
        <x:v>5</x:v>
      </x:c>
      <x:c r="AD1859" s="44" t="b">
        <x:v>1</x:v>
      </x:c>
    </x:row>
    <x:row r="1860">
      <x:c r="A1860" s="31" t="str">
        <x:v>36081052000</x:v>
      </x:c>
      <x:c r="B1860" s="31" t="str">
        <x:v>Queens</x:v>
      </x:c>
      <x:c r="C1860" s="31" t="str">
        <x:v>052000</x:v>
      </x:c>
      <x:c r="D1860" s="31" t="str">
        <x:v>QN1205</x:v>
      </x:c>
      <x:c r="E1860" s="31" t="str">
        <x:v>St. Albans</x:v>
      </x:c>
      <x:c r="F1860" s="31" t="n">
        <x:v>0.06649801061682162</x:v>
      </x:c>
      <x:c r="G1860" s="31" t="n">
        <x:v>40.70113955650009</x:v>
      </x:c>
      <x:c r="H1860" s="31" t="n">
        <x:v>-73.75468784618928</x:v>
      </x:c>
      <x:c r="I1860" s="31" t="n">
        <x:v>1593</x:v>
      </x:c>
      <x:c r="J1860" s="31" t="n">
        <x:v>23955.60386278726</x:v>
      </x:c>
      <x:c r="K1860" s="31"/>
      <x:c r="L1860" s="40"/>
      <x:c r="M1860" s="40"/>
      <x:c r="N1860" s="31" t="n">
        <x:v>370</x:v>
      </x:c>
      <x:c r="O1860" s="31" t="n">
        <x:v>425</x:v>
      </x:c>
      <x:c r="P1860" s="31" t="n">
        <x:v>2.282941176470588</x:v>
      </x:c>
      <x:c r="Q1860" s="40" t="n">
        <x:v>0</x:v>
      </x:c>
      <x:c r="R1860" s="40" t="n">
        <x:v>0.018823529411764704</x:v>
      </x:c>
      <x:c r="S1860" s="40" t="n">
        <x:v>0.004705882352941176</x:v>
      </x:c>
      <x:c r="T1860" s="31" t="n">
        <x:v>26.242776232964705</x:v>
      </x:c>
      <x:c r="U1860" s="31" t="n">
        <x:v>41.71</x:v>
      </x:c>
      <x:c r="V1860" s="31" t="n">
        <x:v>1</x:v>
      </x:c>
      <x:c r="W1860" s="31" t="n">
        <x:v>0.6277463904582549</x:v>
      </x:c>
      <x:c r="X1860" s="31" t="n">
        <x:v>5</x:v>
      </x:c>
      <x:c r="Y1860" s="40" t="n">
        <x:v>1</x:v>
      </x:c>
      <x:c r="Z1860" s="40" t="n">
        <x:v>1</x:v>
      </x:c>
      <x:c r="AA1860" s="40" t="n">
        <x:v>1</x:v>
      </x:c>
      <x:c r="AB1860" s="31" t="n">
        <x:v>0.12155171551947104</x:v>
      </x:c>
      <x:c r="AC1860" s="31" t="n">
        <x:v>5</x:v>
      </x:c>
      <x:c r="AD1860" s="44" t="b">
        <x:v>1</x:v>
      </x:c>
    </x:row>
    <x:row r="1861">
      <x:c r="A1861" s="31" t="str">
        <x:v>36081052100</x:v>
      </x:c>
      <x:c r="B1861" s="31" t="str">
        <x:v>Queens</x:v>
      </x:c>
      <x:c r="C1861" s="31" t="str">
        <x:v>052100</x:v>
      </x:c>
      <x:c r="D1861" s="31" t="str">
        <x:v>QN0501</x:v>
      </x:c>
      <x:c r="E1861" s="31" t="str">
        <x:v>Maspeth</x:v>
      </x:c>
      <x:c r="F1861" s="31" t="n">
        <x:v>0.07294100995645374</x:v>
      </x:c>
      <x:c r="G1861" s="31" t="n">
        <x:v>40.72086383993488</x:v>
      </x:c>
      <x:c r="H1861" s="31" t="n">
        <x:v>-73.90153075694482</x:v>
      </x:c>
      <x:c r="I1861" s="31" t="n">
        <x:v>2197</x:v>
      </x:c>
      <x:c r="J1861" s="31" t="n">
        <x:v>30120.230050442453</x:v>
      </x:c>
      <x:c r="K1861" s="31"/>
      <x:c r="L1861" s="40"/>
      <x:c r="M1861" s="40"/>
      <x:c r="N1861" s="31" t="n">
        <x:v>429</x:v>
      </x:c>
      <x:c r="O1861" s="31" t="n">
        <x:v>730</x:v>
      </x:c>
      <x:c r="P1861" s="31" t="n">
        <x:v>1.996917808219178</x:v>
      </x:c>
      <x:c r="Q1861" s="40" t="n">
        <x:v>0</x:v>
      </x:c>
      <x:c r="R1861" s="40" t="n">
        <x:v>0.14246575342465753</x:v>
      </x:c>
      <x:c r="S1861" s="40" t="n">
        <x:v>0.00684931506849315</x:v>
      </x:c>
      <x:c r="T1861" s="31" t="n">
        <x:v>25.047652649375</x:v>
      </x:c>
      <x:c r="U1861" s="31" t="n">
        <x:v>44</x:v>
      </x:c>
      <x:c r="V1861" s="31" t="n">
        <x:v>0</x:v>
      </x:c>
      <x:c r="W1861" s="31" t="n">
        <x:v>0</x:v>
      </x:c>
      <x:c r="X1861" s="31" t="n">
        <x:v>3</x:v>
      </x:c>
      <x:c r="Y1861" s="40" t="n">
        <x:v>0</x:v>
      </x:c>
      <x:c r="Z1861" s="40" t="n">
        <x:v>1</x:v>
      </x:c>
      <x:c r="AA1861" s="40" t="n">
        <x:v>0.9863013698630136</x:v>
      </x:c>
      <x:c r="AB1861" s="31" t="n">
        <x:v>0.3351143474537722</x:v>
      </x:c>
      <x:c r="AC1861" s="31" t="n">
        <x:v>5</x:v>
      </x:c>
      <x:c r="AD1861" s="44" t="b">
        <x:v>1</x:v>
      </x:c>
    </x:row>
    <x:row r="1862">
      <x:c r="A1862" s="31" t="str">
        <x:v>36081052200</x:v>
      </x:c>
      <x:c r="B1862" s="31" t="str">
        <x:v>Queens</x:v>
      </x:c>
      <x:c r="C1862" s="31" t="str">
        <x:v>052200</x:v>
      </x:c>
      <x:c r="D1862" s="31" t="str">
        <x:v>QN1205</x:v>
      </x:c>
      <x:c r="E1862" s="31" t="str">
        <x:v>St. Albans</x:v>
      </x:c>
      <x:c r="F1862" s="31" t="n">
        <x:v>0.0655668609952508</x:v>
      </x:c>
      <x:c r="G1862" s="31" t="n">
        <x:v>40.70044464514811</x:v>
      </x:c>
      <x:c r="H1862" s="31" t="n">
        <x:v>-73.75736834993882</x:v>
      </x:c>
      <x:c r="I1862" s="31" t="n">
        <x:v>1605</x:v>
      </x:c>
      <x:c r="J1862" s="31" t="n">
        <x:v>24478.82932989967</x:v>
      </x:c>
      <x:c r="K1862" s="31"/>
      <x:c r="L1862" s="40"/>
      <x:c r="M1862" s="40"/>
      <x:c r="N1862" s="31" t="n">
        <x:v>372</x:v>
      </x:c>
      <x:c r="O1862" s="31" t="n">
        <x:v>416</x:v>
      </x:c>
      <x:c r="P1862" s="31" t="n">
        <x:v>2.186298076923077</x:v>
      </x:c>
      <x:c r="Q1862" s="40" t="n">
        <x:v>0</x:v>
      </x:c>
      <x:c r="R1862" s="40" t="n">
        <x:v>0.002403846153846154</x:v>
      </x:c>
      <x:c r="S1862" s="40" t="n">
        <x:v>0.004807692307692308</x:v>
      </x:c>
      <x:c r="T1862" s="31" t="n">
        <x:v>26.917996145384617</x:v>
      </x:c>
      <x:c r="U1862" s="31" t="n">
        <x:v>37.42307835</x:v>
      </x:c>
      <x:c r="V1862" s="31" t="n">
        <x:v>1</x:v>
      </x:c>
      <x:c r="W1862" s="31" t="n">
        <x:v>0.6230529595015577</x:v>
      </x:c>
      <x:c r="X1862" s="31" t="n">
        <x:v>5</x:v>
      </x:c>
      <x:c r="Y1862" s="40" t="n">
        <x:v>1</x:v>
      </x:c>
      <x:c r="Z1862" s="40" t="n">
        <x:v>1</x:v>
      </x:c>
      <x:c r="AA1862" s="40" t="n">
        <x:v>1</x:v>
      </x:c>
      <x:c r="AB1862" s="31" t="n">
        <x:v>0.1485056105615107</x:v>
      </x:c>
      <x:c r="AC1862" s="31" t="n">
        <x:v>6</x:v>
      </x:c>
      <x:c r="AD1862" s="44" t="b">
        <x:v>1</x:v>
      </x:c>
    </x:row>
    <x:row r="1863">
      <x:c r="A1863" s="31" t="str">
        <x:v>36081052400</x:v>
      </x:c>
      <x:c r="B1863" s="31" t="str">
        <x:v>Queens</x:v>
      </x:c>
      <x:c r="C1863" s="31" t="str">
        <x:v>052400</x:v>
      </x:c>
      <x:c r="D1863" s="31" t="str">
        <x:v>QN1205</x:v>
      </x:c>
      <x:c r="E1863" s="31" t="str">
        <x:v>St. Albans</x:v>
      </x:c>
      <x:c r="F1863" s="31" t="n">
        <x:v>0.07574524632511193</x:v>
      </x:c>
      <x:c r="G1863" s="31" t="n">
        <x:v>40.70122774976124</x:v>
      </x:c>
      <x:c r="H1863" s="31" t="n">
        <x:v>-73.76195961984442</x:v>
      </x:c>
      <x:c r="I1863" s="31" t="n">
        <x:v>1945</x:v>
      </x:c>
      <x:c r="J1863" s="31" t="n">
        <x:v>25678.179085347718</x:v>
      </x:c>
      <x:c r="K1863" s="31"/>
      <x:c r="L1863" s="40"/>
      <x:c r="M1863" s="40"/>
      <x:c r="N1863" s="31" t="n">
        <x:v>421</x:v>
      </x:c>
      <x:c r="O1863" s="31" t="n">
        <x:v>547</x:v>
      </x:c>
      <x:c r="P1863" s="31" t="n">
        <x:v>2.3173857404021936</x:v>
      </x:c>
      <x:c r="Q1863" s="40" t="n">
        <x:v>0</x:v>
      </x:c>
      <x:c r="R1863" s="40" t="n">
        <x:v>0</x:v>
      </x:c>
      <x:c r="S1863" s="40" t="n">
        <x:v>0.009140767824497258</x:v>
      </x:c>
      <x:c r="T1863" s="31" t="n">
        <x:v>28.091653680146518</x:v>
      </x:c>
      <x:c r="U1863" s="31" t="n">
        <x:v>34.5</x:v>
      </x:c>
      <x:c r="V1863" s="31" t="n">
        <x:v>0</x:v>
      </x:c>
      <x:c r="W1863" s="31" t="n">
        <x:v>0</x:v>
      </x:c>
      <x:c r="X1863" s="31" t="n">
        <x:v>5</x:v>
      </x:c>
      <x:c r="Y1863" s="40" t="n">
        <x:v>1</x:v>
      </x:c>
      <x:c r="Z1863" s="40" t="n">
        <x:v>1</x:v>
      </x:c>
      <x:c r="AA1863" s="40" t="n">
        <x:v>0.9981718464351006</x:v>
      </x:c>
      <x:c r="AB1863" s="31" t="n">
        <x:v>0.22869133981726836</x:v>
      </x:c>
      <x:c r="AC1863" s="31" t="n">
        <x:v>6</x:v>
      </x:c>
      <x:c r="AD1863" s="44" t="b">
        <x:v>1</x:v>
      </x:c>
    </x:row>
    <x:row r="1864">
      <x:c r="A1864" s="31" t="str">
        <x:v>36081052500</x:v>
      </x:c>
      <x:c r="B1864" s="31" t="str">
        <x:v>Queens</x:v>
      </x:c>
      <x:c r="C1864" s="31" t="str">
        <x:v>052500</x:v>
      </x:c>
      <x:c r="D1864" s="31" t="str">
        <x:v>QN0501</x:v>
      </x:c>
      <x:c r="E1864" s="31" t="str">
        <x:v>Maspeth</x:v>
      </x:c>
      <x:c r="F1864" s="31" t="n">
        <x:v>0.07802331047047176</x:v>
      </x:c>
      <x:c r="G1864" s="31" t="n">
        <x:v>40.71896991107644</x:v>
      </x:c>
      <x:c r="H1864" s="31" t="n">
        <x:v>-73.9066372594864</x:v>
      </x:c>
      <x:c r="I1864" s="31" t="n">
        <x:v>2252</x:v>
      </x:c>
      <x:c r="J1864" s="31" t="n">
        <x:v>28863.16905064261</x:v>
      </x:c>
      <x:c r="K1864" s="31"/>
      <x:c r="L1864" s="40"/>
      <x:c r="M1864" s="40"/>
      <x:c r="N1864" s="31" t="n">
        <x:v>440</x:v>
      </x:c>
      <x:c r="O1864" s="31" t="n">
        <x:v>802</x:v>
      </x:c>
      <x:c r="P1864" s="31" t="n">
        <x:v>2.093703241895262</x:v>
      </x:c>
      <x:c r="Q1864" s="40" t="n">
        <x:v>0</x:v>
      </x:c>
      <x:c r="R1864" s="40" t="n">
        <x:v>0.13341645885286782</x:v>
      </x:c>
      <x:c r="S1864" s="40" t="n">
        <x:v>0.016209476309226933</x:v>
      </x:c>
      <x:c r="T1864" s="31" t="n">
        <x:v>25.17488367753117</x:v>
      </x:c>
      <x:c r="U1864" s="31" t="n">
        <x:v>35.48</x:v>
      </x:c>
      <x:c r="V1864" s="31" t="n">
        <x:v>0</x:v>
      </x:c>
      <x:c r="W1864" s="31" t="n">
        <x:v>0</x:v>
      </x:c>
      <x:c r="X1864" s="31" t="n">
        <x:v>3</x:v>
      </x:c>
      <x:c r="Y1864" s="40" t="n">
        <x:v>0</x:v>
      </x:c>
      <x:c r="Z1864" s="40" t="n">
        <x:v>1</x:v>
      </x:c>
      <x:c r="AA1864" s="40" t="n">
        <x:v>1</x:v>
      </x:c>
      <x:c r="AB1864" s="31" t="n">
        <x:v>0.2214083387281468</x:v>
      </x:c>
      <x:c r="AC1864" s="31" t="n">
        <x:v>6</x:v>
      </x:c>
      <x:c r="AD1864" s="44" t="b">
        <x:v>1</x:v>
      </x:c>
    </x:row>
    <x:row r="1865">
      <x:c r="A1865" s="31" t="str">
        <x:v>36081052600</x:v>
      </x:c>
      <x:c r="B1865" s="31" t="str">
        <x:v>Queens</x:v>
      </x:c>
      <x:c r="C1865" s="31" t="str">
        <x:v>052600</x:v>
      </x:c>
      <x:c r="D1865" s="31" t="str">
        <x:v>QN1205</x:v>
      </x:c>
      <x:c r="E1865" s="31" t="str">
        <x:v>St. Albans</x:v>
      </x:c>
      <x:c r="F1865" s="31" t="n">
        <x:v>0.07040424602667299</x:v>
      </x:c>
      <x:c r="G1865" s="31" t="n">
        <x:v>40.69709667380414</x:v>
      </x:c>
      <x:c r="H1865" s="31" t="n">
        <x:v>-73.75976067514118</x:v>
      </x:c>
      <x:c r="I1865" s="31" t="n">
        <x:v>1958</x:v>
      </x:c>
      <x:c r="J1865" s="31" t="n">
        <x:v>27810.82264922207</x:v>
      </x:c>
      <x:c r="K1865" s="31"/>
      <x:c r="L1865" s="40"/>
      <x:c r="M1865" s="40"/>
      <x:c r="N1865" s="31" t="n">
        <x:v>437</x:v>
      </x:c>
      <x:c r="O1865" s="31" t="n">
        <x:v>566</x:v>
      </x:c>
      <x:c r="P1865" s="31" t="n">
        <x:v>2.3146466431095405</x:v>
      </x:c>
      <x:c r="Q1865" s="40" t="n">
        <x:v>0</x:v>
      </x:c>
      <x:c r="R1865" s="40" t="n">
        <x:v>0</x:v>
      </x:c>
      <x:c r="S1865" s="40" t="n">
        <x:v>0.0017667844522968198</x:v>
      </x:c>
      <x:c r="T1865" s="31" t="n">
        <x:v>27.89127592219081</x:v>
      </x:c>
      <x:c r="U1865" s="31" t="n">
        <x:v>34.75</x:v>
      </x:c>
      <x:c r="V1865" s="31" t="n">
        <x:v>0</x:v>
      </x:c>
      <x:c r="W1865" s="31" t="n">
        <x:v>0</x:v>
      </x:c>
      <x:c r="X1865" s="31" t="n">
        <x:v>5</x:v>
      </x:c>
      <x:c r="Y1865" s="40" t="n">
        <x:v>1</x:v>
      </x:c>
      <x:c r="Z1865" s="40" t="n">
        <x:v>1</x:v>
      </x:c>
      <x:c r="AA1865" s="40" t="n">
        <x:v>1</x:v>
      </x:c>
      <x:c r="AB1865" s="31" t="n">
        <x:v>0.3153603031903724</x:v>
      </x:c>
      <x:c r="AC1865" s="31" t="n">
        <x:v>5</x:v>
      </x:c>
      <x:c r="AD1865" s="44" t="b">
        <x:v>1</x:v>
      </x:c>
    </x:row>
    <x:row r="1866">
      <x:c r="A1866" s="31" t="str">
        <x:v>36081052800</x:v>
      </x:c>
      <x:c r="B1866" s="31" t="str">
        <x:v>Queens</x:v>
      </x:c>
      <x:c r="C1866" s="31" t="str">
        <x:v>052800</x:v>
      </x:c>
      <x:c r="D1866" s="31" t="str">
        <x:v>QN1205</x:v>
      </x:c>
      <x:c r="E1866" s="31" t="str">
        <x:v>St. Albans</x:v>
      </x:c>
      <x:c r="F1866" s="31" t="n">
        <x:v>0.0696445984862833</x:v>
      </x:c>
      <x:c r="G1866" s="31" t="n">
        <x:v>40.694035225313115</x:v>
      </x:c>
      <x:c r="H1866" s="31" t="n">
        <x:v>-73.75873031656087</x:v>
      </x:c>
      <x:c r="I1866" s="31" t="n">
        <x:v>1563</x:v>
      </x:c>
      <x:c r="J1866" s="31" t="n">
        <x:v>22442.51577253098</x:v>
      </x:c>
      <x:c r="K1866" s="31"/>
      <x:c r="L1866" s="40"/>
      <x:c r="M1866" s="40"/>
      <x:c r="N1866" s="31" t="n">
        <x:v>332</x:v>
      </x:c>
      <x:c r="O1866" s="31" t="n">
        <x:v>510</x:v>
      </x:c>
      <x:c r="P1866" s="31" t="n">
        <x:v>2.1821960784313728</x:v>
      </x:c>
      <x:c r="Q1866" s="40" t="n">
        <x:v>0</x:v>
      </x:c>
      <x:c r="R1866" s="40" t="n">
        <x:v>0.056862745098039215</x:v>
      </x:c>
      <x:c r="S1866" s="40" t="n">
        <x:v>0.00392156862745098</x:v>
      </x:c>
      <x:c r="T1866" s="31" t="n">
        <x:v>27.58520306019685</x:v>
      </x:c>
      <x:c r="U1866" s="31" t="n">
        <x:v>36.84079659</x:v>
      </x:c>
      <x:c r="V1866" s="31" t="n">
        <x:v>0</x:v>
      </x:c>
      <x:c r="W1866" s="31" t="n">
        <x:v>0</x:v>
      </x:c>
      <x:c r="X1866" s="31" t="n">
        <x:v>5</x:v>
      </x:c>
      <x:c r="Y1866" s="40" t="n">
        <x:v>1</x:v>
      </x:c>
      <x:c r="Z1866" s="40" t="n">
        <x:v>1</x:v>
      </x:c>
      <x:c r="AA1866" s="40" t="n">
        <x:v>0.996078431372549</x:v>
      </x:c>
      <x:c r="AB1866" s="31" t="n">
        <x:v>0.12639937134687554</x:v>
      </x:c>
      <x:c r="AC1866" s="31" t="n">
        <x:v>7</x:v>
      </x:c>
      <x:c r="AD1866" s="44" t="b">
        <x:v>1</x:v>
      </x:c>
    </x:row>
    <x:row r="1867">
      <x:c r="A1867" s="31" t="str">
        <x:v>36081053000</x:v>
      </x:c>
      <x:c r="B1867" s="31" t="str">
        <x:v>Queens</x:v>
      </x:c>
      <x:c r="C1867" s="31" t="str">
        <x:v>053000</x:v>
      </x:c>
      <x:c r="D1867" s="31" t="str">
        <x:v>QN1205</x:v>
      </x:c>
      <x:c r="E1867" s="31" t="str">
        <x:v>St. Albans</x:v>
      </x:c>
      <x:c r="F1867" s="31" t="n">
        <x:v>0.08887098902842343</x:v>
      </x:c>
      <x:c r="G1867" s="31" t="n">
        <x:v>40.696338227248944</x:v>
      </x:c>
      <x:c r="H1867" s="31" t="n">
        <x:v>-73.7525404031148</x:v>
      </x:c>
      <x:c r="I1867" s="31" t="n">
        <x:v>2393</x:v>
      </x:c>
      <x:c r="J1867" s="31" t="n">
        <x:v>26926.6723163692</x:v>
      </x:c>
      <x:c r="K1867" s="31"/>
      <x:c r="L1867" s="40"/>
      <x:c r="M1867" s="40"/>
      <x:c r="N1867" s="31" t="n">
        <x:v>551</x:v>
      </x:c>
      <x:c r="O1867" s="31" t="n">
        <x:v>667</x:v>
      </x:c>
      <x:c r="P1867" s="31" t="n">
        <x:v>2.251544227886057</x:v>
      </x:c>
      <x:c r="Q1867" s="40" t="n">
        <x:v>0</x:v>
      </x:c>
      <x:c r="R1867" s="40" t="n">
        <x:v>0</x:v>
      </x:c>
      <x:c r="S1867" s="40" t="n">
        <x:v>0.0014992503748125937</x:v>
      </x:c>
      <x:c r="T1867" s="31" t="n">
        <x:v>26.640203493861236</x:v>
      </x:c>
      <x:c r="U1867" s="31" t="n">
        <x:v>33.26833237</x:v>
      </x:c>
      <x:c r="V1867" s="31" t="n">
        <x:v>1</x:v>
      </x:c>
      <x:c r="W1867" s="31" t="n">
        <x:v>0.41788549937317176</x:v>
      </x:c>
      <x:c r="X1867" s="31" t="n">
        <x:v>5</x:v>
      </x:c>
      <x:c r="Y1867" s="40" t="n">
        <x:v>1</x:v>
      </x:c>
      <x:c r="Z1867" s="40" t="n">
        <x:v>1</x:v>
      </x:c>
      <x:c r="AA1867" s="40" t="n">
        <x:v>0.9940029985007496</x:v>
      </x:c>
      <x:c r="AB1867" s="31" t="n">
        <x:v>0.16535193775833307</x:v>
      </x:c>
      <x:c r="AC1867" s="31" t="n">
        <x:v>7</x:v>
      </x:c>
      <x:c r="AD1867" s="44" t="b">
        <x:v>1</x:v>
      </x:c>
    </x:row>
    <x:row r="1868">
      <x:c r="A1868" s="31" t="str">
        <x:v>36081053100</x:v>
      </x:c>
      <x:c r="B1868" s="31" t="str">
        <x:v>Queens</x:v>
      </x:c>
      <x:c r="C1868" s="31" t="str">
        <x:v>053100</x:v>
      </x:c>
      <x:c r="D1868" s="31" t="str">
        <x:v>QN0501</x:v>
      </x:c>
      <x:c r="E1868" s="31" t="str">
        <x:v>Maspeth</x:v>
      </x:c>
      <x:c r="F1868" s="31" t="n">
        <x:v>0.16352597189329374</x:v>
      </x:c>
      <x:c r="G1868" s="31" t="n">
        <x:v>40.72305815709363</x:v>
      </x:c>
      <x:c r="H1868" s="31" t="n">
        <x:v>-73.90833296053005</x:v>
      </x:c>
      <x:c r="I1868" s="31" t="n">
        <x:v>3462</x:v>
      </x:c>
      <x:c r="J1868" s="31" t="n">
        <x:v>21170.948931947474</x:v>
      </x:c>
      <x:c r="K1868" s="31"/>
      <x:c r="L1868" s="40"/>
      <x:c r="M1868" s="40"/>
      <x:c r="N1868" s="31" t="n">
        <x:v>593</x:v>
      </x:c>
      <x:c r="O1868" s="31" t="n">
        <x:v>1297</x:v>
      </x:c>
      <x:c r="P1868" s="31" t="n">
        <x:v>2.207864302235929</x:v>
      </x:c>
      <x:c r="Q1868" s="40" t="n">
        <x:v>0</x:v>
      </x:c>
      <x:c r="R1868" s="40" t="n">
        <x:v>0.2004626060138782</x:v>
      </x:c>
      <x:c r="S1868" s="40" t="n">
        <x:v>0.05474171164225135</x:v>
      </x:c>
      <x:c r="T1868" s="31" t="n">
        <x:v>26.654922483415575</x:v>
      </x:c>
      <x:c r="U1868" s="31" t="n">
        <x:v>44.85</x:v>
      </x:c>
      <x:c r="V1868" s="31" t="n">
        <x:v>1</x:v>
      </x:c>
      <x:c r="W1868" s="31" t="n">
        <x:v>0.28885037550548814</x:v>
      </x:c>
      <x:c r="X1868" s="31" t="n">
        <x:v>3</x:v>
      </x:c>
      <x:c r="Y1868" s="40" t="n">
        <x:v>0</x:v>
      </x:c>
      <x:c r="Z1868" s="40" t="n">
        <x:v>1</x:v>
      </x:c>
      <x:c r="AA1868" s="40" t="n">
        <x:v>1</x:v>
      </x:c>
      <x:c r="AB1868" s="31" t="n">
        <x:v>0.3892084624625212</x:v>
      </x:c>
      <x:c r="AC1868" s="31" t="n">
        <x:v>5</x:v>
      </x:c>
      <x:c r="AD1868" s="44" t="b">
        <x:v>1</x:v>
      </x:c>
    </x:row>
    <x:row r="1869">
      <x:c r="A1869" s="31" t="str">
        <x:v>36081053200</x:v>
      </x:c>
      <x:c r="B1869" s="31" t="str">
        <x:v>Queens</x:v>
      </x:c>
      <x:c r="C1869" s="31" t="str">
        <x:v>053200</x:v>
      </x:c>
      <x:c r="D1869" s="31" t="str">
        <x:v>QN1205</x:v>
      </x:c>
      <x:c r="E1869" s="31" t="str">
        <x:v>St. Albans</x:v>
      </x:c>
      <x:c r="F1869" s="31" t="n">
        <x:v>0.07329695904714761</x:v>
      </x:c>
      <x:c r="G1869" s="31" t="n">
        <x:v>40.7001018759567</x:v>
      </x:c>
      <x:c r="H1869" s="31" t="n">
        <x:v>-73.74909150820898</x:v>
      </x:c>
      <x:c r="I1869" s="31" t="n">
        <x:v>1886</x:v>
      </x:c>
      <x:c r="J1869" s="31" t="n">
        <x:v>25730.944701087086</x:v>
      </x:c>
      <x:c r="K1869" s="31"/>
      <x:c r="L1869" s="40"/>
      <x:c r="M1869" s="40"/>
      <x:c r="N1869" s="31" t="n">
        <x:v>459</x:v>
      </x:c>
      <x:c r="O1869" s="31" t="n">
        <x:v>551</x:v>
      </x:c>
      <x:c r="P1869" s="31" t="n">
        <x:v>1.9448094373865696</x:v>
      </x:c>
      <x:c r="Q1869" s="40" t="n">
        <x:v>0</x:v>
      </x:c>
      <x:c r="R1869" s="40" t="n">
        <x:v>0</x:v>
      </x:c>
      <x:c r="S1869" s="40" t="n">
        <x:v>0.007259528130671506</x:v>
      </x:c>
      <x:c r="T1869" s="31" t="n">
        <x:v>24.19001897076225</x:v>
      </x:c>
      <x:c r="U1869" s="31" t="n">
        <x:v>34.72</x:v>
      </x:c>
      <x:c r="V1869" s="31" t="n">
        <x:v>0</x:v>
      </x:c>
      <x:c r="W1869" s="31" t="n">
        <x:v>0</x:v>
      </x:c>
      <x:c r="X1869" s="31" t="n">
        <x:v>5</x:v>
      </x:c>
      <x:c r="Y1869" s="40" t="n">
        <x:v>1</x:v>
      </x:c>
      <x:c r="Z1869" s="40" t="n">
        <x:v>1</x:v>
      </x:c>
      <x:c r="AA1869" s="40" t="n">
        <x:v>1</x:v>
      </x:c>
      <x:c r="AB1869" s="31" t="n">
        <x:v>0.19100489268848592</x:v>
      </x:c>
      <x:c r="AC1869" s="31" t="n">
        <x:v>8</x:v>
      </x:c>
      <x:c r="AD1869" s="44" t="b">
        <x:v>1</x:v>
      </x:c>
    </x:row>
    <x:row r="1870">
      <x:c r="A1870" s="31" t="str">
        <x:v>36081053401</x:v>
      </x:c>
      <x:c r="B1870" s="31" t="str">
        <x:v>Queens</x:v>
      </x:c>
      <x:c r="C1870" s="31" t="str">
        <x:v>053401</x:v>
      </x:c>
      <x:c r="D1870" s="31" t="str">
        <x:v>QN1304</x:v>
      </x:c>
      <x:c r="E1870" s="31" t="str">
        <x:v>Cambria Heights</x:v>
      </x:c>
      <x:c r="F1870" s="31" t="n">
        <x:v>0.10043565639455636</x:v>
      </x:c>
      <x:c r="G1870" s="31" t="n">
        <x:v>40.69983088087708</x:v>
      </x:c>
      <x:c r="H1870" s="31" t="n">
        <x:v>-73.744148825077</x:v>
      </x:c>
      <x:c r="I1870" s="31" t="n">
        <x:v>2104</x:v>
      </x:c>
      <x:c r="J1870" s="31" t="n">
        <x:v>20948.735494240642</x:v>
      </x:c>
      <x:c r="K1870" s="31"/>
      <x:c r="L1870" s="40"/>
      <x:c r="M1870" s="40"/>
      <x:c r="N1870" s="31" t="n">
        <x:v>463</x:v>
      </x:c>
      <x:c r="O1870" s="31" t="n">
        <x:v>610</x:v>
      </x:c>
      <x:c r="P1870" s="31" t="n">
        <x:v>2.2014967105263157</x:v>
      </x:c>
      <x:c r="Q1870" s="40" t="n">
        <x:v>0</x:v>
      </x:c>
      <x:c r="R1870" s="40" t="n">
        <x:v>0</x:v>
      </x:c>
      <x:c r="S1870" s="40" t="n">
        <x:v>0</x:v>
      </x:c>
      <x:c r="T1870" s="31" t="n">
        <x:v>26.37836591942434</x:v>
      </x:c>
      <x:c r="U1870" s="31" t="n">
        <x:v>33.07</x:v>
      </x:c>
      <x:c r="V1870" s="31" t="n">
        <x:v>0</x:v>
      </x:c>
      <x:c r="W1870" s="31" t="n">
        <x:v>0</x:v>
      </x:c>
      <x:c r="X1870" s="31" t="n">
        <x:v>5</x:v>
      </x:c>
      <x:c r="Y1870" s="40" t="n">
        <x:v>1</x:v>
      </x:c>
      <x:c r="Z1870" s="40" t="n">
        <x:v>1</x:v>
      </x:c>
      <x:c r="AA1870" s="40" t="n">
        <x:v>0.9967213114754099</x:v>
      </x:c>
      <x:c r="AB1870" s="31" t="n">
        <x:v>0.14625589665956953</x:v>
      </x:c>
      <x:c r="AC1870" s="31" t="n">
        <x:v>9</x:v>
      </x:c>
      <x:c r="AD1870" s="44" t="b">
        <x:v>1</x:v>
      </x:c>
    </x:row>
    <x:row r="1871">
      <x:c r="A1871" s="31" t="str">
        <x:v>36081053501</x:v>
      </x:c>
      <x:c r="B1871" s="31" t="str">
        <x:v>Queens</x:v>
      </x:c>
      <x:c r="C1871" s="31" t="str">
        <x:v>053501</x:v>
      </x:c>
      <x:c r="D1871" s="31" t="str">
        <x:v>QN0501</x:v>
      </x:c>
      <x:c r="E1871" s="31" t="str">
        <x:v>Maspeth</x:v>
      </x:c>
      <x:c r="F1871" s="31" t="n">
        <x:v>0.06873718412749656</x:v>
      </x:c>
      <x:c r="G1871" s="31" t="n">
        <x:v>40.71647273697652</x:v>
      </x:c>
      <x:c r="H1871" s="31" t="n">
        <x:v>-73.91260411029239</x:v>
      </x:c>
      <x:c r="I1871" s="31" t="n">
        <x:v>1058</x:v>
      </x:c>
      <x:c r="J1871" s="31" t="n">
        <x:v>15391.960165804552</x:v>
      </x:c>
      <x:c r="K1871" s="31"/>
      <x:c r="L1871" s="40"/>
      <x:c r="M1871" s="40"/>
      <x:c r="N1871" s="31" t="n">
        <x:v>149</x:v>
      </x:c>
      <x:c r="O1871" s="31" t="n">
        <x:v>403</x:v>
      </x:c>
      <x:c r="P1871" s="31" t="n">
        <x:v>2.107940446650124</x:v>
      </x:c>
      <x:c r="Q1871" s="40" t="n">
        <x:v>0</x:v>
      </x:c>
      <x:c r="R1871" s="40" t="n">
        <x:v>0.12903225806451613</x:v>
      </x:c>
      <x:c r="S1871" s="40" t="n">
        <x:v>0.022332506203473945</x:v>
      </x:c>
      <x:c r="T1871" s="31" t="n">
        <x:v>26.382100431166254</x:v>
      </x:c>
      <x:c r="U1871" s="31" t="n">
        <x:v>40.41</x:v>
      </x:c>
      <x:c r="V1871" s="31" t="n">
        <x:v>0</x:v>
      </x:c>
      <x:c r="W1871" s="31" t="n">
        <x:v>0</x:v>
      </x:c>
      <x:c r="X1871" s="31" t="n">
        <x:v>2.8213399503722085</x:v>
      </x:c>
      <x:c r="Y1871" s="40" t="n">
        <x:v>0</x:v>
      </x:c>
      <x:c r="Z1871" s="40" t="n">
        <x:v>1</x:v>
      </x:c>
      <x:c r="AA1871" s="40" t="n">
        <x:v>1</x:v>
      </x:c>
      <x:c r="AB1871" s="31" t="n">
        <x:v>0.1282979012879405</x:v>
      </x:c>
      <x:c r="AC1871" s="31" t="n">
        <x:v>8</x:v>
      </x:c>
      <x:c r="AD1871" s="44" t="b">
        <x:v>1</x:v>
      </x:c>
    </x:row>
    <x:row r="1872">
      <x:c r="A1872" s="31" t="str">
        <x:v>36081053502</x:v>
      </x:c>
      <x:c r="B1872" s="31" t="str">
        <x:v>Queens</x:v>
      </x:c>
      <x:c r="C1872" s="31" t="str">
        <x:v>053502</x:v>
      </x:c>
      <x:c r="D1872" s="31" t="str">
        <x:v>QN0501</x:v>
      </x:c>
      <x:c r="E1872" s="31" t="str">
        <x:v>Maspeth</x:v>
      </x:c>
      <x:c r="F1872" s="31" t="n">
        <x:v>0.12535970120523415</x:v>
      </x:c>
      <x:c r="G1872" s="31" t="n">
        <x:v>40.715617635636136</x:v>
      </x:c>
      <x:c r="H1872" s="31" t="n">
        <x:v>-73.9182228157729</x:v>
      </x:c>
      <x:c r="I1872" s="31" t="n">
        <x:v>0</x:v>
      </x:c>
      <x:c r="J1872" s="31" t="n">
        <x:v>0</x:v>
      </x:c>
      <x:c r="K1872" s="31"/>
      <x:c r="L1872" s="40"/>
      <x:c r="M1872" s="40"/>
      <x:c r="N1872" s="31" t="n">
        <x:v>0</x:v>
      </x:c>
      <x:c r="O1872" s="31"/>
      <x:c r="P1872" s="31"/>
      <x:c r="Q1872" s="40"/>
      <x:c r="R1872" s="40"/>
      <x:c r="S1872" s="40"/>
      <x:c r="T1872" s="31"/>
      <x:c r="U1872" s="31"/>
      <x:c r="V1872" s="31" t="n">
        <x:v>0</x:v>
      </x:c>
      <x:c r="W1872" s="31"/>
      <x:c r="X1872" s="31"/>
      <x:c r="Y1872" s="40"/>
      <x:c r="Z1872" s="40"/>
      <x:c r="AA1872" s="40"/>
      <x:c r="AB1872" s="31" t="n">
        <x:v>0.35993814206040736</x:v>
      </x:c>
      <x:c r="AC1872" s="31" t="n">
        <x:v>4</x:v>
      </x:c>
      <x:c r="AD1872" s="44" t="b">
        <x:v>0</x:v>
      </x:c>
    </x:row>
    <x:row r="1873">
      <x:c r="A1873" s="31" t="str">
        <x:v>36081053601</x:v>
      </x:c>
      <x:c r="B1873" s="31" t="str">
        <x:v>Queens</x:v>
      </x:c>
      <x:c r="C1873" s="31" t="str">
        <x:v>053601</x:v>
      </x:c>
      <x:c r="D1873" s="31" t="str">
        <x:v>QN1303</x:v>
      </x:c>
      <x:c r="E1873" s="31" t="str">
        <x:v>Queens Village</x:v>
      </x:c>
      <x:c r="F1873" s="31" t="n">
        <x:v>0.0741288678019542</x:v>
      </x:c>
      <x:c r="G1873" s="31" t="n">
        <x:v>40.70670448482723</x:v>
      </x:c>
      <x:c r="H1873" s="31" t="n">
        <x:v>-73.74586689105416</x:v>
      </x:c>
      <x:c r="I1873" s="31" t="n">
        <x:v>1578</x:v>
      </x:c>
      <x:c r="J1873" s="31" t="n">
        <x:v>21287.25349233515</x:v>
      </x:c>
      <x:c r="K1873" s="31"/>
      <x:c r="L1873" s="40"/>
      <x:c r="M1873" s="40"/>
      <x:c r="N1873" s="31" t="n">
        <x:v>389</x:v>
      </x:c>
      <x:c r="O1873" s="31" t="n">
        <x:v>464</x:v>
      </x:c>
      <x:c r="P1873" s="31" t="n">
        <x:v>2.3148491379310343</x:v>
      </x:c>
      <x:c r="Q1873" s="40" t="n">
        <x:v>0</x:v>
      </x:c>
      <x:c r="R1873" s="40" t="n">
        <x:v>0</x:v>
      </x:c>
      <x:c r="S1873" s="40" t="n">
        <x:v>0</x:v>
      </x:c>
      <x:c r="T1873" s="31" t="n">
        <x:v>28.214080830344827</x:v>
      </x:c>
      <x:c r="U1873" s="31" t="n">
        <x:v>36.04</x:v>
      </x:c>
      <x:c r="V1873" s="31" t="n">
        <x:v>0</x:v>
      </x:c>
      <x:c r="W1873" s="31" t="n">
        <x:v>0</x:v>
      </x:c>
      <x:c r="X1873" s="31" t="n">
        <x:v>5</x:v>
      </x:c>
      <x:c r="Y1873" s="40" t="n">
        <x:v>1</x:v>
      </x:c>
      <x:c r="Z1873" s="40" t="n">
        <x:v>1</x:v>
      </x:c>
      <x:c r="AA1873" s="40" t="n">
        <x:v>1</x:v>
      </x:c>
      <x:c r="AB1873" s="31" t="n">
        <x:v>0.3685181209340336</x:v>
      </x:c>
      <x:c r="AC1873" s="31" t="n">
        <x:v>5</x:v>
      </x:c>
      <x:c r="AD1873" s="44" t="b">
        <x:v>1</x:v>
      </x:c>
    </x:row>
    <x:row r="1874">
      <x:c r="A1874" s="31" t="str">
        <x:v>36081053800</x:v>
      </x:c>
      <x:c r="B1874" s="31" t="str">
        <x:v>Queens</x:v>
      </x:c>
      <x:c r="C1874" s="31" t="str">
        <x:v>053800</x:v>
      </x:c>
      <x:c r="D1874" s="31" t="str">
        <x:v>QN1303</x:v>
      </x:c>
      <x:c r="E1874" s="31" t="str">
        <x:v>Queens Village</x:v>
      </x:c>
      <x:c r="F1874" s="31" t="n">
        <x:v>0.07287724673044364</x:v>
      </x:c>
      <x:c r="G1874" s="31" t="n">
        <x:v>40.70647886713295</x:v>
      </x:c>
      <x:c r="H1874" s="31" t="n">
        <x:v>-73.74253039453961</x:v>
      </x:c>
      <x:c r="I1874" s="31" t="n">
        <x:v>1648</x:v>
      </x:c>
      <x:c r="J1874" s="31" t="n">
        <x:v>22613.368011768845</x:v>
      </x:c>
      <x:c r="K1874" s="31"/>
      <x:c r="L1874" s="40"/>
      <x:c r="M1874" s="40"/>
      <x:c r="N1874" s="31" t="n">
        <x:v>364</x:v>
      </x:c>
      <x:c r="O1874" s="31" t="n">
        <x:v>452</x:v>
      </x:c>
      <x:c r="P1874" s="31" t="n">
        <x:v>2.398053097345133</x:v>
      </x:c>
      <x:c r="Q1874" s="40" t="n">
        <x:v>0</x:v>
      </x:c>
      <x:c r="R1874" s="40" t="n">
        <x:v>0</x:v>
      </x:c>
      <x:c r="S1874" s="40" t="n">
        <x:v>0.00663716814159292</x:v>
      </x:c>
      <x:c r="T1874" s="31" t="n">
        <x:v>29.546563192904657</x:v>
      </x:c>
      <x:c r="U1874" s="31" t="n">
        <x:v>36.33</x:v>
      </x:c>
      <x:c r="V1874" s="31" t="n">
        <x:v>0</x:v>
      </x:c>
      <x:c r="W1874" s="31" t="n">
        <x:v>0</x:v>
      </x:c>
      <x:c r="X1874" s="31" t="n">
        <x:v>5</x:v>
      </x:c>
      <x:c r="Y1874" s="40" t="n">
        <x:v>1</x:v>
      </x:c>
      <x:c r="Z1874" s="40" t="n">
        <x:v>1</x:v>
      </x:c>
      <x:c r="AA1874" s="40" t="n">
        <x:v>0.9977876106194691</x:v>
      </x:c>
      <x:c r="AB1874" s="31" t="n">
        <x:v>0.3994487095701094</x:v>
      </x:c>
      <x:c r="AC1874" s="31" t="n">
        <x:v>4</x:v>
      </x:c>
      <x:c r="AD1874" s="44" t="b">
        <x:v>1</x:v>
      </x:c>
    </x:row>
    <x:row r="1875">
      <x:c r="A1875" s="31" t="str">
        <x:v>36081053901</x:v>
      </x:c>
      <x:c r="B1875" s="31" t="str">
        <x:v>Queens</x:v>
      </x:c>
      <x:c r="C1875" s="31" t="str">
        <x:v>053901</x:v>
      </x:c>
      <x:c r="D1875" s="31" t="str">
        <x:v>QN0502</x:v>
      </x:c>
      <x:c r="E1875" s="31" t="str">
        <x:v>Ridgewood</x:v>
      </x:c>
      <x:c r="F1875" s="31" t="n">
        <x:v>0.17014358104697544</x:v>
      </x:c>
      <x:c r="G1875" s="31" t="n">
        <x:v>40.710217188235696</x:v>
      </x:c>
      <x:c r="H1875" s="31" t="n">
        <x:v>-73.91781517665623</x:v>
      </x:c>
      <x:c r="I1875" s="31" t="n">
        <x:v>3968</x:v>
      </x:c>
      <x:c r="J1875" s="31" t="n">
        <x:v>23321.479279929245</x:v>
      </x:c>
      <x:c r="K1875" s="31"/>
      <x:c r="L1875" s="40"/>
      <x:c r="M1875" s="40"/>
      <x:c r="N1875" s="31" t="n">
        <x:v>635</x:v>
      </x:c>
      <x:c r="O1875" s="31" t="n">
        <x:v>1588</x:v>
      </x:c>
      <x:c r="P1875" s="31" t="n">
        <x:v>2.1785714285714284</x:v>
      </x:c>
      <x:c r="Q1875" s="40" t="n">
        <x:v>0</x:v>
      </x:c>
      <x:c r="R1875" s="40" t="n">
        <x:v>0.2531486146095718</x:v>
      </x:c>
      <x:c r="S1875" s="40" t="n">
        <x:v>0.0012594458438287153</x:v>
      </x:c>
      <x:c r="T1875" s="31" t="n">
        <x:v>32.10578611352645</x:v>
      </x:c>
      <x:c r="U1875" s="31" t="n">
        <x:v>65</x:v>
      </x:c>
      <x:c r="V1875" s="31" t="n">
        <x:v>6</x:v>
      </x:c>
      <x:c r="W1875" s="31" t="n">
        <x:v>1.5120967741935483</x:v>
      </x:c>
      <x:c r="X1875" s="31" t="n">
        <x:v>1</x:v>
      </x:c>
      <x:c r="Y1875" s="40" t="n">
        <x:v>0</x:v>
      </x:c>
      <x:c r="Z1875" s="40" t="n">
        <x:v>1</x:v>
      </x:c>
      <x:c r="AA1875" s="40" t="n">
        <x:v>1</x:v>
      </x:c>
      <x:c r="AB1875" s="31" t="n">
        <x:v>0.2593322499413824</x:v>
      </x:c>
      <x:c r="AC1875" s="31" t="n">
        <x:v>10</x:v>
      </x:c>
      <x:c r="AD1875" s="44" t="b">
        <x:v>1</x:v>
      </x:c>
    </x:row>
    <x:row r="1876">
      <x:c r="A1876" s="31" t="str">
        <x:v>36081053902</x:v>
      </x:c>
      <x:c r="B1876" s="31" t="str">
        <x:v>Queens</x:v>
      </x:c>
      <x:c r="C1876" s="31" t="str">
        <x:v>053902</x:v>
      </x:c>
      <x:c r="D1876" s="31" t="str">
        <x:v>QN0502</x:v>
      </x:c>
      <x:c r="E1876" s="31" t="str">
        <x:v>Ridgewood</x:v>
      </x:c>
      <x:c r="F1876" s="31" t="n">
        <x:v>0.06393584459617481</x:v>
      </x:c>
      <x:c r="G1876" s="31" t="n">
        <x:v>40.71131707675612</x:v>
      </x:c>
      <x:c r="H1876" s="31" t="n">
        <x:v>-73.91322387060858</x:v>
      </x:c>
      <x:c r="I1876" s="31" t="n">
        <x:v>88</x:v>
      </x:c>
      <x:c r="J1876" s="31" t="n">
        <x:v>1376.3797218261025</x:v>
      </x:c>
      <x:c r="K1876" s="31"/>
      <x:c r="L1876" s="40"/>
      <x:c r="M1876" s="40"/>
      <x:c r="N1876" s="31" t="n">
        <x:v>0</x:v>
      </x:c>
      <x:c r="O1876" s="31"/>
      <x:c r="P1876" s="31"/>
      <x:c r="Q1876" s="40"/>
      <x:c r="R1876" s="40"/>
      <x:c r="S1876" s="40"/>
      <x:c r="T1876" s="31"/>
      <x:c r="U1876" s="31"/>
      <x:c r="V1876" s="31" t="n">
        <x:v>0</x:v>
      </x:c>
      <x:c r="W1876" s="31" t="n">
        <x:v>0</x:v>
      </x:c>
      <x:c r="X1876" s="31"/>
      <x:c r="Y1876" s="40"/>
      <x:c r="Z1876" s="40"/>
      <x:c r="AA1876" s="40"/>
      <x:c r="AB1876" s="31" t="n">
        <x:v>0.21049176301552774</x:v>
      </x:c>
      <x:c r="AC1876" s="31" t="n">
        <x:v>4</x:v>
      </x:c>
      <x:c r="AD1876" s="44" t="b">
        <x:v>0</x:v>
      </x:c>
    </x:row>
    <x:row r="1877">
      <x:c r="A1877" s="31" t="str">
        <x:v>36081054000</x:v>
      </x:c>
      <x:c r="B1877" s="31" t="str">
        <x:v>Queens</x:v>
      </x:c>
      <x:c r="C1877" s="31" t="str">
        <x:v>054000</x:v>
      </x:c>
      <x:c r="D1877" s="31" t="str">
        <x:v>QN1303</x:v>
      </x:c>
      <x:c r="E1877" s="31" t="str">
        <x:v>Queens Village</x:v>
      </x:c>
      <x:c r="F1877" s="31" t="n">
        <x:v>0.2018698650715249</x:v>
      </x:c>
      <x:c r="G1877" s="31" t="n">
        <x:v>40.7128003173285</x:v>
      </x:c>
      <x:c r="H1877" s="31" t="n">
        <x:v>-73.74322580071455</x:v>
      </x:c>
      <x:c r="I1877" s="31" t="n">
        <x:v>4632</x:v>
      </x:c>
      <x:c r="J1877" s="31" t="n">
        <x:v>22945.475286065244</x:v>
      </x:c>
      <x:c r="K1877" s="31"/>
      <x:c r="L1877" s="40"/>
      <x:c r="M1877" s="40"/>
      <x:c r="N1877" s="31" t="n">
        <x:v>837</x:v>
      </x:c>
      <x:c r="O1877" s="31" t="n">
        <x:v>1224</x:v>
      </x:c>
      <x:c r="P1877" s="31" t="n">
        <x:v>2.171398201144726</x:v>
      </x:c>
      <x:c r="Q1877" s="40" t="n">
        <x:v>0</x:v>
      </x:c>
      <x:c r="R1877" s="40" t="n">
        <x:v>0.013888888888888888</x:v>
      </x:c>
      <x:c r="S1877" s="40" t="n">
        <x:v>0.008169934640522876</x:v>
      </x:c>
      <x:c r="T1877" s="31" t="n">
        <x:v>25.882231573918034</x:v>
      </x:c>
      <x:c r="U1877" s="31" t="n">
        <x:v>41</x:v>
      </x:c>
      <x:c r="V1877" s="31" t="n">
        <x:v>1</x:v>
      </x:c>
      <x:c r="W1877" s="31" t="n">
        <x:v>0.2158894645941278</x:v>
      </x:c>
      <x:c r="X1877" s="31" t="n">
        <x:v>4.995098039215686</x:v>
      </x:c>
      <x:c r="Y1877" s="40" t="n">
        <x:v>1</x:v>
      </x:c>
      <x:c r="Z1877" s="40" t="n">
        <x:v>1</x:v>
      </x:c>
      <x:c r="AA1877" s="40" t="n">
        <x:v>0.9967320261437909</x:v>
      </x:c>
      <x:c r="AB1877" s="31" t="n">
        <x:v>0.32088308375676056</x:v>
      </x:c>
      <x:c r="AC1877" s="31" t="n">
        <x:v>8</x:v>
      </x:c>
      <x:c r="AD1877" s="44" t="b">
        <x:v>1</x:v>
      </x:c>
    </x:row>
    <x:row r="1878">
      <x:c r="A1878" s="31" t="str">
        <x:v>36081054200</x:v>
      </x:c>
      <x:c r="B1878" s="31" t="str">
        <x:v>Queens</x:v>
      </x:c>
      <x:c r="C1878" s="31" t="str">
        <x:v>054200</x:v>
      </x:c>
      <x:c r="D1878" s="31" t="str">
        <x:v>QN1303</x:v>
      </x:c>
      <x:c r="E1878" s="31" t="str">
        <x:v>Queens Village</x:v>
      </x:c>
      <x:c r="F1878" s="31" t="n">
        <x:v>0.2089354330287965</x:v>
      </x:c>
      <x:c r="G1878" s="31" t="n">
        <x:v>40.719077689646866</x:v>
      </x:c>
      <x:c r="H1878" s="31" t="n">
        <x:v>-73.74648751473948</x:v>
      </x:c>
      <x:c r="I1878" s="31" t="n">
        <x:v>5149</x:v>
      </x:c>
      <x:c r="J1878" s="31" t="n">
        <x:v>24643.976971059474</x:v>
      </x:c>
      <x:c r="K1878" s="31"/>
      <x:c r="L1878" s="40"/>
      <x:c r="M1878" s="40"/>
      <x:c r="N1878" s="31" t="n">
        <x:v>1172</x:v>
      </x:c>
      <x:c r="O1878" s="31" t="n">
        <x:v>1466</x:v>
      </x:c>
      <x:c r="P1878" s="31" t="n">
        <x:v>2.2589904502046383</x:v>
      </x:c>
      <x:c r="Q1878" s="40" t="n">
        <x:v>0</x:v>
      </x:c>
      <x:c r="R1878" s="40" t="n">
        <x:v>0.01227830832196453</x:v>
      </x:c>
      <x:c r="S1878" s="40" t="n">
        <x:v>0.0068212824010914054</x:v>
      </x:c>
      <x:c r="T1878" s="31" t="n">
        <x:v>27.59179464721692</x:v>
      </x:c>
      <x:c r="U1878" s="31" t="n">
        <x:v>36.33</x:v>
      </x:c>
      <x:c r="V1878" s="31" t="n">
        <x:v>0</x:v>
      </x:c>
      <x:c r="W1878" s="31" t="n">
        <x:v>0</x:v>
      </x:c>
      <x:c r="X1878" s="31" t="n">
        <x:v>4</x:v>
      </x:c>
      <x:c r="Y1878" s="40" t="n">
        <x:v>1</x:v>
      </x:c>
      <x:c r="Z1878" s="40" t="n">
        <x:v>1</x:v>
      </x:c>
      <x:c r="AA1878" s="40" t="n">
        <x:v>1</x:v>
      </x:c>
      <x:c r="AB1878" s="31" t="n">
        <x:v>0.09302725038879721</x:v>
      </x:c>
      <x:c r="AC1878" s="31" t="n">
        <x:v>9</x:v>
      </x:c>
      <x:c r="AD1878" s="44" t="b">
        <x:v>1</x:v>
      </x:c>
    </x:row>
    <x:row r="1879">
      <x:c r="A1879" s="31" t="str">
        <x:v>36081054500</x:v>
      </x:c>
      <x:c r="B1879" s="31" t="str">
        <x:v>Queens</x:v>
      </x:c>
      <x:c r="C1879" s="31" t="str">
        <x:v>054500</x:v>
      </x:c>
      <x:c r="D1879" s="31" t="str">
        <x:v>QN0502</x:v>
      </x:c>
      <x:c r="E1879" s="31" t="str">
        <x:v>Ridgewood</x:v>
      </x:c>
      <x:c r="F1879" s="31" t="n">
        <x:v>0.04381046183389291</x:v>
      </x:c>
      <x:c r="G1879" s="31" t="n">
        <x:v>40.70554798748085</x:v>
      </x:c>
      <x:c r="H1879" s="31" t="n">
        <x:v>-73.91262114048531</x:v>
      </x:c>
      <x:c r="I1879" s="31" t="n">
        <x:v>3648</x:v>
      </x:c>
      <x:c r="J1879" s="31" t="n">
        <x:v>83267.78233544693</x:v>
      </x:c>
      <x:c r="K1879" s="31"/>
      <x:c r="L1879" s="40"/>
      <x:c r="M1879" s="40"/>
      <x:c r="N1879" s="31" t="n">
        <x:v>284</x:v>
      </x:c>
      <x:c r="O1879" s="31" t="n">
        <x:v>1358</x:v>
      </x:c>
      <x:c r="P1879" s="31" t="n">
        <x:v>2.8736182756079587</x:v>
      </x:c>
      <x:c r="Q1879" s="40" t="n">
        <x:v>0</x:v>
      </x:c>
      <x:c r="R1879" s="40" t="n">
        <x:v>0.8122238586156112</x:v>
      </x:c>
      <x:c r="S1879" s="40" t="n">
        <x:v>0.005891016200294551</x:v>
      </x:c>
      <x:c r="T1879" s="31" t="n">
        <x:v>35.111060858570376</x:v>
      </x:c>
      <x:c r="U1879" s="31" t="n">
        <x:v>51.89211322</x:v>
      </x:c>
      <x:c r="V1879" s="31" t="n">
        <x:v>2</x:v>
      </x:c>
      <x:c r="W1879" s="31" t="n">
        <x:v>0.5482456140350876</x:v>
      </x:c>
      <x:c r="X1879" s="31" t="n">
        <x:v>1</x:v>
      </x:c>
      <x:c r="Y1879" s="40" t="n">
        <x:v>0</x:v>
      </x:c>
      <x:c r="Z1879" s="40" t="n">
        <x:v>1</x:v>
      </x:c>
      <x:c r="AA1879" s="40" t="n">
        <x:v>0.9992636229749632</x:v>
      </x:c>
      <x:c r="AB1879" s="31" t="n">
        <x:v>0.12201283343301339</x:v>
      </x:c>
      <x:c r="AC1879" s="31" t="n">
        <x:v>5</x:v>
      </x:c>
      <x:c r="AD1879" s="44" t="b">
        <x:v>1</x:v>
      </x:c>
    </x:row>
    <x:row r="1880">
      <x:c r="A1880" s="31" t="str">
        <x:v>36081054700</x:v>
      </x:c>
      <x:c r="B1880" s="31" t="str">
        <x:v>Queens</x:v>
      </x:c>
      <x:c r="C1880" s="31" t="str">
        <x:v>054700</x:v>
      </x:c>
      <x:c r="D1880" s="31" t="str">
        <x:v>QN0502</x:v>
      </x:c>
      <x:c r="E1880" s="31" t="str">
        <x:v>Ridgewood</x:v>
      </x:c>
      <x:c r="F1880" s="31" t="n">
        <x:v>0.04986977044450184</x:v>
      </x:c>
      <x:c r="G1880" s="31" t="n">
        <x:v>40.70362931019265</x:v>
      </x:c>
      <x:c r="H1880" s="31" t="n">
        <x:v>-73.90971109843147</x:v>
      </x:c>
      <x:c r="I1880" s="31" t="n">
        <x:v>4166</x:v>
      </x:c>
      <x:c r="J1880" s="31" t="n">
        <x:v>83537.58124144931</x:v>
      </x:c>
      <x:c r="K1880" s="31"/>
      <x:c r="L1880" s="40"/>
      <x:c r="M1880" s="40"/>
      <x:c r="N1880" s="31" t="n">
        <x:v>377</x:v>
      </x:c>
      <x:c r="O1880" s="31" t="n">
        <x:v>1416</x:v>
      </x:c>
      <x:c r="P1880" s="31" t="n">
        <x:v>2.790960451977401</x:v>
      </x:c>
      <x:c r="Q1880" s="40" t="n">
        <x:v>0</x:v>
      </x:c>
      <x:c r="R1880" s="40" t="n">
        <x:v>0.71045197740113</x:v>
      </x:c>
      <x:c r="S1880" s="40" t="n">
        <x:v>0.0014124293785310734</x:v>
      </x:c>
      <x:c r="T1880" s="31" t="n">
        <x:v>34.57307728750706</x:v>
      </x:c>
      <x:c r="U1880" s="31" t="n">
        <x:v>59.23947663</x:v>
      </x:c>
      <x:c r="V1880" s="31" t="n">
        <x:v>4</x:v>
      </x:c>
      <x:c r="W1880" s="31" t="n">
        <x:v>0.9601536245799327</x:v>
      </x:c>
      <x:c r="X1880" s="31" t="n">
        <x:v>1</x:v>
      </x:c>
      <x:c r="Y1880" s="40" t="n">
        <x:v>0</x:v>
      </x:c>
      <x:c r="Z1880" s="40" t="n">
        <x:v>1</x:v>
      </x:c>
      <x:c r="AA1880" s="40" t="n">
        <x:v>1</x:v>
      </x:c>
      <x:c r="AB1880" s="31" t="n">
        <x:v>0.12100193596996911</x:v>
      </x:c>
      <x:c r="AC1880" s="31" t="n">
        <x:v>6</x:v>
      </x:c>
      <x:c r="AD1880" s="44" t="b">
        <x:v>1</x:v>
      </x:c>
    </x:row>
    <x:row r="1881">
      <x:c r="A1881" s="31" t="str">
        <x:v>36081054800</x:v>
      </x:c>
      <x:c r="B1881" s="31" t="str">
        <x:v>Queens</x:v>
      </x:c>
      <x:c r="C1881" s="31" t="str">
        <x:v>054800</x:v>
      </x:c>
      <x:c r="D1881" s="31" t="str">
        <x:v>QN1303</x:v>
      </x:c>
      <x:c r="E1881" s="31" t="str">
        <x:v>Queens Village</x:v>
      </x:c>
      <x:c r="F1881" s="31" t="n">
        <x:v>0.08693728543675391</x:v>
      </x:c>
      <x:c r="G1881" s="31" t="n">
        <x:v>40.72320314511531</x:v>
      </x:c>
      <x:c r="H1881" s="31" t="n">
        <x:v>-73.75127935299554</x:v>
      </x:c>
      <x:c r="I1881" s="31" t="n">
        <x:v>2336</x:v>
      </x:c>
      <x:c r="J1881" s="31" t="n">
        <x:v>26869.944101250076</x:v>
      </x:c>
      <x:c r="K1881" s="31"/>
      <x:c r="L1881" s="40"/>
      <x:c r="M1881" s="40"/>
      <x:c r="N1881" s="31" t="n">
        <x:v>522</x:v>
      </x:c>
      <x:c r="O1881" s="31" t="n">
        <x:v>604</x:v>
      </x:c>
      <x:c r="P1881" s="31" t="n">
        <x:v>2.151639072847682</x:v>
      </x:c>
      <x:c r="Q1881" s="40" t="n">
        <x:v>0</x:v>
      </x:c>
      <x:c r="R1881" s="40" t="n">
        <x:v>0.0016556291390728477</x:v>
      </x:c>
      <x:c r="S1881" s="40" t="n">
        <x:v>0.008278145695364239</x:v>
      </x:c>
      <x:c r="T1881" s="31" t="n">
        <x:v>27.067836159801324</x:v>
      </x:c>
      <x:c r="U1881" s="31" t="n">
        <x:v>33.33504782</x:v>
      </x:c>
      <x:c r="V1881" s="31" t="n">
        <x:v>0</x:v>
      </x:c>
      <x:c r="W1881" s="31" t="n">
        <x:v>0</x:v>
      </x:c>
      <x:c r="X1881" s="31" t="n">
        <x:v>3.0082781456953644</x:v>
      </x:c>
      <x:c r="Y1881" s="40" t="n">
        <x:v>0.008278145695364239</x:v>
      </x:c>
      <x:c r="Z1881" s="40" t="n">
        <x:v>1</x:v>
      </x:c>
      <x:c r="AA1881" s="40" t="n">
        <x:v>1</x:v>
      </x:c>
      <x:c r="AB1881" s="31" t="n">
        <x:v>0.3138760736148897</x:v>
      </x:c>
      <x:c r="AC1881" s="31" t="n">
        <x:v>6</x:v>
      </x:c>
      <x:c r="AD1881" s="44" t="b">
        <x:v>1</x:v>
      </x:c>
    </x:row>
    <x:row r="1882">
      <x:c r="A1882" s="31" t="str">
        <x:v>36081054900</x:v>
      </x:c>
      <x:c r="B1882" s="31" t="str">
        <x:v>Queens</x:v>
      </x:c>
      <x:c r="C1882" s="31" t="str">
        <x:v>054900</x:v>
      </x:c>
      <x:c r="D1882" s="31" t="str">
        <x:v>QN0502</x:v>
      </x:c>
      <x:c r="E1882" s="31" t="str">
        <x:v>Ridgewood</x:v>
      </x:c>
      <x:c r="F1882" s="31" t="n">
        <x:v>0.06330809996341254</x:v>
      </x:c>
      <x:c r="G1882" s="31" t="n">
        <x:v>40.702195826294776</x:v>
      </x:c>
      <x:c r="H1882" s="31" t="n">
        <x:v>-73.90780765500625</x:v>
      </x:c>
      <x:c r="I1882" s="31" t="n">
        <x:v>4932</x:v>
      </x:c>
      <x:c r="J1882" s="31" t="n">
        <x:v>77904.72313732897</x:v>
      </x:c>
      <x:c r="K1882" s="31"/>
      <x:c r="L1882" s="40"/>
      <x:c r="M1882" s="40"/>
      <x:c r="N1882" s="31" t="n">
        <x:v>353</x:v>
      </x:c>
      <x:c r="O1882" s="31" t="n">
        <x:v>1864</x:v>
      </x:c>
      <x:c r="P1882" s="31" t="n">
        <x:v>3.508347245409015</x:v>
      </x:c>
      <x:c r="Q1882" s="40" t="n">
        <x:v>0.03540772532188841</x:v>
      </x:c>
      <x:c r="R1882" s="40" t="n">
        <x:v>0.8068669527896996</x:v>
      </x:c>
      <x:c r="S1882" s="40" t="n">
        <x:v>0.005901287553648069</x:v>
      </x:c>
      <x:c r="T1882" s="31" t="n">
        <x:v>41.07086289346046</x:v>
      </x:c>
      <x:c r="U1882" s="31" t="n">
        <x:v>207</x:v>
      </x:c>
      <x:c r="V1882" s="31" t="n">
        <x:v>2</x:v>
      </x:c>
      <x:c r="W1882" s="31" t="n">
        <x:v>0.40551500405515006</x:v>
      </x:c>
      <x:c r="X1882" s="31" t="n">
        <x:v>1</x:v>
      </x:c>
      <x:c r="Y1882" s="40" t="n">
        <x:v>0</x:v>
      </x:c>
      <x:c r="Z1882" s="40" t="n">
        <x:v>1</x:v>
      </x:c>
      <x:c r="AA1882" s="40" t="n">
        <x:v>0.9565450643776824</x:v>
      </x:c>
      <x:c r="AB1882" s="31" t="n">
        <x:v>0.1407162958161871</x:v>
      </x:c>
      <x:c r="AC1882" s="31" t="n">
        <x:v>5</x:v>
      </x:c>
      <x:c r="AD1882" s="44" t="b">
        <x:v>1</x:v>
      </x:c>
    </x:row>
    <x:row r="1883">
      <x:c r="A1883" s="31" t="str">
        <x:v>36081055100</x:v>
      </x:c>
      <x:c r="B1883" s="31" t="str">
        <x:v>Queens</x:v>
      </x:c>
      <x:c r="C1883" s="31" t="str">
        <x:v>055100</x:v>
      </x:c>
      <x:c r="D1883" s="31" t="str">
        <x:v>QN0502</x:v>
      </x:c>
      <x:c r="E1883" s="31" t="str">
        <x:v>Ridgewood</x:v>
      </x:c>
      <x:c r="F1883" s="31" t="n">
        <x:v>0.05989316934436696</x:v>
      </x:c>
      <x:c r="G1883" s="31" t="n">
        <x:v>40.70159502771836</x:v>
      </x:c>
      <x:c r="H1883" s="31" t="n">
        <x:v>-73.9039117209273</x:v>
      </x:c>
      <x:c r="I1883" s="31" t="n">
        <x:v>4574</x:v>
      </x:c>
      <x:c r="J1883" s="31" t="n">
        <x:v>76369.3097238006</x:v>
      </x:c>
      <x:c r="K1883" s="31"/>
      <x:c r="L1883" s="40"/>
      <x:c r="M1883" s="40"/>
      <x:c r="N1883" s="31" t="n">
        <x:v>379</x:v>
      </x:c>
      <x:c r="O1883" s="31" t="n">
        <x:v>1780</x:v>
      </x:c>
      <x:c r="P1883" s="31" t="n">
        <x:v>2.9696629213483146</x:v>
      </x:c>
      <x:c r="Q1883" s="40" t="n">
        <x:v>0</x:v>
      </x:c>
      <x:c r="R1883" s="40" t="n">
        <x:v>0.9073033707865169</x:v>
      </x:c>
      <x:c r="S1883" s="40" t="n">
        <x:v>0.011235955056179775</x:v>
      </x:c>
      <x:c r="T1883" s="31" t="n">
        <x:v>36.30691873589165</x:v>
      </x:c>
      <x:c r="U1883" s="31" t="n">
        <x:v>73</x:v>
      </x:c>
      <x:c r="V1883" s="31" t="n">
        <x:v>3</x:v>
      </x:c>
      <x:c r="W1883" s="31" t="n">
        <x:v>0.6558810668998689</x:v>
      </x:c>
      <x:c r="X1883" s="31" t="n">
        <x:v>1</x:v>
      </x:c>
      <x:c r="Y1883" s="40" t="n">
        <x:v>0</x:v>
      </x:c>
      <x:c r="Z1883" s="40" t="n">
        <x:v>1</x:v>
      </x:c>
      <x:c r="AA1883" s="40" t="n">
        <x:v>0.9955056179775281</x:v>
      </x:c>
      <x:c r="AB1883" s="31" t="n">
        <x:v>0.12680731598501782</x:v>
      </x:c>
      <x:c r="AC1883" s="31" t="n">
        <x:v>6</x:v>
      </x:c>
      <x:c r="AD1883" s="44" t="b">
        <x:v>1</x:v>
      </x:c>
    </x:row>
    <x:row r="1884">
      <x:c r="A1884" s="31" t="str">
        <x:v>36081055200</x:v>
      </x:c>
      <x:c r="B1884" s="31" t="str">
        <x:v>Queens</x:v>
      </x:c>
      <x:c r="C1884" s="31" t="str">
        <x:v>055200</x:v>
      </x:c>
      <x:c r="D1884" s="31" t="str">
        <x:v>QN1303</x:v>
      </x:c>
      <x:c r="E1884" s="31" t="str">
        <x:v>Queens Village</x:v>
      </x:c>
      <x:c r="F1884" s="31" t="n">
        <x:v>0.16126789997668448</x:v>
      </x:c>
      <x:c r="G1884" s="31" t="n">
        <x:v>40.72778761655284</x:v>
      </x:c>
      <x:c r="H1884" s="31" t="n">
        <x:v>-73.7496575337219</x:v>
      </x:c>
      <x:c r="I1884" s="31" t="n">
        <x:v>3174</x:v>
      </x:c>
      <x:c r="J1884" s="31" t="n">
        <x:v>19681.536129997883</x:v>
      </x:c>
      <x:c r="K1884" s="31"/>
      <x:c r="L1884" s="40"/>
      <x:c r="M1884" s="40"/>
      <x:c r="N1884" s="31" t="n">
        <x:v>432</x:v>
      </x:c>
      <x:c r="O1884" s="31" t="n">
        <x:v>1026</x:v>
      </x:c>
      <x:c r="P1884" s="31" t="n">
        <x:v>3.184230019493177</x:v>
      </x:c>
      <x:c r="Q1884" s="40" t="n">
        <x:v>0</x:v>
      </x:c>
      <x:c r="R1884" s="40" t="n">
        <x:v>0.4580896686159844</x:v>
      </x:c>
      <x:c r="S1884" s="40" t="n">
        <x:v>0.2982456140350877</x:v>
      </x:c>
      <x:c r="T1884" s="31" t="n">
        <x:v>37.69208740433171</x:v>
      </x:c>
      <x:c r="U1884" s="31" t="n">
        <x:v>78.94639098</x:v>
      </x:c>
      <x:c r="V1884" s="31" t="n">
        <x:v>3</x:v>
      </x:c>
      <x:c r="W1884" s="31" t="n">
        <x:v>0.945179584120983</x:v>
      </x:c>
      <x:c r="X1884" s="31" t="n">
        <x:v>3</x:v>
      </x:c>
      <x:c r="Y1884" s="40" t="n">
        <x:v>0</x:v>
      </x:c>
      <x:c r="Z1884" s="40" t="n">
        <x:v>1</x:v>
      </x:c>
      <x:c r="AA1884" s="40" t="n">
        <x:v>0.9990253411306043</x:v>
      </x:c>
      <x:c r="AB1884" s="31" t="n">
        <x:v>0.5336547902005493</x:v>
      </x:c>
      <x:c r="AC1884" s="31" t="n">
        <x:v>7</x:v>
      </x:c>
      <x:c r="AD1884" s="44" t="b">
        <x:v>1</x:v>
      </x:c>
    </x:row>
    <x:row r="1885">
      <x:c r="A1885" s="31" t="str">
        <x:v>36081055300</x:v>
      </x:c>
      <x:c r="B1885" s="31" t="str">
        <x:v>Queens</x:v>
      </x:c>
      <x:c r="C1885" s="31" t="str">
        <x:v>055300</x:v>
      </x:c>
      <x:c r="D1885" s="31" t="str">
        <x:v>QN0502</x:v>
      </x:c>
      <x:c r="E1885" s="31" t="str">
        <x:v>Ridgewood</x:v>
      </x:c>
      <x:c r="F1885" s="31" t="n">
        <x:v>0.052993869723872246</x:v>
      </x:c>
      <x:c r="G1885" s="31" t="n">
        <x:v>40.69895121066866</x:v>
      </x:c>
      <x:c r="H1885" s="31" t="n">
        <x:v>-73.90655344702157</x:v>
      </x:c>
      <x:c r="I1885" s="31" t="n">
        <x:v>2856</x:v>
      </x:c>
      <x:c r="J1885" s="31" t="n">
        <x:v>53893.02602133719</x:v>
      </x:c>
      <x:c r="K1885" s="31"/>
      <x:c r="L1885" s="40"/>
      <x:c r="M1885" s="40"/>
      <x:c r="N1885" s="31" t="n">
        <x:v>234</x:v>
      </x:c>
      <x:c r="O1885" s="31" t="n">
        <x:v>1181</x:v>
      </x:c>
      <x:c r="P1885" s="31" t="n">
        <x:v>3.7070279424216763</x:v>
      </x:c>
      <x:c r="Q1885" s="40" t="n">
        <x:v>0</x:v>
      </x:c>
      <x:c r="R1885" s="40" t="n">
        <x:v>0.6934801016088061</x:v>
      </x:c>
      <x:c r="S1885" s="40" t="n">
        <x:v>0.005080440304826418</x:v>
      </x:c>
      <x:c r="T1885" s="31" t="n">
        <x:v>42.47163081763359</x:v>
      </x:c>
      <x:c r="U1885" s="31" t="n">
        <x:v>76.55</x:v>
      </x:c>
      <x:c r="V1885" s="31" t="n">
        <x:v>8</x:v>
      </x:c>
      <x:c r="W1885" s="31" t="n">
        <x:v>2.8011204481792715</x:v>
      </x:c>
      <x:c r="X1885" s="31" t="n">
        <x:v>1</x:v>
      </x:c>
      <x:c r="Y1885" s="40" t="n">
        <x:v>0</x:v>
      </x:c>
      <x:c r="Z1885" s="40" t="n">
        <x:v>1</x:v>
      </x:c>
      <x:c r="AA1885" s="40" t="n">
        <x:v>0.9983065198983911</x:v>
      </x:c>
      <x:c r="AB1885" s="31" t="n">
        <x:v>0.0882025798985458</x:v>
      </x:c>
      <x:c r="AC1885" s="31" t="n">
        <x:v>5</x:v>
      </x:c>
      <x:c r="AD1885" s="44" t="b">
        <x:v>1</x:v>
      </x:c>
    </x:row>
    <x:row r="1886">
      <x:c r="A1886" s="31" t="str">
        <x:v>36081055400</x:v>
      </x:c>
      <x:c r="B1886" s="31" t="str">
        <x:v>Queens</x:v>
      </x:c>
      <x:c r="C1886" s="31" t="str">
        <x:v>055400</x:v>
      </x:c>
      <x:c r="D1886" s="31" t="str">
        <x:v>QN1303</x:v>
      </x:c>
      <x:c r="E1886" s="31" t="str">
        <x:v>Queens Village</x:v>
      </x:c>
      <x:c r="F1886" s="31" t="n">
        <x:v>0.08496799365386823</x:v>
      </x:c>
      <x:c r="G1886" s="31" t="n">
        <x:v>40.727790511945116</x:v>
      </x:c>
      <x:c r="H1886" s="31" t="n">
        <x:v>-73.74016096118086</x:v>
      </x:c>
      <x:c r="I1886" s="31" t="n">
        <x:v>2487</x:v>
      </x:c>
      <x:c r="J1886" s="31" t="n">
        <x:v>29269.844950455383</x:v>
      </x:c>
      <x:c r="K1886" s="31"/>
      <x:c r="L1886" s="40"/>
      <x:c r="M1886" s="40"/>
      <x:c r="N1886" s="31" t="n">
        <x:v>502</x:v>
      </x:c>
      <x:c r="O1886" s="31" t="n">
        <x:v>723</x:v>
      </x:c>
      <x:c r="P1886" s="31" t="n">
        <x:v>2.2821023513139695</x:v>
      </x:c>
      <x:c r="Q1886" s="40" t="n">
        <x:v>0</x:v>
      </x:c>
      <x:c r="R1886" s="40" t="n">
        <x:v>0.21300138312586445</x:v>
      </x:c>
      <x:c r="S1886" s="40" t="n">
        <x:v>0.21715076071922546</x:v>
      </x:c>
      <x:c r="T1886" s="31" t="n">
        <x:v>26.850262793914244</x:v>
      </x:c>
      <x:c r="U1886" s="31" t="n">
        <x:v>33.58</x:v>
      </x:c>
      <x:c r="V1886" s="31" t="n">
        <x:v>1</x:v>
      </x:c>
      <x:c r="W1886" s="31" t="n">
        <x:v>0.4020908725371934</x:v>
      </x:c>
      <x:c r="X1886" s="31" t="n">
        <x:v>3.575380359612725</x:v>
      </x:c>
      <x:c r="Y1886" s="40" t="n">
        <x:v>0.5753803596127247</x:v>
      </x:c>
      <x:c r="Z1886" s="40" t="n">
        <x:v>1</x:v>
      </x:c>
      <x:c r="AA1886" s="40" t="n">
        <x:v>1</x:v>
      </x:c>
      <x:c r="AB1886" s="31" t="n">
        <x:v>0.30038206760131414</x:v>
      </x:c>
      <x:c r="AC1886" s="31" t="n">
        <x:v>6</x:v>
      </x:c>
      <x:c r="AD1886" s="44" t="b">
        <x:v>1</x:v>
      </x:c>
    </x:row>
    <x:row r="1887">
      <x:c r="A1887" s="31" t="str">
        <x:v>36081055500</x:v>
      </x:c>
      <x:c r="B1887" s="31" t="str">
        <x:v>Queens</x:v>
      </x:c>
      <x:c r="C1887" s="31" t="str">
        <x:v>055500</x:v>
      </x:c>
      <x:c r="D1887" s="31" t="str">
        <x:v>QN0502</x:v>
      </x:c>
      <x:c r="E1887" s="31" t="str">
        <x:v>Ridgewood</x:v>
      </x:c>
      <x:c r="F1887" s="31" t="n">
        <x:v>0.05933325947615359</x:v>
      </x:c>
      <x:c r="G1887" s="31" t="n">
        <x:v>40.697225117328706</x:v>
      </x:c>
      <x:c r="H1887" s="31" t="n">
        <x:v>-73.90327854525881</x:v>
      </x:c>
      <x:c r="I1887" s="31" t="n">
        <x:v>1935</x:v>
      </x:c>
      <x:c r="J1887" s="31" t="n">
        <x:v>32612.40014595336</x:v>
      </x:c>
      <x:c r="K1887" s="31"/>
      <x:c r="L1887" s="40"/>
      <x:c r="M1887" s="40"/>
      <x:c r="N1887" s="31" t="n">
        <x:v>240</x:v>
      </x:c>
      <x:c r="O1887" s="31" t="n">
        <x:v>674</x:v>
      </x:c>
      <x:c r="P1887" s="31" t="n">
        <x:v>2.4306379821958455</x:v>
      </x:c>
      <x:c r="Q1887" s="40" t="n">
        <x:v>0</x:v>
      </x:c>
      <x:c r="R1887" s="40" t="n">
        <x:v>0.42433234421364985</x:v>
      </x:c>
      <x:c r="S1887" s="40" t="n">
        <x:v>0.00741839762611276</x:v>
      </x:c>
      <x:c r="T1887" s="31" t="n">
        <x:v>30.7639293815727</x:v>
      </x:c>
      <x:c r="U1887" s="31" t="n">
        <x:v>43.47</x:v>
      </x:c>
      <x:c r="V1887" s="31" t="n">
        <x:v>0</x:v>
      </x:c>
      <x:c r="W1887" s="31" t="n">
        <x:v>0</x:v>
      </x:c>
      <x:c r="X1887" s="31" t="n">
        <x:v>1</x:v>
      </x:c>
      <x:c r="Y1887" s="40" t="n">
        <x:v>0</x:v>
      </x:c>
      <x:c r="Z1887" s="40" t="n">
        <x:v>1</x:v>
      </x:c>
      <x:c r="AA1887" s="40" t="n">
        <x:v>1</x:v>
      </x:c>
      <x:c r="AB1887" s="31" t="n">
        <x:v>0.12138689873418392</x:v>
      </x:c>
      <x:c r="AC1887" s="31" t="n">
        <x:v>6</x:v>
      </x:c>
      <x:c r="AD1887" s="44" t="b">
        <x:v>1</x:v>
      </x:c>
    </x:row>
    <x:row r="1888">
      <x:c r="A1888" s="31" t="str">
        <x:v>36081055600</x:v>
      </x:c>
      <x:c r="B1888" s="31" t="str">
        <x:v>Queens</x:v>
      </x:c>
      <x:c r="C1888" s="31" t="str">
        <x:v>055600</x:v>
      </x:c>
      <x:c r="D1888" s="31" t="str">
        <x:v>QN1303</x:v>
      </x:c>
      <x:c r="E1888" s="31" t="str">
        <x:v>Queens Village</x:v>
      </x:c>
      <x:c r="F1888" s="31" t="n">
        <x:v>0.08760020304178145</x:v>
      </x:c>
      <x:c r="G1888" s="31" t="n">
        <x:v>40.72555072822431</x:v>
      </x:c>
      <x:c r="H1888" s="31" t="n">
        <x:v>-73.74500322868094</x:v>
      </x:c>
      <x:c r="I1888" s="31" t="n">
        <x:v>2242</x:v>
      </x:c>
      <x:c r="J1888" s="31" t="n">
        <x:v>25593.54798447972</x:v>
      </x:c>
      <x:c r="K1888" s="31"/>
      <x:c r="L1888" s="40"/>
      <x:c r="M1888" s="40"/>
      <x:c r="N1888" s="31" t="n">
        <x:v>558</x:v>
      </x:c>
      <x:c r="O1888" s="31" t="n">
        <x:v>631</x:v>
      </x:c>
      <x:c r="P1888" s="31" t="n">
        <x:v>2.091299524564184</x:v>
      </x:c>
      <x:c r="Q1888" s="40" t="n">
        <x:v>0</x:v>
      </x:c>
      <x:c r="R1888" s="40" t="n">
        <x:v>0</x:v>
      </x:c>
      <x:c r="S1888" s="40" t="n">
        <x:v>0.003169572107765452</x:v>
      </x:c>
      <x:c r="T1888" s="31" t="n">
        <x:v>25.858695104849446</x:v>
      </x:c>
      <x:c r="U1888" s="31" t="n">
        <x:v>33.21</x:v>
      </x:c>
      <x:c r="V1888" s="31" t="n">
        <x:v>0</x:v>
      </x:c>
      <x:c r="W1888" s="31" t="n">
        <x:v>0</x:v>
      </x:c>
      <x:c r="X1888" s="31" t="n">
        <x:v>3.342313787638669</x:v>
      </x:c>
      <x:c r="Y1888" s="40" t="n">
        <x:v>0.34231378763866877</x:v>
      </x:c>
      <x:c r="Z1888" s="40" t="n">
        <x:v>1</x:v>
      </x:c>
      <x:c r="AA1888" s="40" t="n">
        <x:v>1</x:v>
      </x:c>
      <x:c r="AB1888" s="31" t="n">
        <x:v>0.3628178731881857</x:v>
      </x:c>
      <x:c r="AC1888" s="31" t="n">
        <x:v>6</x:v>
      </x:c>
      <x:c r="AD1888" s="44" t="b">
        <x:v>1</x:v>
      </x:c>
    </x:row>
    <x:row r="1889">
      <x:c r="A1889" s="31" t="str">
        <x:v>36081055700</x:v>
      </x:c>
      <x:c r="B1889" s="31" t="str">
        <x:v>Queens</x:v>
      </x:c>
      <x:c r="C1889" s="31" t="str">
        <x:v>055700</x:v>
      </x:c>
      <x:c r="D1889" s="31" t="str">
        <x:v>QN0502</x:v>
      </x:c>
      <x:c r="E1889" s="31" t="str">
        <x:v>Ridgewood</x:v>
      </x:c>
      <x:c r="F1889" s="31" t="n">
        <x:v>0.09244983771593779</x:v>
      </x:c>
      <x:c r="G1889" s="31" t="n">
        <x:v>40.698690768046546</x:v>
      </x:c>
      <x:c r="H1889" s="31" t="n">
        <x:v>-73.89830829593983</x:v>
      </x:c>
      <x:c r="I1889" s="31" t="n">
        <x:v>3966</x:v>
      </x:c>
      <x:c r="J1889" s="31" t="n">
        <x:v>42898.93955450704</x:v>
      </x:c>
      <x:c r="K1889" s="31"/>
      <x:c r="L1889" s="40"/>
      <x:c r="M1889" s="40"/>
      <x:c r="N1889" s="31" t="n">
        <x:v>432</x:v>
      </x:c>
      <x:c r="O1889" s="31" t="n">
        <x:v>1394</x:v>
      </x:c>
      <x:c r="P1889" s="31" t="n">
        <x:v>2.6963388370423544</x:v>
      </x:c>
      <x:c r="Q1889" s="40" t="n">
        <x:v>0</x:v>
      </x:c>
      <x:c r="R1889" s="40" t="n">
        <x:v>0.5832137733142038</x:v>
      </x:c>
      <x:c r="S1889" s="40" t="n">
        <x:v>0.0028694404591104736</x:v>
      </x:c>
      <x:c r="T1889" s="31" t="n">
        <x:v>33.05516231886725</x:v>
      </x:c>
      <x:c r="U1889" s="31" t="n">
        <x:v>48.11</x:v>
      </x:c>
      <x:c r="V1889" s="31" t="n">
        <x:v>1</x:v>
      </x:c>
      <x:c r="W1889" s="31" t="n">
        <x:v>0.2521432173474534</x:v>
      </x:c>
      <x:c r="X1889" s="31" t="n">
        <x:v>1</x:v>
      </x:c>
      <x:c r="Y1889" s="40" t="n">
        <x:v>0</x:v>
      </x:c>
      <x:c r="Z1889" s="40" t="n">
        <x:v>1</x:v>
      </x:c>
      <x:c r="AA1889" s="40" t="n">
        <x:v>0.994261119081779</x:v>
      </x:c>
      <x:c r="AB1889" s="31" t="n">
        <x:v>0.12855878050851893</x:v>
      </x:c>
      <x:c r="AC1889" s="31" t="n">
        <x:v>9</x:v>
      </x:c>
      <x:c r="AD1889" s="44" t="b">
        <x:v>1</x:v>
      </x:c>
    </x:row>
    <x:row r="1890">
      <x:c r="A1890" s="31" t="str">
        <x:v>36081055800</x:v>
      </x:c>
      <x:c r="B1890" s="31" t="str">
        <x:v>Queens</x:v>
      </x:c>
      <x:c r="C1890" s="31" t="str">
        <x:v>055800</x:v>
      </x:c>
      <x:c r="D1890" s="31" t="str">
        <x:v>QN1303</x:v>
      </x:c>
      <x:c r="E1890" s="31" t="str">
        <x:v>Queens Village</x:v>
      </x:c>
      <x:c r="F1890" s="31" t="n">
        <x:v>0.07427304446309688</x:v>
      </x:c>
      <x:c r="G1890" s="31" t="n">
        <x:v>40.72253361604823</x:v>
      </x:c>
      <x:c r="H1890" s="31" t="n">
        <x:v>-73.74170480857588</x:v>
      </x:c>
      <x:c r="I1890" s="31" t="n">
        <x:v>1710</x:v>
      </x:c>
      <x:c r="J1890" s="31" t="n">
        <x:v>23023.15749086637</x:v>
      </x:c>
      <x:c r="K1890" s="31"/>
      <x:c r="L1890" s="40"/>
      <x:c r="M1890" s="40"/>
      <x:c r="N1890" s="31" t="n">
        <x:v>436</x:v>
      </x:c>
      <x:c r="O1890" s="31" t="n">
        <x:v>494</x:v>
      </x:c>
      <x:c r="P1890" s="31" t="n">
        <x:v>2.2876315789473685</x:v>
      </x:c>
      <x:c r="Q1890" s="40" t="n">
        <x:v>0</x:v>
      </x:c>
      <x:c r="R1890" s="40" t="n">
        <x:v>0.0020242914979757085</x:v>
      </x:c>
      <x:c r="S1890" s="40" t="n">
        <x:v>0.018218623481781375</x:v>
      </x:c>
      <x:c r="T1890" s="31" t="n">
        <x:v>27.13955721868421</x:v>
      </x:c>
      <x:c r="U1890" s="31" t="n">
        <x:v>35.41</x:v>
      </x:c>
      <x:c r="V1890" s="31" t="n">
        <x:v>0</x:v>
      </x:c>
      <x:c r="W1890" s="31" t="n">
        <x:v>0</x:v>
      </x:c>
      <x:c r="X1890" s="31" t="n">
        <x:v>4</x:v>
      </x:c>
      <x:c r="Y1890" s="40" t="n">
        <x:v>1</x:v>
      </x:c>
      <x:c r="Z1890" s="40" t="n">
        <x:v>1</x:v>
      </x:c>
      <x:c r="AA1890" s="40" t="n">
        <x:v>1</x:v>
      </x:c>
      <x:c r="AB1890" s="31" t="n">
        <x:v>0.22950318037275705</x:v>
      </x:c>
      <x:c r="AC1890" s="31" t="n">
        <x:v>5</x:v>
      </x:c>
      <x:c r="AD1890" s="44" t="b">
        <x:v>1</x:v>
      </x:c>
    </x:row>
    <x:row r="1891">
      <x:c r="A1891" s="31" t="str">
        <x:v>36081055900</x:v>
      </x:c>
      <x:c r="B1891" s="31" t="str">
        <x:v>Queens</x:v>
      </x:c>
      <x:c r="C1891" s="31" t="str">
        <x:v>055900</x:v>
      </x:c>
      <x:c r="D1891" s="31" t="str">
        <x:v>QN0502</x:v>
      </x:c>
      <x:c r="E1891" s="31" t="str">
        <x:v>Ridgewood</x:v>
      </x:c>
      <x:c r="F1891" s="31" t="n">
        <x:v>0.06267076007769457</x:v>
      </x:c>
      <x:c r="G1891" s="31" t="n">
        <x:v>40.69435675565197</x:v>
      </x:c>
      <x:c r="H1891" s="31" t="n">
        <x:v>-73.9017131893377</x:v>
      </x:c>
      <x:c r="I1891" s="31" t="n">
        <x:v>1178</x:v>
      </x:c>
      <x:c r="J1891" s="31" t="n">
        <x:v>18796.644536297357</x:v>
      </x:c>
      <x:c r="K1891" s="31"/>
      <x:c r="L1891" s="40"/>
      <x:c r="M1891" s="40"/>
      <x:c r="N1891" s="31" t="n">
        <x:v>112</x:v>
      </x:c>
      <x:c r="O1891" s="31" t="n">
        <x:v>459</x:v>
      </x:c>
      <x:c r="P1891" s="31" t="n">
        <x:v>2.645011600928074</x:v>
      </x:c>
      <x:c r="Q1891" s="40" t="n">
        <x:v>0</x:v>
      </x:c>
      <x:c r="R1891" s="40" t="n">
        <x:v>0.43137254901960786</x:v>
      </x:c>
      <x:c r="S1891" s="40" t="n">
        <x:v>0.07407407407407407</x:v>
      </x:c>
      <x:c r="T1891" s="31" t="n">
        <x:v>32.598255125751635</x:v>
      </x:c>
      <x:c r="U1891" s="31" t="n">
        <x:v>50</x:v>
      </x:c>
      <x:c r="V1891" s="31" t="n">
        <x:v>2</x:v>
      </x:c>
      <x:c r="W1891" s="31" t="n">
        <x:v>1.697792869269949</x:v>
      </x:c>
      <x:c r="X1891" s="31" t="n">
        <x:v>1</x:v>
      </x:c>
      <x:c r="Y1891" s="40" t="n">
        <x:v>0</x:v>
      </x:c>
      <x:c r="Z1891" s="40" t="n">
        <x:v>1</x:v>
      </x:c>
      <x:c r="AA1891" s="40" t="n">
        <x:v>1</x:v>
      </x:c>
      <x:c r="AB1891" s="31" t="n">
        <x:v>0.27166123221480964</x:v>
      </x:c>
      <x:c r="AC1891" s="31" t="n">
        <x:v>6</x:v>
      </x:c>
      <x:c r="AD1891" s="44" t="b">
        <x:v>1</x:v>
      </x:c>
    </x:row>
    <x:row r="1892">
      <x:c r="A1892" s="31" t="str">
        <x:v>36081056000</x:v>
      </x:c>
      <x:c r="B1892" s="31" t="str">
        <x:v>Queens</x:v>
      </x:c>
      <x:c r="C1892" s="31" t="str">
        <x:v>056000</x:v>
      </x:c>
      <x:c r="D1892" s="31" t="str">
        <x:v>QN1303</x:v>
      </x:c>
      <x:c r="E1892" s="31" t="str">
        <x:v>Queens Village</x:v>
      </x:c>
      <x:c r="F1892" s="31" t="n">
        <x:v>0.08252851923316977</x:v>
      </x:c>
      <x:c r="G1892" s="31" t="n">
        <x:v>40.725439391820814</x:v>
      </x:c>
      <x:c r="H1892" s="31" t="n">
        <x:v>-73.7365584980226</x:v>
      </x:c>
      <x:c r="I1892" s="31" t="n">
        <x:v>1743</x:v>
      </x:c>
      <x:c r="J1892" s="31" t="n">
        <x:v>21119.971813325054</x:v>
      </x:c>
      <x:c r="K1892" s="31"/>
      <x:c r="L1892" s="40"/>
      <x:c r="M1892" s="40"/>
      <x:c r="N1892" s="31" t="n">
        <x:v>370</x:v>
      </x:c>
      <x:c r="O1892" s="31" t="n">
        <x:v>479</x:v>
      </x:c>
      <x:c r="P1892" s="31" t="n">
        <x:v>2.2295407098121087</x:v>
      </x:c>
      <x:c r="Q1892" s="40" t="n">
        <x:v>0</x:v>
      </x:c>
      <x:c r="R1892" s="40" t="n">
        <x:v>0</x:v>
      </x:c>
      <x:c r="S1892" s="40" t="n">
        <x:v>0.0041753653444676405</x:v>
      </x:c>
      <x:c r="T1892" s="31" t="n">
        <x:v>26.648313093590815</x:v>
      </x:c>
      <x:c r="U1892" s="31" t="n">
        <x:v>33.88</x:v>
      </x:c>
      <x:c r="V1892" s="31" t="n">
        <x:v>0</x:v>
      </x:c>
      <x:c r="W1892" s="31" t="n">
        <x:v>0</x:v>
      </x:c>
      <x:c r="X1892" s="31" t="n">
        <x:v>3.9832985386221296</x:v>
      </x:c>
      <x:c r="Y1892" s="40" t="n">
        <x:v>0.9832985386221295</x:v>
      </x:c>
      <x:c r="Z1892" s="40" t="n">
        <x:v>1</x:v>
      </x:c>
      <x:c r="AA1892" s="40" t="n">
        <x:v>1</x:v>
      </x:c>
      <x:c r="AB1892" s="31" t="n">
        <x:v>0.15053857033669288</x:v>
      </x:c>
      <x:c r="AC1892" s="31" t="n">
        <x:v>7</x:v>
      </x:c>
      <x:c r="AD1892" s="44" t="b">
        <x:v>1</x:v>
      </x:c>
    </x:row>
    <x:row r="1893">
      <x:c r="A1893" s="31" t="str">
        <x:v>36081056100</x:v>
      </x:c>
      <x:c r="B1893" s="31" t="str">
        <x:v>Queens</x:v>
      </x:c>
      <x:c r="C1893" s="31" t="str">
        <x:v>056100</x:v>
      </x:c>
      <x:c r="D1893" s="31" t="str">
        <x:v>QN0574</x:v>
      </x:c>
      <x:c r="E1893" s="31" t="str">
        <x:v>Highland Park-Cypress Hills Cemeteries (North)</x:v>
      </x:c>
      <x:c r="F1893" s="31" t="n">
        <x:v>1.1201162910066575</x:v>
      </x:c>
      <x:c r="G1893" s="31" t="n">
        <x:v>40.69309443521398</x:v>
      </x:c>
      <x:c r="H1893" s="31" t="n">
        <x:v>-73.88549990563632</x:v>
      </x:c>
      <x:c r="I1893" s="31" t="n">
        <x:v>20</x:v>
      </x:c>
      <x:c r="J1893" s="31" t="n">
        <x:v>17.85528892006904</x:v>
      </x:c>
      <x:c r="K1893" s="31"/>
      <x:c r="L1893" s="40"/>
      <x:c r="M1893" s="40"/>
      <x:c r="N1893" s="31" t="n">
        <x:v>0</x:v>
      </x:c>
      <x:c r="O1893" s="31"/>
      <x:c r="P1893" s="31"/>
      <x:c r="Q1893" s="40"/>
      <x:c r="R1893" s="40"/>
      <x:c r="S1893" s="40"/>
      <x:c r="T1893" s="31"/>
      <x:c r="U1893" s="31"/>
      <x:c r="V1893" s="31" t="n">
        <x:v>0</x:v>
      </x:c>
      <x:c r="W1893" s="31" t="n">
        <x:v>0</x:v>
      </x:c>
      <x:c r="X1893" s="31"/>
      <x:c r="Y1893" s="40"/>
      <x:c r="Z1893" s="40"/>
      <x:c r="AA1893" s="40"/>
      <x:c r="AB1893" s="31" t="n">
        <x:v>0.5698863192971402</x:v>
      </x:c>
      <x:c r="AC1893" s="31" t="n">
        <x:v>15</x:v>
      </x:c>
      <x:c r="AD1893" s="44" t="b">
        <x:v>0</x:v>
      </x:c>
    </x:row>
    <x:row r="1894">
      <x:c r="A1894" s="31" t="str">
        <x:v>36081056200</x:v>
      </x:c>
      <x:c r="B1894" s="31" t="str">
        <x:v>Queens</x:v>
      </x:c>
      <x:c r="C1894" s="31" t="str">
        <x:v>056200</x:v>
      </x:c>
      <x:c r="D1894" s="31" t="str">
        <x:v>QN1303</x:v>
      </x:c>
      <x:c r="E1894" s="31" t="str">
        <x:v>Queens Village</x:v>
      </x:c>
      <x:c r="F1894" s="31" t="n">
        <x:v>0.06202570246678432</x:v>
      </x:c>
      <x:c r="G1894" s="31" t="n">
        <x:v>40.724638172365886</x:v>
      </x:c>
      <x:c r="H1894" s="31" t="n">
        <x:v>-73.73319561984559</x:v>
      </x:c>
      <x:c r="I1894" s="31" t="n">
        <x:v>1460</x:v>
      </x:c>
      <x:c r="J1894" s="31" t="n">
        <x:v>23538.629018862808</x:v>
      </x:c>
      <x:c r="K1894" s="31"/>
      <x:c r="L1894" s="40"/>
      <x:c r="M1894" s="40"/>
      <x:c r="N1894" s="31" t="n">
        <x:v>352</x:v>
      </x:c>
      <x:c r="O1894" s="31" t="n">
        <x:v>427</x:v>
      </x:c>
      <x:c r="P1894" s="31" t="n">
        <x:v>2.2152693208430914</x:v>
      </x:c>
      <x:c r="Q1894" s="40" t="n">
        <x:v>0</x:v>
      </x:c>
      <x:c r="R1894" s="40" t="n">
        <x:v>0</x:v>
      </x:c>
      <x:c r="S1894" s="40" t="n">
        <x:v>0.00234192037470726</x:v>
      </x:c>
      <x:c r="T1894" s="31" t="n">
        <x:v>27.15400480442353</x:v>
      </x:c>
      <x:c r="U1894" s="31" t="n">
        <x:v>37.16</x:v>
      </x:c>
      <x:c r="V1894" s="31" t="n">
        <x:v>0</x:v>
      </x:c>
      <x:c r="W1894" s="31" t="n">
        <x:v>0</x:v>
      </x:c>
      <x:c r="X1894" s="31" t="n">
        <x:v>3.988290398126464</x:v>
      </x:c>
      <x:c r="Y1894" s="40" t="n">
        <x:v>0.9882903981264637</x:v>
      </x:c>
      <x:c r="Z1894" s="40" t="n">
        <x:v>1</x:v>
      </x:c>
      <x:c r="AA1894" s="40" t="n">
        <x:v>0.9953161592505855</x:v>
      </x:c>
      <x:c r="AB1894" s="31" t="n">
        <x:v>0.18436059867171514</x:v>
      </x:c>
      <x:c r="AC1894" s="31" t="n">
        <x:v>3</x:v>
      </x:c>
      <x:c r="AD1894" s="44" t="b">
        <x:v>1</x:v>
      </x:c>
    </x:row>
    <x:row r="1895">
      <x:c r="A1895" s="31" t="str">
        <x:v>36081056400</x:v>
      </x:c>
      <x:c r="B1895" s="31" t="str">
        <x:v>Queens</x:v>
      </x:c>
      <x:c r="C1895" s="31" t="str">
        <x:v>056400</x:v>
      </x:c>
      <x:c r="D1895" s="31" t="str">
        <x:v>QN1303</x:v>
      </x:c>
      <x:c r="E1895" s="31" t="str">
        <x:v>Queens Village</x:v>
      </x:c>
      <x:c r="F1895" s="31" t="n">
        <x:v>0.07265488353312959</x:v>
      </x:c>
      <x:c r="G1895" s="31" t="n">
        <x:v>40.721549904307544</x:v>
      </x:c>
      <x:c r="H1895" s="31" t="n">
        <x:v>-73.73339246776204</x:v>
      </x:c>
      <x:c r="I1895" s="31" t="n">
        <x:v>1559</x:v>
      </x:c>
      <x:c r="J1895" s="31" t="n">
        <x:v>21457.607860442284</x:v>
      </x:c>
      <x:c r="K1895" s="31"/>
      <x:c r="L1895" s="40"/>
      <x:c r="M1895" s="40"/>
      <x:c r="N1895" s="31" t="n">
        <x:v>292</x:v>
      </x:c>
      <x:c r="O1895" s="31" t="n">
        <x:v>571</x:v>
      </x:c>
      <x:c r="P1895" s="31" t="n">
        <x:v>2.8209281961471104</x:v>
      </x:c>
      <x:c r="Q1895" s="40" t="n">
        <x:v>0</x:v>
      </x:c>
      <x:c r="R1895" s="40" t="n">
        <x:v>0.29597197898423816</x:v>
      </x:c>
      <x:c r="S1895" s="40" t="n">
        <x:v>0.12084063047285463</x:v>
      </x:c>
      <x:c r="T1895" s="31" t="n">
        <x:v>35.3543752815873</x:v>
      </x:c>
      <x:c r="U1895" s="31" t="n">
        <x:v>78.73</x:v>
      </x:c>
      <x:c r="V1895" s="31" t="n">
        <x:v>2</x:v>
      </x:c>
      <x:c r="W1895" s="31" t="n">
        <x:v>1.2828736369467606</x:v>
      </x:c>
      <x:c r="X1895" s="31" t="n">
        <x:v>3.959719789842382</x:v>
      </x:c>
      <x:c r="Y1895" s="40" t="n">
        <x:v>0.9597197898423818</x:v>
      </x:c>
      <x:c r="Z1895" s="40" t="n">
        <x:v>1</x:v>
      </x:c>
      <x:c r="AA1895" s="40" t="n">
        <x:v>0.9929947460595446</x:v>
      </x:c>
      <x:c r="AB1895" s="31" t="n">
        <x:v>0.11762107913711864</x:v>
      </x:c>
      <x:c r="AC1895" s="31" t="n">
        <x:v>5</x:v>
      </x:c>
      <x:c r="AD1895" s="44" t="b">
        <x:v>1</x:v>
      </x:c>
    </x:row>
    <x:row r="1896">
      <x:c r="A1896" s="31" t="str">
        <x:v>36081056500</x:v>
      </x:c>
      <x:c r="B1896" s="31" t="str">
        <x:v>Queens</x:v>
      </x:c>
      <x:c r="C1896" s="31" t="str">
        <x:v>056500</x:v>
      </x:c>
      <x:c r="D1896" s="31" t="str">
        <x:v>QN0503</x:v>
      </x:c>
      <x:c r="E1896" s="31" t="str">
        <x:v>Glendale</x:v>
      </x:c>
      <x:c r="F1896" s="31" t="n">
        <x:v>0.046792837264692376</x:v>
      </x:c>
      <x:c r="G1896" s="31" t="n">
        <x:v>40.69423102029661</x:v>
      </x:c>
      <x:c r="H1896" s="31" t="n">
        <x:v>-73.89685168413563</x:v>
      </x:c>
      <x:c r="I1896" s="31" t="n">
        <x:v>1681</x:v>
      </x:c>
      <x:c r="J1896" s="31" t="n">
        <x:v>35924.301629565896</x:v>
      </x:c>
      <x:c r="K1896" s="31"/>
      <x:c r="L1896" s="40"/>
      <x:c r="M1896" s="40"/>
      <x:c r="N1896" s="31" t="n">
        <x:v>259</x:v>
      </x:c>
      <x:c r="O1896" s="31" t="n">
        <x:v>598</x:v>
      </x:c>
      <x:c r="P1896" s="31" t="n">
        <x:v>2.7102360876897134</x:v>
      </x:c>
      <x:c r="Q1896" s="40" t="n">
        <x:v>0</x:v>
      </x:c>
      <x:c r="R1896" s="40" t="n">
        <x:v>0.44648829431438125</x:v>
      </x:c>
      <x:c r="S1896" s="40" t="n">
        <x:v>0.06020066889632107</x:v>
      </x:c>
      <x:c r="T1896" s="31" t="n">
        <x:v>29.902063128184874</x:v>
      </x:c>
      <x:c r="U1896" s="31" t="n">
        <x:v>51</x:v>
      </x:c>
      <x:c r="V1896" s="31" t="n">
        <x:v>1</x:v>
      </x:c>
      <x:c r="W1896" s="31" t="n">
        <x:v>0.5948839976204641</x:v>
      </x:c>
      <x:c r="X1896" s="31" t="n">
        <x:v>1</x:v>
      </x:c>
      <x:c r="Y1896" s="40" t="n">
        <x:v>0</x:v>
      </x:c>
      <x:c r="Z1896" s="40" t="n">
        <x:v>1</x:v>
      </x:c>
      <x:c r="AA1896" s="40" t="n">
        <x:v>0.9949832775919732</x:v>
      </x:c>
      <x:c r="AB1896" s="31" t="n">
        <x:v>0.19130411077028195</x:v>
      </x:c>
      <x:c r="AC1896" s="31" t="n">
        <x:v>4</x:v>
      </x:c>
      <x:c r="AD1896" s="44" t="b">
        <x:v>1</x:v>
      </x:c>
    </x:row>
    <x:row r="1897">
      <x:c r="A1897" s="31" t="str">
        <x:v>36081056600</x:v>
      </x:c>
      <x:c r="B1897" s="31" t="str">
        <x:v>Queens</x:v>
      </x:c>
      <x:c r="C1897" s="31" t="str">
        <x:v>056600</x:v>
      </x:c>
      <x:c r="D1897" s="31" t="str">
        <x:v>QN1303</x:v>
      </x:c>
      <x:c r="E1897" s="31" t="str">
        <x:v>Queens Village</x:v>
      </x:c>
      <x:c r="F1897" s="31" t="n">
        <x:v>0.07528321088584711</x:v>
      </x:c>
      <x:c r="G1897" s="31" t="n">
        <x:v>40.71973471488632</x:v>
      </x:c>
      <x:c r="H1897" s="31" t="n">
        <x:v>-73.73839113406962</x:v>
      </x:c>
      <x:c r="I1897" s="31" t="n">
        <x:v>1581</x:v>
      </x:c>
      <x:c r="J1897" s="31" t="n">
        <x:v>21000.69831502392</x:v>
      </x:c>
      <x:c r="K1897" s="31"/>
      <x:c r="L1897" s="40"/>
      <x:c r="M1897" s="40"/>
      <x:c r="N1897" s="31" t="n">
        <x:v>331</x:v>
      </x:c>
      <x:c r="O1897" s="31" t="n">
        <x:v>450</x:v>
      </x:c>
      <x:c r="P1897" s="31" t="n">
        <x:v>2.451111111111111</x:v>
      </x:c>
      <x:c r="Q1897" s="40" t="n">
        <x:v>0</x:v>
      </x:c>
      <x:c r="R1897" s="40" t="n">
        <x:v>0.16666666666666666</x:v>
      </x:c>
      <x:c r="S1897" s="40" t="n">
        <x:v>0.0044444444444444444</x:v>
      </x:c>
      <x:c r="T1897" s="31" t="n">
        <x:v>30.467804033377778</x:v>
      </x:c>
      <x:c r="U1897" s="31" t="n">
        <x:v>61.96</x:v>
      </x:c>
      <x:c r="V1897" s="31" t="n">
        <x:v>0</x:v>
      </x:c>
      <x:c r="W1897" s="31" t="n">
        <x:v>0</x:v>
      </x:c>
      <x:c r="X1897" s="31" t="n">
        <x:v>4</x:v>
      </x:c>
      <x:c r="Y1897" s="40" t="n">
        <x:v>1</x:v>
      </x:c>
      <x:c r="Z1897" s="40" t="n">
        <x:v>1</x:v>
      </x:c>
      <x:c r="AA1897" s="40" t="n">
        <x:v>1</x:v>
      </x:c>
      <x:c r="AB1897" s="31" t="n">
        <x:v>0.03611346908916396</x:v>
      </x:c>
      <x:c r="AC1897" s="31" t="n">
        <x:v>5</x:v>
      </x:c>
      <x:c r="AD1897" s="44" t="b">
        <x:v>1</x:v>
      </x:c>
    </x:row>
    <x:row r="1898">
      <x:c r="A1898" s="31" t="str">
        <x:v>36081056700</x:v>
      </x:c>
      <x:c r="B1898" s="31" t="str">
        <x:v>Queens</x:v>
      </x:c>
      <x:c r="C1898" s="31" t="str">
        <x:v>056700</x:v>
      </x:c>
      <x:c r="D1898" s="31" t="str">
        <x:v>QN0503</x:v>
      </x:c>
      <x:c r="E1898" s="31" t="str">
        <x:v>Glendale</x:v>
      </x:c>
      <x:c r="F1898" s="31" t="n">
        <x:v>0.12144438338247533</x:v>
      </x:c>
      <x:c r="G1898" s="31" t="n">
        <x:v>40.696860093017584</x:v>
      </x:c>
      <x:c r="H1898" s="31" t="n">
        <x:v>-73.89214053877248</x:v>
      </x:c>
      <x:c r="I1898" s="31" t="n">
        <x:v>4751</x:v>
      </x:c>
      <x:c r="J1898" s="31" t="n">
        <x:v>39120.78819682639</x:v>
      </x:c>
      <x:c r="K1898" s="31"/>
      <x:c r="L1898" s="40"/>
      <x:c r="M1898" s="40"/>
      <x:c r="N1898" s="31" t="n">
        <x:v>982</x:v>
      </x:c>
      <x:c r="O1898" s="31" t="n">
        <x:v>1601</x:v>
      </x:c>
      <x:c r="P1898" s="31" t="n">
        <x:v>2.193472829481574</x:v>
      </x:c>
      <x:c r="Q1898" s="40" t="n">
        <x:v>0</x:v>
      </x:c>
      <x:c r="R1898" s="40" t="n">
        <x:v>0.06246096189881324</x:v>
      </x:c>
      <x:c r="S1898" s="40" t="n">
        <x:v>0.003123048094940662</x:v>
      </x:c>
      <x:c r="T1898" s="31" t="n">
        <x:v>27.3678440348625</x:v>
      </x:c>
      <x:c r="U1898" s="31" t="n">
        <x:v>39</x:v>
      </x:c>
      <x:c r="V1898" s="31" t="n">
        <x:v>2</x:v>
      </x:c>
      <x:c r="W1898" s="31" t="n">
        <x:v>0.42096400757735214</x:v>
      </x:c>
      <x:c r="X1898" s="31" t="n">
        <x:v>1</x:v>
      </x:c>
      <x:c r="Y1898" s="40" t="n">
        <x:v>0</x:v>
      </x:c>
      <x:c r="Z1898" s="40" t="n">
        <x:v>1</x:v>
      </x:c>
      <x:c r="AA1898" s="40" t="n">
        <x:v>0.9993753903810119</x:v>
      </x:c>
      <x:c r="AB1898" s="31" t="n">
        <x:v>0.27345592285650205</x:v>
      </x:c>
      <x:c r="AC1898" s="31" t="n">
        <x:v>6</x:v>
      </x:c>
      <x:c r="AD1898" s="44" t="b">
        <x:v>1</x:v>
      </x:c>
    </x:row>
    <x:row r="1899">
      <x:c r="A1899" s="31" t="str">
        <x:v>36081056800</x:v>
      </x:c>
      <x:c r="B1899" s="31" t="str">
        <x:v>Queens</x:v>
      </x:c>
      <x:c r="C1899" s="31" t="str">
        <x:v>056800</x:v>
      </x:c>
      <x:c r="D1899" s="31" t="str">
        <x:v>QN1303</x:v>
      </x:c>
      <x:c r="E1899" s="31" t="str">
        <x:v>Queens Village</x:v>
      </x:c>
      <x:c r="F1899" s="31" t="n">
        <x:v>0.32774846892648074</x:v>
      </x:c>
      <x:c r="G1899" s="31" t="n">
        <x:v>40.715559430935514</x:v>
      </x:c>
      <x:c r="H1899" s="31" t="n">
        <x:v>-73.73357415955678</x:v>
      </x:c>
      <x:c r="I1899" s="31" t="n">
        <x:v>4862</x:v>
      </x:c>
      <x:c r="J1899" s="31" t="n">
        <x:v>14834.546797198387</x:v>
      </x:c>
      <x:c r="K1899" s="31"/>
      <x:c r="L1899" s="40"/>
      <x:c r="M1899" s="40"/>
      <x:c r="N1899" s="31" t="n">
        <x:v>859</x:v>
      </x:c>
      <x:c r="O1899" s="31" t="n">
        <x:v>1475</x:v>
      </x:c>
      <x:c r="P1899" s="31" t="n">
        <x:v>3.029748982360923</x:v>
      </x:c>
      <x:c r="Q1899" s="40" t="n">
        <x:v>0.04610169491525424</x:v>
      </x:c>
      <x:c r="R1899" s="40" t="n">
        <x:v>0.20067796610169492</x:v>
      </x:c>
      <x:c r="S1899" s="40" t="n">
        <x:v>0.022372881355932205</x:v>
      </x:c>
      <x:c r="T1899" s="31" t="n">
        <x:v>36.51910017390095</x:v>
      </x:c>
      <x:c r="U1899" s="31" t="n">
        <x:v>110</x:v>
      </x:c>
      <x:c r="V1899" s="31" t="n">
        <x:v>5</x:v>
      </x:c>
      <x:c r="W1899" s="31" t="n">
        <x:v>1.0283833813245578</x:v>
      </x:c>
      <x:c r="X1899" s="31" t="n">
        <x:v>4.894237288135593</x:v>
      </x:c>
      <x:c r="Y1899" s="40" t="n">
        <x:v>1</x:v>
      </x:c>
      <x:c r="Z1899" s="40" t="n">
        <x:v>1</x:v>
      </x:c>
      <x:c r="AA1899" s="40" t="n">
        <x:v>0.9993220338983051</x:v>
      </x:c>
      <x:c r="AB1899" s="31" t="n">
        <x:v>0.3741084770124526</x:v>
      </x:c>
      <x:c r="AC1899" s="31" t="n">
        <x:v>6</x:v>
      </x:c>
      <x:c r="AD1899" s="44" t="b">
        <x:v>1</x:v>
      </x:c>
    </x:row>
    <x:row r="1900">
      <x:c r="A1900" s="31" t="str">
        <x:v>36081057700</x:v>
      </x:c>
      <x:c r="B1900" s="31" t="str">
        <x:v>Queens</x:v>
      </x:c>
      <x:c r="C1900" s="31" t="str">
        <x:v>057700</x:v>
      </x:c>
      <x:c r="D1900" s="31" t="str">
        <x:v>QN0503</x:v>
      </x:c>
      <x:c r="E1900" s="31" t="str">
        <x:v>Glendale</x:v>
      </x:c>
      <x:c r="F1900" s="31" t="n">
        <x:v>0.0728183250025109</x:v>
      </x:c>
      <x:c r="G1900" s="31" t="n">
        <x:v>40.7003914573371</x:v>
      </x:c>
      <x:c r="H1900" s="31" t="n">
        <x:v>-73.89070773855582</x:v>
      </x:c>
      <x:c r="I1900" s="31" t="n">
        <x:v>4023</x:v>
      </x:c>
      <x:c r="J1900" s="31" t="n">
        <x:v>55247.08237742739</x:v>
      </x:c>
      <x:c r="K1900" s="31"/>
      <x:c r="L1900" s="40"/>
      <x:c r="M1900" s="40"/>
      <x:c r="N1900" s="31" t="n">
        <x:v>514</x:v>
      </x:c>
      <x:c r="O1900" s="31" t="n">
        <x:v>1410</x:v>
      </x:c>
      <x:c r="P1900" s="31" t="n">
        <x:v>2.40709219858156</x:v>
      </x:c>
      <x:c r="Q1900" s="40" t="n">
        <x:v>0</x:v>
      </x:c>
      <x:c r="R1900" s="40" t="n">
        <x:v>0.3567375886524823</x:v>
      </x:c>
      <x:c r="S1900" s="40" t="n">
        <x:v>0.006382978723404255</x:v>
      </x:c>
      <x:c r="T1900" s="31" t="n">
        <x:v>30.16684553275568</x:v>
      </x:c>
      <x:c r="U1900" s="31" t="n">
        <x:v>47.06</x:v>
      </x:c>
      <x:c r="V1900" s="31" t="n">
        <x:v>1</x:v>
      </x:c>
      <x:c r="W1900" s="31" t="n">
        <x:v>0.24857071836937608</x:v>
      </x:c>
      <x:c r="X1900" s="31" t="n">
        <x:v>1</x:v>
      </x:c>
      <x:c r="Y1900" s="40" t="n">
        <x:v>0</x:v>
      </x:c>
      <x:c r="Z1900" s="40" t="n">
        <x:v>1</x:v>
      </x:c>
      <x:c r="AA1900" s="40" t="n">
        <x:v>0.9985815602836879</x:v>
      </x:c>
      <x:c r="AB1900" s="31" t="n">
        <x:v>0.39318437967861913</x:v>
      </x:c>
      <x:c r="AC1900" s="31" t="n">
        <x:v>8</x:v>
      </x:c>
      <x:c r="AD1900" s="44" t="b">
        <x:v>1</x:v>
      </x:c>
    </x:row>
    <x:row r="1901">
      <x:c r="A1901" s="31" t="str">
        <x:v>36081057900</x:v>
      </x:c>
      <x:c r="B1901" s="31" t="str">
        <x:v>Queens</x:v>
      </x:c>
      <x:c r="C1901" s="31" t="str">
        <x:v>057900</x:v>
      </x:c>
      <x:c r="D1901" s="31" t="str">
        <x:v>QN0503</x:v>
      </x:c>
      <x:c r="E1901" s="31" t="str">
        <x:v>Glendale</x:v>
      </x:c>
      <x:c r="F1901" s="31" t="n">
        <x:v>0.026655441404635848</x:v>
      </x:c>
      <x:c r="G1901" s="31" t="n">
        <x:v>40.70347948457753</x:v>
      </x:c>
      <x:c r="H1901" s="31" t="n">
        <x:v>-73.89006827688333</x:v>
      </x:c>
      <x:c r="I1901" s="31" t="n">
        <x:v>1743</x:v>
      </x:c>
      <x:c r="J1901" s="31" t="n">
        <x:v>65390.02575649945</x:v>
      </x:c>
      <x:c r="K1901" s="31"/>
      <x:c r="L1901" s="40"/>
      <x:c r="M1901" s="40"/>
      <x:c r="N1901" s="31" t="n">
        <x:v>187</x:v>
      </x:c>
      <x:c r="O1901" s="31" t="n">
        <x:v>709</x:v>
      </x:c>
      <x:c r="P1901" s="31" t="n">
        <x:v>2.840620592383639</x:v>
      </x:c>
      <x:c r="Q1901" s="40" t="n">
        <x:v>0</x:v>
      </x:c>
      <x:c r="R1901" s="40" t="n">
        <x:v>0.7108603667136812</x:v>
      </x:c>
      <x:c r="S1901" s="40" t="n">
        <x:v>0.005641748942172073</x:v>
      </x:c>
      <x:c r="T1901" s="31" t="n">
        <x:v>33.336812411847674</x:v>
      </x:c>
      <x:c r="U1901" s="31" t="n">
        <x:v>45.61</x:v>
      </x:c>
      <x:c r="V1901" s="31" t="n">
        <x:v>1</x:v>
      </x:c>
      <x:c r="W1901" s="31" t="n">
        <x:v>0.5737234652897303</x:v>
      </x:c>
      <x:c r="X1901" s="31" t="n">
        <x:v>1</x:v>
      </x:c>
      <x:c r="Y1901" s="40" t="n">
        <x:v>0</x:v>
      </x:c>
      <x:c r="Z1901" s="40" t="n">
        <x:v>1</x:v>
      </x:c>
      <x:c r="AA1901" s="40" t="n">
        <x:v>1</x:v>
      </x:c>
      <x:c r="AB1901" s="31" t="n">
        <x:v>0.31598626878470604</x:v>
      </x:c>
      <x:c r="AC1901" s="31" t="n">
        <x:v>4</x:v>
      </x:c>
      <x:c r="AD1901" s="44" t="b">
        <x:v>1</x:v>
      </x:c>
    </x:row>
    <x:row r="1902">
      <x:c r="A1902" s="31" t="str">
        <x:v>36081058000</x:v>
      </x:c>
      <x:c r="B1902" s="31" t="str">
        <x:v>Queens</x:v>
      </x:c>
      <x:c r="C1902" s="31" t="str">
        <x:v>058000</x:v>
      </x:c>
      <x:c r="D1902" s="31" t="str">
        <x:v>QN1303</x:v>
      </x:c>
      <x:c r="E1902" s="31" t="str">
        <x:v>Queens Village</x:v>
      </x:c>
      <x:c r="F1902" s="31" t="n">
        <x:v>0.21224390060154097</x:v>
      </x:c>
      <x:c r="G1902" s="31" t="n">
        <x:v>40.70725046164634</x:v>
      </x:c>
      <x:c r="H1902" s="31" t="n">
        <x:v>-73.73071995985735</x:v>
      </x:c>
      <x:c r="I1902" s="31" t="n">
        <x:v>3589</x:v>
      </x:c>
      <x:c r="J1902" s="31" t="n">
        <x:v>16909.790999072615</x:v>
      </x:c>
      <x:c r="K1902" s="31"/>
      <x:c r="L1902" s="40"/>
      <x:c r="M1902" s="40"/>
      <x:c r="N1902" s="31" t="n">
        <x:v>861</x:v>
      </x:c>
      <x:c r="O1902" s="31" t="n">
        <x:v>1004</x:v>
      </x:c>
      <x:c r="P1902" s="31" t="n">
        <x:v>1.9122509960159364</x:v>
      </x:c>
      <x:c r="Q1902" s="40" t="n">
        <x:v>0</x:v>
      </x:c>
      <x:c r="R1902" s="40" t="n">
        <x:v>0</x:v>
      </x:c>
      <x:c r="S1902" s="40" t="n">
        <x:v>0.00597609561752988</x:v>
      </x:c>
      <x:c r="T1902" s="31" t="n">
        <x:v>25.064147987649402</x:v>
      </x:c>
      <x:c r="U1902" s="31" t="n">
        <x:v>35.25</x:v>
      </x:c>
      <x:c r="V1902" s="31" t="n">
        <x:v>0</x:v>
      </x:c>
      <x:c r="W1902" s="31" t="n">
        <x:v>0</x:v>
      </x:c>
      <x:c r="X1902" s="31" t="n">
        <x:v>5</x:v>
      </x:c>
      <x:c r="Y1902" s="40" t="n">
        <x:v>1</x:v>
      </x:c>
      <x:c r="Z1902" s="40" t="n">
        <x:v>1</x:v>
      </x:c>
      <x:c r="AA1902" s="40" t="n">
        <x:v>1</x:v>
      </x:c>
      <x:c r="AB1902" s="31" t="n">
        <x:v>0.4426232949868894</x:v>
      </x:c>
      <x:c r="AC1902" s="31" t="n">
        <x:v>4</x:v>
      </x:c>
      <x:c r="AD1902" s="44" t="b">
        <x:v>1</x:v>
      </x:c>
    </x:row>
    <x:row r="1903">
      <x:c r="A1903" s="31" t="str">
        <x:v>36081058100</x:v>
      </x:c>
      <x:c r="B1903" s="31" t="str">
        <x:v>Queens</x:v>
      </x:c>
      <x:c r="C1903" s="31" t="str">
        <x:v>058100</x:v>
      </x:c>
      <x:c r="D1903" s="31" t="str">
        <x:v>QN0502</x:v>
      </x:c>
      <x:c r="E1903" s="31" t="str">
        <x:v>Ridgewood</x:v>
      </x:c>
      <x:c r="F1903" s="31" t="n">
        <x:v>0.05558698913172922</x:v>
      </x:c>
      <x:c r="G1903" s="31" t="n">
        <x:v>40.70397604441672</x:v>
      </x:c>
      <x:c r="H1903" s="31" t="n">
        <x:v>-73.8937885871463</x:v>
      </x:c>
      <x:c r="I1903" s="31" t="n">
        <x:v>2785</x:v>
      </x:c>
      <x:c r="J1903" s="31" t="n">
        <x:v>50101.65226614718</x:v>
      </x:c>
      <x:c r="K1903" s="31"/>
      <x:c r="L1903" s="40"/>
      <x:c r="M1903" s="40"/>
      <x:c r="N1903" s="31" t="n">
        <x:v>348</x:v>
      </x:c>
      <x:c r="O1903" s="31" t="n">
        <x:v>1077</x:v>
      </x:c>
      <x:c r="P1903" s="31" t="n">
        <x:v>2.615004935834156</x:v>
      </x:c>
      <x:c r="Q1903" s="40" t="n">
        <x:v>0</x:v>
      </x:c>
      <x:c r="R1903" s="40" t="n">
        <x:v>0.3695450324976787</x:v>
      </x:c>
      <x:c r="S1903" s="40" t="n">
        <x:v>0.059424326833797586</x:v>
      </x:c>
      <x:c r="T1903" s="31" t="n">
        <x:v>32.76572646854224</x:v>
      </x:c>
      <x:c r="U1903" s="31" t="n">
        <x:v>58</x:v>
      </x:c>
      <x:c r="V1903" s="31" t="n">
        <x:v>0</x:v>
      </x:c>
      <x:c r="W1903" s="31" t="n">
        <x:v>0</x:v>
      </x:c>
      <x:c r="X1903" s="31" t="n">
        <x:v>1</x:v>
      </x:c>
      <x:c r="Y1903" s="40" t="n">
        <x:v>0</x:v>
      </x:c>
      <x:c r="Z1903" s="40" t="n">
        <x:v>1</x:v>
      </x:c>
      <x:c r="AA1903" s="40" t="n">
        <x:v>1</x:v>
      </x:c>
      <x:c r="AB1903" s="31" t="n">
        <x:v>0.13765570843155595</x:v>
      </x:c>
      <x:c r="AC1903" s="31" t="n">
        <x:v>7</x:v>
      </x:c>
      <x:c r="AD1903" s="44" t="b">
        <x:v>1</x:v>
      </x:c>
    </x:row>
    <x:row r="1904">
      <x:c r="A1904" s="31" t="str">
        <x:v>36081058200</x:v>
      </x:c>
      <x:c r="B1904" s="31" t="str">
        <x:v>Queens</x:v>
      </x:c>
      <x:c r="C1904" s="31" t="str">
        <x:v>058200</x:v>
      </x:c>
      <x:c r="D1904" s="31" t="str">
        <x:v>QN1303</x:v>
      </x:c>
      <x:c r="E1904" s="31" t="str">
        <x:v>Queens Village</x:v>
      </x:c>
      <x:c r="F1904" s="31" t="n">
        <x:v>0.21761883971246557</x:v>
      </x:c>
      <x:c r="G1904" s="31" t="n">
        <x:v>40.70698892928585</x:v>
      </x:c>
      <x:c r="H1904" s="31" t="n">
        <x:v>-73.7375537857679</x:v>
      </x:c>
      <x:c r="I1904" s="31" t="n">
        <x:v>4509</x:v>
      </x:c>
      <x:c r="J1904" s="31" t="n">
        <x:v>20719.713449247458</x:v>
      </x:c>
      <x:c r="K1904" s="31"/>
      <x:c r="L1904" s="40"/>
      <x:c r="M1904" s="40"/>
      <x:c r="N1904" s="31" t="n">
        <x:v>990</x:v>
      </x:c>
      <x:c r="O1904" s="31" t="n">
        <x:v>1259</x:v>
      </x:c>
      <x:c r="P1904" s="31" t="n">
        <x:v>2.034110135674381</x:v>
      </x:c>
      <x:c r="Q1904" s="40" t="n">
        <x:v>0</x:v>
      </x:c>
      <x:c r="R1904" s="40" t="n">
        <x:v>0.005559968228752979</x:v>
      </x:c>
      <x:c r="S1904" s="40" t="n">
        <x:v>0.005559968228752979</x:v>
      </x:c>
      <x:c r="T1904" s="31" t="n">
        <x:v>25.520882368423567</x:v>
      </x:c>
      <x:c r="U1904" s="31" t="n">
        <x:v>35.53</x:v>
      </x:c>
      <x:c r="V1904" s="31" t="n">
        <x:v>0</x:v>
      </x:c>
      <x:c r="W1904" s="31" t="n">
        <x:v>0</x:v>
      </x:c>
      <x:c r="X1904" s="31" t="n">
        <x:v>5</x:v>
      </x:c>
      <x:c r="Y1904" s="40" t="n">
        <x:v>1</x:v>
      </x:c>
      <x:c r="Z1904" s="40" t="n">
        <x:v>1</x:v>
      </x:c>
      <x:c r="AA1904" s="40" t="n">
        <x:v>0.9976171564733916</x:v>
      </x:c>
      <x:c r="AB1904" s="31" t="n">
        <x:v>0.27082524846865447</x:v>
      </x:c>
      <x:c r="AC1904" s="31" t="n">
        <x:v>7</x:v>
      </x:c>
      <x:c r="AD1904" s="44" t="b">
        <x:v>1</x:v>
      </x:c>
    </x:row>
    <x:row r="1905">
      <x:c r="A1905" s="31" t="str">
        <x:v>36081058300</x:v>
      </x:c>
      <x:c r="B1905" s="31" t="str">
        <x:v>Queens</x:v>
      </x:c>
      <x:c r="C1905" s="31" t="str">
        <x:v>058300</x:v>
      </x:c>
      <x:c r="D1905" s="31" t="str">
        <x:v>QN0502</x:v>
      </x:c>
      <x:c r="E1905" s="31" t="str">
        <x:v>Ridgewood</x:v>
      </x:c>
      <x:c r="F1905" s="31" t="n">
        <x:v>0.05481031955779385</x:v>
      </x:c>
      <x:c r="G1905" s="31" t="n">
        <x:v>40.70194483346959</x:v>
      </x:c>
      <x:c r="H1905" s="31" t="n">
        <x:v>-73.89764392404247</x:v>
      </x:c>
      <x:c r="I1905" s="31" t="n">
        <x:v>3362</x:v>
      </x:c>
      <x:c r="J1905" s="31" t="n">
        <x:v>61338.81406137386</x:v>
      </x:c>
      <x:c r="K1905" s="31"/>
      <x:c r="L1905" s="40"/>
      <x:c r="M1905" s="40"/>
      <x:c r="N1905" s="31" t="n">
        <x:v>475</x:v>
      </x:c>
      <x:c r="O1905" s="31" t="n">
        <x:v>1341</x:v>
      </x:c>
      <x:c r="P1905" s="31" t="n">
        <x:v>2.5519044062733385</x:v>
      </x:c>
      <x:c r="Q1905" s="40" t="n">
        <x:v>0</x:v>
      </x:c>
      <x:c r="R1905" s="40" t="n">
        <x:v>0.4511558538404176</x:v>
      </x:c>
      <x:c r="S1905" s="40" t="n">
        <x:v>0.0044742729306487695</x:v>
      </x:c>
      <x:c r="T1905" s="31" t="n">
        <x:v>33.31407024092884</x:v>
      </x:c>
      <x:c r="U1905" s="31" t="n">
        <x:v>69.49793692</x:v>
      </x:c>
      <x:c r="V1905" s="31" t="n">
        <x:v>2</x:v>
      </x:c>
      <x:c r="W1905" s="31" t="n">
        <x:v>0.5948839976204641</x:v>
      </x:c>
      <x:c r="X1905" s="31" t="n">
        <x:v>1</x:v>
      </x:c>
      <x:c r="Y1905" s="40" t="n">
        <x:v>0</x:v>
      </x:c>
      <x:c r="Z1905" s="40" t="n">
        <x:v>1</x:v>
      </x:c>
      <x:c r="AA1905" s="40" t="n">
        <x:v>0.9955257270693513</x:v>
      </x:c>
      <x:c r="AB1905" s="31" t="n">
        <x:v>0.16153543839838871</x:v>
      </x:c>
      <x:c r="AC1905" s="31" t="n">
        <x:v>4</x:v>
      </x:c>
      <x:c r="AD1905" s="44" t="b">
        <x:v>1</x:v>
      </x:c>
    </x:row>
    <x:row r="1906">
      <x:c r="A1906" s="31" t="str">
        <x:v>36081058500</x:v>
      </x:c>
      <x:c r="B1906" s="31" t="str">
        <x:v>Queens</x:v>
      </x:c>
      <x:c r="C1906" s="31" t="str">
        <x:v>058500</x:v>
      </x:c>
      <x:c r="D1906" s="31" t="str">
        <x:v>QN0502</x:v>
      </x:c>
      <x:c r="E1906" s="31" t="str">
        <x:v>Ridgewood</x:v>
      </x:c>
      <x:c r="F1906" s="31" t="n">
        <x:v>0.06608905308339072</x:v>
      </x:c>
      <x:c r="G1906" s="31" t="n">
        <x:v>40.704370959931204</x:v>
      </x:c>
      <x:c r="H1906" s="31" t="n">
        <x:v>-73.89942019296713</x:v>
      </x:c>
      <x:c r="I1906" s="31" t="n">
        <x:v>4128</x:v>
      </x:c>
      <x:c r="J1906" s="31" t="n">
        <x:v>62461.17635837992</x:v>
      </x:c>
      <x:c r="K1906" s="31"/>
      <x:c r="L1906" s="40"/>
      <x:c r="M1906" s="40"/>
      <x:c r="N1906" s="31" t="n">
        <x:v>539</x:v>
      </x:c>
      <x:c r="O1906" s="31" t="n">
        <x:v>1527</x:v>
      </x:c>
      <x:c r="P1906" s="31" t="n">
        <x:v>2.3477406679764243</x:v>
      </x:c>
      <x:c r="Q1906" s="40" t="n">
        <x:v>0</x:v>
      </x:c>
      <x:c r="R1906" s="40" t="n">
        <x:v>0.33595284872298625</x:v>
      </x:c>
      <x:c r="S1906" s="40" t="n">
        <x:v>0</x:v>
      </x:c>
      <x:c r="T1906" s="31" t="n">
        <x:v>29.597299268260013</x:v>
      </x:c>
      <x:c r="U1906" s="31" t="n">
        <x:v>44.4</x:v>
      </x:c>
      <x:c r="V1906" s="31" t="n">
        <x:v>0</x:v>
      </x:c>
      <x:c r="W1906" s="31" t="n">
        <x:v>0</x:v>
      </x:c>
      <x:c r="X1906" s="31" t="n">
        <x:v>1</x:v>
      </x:c>
      <x:c r="Y1906" s="40" t="n">
        <x:v>0</x:v>
      </x:c>
      <x:c r="Z1906" s="40" t="n">
        <x:v>1</x:v>
      </x:c>
      <x:c r="AA1906" s="40" t="n">
        <x:v>0.9973804846103471</x:v>
      </x:c>
      <x:c r="AB1906" s="31" t="n">
        <x:v>0.1594885496794345</x:v>
      </x:c>
      <x:c r="AC1906" s="31" t="n">
        <x:v>6</x:v>
      </x:c>
      <x:c r="AD1906" s="44" t="b">
        <x:v>1</x:v>
      </x:c>
    </x:row>
    <x:row r="1907">
      <x:c r="A1907" s="31" t="str">
        <x:v>36081058700</x:v>
      </x:c>
      <x:c r="B1907" s="31" t="str">
        <x:v>Queens</x:v>
      </x:c>
      <x:c r="C1907" s="31" t="str">
        <x:v>058700</x:v>
      </x:c>
      <x:c r="D1907" s="31" t="str">
        <x:v>QN0502</x:v>
      </x:c>
      <x:c r="E1907" s="31" t="str">
        <x:v>Ridgewood</x:v>
      </x:c>
      <x:c r="F1907" s="31" t="n">
        <x:v>0.05557906306567092</x:v>
      </x:c>
      <x:c r="G1907" s="31" t="n">
        <x:v>40.707140498039536</x:v>
      </x:c>
      <x:c r="H1907" s="31" t="n">
        <x:v>-73.90026753409934</x:v>
      </x:c>
      <x:c r="I1907" s="31" t="n">
        <x:v>3336</x:v>
      </x:c>
      <x:c r="J1907" s="31" t="n">
        <x:v>60022.6023252364</x:v>
      </x:c>
      <x:c r="K1907" s="31"/>
      <x:c r="L1907" s="40"/>
      <x:c r="M1907" s="40"/>
      <x:c r="N1907" s="31" t="n">
        <x:v>417</x:v>
      </x:c>
      <x:c r="O1907" s="31" t="n">
        <x:v>1349</x:v>
      </x:c>
      <x:c r="P1907" s="31" t="n">
        <x:v>2.7839140103780577</x:v>
      </x:c>
      <x:c r="Q1907" s="40" t="n">
        <x:v>0</x:v>
      </x:c>
      <x:c r="R1907" s="40" t="n">
        <x:v>0.45441067457375833</x:v>
      </x:c>
      <x:c r="S1907" s="40" t="n">
        <x:v>0.006671608598962194</x:v>
      </x:c>
      <x:c r="T1907" s="31" t="n">
        <x:v>33.14077194697554</x:v>
      </x:c>
      <x:c r="U1907" s="31" t="n">
        <x:v>56.81</x:v>
      </x:c>
      <x:c r="V1907" s="31" t="n">
        <x:v>0</x:v>
      </x:c>
      <x:c r="W1907" s="31" t="n">
        <x:v>0</x:v>
      </x:c>
      <x:c r="X1907" s="31" t="n">
        <x:v>1</x:v>
      </x:c>
      <x:c r="Y1907" s="40" t="n">
        <x:v>0</x:v>
      </x:c>
      <x:c r="Z1907" s="40" t="n">
        <x:v>1</x:v>
      </x:c>
      <x:c r="AA1907" s="40" t="n">
        <x:v>1</x:v>
      </x:c>
      <x:c r="AB1907" s="31" t="n">
        <x:v>0.18084882632035965</x:v>
      </x:c>
      <x:c r="AC1907" s="31" t="n">
        <x:v>4</x:v>
      </x:c>
      <x:c r="AD1907" s="44" t="b">
        <x:v>1</x:v>
      </x:c>
    </x:row>
    <x:row r="1908">
      <x:c r="A1908" s="31" t="str">
        <x:v>36081058900</x:v>
      </x:c>
      <x:c r="B1908" s="31" t="str">
        <x:v>Queens</x:v>
      </x:c>
      <x:c r="C1908" s="31" t="str">
        <x:v>058900</x:v>
      </x:c>
      <x:c r="D1908" s="31" t="str">
        <x:v>QN0502</x:v>
      </x:c>
      <x:c r="E1908" s="31" t="str">
        <x:v>Ridgewood</x:v>
      </x:c>
      <x:c r="F1908" s="31" t="n">
        <x:v>0.063857491413424</x:v>
      </x:c>
      <x:c r="G1908" s="31" t="n">
        <x:v>40.70624140741999</x:v>
      </x:c>
      <x:c r="H1908" s="31" t="n">
        <x:v>-73.9050389125863</x:v>
      </x:c>
      <x:c r="I1908" s="31" t="n">
        <x:v>4308</x:v>
      </x:c>
      <x:c r="J1908" s="31" t="n">
        <x:v>67462.7190114515</x:v>
      </x:c>
      <x:c r="K1908" s="31"/>
      <x:c r="L1908" s="40"/>
      <x:c r="M1908" s="40"/>
      <x:c r="N1908" s="31" t="n">
        <x:v>383</x:v>
      </x:c>
      <x:c r="O1908" s="31" t="n">
        <x:v>1672</x:v>
      </x:c>
      <x:c r="P1908" s="31" t="n">
        <x:v>2.624102870813397</x:v>
      </x:c>
      <x:c r="Q1908" s="40" t="n">
        <x:v>0</x:v>
      </x:c>
      <x:c r="R1908" s="40" t="n">
        <x:v>0.6148325358851675</x:v>
      </x:c>
      <x:c r="S1908" s="40" t="n">
        <x:v>0.0029904306220095694</x:v>
      </x:c>
      <x:c r="T1908" s="31" t="n">
        <x:v>32.17504852583134</x:v>
      </x:c>
      <x:c r="U1908" s="31" t="n">
        <x:v>45.18</x:v>
      </x:c>
      <x:c r="V1908" s="31" t="n">
        <x:v>0</x:v>
      </x:c>
      <x:c r="W1908" s="31" t="n">
        <x:v>0</x:v>
      </x:c>
      <x:c r="X1908" s="31" t="n">
        <x:v>1</x:v>
      </x:c>
      <x:c r="Y1908" s="40" t="n">
        <x:v>0</x:v>
      </x:c>
      <x:c r="Z1908" s="40" t="n">
        <x:v>1</x:v>
      </x:c>
      <x:c r="AA1908" s="40" t="n">
        <x:v>1</x:v>
      </x:c>
      <x:c r="AB1908" s="31" t="n">
        <x:v>0.11234957222747863</x:v>
      </x:c>
      <x:c r="AC1908" s="31" t="n">
        <x:v>7</x:v>
      </x:c>
      <x:c r="AD1908" s="44" t="b">
        <x:v>1</x:v>
      </x:c>
    </x:row>
    <x:row r="1909">
      <x:c r="A1909" s="31" t="str">
        <x:v>36081059000</x:v>
      </x:c>
      <x:c r="B1909" s="31" t="str">
        <x:v>Queens</x:v>
      </x:c>
      <x:c r="C1909" s="31" t="str">
        <x:v>059000</x:v>
      </x:c>
      <x:c r="D1909" s="31" t="str">
        <x:v>QN1304</x:v>
      </x:c>
      <x:c r="E1909" s="31" t="str">
        <x:v>Cambria Heights</x:v>
      </x:c>
      <x:c r="F1909" s="31" t="n">
        <x:v>0.061051463922965454</x:v>
      </x:c>
      <x:c r="G1909" s="31" t="n">
        <x:v>40.70125770627789</x:v>
      </x:c>
      <x:c r="H1909" s="31" t="n">
        <x:v>-73.73698569553932</x:v>
      </x:c>
      <x:c r="I1909" s="31" t="n">
        <x:v>1182</x:v>
      </x:c>
      <x:c r="J1909" s="31" t="n">
        <x:v>19360.715109001216</x:v>
      </x:c>
      <x:c r="K1909" s="31"/>
      <x:c r="L1909" s="40"/>
      <x:c r="M1909" s="40"/>
      <x:c r="N1909" s="31" t="n">
        <x:v>309</x:v>
      </x:c>
      <x:c r="O1909" s="31" t="n">
        <x:v>351</x:v>
      </x:c>
      <x:c r="P1909" s="31" t="n">
        <x:v>2.0167806267806268</x:v>
      </x:c>
      <x:c r="Q1909" s="40" t="n">
        <x:v>0</x:v>
      </x:c>
      <x:c r="R1909" s="40" t="n">
        <x:v>0</x:v>
      </x:c>
      <x:c r="S1909" s="40" t="n">
        <x:v>0.008547008547008548</x:v>
      </x:c>
      <x:c r="T1909" s="31" t="n">
        <x:v>25.68606391831909</x:v>
      </x:c>
      <x:c r="U1909" s="31" t="n">
        <x:v>32</x:v>
      </x:c>
      <x:c r="V1909" s="31" t="n">
        <x:v>0</x:v>
      </x:c>
      <x:c r="W1909" s="31" t="n">
        <x:v>0</x:v>
      </x:c>
      <x:c r="X1909" s="31" t="n">
        <x:v>5</x:v>
      </x:c>
      <x:c r="Y1909" s="40" t="n">
        <x:v>1</x:v>
      </x:c>
      <x:c r="Z1909" s="40" t="n">
        <x:v>1</x:v>
      </x:c>
      <x:c r="AA1909" s="40" t="n">
        <x:v>1</x:v>
      </x:c>
      <x:c r="AB1909" s="31" t="n">
        <x:v>0.16595842500538954</x:v>
      </x:c>
      <x:c r="AC1909" s="31" t="n">
        <x:v>6</x:v>
      </x:c>
      <x:c r="AD1909" s="44" t="b">
        <x:v>1</x:v>
      </x:c>
    </x:row>
    <x:row r="1910">
      <x:c r="A1910" s="31" t="str">
        <x:v>36081059100</x:v>
      </x:c>
      <x:c r="B1910" s="31" t="str">
        <x:v>Queens</x:v>
      </x:c>
      <x:c r="C1910" s="31" t="str">
        <x:v>059100</x:v>
      </x:c>
      <x:c r="D1910" s="31" t="str">
        <x:v>QN0502</x:v>
      </x:c>
      <x:c r="E1910" s="31" t="str">
        <x:v>Ridgewood</x:v>
      </x:c>
      <x:c r="F1910" s="31" t="n">
        <x:v>0.0780145686377267</x:v>
      </x:c>
      <x:c r="G1910" s="31" t="n">
        <x:v>40.70811189043035</x:v>
      </x:c>
      <x:c r="H1910" s="31" t="n">
        <x:v>-73.90978067861337</x:v>
      </x:c>
      <x:c r="I1910" s="31" t="n">
        <x:v>5226</x:v>
      </x:c>
      <x:c r="J1910" s="31" t="n">
        <x:v>66987.48825065968</x:v>
      </x:c>
      <x:c r="K1910" s="31"/>
      <x:c r="L1910" s="40"/>
      <x:c r="M1910" s="40"/>
      <x:c r="N1910" s="31" t="n">
        <x:v>600</x:v>
      </x:c>
      <x:c r="O1910" s="31" t="n">
        <x:v>2069</x:v>
      </x:c>
      <x:c r="P1910" s="31" t="n">
        <x:v>2.3934267762203962</x:v>
      </x:c>
      <x:c r="Q1910" s="40" t="n">
        <x:v>0</x:v>
      </x:c>
      <x:c r="R1910" s="40" t="n">
        <x:v>0.35814403093281777</x:v>
      </x:c>
      <x:c r="S1910" s="40" t="n">
        <x:v>0.010633156114064766</x:v>
      </x:c>
      <x:c r="T1910" s="31" t="n">
        <x:v>30.115466427288546</x:v>
      </x:c>
      <x:c r="U1910" s="31" t="n">
        <x:v>50</x:v>
      </x:c>
      <x:c r="V1910" s="31" t="n">
        <x:v>1</x:v>
      </x:c>
      <x:c r="W1910" s="31" t="n">
        <x:v>0.19135093761959435</x:v>
      </x:c>
      <x:c r="X1910" s="31" t="n">
        <x:v>1</x:v>
      </x:c>
      <x:c r="Y1910" s="40" t="n">
        <x:v>0</x:v>
      </x:c>
      <x:c r="Z1910" s="40" t="n">
        <x:v>1</x:v>
      </x:c>
      <x:c r="AA1910" s="40" t="n">
        <x:v>1</x:v>
      </x:c>
      <x:c r="AB1910" s="31" t="n">
        <x:v>0.24154236227591327</x:v>
      </x:c>
      <x:c r="AC1910" s="31" t="n">
        <x:v>7</x:v>
      </x:c>
      <x:c r="AD1910" s="44" t="b">
        <x:v>1</x:v>
      </x:c>
    </x:row>
    <x:row r="1911">
      <x:c r="A1911" s="31" t="str">
        <x:v>36081059200</x:v>
      </x:c>
      <x:c r="B1911" s="31" t="str">
        <x:v>Queens</x:v>
      </x:c>
      <x:c r="C1911" s="31" t="str">
        <x:v>059200</x:v>
      </x:c>
      <x:c r="D1911" s="31" t="str">
        <x:v>QN1304</x:v>
      </x:c>
      <x:c r="E1911" s="31" t="str">
        <x:v>Cambria Heights</x:v>
      </x:c>
      <x:c r="F1911" s="31" t="n">
        <x:v>0.0875939080854712</x:v>
      </x:c>
      <x:c r="G1911" s="31" t="n">
        <x:v>40.70123985628216</x:v>
      </x:c>
      <x:c r="H1911" s="31" t="n">
        <x:v>-73.72972327642196</x:v>
      </x:c>
      <x:c r="I1911" s="31" t="n">
        <x:v>1186</x:v>
      </x:c>
      <x:c r="J1911" s="31" t="n">
        <x:v>13539.754372447236</x:v>
      </x:c>
      <x:c r="K1911" s="31"/>
      <x:c r="L1911" s="40"/>
      <x:c r="M1911" s="40"/>
      <x:c r="N1911" s="31" t="n">
        <x:v>322</x:v>
      </x:c>
      <x:c r="O1911" s="31" t="n">
        <x:v>353</x:v>
      </x:c>
      <x:c r="P1911" s="31" t="n">
        <x:v>1.6216430594900852</x:v>
      </x:c>
      <x:c r="Q1911" s="40" t="n">
        <x:v>0</x:v>
      </x:c>
      <x:c r="R1911" s="40" t="n">
        <x:v>0</x:v>
      </x:c>
      <x:c r="S1911" s="40" t="n">
        <x:v>0.0028328611898017</x:v>
      </x:c>
      <x:c r="T1911" s="31" t="n">
        <x:v>23.148937222804534</x:v>
      </x:c>
      <x:c r="U1911" s="31" t="n">
        <x:v>30.48</x:v>
      </x:c>
      <x:c r="V1911" s="31" t="n">
        <x:v>0</x:v>
      </x:c>
      <x:c r="W1911" s="31" t="n">
        <x:v>0</x:v>
      </x:c>
      <x:c r="X1911" s="31" t="n">
        <x:v>5</x:v>
      </x:c>
      <x:c r="Y1911" s="40" t="n">
        <x:v>1</x:v>
      </x:c>
      <x:c r="Z1911" s="40" t="n">
        <x:v>1</x:v>
      </x:c>
      <x:c r="AA1911" s="40" t="n">
        <x:v>1</x:v>
      </x:c>
      <x:c r="AB1911" s="31" t="n">
        <x:v>0.4373101873058845</x:v>
      </x:c>
      <x:c r="AC1911" s="31" t="n">
        <x:v>5</x:v>
      </x:c>
      <x:c r="AD1911" s="44" t="b">
        <x:v>1</x:v>
      </x:c>
    </x:row>
    <x:row r="1912">
      <x:c r="A1912" s="31" t="str">
        <x:v>36081059300</x:v>
      </x:c>
      <x:c r="B1912" s="31" t="str">
        <x:v>Queens</x:v>
      </x:c>
      <x:c r="C1912" s="31" t="str">
        <x:v>059300</x:v>
      </x:c>
      <x:c r="D1912" s="31" t="str">
        <x:v>QN0502</x:v>
      </x:c>
      <x:c r="E1912" s="31" t="str">
        <x:v>Ridgewood</x:v>
      </x:c>
      <x:c r="F1912" s="31" t="n">
        <x:v>0.09749311389426939</x:v>
      </x:c>
      <x:c r="G1912" s="31" t="n">
        <x:v>40.71020295004739</x:v>
      </x:c>
      <x:c r="H1912" s="31" t="n">
        <x:v>-73.90264993873939</x:v>
      </x:c>
      <x:c r="I1912" s="31" t="n">
        <x:v>4092</x:v>
      </x:c>
      <x:c r="J1912" s="31" t="n">
        <x:v>41972.195127932275</x:v>
      </x:c>
      <x:c r="K1912" s="31"/>
      <x:c r="L1912" s="40"/>
      <x:c r="M1912" s="40"/>
      <x:c r="N1912" s="31" t="n">
        <x:v>587</x:v>
      </x:c>
      <x:c r="O1912" s="31" t="n">
        <x:v>1686</x:v>
      </x:c>
      <x:c r="P1912" s="31" t="n">
        <x:v>2.5392156862745097</x:v>
      </x:c>
      <x:c r="Q1912" s="40" t="n">
        <x:v>0</x:v>
      </x:c>
      <x:c r="R1912" s="40" t="n">
        <x:v>0.40391459074733094</x:v>
      </x:c>
      <x:c r="S1912" s="40" t="n">
        <x:v>0.02609727164887307</x:v>
      </x:c>
      <x:c r="T1912" s="31" t="n">
        <x:v>30.01251047641194</x:v>
      </x:c>
      <x:c r="U1912" s="31" t="n">
        <x:v>50.64122</x:v>
      </x:c>
      <x:c r="V1912" s="31" t="n">
        <x:v>3</x:v>
      </x:c>
      <x:c r="W1912" s="31" t="n">
        <x:v>0.7331378299120235</x:v>
      </x:c>
      <x:c r="X1912" s="31" t="n">
        <x:v>1</x:v>
      </x:c>
      <x:c r="Y1912" s="40" t="n">
        <x:v>0</x:v>
      </x:c>
      <x:c r="Z1912" s="40" t="n">
        <x:v>1</x:v>
      </x:c>
      <x:c r="AA1912" s="40" t="n">
        <x:v>0.9934756820877817</x:v>
      </x:c>
      <x:c r="AB1912" s="31" t="n">
        <x:v>0.13986504263920707</x:v>
      </x:c>
      <x:c r="AC1912" s="31" t="n">
        <x:v>7</x:v>
      </x:c>
      <x:c r="AD1912" s="44" t="b">
        <x:v>1</x:v>
      </x:c>
    </x:row>
    <x:row r="1913">
      <x:c r="A1913" s="31" t="str">
        <x:v>36081059400</x:v>
      </x:c>
      <x:c r="B1913" s="31" t="str">
        <x:v>Queens</x:v>
      </x:c>
      <x:c r="C1913" s="31" t="str">
        <x:v>059400</x:v>
      </x:c>
      <x:c r="D1913" s="31" t="str">
        <x:v>QN1304</x:v>
      </x:c>
      <x:c r="E1913" s="31" t="str">
        <x:v>Cambria Heights</x:v>
      </x:c>
      <x:c r="F1913" s="31" t="n">
        <x:v>0.0857259442507461</x:v>
      </x:c>
      <x:c r="G1913" s="31" t="n">
        <x:v>40.69846914137499</x:v>
      </x:c>
      <x:c r="H1913" s="31" t="n">
        <x:v>-73.73118434078256</x:v>
      </x:c>
      <x:c r="I1913" s="31" t="n">
        <x:v>1506</x:v>
      </x:c>
      <x:c r="J1913" s="31" t="n">
        <x:v>17567.61051934278</x:v>
      </x:c>
      <x:c r="K1913" s="31"/>
      <x:c r="L1913" s="40"/>
      <x:c r="M1913" s="40"/>
      <x:c r="N1913" s="31" t="n">
        <x:v>465</x:v>
      </x:c>
      <x:c r="O1913" s="31" t="n">
        <x:v>491</x:v>
      </x:c>
      <x:c r="P1913" s="31" t="n">
        <x:v>1.7072301425661915</x:v>
      </x:c>
      <x:c r="Q1913" s="40" t="n">
        <x:v>0</x:v>
      </x:c>
      <x:c r="R1913" s="40" t="n">
        <x:v>0</x:v>
      </x:c>
      <x:c r="S1913" s="40" t="n">
        <x:v>0.016293279022403257</x:v>
      </x:c>
      <x:c r="T1913" s="31" t="n">
        <x:v>24.0216451195723</x:v>
      </x:c>
      <x:c r="U1913" s="31" t="n">
        <x:v>34.37057969</x:v>
      </x:c>
      <x:c r="V1913" s="31" t="n">
        <x:v>0</x:v>
      </x:c>
      <x:c r="W1913" s="31" t="n">
        <x:v>0</x:v>
      </x:c>
      <x:c r="X1913" s="31" t="n">
        <x:v>5</x:v>
      </x:c>
      <x:c r="Y1913" s="40" t="n">
        <x:v>1</x:v>
      </x:c>
      <x:c r="Z1913" s="40" t="n">
        <x:v>1</x:v>
      </x:c>
      <x:c r="AA1913" s="40" t="n">
        <x:v>1</x:v>
      </x:c>
      <x:c r="AB1913" s="31" t="n">
        <x:v>0.3303207515271996</x:v>
      </x:c>
      <x:c r="AC1913" s="31" t="n">
        <x:v>5</x:v>
      </x:c>
      <x:c r="AD1913" s="44" t="b">
        <x:v>1</x:v>
      </x:c>
    </x:row>
    <x:row r="1914">
      <x:c r="A1914" s="31" t="str">
        <x:v>36081059501</x:v>
      </x:c>
      <x:c r="B1914" s="31" t="str">
        <x:v>Queens</x:v>
      </x:c>
      <x:c r="C1914" s="31" t="str">
        <x:v>059501</x:v>
      </x:c>
      <x:c r="D1914" s="31" t="str">
        <x:v>QN0502</x:v>
      </x:c>
      <x:c r="E1914" s="31" t="str">
        <x:v>Ridgewood</x:v>
      </x:c>
      <x:c r="F1914" s="31" t="n">
        <x:v>0.06365083634032082</x:v>
      </x:c>
      <x:c r="G1914" s="31" t="n">
        <x:v>40.71170899160933</x:v>
      </x:c>
      <x:c r="H1914" s="31" t="n">
        <x:v>-73.90782038224697</x:v>
      </x:c>
      <x:c r="I1914" s="31" t="n">
        <x:v>2091</x:v>
      </x:c>
      <x:c r="J1914" s="31" t="n">
        <x:v>32851.10016182799</x:v>
      </x:c>
      <x:c r="K1914" s="31"/>
      <x:c r="L1914" s="40"/>
      <x:c r="M1914" s="40"/>
      <x:c r="N1914" s="31" t="n">
        <x:v>309</x:v>
      </x:c>
      <x:c r="O1914" s="31" t="n">
        <x:v>896</x:v>
      </x:c>
      <x:c r="P1914" s="31" t="n">
        <x:v>2.505580357142857</x:v>
      </x:c>
      <x:c r="Q1914" s="40" t="n">
        <x:v>0</x:v>
      </x:c>
      <x:c r="R1914" s="40" t="n">
        <x:v>0.33370535714285715</x:v>
      </x:c>
      <x:c r="S1914" s="40" t="n">
        <x:v>0.0078125</x:v>
      </x:c>
      <x:c r="T1914" s="31" t="n">
        <x:v>28.247783151525823</x:v>
      </x:c>
      <x:c r="U1914" s="31" t="n">
        <x:v>50</x:v>
      </x:c>
      <x:c r="V1914" s="31" t="n">
        <x:v>1</x:v>
      </x:c>
      <x:c r="W1914" s="31" t="n">
        <x:v>0.47824007651841227</x:v>
      </x:c>
      <x:c r="X1914" s="31" t="n">
        <x:v>1</x:v>
      </x:c>
      <x:c r="Y1914" s="40" t="n">
        <x:v>0</x:v>
      </x:c>
      <x:c r="Z1914" s="40" t="n">
        <x:v>1</x:v>
      </x:c>
      <x:c r="AA1914" s="40" t="n">
        <x:v>0.9508928571428571</x:v>
      </x:c>
      <x:c r="AB1914" s="31" t="n">
        <x:v>0.06935410919215998</x:v>
      </x:c>
      <x:c r="AC1914" s="31" t="n">
        <x:v>7</x:v>
      </x:c>
      <x:c r="AD1914" s="44" t="b">
        <x:v>1</x:v>
      </x:c>
    </x:row>
    <x:row r="1915">
      <x:c r="A1915" s="31" t="str">
        <x:v>36081059502</x:v>
      </x:c>
      <x:c r="B1915" s="31" t="str">
        <x:v>Queens</x:v>
      </x:c>
      <x:c r="C1915" s="31" t="str">
        <x:v>059502</x:v>
      </x:c>
      <x:c r="D1915" s="31" t="str">
        <x:v>QN0501</x:v>
      </x:c>
      <x:c r="E1915" s="31" t="str">
        <x:v>Maspeth</x:v>
      </x:c>
      <x:c r="F1915" s="31" t="n">
        <x:v>0.0892178285199294</x:v>
      </x:c>
      <x:c r="G1915" s="31" t="n">
        <x:v>40.71524899688241</x:v>
      </x:c>
      <x:c r="H1915" s="31" t="n">
        <x:v>-73.90871047267746</x:v>
      </x:c>
      <x:c r="I1915" s="31" t="n">
        <x:v>2712</x:v>
      </x:c>
      <x:c r="J1915" s="31" t="n">
        <x:v>30397.51185374564</x:v>
      </x:c>
      <x:c r="K1915" s="31"/>
      <x:c r="L1915" s="40"/>
      <x:c r="M1915" s="40"/>
      <x:c r="N1915" s="31" t="n">
        <x:v>402</x:v>
      </x:c>
      <x:c r="O1915" s="31" t="n">
        <x:v>943</x:v>
      </x:c>
      <x:c r="P1915" s="31" t="n">
        <x:v>2.1489925768822906</x:v>
      </x:c>
      <x:c r="Q1915" s="40" t="n">
        <x:v>0</x:v>
      </x:c>
      <x:c r="R1915" s="40" t="n">
        <x:v>0.15906680805938495</x:v>
      </x:c>
      <x:c r="S1915" s="40" t="n">
        <x:v>0.014846235418875928</x:v>
      </x:c>
      <x:c r="T1915" s="31" t="n">
        <x:v>26.189315544114528</x:v>
      </x:c>
      <x:c r="U1915" s="31" t="n">
        <x:v>38.44</x:v>
      </x:c>
      <x:c r="V1915" s="31" t="n">
        <x:v>0</x:v>
      </x:c>
      <x:c r="W1915" s="31" t="n">
        <x:v>0</x:v>
      </x:c>
      <x:c r="X1915" s="31" t="n">
        <x:v>2.7942735949098623</x:v>
      </x:c>
      <x:c r="Y1915" s="40" t="n">
        <x:v>0</x:v>
      </x:c>
      <x:c r="Z1915" s="40" t="n">
        <x:v>1</x:v>
      </x:c>
      <x:c r="AA1915" s="40" t="n">
        <x:v>1</x:v>
      </x:c>
      <x:c r="AB1915" s="31" t="n">
        <x:v>0.18052487414314675</x:v>
      </x:c>
      <x:c r="AC1915" s="31" t="n">
        <x:v>5</x:v>
      </x:c>
      <x:c r="AD1915" s="44" t="b">
        <x:v>1</x:v>
      </x:c>
    </x:row>
    <x:row r="1916">
      <x:c r="A1916" s="31" t="str">
        <x:v>36081059600</x:v>
      </x:c>
      <x:c r="B1916" s="31" t="str">
        <x:v>Queens</x:v>
      </x:c>
      <x:c r="C1916" s="31" t="str">
        <x:v>059600</x:v>
      </x:c>
      <x:c r="D1916" s="31" t="str">
        <x:v>QN1304</x:v>
      </x:c>
      <x:c r="E1916" s="31" t="str">
        <x:v>Cambria Heights</x:v>
      </x:c>
      <x:c r="F1916" s="31" t="n">
        <x:v>0.07511593945707071</x:v>
      </x:c>
      <x:c r="G1916" s="31" t="n">
        <x:v>40.697137078592604</x:v>
      </x:c>
      <x:c r="H1916" s="31" t="n">
        <x:v>-73.73705632298879</x:v>
      </x:c>
      <x:c r="I1916" s="31" t="n">
        <x:v>1373</x:v>
      </x:c>
      <x:c r="J1916" s="31" t="n">
        <x:v>18278.41081298969</x:v>
      </x:c>
      <x:c r="K1916" s="31"/>
      <x:c r="L1916" s="40"/>
      <x:c r="M1916" s="40"/>
      <x:c r="N1916" s="31" t="n">
        <x:v>377</x:v>
      </x:c>
      <x:c r="O1916" s="31" t="n">
        <x:v>433</x:v>
      </x:c>
      <x:c r="P1916" s="31" t="n">
        <x:v>2.092217090069284</x:v>
      </x:c>
      <x:c r="Q1916" s="40" t="n">
        <x:v>0</x:v>
      </x:c>
      <x:c r="R1916" s="40" t="n">
        <x:v>0</x:v>
      </x:c>
      <x:c r="S1916" s="40" t="n">
        <x:v>0.004618937644341801</x:v>
      </x:c>
      <x:c r="T1916" s="31" t="n">
        <x:v>27.627658843371822</x:v>
      </x:c>
      <x:c r="U1916" s="31" t="n">
        <x:v>33.9</x:v>
      </x:c>
      <x:c r="V1916" s="31" t="n">
        <x:v>0</x:v>
      </x:c>
      <x:c r="W1916" s="31" t="n">
        <x:v>0</x:v>
      </x:c>
      <x:c r="X1916" s="31" t="n">
        <x:v>5</x:v>
      </x:c>
      <x:c r="Y1916" s="40" t="n">
        <x:v>1</x:v>
      </x:c>
      <x:c r="Z1916" s="40" t="n">
        <x:v>1</x:v>
      </x:c>
      <x:c r="AA1916" s="40" t="n">
        <x:v>1</x:v>
      </x:c>
      <x:c r="AB1916" s="31" t="n">
        <x:v>0.12195772085175056</x:v>
      </x:c>
      <x:c r="AC1916" s="31" t="n">
        <x:v>6</x:v>
      </x:c>
      <x:c r="AD1916" s="44" t="b">
        <x:v>1</x:v>
      </x:c>
    </x:row>
    <x:row r="1917">
      <x:c r="A1917" s="31" t="str">
        <x:v>36081059800</x:v>
      </x:c>
      <x:c r="B1917" s="31" t="str">
        <x:v>Queens</x:v>
      </x:c>
      <x:c r="C1917" s="31" t="str">
        <x:v>059800</x:v>
      </x:c>
      <x:c r="D1917" s="31" t="str">
        <x:v>QN1304</x:v>
      </x:c>
      <x:c r="E1917" s="31" t="str">
        <x:v>Cambria Heights</x:v>
      </x:c>
      <x:c r="F1917" s="31" t="n">
        <x:v>0.07991367506958794</x:v>
      </x:c>
      <x:c r="G1917" s="31" t="n">
        <x:v>40.698301568955486</x:v>
      </x:c>
      <x:c r="H1917" s="31" t="n">
        <x:v>-73.74066730591622</x:v>
      </x:c>
      <x:c r="I1917" s="31" t="n">
        <x:v>1764</x:v>
      </x:c>
      <x:c r="J1917" s="31" t="n">
        <x:v>22073.8190111258</x:v>
      </x:c>
      <x:c r="K1917" s="31"/>
      <x:c r="L1917" s="40"/>
      <x:c r="M1917" s="40"/>
      <x:c r="N1917" s="31" t="n">
        <x:v>438</x:v>
      </x:c>
      <x:c r="O1917" s="31" t="n">
        <x:v>541</x:v>
      </x:c>
      <x:c r="P1917" s="31" t="n">
        <x:v>1.990739371534196</x:v>
      </x:c>
      <x:c r="Q1917" s="40" t="n">
        <x:v>0</x:v>
      </x:c>
      <x:c r="R1917" s="40" t="n">
        <x:v>0</x:v>
      </x:c>
      <x:c r="S1917" s="40" t="n">
        <x:v>0.06099815157116451</x:v>
      </x:c>
      <x:c r="T1917" s="31" t="n">
        <x:v>25.60331619249538</x:v>
      </x:c>
      <x:c r="U1917" s="31" t="n">
        <x:v>33.15</x:v>
      </x:c>
      <x:c r="V1917" s="31" t="n">
        <x:v>0</x:v>
      </x:c>
      <x:c r="W1917" s="31" t="n">
        <x:v>0</x:v>
      </x:c>
      <x:c r="X1917" s="31" t="n">
        <x:v>5</x:v>
      </x:c>
      <x:c r="Y1917" s="40" t="n">
        <x:v>1</x:v>
      </x:c>
      <x:c r="Z1917" s="40" t="n">
        <x:v>1</x:v>
      </x:c>
      <x:c r="AA1917" s="40" t="n">
        <x:v>1</x:v>
      </x:c>
      <x:c r="AB1917" s="31" t="n">
        <x:v>0.049954280474618556</x:v>
      </x:c>
      <x:c r="AC1917" s="31" t="n">
        <x:v>5</x:v>
      </x:c>
      <x:c r="AD1917" s="44" t="b">
        <x:v>1</x:v>
      </x:c>
    </x:row>
    <x:row r="1918">
      <x:c r="A1918" s="31" t="str">
        <x:v>36081059900</x:v>
      </x:c>
      <x:c r="B1918" s="31" t="str">
        <x:v>Queens</x:v>
      </x:c>
      <x:c r="C1918" s="31" t="str">
        <x:v>059900</x:v>
      </x:c>
      <x:c r="D1918" s="31" t="str">
        <x:v>QN0501</x:v>
      </x:c>
      <x:c r="E1918" s="31" t="str">
        <x:v>Maspeth</x:v>
      </x:c>
      <x:c r="F1918" s="31" t="n">
        <x:v>0.04907452847545053</x:v>
      </x:c>
      <x:c r="G1918" s="31" t="n">
        <x:v>40.71724505832971</x:v>
      </x:c>
      <x:c r="H1918" s="31" t="n">
        <x:v>-73.90213138052995</x:v>
      </x:c>
      <x:c r="I1918" s="31" t="n">
        <x:v>1594</x:v>
      </x:c>
      <x:c r="J1918" s="31" t="n">
        <x:v>32481.20867421877</x:v>
      </x:c>
      <x:c r="K1918" s="31"/>
      <x:c r="L1918" s="40"/>
      <x:c r="M1918" s="40"/>
      <x:c r="N1918" s="31" t="n">
        <x:v>361</x:v>
      </x:c>
      <x:c r="O1918" s="31" t="n">
        <x:v>628</x:v>
      </x:c>
      <x:c r="P1918" s="31" t="n">
        <x:v>2.1520700636942673</x:v>
      </x:c>
      <x:c r="Q1918" s="40" t="n">
        <x:v>0</x:v>
      </x:c>
      <x:c r="R1918" s="40" t="n">
        <x:v>0.15605095541401273</x:v>
      </x:c>
      <x:c r="S1918" s="40" t="n">
        <x:v>0.007961783439490446</x:v>
      </x:c>
      <x:c r="T1918" s="31" t="n">
        <x:v>25.393599711910827</x:v>
      </x:c>
      <x:c r="U1918" s="31" t="n">
        <x:v>40</x:v>
      </x:c>
      <x:c r="V1918" s="31" t="n">
        <x:v>0</x:v>
      </x:c>
      <x:c r="W1918" s="31" t="n">
        <x:v>0</x:v>
      </x:c>
      <x:c r="X1918" s="31" t="n">
        <x:v>3</x:v>
      </x:c>
      <x:c r="Y1918" s="40" t="n">
        <x:v>0</x:v>
      </x:c>
      <x:c r="Z1918" s="40" t="n">
        <x:v>1</x:v>
      </x:c>
      <x:c r="AA1918" s="40" t="n">
        <x:v>1</x:v>
      </x:c>
      <x:c r="AB1918" s="31" t="n">
        <x:v>0.117638195658798</x:v>
      </x:c>
      <x:c r="AC1918" s="31" t="n">
        <x:v>5</x:v>
      </x:c>
      <x:c r="AD1918" s="44" t="b">
        <x:v>1</x:v>
      </x:c>
    </x:row>
    <x:row r="1919">
      <x:c r="A1919" s="31" t="str">
        <x:v>36081060000</x:v>
      </x:c>
      <x:c r="B1919" s="31" t="str">
        <x:v>Queens</x:v>
      </x:c>
      <x:c r="C1919" s="31" t="str">
        <x:v>060000</x:v>
      </x:c>
      <x:c r="D1919" s="31" t="str">
        <x:v>QN1304</x:v>
      </x:c>
      <x:c r="E1919" s="31" t="str">
        <x:v>Cambria Heights</x:v>
      </x:c>
      <x:c r="F1919" s="31" t="n">
        <x:v>0.06823704426939853</x:v>
      </x:c>
      <x:c r="G1919" s="31" t="n">
        <x:v>40.695062986221565</x:v>
      </x:c>
      <x:c r="H1919" s="31" t="n">
        <x:v>-73.73330305288808</x:v>
      </x:c>
      <x:c r="I1919" s="31" t="n">
        <x:v>1223</x:v>
      </x:c>
      <x:c r="J1919" s="31" t="n">
        <x:v>17922.81616377784</x:v>
      </x:c>
      <x:c r="K1919" s="31"/>
      <x:c r="L1919" s="40"/>
      <x:c r="M1919" s="40"/>
      <x:c r="N1919" s="31" t="n">
        <x:v>353</x:v>
      </x:c>
      <x:c r="O1919" s="31" t="n">
        <x:v>379</x:v>
      </x:c>
      <x:c r="P1919" s="31" t="n">
        <x:v>1.8056992084432717</x:v>
      </x:c>
      <x:c r="Q1919" s="40" t="n">
        <x:v>0</x:v>
      </x:c>
      <x:c r="R1919" s="40" t="n">
        <x:v>0</x:v>
      </x:c>
      <x:c r="S1919" s="40" t="n">
        <x:v>0.018469656992084433</x:v>
      </x:c>
      <x:c r="T1919" s="31" t="n">
        <x:v>23.608556605725596</x:v>
      </x:c>
      <x:c r="U1919" s="31" t="n">
        <x:v>32.69</x:v>
      </x:c>
      <x:c r="V1919" s="31" t="n">
        <x:v>0</x:v>
      </x:c>
      <x:c r="W1919" s="31" t="n">
        <x:v>0</x:v>
      </x:c>
      <x:c r="X1919" s="31" t="n">
        <x:v>5</x:v>
      </x:c>
      <x:c r="Y1919" s="40" t="n">
        <x:v>1</x:v>
      </x:c>
      <x:c r="Z1919" s="40" t="n">
        <x:v>1</x:v>
      </x:c>
      <x:c r="AA1919" s="40" t="n">
        <x:v>1</x:v>
      </x:c>
      <x:c r="AB1919" s="31" t="n">
        <x:v>0.3417361687040206</x:v>
      </x:c>
      <x:c r="AC1919" s="31" t="n">
        <x:v>4</x:v>
      </x:c>
      <x:c r="AD1919" s="44" t="b">
        <x:v>1</x:v>
      </x:c>
    </x:row>
    <x:row r="1920">
      <x:c r="A1920" s="31" t="str">
        <x:v>36081060100</x:v>
      </x:c>
      <x:c r="B1920" s="31" t="str">
        <x:v>Queens</x:v>
      </x:c>
      <x:c r="C1920" s="31" t="str">
        <x:v>060100</x:v>
      </x:c>
      <x:c r="D1920" s="31" t="str">
        <x:v>QN0501</x:v>
      </x:c>
      <x:c r="E1920" s="31" t="str">
        <x:v>Maspeth</x:v>
      </x:c>
      <x:c r="F1920" s="31" t="n">
        <x:v>0.05959778876477846</x:v>
      </x:c>
      <x:c r="G1920" s="31" t="n">
        <x:v>40.715213656408785</x:v>
      </x:c>
      <x:c r="H1920" s="31" t="n">
        <x:v>-73.90241309858517</x:v>
      </x:c>
      <x:c r="I1920" s="31" t="n">
        <x:v>2414</x:v>
      </x:c>
      <x:c r="J1920" s="31" t="n">
        <x:v>40504.85848606926</x:v>
      </x:c>
      <x:c r="K1920" s="31"/>
      <x:c r="L1920" s="40"/>
      <x:c r="M1920" s="40"/>
      <x:c r="N1920" s="31" t="n">
        <x:v>411</x:v>
      </x:c>
      <x:c r="O1920" s="31" t="n">
        <x:v>844</x:v>
      </x:c>
      <x:c r="P1920" s="31" t="n">
        <x:v>2.0959026128266034</x:v>
      </x:c>
      <x:c r="Q1920" s="40" t="n">
        <x:v>0</x:v>
      </x:c>
      <x:c r="R1920" s="40" t="n">
        <x:v>0.11374407582938388</x:v>
      </x:c>
      <x:c r="S1920" s="40" t="n">
        <x:v>0.009478672985781991</x:v>
      </x:c>
      <x:c r="T1920" s="31" t="n">
        <x:v>26.78554262334917</x:v>
      </x:c>
      <x:c r="U1920" s="31" t="n">
        <x:v>40.51</x:v>
      </x:c>
      <x:c r="V1920" s="31" t="n">
        <x:v>0</x:v>
      </x:c>
      <x:c r="W1920" s="31" t="n">
        <x:v>0</x:v>
      </x:c>
      <x:c r="X1920" s="31" t="n">
        <x:v>2.7393364928909953</x:v>
      </x:c>
      <x:c r="Y1920" s="40" t="n">
        <x:v>0</x:v>
      </x:c>
      <x:c r="Z1920" s="40" t="n">
        <x:v>1</x:v>
      </x:c>
      <x:c r="AA1920" s="40" t="n">
        <x:v>0.9976303317535545</x:v>
      </x:c>
      <x:c r="AB1920" s="31" t="n">
        <x:v>0.12078994302663569</x:v>
      </x:c>
      <x:c r="AC1920" s="31" t="n">
        <x:v>6</x:v>
      </x:c>
      <x:c r="AD1920" s="44" t="b">
        <x:v>1</x:v>
      </x:c>
    </x:row>
    <x:row r="1921">
      <x:c r="A1921" s="31" t="str">
        <x:v>36081060300</x:v>
      </x:c>
      <x:c r="B1921" s="31" t="str">
        <x:v>Queens</x:v>
      </x:c>
      <x:c r="C1921" s="31" t="str">
        <x:v>060300</x:v>
      </x:c>
      <x:c r="D1921" s="31" t="str">
        <x:v>QN0501</x:v>
      </x:c>
      <x:c r="E1921" s="31" t="str">
        <x:v>Maspeth</x:v>
      </x:c>
      <x:c r="F1921" s="31" t="n">
        <x:v>0.06992700903495179</x:v>
      </x:c>
      <x:c r="G1921" s="31" t="n">
        <x:v>40.71392384835826</x:v>
      </x:c>
      <x:c r="H1921" s="31" t="n">
        <x:v>-73.89901184483371</x:v>
      </x:c>
      <x:c r="I1921" s="31" t="n">
        <x:v>1854</x:v>
      </x:c>
      <x:c r="J1921" s="31" t="n">
        <x:v>26513.360511005278</x:v>
      </x:c>
      <x:c r="K1921" s="31"/>
      <x:c r="L1921" s="40"/>
      <x:c r="M1921" s="40"/>
      <x:c r="N1921" s="31" t="n">
        <x:v>356</x:v>
      </x:c>
      <x:c r="O1921" s="31" t="n">
        <x:v>681</x:v>
      </x:c>
      <x:c r="P1921" s="31" t="n">
        <x:v>2.1905286343612334</x:v>
      </x:c>
      <x:c r="Q1921" s="40" t="n">
        <x:v>0</x:v>
      </x:c>
      <x:c r="R1921" s="40" t="n">
        <x:v>0.2643171806167401</x:v>
      </x:c>
      <x:c r="S1921" s="40" t="n">
        <x:v>0.022026431718061675</x:v>
      </x:c>
      <x:c r="T1921" s="31" t="n">
        <x:v>26.646710719530102</x:v>
      </x:c>
      <x:c r="U1921" s="31" t="n">
        <x:v>42.41</x:v>
      </x:c>
      <x:c r="V1921" s="31" t="n">
        <x:v>2</x:v>
      </x:c>
      <x:c r="W1921" s="31" t="n">
        <x:v>1.0787486515641855</x:v>
      </x:c>
      <x:c r="X1921" s="31" t="n">
        <x:v>1.0058737151248165</x:v>
      </x:c>
      <x:c r="Y1921" s="40" t="n">
        <x:v>0</x:v>
      </x:c>
      <x:c r="Z1921" s="40" t="n">
        <x:v>1</x:v>
      </x:c>
      <x:c r="AA1921" s="40" t="n">
        <x:v>1</x:v>
      </x:c>
      <x:c r="AB1921" s="31" t="n">
        <x:v>0.31709000071399734</x:v>
      </x:c>
      <x:c r="AC1921" s="31" t="n">
        <x:v>5</x:v>
      </x:c>
      <x:c r="AD1921" s="44" t="b">
        <x:v>1</x:v>
      </x:c>
    </x:row>
    <x:row r="1922">
      <x:c r="A1922" s="31" t="str">
        <x:v>36081060600</x:v>
      </x:c>
      <x:c r="B1922" s="31" t="str">
        <x:v>Queens</x:v>
      </x:c>
      <x:c r="C1922" s="31" t="str">
        <x:v>060600</x:v>
      </x:c>
      <x:c r="D1922" s="31" t="str">
        <x:v>QN1304</x:v>
      </x:c>
      <x:c r="E1922" s="31" t="str">
        <x:v>Cambria Heights</x:v>
      </x:c>
      <x:c r="F1922" s="31" t="n">
        <x:v>0.08312159749913912</x:v>
      </x:c>
      <x:c r="G1922" s="31" t="n">
        <x:v>40.69174705153119</x:v>
      </x:c>
      <x:c r="H1922" s="31" t="n">
        <x:v>-73.73533091986276</x:v>
      </x:c>
      <x:c r="I1922" s="31" t="n">
        <x:v>1328</x:v>
      </x:c>
      <x:c r="J1922" s="31" t="n">
        <x:v>15976.5938090128</x:v>
      </x:c>
      <x:c r="K1922" s="31"/>
      <x:c r="L1922" s="40"/>
      <x:c r="M1922" s="40"/>
      <x:c r="N1922" s="31" t="n">
        <x:v>391</x:v>
      </x:c>
      <x:c r="O1922" s="31" t="n">
        <x:v>443</x:v>
      </x:c>
      <x:c r="P1922" s="31" t="n">
        <x:v>1.771941309255079</x:v>
      </x:c>
      <x:c r="Q1922" s="40" t="n">
        <x:v>0</x:v>
      </x:c>
      <x:c r="R1922" s="40" t="n">
        <x:v>0.04966139954853273</x:v>
      </x:c>
      <x:c r="S1922" s="40" t="n">
        <x:v>0.009029345372460496</x:v>
      </x:c>
      <x:c r="T1922" s="31" t="n">
        <x:v>23.73706988047404</x:v>
      </x:c>
      <x:c r="U1922" s="31" t="n">
        <x:v>31.16</x:v>
      </x:c>
      <x:c r="V1922" s="31" t="n">
        <x:v>0</x:v>
      </x:c>
      <x:c r="W1922" s="31" t="n">
        <x:v>0</x:v>
      </x:c>
      <x:c r="X1922" s="31" t="n">
        <x:v>5</x:v>
      </x:c>
      <x:c r="Y1922" s="40" t="n">
        <x:v>1</x:v>
      </x:c>
      <x:c r="Z1922" s="40" t="n">
        <x:v>1</x:v>
      </x:c>
      <x:c r="AA1922" s="40" t="n">
        <x:v>1</x:v>
      </x:c>
      <x:c r="AB1922" s="31" t="n">
        <x:v>0.4111728576470552</x:v>
      </x:c>
      <x:c r="AC1922" s="31" t="n">
        <x:v>6</x:v>
      </x:c>
      <x:c r="AD1922" s="44" t="b">
        <x:v>1</x:v>
      </x:c>
    </x:row>
    <x:row r="1923">
      <x:c r="A1923" s="31" t="str">
        <x:v>36081060701</x:v>
      </x:c>
      <x:c r="B1923" s="31" t="str">
        <x:v>Queens</x:v>
      </x:c>
      <x:c r="C1923" s="31" t="str">
        <x:v>060701</x:v>
      </x:c>
      <x:c r="D1923" s="31" t="str">
        <x:v>QN0571</x:v>
      </x:c>
      <x:c r="E1923" s="31" t="str">
        <x:v>Mount Olivet &amp; All Faiths Cemeteries</x:v>
      </x:c>
      <x:c r="F1923" s="31" t="n">
        <x:v>0.27429152831977444</x:v>
      </x:c>
      <x:c r="G1923" s="31" t="n">
        <x:v>40.71724118532028</x:v>
      </x:c>
      <x:c r="H1923" s="31" t="n">
        <x:v>-73.89398060093302</x:v>
      </x:c>
      <x:c r="I1923" s="31" t="n">
        <x:v>3</x:v>
      </x:c>
      <x:c r="J1923" s="31" t="n">
        <x:v>10.93726816273575</x:v>
      </x:c>
      <x:c r="K1923" s="31"/>
      <x:c r="L1923" s="40"/>
      <x:c r="M1923" s="40"/>
      <x:c r="N1923" s="31" t="n">
        <x:v>0</x:v>
      </x:c>
      <x:c r="O1923" s="31"/>
      <x:c r="P1923" s="31"/>
      <x:c r="Q1923" s="40"/>
      <x:c r="R1923" s="40"/>
      <x:c r="S1923" s="40"/>
      <x:c r="T1923" s="31"/>
      <x:c r="U1923" s="31"/>
      <x:c r="V1923" s="31" t="n">
        <x:v>0</x:v>
      </x:c>
      <x:c r="W1923" s="31" t="n">
        <x:v>0</x:v>
      </x:c>
      <x:c r="X1923" s="31"/>
      <x:c r="Y1923" s="40"/>
      <x:c r="Z1923" s="40"/>
      <x:c r="AA1923" s="40"/>
      <x:c r="AB1923" s="31" t="n">
        <x:v>0.44045010086439634</x:v>
      </x:c>
      <x:c r="AC1923" s="31" t="n">
        <x:v>11</x:v>
      </x:c>
      <x:c r="AD1923" s="44" t="b">
        <x:v>0</x:v>
      </x:c>
    </x:row>
    <x:row r="1924">
      <x:c r="A1924" s="31" t="str">
        <x:v>36081060800</x:v>
      </x:c>
      <x:c r="B1924" s="31" t="str">
        <x:v>Queens</x:v>
      </x:c>
      <x:c r="C1924" s="31" t="str">
        <x:v>060800</x:v>
      </x:c>
      <x:c r="D1924" s="31" t="str">
        <x:v>QN1304</x:v>
      </x:c>
      <x:c r="E1924" s="31" t="str">
        <x:v>Cambria Heights</x:v>
      </x:c>
      <x:c r="F1924" s="31" t="n">
        <x:v>0.08148609016729798</x:v>
      </x:c>
      <x:c r="G1924" s="31" t="n">
        <x:v>40.6936032039067</x:v>
      </x:c>
      <x:c r="H1924" s="31" t="n">
        <x:v>-73.7413086653944</x:v>
      </x:c>
      <x:c r="I1924" s="31" t="n">
        <x:v>1475</x:v>
      </x:c>
      <x:c r="J1924" s="31" t="n">
        <x:v>18101.2488999251</x:v>
      </x:c>
      <x:c r="K1924" s="31"/>
      <x:c r="L1924" s="40"/>
      <x:c r="M1924" s="40"/>
      <x:c r="N1924" s="31" t="n">
        <x:v>355</x:v>
      </x:c>
      <x:c r="O1924" s="31" t="n">
        <x:v>444</x:v>
      </x:c>
      <x:c r="P1924" s="31" t="n">
        <x:v>1.8687837837837837</x:v>
      </x:c>
      <x:c r="Q1924" s="40" t="n">
        <x:v>0</x:v>
      </x:c>
      <x:c r="R1924" s="40" t="n">
        <x:v>0.03153153153153153</x:v>
      </x:c>
      <x:c r="S1924" s="40" t="n">
        <x:v>0.006756756756756757</x:v>
      </x:c>
      <x:c r="T1924" s="31" t="n">
        <x:v>25.716857076441443</x:v>
      </x:c>
      <x:c r="U1924" s="31" t="n">
        <x:v>31.81</x:v>
      </x:c>
      <x:c r="V1924" s="31" t="n">
        <x:v>0</x:v>
      </x:c>
      <x:c r="W1924" s="31" t="n">
        <x:v>0</x:v>
      </x:c>
      <x:c r="X1924" s="31" t="n">
        <x:v>5</x:v>
      </x:c>
      <x:c r="Y1924" s="40" t="n">
        <x:v>1</x:v>
      </x:c>
      <x:c r="Z1924" s="40" t="n">
        <x:v>1</x:v>
      </x:c>
      <x:c r="AA1924" s="40" t="n">
        <x:v>1</x:v>
      </x:c>
      <x:c r="AB1924" s="31" t="n">
        <x:v>0.14804409896362364</x:v>
      </x:c>
      <x:c r="AC1924" s="31" t="n">
        <x:v>7</x:v>
      </x:c>
      <x:c r="AD1924" s="44" t="b">
        <x:v>1</x:v>
      </x:c>
    </x:row>
    <x:row r="1925">
      <x:c r="A1925" s="31" t="str">
        <x:v>36081061000</x:v>
      </x:c>
      <x:c r="B1925" s="31" t="str">
        <x:v>Queens</x:v>
      </x:c>
      <x:c r="C1925" s="31" t="str">
        <x:v>061000</x:v>
      </x:c>
      <x:c r="D1925" s="31" t="str">
        <x:v>QN1304</x:v>
      </x:c>
      <x:c r="E1925" s="31" t="str">
        <x:v>Cambria Heights</x:v>
      </x:c>
      <x:c r="F1925" s="31" t="n">
        <x:v>0.0938381477681646</x:v>
      </x:c>
      <x:c r="G1925" s="31" t="n">
        <x:v>40.690135376995904</x:v>
      </x:c>
      <x:c r="H1925" s="31" t="n">
        <x:v>-73.74327044054436</x:v>
      </x:c>
      <x:c r="I1925" s="31" t="n">
        <x:v>1204</x:v>
      </x:c>
      <x:c r="J1925" s="31" t="n">
        <x:v>12830.602784004092</x:v>
      </x:c>
      <x:c r="K1925" s="31"/>
      <x:c r="L1925" s="40"/>
      <x:c r="M1925" s="40"/>
      <x:c r="N1925" s="31" t="n">
        <x:v>346</x:v>
      </x:c>
      <x:c r="O1925" s="31" t="n">
        <x:v>373</x:v>
      </x:c>
      <x:c r="P1925" s="31" t="n">
        <x:v>1.7031451612903228</x:v>
      </x:c>
      <x:c r="Q1925" s="40" t="n">
        <x:v>0</x:v>
      </x:c>
      <x:c r="R1925" s="40" t="n">
        <x:v>0.002680965147453083</x:v>
      </x:c>
      <x:c r="S1925" s="40" t="n">
        <x:v>0</x:v>
      </x:c>
      <x:c r="T1925" s="31" t="n">
        <x:v>23.87820270697051</x:v>
      </x:c>
      <x:c r="U1925" s="31" t="n">
        <x:v>35</x:v>
      </x:c>
      <x:c r="V1925" s="31" t="n">
        <x:v>0</x:v>
      </x:c>
      <x:c r="W1925" s="31" t="n">
        <x:v>0</x:v>
      </x:c>
      <x:c r="X1925" s="31" t="n">
        <x:v>4.994638069705094</x:v>
      </x:c>
      <x:c r="Y1925" s="40" t="n">
        <x:v>1</x:v>
      </x:c>
      <x:c r="Z1925" s="40" t="n">
        <x:v>1</x:v>
      </x:c>
      <x:c r="AA1925" s="40" t="n">
        <x:v>1</x:v>
      </x:c>
      <x:c r="AB1925" s="31" t="n">
        <x:v>0.40295323688267976</x:v>
      </x:c>
      <x:c r="AC1925" s="31" t="n">
        <x:v>6</x:v>
      </x:c>
      <x:c r="AD1925" s="44" t="b">
        <x:v>1</x:v>
      </x:c>
    </x:row>
    <x:row r="1926">
      <x:c r="A1926" s="31" t="str">
        <x:v>36081061200</x:v>
      </x:c>
      <x:c r="B1926" s="31" t="str">
        <x:v>Queens</x:v>
      </x:c>
      <x:c r="C1926" s="31" t="str">
        <x:v>061200</x:v>
      </x:c>
      <x:c r="D1926" s="31" t="str">
        <x:v>QN1304</x:v>
      </x:c>
      <x:c r="E1926" s="31" t="str">
        <x:v>Cambria Heights</x:v>
      </x:c>
      <x:c r="F1926" s="31" t="n">
        <x:v>0.10151687741226181</x:v>
      </x:c>
      <x:c r="G1926" s="31" t="n">
        <x:v>40.6882835805047</x:v>
      </x:c>
      <x:c r="H1926" s="31" t="n">
        <x:v>-73.73672302052722</x:v>
      </x:c>
      <x:c r="I1926" s="31" t="n">
        <x:v>1552</x:v>
      </x:c>
      <x:c r="J1926" s="31" t="n">
        <x:v>15288.098290270502</x:v>
      </x:c>
      <x:c r="K1926" s="31"/>
      <x:c r="L1926" s="40"/>
      <x:c r="M1926" s="40"/>
      <x:c r="N1926" s="31" t="n">
        <x:v>456</x:v>
      </x:c>
      <x:c r="O1926" s="31" t="n">
        <x:v>471</x:v>
      </x:c>
      <x:c r="P1926" s="31" t="n">
        <x:v>1.629787685774947</x:v>
      </x:c>
      <x:c r="Q1926" s="40" t="n">
        <x:v>0</x:v>
      </x:c>
      <x:c r="R1926" s="40" t="n">
        <x:v>0</x:v>
      </x:c>
      <x:c r="S1926" s="40" t="n">
        <x:v>0.008492569002123142</x:v>
      </x:c>
      <x:c r="T1926" s="31" t="n">
        <x:v>23.43454544568085</x:v>
      </x:c>
      <x:c r="U1926" s="31" t="n">
        <x:v>30.08</x:v>
      </x:c>
      <x:c r="V1926" s="31" t="n">
        <x:v>1</x:v>
      </x:c>
      <x:c r="W1926" s="31" t="n">
        <x:v>0.6443298969072165</x:v>
      </x:c>
      <x:c r="X1926" s="31" t="n">
        <x:v>5</x:v>
      </x:c>
      <x:c r="Y1926" s="40" t="n">
        <x:v>1</x:v>
      </x:c>
      <x:c r="Z1926" s="40" t="n">
        <x:v>1</x:v>
      </x:c>
      <x:c r="AA1926" s="40" t="n">
        <x:v>0.9978768577494692</x:v>
      </x:c>
      <x:c r="AB1926" s="31" t="n">
        <x:v>0.43525888025350673</x:v>
      </x:c>
      <x:c r="AC1926" s="31" t="n">
        <x:v>7</x:v>
      </x:c>
      <x:c r="AD1926" s="44" t="b">
        <x:v>1</x:v>
      </x:c>
    </x:row>
    <x:row r="1927">
      <x:c r="A1927" s="31" t="str">
        <x:v>36081061301</x:v>
      </x:c>
      <x:c r="B1927" s="31" t="str">
        <x:v>Queens</x:v>
      </x:c>
      <x:c r="C1927" s="31" t="str">
        <x:v>061301</x:v>
      </x:c>
      <x:c r="D1927" s="31" t="str">
        <x:v>QN0502</x:v>
      </x:c>
      <x:c r="E1927" s="31" t="str">
        <x:v>Ridgewood</x:v>
      </x:c>
      <x:c r="F1927" s="31" t="n">
        <x:v>0.27274893380000287</x:v>
      </x:c>
      <x:c r="G1927" s="31" t="n">
        <x:v>40.70897317997151</x:v>
      </x:c>
      <x:c r="H1927" s="31" t="n">
        <x:v>-73.89322302796498</x:v>
      </x:c>
      <x:c r="I1927" s="31" t="n">
        <x:v>5763</x:v>
      </x:c>
      <x:c r="J1927" s="31" t="n">
        <x:v>21129.321826151678</x:v>
      </x:c>
      <x:c r="K1927" s="31"/>
      <x:c r="L1927" s="40"/>
      <x:c r="M1927" s="40"/>
      <x:c r="N1927" s="31" t="n">
        <x:v>701</x:v>
      </x:c>
      <x:c r="O1927" s="31" t="n">
        <x:v>2051</x:v>
      </x:c>
      <x:c r="P1927" s="31" t="n">
        <x:v>2.7318381277425647</x:v>
      </x:c>
      <x:c r="Q1927" s="40" t="n">
        <x:v>0</x:v>
      </x:c>
      <x:c r="R1927" s="40" t="n">
        <x:v>0.4373476352998537</x:v>
      </x:c>
      <x:c r="S1927" s="40" t="n">
        <x:v>0.0048756704046806435</x:v>
      </x:c>
      <x:c r="T1927" s="31" t="n">
        <x:v>32.861196434326175</x:v>
      </x:c>
      <x:c r="U1927" s="31" t="n">
        <x:v>46.88</x:v>
      </x:c>
      <x:c r="V1927" s="31" t="n">
        <x:v>0</x:v>
      </x:c>
      <x:c r="W1927" s="31" t="n">
        <x:v>0</x:v>
      </x:c>
      <x:c r="X1927" s="31" t="n">
        <x:v>1</x:v>
      </x:c>
      <x:c r="Y1927" s="40" t="n">
        <x:v>0</x:v>
      </x:c>
      <x:c r="Z1927" s="40" t="n">
        <x:v>1</x:v>
      </x:c>
      <x:c r="AA1927" s="40" t="n">
        <x:v>0.9985372988785958</x:v>
      </x:c>
      <x:c r="AB1927" s="31" t="n">
        <x:v>0.3762522303409072</x:v>
      </x:c>
      <x:c r="AC1927" s="31" t="n">
        <x:v>11</x:v>
      </x:c>
      <x:c r="AD1927" s="44" t="b">
        <x:v>1</x:v>
      </x:c>
    </x:row>
    <x:row r="1928">
      <x:c r="A1928" s="31" t="str">
        <x:v>36081061302</x:v>
      </x:c>
      <x:c r="B1928" s="31" t="str">
        <x:v>Queens</x:v>
      </x:c>
      <x:c r="C1928" s="31" t="str">
        <x:v>061302</x:v>
      </x:c>
      <x:c r="D1928" s="31" t="str">
        <x:v>QN0572</x:v>
      </x:c>
      <x:c r="E1928" s="31" t="str">
        <x:v>Middle Village Cemetery</x:v>
      </x:c>
      <x:c r="F1928" s="31" t="n">
        <x:v>0.19769754125416095</x:v>
      </x:c>
      <x:c r="G1928" s="31" t="n">
        <x:v>40.70932415985105</x:v>
      </x:c>
      <x:c r="H1928" s="31" t="n">
        <x:v>-73.88341766364788</x:v>
      </x:c>
      <x:c r="I1928" s="31" t="n">
        <x:v>0</x:v>
      </x:c>
      <x:c r="J1928" s="31" t="n">
        <x:v>0</x:v>
      </x:c>
      <x:c r="K1928" s="31"/>
      <x:c r="L1928" s="40"/>
      <x:c r="M1928" s="40"/>
      <x:c r="N1928" s="31" t="n">
        <x:v>0</x:v>
      </x:c>
      <x:c r="O1928" s="31"/>
      <x:c r="P1928" s="31"/>
      <x:c r="Q1928" s="40"/>
      <x:c r="R1928" s="40"/>
      <x:c r="S1928" s="40"/>
      <x:c r="T1928" s="31"/>
      <x:c r="U1928" s="31"/>
      <x:c r="V1928" s="31" t="n">
        <x:v>0</x:v>
      </x:c>
      <x:c r="W1928" s="31"/>
      <x:c r="X1928" s="31"/>
      <x:c r="Y1928" s="40"/>
      <x:c r="Z1928" s="40"/>
      <x:c r="AA1928" s="40"/>
      <x:c r="AB1928" s="31" t="n">
        <x:v>0.28383092257214254</x:v>
      </x:c>
      <x:c r="AC1928" s="31" t="n">
        <x:v>6</x:v>
      </x:c>
      <x:c r="AD1928" s="44" t="b">
        <x:v>0</x:v>
      </x:c>
    </x:row>
    <x:row r="1929">
      <x:c r="A1929" s="31" t="str">
        <x:v>36081061400</x:v>
      </x:c>
      <x:c r="B1929" s="31" t="str">
        <x:v>Queens</x:v>
      </x:c>
      <x:c r="C1929" s="31" t="str">
        <x:v>061400</x:v>
      </x:c>
      <x:c r="D1929" s="31" t="str">
        <x:v>QN1304</x:v>
      </x:c>
      <x:c r="E1929" s="31" t="str">
        <x:v>Cambria Heights</x:v>
      </x:c>
      <x:c r="F1929" s="31" t="n">
        <x:v>0.09943312002231118</x:v>
      </x:c>
      <x:c r="G1929" s="31" t="n">
        <x:v>40.68611962850718</x:v>
      </x:c>
      <x:c r="H1929" s="31" t="n">
        <x:v>-73.72951456768699</x:v>
      </x:c>
      <x:c r="I1929" s="31" t="n">
        <x:v>1205</x:v>
      </x:c>
      <x:c r="J1929" s="31" t="n">
        <x:v>12118.698475212459</x:v>
      </x:c>
      <x:c r="K1929" s="31"/>
      <x:c r="L1929" s="40"/>
      <x:c r="M1929" s="40"/>
      <x:c r="N1929" s="31" t="n">
        <x:v>331</x:v>
      </x:c>
      <x:c r="O1929" s="31" t="n">
        <x:v>346</x:v>
      </x:c>
      <x:c r="P1929" s="31" t="n">
        <x:v>1.6397687861271677</x:v>
      </x:c>
      <x:c r="Q1929" s="40" t="n">
        <x:v>0</x:v>
      </x:c>
      <x:c r="R1929" s="40" t="n">
        <x:v>0</x:v>
      </x:c>
      <x:c r="S1929" s="40" t="n">
        <x:v>0.005780346820809248</x:v>
      </x:c>
      <x:c r="T1929" s="31" t="n">
        <x:v>22.88769657112717</x:v>
      </x:c>
      <x:c r="U1929" s="31" t="n">
        <x:v>28.75</x:v>
      </x:c>
      <x:c r="V1929" s="31" t="n">
        <x:v>0</x:v>
      </x:c>
      <x:c r="W1929" s="31" t="n">
        <x:v>0</x:v>
      </x:c>
      <x:c r="X1929" s="31" t="n">
        <x:v>5</x:v>
      </x:c>
      <x:c r="Y1929" s="40" t="n">
        <x:v>1</x:v>
      </x:c>
      <x:c r="Z1929" s="40" t="n">
        <x:v>1</x:v>
      </x:c>
      <x:c r="AA1929" s="40" t="n">
        <x:v>1</x:v>
      </x:c>
      <x:c r="AB1929" s="31" t="n">
        <x:v>0.08492520176403211</x:v>
      </x:c>
      <x:c r="AC1929" s="31" t="n">
        <x:v>5</x:v>
      </x:c>
      <x:c r="AD1929" s="44" t="b">
        <x:v>1</x:v>
      </x:c>
    </x:row>
    <x:row r="1930">
      <x:c r="A1930" s="31" t="str">
        <x:v>36081061601</x:v>
      </x:c>
      <x:c r="B1930" s="31" t="str">
        <x:v>Queens</x:v>
      </x:c>
      <x:c r="C1930" s="31" t="str">
        <x:v>061601</x:v>
      </x:c>
      <x:c r="D1930" s="31" t="str">
        <x:v>QN1305</x:v>
      </x:c>
      <x:c r="E1930" s="31" t="str">
        <x:v>Laurelton</x:v>
      </x:c>
      <x:c r="F1930" s="31" t="n">
        <x:v>0.14769533471971133</x:v>
      </x:c>
      <x:c r="G1930" s="31" t="n">
        <x:v>40.68186646003673</x:v>
      </x:c>
      <x:c r="H1930" s="31" t="n">
        <x:v>-73.73189632649992</x:v>
      </x:c>
      <x:c r="I1930" s="31" t="n">
        <x:v>2095</x:v>
      </x:c>
      <x:c r="J1930" s="31" t="n">
        <x:v>14184.605112786969</x:v>
      </x:c>
      <x:c r="K1930" s="31"/>
      <x:c r="L1930" s="40"/>
      <x:c r="M1930" s="40"/>
      <x:c r="N1930" s="31" t="n">
        <x:v>648</x:v>
      </x:c>
      <x:c r="O1930" s="31" t="n">
        <x:v>666</x:v>
      </x:c>
      <x:c r="P1930" s="31" t="n">
        <x:v>1.4978978978978978</x:v>
      </x:c>
      <x:c r="Q1930" s="40" t="n">
        <x:v>0</x:v>
      </x:c>
      <x:c r="R1930" s="40" t="n">
        <x:v>0</x:v>
      </x:c>
      <x:c r="S1930" s="40" t="n">
        <x:v>0.0045045045045045045</x:v>
      </x:c>
      <x:c r="T1930" s="31" t="n">
        <x:v>21.739932215450448</x:v>
      </x:c>
      <x:c r="U1930" s="31" t="n">
        <x:v>33.31</x:v>
      </x:c>
      <x:c r="V1930" s="31" t="n">
        <x:v>0</x:v>
      </x:c>
      <x:c r="W1930" s="31" t="n">
        <x:v>0</x:v>
      </x:c>
      <x:c r="X1930" s="31" t="n">
        <x:v>4.03003003003003</x:v>
      </x:c>
      <x:c r="Y1930" s="40" t="n">
        <x:v>1</x:v>
      </x:c>
      <x:c r="Z1930" s="40" t="n">
        <x:v>1</x:v>
      </x:c>
      <x:c r="AA1930" s="40" t="n">
        <x:v>1</x:v>
      </x:c>
      <x:c r="AB1930" s="31" t="n">
        <x:v>0.23824804396032084</x:v>
      </x:c>
      <x:c r="AC1930" s="31" t="n">
        <x:v>6</x:v>
      </x:c>
      <x:c r="AD1930" s="44" t="b">
        <x:v>1</x:v>
      </x:c>
    </x:row>
    <x:row r="1931">
      <x:c r="A1931" s="31" t="str">
        <x:v>36081061602</x:v>
      </x:c>
      <x:c r="B1931" s="31" t="str">
        <x:v>Queens</x:v>
      </x:c>
      <x:c r="C1931" s="31" t="str">
        <x:v>061602</x:v>
      </x:c>
      <x:c r="D1931" s="31" t="str">
        <x:v>QN1307</x:v>
      </x:c>
      <x:c r="E1931" s="31" t="str">
        <x:v>Rosedale</x:v>
      </x:c>
      <x:c r="F1931" s="31" t="n">
        <x:v>0.16331297773724462</x:v>
      </x:c>
      <x:c r="G1931" s="31" t="n">
        <x:v>40.67754958664122</x:v>
      </x:c>
      <x:c r="H1931" s="31" t="n">
        <x:v>-73.72924466519817</x:v>
      </x:c>
      <x:c r="I1931" s="31" t="n">
        <x:v>1402</x:v>
      </x:c>
      <x:c r="J1931" s="31" t="n">
        <x:v>8584.743352458416</x:v>
      </x:c>
      <x:c r="K1931" s="31"/>
      <x:c r="L1931" s="40"/>
      <x:c r="M1931" s="40"/>
      <x:c r="N1931" s="31" t="n">
        <x:v>340</x:v>
      </x:c>
      <x:c r="O1931" s="31" t="n">
        <x:v>361</x:v>
      </x:c>
      <x:c r="P1931" s="31" t="n">
        <x:v>1.6623333333333334</x:v>
      </x:c>
      <x:c r="Q1931" s="40" t="n">
        <x:v>0</x:v>
      </x:c>
      <x:c r="R1931" s="40" t="n">
        <x:v>0</x:v>
      </x:c>
      <x:c r="S1931" s="40" t="n">
        <x:v>0.0332409972299169</x:v>
      </x:c>
      <x:c r="T1931" s="31" t="n">
        <x:v>23.430365517437323</x:v>
      </x:c>
      <x:c r="U1931" s="31" t="n">
        <x:v>38.12</x:v>
      </x:c>
      <x:c r="V1931" s="31" t="n">
        <x:v>0</x:v>
      </x:c>
      <x:c r="W1931" s="31" t="n">
        <x:v>0</x:v>
      </x:c>
      <x:c r="X1931" s="31" t="n">
        <x:v>4</x:v>
      </x:c>
      <x:c r="Y1931" s="40" t="n">
        <x:v>1</x:v>
      </x:c>
      <x:c r="Z1931" s="40" t="n">
        <x:v>1</x:v>
      </x:c>
      <x:c r="AA1931" s="40" t="n">
        <x:v>0.9944598337950139</x:v>
      </x:c>
      <x:c r="AB1931" s="31" t="n">
        <x:v>0.4055409919183918</x:v>
      </x:c>
      <x:c r="AC1931" s="31" t="n">
        <x:v>5</x:v>
      </x:c>
      <x:c r="AD1931" s="44" t="b">
        <x:v>1</x:v>
      </x:c>
    </x:row>
    <x:row r="1932">
      <x:c r="A1932" s="31" t="str">
        <x:v>36081061800</x:v>
      </x:c>
      <x:c r="B1932" s="31" t="str">
        <x:v>Queens</x:v>
      </x:c>
      <x:c r="C1932" s="31" t="str">
        <x:v>061800</x:v>
      </x:c>
      <x:c r="D1932" s="31" t="str">
        <x:v>QN1305</x:v>
      </x:c>
      <x:c r="E1932" s="31" t="str">
        <x:v>Laurelton</x:v>
      </x:c>
      <x:c r="F1932" s="31" t="n">
        <x:v>0.09326346594137397</x:v>
      </x:c>
      <x:c r="G1932" s="31" t="n">
        <x:v>40.676894375256516</x:v>
      </x:c>
      <x:c r="H1932" s="31" t="n">
        <x:v>-73.736418134192</x:v>
      </x:c>
      <x:c r="I1932" s="31" t="n">
        <x:v>1736</x:v>
      </x:c>
      <x:c r="J1932" s="31" t="n">
        <x:v>18613.934003817325</x:v>
      </x:c>
      <x:c r="K1932" s="31"/>
      <x:c r="L1932" s="40"/>
      <x:c r="M1932" s="40"/>
      <x:c r="N1932" s="31" t="n">
        <x:v>266</x:v>
      </x:c>
      <x:c r="O1932" s="31" t="n">
        <x:v>684</x:v>
      </x:c>
      <x:c r="P1932" s="31" t="n">
        <x:v>1.9676169590643273</x:v>
      </x:c>
      <x:c r="Q1932" s="40" t="n">
        <x:v>0</x:v>
      </x:c>
      <x:c r="R1932" s="40" t="n">
        <x:v>0.06140350877192982</x:v>
      </x:c>
      <x:c r="S1932" s="40" t="n">
        <x:v>0.5789473684210527</x:v>
      </x:c>
      <x:c r="T1932" s="31" t="n">
        <x:v>28.118640350877197</x:v>
      </x:c>
      <x:c r="U1932" s="31" t="n">
        <x:v>35.86</x:v>
      </x:c>
      <x:c r="V1932" s="31" t="n">
        <x:v>0</x:v>
      </x:c>
      <x:c r="W1932" s="31" t="n">
        <x:v>0</x:v>
      </x:c>
      <x:c r="X1932" s="31" t="n">
        <x:v>4</x:v>
      </x:c>
      <x:c r="Y1932" s="40" t="n">
        <x:v>1</x:v>
      </x:c>
      <x:c r="Z1932" s="40" t="n">
        <x:v>1</x:v>
      </x:c>
      <x:c r="AA1932" s="40" t="n">
        <x:v>1</x:v>
      </x:c>
      <x:c r="AB1932" s="31" t="n">
        <x:v>0.12589163487167798</x:v>
      </x:c>
      <x:c r="AC1932" s="31" t="n">
        <x:v>5</x:v>
      </x:c>
      <x:c r="AD1932" s="44" t="b">
        <x:v>1</x:v>
      </x:c>
    </x:row>
    <x:row r="1933">
      <x:c r="A1933" s="31" t="str">
        <x:v>36081061900</x:v>
      </x:c>
      <x:c r="B1933" s="31" t="str">
        <x:v>Queens</x:v>
      </x:c>
      <x:c r="C1933" s="31" t="str">
        <x:v>061900</x:v>
      </x:c>
      <x:c r="D1933" s="31" t="str">
        <x:v>QN0504</x:v>
      </x:c>
      <x:c r="E1933" s="31" t="str">
        <x:v>Middle Village</x:v>
      </x:c>
      <x:c r="F1933" s="31" t="n">
        <x:v>0.09159930018760044</x:v>
      </x:c>
      <x:c r="G1933" s="31" t="n">
        <x:v>40.70982628987376</x:v>
      </x:c>
      <x:c r="H1933" s="31" t="n">
        <x:v>-73.87693466333789</x:v>
      </x:c>
      <x:c r="I1933" s="31" t="n">
        <x:v>3097</x:v>
      </x:c>
      <x:c r="J1933" s="31" t="n">
        <x:v>33810.30197454754</x:v>
      </x:c>
      <x:c r="K1933" s="31"/>
      <x:c r="L1933" s="40"/>
      <x:c r="M1933" s="40"/>
      <x:c r="N1933" s="31" t="n">
        <x:v>539</x:v>
      </x:c>
      <x:c r="O1933" s="31" t="n">
        <x:v>1192</x:v>
      </x:c>
      <x:c r="P1933" s="31" t="n">
        <x:v>2.177115222876367</x:v>
      </x:c>
      <x:c r="Q1933" s="40" t="n">
        <x:v>0</x:v>
      </x:c>
      <x:c r="R1933" s="40" t="n">
        <x:v>0.17869127516778524</x:v>
      </x:c>
      <x:c r="S1933" s="40" t="n">
        <x:v>0.018456375838926176</x:v>
      </x:c>
      <x:c r="T1933" s="31" t="n">
        <x:v>26.91536011519393</x:v>
      </x:c>
      <x:c r="U1933" s="31" t="n">
        <x:v>45.16</x:v>
      </x:c>
      <x:c r="V1933" s="31" t="n">
        <x:v>2</x:v>
      </x:c>
      <x:c r="W1933" s="31" t="n">
        <x:v>0.6457862447529867</x:v>
      </x:c>
      <x:c r="X1933" s="31" t="n">
        <x:v>1</x:v>
      </x:c>
      <x:c r="Y1933" s="40" t="n">
        <x:v>0</x:v>
      </x:c>
      <x:c r="Z1933" s="40" t="n">
        <x:v>1</x:v>
      </x:c>
      <x:c r="AA1933" s="40" t="n">
        <x:v>0.9949664429530202</x:v>
      </x:c>
      <x:c r="AB1933" s="31" t="n">
        <x:v>0.29559203158825337</x:v>
      </x:c>
      <x:c r="AC1933" s="31" t="n">
        <x:v>8</x:v>
      </x:c>
      <x:c r="AD1933" s="44" t="b">
        <x:v>1</x:v>
      </x:c>
    </x:row>
    <x:row r="1934">
      <x:c r="A1934" s="31" t="str">
        <x:v>36081062000</x:v>
      </x:c>
      <x:c r="B1934" s="31" t="str">
        <x:v>Queens</x:v>
      </x:c>
      <x:c r="C1934" s="31" t="str">
        <x:v>062000</x:v>
      </x:c>
      <x:c r="D1934" s="31" t="str">
        <x:v>QN1305</x:v>
      </x:c>
      <x:c r="E1934" s="31" t="str">
        <x:v>Laurelton</x:v>
      </x:c>
      <x:c r="F1934" s="31" t="n">
        <x:v>0.0851845876685893</x:v>
      </x:c>
      <x:c r="G1934" s="31" t="n">
        <x:v>40.681093778037386</x:v>
      </x:c>
      <x:c r="H1934" s="31" t="n">
        <x:v>-73.73780654129457</x:v>
      </x:c>
      <x:c r="I1934" s="31" t="n">
        <x:v>1419</x:v>
      </x:c>
      <x:c r="J1934" s="31" t="n">
        <x:v>16657.94293118634</x:v>
      </x:c>
      <x:c r="K1934" s="31"/>
      <x:c r="L1934" s="40"/>
      <x:c r="M1934" s="40"/>
      <x:c r="N1934" s="31" t="n">
        <x:v>467</x:v>
      </x:c>
      <x:c r="O1934" s="31" t="n">
        <x:v>477</x:v>
      </x:c>
      <x:c r="P1934" s="31" t="n">
        <x:v>1.8631656184486374</x:v>
      </x:c>
      <x:c r="Q1934" s="40" t="n">
        <x:v>0</x:v>
      </x:c>
      <x:c r="R1934" s="40" t="n">
        <x:v>0</x:v>
      </x:c>
      <x:c r="S1934" s="40" t="n">
        <x:v>0.008385744234800839</x:v>
      </x:c>
      <x:c r="T1934" s="31" t="n">
        <x:v>25.322431564150943</x:v>
      </x:c>
      <x:c r="U1934" s="31" t="n">
        <x:v>34.43</x:v>
      </x:c>
      <x:c r="V1934" s="31" t="n">
        <x:v>0</x:v>
      </x:c>
      <x:c r="W1934" s="31" t="n">
        <x:v>0</x:v>
      </x:c>
      <x:c r="X1934" s="31" t="n">
        <x:v>4</x:v>
      </x:c>
      <x:c r="Y1934" s="40" t="n">
        <x:v>1</x:v>
      </x:c>
      <x:c r="Z1934" s="40" t="n">
        <x:v>1</x:v>
      </x:c>
      <x:c r="AA1934" s="40" t="n">
        <x:v>1</x:v>
      </x:c>
      <x:c r="AB1934" s="31" t="n">
        <x:v>0.42334293916691557</x:v>
      </x:c>
      <x:c r="AC1934" s="31" t="n">
        <x:v>5</x:v>
      </x:c>
      <x:c r="AD1934" s="44" t="b">
        <x:v>1</x:v>
      </x:c>
    </x:row>
    <x:row r="1935">
      <x:c r="A1935" s="31" t="str">
        <x:v>36081062100</x:v>
      </x:c>
      <x:c r="B1935" s="31" t="str">
        <x:v>Queens</x:v>
      </x:c>
      <x:c r="C1935" s="31" t="str">
        <x:v>062100</x:v>
      </x:c>
      <x:c r="D1935" s="31" t="str">
        <x:v>QN0504</x:v>
      </x:c>
      <x:c r="E1935" s="31" t="str">
        <x:v>Middle Village</x:v>
      </x:c>
      <x:c r="F1935" s="31" t="n">
        <x:v>0.10022254364525941</x:v>
      </x:c>
      <x:c r="G1935" s="31" t="n">
        <x:v>40.71000201639872</x:v>
      </x:c>
      <x:c r="H1935" s="31" t="n">
        <x:v>-73.87266321022359</x:v>
      </x:c>
      <x:c r="I1935" s="31" t="n">
        <x:v>3151</x:v>
      </x:c>
      <x:c r="J1935" s="31" t="n">
        <x:v>31440.03220625746</x:v>
      </x:c>
      <x:c r="K1935" s="31"/>
      <x:c r="L1935" s="40"/>
      <x:c r="M1935" s="40"/>
      <x:c r="N1935" s="31" t="n">
        <x:v>537</x:v>
      </x:c>
      <x:c r="O1935" s="31" t="n">
        <x:v>1105</x:v>
      </x:c>
      <x:c r="P1935" s="31" t="n">
        <x:v>2.068325791855204</x:v>
      </x:c>
      <x:c r="Q1935" s="40" t="n">
        <x:v>0</x:v>
      </x:c>
      <x:c r="R1935" s="40" t="n">
        <x:v>0.0751131221719457</x:v>
      </x:c>
      <x:c r="S1935" s="40" t="n">
        <x:v>0.016289592760180997</x:v>
      </x:c>
      <x:c r="T1935" s="31" t="n">
        <x:v>25.68361445430769</x:v>
      </x:c>
      <x:c r="U1935" s="31" t="n">
        <x:v>41.64118165</x:v>
      </x:c>
      <x:c r="V1935" s="31" t="n">
        <x:v>2</x:v>
      </x:c>
      <x:c r="W1935" s="31" t="n">
        <x:v>0.6347191367819739</x:v>
      </x:c>
      <x:c r="X1935" s="31" t="n">
        <x:v>1</x:v>
      </x:c>
      <x:c r="Y1935" s="40" t="n">
        <x:v>0</x:v>
      </x:c>
      <x:c r="Z1935" s="40" t="n">
        <x:v>1</x:v>
      </x:c>
      <x:c r="AA1935" s="40" t="n">
        <x:v>1</x:v>
      </x:c>
      <x:c r="AB1935" s="31" t="n">
        <x:v>0.1182523208247691</x:v>
      </x:c>
      <x:c r="AC1935" s="31" t="n">
        <x:v>6</x:v>
      </x:c>
      <x:c r="AD1935" s="44" t="b">
        <x:v>1</x:v>
      </x:c>
    </x:row>
    <x:row r="1936">
      <x:c r="A1936" s="31" t="str">
        <x:v>36081062200</x:v>
      </x:c>
      <x:c r="B1936" s="31" t="str">
        <x:v>Queens</x:v>
      </x:c>
      <x:c r="C1936" s="31" t="str">
        <x:v>062200</x:v>
      </x:c>
      <x:c r="D1936" s="31" t="str">
        <x:v>QN1304</x:v>
      </x:c>
      <x:c r="E1936" s="31" t="str">
        <x:v>Cambria Heights</x:v>
      </x:c>
      <x:c r="F1936" s="31" t="n">
        <x:v>0.16887027252281336</x:v>
      </x:c>
      <x:c r="G1936" s="31" t="n">
        <x:v>40.69194787315405</x:v>
      </x:c>
      <x:c r="H1936" s="31" t="n">
        <x:v>-73.72887944238042</x:v>
      </x:c>
      <x:c r="I1936" s="31" t="n">
        <x:v>1979</x:v>
      </x:c>
      <x:c r="J1936" s="31" t="n">
        <x:v>11719.054931546041</x:v>
      </x:c>
      <x:c r="K1936" s="31"/>
      <x:c r="L1936" s="40"/>
      <x:c r="M1936" s="40"/>
      <x:c r="N1936" s="31" t="n">
        <x:v>579</x:v>
      </x:c>
      <x:c r="O1936" s="31" t="n">
        <x:v>618</x:v>
      </x:c>
      <x:c r="P1936" s="31" t="n">
        <x:v>1.7171844660194175</x:v>
      </x:c>
      <x:c r="Q1936" s="40" t="n">
        <x:v>0</x:v>
      </x:c>
      <x:c r="R1936" s="40" t="n">
        <x:v>0.0048543689320388345</x:v>
      </x:c>
      <x:c r="S1936" s="40" t="n">
        <x:v>0.009708737864077669</x:v>
      </x:c>
      <x:c r="T1936" s="31" t="n">
        <x:v>23.104804973770225</x:v>
      </x:c>
      <x:c r="U1936" s="31" t="n">
        <x:v>34.53</x:v>
      </x:c>
      <x:c r="V1936" s="31" t="n">
        <x:v>0</x:v>
      </x:c>
      <x:c r="W1936" s="31" t="n">
        <x:v>0</x:v>
      </x:c>
      <x:c r="X1936" s="31" t="n">
        <x:v>5</x:v>
      </x:c>
      <x:c r="Y1936" s="40" t="n">
        <x:v>1</x:v>
      </x:c>
      <x:c r="Z1936" s="40" t="n">
        <x:v>1</x:v>
      </x:c>
      <x:c r="AA1936" s="40" t="n">
        <x:v>1</x:v>
      </x:c>
      <x:c r="AB1936" s="31" t="n">
        <x:v>0.4883754754405156</x:v>
      </x:c>
      <x:c r="AC1936" s="31" t="n">
        <x:v>6</x:v>
      </x:c>
      <x:c r="AD1936" s="44" t="b">
        <x:v>1</x:v>
      </x:c>
    </x:row>
    <x:row r="1937">
      <x:c r="A1937" s="31" t="str">
        <x:v>36081062300</x:v>
      </x:c>
      <x:c r="B1937" s="31" t="str">
        <x:v>Queens</x:v>
      </x:c>
      <x:c r="C1937" s="31" t="str">
        <x:v>062300</x:v>
      </x:c>
      <x:c r="D1937" s="31" t="str">
        <x:v>QN0503</x:v>
      </x:c>
      <x:c r="E1937" s="31" t="str">
        <x:v>Glendale</x:v>
      </x:c>
      <x:c r="F1937" s="31" t="n">
        <x:v>0.06057751209251607</x:v>
      </x:c>
      <x:c r="G1937" s="31" t="n">
        <x:v>40.704385478837544</x:v>
      </x:c>
      <x:c r="H1937" s="31" t="n">
        <x:v>-73.8781859561448</x:v>
      </x:c>
      <x:c r="I1937" s="31" t="n">
        <x:v>1923</x:v>
      </x:c>
      <x:c r="J1937" s="31" t="n">
        <x:v>31744.45323972909</x:v>
      </x:c>
      <x:c r="K1937" s="31"/>
      <x:c r="L1937" s="40"/>
      <x:c r="M1937" s="40"/>
      <x:c r="N1937" s="31" t="n">
        <x:v>375</x:v>
      </x:c>
      <x:c r="O1937" s="31" t="n">
        <x:v>819</x:v>
      </x:c>
      <x:c r="P1937" s="31" t="n">
        <x:v>2.149377289377289</x:v>
      </x:c>
      <x:c r="Q1937" s="40" t="n">
        <x:v>0</x:v>
      </x:c>
      <x:c r="R1937" s="40" t="n">
        <x:v>0.15018315018315018</x:v>
      </x:c>
      <x:c r="S1937" s="40" t="n">
        <x:v>0.01098901098901099</x:v>
      </x:c>
      <x:c r="T1937" s="31" t="n">
        <x:v>26.396501511391943</x:v>
      </x:c>
      <x:c r="U1937" s="31" t="n">
        <x:v>42.65</x:v>
      </x:c>
      <x:c r="V1937" s="31" t="n">
        <x:v>1</x:v>
      </x:c>
      <x:c r="W1937" s="31" t="n">
        <x:v>0.5200208008320333</x:v>
      </x:c>
      <x:c r="X1937" s="31" t="n">
        <x:v>1</x:v>
      </x:c>
      <x:c r="Y1937" s="40" t="n">
        <x:v>0</x:v>
      </x:c>
      <x:c r="Z1937" s="40" t="n">
        <x:v>1</x:v>
      </x:c>
      <x:c r="AA1937" s="40" t="n">
        <x:v>1</x:v>
      </x:c>
      <x:c r="AB1937" s="31" t="n">
        <x:v>0.17498908174722214</x:v>
      </x:c>
      <x:c r="AC1937" s="31" t="n">
        <x:v>6</x:v>
      </x:c>
      <x:c r="AD1937" s="44" t="b">
        <x:v>1</x:v>
      </x:c>
    </x:row>
    <x:row r="1938">
      <x:c r="A1938" s="31" t="str">
        <x:v>36081062400</x:v>
      </x:c>
      <x:c r="B1938" s="31" t="str">
        <x:v>Queens</x:v>
      </x:c>
      <x:c r="C1938" s="31" t="str">
        <x:v>062400</x:v>
      </x:c>
      <x:c r="D1938" s="31" t="str">
        <x:v>QN1371</x:v>
      </x:c>
      <x:c r="E1938" s="31" t="str">
        <x:v>Montefiore Cemetery</x:v>
      </x:c>
      <x:c r="F1938" s="31" t="n">
        <x:v>0.19090131522648357</x:v>
      </x:c>
      <x:c r="G1938" s="31" t="n">
        <x:v>40.68580421894919</x:v>
      </x:c>
      <x:c r="H1938" s="31" t="n">
        <x:v>-73.74204488999611</x:v>
      </x:c>
      <x:c r="I1938" s="31" t="n">
        <x:v>0</x:v>
      </x:c>
      <x:c r="J1938" s="31" t="n">
        <x:v>0</x:v>
      </x:c>
      <x:c r="K1938" s="31"/>
      <x:c r="L1938" s="40"/>
      <x:c r="M1938" s="40"/>
      <x:c r="N1938" s="31" t="n">
        <x:v>0</x:v>
      </x:c>
      <x:c r="O1938" s="31"/>
      <x:c r="P1938" s="31"/>
      <x:c r="Q1938" s="40"/>
      <x:c r="R1938" s="40"/>
      <x:c r="S1938" s="40"/>
      <x:c r="T1938" s="31"/>
      <x:c r="U1938" s="31"/>
      <x:c r="V1938" s="31" t="n">
        <x:v>0</x:v>
      </x:c>
      <x:c r="W1938" s="31"/>
      <x:c r="X1938" s="31"/>
      <x:c r="Y1938" s="40"/>
      <x:c r="Z1938" s="40"/>
      <x:c r="AA1938" s="40"/>
      <x:c r="AB1938" s="31" t="n">
        <x:v>0.4741645267505945</x:v>
      </x:c>
      <x:c r="AC1938" s="31" t="n">
        <x:v>8</x:v>
      </x:c>
      <x:c r="AD1938" s="44" t="b">
        <x:v>0</x:v>
      </x:c>
    </x:row>
    <x:row r="1939">
      <x:c r="A1939" s="31" t="str">
        <x:v>36081062500</x:v>
      </x:c>
      <x:c r="B1939" s="31" t="str">
        <x:v>Queens</x:v>
      </x:c>
      <x:c r="C1939" s="31" t="str">
        <x:v>062500</x:v>
      </x:c>
      <x:c r="D1939" s="31" t="str">
        <x:v>QN0503</x:v>
      </x:c>
      <x:c r="E1939" s="31" t="str">
        <x:v>Glendale</x:v>
      </x:c>
      <x:c r="F1939" s="31" t="n">
        <x:v>0.0766614748888028</x:v>
      </x:c>
      <x:c r="G1939" s="31" t="n">
        <x:v>40.70412908316886</x:v>
      </x:c>
      <x:c r="H1939" s="31" t="n">
        <x:v>-73.88239852679618</x:v>
      </x:c>
      <x:c r="I1939" s="31" t="n">
        <x:v>2625</x:v>
      </x:c>
      <x:c r="J1939" s="31" t="n">
        <x:v>34241.44922606242</x:v>
      </x:c>
      <x:c r="K1939" s="31"/>
      <x:c r="L1939" s="40"/>
      <x:c r="M1939" s="40"/>
      <x:c r="N1939" s="31" t="n">
        <x:v>495</x:v>
      </x:c>
      <x:c r="O1939" s="31" t="n">
        <x:v>999</x:v>
      </x:c>
      <x:c r="P1939" s="31" t="n">
        <x:v>2.1822289156626504</x:v>
      </x:c>
      <x:c r="Q1939" s="40" t="n">
        <x:v>0</x:v>
      </x:c>
      <x:c r="R1939" s="40" t="n">
        <x:v>0.15915915915915915</x:v>
      </x:c>
      <x:c r="S1939" s="40" t="n">
        <x:v>0.02702702702702703</x:v>
      </x:c>
      <x:c r="T1939" s="31" t="n">
        <x:v>27.72807745955645</x:v>
      </x:c>
      <x:c r="U1939" s="31" t="n">
        <x:v>45.97</x:v>
      </x:c>
      <x:c r="V1939" s="31" t="n">
        <x:v>0</x:v>
      </x:c>
      <x:c r="W1939" s="31" t="n">
        <x:v>0</x:v>
      </x:c>
      <x:c r="X1939" s="31" t="n">
        <x:v>1</x:v>
      </x:c>
      <x:c r="Y1939" s="40" t="n">
        <x:v>0</x:v>
      </x:c>
      <x:c r="Z1939" s="40" t="n">
        <x:v>1</x:v>
      </x:c>
      <x:c r="AA1939" s="40" t="n">
        <x:v>0.992992992992993</x:v>
      </x:c>
      <x:c r="AB1939" s="31" t="n">
        <x:v>0.09577861670594628</x:v>
      </x:c>
      <x:c r="AC1939" s="31" t="n">
        <x:v>6</x:v>
      </x:c>
      <x:c r="AD1939" s="44" t="b">
        <x:v>1</x:v>
      </x:c>
    </x:row>
    <x:row r="1940">
      <x:c r="A1940" s="31" t="str">
        <x:v>36081062600</x:v>
      </x:c>
      <x:c r="B1940" s="31" t="str">
        <x:v>Queens</x:v>
      </x:c>
      <x:c r="C1940" s="31" t="str">
        <x:v>062600</x:v>
      </x:c>
      <x:c r="D1940" s="31" t="str">
        <x:v>QN1305</x:v>
      </x:c>
      <x:c r="E1940" s="31" t="str">
        <x:v>Laurelton</x:v>
      </x:c>
      <x:c r="F1940" s="31" t="n">
        <x:v>0.16685266019857667</x:v>
      </x:c>
      <x:c r="G1940" s="31" t="n">
        <x:v>40.681985349093864</x:v>
      </x:c>
      <x:c r="H1940" s="31" t="n">
        <x:v>-73.74810842552287</x:v>
      </x:c>
      <x:c r="I1940" s="31" t="n">
        <x:v>2689</x:v>
      </x:c>
      <x:c r="J1940" s="31" t="n">
        <x:v>16116.015152528797</x:v>
      </x:c>
      <x:c r="K1940" s="31"/>
      <x:c r="L1940" s="40"/>
      <x:c r="M1940" s="40"/>
      <x:c r="N1940" s="31" t="n">
        <x:v>701</x:v>
      </x:c>
      <x:c r="O1940" s="31" t="n">
        <x:v>859</x:v>
      </x:c>
      <x:c r="P1940" s="31" t="n">
        <x:v>1.9467520372526192</x:v>
      </x:c>
      <x:c r="Q1940" s="40" t="n">
        <x:v>0</x:v>
      </x:c>
      <x:c r="R1940" s="40" t="n">
        <x:v>0.01629802095459837</x:v>
      </x:c>
      <x:c r="S1940" s="40" t="n">
        <x:v>0.002328288707799767</x:v>
      </x:c>
      <x:c r="T1940" s="31" t="n">
        <x:v>24.83386823273574</x:v>
      </x:c>
      <x:c r="U1940" s="31" t="n">
        <x:v>50</x:v>
      </x:c>
      <x:c r="V1940" s="31" t="n">
        <x:v>1</x:v>
      </x:c>
      <x:c r="W1940" s="31" t="n">
        <x:v>0.3718854592785422</x:v>
      </x:c>
      <x:c r="X1940" s="31" t="n">
        <x:v>4</x:v>
      </x:c>
      <x:c r="Y1940" s="40" t="n">
        <x:v>1</x:v>
      </x:c>
      <x:c r="Z1940" s="40" t="n">
        <x:v>1</x:v>
      </x:c>
      <x:c r="AA1940" s="40" t="n">
        <x:v>1</x:v>
      </x:c>
      <x:c r="AB1940" s="31" t="n">
        <x:v>0.07438564867895486</x:v>
      </x:c>
      <x:c r="AC1940" s="31" t="n">
        <x:v>5</x:v>
      </x:c>
      <x:c r="AD1940" s="44" t="b">
        <x:v>1</x:v>
      </x:c>
    </x:row>
    <x:row r="1941">
      <x:c r="A1941" s="31" t="str">
        <x:v>36081062700</x:v>
      </x:c>
      <x:c r="B1941" s="31" t="str">
        <x:v>Queens</x:v>
      </x:c>
      <x:c r="C1941" s="31" t="str">
        <x:v>062700</x:v>
      </x:c>
      <x:c r="D1941" s="31" t="str">
        <x:v>QN0503</x:v>
      </x:c>
      <x:c r="E1941" s="31" t="str">
        <x:v>Glendale</x:v>
      </x:c>
      <x:c r="F1941" s="31" t="n">
        <x:v>0.06074187309278868</x:v>
      </x:c>
      <x:c r="G1941" s="31" t="n">
        <x:v>40.70377153223038</x:v>
      </x:c>
      <x:c r="H1941" s="31" t="n">
        <x:v>-73.88645391072242</x:v>
      </x:c>
      <x:c r="I1941" s="31" t="n">
        <x:v>3010</x:v>
      </x:c>
      <x:c r="J1941" s="31" t="n">
        <x:v>49553.95424507166</x:v>
      </x:c>
      <x:c r="K1941" s="31"/>
      <x:c r="L1941" s="40"/>
      <x:c r="M1941" s="40"/>
      <x:c r="N1941" s="31" t="n">
        <x:v>528</x:v>
      </x:c>
      <x:c r="O1941" s="31" t="n">
        <x:v>1101</x:v>
      </x:c>
      <x:c r="P1941" s="31" t="n">
        <x:v>2.181653042688465</x:v>
      </x:c>
      <x:c r="Q1941" s="40" t="n">
        <x:v>0</x:v>
      </x:c>
      <x:c r="R1941" s="40" t="n">
        <x:v>0.18528610354223432</x:v>
      </x:c>
      <x:c r="S1941" s="40" t="n">
        <x:v>0.018165304268846504</x:v>
      </x:c>
      <x:c r="T1941" s="31" t="n">
        <x:v>27.157612179364214</x:v>
      </x:c>
      <x:c r="U1941" s="31" t="n">
        <x:v>36.33</x:v>
      </x:c>
      <x:c r="V1941" s="31" t="n">
        <x:v>0</x:v>
      </x:c>
      <x:c r="W1941" s="31" t="n">
        <x:v>0</x:v>
      </x:c>
      <x:c r="X1941" s="31" t="n">
        <x:v>1</x:v>
      </x:c>
      <x:c r="Y1941" s="40" t="n">
        <x:v>0</x:v>
      </x:c>
      <x:c r="Z1941" s="40" t="n">
        <x:v>1</x:v>
      </x:c>
      <x:c r="AA1941" s="40" t="n">
        <x:v>1</x:v>
      </x:c>
      <x:c r="AB1941" s="31" t="n">
        <x:v>0.12714397331413962</x:v>
      </x:c>
      <x:c r="AC1941" s="31" t="n">
        <x:v>5</x:v>
      </x:c>
      <x:c r="AD1941" s="44" t="b">
        <x:v>1</x:v>
      </x:c>
    </x:row>
    <x:row r="1942">
      <x:c r="A1942" s="31" t="str">
        <x:v>36081062900</x:v>
      </x:c>
      <x:c r="B1942" s="31" t="str">
        <x:v>Queens</x:v>
      </x:c>
      <x:c r="C1942" s="31" t="str">
        <x:v>062900</x:v>
      </x:c>
      <x:c r="D1942" s="31" t="str">
        <x:v>QN0503</x:v>
      </x:c>
      <x:c r="E1942" s="31" t="str">
        <x:v>Glendale</x:v>
      </x:c>
      <x:c r="F1942" s="31" t="n">
        <x:v>0.07130747318784435</x:v>
      </x:c>
      <x:c r="G1942" s="31" t="n">
        <x:v>40.700935588145185</x:v>
      </x:c>
      <x:c r="H1942" s="31" t="n">
        <x:v>-73.88289766555718</x:v>
      </x:c>
      <x:c r="I1942" s="31" t="n">
        <x:v>3042</x:v>
      </x:c>
      <x:c r="J1942" s="31" t="n">
        <x:v>42660.325264737665</x:v>
      </x:c>
      <x:c r="K1942" s="31"/>
      <x:c r="L1942" s="40"/>
      <x:c r="M1942" s="40"/>
      <x:c r="N1942" s="31" t="n">
        <x:v>443</x:v>
      </x:c>
      <x:c r="O1942" s="31" t="n">
        <x:v>1202</x:v>
      </x:c>
      <x:c r="P1942" s="31" t="n">
        <x:v>2.5322379367720464</x:v>
      </x:c>
      <x:c r="Q1942" s="40" t="n">
        <x:v>0</x:v>
      </x:c>
      <x:c r="R1942" s="40" t="n">
        <x:v>0.35856905158069885</x:v>
      </x:c>
      <x:c r="S1942" s="40" t="n">
        <x:v>0.025790349417637273</x:v>
      </x:c>
      <x:c r="T1942" s="31" t="n">
        <x:v>31.515143995532448</x:v>
      </x:c>
      <x:c r="U1942" s="31" t="n">
        <x:v>62</x:v>
      </x:c>
      <x:c r="V1942" s="31" t="n">
        <x:v>6</x:v>
      </x:c>
      <x:c r="W1942" s="31" t="n">
        <x:v>1.9723865877712032</x:v>
      </x:c>
      <x:c r="X1942" s="31" t="n">
        <x:v>1</x:v>
      </x:c>
      <x:c r="Y1942" s="40" t="n">
        <x:v>0</x:v>
      </x:c>
      <x:c r="Z1942" s="40" t="n">
        <x:v>1</x:v>
      </x:c>
      <x:c r="AA1942" s="40" t="n">
        <x:v>1</x:v>
      </x:c>
      <x:c r="AB1942" s="31" t="n">
        <x:v>0.18980262637343712</x:v>
      </x:c>
      <x:c r="AC1942" s="31" t="n">
        <x:v>6</x:v>
      </x:c>
      <x:c r="AD1942" s="44" t="b">
        <x:v>1</x:v>
      </x:c>
    </x:row>
    <x:row r="1943">
      <x:c r="A1943" s="31" t="str">
        <x:v>36081063000</x:v>
      </x:c>
      <x:c r="B1943" s="31" t="str">
        <x:v>Queens</x:v>
      </x:c>
      <x:c r="C1943" s="31" t="str">
        <x:v>063000</x:v>
      </x:c>
      <x:c r="D1943" s="31" t="str">
        <x:v>QN1305</x:v>
      </x:c>
      <x:c r="E1943" s="31" t="str">
        <x:v>Laurelton</x:v>
      </x:c>
      <x:c r="F1943" s="31" t="n">
        <x:v>0.07476333434558655</x:v>
      </x:c>
      <x:c r="G1943" s="31" t="n">
        <x:v>40.680340930660776</x:v>
      </x:c>
      <x:c r="H1943" s="31" t="n">
        <x:v>-73.74353646856345</x:v>
      </x:c>
      <x:c r="I1943" s="31" t="n">
        <x:v>1602</x:v>
      </x:c>
      <x:c r="J1943" s="31" t="n">
        <x:v>21427.61574269687</x:v>
      </x:c>
      <x:c r="K1943" s="31"/>
      <x:c r="L1943" s="40"/>
      <x:c r="M1943" s="40"/>
      <x:c r="N1943" s="31" t="n">
        <x:v>476</x:v>
      </x:c>
      <x:c r="O1943" s="31" t="n">
        <x:v>504</x:v>
      </x:c>
      <x:c r="P1943" s="31" t="n">
        <x:v>1.8795039682539683</x:v>
      </x:c>
      <x:c r="Q1943" s="40" t="n">
        <x:v>0</x:v>
      </x:c>
      <x:c r="R1943" s="40" t="n">
        <x:v>0</x:v>
      </x:c>
      <x:c r="S1943" s="40" t="n">
        <x:v>0.011904761904761904</x:v>
      </x:c>
      <x:c r="T1943" s="31" t="n">
        <x:v>23.41768589593254</x:v>
      </x:c>
      <x:c r="U1943" s="31" t="n">
        <x:v>33.91</x:v>
      </x:c>
      <x:c r="V1943" s="31" t="n">
        <x:v>0</x:v>
      </x:c>
      <x:c r="W1943" s="31" t="n">
        <x:v>0</x:v>
      </x:c>
      <x:c r="X1943" s="31" t="n">
        <x:v>4</x:v>
      </x:c>
      <x:c r="Y1943" s="40" t="n">
        <x:v>1</x:v>
      </x:c>
      <x:c r="Z1943" s="40" t="n">
        <x:v>1</x:v>
      </x:c>
      <x:c r="AA1943" s="40" t="n">
        <x:v>1</x:v>
      </x:c>
      <x:c r="AB1943" s="31" t="n">
        <x:v>0.2588101144765375</x:v>
      </x:c>
      <x:c r="AC1943" s="31" t="n">
        <x:v>6</x:v>
      </x:c>
      <x:c r="AD1943" s="44" t="b">
        <x:v>1</x:v>
      </x:c>
    </x:row>
    <x:row r="1944">
      <x:c r="A1944" s="31" t="str">
        <x:v>36081063200</x:v>
      </x:c>
      <x:c r="B1944" s="31" t="str">
        <x:v>Queens</x:v>
      </x:c>
      <x:c r="C1944" s="31" t="str">
        <x:v>063200</x:v>
      </x:c>
      <x:c r="D1944" s="31" t="str">
        <x:v>QN1305</x:v>
      </x:c>
      <x:c r="E1944" s="31" t="str">
        <x:v>Laurelton</x:v>
      </x:c>
      <x:c r="F1944" s="31" t="n">
        <x:v>0.1145263747772469</x:v>
      </x:c>
      <x:c r="G1944" s="31" t="n">
        <x:v>40.67651823863529</x:v>
      </x:c>
      <x:c r="H1944" s="31" t="n">
        <x:v>-73.74051186156157</x:v>
      </x:c>
      <x:c r="I1944" s="31" t="n">
        <x:v>2261</x:v>
      </x:c>
      <x:c r="J1944" s="31" t="n">
        <x:v>19742.177331620172</x:v>
      </x:c>
      <x:c r="K1944" s="31"/>
      <x:c r="L1944" s="40"/>
      <x:c r="M1944" s="40"/>
      <x:c r="N1944" s="31" t="n">
        <x:v>567</x:v>
      </x:c>
      <x:c r="O1944" s="31" t="n">
        <x:v>641</x:v>
      </x:c>
      <x:c r="P1944" s="31" t="n">
        <x:v>2.156801872074883</x:v>
      </x:c>
      <x:c r="Q1944" s="40" t="n">
        <x:v>0</x:v>
      </x:c>
      <x:c r="R1944" s="40" t="n">
        <x:v>0</x:v>
      </x:c>
      <x:c r="S1944" s="40" t="n">
        <x:v>0.0187207488299532</x:v>
      </x:c>
      <x:c r="T1944" s="31" t="n">
        <x:v>26.96398025026604</x:v>
      </x:c>
      <x:c r="U1944" s="31" t="n">
        <x:v>35.98</x:v>
      </x:c>
      <x:c r="V1944" s="31" t="n">
        <x:v>0</x:v>
      </x:c>
      <x:c r="W1944" s="31" t="n">
        <x:v>0</x:v>
      </x:c>
      <x:c r="X1944" s="31" t="n">
        <x:v>4</x:v>
      </x:c>
      <x:c r="Y1944" s="40" t="n">
        <x:v>1</x:v>
      </x:c>
      <x:c r="Z1944" s="40" t="n">
        <x:v>1</x:v>
      </x:c>
      <x:c r="AA1944" s="40" t="n">
        <x:v>0.9968798751950078</x:v>
      </x:c>
      <x:c r="AB1944" s="31" t="n">
        <x:v>0.24522692708421598</x:v>
      </x:c>
      <x:c r="AC1944" s="31" t="n">
        <x:v>6</x:v>
      </x:c>
      <x:c r="AD1944" s="44" t="b">
        <x:v>1</x:v>
      </x:c>
    </x:row>
    <x:row r="1945">
      <x:c r="A1945" s="31" t="str">
        <x:v>36081063301</x:v>
      </x:c>
      <x:c r="B1945" s="31" t="str">
        <x:v>Queens</x:v>
      </x:c>
      <x:c r="C1945" s="31" t="str">
        <x:v>063301</x:v>
      </x:c>
      <x:c r="D1945" s="31" t="str">
        <x:v>QN0503</x:v>
      </x:c>
      <x:c r="E1945" s="31" t="str">
        <x:v>Glendale</x:v>
      </x:c>
      <x:c r="F1945" s="31" t="n">
        <x:v>0.0520973496642562</x:v>
      </x:c>
      <x:c r="G1945" s="31" t="n">
        <x:v>40.70448707571465</x:v>
      </x:c>
      <x:c r="H1945" s="31" t="n">
        <x:v>-73.87457404847889</x:v>
      </x:c>
      <x:c r="I1945" s="31" t="n">
        <x:v>1587</x:v>
      </x:c>
      <x:c r="J1945" s="31" t="n">
        <x:v>30462.20220850956</x:v>
      </x:c>
      <x:c r="K1945" s="31"/>
      <x:c r="L1945" s="40"/>
      <x:c r="M1945" s="40"/>
      <x:c r="N1945" s="31" t="n">
        <x:v>336</x:v>
      </x:c>
      <x:c r="O1945" s="31" t="n">
        <x:v>613</x:v>
      </x:c>
      <x:c r="P1945" s="31" t="n">
        <x:v>2.1101141924959217</x:v>
      </x:c>
      <x:c r="Q1945" s="40" t="n">
        <x:v>0</x:v>
      </x:c>
      <x:c r="R1945" s="40" t="n">
        <x:v>0.11745513866231648</x:v>
      </x:c>
      <x:c r="S1945" s="40" t="n">
        <x:v>0.0016313213703099511</x:v>
      </x:c>
      <x:c r="T1945" s="31" t="n">
        <x:v>25.33364769322259</x:v>
      </x:c>
      <x:c r="U1945" s="31" t="n">
        <x:v>34.6</x:v>
      </x:c>
      <x:c r="V1945" s="31" t="n">
        <x:v>0</x:v>
      </x:c>
      <x:c r="W1945" s="31" t="n">
        <x:v>0</x:v>
      </x:c>
      <x:c r="X1945" s="31" t="n">
        <x:v>1</x:v>
      </x:c>
      <x:c r="Y1945" s="40" t="n">
        <x:v>0</x:v>
      </x:c>
      <x:c r="Z1945" s="40" t="n">
        <x:v>1</x:v>
      </x:c>
      <x:c r="AA1945" s="40" t="n">
        <x:v>0.9820554649265906</x:v>
      </x:c>
      <x:c r="AB1945" s="31" t="n">
        <x:v>0.03999389326953088</x:v>
      </x:c>
      <x:c r="AC1945" s="31" t="n">
        <x:v>5</x:v>
      </x:c>
      <x:c r="AD1945" s="44" t="b">
        <x:v>1</x:v>
      </x:c>
    </x:row>
    <x:row r="1946">
      <x:c r="A1946" s="31" t="str">
        <x:v>36081063302</x:v>
      </x:c>
      <x:c r="B1946" s="31" t="str">
        <x:v>Queens</x:v>
      </x:c>
      <x:c r="C1946" s="31" t="str">
        <x:v>063302</x:v>
      </x:c>
      <x:c r="D1946" s="31" t="str">
        <x:v>QN0503</x:v>
      </x:c>
      <x:c r="E1946" s="31" t="str">
        <x:v>Glendale</x:v>
      </x:c>
      <x:c r="F1946" s="31" t="n">
        <x:v>0.053475056643853304</x:v>
      </x:c>
      <x:c r="G1946" s="31" t="n">
        <x:v>40.705391016331546</x:v>
      </x:c>
      <x:c r="H1946" s="31" t="n">
        <x:v>-73.87140565393486</x:v>
      </x:c>
      <x:c r="I1946" s="31" t="n">
        <x:v>1665</x:v>
      </x:c>
      <x:c r="J1946" s="31" t="n">
        <x:v>31136.01189969723</x:v>
      </x:c>
      <x:c r="K1946" s="31"/>
      <x:c r="L1946" s="40"/>
      <x:c r="M1946" s="40"/>
      <x:c r="N1946" s="31" t="n">
        <x:v>382</x:v>
      </x:c>
      <x:c r="O1946" s="31" t="n">
        <x:v>640</x:v>
      </x:c>
      <x:c r="P1946" s="31" t="n">
        <x:v>2.052734375</x:v>
      </x:c>
      <x:c r="Q1946" s="40" t="n">
        <x:v>0</x:v>
      </x:c>
      <x:c r="R1946" s="40" t="n">
        <x:v>0.0609375</x:v>
      </x:c>
      <x:c r="S1946" s="40" t="n">
        <x:v>0.003125</x:v>
      </x:c>
      <x:c r="T1946" s="31" t="n">
        <x:v>25.1494564534375</x:v>
      </x:c>
      <x:c r="U1946" s="31" t="n">
        <x:v>42.46</x:v>
      </x:c>
      <x:c r="V1946" s="31" t="n">
        <x:v>1</x:v>
      </x:c>
      <x:c r="W1946" s="31" t="n">
        <x:v>0.6006006006006006</x:v>
      </x:c>
      <x:c r="X1946" s="31" t="n">
        <x:v>1</x:v>
      </x:c>
      <x:c r="Y1946" s="40" t="n">
        <x:v>0</x:v>
      </x:c>
      <x:c r="Z1946" s="40" t="n">
        <x:v>1</x:v>
      </x:c>
      <x:c r="AA1946" s="40" t="n">
        <x:v>1</x:v>
      </x:c>
      <x:c r="AB1946" s="31" t="n">
        <x:v>0.1881520722749115</x:v>
      </x:c>
      <x:c r="AC1946" s="31" t="n">
        <x:v>6</x:v>
      </x:c>
      <x:c r="AD1946" s="44" t="b">
        <x:v>1</x:v>
      </x:c>
    </x:row>
    <x:row r="1947">
      <x:c r="A1947" s="31" t="str">
        <x:v>36081063500</x:v>
      </x:c>
      <x:c r="B1947" s="31" t="str">
        <x:v>Queens</x:v>
      </x:c>
      <x:c r="C1947" s="31" t="str">
        <x:v>063500</x:v>
      </x:c>
      <x:c r="D1947" s="31" t="str">
        <x:v>QN0503</x:v>
      </x:c>
      <x:c r="E1947" s="31" t="str">
        <x:v>Glendale</x:v>
      </x:c>
      <x:c r="F1947" s="31" t="n">
        <x:v>0.07316608891292183</x:v>
      </x:c>
      <x:c r="G1947" s="31" t="n">
        <x:v>40.704739572620895</x:v>
      </x:c>
      <x:c r="H1947" s="31" t="n">
        <x:v>-73.86696187583237</x:v>
      </x:c>
      <x:c r="I1947" s="31" t="n">
        <x:v>2784</x:v>
      </x:c>
      <x:c r="J1947" s="31" t="n">
        <x:v>38050.414356757006</x:v>
      </x:c>
      <x:c r="K1947" s="31"/>
      <x:c r="L1947" s="40"/>
      <x:c r="M1947" s="40"/>
      <x:c r="N1947" s="31" t="n">
        <x:v>554</x:v>
      </x:c>
      <x:c r="O1947" s="31" t="n">
        <x:v>1064</x:v>
      </x:c>
      <x:c r="P1947" s="31" t="n">
        <x:v>2.2429990539262064</x:v>
      </x:c>
      <x:c r="Q1947" s="40" t="n">
        <x:v>0</x:v>
      </x:c>
      <x:c r="R1947" s="40" t="n">
        <x:v>0.08458646616541353</x:v>
      </x:c>
      <x:c r="S1947" s="40" t="n">
        <x:v>0.007518796992481203</x:v>
      </x:c>
      <x:c r="T1947" s="31" t="n">
        <x:v>27.600181890065915</x:v>
      </x:c>
      <x:c r="U1947" s="31" t="n">
        <x:v>40.94204311</x:v>
      </x:c>
      <x:c r="V1947" s="31" t="n">
        <x:v>0</x:v>
      </x:c>
      <x:c r="W1947" s="31" t="n">
        <x:v>0</x:v>
      </x:c>
      <x:c r="X1947" s="31" t="n">
        <x:v>1</x:v>
      </x:c>
      <x:c r="Y1947" s="40" t="n">
        <x:v>0</x:v>
      </x:c>
      <x:c r="Z1947" s="40" t="n">
        <x:v>1</x:v>
      </x:c>
      <x:c r="AA1947" s="40" t="n">
        <x:v>0.9981203007518797</x:v>
      </x:c>
      <x:c r="AB1947" s="31" t="n">
        <x:v>0.2820571245716223</x:v>
      </x:c>
      <x:c r="AC1947" s="31" t="n">
        <x:v>4</x:v>
      </x:c>
      <x:c r="AD1947" s="44" t="b">
        <x:v>1</x:v>
      </x:c>
    </x:row>
    <x:row r="1948">
      <x:c r="A1948" s="31" t="str">
        <x:v>36081063700</x:v>
      </x:c>
      <x:c r="B1948" s="31" t="str">
        <x:v>Queens</x:v>
      </x:c>
      <x:c r="C1948" s="31" t="str">
        <x:v>063700</x:v>
      </x:c>
      <x:c r="D1948" s="31" t="str">
        <x:v>QN0503</x:v>
      </x:c>
      <x:c r="E1948" s="31" t="str">
        <x:v>Glendale</x:v>
      </x:c>
      <x:c r="F1948" s="31" t="n">
        <x:v>0.2671538016073376</x:v>
      </x:c>
      <x:c r="G1948" s="31" t="n">
        <x:v>40.70834412826465</x:v>
      </x:c>
      <x:c r="H1948" s="31" t="n">
        <x:v>-73.86230722076822</x:v>
      </x:c>
      <x:c r="I1948" s="31" t="n">
        <x:v>3507</x:v>
      </x:c>
      <x:c r="J1948" s="31" t="n">
        <x:v>13127.269680985431</x:v>
      </x:c>
      <x:c r="K1948" s="31"/>
      <x:c r="L1948" s="40"/>
      <x:c r="M1948" s="40"/>
      <x:c r="N1948" s="31" t="n">
        <x:v>857</x:v>
      </x:c>
      <x:c r="O1948" s="31" t="n">
        <x:v>1268</x:v>
      </x:c>
      <x:c r="P1948" s="31" t="n">
        <x:v>2.0252287066246053</x:v>
      </x:c>
      <x:c r="Q1948" s="40" t="n">
        <x:v>0</x:v>
      </x:c>
      <x:c r="R1948" s="40" t="n">
        <x:v>0.0031545741324921135</x:v>
      </x:c>
      <x:c r="S1948" s="40" t="n">
        <x:v>0.09858044164037855</x:v>
      </x:c>
      <x:c r="T1948" s="31" t="n">
        <x:v>25.96617812681388</x:v>
      </x:c>
      <x:c r="U1948" s="31" t="n">
        <x:v>37.51112546</x:v>
      </x:c>
      <x:c r="V1948" s="31" t="n">
        <x:v>1</x:v>
      </x:c>
      <x:c r="W1948" s="31" t="n">
        <x:v>0.285143997718848</x:v>
      </x:c>
      <x:c r="X1948" s="31" t="n">
        <x:v>1.0772870662460567</x:v>
      </x:c>
      <x:c r="Y1948" s="40" t="n">
        <x:v>0</x:v>
      </x:c>
      <x:c r="Z1948" s="40" t="n">
        <x:v>1</x:v>
      </x:c>
      <x:c r="AA1948" s="40" t="n">
        <x:v>1</x:v>
      </x:c>
      <x:c r="AB1948" s="31" t="n">
        <x:v>0.2031556832199913</x:v>
      </x:c>
      <x:c r="AC1948" s="31" t="n">
        <x:v>9</x:v>
      </x:c>
      <x:c r="AD1948" s="44" t="b">
        <x:v>1</x:v>
      </x:c>
    </x:row>
    <x:row r="1949">
      <x:c r="A1949" s="31" t="str">
        <x:v>36081063800</x:v>
      </x:c>
      <x:c r="B1949" s="31" t="str">
        <x:v>Queens</x:v>
      </x:c>
      <x:c r="C1949" s="31" t="str">
        <x:v>063800</x:v>
      </x:c>
      <x:c r="D1949" s="31" t="str">
        <x:v>QN1307</x:v>
      </x:c>
      <x:c r="E1949" s="31" t="str">
        <x:v>Rosedale</x:v>
      </x:c>
      <x:c r="F1949" s="31" t="n">
        <x:v>0.26568529488923326</x:v>
      </x:c>
      <x:c r="G1949" s="31" t="n">
        <x:v>40.66983222307518</x:v>
      </x:c>
      <x:c r="H1949" s="31" t="n">
        <x:v>-73.73301302145683</x:v>
      </x:c>
      <x:c r="I1949" s="31" t="n">
        <x:v>3584</x:v>
      </x:c>
      <x:c r="J1949" s="31" t="n">
        <x:v>13489.643834048866</x:v>
      </x:c>
      <x:c r="K1949" s="31"/>
      <x:c r="L1949" s="40"/>
      <x:c r="M1949" s="40"/>
      <x:c r="N1949" s="31" t="n">
        <x:v>855</x:v>
      </x:c>
      <x:c r="O1949" s="31" t="n">
        <x:v>985</x:v>
      </x:c>
      <x:c r="P1949" s="31" t="n">
        <x:v>1.8202131979695433</x:v>
      </x:c>
      <x:c r="Q1949" s="40" t="n">
        <x:v>0</x:v>
      </x:c>
      <x:c r="R1949" s="40" t="n">
        <x:v>0.0020304568527918783</x:v>
      </x:c>
      <x:c r="S1949" s="40" t="n">
        <x:v>0.01015228426395939</x:v>
      </x:c>
      <x:c r="T1949" s="31" t="n">
        <x:v>25.24004512730691</x:v>
      </x:c>
      <x:c r="U1949" s="31" t="n">
        <x:v>38.1076</x:v>
      </x:c>
      <x:c r="V1949" s="31" t="n">
        <x:v>0</x:v>
      </x:c>
      <x:c r="W1949" s="31" t="n">
        <x:v>0</x:v>
      </x:c>
      <x:c r="X1949" s="31" t="n">
        <x:v>4</x:v>
      </x:c>
      <x:c r="Y1949" s="40" t="n">
        <x:v>1</x:v>
      </x:c>
      <x:c r="Z1949" s="40" t="n">
        <x:v>1</x:v>
      </x:c>
      <x:c r="AA1949" s="40" t="n">
        <x:v>0.9989847715736041</x:v>
      </x:c>
      <x:c r="AB1949" s="31" t="n">
        <x:v>0.11685170445197134</x:v>
      </x:c>
      <x:c r="AC1949" s="31" t="n">
        <x:v>8</x:v>
      </x:c>
      <x:c r="AD1949" s="44" t="b">
        <x:v>1</x:v>
      </x:c>
    </x:row>
    <x:row r="1950">
      <x:c r="A1950" s="31" t="str">
        <x:v>36081063900</x:v>
      </x:c>
      <x:c r="B1950" s="31" t="str">
        <x:v>Queens</x:v>
      </x:c>
      <x:c r="C1950" s="31" t="str">
        <x:v>063900</x:v>
      </x:c>
      <x:c r="D1950" s="31" t="str">
        <x:v>QN0503</x:v>
      </x:c>
      <x:c r="E1950" s="31" t="str">
        <x:v>Glendale</x:v>
      </x:c>
      <x:c r="F1950" s="31" t="n">
        <x:v>0.09344140114533114</x:v>
      </x:c>
      <x:c r="G1950" s="31" t="n">
        <x:v>40.7038616489751</x:v>
      </x:c>
      <x:c r="H1950" s="31" t="n">
        <x:v>-73.85709682029767</x:v>
      </x:c>
      <x:c r="I1950" s="31" t="n">
        <x:v>2794</x:v>
      </x:c>
      <x:c r="J1950" s="31" t="n">
        <x:v>29901.092724994993</x:v>
      </x:c>
      <x:c r="K1950" s="31"/>
      <x:c r="L1950" s="40"/>
      <x:c r="M1950" s="40"/>
      <x:c r="N1950" s="31" t="n">
        <x:v>466</x:v>
      </x:c>
      <x:c r="O1950" s="31" t="n">
        <x:v>1150</x:v>
      </x:c>
      <x:c r="P1950" s="31" t="n">
        <x:v>5.984921328671328</x:v>
      </x:c>
      <x:c r="Q1950" s="40" t="n">
        <x:v>0.20956521739130435</x:v>
      </x:c>
      <x:c r="R1950" s="40" t="n">
        <x:v>0.13130434782608696</x:v>
      </x:c>
      <x:c r="S1950" s="40" t="n">
        <x:v>0.0017391304347826088</x:v>
      </x:c>
      <x:c r="T1950" s="31" t="n">
        <x:v>60.30136101082746</x:v>
      </x:c>
      <x:c r="U1950" s="31" t="n">
        <x:v>182.41717085</x:v>
      </x:c>
      <x:c r="V1950" s="31" t="n">
        <x:v>5</x:v>
      </x:c>
      <x:c r="W1950" s="31" t="n">
        <x:v>1.7895490336435218</x:v>
      </x:c>
      <x:c r="X1950" s="31" t="n">
        <x:v>1</x:v>
      </x:c>
      <x:c r="Y1950" s="40" t="n">
        <x:v>0</x:v>
      </x:c>
      <x:c r="Z1950" s="40" t="n">
        <x:v>1</x:v>
      </x:c>
      <x:c r="AA1950" s="40" t="n">
        <x:v>0.9878260869565217</x:v>
      </x:c>
      <x:c r="AB1950" s="31" t="n">
        <x:v>0.2636904349062133</x:v>
      </x:c>
      <x:c r="AC1950" s="31" t="n">
        <x:v>3</x:v>
      </x:c>
      <x:c r="AD1950" s="44" t="b">
        <x:v>1</x:v>
      </x:c>
    </x:row>
    <x:row r="1951">
      <x:c r="A1951" s="31" t="str">
        <x:v>36081064101</x:v>
      </x:c>
      <x:c r="B1951" s="31" t="str">
        <x:v>Queens</x:v>
      </x:c>
      <x:c r="C1951" s="31" t="str">
        <x:v>064101</x:v>
      </x:c>
      <x:c r="D1951" s="31" t="str">
        <x:v>QN0905</x:v>
      </x:c>
      <x:c r="E1951" s="31" t="str">
        <x:v>Woodhaven</x:v>
      </x:c>
      <x:c r="F1951" s="31" t="n">
        <x:v>0.031870414698799074</x:v>
      </x:c>
      <x:c r="G1951" s="31" t="n">
        <x:v>40.69912605152813</x:v>
      </x:c>
      <x:c r="H1951" s="31" t="n">
        <x:v>-73.85175561216582</x:v>
      </x:c>
      <x:c r="I1951" s="31" t="n">
        <x:v>2378</x:v>
      </x:c>
      <x:c r="J1951" s="31" t="n">
        <x:v>74614.65507976609</x:v>
      </x:c>
      <x:c r="K1951" s="31"/>
      <x:c r="L1951" s="40"/>
      <x:c r="M1951" s="40"/>
      <x:c r="N1951" s="31" t="n">
        <x:v>46</x:v>
      </x:c>
      <x:c r="O1951" s="31" t="n">
        <x:v>964</x:v>
      </x:c>
      <x:c r="P1951" s="31" t="n">
        <x:v>5.609958506224066</x:v>
      </x:c>
      <x:c r="Q1951" s="40" t="n">
        <x:v>0</x:v>
      </x:c>
      <x:c r="R1951" s="40" t="n">
        <x:v>0.9045643153526971</x:v>
      </x:c>
      <x:c r="S1951" s="40" t="n">
        <x:v>0.7551867219917012</x:v>
      </x:c>
      <x:c r="T1951" s="31" t="n">
        <x:v>60.708817427385895</x:v>
      </x:c>
      <x:c r="U1951" s="31" t="n">
        <x:v>71.08</x:v>
      </x:c>
      <x:c r="V1951" s="31" t="n">
        <x:v>17</x:v>
      </x:c>
      <x:c r="W1951" s="31" t="n">
        <x:v>7.148864592094197</x:v>
      </x:c>
      <x:c r="X1951" s="31" t="n">
        <x:v>2</x:v>
      </x:c>
      <x:c r="Y1951" s="40" t="n">
        <x:v>0</x:v>
      </x:c>
      <x:c r="Z1951" s="40" t="n">
        <x:v>1</x:v>
      </x:c>
      <x:c r="AA1951" s="40" t="n">
        <x:v>1</x:v>
      </x:c>
      <x:c r="AB1951" s="31" t="n">
        <x:v>0.23683560342929227</x:v>
      </x:c>
      <x:c r="AC1951" s="31" t="n">
        <x:v>4</x:v>
      </x:c>
      <x:c r="AD1951" s="44" t="b">
        <x:v>1</x:v>
      </x:c>
    </x:row>
    <x:row r="1952">
      <x:c r="A1952" s="31" t="str">
        <x:v>36081064102</x:v>
      </x:c>
      <x:c r="B1952" s="31" t="str">
        <x:v>Queens</x:v>
      </x:c>
      <x:c r="C1952" s="31" t="str">
        <x:v>064102</x:v>
      </x:c>
      <x:c r="D1952" s="31" t="str">
        <x:v>QN8291</x:v>
      </x:c>
      <x:c r="E1952" s="31" t="str">
        <x:v>Forest Park</x:v>
      </x:c>
      <x:c r="F1952" s="31" t="n">
        <x:v>0.8612307777347337</x:v>
      </x:c>
      <x:c r="G1952" s="31" t="n">
        <x:v>40.702076117885376</x:v>
      </x:c>
      <x:c r="H1952" s="31" t="n">
        <x:v>-73.85346130353506</x:v>
      </x:c>
      <x:c r="I1952" s="31" t="n">
        <x:v>4</x:v>
      </x:c>
      <x:c r="J1952" s="31" t="n">
        <x:v>4.644515852674315</x:v>
      </x:c>
      <x:c r="K1952" s="31"/>
      <x:c r="L1952" s="40"/>
      <x:c r="M1952" s="40"/>
      <x:c r="N1952" s="31" t="n">
        <x:v>0</x:v>
      </x:c>
      <x:c r="O1952" s="31"/>
      <x:c r="P1952" s="31"/>
      <x:c r="Q1952" s="40"/>
      <x:c r="R1952" s="40"/>
      <x:c r="S1952" s="40"/>
      <x:c r="T1952" s="31"/>
      <x:c r="U1952" s="31"/>
      <x:c r="V1952" s="31" t="n">
        <x:v>0</x:v>
      </x:c>
      <x:c r="W1952" s="31" t="n">
        <x:v>0</x:v>
      </x:c>
      <x:c r="X1952" s="31"/>
      <x:c r="Y1952" s="40"/>
      <x:c r="Z1952" s="40"/>
      <x:c r="AA1952" s="40"/>
      <x:c r="AB1952" s="31" t="n">
        <x:v>0.4392665452501853</x:v>
      </x:c>
      <x:c r="AC1952" s="31" t="n">
        <x:v>19</x:v>
      </x:c>
      <x:c r="AD1952" s="44" t="b">
        <x:v>0</x:v>
      </x:c>
    </x:row>
    <x:row r="1953">
      <x:c r="A1953" s="31" t="str">
        <x:v>36081064500</x:v>
      </x:c>
      <x:c r="B1953" s="31" t="str">
        <x:v>Queens</x:v>
      </x:c>
      <x:c r="C1953" s="31" t="str">
        <x:v>064500</x:v>
      </x:c>
      <x:c r="D1953" s="31" t="str">
        <x:v>QN0602</x:v>
      </x:c>
      <x:c r="E1953" s="31" t="str">
        <x:v>Forest Hills</x:v>
      </x:c>
      <x:c r="F1953" s="31" t="n">
        <x:v>0.12204194552700298</x:v>
      </x:c>
      <x:c r="G1953" s="31" t="n">
        <x:v>40.709111258854904</x:v>
      </x:c>
      <x:c r="H1953" s="31" t="n">
        <x:v>-73.8521969358918</x:v>
      </x:c>
      <x:c r="I1953" s="31" t="n">
        <x:v>2064</x:v>
      </x:c>
      <x:c r="J1953" s="31" t="n">
        <x:v>16912.218099172467</x:v>
      </x:c>
      <x:c r="K1953" s="31"/>
      <x:c r="L1953" s="40"/>
      <x:c r="M1953" s="40"/>
      <x:c r="N1953" s="31" t="n">
        <x:v>537</x:v>
      </x:c>
      <x:c r="O1953" s="31" t="n">
        <x:v>785</x:v>
      </x:c>
      <x:c r="P1953" s="31" t="n">
        <x:v>2.089452229299363</x:v>
      </x:c>
      <x:c r="Q1953" s="40" t="n">
        <x:v>0</x:v>
      </x:c>
      <x:c r="R1953" s="40" t="n">
        <x:v>0.08917197452229299</x:v>
      </x:c>
      <x:c r="S1953" s="40" t="n">
        <x:v>0.01019108280254777</x:v>
      </x:c>
      <x:c r="T1953" s="31" t="n">
        <x:v>25.72194397429847</x:v>
      </x:c>
      <x:c r="U1953" s="31" t="n">
        <x:v>36.71320532</x:v>
      </x:c>
      <x:c r="V1953" s="31" t="n">
        <x:v>0</x:v>
      </x:c>
      <x:c r="W1953" s="31" t="n">
        <x:v>0</x:v>
      </x:c>
      <x:c r="X1953" s="31" t="n">
        <x:v>2</x:v>
      </x:c>
      <x:c r="Y1953" s="40" t="n">
        <x:v>0</x:v>
      </x:c>
      <x:c r="Z1953" s="40" t="n">
        <x:v>1</x:v>
      </x:c>
      <x:c r="AA1953" s="40" t="n">
        <x:v>0.9987261146496815</x:v>
      </x:c>
      <x:c r="AB1953" s="31" t="n">
        <x:v>0.1633252500571982</x:v>
      </x:c>
      <x:c r="AC1953" s="31" t="n">
        <x:v>8</x:v>
      </x:c>
      <x:c r="AD1953" s="44" t="b">
        <x:v>1</x:v>
      </x:c>
    </x:row>
    <x:row r="1954">
      <x:c r="A1954" s="31" t="str">
        <x:v>36081064600</x:v>
      </x:c>
      <x:c r="B1954" s="31" t="str">
        <x:v>Queens</x:v>
      </x:c>
      <x:c r="C1954" s="31" t="str">
        <x:v>064600</x:v>
      </x:c>
      <x:c r="D1954" s="31" t="str">
        <x:v>QN1305</x:v>
      </x:c>
      <x:c r="E1954" s="31" t="str">
        <x:v>Laurelton</x:v>
      </x:c>
      <x:c r="F1954" s="31" t="n">
        <x:v>0.15895533357222796</x:v>
      </x:c>
      <x:c r="G1954" s="31" t="n">
        <x:v>40.67276272412562</x:v>
      </x:c>
      <x:c r="H1954" s="31" t="n">
        <x:v>-73.74226231862848</x:v>
      </x:c>
      <x:c r="I1954" s="31" t="n">
        <x:v>3025</x:v>
      </x:c>
      <x:c r="J1954" s="31" t="n">
        <x:v>19030.503299377906</x:v>
      </x:c>
      <x:c r="K1954" s="31"/>
      <x:c r="L1954" s="40"/>
      <x:c r="M1954" s="40"/>
      <x:c r="N1954" s="31" t="n">
        <x:v>764</x:v>
      </x:c>
      <x:c r="O1954" s="31" t="n">
        <x:v>928</x:v>
      </x:c>
      <x:c r="P1954" s="31" t="n">
        <x:v>1.9886530172413794</x:v>
      </x:c>
      <x:c r="Q1954" s="40" t="n">
        <x:v>0</x:v>
      </x:c>
      <x:c r="R1954" s="40" t="n">
        <x:v>0.0010775862068965517</x:v>
      </x:c>
      <x:c r="S1954" s="40" t="n">
        <x:v>0.011853448275862068</x:v>
      </x:c>
      <x:c r="T1954" s="31" t="n">
        <x:v>25.36388494574514</x:v>
      </x:c>
      <x:c r="U1954" s="31" t="n">
        <x:v>36.93412055</x:v>
      </x:c>
      <x:c r="V1954" s="31" t="n">
        <x:v>0</x:v>
      </x:c>
      <x:c r="W1954" s="31" t="n">
        <x:v>0</x:v>
      </x:c>
      <x:c r="X1954" s="31" t="n">
        <x:v>4</x:v>
      </x:c>
      <x:c r="Y1954" s="40" t="n">
        <x:v>1</x:v>
      </x:c>
      <x:c r="Z1954" s="40" t="n">
        <x:v>1</x:v>
      </x:c>
      <x:c r="AA1954" s="40" t="n">
        <x:v>0.9978448275862069</x:v>
      </x:c>
      <x:c r="AB1954" s="31" t="n">
        <x:v>0.04796174668675211</x:v>
      </x:c>
      <x:c r="AC1954" s="31" t="n">
        <x:v>5</x:v>
      </x:c>
      <x:c r="AD1954" s="44" t="b">
        <x:v>1</x:v>
      </x:c>
    </x:row>
    <x:row r="1955">
      <x:c r="A1955" s="31" t="str">
        <x:v>36081065000</x:v>
      </x:c>
      <x:c r="B1955" s="31" t="str">
        <x:v>Queens</x:v>
      </x:c>
      <x:c r="C1955" s="31" t="str">
        <x:v>065000</x:v>
      </x:c>
      <x:c r="D1955" s="31" t="str">
        <x:v>QN1305</x:v>
      </x:c>
      <x:c r="E1955" s="31" t="str">
        <x:v>Laurelton</x:v>
      </x:c>
      <x:c r="F1955" s="31" t="n">
        <x:v>0.15440634583656165</x:v>
      </x:c>
      <x:c r="G1955" s="31" t="n">
        <x:v>40.66945918334938</x:v>
      </x:c>
      <x:c r="H1955" s="31" t="n">
        <x:v>-73.74482362274216</x:v>
      </x:c>
      <x:c r="I1955" s="31" t="n">
        <x:v>2831</x:v>
      </x:c>
      <x:c r="J1955" s="31" t="n">
        <x:v>18334.73867062821</x:v>
      </x:c>
      <x:c r="K1955" s="31"/>
      <x:c r="L1955" s="40"/>
      <x:c r="M1955" s="40"/>
      <x:c r="N1955" s="31" t="n">
        <x:v>722</x:v>
      </x:c>
      <x:c r="O1955" s="31" t="n">
        <x:v>840</x:v>
      </x:c>
      <x:c r="P1955" s="31" t="n">
        <x:v>2.019738095238095</x:v>
      </x:c>
      <x:c r="Q1955" s="40" t="n">
        <x:v>0</x:v>
      </x:c>
      <x:c r="R1955" s="40" t="n">
        <x:v>0</x:v>
      </x:c>
      <x:c r="S1955" s="40" t="n">
        <x:v>0.010714285714285714</x:v>
      </x:c>
      <x:c r="T1955" s="31" t="n">
        <x:v>26.41331415292857</x:v>
      </x:c>
      <x:c r="U1955" s="31" t="n">
        <x:v>37.78148823</x:v>
      </x:c>
      <x:c r="V1955" s="31" t="n">
        <x:v>0</x:v>
      </x:c>
      <x:c r="W1955" s="31" t="n">
        <x:v>0</x:v>
      </x:c>
      <x:c r="X1955" s="31" t="n">
        <x:v>4.003571428571429</x:v>
      </x:c>
      <x:c r="Y1955" s="40" t="n">
        <x:v>1</x:v>
      </x:c>
      <x:c r="Z1955" s="40" t="n">
        <x:v>1</x:v>
      </x:c>
      <x:c r="AA1955" s="40" t="n">
        <x:v>1</x:v>
      </x:c>
      <x:c r="AB1955" s="31" t="n">
        <x:v>0.232204813631545</x:v>
      </x:c>
      <x:c r="AC1955" s="31" t="n">
        <x:v>6</x:v>
      </x:c>
      <x:c r="AD1955" s="44" t="b">
        <x:v>1</x:v>
      </x:c>
    </x:row>
    <x:row r="1956">
      <x:c r="A1956" s="31" t="str">
        <x:v>36081065401</x:v>
      </x:c>
      <x:c r="B1956" s="31" t="str">
        <x:v>Queens</x:v>
      </x:c>
      <x:c r="C1956" s="31" t="str">
        <x:v>065401</x:v>
      </x:c>
      <x:c r="D1956" s="31" t="str">
        <x:v>QN1307</x:v>
      </x:c>
      <x:c r="E1956" s="31" t="str">
        <x:v>Rosedale</x:v>
      </x:c>
      <x:c r="F1956" s="31" t="n">
        <x:v>0.16633219712035124</x:v>
      </x:c>
      <x:c r="G1956" s="31" t="n">
        <x:v>40.66302646383964</x:v>
      </x:c>
      <x:c r="H1956" s="31" t="n">
        <x:v>-73.7375498932355</x:v>
      </x:c>
      <x:c r="I1956" s="31" t="n">
        <x:v>2836</x:v>
      </x:c>
      <x:c r="J1956" s="31" t="n">
        <x:v>17050.21666940397</x:v>
      </x:c>
      <x:c r="K1956" s="31"/>
      <x:c r="L1956" s="40"/>
      <x:c r="M1956" s="40"/>
      <x:c r="N1956" s="31" t="n">
        <x:v>607</x:v>
      </x:c>
      <x:c r="O1956" s="31" t="n">
        <x:v>909</x:v>
      </x:c>
      <x:c r="P1956" s="31" t="n">
        <x:v>2.261991199119912</x:v>
      </x:c>
      <x:c r="Q1956" s="40" t="n">
        <x:v>0</x:v>
      </x:c>
      <x:c r="R1956" s="40" t="n">
        <x:v>0.0022002200220022</x:v>
      </x:c>
      <x:c r="S1956" s="40" t="n">
        <x:v>0.0187018701870187</x:v>
      </x:c>
      <x:c r="T1956" s="31" t="n">
        <x:v>28.426319737563396</x:v>
      </x:c>
      <x:c r="U1956" s="31" t="n">
        <x:v>36.9163</x:v>
      </x:c>
      <x:c r="V1956" s="31" t="n">
        <x:v>0</x:v>
      </x:c>
      <x:c r="W1956" s="31" t="n">
        <x:v>0</x:v>
      </x:c>
      <x:c r="X1956" s="31" t="n">
        <x:v>4</x:v>
      </x:c>
      <x:c r="Y1956" s="40" t="n">
        <x:v>1</x:v>
      </x:c>
      <x:c r="Z1956" s="40" t="n">
        <x:v>1</x:v>
      </x:c>
      <x:c r="AA1956" s="40" t="n">
        <x:v>0.9977997799779978</x:v>
      </x:c>
      <x:c r="AB1956" s="31" t="n">
        <x:v>0.24451342586084368</x:v>
      </x:c>
      <x:c r="AC1956" s="31" t="n">
        <x:v>6</x:v>
      </x:c>
      <x:c r="AD1956" s="44" t="b">
        <x:v>1</x:v>
      </x:c>
    </x:row>
    <x:row r="1957">
      <x:c r="A1957" s="31" t="str">
        <x:v>36081065402</x:v>
      </x:c>
      <x:c r="B1957" s="31" t="str">
        <x:v>Queens</x:v>
      </x:c>
      <x:c r="C1957" s="31" t="str">
        <x:v>065402</x:v>
      </x:c>
      <x:c r="D1957" s="31" t="str">
        <x:v>QN1306</x:v>
      </x:c>
      <x:c r="E1957" s="31" t="str">
        <x:v>Springfield Gardens (South)-Brookville</x:v>
      </x:c>
      <x:c r="F1957" s="31" t="n">
        <x:v>0.10280152239368114</x:v>
      </x:c>
      <x:c r="G1957" s="31" t="n">
        <x:v>40.66142210475287</x:v>
      </x:c>
      <x:c r="H1957" s="31" t="n">
        <x:v>-73.74409754505174</x:v>
      </x:c>
      <x:c r="I1957" s="31" t="n">
        <x:v>5</x:v>
      </x:c>
      <x:c r="J1957" s="31" t="n">
        <x:v>48.637412010810195</x:v>
      </x:c>
      <x:c r="K1957" s="31"/>
      <x:c r="L1957" s="40"/>
      <x:c r="M1957" s="40"/>
      <x:c r="N1957" s="31" t="n">
        <x:v>0</x:v>
      </x:c>
      <x:c r="O1957" s="31"/>
      <x:c r="P1957" s="31"/>
      <x:c r="Q1957" s="40"/>
      <x:c r="R1957" s="40"/>
      <x:c r="S1957" s="40"/>
      <x:c r="T1957" s="31"/>
      <x:c r="U1957" s="31"/>
      <x:c r="V1957" s="31" t="n">
        <x:v>0</x:v>
      </x:c>
      <x:c r="W1957" s="31" t="n">
        <x:v>0</x:v>
      </x:c>
      <x:c r="X1957" s="31"/>
      <x:c r="Y1957" s="40"/>
      <x:c r="Z1957" s="40"/>
      <x:c r="AA1957" s="40"/>
      <x:c r="AB1957" s="31" t="n">
        <x:v>0.24180137588760936</x:v>
      </x:c>
      <x:c r="AC1957" s="31" t="n">
        <x:v>6</x:v>
      </x:c>
      <x:c r="AD1957" s="44" t="b">
        <x:v>0</x:v>
      </x:c>
    </x:row>
    <x:row r="1958">
      <x:c r="A1958" s="31" t="str">
        <x:v>36081065501</x:v>
      </x:c>
      <x:c r="B1958" s="31" t="str">
        <x:v>Queens</x:v>
      </x:c>
      <x:c r="C1958" s="31" t="str">
        <x:v>065501</x:v>
      </x:c>
      <x:c r="D1958" s="31" t="str">
        <x:v>QN0573</x:v>
      </x:c>
      <x:c r="E1958" s="31" t="str">
        <x:v>St. John Cemetery</x:v>
      </x:c>
      <x:c r="F1958" s="31" t="n">
        <x:v>0.31401075237531567</x:v>
      </x:c>
      <x:c r="G1958" s="31" t="n">
        <x:v>40.71475409003818</x:v>
      </x:c>
      <x:c r="H1958" s="31" t="n">
        <x:v>-73.86662640291374</x:v>
      </x:c>
      <x:c r="I1958" s="31" t="n">
        <x:v>3</x:v>
      </x:c>
      <x:c r="J1958" s="31" t="n">
        <x:v>9.553812973940154</x:v>
      </x:c>
      <x:c r="K1958" s="31"/>
      <x:c r="L1958" s="40"/>
      <x:c r="M1958" s="40"/>
      <x:c r="N1958" s="31" t="n">
        <x:v>0</x:v>
      </x:c>
      <x:c r="O1958" s="31"/>
      <x:c r="P1958" s="31"/>
      <x:c r="Q1958" s="40"/>
      <x:c r="R1958" s="40"/>
      <x:c r="S1958" s="40"/>
      <x:c r="T1958" s="31"/>
      <x:c r="U1958" s="31"/>
      <x:c r="V1958" s="31" t="n">
        <x:v>0</x:v>
      </x:c>
      <x:c r="W1958" s="31" t="n">
        <x:v>0</x:v>
      </x:c>
      <x:c r="X1958" s="31"/>
      <x:c r="Y1958" s="40"/>
      <x:c r="Z1958" s="40"/>
      <x:c r="AA1958" s="40"/>
      <x:c r="AB1958" s="31" t="n">
        <x:v>0.3487694842494126</x:v>
      </x:c>
      <x:c r="AC1958" s="31" t="n">
        <x:v>7</x:v>
      </x:c>
      <x:c r="AD1958" s="44" t="b">
        <x:v>0</x:v>
      </x:c>
    </x:row>
    <x:row r="1959">
      <x:c r="A1959" s="31" t="str">
        <x:v>36081065600</x:v>
      </x:c>
      <x:c r="B1959" s="31" t="str">
        <x:v>Queens</x:v>
      </x:c>
      <x:c r="C1959" s="31" t="str">
        <x:v>065600</x:v>
      </x:c>
      <x:c r="D1959" s="31" t="str">
        <x:v>QN1307</x:v>
      </x:c>
      <x:c r="E1959" s="31" t="str">
        <x:v>Rosedale</x:v>
      </x:c>
      <x:c r="F1959" s="31" t="n">
        <x:v>0.22764799652096246</x:v>
      </x:c>
      <x:c r="G1959" s="31" t="n">
        <x:v>40.659840867184414</x:v>
      </x:c>
      <x:c r="H1959" s="31" t="n">
        <x:v>-73.72957740559016</x:v>
      </x:c>
      <x:c r="I1959" s="31" t="n">
        <x:v>5423</x:v>
      </x:c>
      <x:c r="J1959" s="31" t="n">
        <x:v>23821.86570001566</x:v>
      </x:c>
      <x:c r="K1959" s="31"/>
      <x:c r="L1959" s="40"/>
      <x:c r="M1959" s="40"/>
      <x:c r="N1959" s="31" t="n">
        <x:v>923</x:v>
      </x:c>
      <x:c r="O1959" s="31" t="n">
        <x:v>1530</x:v>
      </x:c>
      <x:c r="P1959" s="31" t="n">
        <x:v>1.968496732026144</x:v>
      </x:c>
      <x:c r="Q1959" s="40" t="n">
        <x:v>0</x:v>
      </x:c>
      <x:c r="R1959" s="40" t="n">
        <x:v>0.00130718954248366</x:v>
      </x:c>
      <x:c r="S1959" s="40" t="n">
        <x:v>0.03333333333333333</x:v>
      </x:c>
      <x:c r="T1959" s="31" t="n">
        <x:v>25.687902940583943</x:v>
      </x:c>
      <x:c r="U1959" s="31" t="n">
        <x:v>35.4951</x:v>
      </x:c>
      <x:c r="V1959" s="31" t="n">
        <x:v>0</x:v>
      </x:c>
      <x:c r="W1959" s="31" t="n">
        <x:v>0</x:v>
      </x:c>
      <x:c r="X1959" s="31" t="n">
        <x:v>4</x:v>
      </x:c>
      <x:c r="Y1959" s="40" t="n">
        <x:v>1</x:v>
      </x:c>
      <x:c r="Z1959" s="40" t="n">
        <x:v>1</x:v>
      </x:c>
      <x:c r="AA1959" s="40" t="n">
        <x:v>0.984967320261438</x:v>
      </x:c>
      <x:c r="AB1959" s="31" t="n">
        <x:v>0.2566918550895382</x:v>
      </x:c>
      <x:c r="AC1959" s="31" t="n">
        <x:v>5</x:v>
      </x:c>
      <x:c r="AD1959" s="44" t="b">
        <x:v>1</x:v>
      </x:c>
    </x:row>
    <x:row r="1960">
      <x:c r="A1960" s="31" t="str">
        <x:v>36081065702</x:v>
      </x:c>
      <x:c r="B1960" s="31" t="str">
        <x:v>Queens</x:v>
      </x:c>
      <x:c r="C1960" s="31" t="str">
        <x:v>065702</x:v>
      </x:c>
      <x:c r="D1960" s="31" t="str">
        <x:v>QN0504</x:v>
      </x:c>
      <x:c r="E1960" s="31" t="str">
        <x:v>Middle Village</x:v>
      </x:c>
      <x:c r="F1960" s="31" t="n">
        <x:v>0.0555186802431273</x:v>
      </x:c>
      <x:c r="G1960" s="31" t="n">
        <x:v>40.71333893347491</x:v>
      </x:c>
      <x:c r="H1960" s="31" t="n">
        <x:v>-73.88295205163422</x:v>
      </x:c>
      <x:c r="I1960" s="31" t="n">
        <x:v>1775</x:v>
      </x:c>
      <x:c r="J1960" s="31" t="n">
        <x:v>31971.221077787213</x:v>
      </x:c>
      <x:c r="K1960" s="31"/>
      <x:c r="L1960" s="40"/>
      <x:c r="M1960" s="40"/>
      <x:c r="N1960" s="31" t="n">
        <x:v>327</x:v>
      </x:c>
      <x:c r="O1960" s="31" t="n">
        <x:v>788</x:v>
      </x:c>
      <x:c r="P1960" s="31" t="n">
        <x:v>2.6671065989847715</x:v>
      </x:c>
      <x:c r="Q1960" s="40" t="n">
        <x:v>0</x:v>
      </x:c>
      <x:c r="R1960" s="40" t="n">
        <x:v>0.3197969543147208</x:v>
      </x:c>
      <x:c r="S1960" s="40" t="n">
        <x:v>0.011421319796954314</x:v>
      </x:c>
      <x:c r="T1960" s="31" t="n">
        <x:v>31.220442873333333</x:v>
      </x:c>
      <x:c r="U1960" s="31" t="n">
        <x:v>62</x:v>
      </x:c>
      <x:c r="V1960" s="31" t="n">
        <x:v>5</x:v>
      </x:c>
      <x:c r="W1960" s="31" t="n">
        <x:v>2.8169014084507045</x:v>
      </x:c>
      <x:c r="X1960" s="31" t="n">
        <x:v>1</x:v>
      </x:c>
      <x:c r="Y1960" s="40" t="n">
        <x:v>0</x:v>
      </x:c>
      <x:c r="Z1960" s="40" t="n">
        <x:v>1</x:v>
      </x:c>
      <x:c r="AA1960" s="40" t="n">
        <x:v>0.9974619289340102</x:v>
      </x:c>
      <x:c r="AB1960" s="31" t="n">
        <x:v>0.11274552687615955</x:v>
      </x:c>
      <x:c r="AC1960" s="31" t="n">
        <x:v>5</x:v>
      </x:c>
      <x:c r="AD1960" s="44" t="b">
        <x:v>1</x:v>
      </x:c>
    </x:row>
    <x:row r="1961">
      <x:c r="A1961" s="31" t="str">
        <x:v>36081065703</x:v>
      </x:c>
      <x:c r="B1961" s="31" t="str">
        <x:v>Queens</x:v>
      </x:c>
      <x:c r="C1961" s="31" t="str">
        <x:v>065703</x:v>
      </x:c>
      <x:c r="D1961" s="31" t="str">
        <x:v>QN0504</x:v>
      </x:c>
      <x:c r="E1961" s="31" t="str">
        <x:v>Middle Village</x:v>
      </x:c>
      <x:c r="F1961" s="31" t="n">
        <x:v>0.10364780258156854</x:v>
      </x:c>
      <x:c r="G1961" s="31" t="n">
        <x:v>40.71511872200648</x:v>
      </x:c>
      <x:c r="H1961" s="31" t="n">
        <x:v>-73.875297499437</x:v>
      </x:c>
      <x:c r="I1961" s="31" t="n">
        <x:v>2829</x:v>
      </x:c>
      <x:c r="J1961" s="31" t="n">
        <x:v>27294.35578505043</x:v>
      </x:c>
      <x:c r="K1961" s="31"/>
      <x:c r="L1961" s="40"/>
      <x:c r="M1961" s="40"/>
      <x:c r="N1961" s="31" t="n">
        <x:v>664</x:v>
      </x:c>
      <x:c r="O1961" s="31" t="n">
        <x:v>1159</x:v>
      </x:c>
      <x:c r="P1961" s="31" t="n">
        <x:v>2.3071009490940466</x:v>
      </x:c>
      <x:c r="Q1961" s="40" t="n">
        <x:v>0</x:v>
      </x:c>
      <x:c r="R1961" s="40" t="n">
        <x:v>0.2088006902502157</x:v>
      </x:c>
      <x:c r="S1961" s="40" t="n">
        <x:v>0.01725625539257981</x:v>
      </x:c>
      <x:c r="T1961" s="31" t="n">
        <x:v>26.60329557976603</x:v>
      </x:c>
      <x:c r="U1961" s="31" t="n">
        <x:v>45.32</x:v>
      </x:c>
      <x:c r="V1961" s="31" t="n">
        <x:v>3</x:v>
      </x:c>
      <x:c r="W1961" s="31" t="n">
        <x:v>1.0604453870625663</x:v>
      </x:c>
      <x:c r="X1961" s="31" t="n">
        <x:v>1</x:v>
      </x:c>
      <x:c r="Y1961" s="40" t="n">
        <x:v>0</x:v>
      </x:c>
      <x:c r="Z1961" s="40" t="n">
        <x:v>1</x:v>
      </x:c>
      <x:c r="AA1961" s="40" t="n">
        <x:v>0.9956859361518551</x:v>
      </x:c>
      <x:c r="AB1961" s="31" t="n">
        <x:v>0.30517554303153194</x:v>
      </x:c>
      <x:c r="AC1961" s="31" t="n">
        <x:v>6</x:v>
      </x:c>
      <x:c r="AD1961" s="44" t="b">
        <x:v>1</x:v>
      </x:c>
    </x:row>
    <x:row r="1962">
      <x:c r="A1962" s="31" t="str">
        <x:v>36081065900</x:v>
      </x:c>
      <x:c r="B1962" s="31" t="str">
        <x:v>Queens</x:v>
      </x:c>
      <x:c r="C1962" s="31" t="str">
        <x:v>065900</x:v>
      </x:c>
      <x:c r="D1962" s="31" t="str">
        <x:v>QN0504</x:v>
      </x:c>
      <x:c r="E1962" s="31" t="str">
        <x:v>Middle Village</x:v>
      </x:c>
      <x:c r="F1962" s="31" t="n">
        <x:v>0.07474340293273646</x:v>
      </x:c>
      <x:c r="G1962" s="31" t="n">
        <x:v>40.71554561184271</x:v>
      </x:c>
      <x:c r="H1962" s="31" t="n">
        <x:v>-73.88247646785112</x:v>
      </x:c>
      <x:c r="I1962" s="31" t="n">
        <x:v>1850</x:v>
      </x:c>
      <x:c r="J1962" s="31" t="n">
        <x:v>24751.348311835136</x:v>
      </x:c>
      <x:c r="K1962" s="31"/>
      <x:c r="L1962" s="40"/>
      <x:c r="M1962" s="40"/>
      <x:c r="N1962" s="31" t="n">
        <x:v>480</x:v>
      </x:c>
      <x:c r="O1962" s="31" t="n">
        <x:v>747</x:v>
      </x:c>
      <x:c r="P1962" s="31" t="n">
        <x:v>2.076144578313253</x:v>
      </x:c>
      <x:c r="Q1962" s="40" t="n">
        <x:v>0</x:v>
      </x:c>
      <x:c r="R1962" s="40" t="n">
        <x:v>0.1713520749665328</x:v>
      </x:c>
      <x:c r="S1962" s="40" t="n">
        <x:v>0.002677376171352075</x:v>
      </x:c>
      <x:c r="T1962" s="31" t="n">
        <x:v>24.859616564832667</x:v>
      </x:c>
      <x:c r="U1962" s="31" t="n">
        <x:v>39</x:v>
      </x:c>
      <x:c r="V1962" s="31" t="n">
        <x:v>1</x:v>
      </x:c>
      <x:c r="W1962" s="31" t="n">
        <x:v>0.5405405405405406</x:v>
      </x:c>
      <x:c r="X1962" s="31" t="n">
        <x:v>1</x:v>
      </x:c>
      <x:c r="Y1962" s="40" t="n">
        <x:v>0</x:v>
      </x:c>
      <x:c r="Z1962" s="40" t="n">
        <x:v>1</x:v>
      </x:c>
      <x:c r="AA1962" s="40" t="n">
        <x:v>1</x:v>
      </x:c>
      <x:c r="AB1962" s="31" t="n">
        <x:v>0.19664472610264971</x:v>
      </x:c>
      <x:c r="AC1962" s="31" t="n">
        <x:v>7</x:v>
      </x:c>
      <x:c r="AD1962" s="44" t="b">
        <x:v>1</x:v>
      </x:c>
    </x:row>
    <x:row r="1963">
      <x:c r="A1963" s="31" t="str">
        <x:v>36081066000</x:v>
      </x:c>
      <x:c r="B1963" s="31" t="str">
        <x:v>Queens</x:v>
      </x:c>
      <x:c r="C1963" s="31" t="str">
        <x:v>066000</x:v>
      </x:c>
      <x:c r="D1963" s="31" t="str">
        <x:v>QN1307</x:v>
      </x:c>
      <x:c r="E1963" s="31" t="str">
        <x:v>Rosedale</x:v>
      </x:c>
      <x:c r="F1963" s="31" t="n">
        <x:v>0.14924351460162708</x:v>
      </x:c>
      <x:c r="G1963" s="31" t="n">
        <x:v>40.65857435221344</x:v>
      </x:c>
      <x:c r="H1963" s="31" t="n">
        <x:v>-73.73336326867346</x:v>
      </x:c>
      <x:c r="I1963" s="31" t="n">
        <x:v>3511</x:v>
      </x:c>
      <x:c r="J1963" s="31" t="n">
        <x:v>23525.310358522758</x:v>
      </x:c>
      <x:c r="K1963" s="31"/>
      <x:c r="L1963" s="40"/>
      <x:c r="M1963" s="40"/>
      <x:c r="N1963" s="31" t="n">
        <x:v>689</x:v>
      </x:c>
      <x:c r="O1963" s="31" t="n">
        <x:v>1010</x:v>
      </x:c>
      <x:c r="P1963" s="31" t="n">
        <x:v>1.9374851485148514</x:v>
      </x:c>
      <x:c r="Q1963" s="40" t="n">
        <x:v>0</x:v>
      </x:c>
      <x:c r="R1963" s="40" t="n">
        <x:v>0.0029702970297029703</x:v>
      </x:c>
      <x:c r="S1963" s="40" t="n">
        <x:v>0.01287128712871287</x:v>
      </x:c>
      <x:c r="T1963" s="31" t="n">
        <x:v>24.91452494052789</x:v>
      </x:c>
      <x:c r="U1963" s="31" t="n">
        <x:v>35.0272</x:v>
      </x:c>
      <x:c r="V1963" s="31" t="n">
        <x:v>0</x:v>
      </x:c>
      <x:c r="W1963" s="31" t="n">
        <x:v>0</x:v>
      </x:c>
      <x:c r="X1963" s="31" t="n">
        <x:v>4</x:v>
      </x:c>
      <x:c r="Y1963" s="40" t="n">
        <x:v>1</x:v>
      </x:c>
      <x:c r="Z1963" s="40" t="n">
        <x:v>1</x:v>
      </x:c>
      <x:c r="AA1963" s="40" t="n">
        <x:v>0.994059405940594</x:v>
      </x:c>
      <x:c r="AB1963" s="31" t="n">
        <x:v>0.10738439639666296</x:v>
      </x:c>
      <x:c r="AC1963" s="31" t="n">
        <x:v>3</x:v>
      </x:c>
      <x:c r="AD1963" s="44" t="b">
        <x:v>1</x:v>
      </x:c>
    </x:row>
    <x:row r="1964">
      <x:c r="A1964" s="31" t="str">
        <x:v>36081066100</x:v>
      </x:c>
      <x:c r="B1964" s="31" t="str">
        <x:v>Queens</x:v>
      </x:c>
      <x:c r="C1964" s="31" t="str">
        <x:v>066100</x:v>
      </x:c>
      <x:c r="D1964" s="31" t="str">
        <x:v>QN0504</x:v>
      </x:c>
      <x:c r="E1964" s="31" t="str">
        <x:v>Middle Village</x:v>
      </x:c>
      <x:c r="F1964" s="31" t="n">
        <x:v>0.05163562932090794</x:v>
      </x:c>
      <x:c r="G1964" s="31" t="n">
        <x:v>40.717512330570585</x:v>
      </x:c>
      <x:c r="H1964" s="31" t="n">
        <x:v>-73.88178859167635</x:v>
      </x:c>
      <x:c r="I1964" s="31" t="n">
        <x:v>1573</x:v>
      </x:c>
      <x:c r="J1964" s="31" t="n">
        <x:v>30463.46138678844</x:v>
      </x:c>
      <x:c r="K1964" s="31"/>
      <x:c r="L1964" s="40"/>
      <x:c r="M1964" s="40"/>
      <x:c r="N1964" s="31" t="n">
        <x:v>446</x:v>
      </x:c>
      <x:c r="O1964" s="31" t="n">
        <x:v>674</x:v>
      </x:c>
      <x:c r="P1964" s="31" t="n">
        <x:v>1.9757863501483681</x:v>
      </x:c>
      <x:c r="Q1964" s="40" t="n">
        <x:v>0</x:v>
      </x:c>
      <x:c r="R1964" s="40" t="n">
        <x:v>0.06973293768545995</x:v>
      </x:c>
      <x:c r="S1964" s="40" t="n">
        <x:v>0</x:v>
      </x:c>
      <x:c r="T1964" s="31" t="n">
        <x:v>24.331747070281903</x:v>
      </x:c>
      <x:c r="U1964" s="31" t="n">
        <x:v>36.97</x:v>
      </x:c>
      <x:c r="V1964" s="31" t="n">
        <x:v>0</x:v>
      </x:c>
      <x:c r="W1964" s="31" t="n">
        <x:v>0</x:v>
      </x:c>
      <x:c r="X1964" s="31" t="n">
        <x:v>1</x:v>
      </x:c>
      <x:c r="Y1964" s="40" t="n">
        <x:v>0</x:v>
      </x:c>
      <x:c r="Z1964" s="40" t="n">
        <x:v>1</x:v>
      </x:c>
      <x:c r="AA1964" s="40" t="n">
        <x:v>1</x:v>
      </x:c>
      <x:c r="AB1964" s="31" t="n">
        <x:v>0.2884009229588329</x:v>
      </x:c>
      <x:c r="AC1964" s="31" t="n">
        <x:v>5</x:v>
      </x:c>
      <x:c r="AD1964" s="44" t="b">
        <x:v>1</x:v>
      </x:c>
    </x:row>
    <x:row r="1965">
      <x:c r="A1965" s="31" t="str">
        <x:v>36081066301</x:v>
      </x:c>
      <x:c r="B1965" s="31" t="str">
        <x:v>Queens</x:v>
      </x:c>
      <x:c r="C1965" s="31" t="str">
        <x:v>066301</x:v>
      </x:c>
      <x:c r="D1965" s="31" t="str">
        <x:v>QN0504</x:v>
      </x:c>
      <x:c r="E1965" s="31" t="str">
        <x:v>Middle Village</x:v>
      </x:c>
      <x:c r="F1965" s="31" t="n">
        <x:v>0.10822896446962522</x:v>
      </x:c>
      <x:c r="G1965" s="31" t="n">
        <x:v>40.72192854291227</x:v>
      </x:c>
      <x:c r="H1965" s="31" t="n">
        <x:v>-73.87476498206773</x:v>
      </x:c>
      <x:c r="I1965" s="31" t="n">
        <x:v>2713</x:v>
      </x:c>
      <x:c r="J1965" s="31" t="n">
        <x:v>25067.226812111017</x:v>
      </x:c>
      <x:c r="K1965" s="31"/>
      <x:c r="L1965" s="40"/>
      <x:c r="M1965" s="40"/>
      <x:c r="N1965" s="31" t="n">
        <x:v>832</x:v>
      </x:c>
      <x:c r="O1965" s="31" t="n">
        <x:v>1022</x:v>
      </x:c>
      <x:c r="P1965" s="31" t="n">
        <x:v>2.064334637964775</x:v>
      </x:c>
      <x:c r="Q1965" s="40" t="n">
        <x:v>0</x:v>
      </x:c>
      <x:c r="R1965" s="40" t="n">
        <x:v>0.02446183953033268</x:v>
      </x:c>
      <x:c r="S1965" s="40" t="n">
        <x:v>0.009784735812133072</x:v>
      </x:c>
      <x:c r="T1965" s="31" t="n">
        <x:v>25.632450666787463</x:v>
      </x:c>
      <x:c r="U1965" s="31" t="n">
        <x:v>40.09</x:v>
      </x:c>
      <x:c r="V1965" s="31" t="n">
        <x:v>0</x:v>
      </x:c>
      <x:c r="W1965" s="31" t="n">
        <x:v>0</x:v>
      </x:c>
      <x:c r="X1965" s="31" t="n">
        <x:v>1</x:v>
      </x:c>
      <x:c r="Y1965" s="40" t="n">
        <x:v>0</x:v>
      </x:c>
      <x:c r="Z1965" s="40" t="n">
        <x:v>1</x:v>
      </x:c>
      <x:c r="AA1965" s="40" t="n">
        <x:v>0.9990215264187867</x:v>
      </x:c>
      <x:c r="AB1965" s="31" t="n">
        <x:v>0.16140295989829992</x:v>
      </x:c>
      <x:c r="AC1965" s="31" t="n">
        <x:v>7</x:v>
      </x:c>
      <x:c r="AD1965" s="44" t="b">
        <x:v>1</x:v>
      </x:c>
    </x:row>
    <x:row r="1966">
      <x:c r="A1966" s="31" t="str">
        <x:v>36081066302</x:v>
      </x:c>
      <x:c r="B1966" s="31" t="str">
        <x:v>Queens</x:v>
      </x:c>
      <x:c r="C1966" s="31" t="str">
        <x:v>066302</x:v>
      </x:c>
      <x:c r="D1966" s="31" t="str">
        <x:v>QN0504</x:v>
      </x:c>
      <x:c r="E1966" s="31" t="str">
        <x:v>Middle Village</x:v>
      </x:c>
      <x:c r="F1966" s="31" t="n">
        <x:v>0.09530663051215277</x:v>
      </x:c>
      <x:c r="G1966" s="31" t="n">
        <x:v>40.720191056837464</x:v>
      </x:c>
      <x:c r="H1966" s="31" t="n">
        <x:v>-73.8803495140981</x:v>
      </x:c>
      <x:c r="I1966" s="31" t="n">
        <x:v>4</x:v>
      </x:c>
      <x:c r="J1966" s="31" t="n">
        <x:v>41.969797678346744</x:v>
      </x:c>
      <x:c r="K1966" s="31"/>
      <x:c r="L1966" s="40"/>
      <x:c r="M1966" s="40"/>
      <x:c r="N1966" s="31" t="n">
        <x:v>0</x:v>
      </x:c>
      <x:c r="O1966" s="31"/>
      <x:c r="P1966" s="31"/>
      <x:c r="Q1966" s="40"/>
      <x:c r="R1966" s="40"/>
      <x:c r="S1966" s="40"/>
      <x:c r="T1966" s="31"/>
      <x:c r="U1966" s="31"/>
      <x:c r="V1966" s="31" t="n">
        <x:v>0</x:v>
      </x:c>
      <x:c r="W1966" s="31" t="n">
        <x:v>0</x:v>
      </x:c>
      <x:c r="X1966" s="31"/>
      <x:c r="Y1966" s="40"/>
      <x:c r="Z1966" s="40"/>
      <x:c r="AA1966" s="40"/>
      <x:c r="AB1966" s="31" t="n">
        <x:v>0.2578780591005011</x:v>
      </x:c>
      <x:c r="AC1966" s="31" t="n">
        <x:v>3</x:v>
      </x:c>
      <x:c r="AD1966" s="44" t="b">
        <x:v>0</x:v>
      </x:c>
    </x:row>
    <x:row r="1967">
      <x:c r="A1967" s="31" t="str">
        <x:v>36081066401</x:v>
      </x:c>
      <x:c r="B1967" s="31" t="str">
        <x:v>Queens</x:v>
      </x:c>
      <x:c r="C1967" s="31" t="str">
        <x:v>066401</x:v>
      </x:c>
      <x:c r="D1967" s="31" t="str">
        <x:v>QN1307</x:v>
      </x:c>
      <x:c r="E1967" s="31" t="str">
        <x:v>Rosedale</x:v>
      </x:c>
      <x:c r="F1967" s="31" t="n">
        <x:v>0.4298063726935549</x:v>
      </x:c>
      <x:c r="G1967" s="31" t="n">
        <x:v>40.646887836926055</x:v>
      </x:c>
      <x:c r="H1967" s="31" t="n">
        <x:v>-73.74316149665981</x:v>
      </x:c>
      <x:c r="I1967" s="31" t="n">
        <x:v>1923</x:v>
      </x:c>
      <x:c r="J1967" s="31" t="n">
        <x:v>4474.107696330199</x:v>
      </x:c>
      <x:c r="K1967" s="31"/>
      <x:c r="L1967" s="40"/>
      <x:c r="M1967" s="40"/>
      <x:c r="N1967" s="31" t="n">
        <x:v>370</x:v>
      </x:c>
      <x:c r="O1967" s="31" t="n">
        <x:v>529</x:v>
      </x:c>
      <x:c r="P1967" s="31" t="n">
        <x:v>1.7687334593572779</x:v>
      </x:c>
      <x:c r="Q1967" s="40" t="n">
        <x:v>0</x:v>
      </x:c>
      <x:c r="R1967" s="40" t="n">
        <x:v>0.003780718336483932</x:v>
      </x:c>
      <x:c r="S1967" s="40" t="n">
        <x:v>0.011342155009451797</x:v>
      </x:c>
      <x:c r="T1967" s="31" t="n">
        <x:v>22.98463975230624</x:v>
      </x:c>
      <x:c r="U1967" s="31" t="n">
        <x:v>35</x:v>
      </x:c>
      <x:c r="V1967" s="31" t="n">
        <x:v>0</x:v>
      </x:c>
      <x:c r="W1967" s="31" t="n">
        <x:v>0</x:v>
      </x:c>
      <x:c r="X1967" s="31" t="n">
        <x:v>4</x:v>
      </x:c>
      <x:c r="Y1967" s="40" t="n">
        <x:v>1</x:v>
      </x:c>
      <x:c r="Z1967" s="40" t="n">
        <x:v>1</x:v>
      </x:c>
      <x:c r="AA1967" s="40" t="n">
        <x:v>1</x:v>
      </x:c>
      <x:c r="AB1967" s="31" t="n">
        <x:v>0.5798260815896286</x:v>
      </x:c>
      <x:c r="AC1967" s="31" t="n">
        <x:v>5</x:v>
      </x:c>
      <x:c r="AD1967" s="44" t="b">
        <x:v>1</x:v>
      </x:c>
    </x:row>
    <x:row r="1968">
      <x:c r="A1968" s="31" t="str">
        <x:v>36081066402</x:v>
      </x:c>
      <x:c r="B1968" s="31" t="str">
        <x:v>Queens</x:v>
      </x:c>
      <x:c r="C1968" s="31" t="str">
        <x:v>066402</x:v>
      </x:c>
      <x:c r="D1968" s="31" t="str">
        <x:v>QN1307</x:v>
      </x:c>
      <x:c r="E1968" s="31" t="str">
        <x:v>Rosedale</x:v>
      </x:c>
      <x:c r="F1968" s="31" t="n">
        <x:v>0.15183480631133783</x:v>
      </x:c>
      <x:c r="G1968" s="31" t="n">
        <x:v>40.65622644838429</x:v>
      </x:c>
      <x:c r="H1968" s="31" t="n">
        <x:v>-73.73765206941361</x:v>
      </x:c>
      <x:c r="I1968" s="31" t="n">
        <x:v>3942</x:v>
      </x:c>
      <x:c r="J1968" s="31" t="n">
        <x:v>25962.42650658713</x:v>
      </x:c>
      <x:c r="K1968" s="31"/>
      <x:c r="L1968" s="40"/>
      <x:c r="M1968" s="40"/>
      <x:c r="N1968" s="31" t="n">
        <x:v>719</x:v>
      </x:c>
      <x:c r="O1968" s="31" t="n">
        <x:v>1145</x:v>
      </x:c>
      <x:c r="P1968" s="31" t="n">
        <x:v>2.006585152838428</x:v>
      </x:c>
      <x:c r="Q1968" s="40" t="n">
        <x:v>0</x:v>
      </x:c>
      <x:c r="R1968" s="40" t="n">
        <x:v>0.011353711790393014</x:v>
      </x:c>
      <x:c r="S1968" s="40" t="n">
        <x:v>0.01222707423580786</x:v>
      </x:c>
      <x:c r="T1968" s="31" t="n">
        <x:v>25.42041242876424</x:v>
      </x:c>
      <x:c r="U1968" s="31" t="n">
        <x:v>34.5501</x:v>
      </x:c>
      <x:c r="V1968" s="31" t="n">
        <x:v>2</x:v>
      </x:c>
      <x:c r="W1968" s="31" t="n">
        <x:v>0.5073566717402334</x:v>
      </x:c>
      <x:c r="X1968" s="31" t="n">
        <x:v>4</x:v>
      </x:c>
      <x:c r="Y1968" s="40" t="n">
        <x:v>1</x:v>
      </x:c>
      <x:c r="Z1968" s="40" t="n">
        <x:v>1</x:v>
      </x:c>
      <x:c r="AA1968" s="40" t="n">
        <x:v>0.9965065502183406</x:v>
      </x:c>
      <x:c r="AB1968" s="31" t="n">
        <x:v>0.27735166152514534</x:v>
      </x:c>
      <x:c r="AC1968" s="31" t="n">
        <x:v>7</x:v>
      </x:c>
      <x:c r="AD1968" s="44" t="b">
        <x:v>1</x:v>
      </x:c>
    </x:row>
    <x:row r="1969">
      <x:c r="A1969" s="31" t="str">
        <x:v>36081066403</x:v>
      </x:c>
      <x:c r="B1969" s="31" t="str">
        <x:v>Queens</x:v>
      </x:c>
      <x:c r="C1969" s="31" t="str">
        <x:v>066403</x:v>
      </x:c>
      <x:c r="D1969" s="31" t="str">
        <x:v>QN1307</x:v>
      </x:c>
      <x:c r="E1969" s="31" t="str">
        <x:v>Rosedale</x:v>
      </x:c>
      <x:c r="F1969" s="31" t="n">
        <x:v>0.14047453818153122</x:v>
      </x:c>
      <x:c r="G1969" s="31" t="n">
        <x:v>40.65191104694845</x:v>
      </x:c>
      <x:c r="H1969" s="31" t="n">
        <x:v>-73.73308046531204</x:v>
      </x:c>
      <x:c r="I1969" s="31" t="n">
        <x:v>4480</x:v>
      </x:c>
      <x:c r="J1969" s="31" t="n">
        <x:v>31891.90053937479</x:v>
      </x:c>
      <x:c r="K1969" s="31"/>
      <x:c r="L1969" s="40"/>
      <x:c r="M1969" s="40"/>
      <x:c r="N1969" s="31" t="n">
        <x:v>664</x:v>
      </x:c>
      <x:c r="O1969" s="31" t="n">
        <x:v>1351</x:v>
      </x:c>
      <x:c r="P1969" s="31" t="n">
        <x:v>1.976411809235428</x:v>
      </x:c>
      <x:c r="Q1969" s="40" t="n">
        <x:v>0</x:v>
      </x:c>
      <x:c r="R1969" s="40" t="n">
        <x:v>0</x:v>
      </x:c>
      <x:c r="S1969" s="40" t="n">
        <x:v>0.034048852701702444</x:v>
      </x:c>
      <x:c r="T1969" s="31" t="n">
        <x:v>26.954448788105108</x:v>
      </x:c>
      <x:c r="U1969" s="31" t="n">
        <x:v>37</x:v>
      </x:c>
      <x:c r="V1969" s="31" t="n">
        <x:v>2</x:v>
      </x:c>
      <x:c r="W1969" s="31" t="n">
        <x:v>0.4464285714285714</x:v>
      </x:c>
      <x:c r="X1969" s="31" t="n">
        <x:v>4</x:v>
      </x:c>
      <x:c r="Y1969" s="40" t="n">
        <x:v>1</x:v>
      </x:c>
      <x:c r="Z1969" s="40" t="n">
        <x:v>1</x:v>
      </x:c>
      <x:c r="AA1969" s="40" t="n">
        <x:v>1</x:v>
      </x:c>
      <x:c r="AB1969" s="31" t="n">
        <x:v>0.12187241894162644</x:v>
      </x:c>
      <x:c r="AC1969" s="31" t="n">
        <x:v>3</x:v>
      </x:c>
      <x:c r="AD1969" s="44" t="b">
        <x:v>1</x:v>
      </x:c>
    </x:row>
    <x:row r="1970">
      <x:c r="A1970" s="31" t="str">
        <x:v>36081066404</x:v>
      </x:c>
      <x:c r="B1970" s="31" t="str">
        <x:v>Queens</x:v>
      </x:c>
      <x:c r="C1970" s="31" t="str">
        <x:v>066404</x:v>
      </x:c>
      <x:c r="D1970" s="31" t="str">
        <x:v>QN1306</x:v>
      </x:c>
      <x:c r="E1970" s="31" t="str">
        <x:v>Springfield Gardens (South)-Brookville</x:v>
      </x:c>
      <x:c r="F1970" s="31" t="n">
        <x:v>0.39368231970988293</x:v>
      </x:c>
      <x:c r="G1970" s="31" t="n">
        <x:v>40.65189940260414</x:v>
      </x:c>
      <x:c r="H1970" s="31" t="n">
        <x:v>-73.75389707108572</x:v>
      </x:c>
      <x:c r="I1970" s="31" t="n">
        <x:v>0</x:v>
      </x:c>
      <x:c r="J1970" s="31" t="n">
        <x:v>0</x:v>
      </x:c>
      <x:c r="K1970" s="31"/>
      <x:c r="L1970" s="40"/>
      <x:c r="M1970" s="40"/>
      <x:c r="N1970" s="31" t="n">
        <x:v>0</x:v>
      </x:c>
      <x:c r="O1970" s="31"/>
      <x:c r="P1970" s="31"/>
      <x:c r="Q1970" s="40"/>
      <x:c r="R1970" s="40"/>
      <x:c r="S1970" s="40"/>
      <x:c r="T1970" s="31"/>
      <x:c r="U1970" s="31"/>
      <x:c r="V1970" s="31" t="n">
        <x:v>0</x:v>
      </x:c>
      <x:c r="W1970" s="31"/>
      <x:c r="X1970" s="31"/>
      <x:c r="Y1970" s="40"/>
      <x:c r="Z1970" s="40"/>
      <x:c r="AA1970" s="40"/>
      <x:c r="AB1970" s="31" t="n">
        <x:v>0.26821816209705646</x:v>
      </x:c>
      <x:c r="AC1970" s="31" t="n">
        <x:v>3</x:v>
      </x:c>
      <x:c r="AD1970" s="44" t="b">
        <x:v>0</x:v>
      </x:c>
    </x:row>
    <x:row r="1971">
      <x:c r="A1971" s="31" t="str">
        <x:v>36081066501</x:v>
      </x:c>
      <x:c r="B1971" s="31" t="str">
        <x:v>Queens</x:v>
      </x:c>
      <x:c r="C1971" s="31" t="str">
        <x:v>066501</x:v>
      </x:c>
      <x:c r="D1971" s="31" t="str">
        <x:v>QN0504</x:v>
      </x:c>
      <x:c r="E1971" s="31" t="str">
        <x:v>Middle Village</x:v>
      </x:c>
      <x:c r="F1971" s="31" t="n">
        <x:v>0.1257664135115358</x:v>
      </x:c>
      <x:c r="G1971" s="31" t="n">
        <x:v>40.719339148555186</x:v>
      </x:c>
      <x:c r="H1971" s="31" t="n">
        <x:v>-73.88737652298218</x:v>
      </x:c>
      <x:c r="I1971" s="31" t="n">
        <x:v>3538</x:v>
      </x:c>
      <x:c r="J1971" s="31" t="n">
        <x:v>28131.517002156383</x:v>
      </x:c>
      <x:c r="K1971" s="31"/>
      <x:c r="L1971" s="40"/>
      <x:c r="M1971" s="40"/>
      <x:c r="N1971" s="31" t="n">
        <x:v>797</x:v>
      </x:c>
      <x:c r="O1971" s="31" t="n">
        <x:v>1482</x:v>
      </x:c>
      <x:c r="P1971" s="31" t="n">
        <x:v>2.1772941970310393</x:v>
      </x:c>
      <x:c r="Q1971" s="40" t="n">
        <x:v>0</x:v>
      </x:c>
      <x:c r="R1971" s="40" t="n">
        <x:v>0.1902834008097166</x:v>
      </x:c>
      <x:c r="S1971" s="40" t="n">
        <x:v>0</x:v>
      </x:c>
      <x:c r="T1971" s="31" t="n">
        <x:v>27.09157684642375</x:v>
      </x:c>
      <x:c r="U1971" s="31" t="n">
        <x:v>37.94</x:v>
      </x:c>
      <x:c r="V1971" s="31" t="n">
        <x:v>1</x:v>
      </x:c>
      <x:c r="W1971" s="31" t="n">
        <x:v>0.28264556246466926</x:v>
      </x:c>
      <x:c r="X1971" s="31" t="n">
        <x:v>1</x:v>
      </x:c>
      <x:c r="Y1971" s="40" t="n">
        <x:v>0</x:v>
      </x:c>
      <x:c r="Z1971" s="40" t="n">
        <x:v>1</x:v>
      </x:c>
      <x:c r="AA1971" s="40" t="n">
        <x:v>1</x:v>
      </x:c>
      <x:c r="AB1971" s="31" t="n">
        <x:v>0.30871854737807924</x:v>
      </x:c>
      <x:c r="AC1971" s="31" t="n">
        <x:v>8</x:v>
      </x:c>
      <x:c r="AD1971" s="44" t="b">
        <x:v>1</x:v>
      </x:c>
    </x:row>
    <x:row r="1972">
      <x:c r="A1972" s="31" t="str">
        <x:v>36081066701</x:v>
      </x:c>
      <x:c r="B1972" s="31" t="str">
        <x:v>Queens</x:v>
      </x:c>
      <x:c r="C1972" s="31" t="str">
        <x:v>066701</x:v>
      </x:c>
      <x:c r="D1972" s="31" t="str">
        <x:v>QN0501</x:v>
      </x:c>
      <x:c r="E1972" s="31" t="str">
        <x:v>Maspeth</x:v>
      </x:c>
      <x:c r="F1972" s="31" t="n">
        <x:v>0.09933716950901056</x:v>
      </x:c>
      <x:c r="G1972" s="31" t="n">
        <x:v>40.72177928677864</x:v>
      </x:c>
      <x:c r="H1972" s="31" t="n">
        <x:v>-73.89137914900147</x:v>
      </x:c>
      <x:c r="I1972" s="31" t="n">
        <x:v>2789</x:v>
      </x:c>
      <x:c r="J1972" s="31" t="n">
        <x:v>28076.096931139342</x:v>
      </x:c>
      <x:c r="K1972" s="31"/>
      <x:c r="L1972" s="40"/>
      <x:c r="M1972" s="40"/>
      <x:c r="N1972" s="31" t="n">
        <x:v>742</x:v>
      </x:c>
      <x:c r="O1972" s="31" t="n">
        <x:v>1114</x:v>
      </x:c>
      <x:c r="P1972" s="31" t="n">
        <x:v>1.9308797127468582</x:v>
      </x:c>
      <x:c r="Q1972" s="40" t="n">
        <x:v>0</x:v>
      </x:c>
      <x:c r="R1972" s="40" t="n">
        <x:v>0.05116696588868941</x:v>
      </x:c>
      <x:c r="S1972" s="40" t="n">
        <x:v>0.004488330341113106</x:v>
      </x:c>
      <x:c r="T1972" s="31" t="n">
        <x:v>23.977586132814746</x:v>
      </x:c>
      <x:c r="U1972" s="31" t="n">
        <x:v>36.3297843</x:v>
      </x:c>
      <x:c r="V1972" s="31" t="n">
        <x:v>3</x:v>
      </x:c>
      <x:c r="W1972" s="31" t="n">
        <x:v>1.0756543564001435</x:v>
      </x:c>
      <x:c r="X1972" s="31" t="n">
        <x:v>2.8779174147217237</x:v>
      </x:c>
      <x:c r="Y1972" s="40" t="n">
        <x:v>0</x:v>
      </x:c>
      <x:c r="Z1972" s="40" t="n">
        <x:v>1</x:v>
      </x:c>
      <x:c r="AA1972" s="40" t="n">
        <x:v>0.9982046678635548</x:v>
      </x:c>
      <x:c r="AB1972" s="31" t="n">
        <x:v>0.3700643900286577</x:v>
      </x:c>
      <x:c r="AC1972" s="31" t="n">
        <x:v>5</x:v>
      </x:c>
      <x:c r="AD1972" s="44" t="b">
        <x:v>1</x:v>
      </x:c>
    </x:row>
    <x:row r="1973">
      <x:c r="A1973" s="31" t="str">
        <x:v>36081066900</x:v>
      </x:c>
      <x:c r="B1973" s="31" t="str">
        <x:v>Queens</x:v>
      </x:c>
      <x:c r="C1973" s="31" t="str">
        <x:v>066900</x:v>
      </x:c>
      <x:c r="D1973" s="31" t="str">
        <x:v>QN0501</x:v>
      </x:c>
      <x:c r="E1973" s="31" t="str">
        <x:v>Maspeth</x:v>
      </x:c>
      <x:c r="F1973" s="31" t="n">
        <x:v>0.061819807787749655</x:v>
      </x:c>
      <x:c r="G1973" s="31" t="n">
        <x:v>40.72356684303334</x:v>
      </x:c>
      <x:c r="H1973" s="31" t="n">
        <x:v>-73.88592154158442</x:v>
      </x:c>
      <x:c r="I1973" s="31" t="n">
        <x:v>1790</x:v>
      </x:c>
      <x:c r="J1973" s="31" t="n">
        <x:v>28955.12076235718</x:v>
      </x:c>
      <x:c r="K1973" s="31"/>
      <x:c r="L1973" s="40"/>
      <x:c r="M1973" s="40"/>
      <x:c r="N1973" s="31" t="n">
        <x:v>476</x:v>
      </x:c>
      <x:c r="O1973" s="31" t="n">
        <x:v>772</x:v>
      </x:c>
      <x:c r="P1973" s="31" t="n">
        <x:v>2.299015544041451</x:v>
      </x:c>
      <x:c r="Q1973" s="40" t="n">
        <x:v>0</x:v>
      </x:c>
      <x:c r="R1973" s="40" t="n">
        <x:v>0.30569948186528495</x:v>
      </x:c>
      <x:c r="S1973" s="40" t="n">
        <x:v>0.0025906735751295338</x:v>
      </x:c>
      <x:c r="T1973" s="31" t="n">
        <x:v>27.540174195660622</x:v>
      </x:c>
      <x:c r="U1973" s="31" t="n">
        <x:v>37.37</x:v>
      </x:c>
      <x:c r="V1973" s="31" t="n">
        <x:v>0</x:v>
      </x:c>
      <x:c r="W1973" s="31" t="n">
        <x:v>0</x:v>
      </x:c>
      <x:c r="X1973" s="31" t="n">
        <x:v>1.8134715025906736</x:v>
      </x:c>
      <x:c r="Y1973" s="40" t="n">
        <x:v>0</x:v>
      </x:c>
      <x:c r="Z1973" s="40" t="n">
        <x:v>1</x:v>
      </x:c>
      <x:c r="AA1973" s="40" t="n">
        <x:v>1</x:v>
      </x:c>
      <x:c r="AB1973" s="31" t="n">
        <x:v>0.39294110837734153</x:v>
      </x:c>
      <x:c r="AC1973" s="31" t="n">
        <x:v>5</x:v>
      </x:c>
      <x:c r="AD1973" s="44" t="b">
        <x:v>1</x:v>
      </x:c>
    </x:row>
    <x:row r="1974">
      <x:c r="A1974" s="31" t="str">
        <x:v>36081067100</x:v>
      </x:c>
      <x:c r="B1974" s="31" t="str">
        <x:v>Queens</x:v>
      </x:c>
      <x:c r="C1974" s="31" t="str">
        <x:v>067100</x:v>
      </x:c>
      <x:c r="D1974" s="31" t="str">
        <x:v>QN0504</x:v>
      </x:c>
      <x:c r="E1974" s="31" t="str">
        <x:v>Middle Village</x:v>
      </x:c>
      <x:c r="F1974" s="31" t="n">
        <x:v>0.08845464419191919</x:v>
      </x:c>
      <x:c r="G1974" s="31" t="n">
        <x:v>40.72447508204562</x:v>
      </x:c>
      <x:c r="H1974" s="31" t="n">
        <x:v>-73.87810255733376</x:v>
      </x:c>
      <x:c r="I1974" s="31" t="n">
        <x:v>2248</x:v>
      </x:c>
      <x:c r="J1974" s="31" t="n">
        <x:v>25414.154570816383</x:v>
      </x:c>
      <x:c r="K1974" s="31"/>
      <x:c r="L1974" s="40"/>
      <x:c r="M1974" s="40"/>
      <x:c r="N1974" s="31" t="n">
        <x:v>809</x:v>
      </x:c>
      <x:c r="O1974" s="31" t="n">
        <x:v>874</x:v>
      </x:c>
      <x:c r="P1974" s="31" t="n">
        <x:v>1.9784553775743707</x:v>
      </x:c>
      <x:c r="Q1974" s="40" t="n">
        <x:v>0</x:v>
      </x:c>
      <x:c r="R1974" s="40" t="n">
        <x:v>0.02402745995423341</x:v>
      </x:c>
      <x:c r="S1974" s="40" t="n">
        <x:v>0.002288329519450801</x:v>
      </x:c>
      <x:c r="T1974" s="31" t="n">
        <x:v>24.92918380653318</x:v>
      </x:c>
      <x:c r="U1974" s="31" t="n">
        <x:v>34.34347568</x:v>
      </x:c>
      <x:c r="V1974" s="31" t="n">
        <x:v>0</x:v>
      </x:c>
      <x:c r="W1974" s="31" t="n">
        <x:v>0</x:v>
      </x:c>
      <x:c r="X1974" s="31" t="n">
        <x:v>1</x:v>
      </x:c>
      <x:c r="Y1974" s="40" t="n">
        <x:v>0</x:v>
      </x:c>
      <x:c r="Z1974" s="40" t="n">
        <x:v>1</x:v>
      </x:c>
      <x:c r="AA1974" s="40" t="n">
        <x:v>1</x:v>
      </x:c>
      <x:c r="AB1974" s="31" t="n">
        <x:v>0.3597933037091124</x:v>
      </x:c>
      <x:c r="AC1974" s="31" t="n">
        <x:v>6</x:v>
      </x:c>
      <x:c r="AD1974" s="44" t="b">
        <x:v>1</x:v>
      </x:c>
    </x:row>
    <x:row r="1975">
      <x:c r="A1975" s="31" t="str">
        <x:v>36081067700</x:v>
      </x:c>
      <x:c r="B1975" s="31" t="str">
        <x:v>Queens</x:v>
      </x:c>
      <x:c r="C1975" s="31" t="str">
        <x:v>067700</x:v>
      </x:c>
      <x:c r="D1975" s="31" t="str">
        <x:v>QN0504</x:v>
      </x:c>
      <x:c r="E1975" s="31" t="str">
        <x:v>Middle Village</x:v>
      </x:c>
      <x:c r="F1975" s="31" t="n">
        <x:v>0.07179885595407197</x:v>
      </x:c>
      <x:c r="G1975" s="31" t="n">
        <x:v>40.71911062493344</x:v>
      </x:c>
      <x:c r="H1975" s="31" t="n">
        <x:v>-73.87243056849037</x:v>
      </x:c>
      <x:c r="I1975" s="31" t="n">
        <x:v>1832</x:v>
      </x:c>
      <x:c r="J1975" s="31" t="n">
        <x:v>25515.72689642697</x:v>
      </x:c>
      <x:c r="K1975" s="31"/>
      <x:c r="L1975" s="40"/>
      <x:c r="M1975" s="40"/>
      <x:c r="N1975" s="31" t="n">
        <x:v>572</x:v>
      </x:c>
      <x:c r="O1975" s="31" t="n">
        <x:v>745</x:v>
      </x:c>
      <x:c r="P1975" s="31" t="n">
        <x:v>2.0976510067114096</x:v>
      </x:c>
      <x:c r="Q1975" s="40" t="n">
        <x:v>0</x:v>
      </x:c>
      <x:c r="R1975" s="40" t="n">
        <x:v>0.08993288590604027</x:v>
      </x:c>
      <x:c r="S1975" s="40" t="n">
        <x:v>0.0013422818791946308</x:v>
      </x:c>
      <x:c r="T1975" s="31" t="n">
        <x:v>24.663596709503356</x:v>
      </x:c>
      <x:c r="U1975" s="31" t="n">
        <x:v>37.15</x:v>
      </x:c>
      <x:c r="V1975" s="31" t="n">
        <x:v>0</x:v>
      </x:c>
      <x:c r="W1975" s="31" t="n">
        <x:v>0</x:v>
      </x:c>
      <x:c r="X1975" s="31" t="n">
        <x:v>1</x:v>
      </x:c>
      <x:c r="Y1975" s="40" t="n">
        <x:v>0</x:v>
      </x:c>
      <x:c r="Z1975" s="40" t="n">
        <x:v>1</x:v>
      </x:c>
      <x:c r="AA1975" s="40" t="n">
        <x:v>1</x:v>
      </x:c>
      <x:c r="AB1975" s="31" t="n">
        <x:v>0.16486811691737108</x:v>
      </x:c>
      <x:c r="AC1975" s="31" t="n">
        <x:v>6</x:v>
      </x:c>
      <x:c r="AD1975" s="44" t="b">
        <x:v>1</x:v>
      </x:c>
    </x:row>
    <x:row r="1976">
      <x:c r="A1976" s="31" t="str">
        <x:v>36081067900</x:v>
      </x:c>
      <x:c r="B1976" s="31" t="str">
        <x:v>Queens</x:v>
      </x:c>
      <x:c r="C1976" s="31" t="str">
        <x:v>067900</x:v>
      </x:c>
      <x:c r="D1976" s="31" t="str">
        <x:v>QN0504</x:v>
      </x:c>
      <x:c r="E1976" s="31" t="str">
        <x:v>Middle Village</x:v>
      </x:c>
      <x:c r="F1976" s="31" t="n">
        <x:v>0.09781521237732438</x:v>
      </x:c>
      <x:c r="G1976" s="31" t="n">
        <x:v>40.72411419550708</x:v>
      </x:c>
      <x:c r="H1976" s="31" t="n">
        <x:v>-73.87018288872942</x:v>
      </x:c>
      <x:c r="I1976" s="31" t="n">
        <x:v>4397</x:v>
      </x:c>
      <x:c r="J1976" s="31" t="n">
        <x:v>44952.10809376433</x:v>
      </x:c>
      <x:c r="K1976" s="31"/>
      <x:c r="L1976" s="40"/>
      <x:c r="M1976" s="40"/>
      <x:c r="N1976" s="31" t="n">
        <x:v>422</x:v>
      </x:c>
      <x:c r="O1976" s="31" t="n">
        <x:v>1741</x:v>
      </x:c>
      <x:c r="P1976" s="31" t="n">
        <x:v>4.278052843193567</x:v>
      </x:c>
      <x:c r="Q1976" s="40" t="n">
        <x:v>0</x:v>
      </x:c>
      <x:c r="R1976" s="40" t="n">
        <x:v>0.5807007466973004</x:v>
      </x:c>
      <x:c r="S1976" s="40" t="n">
        <x:v>0.5646180356117174</x:v>
      </x:c>
      <x:c r="T1976" s="31" t="n">
        <x:v>47.32151149472111</x:v>
      </x:c>
      <x:c r="U1976" s="31" t="n">
        <x:v>75</x:v>
      </x:c>
      <x:c r="V1976" s="31" t="n">
        <x:v>21</x:v>
      </x:c>
      <x:c r="W1976" s="31" t="n">
        <x:v>4.775983625198999</x:v>
      </x:c>
      <x:c r="X1976" s="31" t="n">
        <x:v>1.1424468696151637</x:v>
      </x:c>
      <x:c r="Y1976" s="40" t="n">
        <x:v>0</x:v>
      </x:c>
      <x:c r="Z1976" s="40" t="n">
        <x:v>1</x:v>
      </x:c>
      <x:c r="AA1976" s="40" t="n">
        <x:v>0.9988512349224583</x:v>
      </x:c>
      <x:c r="AB1976" s="31" t="n">
        <x:v>0.3712256342989995</x:v>
      </x:c>
      <x:c r="AC1976" s="31" t="n">
        <x:v>9</x:v>
      </x:c>
      <x:c r="AD1976" s="44" t="b">
        <x:v>1</x:v>
      </x:c>
    </x:row>
    <x:row r="1977">
      <x:c r="A1977" s="31" t="str">
        <x:v>36081068000</x:v>
      </x:c>
      <x:c r="B1977" s="31" t="str">
        <x:v>Queens</x:v>
      </x:c>
      <x:c r="C1977" s="31" t="str">
        <x:v>068000</x:v>
      </x:c>
      <x:c r="D1977" s="31" t="str">
        <x:v>QN1306</x:v>
      </x:c>
      <x:c r="E1977" s="31" t="str">
        <x:v>Springfield Gardens (South)-Brookville</x:v>
      </x:c>
      <x:c r="F1977" s="31" t="n">
        <x:v>0.29664527891701103</x:v>
      </x:c>
      <x:c r="G1977" s="31" t="n">
        <x:v>40.6637029955566</x:v>
      </x:c>
      <x:c r="H1977" s="31" t="n">
        <x:v>-73.75006634151593</x:v>
      </x:c>
      <x:c r="I1977" s="31" t="n">
        <x:v>5220</x:v>
      </x:c>
      <x:c r="J1977" s="31" t="n">
        <x:v>17596.774231692183</x:v>
      </x:c>
      <x:c r="K1977" s="31"/>
      <x:c r="L1977" s="40"/>
      <x:c r="M1977" s="40"/>
      <x:c r="N1977" s="31" t="n">
        <x:v>1063</x:v>
      </x:c>
      <x:c r="O1977" s="31" t="n">
        <x:v>1550</x:v>
      </x:c>
      <x:c r="P1977" s="31" t="n">
        <x:v>1.8162532299741603</x:v>
      </x:c>
      <x:c r="Q1977" s="40" t="n">
        <x:v>0</x:v>
      </x:c>
      <x:c r="R1977" s="40" t="n">
        <x:v>0.004516129032258065</x:v>
      </x:c>
      <x:c r="S1977" s="40" t="n">
        <x:v>0.005161290322580645</x:v>
      </x:c>
      <x:c r="T1977" s="31" t="n">
        <x:v>22.99727928764821</x:v>
      </x:c>
      <x:c r="U1977" s="31" t="n">
        <x:v>36.51260241</x:v>
      </x:c>
      <x:c r="V1977" s="31" t="n">
        <x:v>0</x:v>
      </x:c>
      <x:c r="W1977" s="31" t="n">
        <x:v>0</x:v>
      </x:c>
      <x:c r="X1977" s="31" t="n">
        <x:v>4</x:v>
      </x:c>
      <x:c r="Y1977" s="40" t="n">
        <x:v>1</x:v>
      </x:c>
      <x:c r="Z1977" s="40" t="n">
        <x:v>1</x:v>
      </x:c>
      <x:c r="AA1977" s="40" t="n">
        <x:v>0.9903225806451613</x:v>
      </x:c>
      <x:c r="AB1977" s="31" t="n">
        <x:v>0.4909922217473407</x:v>
      </x:c>
      <x:c r="AC1977" s="31" t="n">
        <x:v>8</x:v>
      </x:c>
      <x:c r="AD1977" s="44" t="b">
        <x:v>1</x:v>
      </x:c>
    </x:row>
    <x:row r="1978">
      <x:c r="A1978" s="31" t="str">
        <x:v>36081068200</x:v>
      </x:c>
      <x:c r="B1978" s="31" t="str">
        <x:v>Queens</x:v>
      </x:c>
      <x:c r="C1978" s="31" t="str">
        <x:v>068200</x:v>
      </x:c>
      <x:c r="D1978" s="31" t="str">
        <x:v>QN1305</x:v>
      </x:c>
      <x:c r="E1978" s="31" t="str">
        <x:v>Laurelton</x:v>
      </x:c>
      <x:c r="F1978" s="31" t="n">
        <x:v>0.08940577019484619</x:v>
      </x:c>
      <x:c r="G1978" s="31" t="n">
        <x:v>40.6677889570912</x:v>
      </x:c>
      <x:c r="H1978" s="31" t="n">
        <x:v>-73.75041145174943</x:v>
      </x:c>
      <x:c r="I1978" s="31" t="n">
        <x:v>1262</x:v>
      </x:c>
      <x:c r="J1978" s="31" t="n">
        <x:v>14115.420036644886</x:v>
      </x:c>
      <x:c r="K1978" s="31"/>
      <x:c r="L1978" s="40"/>
      <x:c r="M1978" s="40"/>
      <x:c r="N1978" s="31" t="n">
        <x:v>276</x:v>
      </x:c>
      <x:c r="O1978" s="31" t="n">
        <x:v>388</x:v>
      </x:c>
      <x:c r="P1978" s="31" t="n">
        <x:v>1.901701030927835</x:v>
      </x:c>
      <x:c r="Q1978" s="40" t="n">
        <x:v>0</x:v>
      </x:c>
      <x:c r="R1978" s="40" t="n">
        <x:v>0</x:v>
      </x:c>
      <x:c r="S1978" s="40" t="n">
        <x:v>0.010309278350515464</x:v>
      </x:c>
      <x:c r="T1978" s="31" t="n">
        <x:v>24.96020122795866</x:v>
      </x:c>
      <x:c r="U1978" s="31" t="n">
        <x:v>35.53454012</x:v>
      </x:c>
      <x:c r="V1978" s="31" t="n">
        <x:v>1</x:v>
      </x:c>
      <x:c r="W1978" s="31" t="n">
        <x:v>0.7923930269413629</x:v>
      </x:c>
      <x:c r="X1978" s="31" t="n">
        <x:v>4</x:v>
      </x:c>
      <x:c r="Y1978" s="40" t="n">
        <x:v>1</x:v>
      </x:c>
      <x:c r="Z1978" s="40" t="n">
        <x:v>1</x:v>
      </x:c>
      <x:c r="AA1978" s="40" t="n">
        <x:v>0.9974226804123711</x:v>
      </x:c>
      <x:c r="AB1978" s="31" t="n">
        <x:v>0.39232758929459927</x:v>
      </x:c>
      <x:c r="AC1978" s="31" t="n">
        <x:v>3</x:v>
      </x:c>
      <x:c r="AD1978" s="44" t="b">
        <x:v>1</x:v>
      </x:c>
    </x:row>
    <x:row r="1979">
      <x:c r="A1979" s="31" t="str">
        <x:v>36081068300</x:v>
      </x:c>
      <x:c r="B1979" s="31" t="str">
        <x:v>Queens</x:v>
      </x:c>
      <x:c r="C1979" s="31" t="str">
        <x:v>068300</x:v>
      </x:c>
      <x:c r="D1979" s="31" t="str">
        <x:v>QN0401</x:v>
      </x:c>
      <x:c r="E1979" s="31" t="str">
        <x:v>Elmhurst</x:v>
      </x:c>
      <x:c r="F1979" s="31" t="n">
        <x:v>0.09442172627518078</x:v>
      </x:c>
      <x:c r="G1979" s="31" t="n">
        <x:v>40.73497503416845</x:v>
      </x:c>
      <x:c r="H1979" s="31" t="n">
        <x:v>-73.86908384740919</x:v>
      </x:c>
      <x:c r="I1979" s="31" t="n">
        <x:v>4052</x:v>
      </x:c>
      <x:c r="J1979" s="31" t="n">
        <x:v>42913.85213812903</x:v>
      </x:c>
      <x:c r="K1979" s="31"/>
      <x:c r="L1979" s="40"/>
      <x:c r="M1979" s="40"/>
      <x:c r="N1979" s="31" t="n">
        <x:v>44</x:v>
      </x:c>
      <x:c r="O1979" s="31" t="n">
        <x:v>1605</x:v>
      </x:c>
      <x:c r="P1979" s="31" t="n">
        <x:v>5.758530183727034</x:v>
      </x:c>
      <x:c r="Q1979" s="40" t="n">
        <x:v>0</x:v>
      </x:c>
      <x:c r="R1979" s="40" t="n">
        <x:v>0.7121495327102804</x:v>
      </x:c>
      <x:c r="S1979" s="40" t="n">
        <x:v>0.16448598130841122</x:v>
      </x:c>
      <x:c r="T1979" s="31" t="n">
        <x:v>63.86862052978193</x:v>
      </x:c>
      <x:c r="U1979" s="31" t="n">
        <x:v>69</x:v>
      </x:c>
      <x:c r="V1979" s="31" t="n">
        <x:v>21</x:v>
      </x:c>
      <x:c r="W1979" s="31" t="n">
        <x:v>5.182625863770977</x:v>
      </x:c>
      <x:c r="X1979" s="31" t="n">
        <x:v>3</x:v>
      </x:c>
      <x:c r="Y1979" s="40" t="n">
        <x:v>0</x:v>
      </x:c>
      <x:c r="Z1979" s="40" t="n">
        <x:v>1</x:v>
      </x:c>
      <x:c r="AA1979" s="40" t="n">
        <x:v>1</x:v>
      </x:c>
      <x:c r="AB1979" s="31" t="n">
        <x:v>0.08092456398019428</x:v>
      </x:c>
      <x:c r="AC1979" s="31" t="n">
        <x:v>7</x:v>
      </x:c>
      <x:c r="AD1979" s="44" t="b">
        <x:v>1</x:v>
      </x:c>
    </x:row>
    <x:row r="1980">
      <x:c r="A1980" s="31" t="str">
        <x:v>36081068700</x:v>
      </x:c>
      <x:c r="B1980" s="31" t="str">
        <x:v>Queens</x:v>
      </x:c>
      <x:c r="C1980" s="31" t="str">
        <x:v>068700</x:v>
      </x:c>
      <x:c r="D1980" s="31" t="str">
        <x:v>QN0601</x:v>
      </x:c>
      <x:c r="E1980" s="31" t="str">
        <x:v>Rego Park</x:v>
      </x:c>
      <x:c r="F1980" s="31" t="n">
        <x:v>0.10760965787670741</x:v>
      </x:c>
      <x:c r="G1980" s="31" t="n">
        <x:v>40.7303105093463</x:v>
      </x:c>
      <x:c r="H1980" s="31" t="n">
        <x:v>-73.86930196990417</x:v>
      </x:c>
      <x:c r="I1980" s="31" t="n">
        <x:v>4597</x:v>
      </x:c>
      <x:c r="J1980" s="31" t="n">
        <x:v>42719.21396931642</x:v>
      </x:c>
      <x:c r="K1980" s="31"/>
      <x:c r="L1980" s="40"/>
      <x:c r="M1980" s="40"/>
      <x:c r="N1980" s="31" t="n">
        <x:v>408</x:v>
      </x:c>
      <x:c r="O1980" s="31" t="n">
        <x:v>1926</x:v>
      </x:c>
      <x:c r="P1980" s="31" t="n">
        <x:v>4.926737884314747</x:v>
      </x:c>
      <x:c r="Q1980" s="40" t="n">
        <x:v>0</x:v>
      </x:c>
      <x:c r="R1980" s="40" t="n">
        <x:v>0.7128764278296988</x:v>
      </x:c>
      <x:c r="S1980" s="40" t="n">
        <x:v>0</x:v>
      </x:c>
      <x:c r="T1980" s="31" t="n">
        <x:v>53.75452095938067</x:v>
      </x:c>
      <x:c r="U1980" s="31" t="n">
        <x:v>81</x:v>
      </x:c>
      <x:c r="V1980" s="31" t="n">
        <x:v>26</x:v>
      </x:c>
      <x:c r="W1980" s="31" t="n">
        <x:v>5.6558625190341525</x:v>
      </x:c>
      <x:c r="X1980" s="31" t="n">
        <x:v>3</x:v>
      </x:c>
      <x:c r="Y1980" s="40" t="n">
        <x:v>0</x:v>
      </x:c>
      <x:c r="Z1980" s="40" t="n">
        <x:v>1</x:v>
      </x:c>
      <x:c r="AA1980" s="40" t="n">
        <x:v>0.9724818276220145</x:v>
      </x:c>
      <x:c r="AB1980" s="31" t="n">
        <x:v>0.3253714929746842</x:v>
      </x:c>
      <x:c r="AC1980" s="31" t="n">
        <x:v>9</x:v>
      </x:c>
      <x:c r="AD1980" s="44" t="b">
        <x:v>1</x:v>
      </x:c>
    </x:row>
    <x:row r="1981">
      <x:c r="A1981" s="31" t="str">
        <x:v>36081069000</x:v>
      </x:c>
      <x:c r="B1981" s="31" t="str">
        <x:v>Queens</x:v>
      </x:c>
      <x:c r="C1981" s="31" t="str">
        <x:v>069000</x:v>
      </x:c>
      <x:c r="D1981" s="31" t="str">
        <x:v>QN1306</x:v>
      </x:c>
      <x:c r="E1981" s="31" t="str">
        <x:v>Springfield Gardens (South)-Brookville</x:v>
      </x:c>
      <x:c r="F1981" s="31" t="n">
        <x:v>0.1345395116724776</x:v>
      </x:c>
      <x:c r="G1981" s="31" t="n">
        <x:v>40.66033049015286</x:v>
      </x:c>
      <x:c r="H1981" s="31" t="n">
        <x:v>-73.75537131130565</x:v>
      </x:c>
      <x:c r="I1981" s="31" t="n">
        <x:v>3787</x:v>
      </x:c>
      <x:c r="J1981" s="31" t="n">
        <x:v>28147.864912867055</x:v>
      </x:c>
      <x:c r="K1981" s="31"/>
      <x:c r="L1981" s="40"/>
      <x:c r="M1981" s="40"/>
      <x:c r="N1981" s="31" t="n">
        <x:v>612</x:v>
      </x:c>
      <x:c r="O1981" s="31" t="n">
        <x:v>1005</x:v>
      </x:c>
      <x:c r="P1981" s="31" t="n">
        <x:v>1.8915820895522388</x:v>
      </x:c>
      <x:c r="Q1981" s="40" t="n">
        <x:v>0</x:v>
      </x:c>
      <x:c r="R1981" s="40" t="n">
        <x:v>0.011940298507462687</x:v>
      </x:c>
      <x:c r="S1981" s="40" t="n">
        <x:v>0.005970149253731343</x:v>
      </x:c>
      <x:c r="T1981" s="31" t="n">
        <x:v>25.50729397564741</x:v>
      </x:c>
      <x:c r="U1981" s="31" t="n">
        <x:v>33</x:v>
      </x:c>
      <x:c r="V1981" s="31" t="n">
        <x:v>0</x:v>
      </x:c>
      <x:c r="W1981" s="31" t="n">
        <x:v>0</x:v>
      </x:c>
      <x:c r="X1981" s="31" t="n">
        <x:v>4</x:v>
      </x:c>
      <x:c r="Y1981" s="40" t="n">
        <x:v>1</x:v>
      </x:c>
      <x:c r="Z1981" s="40" t="n">
        <x:v>1</x:v>
      </x:c>
      <x:c r="AA1981" s="40" t="n">
        <x:v>0.9990049751243781</x:v>
      </x:c>
      <x:c r="AB1981" s="31" t="n">
        <x:v>0.34142472823105713</x:v>
      </x:c>
      <x:c r="AC1981" s="31" t="n">
        <x:v>4</x:v>
      </x:c>
      <x:c r="AD1981" s="44" t="b">
        <x:v>1</x:v>
      </x:c>
    </x:row>
    <x:row r="1982">
      <x:c r="A1982" s="31" t="str">
        <x:v>36081069300</x:v>
      </x:c>
      <x:c r="B1982" s="31" t="str">
        <x:v>Queens</x:v>
      </x:c>
      <x:c r="C1982" s="31" t="str">
        <x:v>069300</x:v>
      </x:c>
      <x:c r="D1982" s="31" t="str">
        <x:v>QN0601</x:v>
      </x:c>
      <x:c r="E1982" s="31" t="str">
        <x:v>Rego Park</x:v>
      </x:c>
      <x:c r="F1982" s="31" t="n">
        <x:v>0.05519591161903122</x:v>
      </x:c>
      <x:c r="G1982" s="31" t="n">
        <x:v>40.728888761599194</x:v>
      </x:c>
      <x:c r="H1982" s="31" t="n">
        <x:v>-73.8632274869274</x:v>
      </x:c>
      <x:c r="I1982" s="31" t="n">
        <x:v>2887</x:v>
      </x:c>
      <x:c r="J1982" s="31" t="n">
        <x:v>52304.598571111914</x:v>
      </x:c>
      <x:c r="K1982" s="31"/>
      <x:c r="L1982" s="40"/>
      <x:c r="M1982" s="40"/>
      <x:c r="N1982" s="31" t="n">
        <x:v>127</x:v>
      </x:c>
      <x:c r="O1982" s="31" t="n">
        <x:v>1356</x:v>
      </x:c>
      <x:c r="P1982" s="31" t="n">
        <x:v>5.284107669616519</x:v>
      </x:c>
      <x:c r="Q1982" s="40" t="n">
        <x:v>0</x:v>
      </x:c>
      <x:c r="R1982" s="40" t="n">
        <x:v>0.8952802359882006</x:v>
      </x:c>
      <x:c r="S1982" s="40" t="n">
        <x:v>0.02359882005899705</x:v>
      </x:c>
      <x:c r="T1982" s="31" t="n">
        <x:v>58.52313391679941</x:v>
      </x:c>
      <x:c r="U1982" s="31" t="n">
        <x:v>80</x:v>
      </x:c>
      <x:c r="V1982" s="31" t="n">
        <x:v>21</x:v>
      </x:c>
      <x:c r="W1982" s="31" t="n">
        <x:v>7.2739868375476275</x:v>
      </x:c>
      <x:c r="X1982" s="31" t="n">
        <x:v>3</x:v>
      </x:c>
      <x:c r="Y1982" s="40" t="n">
        <x:v>0</x:v>
      </x:c>
      <x:c r="Z1982" s="40" t="n">
        <x:v>1</x:v>
      </x:c>
      <x:c r="AA1982" s="40" t="n">
        <x:v>1</x:v>
      </x:c>
      <x:c r="AB1982" s="31" t="n">
        <x:v>0.05550893608723996</x:v>
      </x:c>
      <x:c r="AC1982" s="31" t="n">
        <x:v>5</x:v>
      </x:c>
      <x:c r="AD1982" s="44" t="b">
        <x:v>1</x:v>
      </x:c>
    </x:row>
    <x:row r="1983">
      <x:c r="A1983" s="31" t="str">
        <x:v>36081069400</x:v>
      </x:c>
      <x:c r="B1983" s="31" t="str">
        <x:v>Queens</x:v>
      </x:c>
      <x:c r="C1983" s="31" t="str">
        <x:v>069400</x:v>
      </x:c>
      <x:c r="D1983" s="31" t="str">
        <x:v>QN1306</x:v>
      </x:c>
      <x:c r="E1983" s="31" t="str">
        <x:v>Springfield Gardens (South)-Brookville</x:v>
      </x:c>
      <x:c r="F1983" s="31" t="n">
        <x:v>0.20232277861068065</x:v>
      </x:c>
      <x:c r="G1983" s="31" t="n">
        <x:v>40.65587455136954</x:v>
      </x:c>
      <x:c r="H1983" s="31" t="n">
        <x:v>-73.75012393956035</x:v>
      </x:c>
      <x:c r="I1983" s="31" t="n">
        <x:v>3604</x:v>
      </x:c>
      <x:c r="J1983" s="31" t="n">
        <x:v>17813.12032559118</x:v>
      </x:c>
      <x:c r="K1983" s="31"/>
      <x:c r="L1983" s="40"/>
      <x:c r="M1983" s="40"/>
      <x:c r="N1983" s="31" t="n">
        <x:v>628</x:v>
      </x:c>
      <x:c r="O1983" s="31" t="n">
        <x:v>1059</x:v>
      </x:c>
      <x:c r="P1983" s="31" t="n">
        <x:v>1.9041170915958452</x:v>
      </x:c>
      <x:c r="Q1983" s="40" t="n">
        <x:v>0</x:v>
      </x:c>
      <x:c r="R1983" s="40" t="n">
        <x:v>0.015108593012275733</x:v>
      </x:c>
      <x:c r="S1983" s="40" t="n">
        <x:v>0.0028328611898017</x:v>
      </x:c>
      <x:c r="T1983" s="31" t="n">
        <x:v>25.260985143491915</x:v>
      </x:c>
      <x:c r="U1983" s="31" t="n">
        <x:v>37.265772</x:v>
      </x:c>
      <x:c r="V1983" s="31" t="n">
        <x:v>1</x:v>
      </x:c>
      <x:c r="W1983" s="31" t="n">
        <x:v>0.27746947835738067</x:v>
      </x:c>
      <x:c r="X1983" s="31" t="n">
        <x:v>4</x:v>
      </x:c>
      <x:c r="Y1983" s="40" t="n">
        <x:v>1</x:v>
      </x:c>
      <x:c r="Z1983" s="40" t="n">
        <x:v>1</x:v>
      </x:c>
      <x:c r="AA1983" s="40" t="n">
        <x:v>0.9924457034938622</x:v>
      </x:c>
      <x:c r="AB1983" s="31" t="n">
        <x:v>0.15121072953934758</x:v>
      </x:c>
      <x:c r="AC1983" s="31" t="n">
        <x:v>6</x:v>
      </x:c>
      <x:c r="AD1983" s="44" t="b">
        <x:v>1</x:v>
      </x:c>
    </x:row>
    <x:row r="1984">
      <x:c r="A1984" s="31" t="str">
        <x:v>36081069500</x:v>
      </x:c>
      <x:c r="B1984" s="31" t="str">
        <x:v>Queens</x:v>
      </x:c>
      <x:c r="C1984" s="31" t="str">
        <x:v>069500</x:v>
      </x:c>
      <x:c r="D1984" s="31" t="str">
        <x:v>QN0601</x:v>
      </x:c>
      <x:c r="E1984" s="31" t="str">
        <x:v>Rego Park</x:v>
      </x:c>
      <x:c r="F1984" s="31" t="n">
        <x:v>0.08233323457838326</x:v>
      </x:c>
      <x:c r="G1984" s="31" t="n">
        <x:v>40.726056685700364</x:v>
      </x:c>
      <x:c r="H1984" s="31" t="n">
        <x:v>-73.86750933135191</x:v>
      </x:c>
      <x:c r="I1984" s="31" t="n">
        <x:v>2451</x:v>
      </x:c>
      <x:c r="J1984" s="31" t="n">
        <x:v>29769.266476061835</x:v>
      </x:c>
      <x:c r="K1984" s="31"/>
      <x:c r="L1984" s="40"/>
      <x:c r="M1984" s="40"/>
      <x:c r="N1984" s="31" t="n">
        <x:v>406</x:v>
      </x:c>
      <x:c r="O1984" s="31" t="n">
        <x:v>961</x:v>
      </x:c>
      <x:c r="P1984" s="31" t="n">
        <x:v>4.147363445378152</x:v>
      </x:c>
      <x:c r="Q1984" s="40" t="n">
        <x:v>0.08116545265348596</x:v>
      </x:c>
      <x:c r="R1984" s="40" t="n">
        <x:v>0.3829344432882414</x:v>
      </x:c>
      <x:c r="S1984" s="40" t="n">
        <x:v>0.055150884495317375</x:v>
      </x:c>
      <x:c r="T1984" s="31" t="n">
        <x:v>46.66230797826178</x:v>
      </x:c>
      <x:c r="U1984" s="31" t="n">
        <x:v>126</x:v>
      </x:c>
      <x:c r="V1984" s="31" t="n">
        <x:v>8</x:v>
      </x:c>
      <x:c r="W1984" s="31" t="n">
        <x:v>3.2639738882088944</x:v>
      </x:c>
      <x:c r="X1984" s="31" t="n">
        <x:v>3</x:v>
      </x:c>
      <x:c r="Y1984" s="40" t="n">
        <x:v>0</x:v>
      </x:c>
      <x:c r="Z1984" s="40" t="n">
        <x:v>1</x:v>
      </x:c>
      <x:c r="AA1984" s="40" t="n">
        <x:v>0.9937565036420395</x:v>
      </x:c>
      <x:c r="AB1984" s="31" t="n">
        <x:v>0.18021854982761323</x:v>
      </x:c>
      <x:c r="AC1984" s="31" t="n">
        <x:v>5</x:v>
      </x:c>
      <x:c r="AD1984" s="44" t="b">
        <x:v>1</x:v>
      </x:c>
    </x:row>
    <x:row r="1985">
      <x:c r="A1985" s="31" t="str">
        <x:v>36081069701</x:v>
      </x:c>
      <x:c r="B1985" s="31" t="str">
        <x:v>Queens</x:v>
      </x:c>
      <x:c r="C1985" s="31" t="str">
        <x:v>069701</x:v>
      </x:c>
      <x:c r="D1985" s="31" t="str">
        <x:v>QN0601</x:v>
      </x:c>
      <x:c r="E1985" s="31" t="str">
        <x:v>Rego Park</x:v>
      </x:c>
      <x:c r="F1985" s="31" t="n">
        <x:v>0.0513720878927772</x:v>
      </x:c>
      <x:c r="G1985" s="31" t="n">
        <x:v>40.72686641442257</x:v>
      </x:c>
      <x:c r="H1985" s="31" t="n">
        <x:v>-73.86019210338341</x:v>
      </x:c>
      <x:c r="I1985" s="31" t="n">
        <x:v>4435</x:v>
      </x:c>
      <x:c r="J1985" s="31" t="n">
        <x:v>86330.92758964057</x:v>
      </x:c>
      <x:c r="K1985" s="31"/>
      <x:c r="L1985" s="40"/>
      <x:c r="M1985" s="40"/>
      <x:c r="N1985" s="31" t="n">
        <x:v>106</x:v>
      </x:c>
      <x:c r="O1985" s="31" t="n">
        <x:v>2120</x:v>
      </x:c>
      <x:c r="P1985" s="31" t="n">
        <x:v>5.845513882123721</x:v>
      </x:c>
      <x:c r="Q1985" s="40" t="n">
        <x:v>0.03679245283018868</x:v>
      </x:c>
      <x:c r="R1985" s="40" t="n">
        <x:v>0.8971698113207547</x:v>
      </x:c>
      <x:c r="S1985" s="40" t="n">
        <x:v>0</x:v>
      </x:c>
      <x:c r="T1985" s="31" t="n">
        <x:v>60.36293666487736</x:v>
      </x:c>
      <x:c r="U1985" s="31" t="n">
        <x:v>86.41549259</x:v>
      </x:c>
      <x:c r="V1985" s="31" t="n">
        <x:v>38</x:v>
      </x:c>
      <x:c r="W1985" s="31" t="n">
        <x:v>8.568207440811726</x:v>
      </x:c>
      <x:c r="X1985" s="31" t="n">
        <x:v>3</x:v>
      </x:c>
      <x:c r="Y1985" s="40" t="n">
        <x:v>0</x:v>
      </x:c>
      <x:c r="Z1985" s="40" t="n">
        <x:v>1</x:v>
      </x:c>
      <x:c r="AA1985" s="40" t="n">
        <x:v>1</x:v>
      </x:c>
      <x:c r="AB1985" s="31" t="n">
        <x:v>0.16600963306240574</x:v>
      </x:c>
      <x:c r="AC1985" s="31" t="n">
        <x:v>6</x:v>
      </x:c>
      <x:c r="AD1985" s="44" t="b">
        <x:v>1</x:v>
      </x:c>
    </x:row>
    <x:row r="1986">
      <x:c r="A1986" s="31" t="str">
        <x:v>36081069702</x:v>
      </x:c>
      <x:c r="B1986" s="31" t="str">
        <x:v>Queens</x:v>
      </x:c>
      <x:c r="C1986" s="31" t="str">
        <x:v>069702</x:v>
      </x:c>
      <x:c r="D1986" s="31" t="str">
        <x:v>QN0601</x:v>
      </x:c>
      <x:c r="E1986" s="31" t="str">
        <x:v>Rego Park</x:v>
      </x:c>
      <x:c r="F1986" s="31" t="n">
        <x:v>0.1735768472096677</x:v>
      </x:c>
      <x:c r="G1986" s="31" t="n">
        <x:v>40.72229192982075</x:v>
      </x:c>
      <x:c r="H1986" s="31" t="n">
        <x:v>-73.86282551768896</x:v>
      </x:c>
      <x:c r="I1986" s="31" t="n">
        <x:v>3929</x:v>
      </x:c>
      <x:c r="J1986" s="31" t="n">
        <x:v>22635.507345366546</x:v>
      </x:c>
      <x:c r="K1986" s="31"/>
      <x:c r="L1986" s="40"/>
      <x:c r="M1986" s="40"/>
      <x:c r="N1986" s="31" t="n">
        <x:v>791</x:v>
      </x:c>
      <x:c r="O1986" s="31" t="n">
        <x:v>1502</x:v>
      </x:c>
      <x:c r="P1986" s="31" t="n">
        <x:v>2.9417376830892144</x:v>
      </x:c>
      <x:c r="Q1986" s="40" t="n">
        <x:v>0</x:v>
      </x:c>
      <x:c r="R1986" s="40" t="n">
        <x:v>0.27163781624500666</x:v>
      </x:c>
      <x:c r="S1986" s="40" t="n">
        <x:v>0.10985352862849534</x:v>
      </x:c>
      <x:c r="T1986" s="31" t="n">
        <x:v>35.99468714218813</x:v>
      </x:c>
      <x:c r="U1986" s="31" t="n">
        <x:v>68</x:v>
      </x:c>
      <x:c r="V1986" s="31" t="n">
        <x:v>12</x:v>
      </x:c>
      <x:c r="W1986" s="31" t="n">
        <x:v>3.0542122677526087</x:v>
      </x:c>
      <x:c r="X1986" s="31" t="n">
        <x:v>3</x:v>
      </x:c>
      <x:c r="Y1986" s="40" t="n">
        <x:v>0</x:v>
      </x:c>
      <x:c r="Z1986" s="40" t="n">
        <x:v>1</x:v>
      </x:c>
      <x:c r="AA1986" s="40" t="n">
        <x:v>0.9980026631158455</x:v>
      </x:c>
      <x:c r="AB1986" s="31" t="n">
        <x:v>0.16850996912964133</x:v>
      </x:c>
      <x:c r="AC1986" s="31" t="n">
        <x:v>7</x:v>
      </x:c>
      <x:c r="AD1986" s="44" t="b">
        <x:v>1</x:v>
      </x:c>
    </x:row>
    <x:row r="1987">
      <x:c r="A1987" s="31" t="str">
        <x:v>36081070300</x:v>
      </x:c>
      <x:c r="B1987" s="31" t="str">
        <x:v>Queens</x:v>
      </x:c>
      <x:c r="C1987" s="31" t="str">
        <x:v>070300</x:v>
      </x:c>
      <x:c r="D1987" s="31" t="str">
        <x:v>QN0601</x:v>
      </x:c>
      <x:c r="E1987" s="31" t="str">
        <x:v>Rego Park</x:v>
      </x:c>
      <x:c r="F1987" s="31" t="n">
        <x:v>0.09313042471877869</x:v>
      </x:c>
      <x:c r="G1987" s="31" t="n">
        <x:v>40.71627831288423</x:v>
      </x:c>
      <x:c r="H1987" s="31" t="n">
        <x:v>-73.85935659568277</x:v>
      </x:c>
      <x:c r="I1987" s="31" t="n">
        <x:v>2225</x:v>
      </x:c>
      <x:c r="J1987" s="31" t="n">
        <x:v>23891.22573765471</x:v>
      </x:c>
      <x:c r="K1987" s="31"/>
      <x:c r="L1987" s="40"/>
      <x:c r="M1987" s="40"/>
      <x:c r="N1987" s="31" t="n">
        <x:v>510</x:v>
      </x:c>
      <x:c r="O1987" s="31" t="n">
        <x:v>1017</x:v>
      </x:c>
      <x:c r="P1987" s="31" t="n">
        <x:v>3.4229793510324487</x:v>
      </x:c>
      <x:c r="Q1987" s="40" t="n">
        <x:v>0</x:v>
      </x:c>
      <x:c r="R1987" s="40" t="n">
        <x:v>0.3952802359882006</x:v>
      </x:c>
      <x:c r="S1987" s="40" t="n">
        <x:v>0.0019665683382497543</x:v>
      </x:c>
      <x:c r="T1987" s="31" t="n">
        <x:v>34.93626579404018</x:v>
      </x:c>
      <x:c r="U1987" s="31" t="n">
        <x:v>78.57</x:v>
      </x:c>
      <x:c r="V1987" s="31" t="n">
        <x:v>6</x:v>
      </x:c>
      <x:c r="W1987" s="31" t="n">
        <x:v>2.696629213483146</x:v>
      </x:c>
      <x:c r="X1987" s="31" t="n">
        <x:v>3</x:v>
      </x:c>
      <x:c r="Y1987" s="40" t="n">
        <x:v>0</x:v>
      </x:c>
      <x:c r="Z1987" s="40" t="n">
        <x:v>1</x:v>
      </x:c>
      <x:c r="AA1987" s="40" t="n">
        <x:v>0.8810226155358899</x:v>
      </x:c>
      <x:c r="AB1987" s="31" t="n">
        <x:v>0.2989831383754723</x:v>
      </x:c>
      <x:c r="AC1987" s="31" t="n">
        <x:v>7</x:v>
      </x:c>
      <x:c r="AD1987" s="44" t="b">
        <x:v>1</x:v>
      </x:c>
    </x:row>
    <x:row r="1988">
      <x:c r="A1988" s="31" t="str">
        <x:v>36081070700</x:v>
      </x:c>
      <x:c r="B1988" s="31" t="str">
        <x:v>Queens</x:v>
      </x:c>
      <x:c r="C1988" s="31" t="str">
        <x:v>070700</x:v>
      </x:c>
      <x:c r="D1988" s="31" t="str">
        <x:v>QN0602</x:v>
      </x:c>
      <x:c r="E1988" s="31" t="str">
        <x:v>Forest Hills</x:v>
      </x:c>
      <x:c r="F1988" s="31" t="n">
        <x:v>0.08571362472846361</x:v>
      </x:c>
      <x:c r="G1988" s="31" t="n">
        <x:v>40.715072114816564</x:v>
      </x:c>
      <x:c r="H1988" s="31" t="n">
        <x:v>-73.85556566318168</x:v>
      </x:c>
      <x:c r="I1988" s="31" t="n">
        <x:v>2426</x:v>
      </x:c>
      <x:c r="J1988" s="31" t="n">
        <x:v>28303.55159620707</x:v>
      </x:c>
      <x:c r="K1988" s="31"/>
      <x:c r="L1988" s="40"/>
      <x:c r="M1988" s="40"/>
      <x:c r="N1988" s="31" t="n">
        <x:v>646</x:v>
      </x:c>
      <x:c r="O1988" s="31" t="n">
        <x:v>998</x:v>
      </x:c>
      <x:c r="P1988" s="31" t="n">
        <x:v>2.9166733466933867</x:v>
      </x:c>
      <x:c r="Q1988" s="40" t="n">
        <x:v>0</x:v>
      </x:c>
      <x:c r="R1988" s="40" t="n">
        <x:v>0.24849699398797595</x:v>
      </x:c>
      <x:c r="S1988" s="40" t="n">
        <x:v>0.002004008016032064</x:v>
      </x:c>
      <x:c r="T1988" s="31" t="n">
        <x:v>34.94396506242485</x:v>
      </x:c>
      <x:c r="U1988" s="31" t="n">
        <x:v>66.76</x:v>
      </x:c>
      <x:c r="V1988" s="31" t="n">
        <x:v>4</x:v>
      </x:c>
      <x:c r="W1988" s="31" t="n">
        <x:v>1.6488046166529267</x:v>
      </x:c>
      <x:c r="X1988" s="31" t="n">
        <x:v>2</x:v>
      </x:c>
      <x:c r="Y1988" s="40" t="n">
        <x:v>0</x:v>
      </x:c>
      <x:c r="Z1988" s="40" t="n">
        <x:v>1</x:v>
      </x:c>
      <x:c r="AA1988" s="40" t="n">
        <x:v>1</x:v>
      </x:c>
      <x:c r="AB1988" s="31" t="n">
        <x:v>0.16238416870049074</x:v>
      </x:c>
      <x:c r="AC1988" s="31" t="n">
        <x:v>6</x:v>
      </x:c>
      <x:c r="AD1988" s="44" t="b">
        <x:v>1</x:v>
      </x:c>
    </x:row>
    <x:row r="1989">
      <x:c r="A1989" s="31" t="str">
        <x:v>36081070900</x:v>
      </x:c>
      <x:c r="B1989" s="31" t="str">
        <x:v>Queens</x:v>
      </x:c>
      <x:c r="C1989" s="31" t="str">
        <x:v>070900</x:v>
      </x:c>
      <x:c r="D1989" s="31" t="str">
        <x:v>QN0602</x:v>
      </x:c>
      <x:c r="E1989" s="31" t="str">
        <x:v>Forest Hills</x:v>
      </x:c>
      <x:c r="F1989" s="31" t="n">
        <x:v>0.08481803720550678</x:v>
      </x:c>
      <x:c r="G1989" s="31" t="n">
        <x:v>40.71926717406516</x:v>
      </x:c>
      <x:c r="H1989" s="31" t="n">
        <x:v>-73.85502242270094</x:v>
      </x:c>
      <x:c r="I1989" s="31" t="n">
        <x:v>2635</x:v>
      </x:c>
      <x:c r="J1989" s="31" t="n">
        <x:v>31066.505271934348</x:v>
      </x:c>
      <x:c r="K1989" s="31"/>
      <x:c r="L1989" s="40"/>
      <x:c r="M1989" s="40"/>
      <x:c r="N1989" s="31" t="n">
        <x:v>593</x:v>
      </x:c>
      <x:c r="O1989" s="31" t="n">
        <x:v>1093</x:v>
      </x:c>
      <x:c r="P1989" s="31" t="n">
        <x:v>3.373513266239707</x:v>
      </x:c>
      <x:c r="Q1989" s="40" t="n">
        <x:v>0</x:v>
      </x:c>
      <x:c r="R1989" s="40" t="n">
        <x:v>0.4254345837145471</x:v>
      </x:c>
      <x:c r="S1989" s="40" t="n">
        <x:v>0</x:v>
      </x:c>
      <x:c r="T1989" s="31" t="n">
        <x:v>43.75187754772186</x:v>
      </x:c>
      <x:c r="U1989" s="31" t="n">
        <x:v>82.1</x:v>
      </x:c>
      <x:c r="V1989" s="31" t="n">
        <x:v>8</x:v>
      </x:c>
      <x:c r="W1989" s="31" t="n">
        <x:v>3.0360531309297913</x:v>
      </x:c>
      <x:c r="X1989" s="31" t="n">
        <x:v>2.0036596523330283</x:v>
      </x:c>
      <x:c r="Y1989" s="40" t="n">
        <x:v>0</x:v>
      </x:c>
      <x:c r="Z1989" s="40" t="n">
        <x:v>1</x:v>
      </x:c>
      <x:c r="AA1989" s="40" t="n">
        <x:v>1</x:v>
      </x:c>
      <x:c r="AB1989" s="31" t="n">
        <x:v>0.3072570093189956</x:v>
      </x:c>
      <x:c r="AC1989" s="31" t="n">
        <x:v>5</x:v>
      </x:c>
      <x:c r="AD1989" s="44" t="b">
        <x:v>1</x:v>
      </x:c>
    </x:row>
    <x:row r="1990">
      <x:c r="A1990" s="31" t="str">
        <x:v>36081071100</x:v>
      </x:c>
      <x:c r="B1990" s="31" t="str">
        <x:v>Queens</x:v>
      </x:c>
      <x:c r="C1990" s="31" t="str">
        <x:v>071100</x:v>
      </x:c>
      <x:c r="D1990" s="31" t="str">
        <x:v>QN0602</x:v>
      </x:c>
      <x:c r="E1990" s="31" t="str">
        <x:v>Forest Hills</x:v>
      </x:c>
      <x:c r="F1990" s="31" t="n">
        <x:v>0.1417274997628989</x:v>
      </x:c>
      <x:c r="G1990" s="31" t="n">
        <x:v>40.72201225481005</x:v>
      </x:c>
      <x:c r="H1990" s="31" t="n">
        <x:v>-73.85229871773444</x:v>
      </x:c>
      <x:c r="I1990" s="31" t="n">
        <x:v>5687</x:v>
      </x:c>
      <x:c r="J1990" s="31" t="n">
        <x:v>40126.29877415456</x:v>
      </x:c>
      <x:c r="K1990" s="31"/>
      <x:c r="L1990" s="40"/>
      <x:c r="M1990" s="40"/>
      <x:c r="N1990" s="31" t="n">
        <x:v>395</x:v>
      </x:c>
      <x:c r="O1990" s="31" t="n">
        <x:v>3163</x:v>
      </x:c>
      <x:c r="P1990" s="31" t="n">
        <x:v>9.630787227315839</x:v>
      </x:c>
      <x:c r="Q1990" s="40" t="n">
        <x:v>0.305090104331331</x:v>
      </x:c>
      <x:c r="R1990" s="40" t="n">
        <x:v>0.5564337654125829</x:v>
      </x:c>
      <x:c r="S1990" s="40" t="n">
        <x:v>0.07208346506481189</x:v>
      </x:c>
      <x:c r="T1990" s="31" t="n">
        <x:v>95.23273270345035</x:v>
      </x:c>
      <x:c r="U1990" s="31" t="n">
        <x:v>234.58</x:v>
      </x:c>
      <x:c r="V1990" s="31" t="n">
        <x:v>51</x:v>
      </x:c>
      <x:c r="W1990" s="31" t="n">
        <x:v>8.967821346931599</x:v>
      </x:c>
      <x:c r="X1990" s="31" t="n">
        <x:v>2.1998103066708823</x:v>
      </x:c>
      <x:c r="Y1990" s="40" t="n">
        <x:v>0</x:v>
      </x:c>
      <x:c r="Z1990" s="40" t="n">
        <x:v>1</x:v>
      </x:c>
      <x:c r="AA1990" s="40" t="n">
        <x:v>0.9996838444514701</x:v>
      </x:c>
      <x:c r="AB1990" s="31" t="n">
        <x:v>0.0858137350476916</x:v>
      </x:c>
      <x:c r="AC1990" s="31" t="n">
        <x:v>10</x:v>
      </x:c>
      <x:c r="AD1990" s="44" t="b">
        <x:v>1</x:v>
      </x:c>
    </x:row>
    <x:row r="1991">
      <x:c r="A1991" s="31" t="str">
        <x:v>36081071303</x:v>
      </x:c>
      <x:c r="B1991" s="31" t="str">
        <x:v>Queens</x:v>
      </x:c>
      <x:c r="C1991" s="31" t="str">
        <x:v>071303</x:v>
      </x:c>
      <x:c r="D1991" s="31" t="str">
        <x:v>QN0602</x:v>
      </x:c>
      <x:c r="E1991" s="31" t="str">
        <x:v>Forest Hills</x:v>
      </x:c>
      <x:c r="F1991" s="31" t="n">
        <x:v>0.054646101997962576</x:v>
      </x:c>
      <x:c r="G1991" s="31" t="n">
        <x:v>40.72579965555048</x:v>
      </x:c>
      <x:c r="H1991" s="31" t="n">
        <x:v>-73.84953478460098</x:v>
      </x:c>
      <x:c r="I1991" s="31" t="n">
        <x:v>5307</x:v>
      </x:c>
      <x:c r="J1991" s="31" t="n">
        <x:v>97115.80160279074</x:v>
      </x:c>
      <x:c r="K1991" s="31"/>
      <x:c r="L1991" s="40"/>
      <x:c r="M1991" s="40"/>
      <x:c r="N1991" s="31" t="n">
        <x:v>27</x:v>
      </x:c>
      <x:c r="O1991" s="31" t="n">
        <x:v>2778</x:v>
      </x:c>
      <x:c r="P1991" s="31" t="n">
        <x:v>5.982001439884809</x:v>
      </x:c>
      <x:c r="Q1991" s="40" t="n">
        <x:v>0</x:v>
      </x:c>
      <x:c r="R1991" s="40" t="n">
        <x:v>1</x:v>
      </x:c>
      <x:c r="S1991" s="40" t="n">
        <x:v>0.05183585313174946</x:v>
      </x:c>
      <x:c r="T1991" s="31" t="n">
        <x:v>66.86311735061194</x:v>
      </x:c>
      <x:c r="U1991" s="31" t="n">
        <x:v>74.59</x:v>
      </x:c>
      <x:c r="V1991" s="31" t="n">
        <x:v>50</x:v>
      </x:c>
      <x:c r="W1991" s="31" t="n">
        <x:v>9.42151874882231</x:v>
      </x:c>
      <x:c r="X1991" s="31" t="n">
        <x:v>2</x:v>
      </x:c>
      <x:c r="Y1991" s="40" t="n">
        <x:v>0</x:v>
      </x:c>
      <x:c r="Z1991" s="40" t="n">
        <x:v>1</x:v>
      </x:c>
      <x:c r="AA1991" s="40" t="n">
        <x:v>1</x:v>
      </x:c>
      <x:c r="AB1991" s="31" t="n">
        <x:v>0.21450744854656542</x:v>
      </x:c>
      <x:c r="AC1991" s="31" t="n">
        <x:v>6</x:v>
      </x:c>
      <x:c r="AD1991" s="44" t="b">
        <x:v>1</x:v>
      </x:c>
    </x:row>
    <x:row r="1992">
      <x:c r="A1992" s="31" t="str">
        <x:v>36081071304</x:v>
      </x:c>
      <x:c r="B1992" s="31" t="str">
        <x:v>Queens</x:v>
      </x:c>
      <x:c r="C1992" s="31" t="str">
        <x:v>071304</x:v>
      </x:c>
      <x:c r="D1992" s="31" t="str">
        <x:v>QN0602</x:v>
      </x:c>
      <x:c r="E1992" s="31" t="str">
        <x:v>Forest Hills</x:v>
      </x:c>
      <x:c r="F1992" s="31" t="n">
        <x:v>0.06027802880437902</x:v>
      </x:c>
      <x:c r="G1992" s="31" t="n">
        <x:v>40.72886497008649</x:v>
      </x:c>
      <x:c r="H1992" s="31" t="n">
        <x:v>-73.85405860404975</x:v>
      </x:c>
      <x:c r="I1992" s="31" t="n">
        <x:v>6386</x:v>
      </x:c>
      <x:c r="J1992" s="31" t="n">
        <x:v>105942.41594602504</x:v>
      </x:c>
      <x:c r="K1992" s="31"/>
      <x:c r="L1992" s="40"/>
      <x:c r="M1992" s="40"/>
      <x:c r="N1992" s="31" t="n">
        <x:v>55</x:v>
      </x:c>
      <x:c r="O1992" s="31" t="n">
        <x:v>3453</x:v>
      </x:c>
      <x:c r="P1992" s="31" t="n">
        <x:v>12.568201563857516</x:v>
      </x:c>
      <x:c r="Q1992" s="40" t="n">
        <x:v>0.40399652476107734</x:v>
      </x:c>
      <x:c r="R1992" s="40" t="n">
        <x:v>0.58123370981755</x:v>
      </x:c>
      <x:c r="S1992" s="40" t="n">
        <x:v>0.4433825658847379</x:v>
      </x:c>
      <x:c r="T1992" s="31" t="n">
        <x:v>119.70677748214307</x:v>
      </x:c>
      <x:c r="U1992" s="31" t="n">
        <x:v>249.48</x:v>
      </x:c>
      <x:c r="V1992" s="31" t="n">
        <x:v>66</x:v>
      </x:c>
      <x:c r="W1992" s="31" t="n">
        <x:v>10.335108048856874</x:v>
      </x:c>
      <x:c r="X1992" s="31" t="n">
        <x:v>2.7248769186214887</x:v>
      </x:c>
      <x:c r="Y1992" s="40" t="n">
        <x:v>0</x:v>
      </x:c>
      <x:c r="Z1992" s="40" t="n">
        <x:v>1</x:v>
      </x:c>
      <x:c r="AA1992" s="40" t="n">
        <x:v>1</x:v>
      </x:c>
      <x:c r="AB1992" s="31" t="n">
        <x:v>0.16042317575333895</x:v>
      </x:c>
      <x:c r="AC1992" s="31" t="n">
        <x:v>6</x:v>
      </x:c>
      <x:c r="AD1992" s="44" t="b">
        <x:v>1</x:v>
      </x:c>
    </x:row>
    <x:row r="1993">
      <x:c r="A1993" s="31" t="str">
        <x:v>36081071305</x:v>
      </x:c>
      <x:c r="B1993" s="31" t="str">
        <x:v>Queens</x:v>
      </x:c>
      <x:c r="C1993" s="31" t="str">
        <x:v>071305</x:v>
      </x:c>
      <x:c r="D1993" s="31" t="str">
        <x:v>QN0602</x:v>
      </x:c>
      <x:c r="E1993" s="31" t="str">
        <x:v>Forest Hills</x:v>
      </x:c>
      <x:c r="F1993" s="31" t="n">
        <x:v>0.051736491055440766</x:v>
      </x:c>
      <x:c r="G1993" s="31" t="n">
        <x:v>40.72419014967251</x:v>
      </x:c>
      <x:c r="H1993" s="31" t="n">
        <x:v>-73.85149822139581</x:v>
      </x:c>
      <x:c r="I1993" s="31" t="n">
        <x:v>5126</x:v>
      </x:c>
      <x:c r="J1993" s="31" t="n">
        <x:v>99079.00391827857</x:v>
      </x:c>
      <x:c r="K1993" s="31"/>
      <x:c r="L1993" s="40"/>
      <x:c r="M1993" s="40"/>
      <x:c r="N1993" s="31" t="n">
        <x:v>94</x:v>
      </x:c>
      <x:c r="O1993" s="31" t="n">
        <x:v>2567</x:v>
      </x:c>
      <x:c r="P1993" s="31" t="n">
        <x:v>13.309894818854694</x:v>
      </x:c>
      <x:c r="Q1993" s="40" t="n">
        <x:v>0.5403194390338917</x:v>
      </x:c>
      <x:c r="R1993" s="40" t="n">
        <x:v>0.4300740163615115</x:v>
      </x:c>
      <x:c r="S1993" s="40" t="n">
        <x:v>0.5169458511881574</x:v>
      </x:c>
      <x:c r="T1993" s="31" t="n">
        <x:v>122.88965194548888</x:v>
      </x:c>
      <x:c r="U1993" s="31" t="n">
        <x:v>176.35</x:v>
      </x:c>
      <x:c r="V1993" s="31" t="n">
        <x:v>37</x:v>
      </x:c>
      <x:c r="W1993" s="31" t="n">
        <x:v>7.21810378462739</x:v>
      </x:c>
      <x:c r="X1993" s="31" t="n">
        <x:v>2</x:v>
      </x:c>
      <x:c r="Y1993" s="40" t="n">
        <x:v>0</x:v>
      </x:c>
      <x:c r="Z1993" s="40" t="n">
        <x:v>1</x:v>
      </x:c>
      <x:c r="AA1993" s="40" t="n">
        <x:v>1</x:v>
      </x:c>
      <x:c r="AB1993" s="31" t="n">
        <x:v>0.07085230045933409</x:v>
      </x:c>
      <x:c r="AC1993" s="31" t="n">
        <x:v>4</x:v>
      </x:c>
      <x:c r="AD1993" s="44" t="b">
        <x:v>1</x:v>
      </x:c>
    </x:row>
    <x:row r="1994">
      <x:c r="A1994" s="31" t="str">
        <x:v>36081071306</x:v>
      </x:c>
      <x:c r="B1994" s="31" t="str">
        <x:v>Queens</x:v>
      </x:c>
      <x:c r="C1994" s="31" t="str">
        <x:v>071306</x:v>
      </x:c>
      <x:c r="D1994" s="31" t="str">
        <x:v>QN0602</x:v>
      </x:c>
      <x:c r="E1994" s="31" t="str">
        <x:v>Forest Hills</x:v>
      </x:c>
      <x:c r="F1994" s="31" t="n">
        <x:v>0.07007966155697601</x:v>
      </x:c>
      <x:c r="G1994" s="31" t="n">
        <x:v>40.72616083273525</x:v>
      </x:c>
      <x:c r="H1994" s="31" t="n">
        <x:v>-73.85604745228241</x:v>
      </x:c>
      <x:c r="I1994" s="31" t="n">
        <x:v>6181</x:v>
      </x:c>
      <x:c r="J1994" s="31" t="n">
        <x:v>88199.62686284861</x:v>
      </x:c>
      <x:c r="K1994" s="31"/>
      <x:c r="L1994" s="40"/>
      <x:c r="M1994" s="40"/>
      <x:c r="N1994" s="31" t="n">
        <x:v>233</x:v>
      </x:c>
      <x:c r="O1994" s="31" t="n">
        <x:v>3182</x:v>
      </x:c>
      <x:c r="P1994" s="31" t="n">
        <x:v>6.778101822752985</x:v>
      </x:c>
      <x:c r="Q1994" s="40" t="n">
        <x:v>0.14676304211187932</x:v>
      </x:c>
      <x:c r="R1994" s="40" t="n">
        <x:v>0.764299182903834</x:v>
      </x:c>
      <x:c r="S1994" s="40" t="n">
        <x:v>0</x:v>
      </x:c>
      <x:c r="T1994" s="31" t="n">
        <x:v>82.05522207499686</x:v>
      </x:c>
      <x:c r="U1994" s="31" t="n">
        <x:v>273</x:v>
      </x:c>
      <x:c r="V1994" s="31" t="n">
        <x:v>47</x:v>
      </x:c>
      <x:c r="W1994" s="31" t="n">
        <x:v>7.603947581297525</x:v>
      </x:c>
      <x:c r="X1994" s="31" t="n">
        <x:v>2.857950974230044</x:v>
      </x:c>
      <x:c r="Y1994" s="40" t="n">
        <x:v>0</x:v>
      </x:c>
      <x:c r="Z1994" s="40" t="n">
        <x:v>1</x:v>
      </x:c>
      <x:c r="AA1994" s="40" t="n">
        <x:v>1</x:v>
      </x:c>
      <x:c r="AB1994" s="31" t="n">
        <x:v>0.3060103847843342</x:v>
      </x:c>
      <x:c r="AC1994" s="31" t="n">
        <x:v>6</x:v>
      </x:c>
      <x:c r="AD1994" s="44" t="b">
        <x:v>1</x:v>
      </x:c>
    </x:row>
    <x:row r="1995">
      <x:c r="A1995" s="31" t="str">
        <x:v>36081071600</x:v>
      </x:c>
      <x:c r="B1995" s="31" t="str">
        <x:v>Queens</x:v>
      </x:c>
      <x:c r="C1995" s="31" t="str">
        <x:v>071600</x:v>
      </x:c>
      <x:c r="D1995" s="31" t="str">
        <x:v>QN8381</x:v>
      </x:c>
      <x:c r="E1995" s="31" t="str">
        <x:v>John F. Kennedy International Airport</x:v>
      </x:c>
      <x:c r="F1995" s="31" t="n">
        <x:v>7.073212802635732</x:v>
      </x:c>
      <x:c r="G1995" s="31" t="n">
        <x:v>40.64697431305545</x:v>
      </x:c>
      <x:c r="H1995" s="31" t="n">
        <x:v>-73.78656588543284</x:v>
      </x:c>
      <x:c r="I1995" s="31" t="n">
        <x:v>2</x:v>
      </x:c>
      <x:c r="J1995" s="31" t="n">
        <x:v>0.2827569388630197</x:v>
      </x:c>
      <x:c r="K1995" s="31"/>
      <x:c r="L1995" s="40"/>
      <x:c r="M1995" s="40"/>
      <x:c r="N1995" s="31" t="n">
        <x:v>0</x:v>
      </x:c>
      <x:c r="O1995" s="31"/>
      <x:c r="P1995" s="31"/>
      <x:c r="Q1995" s="40"/>
      <x:c r="R1995" s="40"/>
      <x:c r="S1995" s="40"/>
      <x:c r="T1995" s="31"/>
      <x:c r="U1995" s="31"/>
      <x:c r="V1995" s="31" t="n">
        <x:v>0</x:v>
      </x:c>
      <x:c r="W1995" s="31" t="n">
        <x:v>0</x:v>
      </x:c>
      <x:c r="X1995" s="31"/>
      <x:c r="Y1995" s="40"/>
      <x:c r="Z1995" s="40"/>
      <x:c r="AA1995" s="40"/>
      <x:c r="AB1995" s="31" t="n">
        <x:v>1.4383689475120718</x:v>
      </x:c>
      <x:c r="AC1995" s="31" t="n">
        <x:v>6</x:v>
      </x:c>
      <x:c r="AD1995" s="44" t="b">
        <x:v>0</x:v>
      </x:c>
    </x:row>
    <x:row r="1996">
      <x:c r="A1996" s="31" t="str">
        <x:v>36081071701</x:v>
      </x:c>
      <x:c r="B1996" s="31" t="str">
        <x:v>Queens</x:v>
      </x:c>
      <x:c r="C1996" s="31" t="str">
        <x:v>071701</x:v>
      </x:c>
      <x:c r="D1996" s="31" t="str">
        <x:v>QN0601</x:v>
      </x:c>
      <x:c r="E1996" s="31" t="str">
        <x:v>Rego Park</x:v>
      </x:c>
      <x:c r="F1996" s="31" t="n">
        <x:v>0.07335421034313303</x:v>
      </x:c>
      <x:c r="G1996" s="31" t="n">
        <x:v>40.73133305647529</x:v>
      </x:c>
      <x:c r="H1996" s="31" t="n">
        <x:v>-73.8598806518934</x:v>
      </x:c>
      <x:c r="I1996" s="31" t="n">
        <x:v>5557</x:v>
      </x:c>
      <x:c r="J1996" s="31" t="n">
        <x:v>75755.70610065483</x:v>
      </x:c>
      <x:c r="K1996" s="31"/>
      <x:c r="L1996" s="40"/>
      <x:c r="M1996" s="40"/>
      <x:c r="N1996" s="31" t="n">
        <x:v>41</x:v>
      </x:c>
      <x:c r="O1996" s="31" t="n">
        <x:v>3124</x:v>
      </x:c>
      <x:c r="P1996" s="31" t="n">
        <x:v>12.30729833546735</x:v>
      </x:c>
      <x:c r="Q1996" s="40" t="n">
        <x:v>0.6469270166453265</x:v>
      </x:c>
      <x:c r="R1996" s="40" t="n">
        <x:v>0.3441101152368758</x:v>
      </x:c>
      <x:c r="S1996" s="40" t="n">
        <x:v>0.40364916773367476</x:v>
      </x:c>
      <x:c r="T1996" s="31" t="n">
        <x:v>121.12269328902289</x:v>
      </x:c>
      <x:c r="U1996" s="31" t="n">
        <x:v>209</x:v>
      </x:c>
      <x:c r="V1996" s="31" t="n">
        <x:v>52</x:v>
      </x:c>
      <x:c r="W1996" s="31" t="n">
        <x:v>9.35756703257153</x:v>
      </x:c>
      <x:c r="X1996" s="31" t="n">
        <x:v>3</x:v>
      </x:c>
      <x:c r="Y1996" s="40" t="n">
        <x:v>0</x:v>
      </x:c>
      <x:c r="Z1996" s="40" t="n">
        <x:v>1</x:v>
      </x:c>
      <x:c r="AA1996" s="40" t="n">
        <x:v>0.9926376440460948</x:v>
      </x:c>
      <x:c r="AB1996" s="31" t="n">
        <x:v>0.20094386965637728</x:v>
      </x:c>
      <x:c r="AC1996" s="31" t="n">
        <x:v>8</x:v>
      </x:c>
      <x:c r="AD1996" s="44" t="b">
        <x:v>1</x:v>
      </x:c>
    </x:row>
    <x:row r="1997">
      <x:c r="A1997" s="31" t="str">
        <x:v>36081071702</x:v>
      </x:c>
      <x:c r="B1997" s="31" t="str">
        <x:v>Queens</x:v>
      </x:c>
      <x:c r="C1997" s="31" t="str">
        <x:v>071702</x:v>
      </x:c>
      <x:c r="D1997" s="31" t="str">
        <x:v>QN0601</x:v>
      </x:c>
      <x:c r="E1997" s="31" t="str">
        <x:v>Rego Park</x:v>
      </x:c>
      <x:c r="F1997" s="31" t="n">
        <x:v>0.08776446947923841</x:v>
      </x:c>
      <x:c r="G1997" s="31" t="n">
        <x:v>40.73347796954095</x:v>
      </x:c>
      <x:c r="H1997" s="31" t="n">
        <x:v>-73.86282569984145</x:v>
      </x:c>
      <x:c r="I1997" s="31" t="n">
        <x:v>4660</x:v>
      </x:c>
      <x:c r="J1997" s="31" t="n">
        <x:v>53096.657766527846</x:v>
      </x:c>
      <x:c r="K1997" s="31"/>
      <x:c r="L1997" s="40"/>
      <x:c r="M1997" s="40"/>
      <x:c r="N1997" s="31" t="n">
        <x:v>27</x:v>
      </x:c>
      <x:c r="O1997" s="31" t="n">
        <x:v>2125</x:v>
      </x:c>
      <x:c r="P1997" s="31" t="n">
        <x:v>15.897411764705883</x:v>
      </x:c>
      <x:c r="Q1997" s="40" t="n">
        <x:v>0.9350588235294117</x:v>
      </x:c>
      <x:c r="R1997" s="40" t="n">
        <x:v>0.06494117647058824</x:v>
      </x:c>
      <x:c r="S1997" s="40" t="n">
        <x:v>0.7854117647058824</x:v>
      </x:c>
      <x:c r="T1997" s="31" t="n">
        <x:v>126.74583058823531</x:v>
      </x:c>
      <x:c r="U1997" s="31" t="n">
        <x:v>176</x:v>
      </x:c>
      <x:c r="V1997" s="31" t="n">
        <x:v>43</x:v>
      </x:c>
      <x:c r="W1997" s="31" t="n">
        <x:v>9.227467811158798</x:v>
      </x:c>
      <x:c r="X1997" s="31" t="n">
        <x:v>3</x:v>
      </x:c>
      <x:c r="Y1997" s="40" t="n">
        <x:v>0</x:v>
      </x:c>
      <x:c r="Z1997" s="40" t="n">
        <x:v>1</x:v>
      </x:c>
      <x:c r="AA1997" s="40" t="n">
        <x:v>1</x:v>
      </x:c>
      <x:c r="AB1997" s="31" t="n">
        <x:v>0.10520314190807321</x:v>
      </x:c>
      <x:c r="AC1997" s="31" t="n">
        <x:v>8</x:v>
      </x:c>
      <x:c r="AD1997" s="44" t="b">
        <x:v>1</x:v>
      </x:c>
    </x:row>
    <x:row r="1998">
      <x:c r="A1998" s="31" t="str">
        <x:v>36081071900</x:v>
      </x:c>
      <x:c r="B1998" s="31" t="str">
        <x:v>Queens</x:v>
      </x:c>
      <x:c r="C1998" s="31" t="str">
        <x:v>071900</x:v>
      </x:c>
      <x:c r="D1998" s="31" t="str">
        <x:v>QN0602</x:v>
      </x:c>
      <x:c r="E1998" s="31" t="str">
        <x:v>Forest Hills</x:v>
      </x:c>
      <x:c r="F1998" s="31" t="n">
        <x:v>0.06398306609202824</x:v>
      </x:c>
      <x:c r="G1998" s="31" t="n">
        <x:v>40.73468719363275</x:v>
      </x:c>
      <x:c r="H1998" s="31" t="n">
        <x:v>-73.85561948541219</x:v>
      </x:c>
      <x:c r="I1998" s="31" t="n">
        <x:v>2887</x:v>
      </x:c>
      <x:c r="J1998" s="31" t="n">
        <x:v>45121.313752728965</x:v>
      </x:c>
      <x:c r="K1998" s="31"/>
      <x:c r="L1998" s="40"/>
      <x:c r="M1998" s="40"/>
      <x:c r="N1998" s="31" t="n">
        <x:v>298</x:v>
      </x:c>
      <x:c r="O1998" s="31" t="n">
        <x:v>1047</x:v>
      </x:c>
      <x:c r="P1998" s="31" t="n">
        <x:v>4.176456542502388</x:v>
      </x:c>
      <x:c r="Q1998" s="40" t="n">
        <x:v>0</x:v>
      </x:c>
      <x:c r="R1998" s="40" t="n">
        <x:v>0.6532951289398281</x:v>
      </x:c>
      <x:c r="S1998" s="40" t="n">
        <x:v>0.0038204393505253103</x:v>
      </x:c>
      <x:c r="T1998" s="31" t="n">
        <x:v>45.922107773921375</x:v>
      </x:c>
      <x:c r="U1998" s="31" t="n">
        <x:v>68.09</x:v>
      </x:c>
      <x:c r="V1998" s="31" t="n">
        <x:v>8</x:v>
      </x:c>
      <x:c r="W1998" s="31" t="n">
        <x:v>2.7710426047800487</x:v>
      </x:c>
      <x:c r="X1998" s="31" t="n">
        <x:v>2.3486150907354344</x:v>
      </x:c>
      <x:c r="Y1998" s="40" t="n">
        <x:v>0</x:v>
      </x:c>
      <x:c r="Z1998" s="40" t="n">
        <x:v>1</x:v>
      </x:c>
      <x:c r="AA1998" s="40" t="n">
        <x:v>0.9961795606494747</x:v>
      </x:c>
      <x:c r="AB1998" s="31" t="n">
        <x:v>0.21280326035409491</x:v>
      </x:c>
      <x:c r="AC1998" s="31" t="n">
        <x:v>7</x:v>
      </x:c>
      <x:c r="AD1998" s="44" t="b">
        <x:v>1</x:v>
      </x:c>
    </x:row>
    <x:row r="1999">
      <x:c r="A1999" s="31" t="str">
        <x:v>36081072100</x:v>
      </x:c>
      <x:c r="B1999" s="31" t="str">
        <x:v>Queens</x:v>
      </x:c>
      <x:c r="C1999" s="31" t="str">
        <x:v>072100</x:v>
      </x:c>
      <x:c r="D1999" s="31" t="str">
        <x:v>QN0602</x:v>
      </x:c>
      <x:c r="E1999" s="31" t="str">
        <x:v>Forest Hills</x:v>
      </x:c>
      <x:c r="F1999" s="31" t="n">
        <x:v>0.06522596247273875</x:v>
      </x:c>
      <x:c r="G1999" s="31" t="n">
        <x:v>40.73120047960378</x:v>
      </x:c>
      <x:c r="H1999" s="31" t="n">
        <x:v>-73.85375740398436</x:v>
      </x:c>
      <x:c r="I1999" s="31" t="n">
        <x:v>5040</x:v>
      </x:c>
      <x:c r="J1999" s="31" t="n">
        <x:v>77269.84484294076</x:v>
      </x:c>
      <x:c r="K1999" s="31"/>
      <x:c r="L1999" s="40"/>
      <x:c r="M1999" s="40"/>
      <x:c r="N1999" s="31" t="n">
        <x:v>250</x:v>
      </x:c>
      <x:c r="O1999" s="31" t="n">
        <x:v>2333</x:v>
      </x:c>
      <x:c r="P1999" s="31" t="n">
        <x:v>8.03493356193742</x:v>
      </x:c>
      <x:c r="Q1999" s="40" t="n">
        <x:v>0.30218602657522503</x:v>
      </x:c>
      <x:c r="R1999" s="40" t="n">
        <x:v>0.5850835833690528</x:v>
      </x:c>
      <x:c r="S1999" s="40" t="n">
        <x:v>0.2901843120445778</x:v>
      </x:c>
      <x:c r="T1999" s="31" t="n">
        <x:v>81.14062849763236</x:v>
      </x:c>
      <x:c r="U1999" s="31" t="n">
        <x:v>139</x:v>
      </x:c>
      <x:c r="V1999" s="31" t="n">
        <x:v>39</x:v>
      </x:c>
      <x:c r="W1999" s="31" t="n">
        <x:v>7.738095238095238</x:v>
      </x:c>
      <x:c r="X1999" s="31" t="n">
        <x:v>2.758679811401629</x:v>
      </x:c>
      <x:c r="Y1999" s="40" t="n">
        <x:v>0</x:v>
      </x:c>
      <x:c r="Z1999" s="40" t="n">
        <x:v>1</x:v>
      </x:c>
      <x:c r="AA1999" s="40" t="n">
        <x:v>0.9957136733819117</x:v>
      </x:c>
      <x:c r="AB1999" s="31" t="n">
        <x:v>0.06489130099063024</x:v>
      </x:c>
      <x:c r="AC1999" s="31" t="n">
        <x:v>6</x:v>
      </x:c>
      <x:c r="AD1999" s="44" t="b">
        <x:v>1</x:v>
      </x:c>
    </x:row>
    <x:row r="2000">
      <x:c r="A2000" s="31" t="str">
        <x:v>36081072300</x:v>
      </x:c>
      <x:c r="B2000" s="31" t="str">
        <x:v>Queens</x:v>
      </x:c>
      <x:c r="C2000" s="31" t="str">
        <x:v>072300</x:v>
      </x:c>
      <x:c r="D2000" s="31" t="str">
        <x:v>QN0602</x:v>
      </x:c>
      <x:c r="E2000" s="31" t="str">
        <x:v>Forest Hills</x:v>
      </x:c>
      <x:c r="F2000" s="31" t="n">
        <x:v>0.18151457553051825</x:v>
      </x:c>
      <x:c r="G2000" s="31" t="n">
        <x:v>40.716239992934476</x:v>
      </x:c>
      <x:c r="H2000" s="31" t="n">
        <x:v>-73.84774398225431</x:v>
      </x:c>
      <x:c r="I2000" s="31" t="n">
        <x:v>2158</x:v>
      </x:c>
      <x:c r="J2000" s="31" t="n">
        <x:v>11888.852416907826</x:v>
      </x:c>
      <x:c r="K2000" s="31"/>
      <x:c r="L2000" s="40"/>
      <x:c r="M2000" s="40"/>
      <x:c r="N2000" s="31" t="n">
        <x:v>635</x:v>
      </x:c>
      <x:c r="O2000" s="31" t="n">
        <x:v>918</x:v>
      </x:c>
      <x:c r="P2000" s="31" t="n">
        <x:v>3.2048910675381266</x:v>
      </x:c>
      <x:c r="Q2000" s="40" t="n">
        <x:v>0</x:v>
      </x:c>
      <x:c r="R2000" s="40" t="n">
        <x:v>0.3093681917211329</x:v>
      </x:c>
      <x:c r="S2000" s="40" t="n">
        <x:v>0</x:v>
      </x:c>
      <x:c r="T2000" s="31" t="n">
        <x:v>49.0050752050655</x:v>
      </x:c>
      <x:c r="U2000" s="31" t="n">
        <x:v>113.3</x:v>
      </x:c>
      <x:c r="V2000" s="31" t="n">
        <x:v>10</x:v>
      </x:c>
      <x:c r="W2000" s="31" t="n">
        <x:v>4.633920296570898</x:v>
      </x:c>
      <x:c r="X2000" s="31" t="n">
        <x:v>2</x:v>
      </x:c>
      <x:c r="Y2000" s="40" t="n">
        <x:v>0</x:v>
      </x:c>
      <x:c r="Z2000" s="40" t="n">
        <x:v>1</x:v>
      </x:c>
      <x:c r="AA2000" s="40" t="n">
        <x:v>0.9978213507625272</x:v>
      </x:c>
      <x:c r="AB2000" s="31" t="n">
        <x:v>0.2296849132714849</x:v>
      </x:c>
      <x:c r="AC2000" s="31" t="n">
        <x:v>7</x:v>
      </x:c>
      <x:c r="AD2000" s="44" t="b">
        <x:v>1</x:v>
      </x:c>
    </x:row>
    <x:row r="2001">
      <x:c r="A2001" s="31" t="str">
        <x:v>36081072900</x:v>
      </x:c>
      <x:c r="B2001" s="31" t="str">
        <x:v>Queens</x:v>
      </x:c>
      <x:c r="C2001" s="31" t="str">
        <x:v>072900</x:v>
      </x:c>
      <x:c r="D2001" s="31" t="str">
        <x:v>QN0602</x:v>
      </x:c>
      <x:c r="E2001" s="31" t="str">
        <x:v>Forest Hills</x:v>
      </x:c>
      <x:c r="F2001" s="31" t="n">
        <x:v>0.07479299459294651</x:v>
      </x:c>
      <x:c r="G2001" s="31" t="n">
        <x:v>40.71281191580366</x:v>
      </x:c>
      <x:c r="H2001" s="31" t="n">
        <x:v>-73.85218146882937</x:v>
      </x:c>
      <x:c r="I2001" s="31" t="n">
        <x:v>1490</x:v>
      </x:c>
      <x:c r="J2001" s="31" t="n">
        <x:v>19921.651862038387</x:v>
      </x:c>
      <x:c r="K2001" s="31"/>
      <x:c r="L2001" s="40"/>
      <x:c r="M2001" s="40"/>
      <x:c r="N2001" s="31" t="n">
        <x:v>420</x:v>
      </x:c>
      <x:c r="O2001" s="31" t="n">
        <x:v>525</x:v>
      </x:c>
      <x:c r="P2001" s="31" t="n">
        <x:v>2.273504761904762</x:v>
      </x:c>
      <x:c r="Q2001" s="40" t="n">
        <x:v>0</x:v>
      </x:c>
      <x:c r="R2001" s="40" t="n">
        <x:v>0.07238095238095238</x:v>
      </x:c>
      <x:c r="S2001" s="40" t="n">
        <x:v>0.0019047619047619048</x:v>
      </x:c>
      <x:c r="T2001" s="31" t="n">
        <x:v>29.348023027066667</x:v>
      </x:c>
      <x:c r="U2001" s="31" t="n">
        <x:v>39</x:v>
      </x:c>
      <x:c r="V2001" s="31" t="n">
        <x:v>0</x:v>
      </x:c>
      <x:c r="W2001" s="31" t="n">
        <x:v>0</x:v>
      </x:c>
      <x:c r="X2001" s="31" t="n">
        <x:v>2</x:v>
      </x:c>
      <x:c r="Y2001" s="40" t="n">
        <x:v>0</x:v>
      </x:c>
      <x:c r="Z2001" s="40" t="n">
        <x:v>1</x:v>
      </x:c>
      <x:c r="AA2001" s="40" t="n">
        <x:v>1</x:v>
      </x:c>
      <x:c r="AB2001" s="31" t="n">
        <x:v>0.1363430692990152</x:v>
      </x:c>
      <x:c r="AC2001" s="31" t="n">
        <x:v>4</x:v>
      </x:c>
      <x:c r="AD2001" s="44" t="b">
        <x:v>1</x:v>
      </x:c>
    </x:row>
    <x:row r="2002">
      <x:c r="A2002" s="31" t="str">
        <x:v>36081073100</x:v>
      </x:c>
      <x:c r="B2002" s="31" t="str">
        <x:v>Queens</x:v>
      </x:c>
      <x:c r="C2002" s="31" t="str">
        <x:v>073100</x:v>
      </x:c>
      <x:c r="D2002" s="31" t="str">
        <x:v>QN0602</x:v>
      </x:c>
      <x:c r="E2002" s="31" t="str">
        <x:v>Forest Hills</x:v>
      </x:c>
      <x:c r="F2002" s="31" t="n">
        <x:v>0.07278818463039485</x:v>
      </x:c>
      <x:c r="G2002" s="31" t="n">
        <x:v>40.71096279346192</x:v>
      </x:c>
      <x:c r="H2002" s="31" t="n">
        <x:v>-73.84636251546266</x:v>
      </x:c>
      <x:c r="I2002" s="31" t="n">
        <x:v>1550</x:v>
      </x:c>
      <x:c r="J2002" s="31" t="n">
        <x:v>21294.664894730067</x:v>
      </x:c>
      <x:c r="K2002" s="31"/>
      <x:c r="L2002" s="40"/>
      <x:c r="M2002" s="40"/>
      <x:c r="N2002" s="31" t="n">
        <x:v>479</x:v>
      </x:c>
      <x:c r="O2002" s="31" t="n">
        <x:v>597</x:v>
      </x:c>
      <x:c r="P2002" s="31" t="n">
        <x:v>2.44179229480737</x:v>
      </x:c>
      <x:c r="Q2002" s="40" t="n">
        <x:v>0</x:v>
      </x:c>
      <x:c r="R2002" s="40" t="n">
        <x:v>0.1306532663316583</x:v>
      </x:c>
      <x:c r="S2002" s="40" t="n">
        <x:v>0.0033500837520938024</x:v>
      </x:c>
      <x:c r="T2002" s="31" t="n">
        <x:v>30.196737231440537</x:v>
      </x:c>
      <x:c r="U2002" s="31" t="n">
        <x:v>39.77</x:v>
      </x:c>
      <x:c r="V2002" s="31" t="n">
        <x:v>0</x:v>
      </x:c>
      <x:c r="W2002" s="31" t="n">
        <x:v>0</x:v>
      </x:c>
      <x:c r="X2002" s="31" t="n">
        <x:v>2</x:v>
      </x:c>
      <x:c r="Y2002" s="40" t="n">
        <x:v>0</x:v>
      </x:c>
      <x:c r="Z2002" s="40" t="n">
        <x:v>1</x:v>
      </x:c>
      <x:c r="AA2002" s="40" t="n">
        <x:v>1</x:v>
      </x:c>
      <x:c r="AB2002" s="31" t="n">
        <x:v>0.35160797312492653</x:v>
      </x:c>
      <x:c r="AC2002" s="31" t="n">
        <x:v>6</x:v>
      </x:c>
      <x:c r="AD2002" s="44" t="b">
        <x:v>1</x:v>
      </x:c>
    </x:row>
    <x:row r="2003">
      <x:c r="A2003" s="31" t="str">
        <x:v>36081073700</x:v>
      </x:c>
      <x:c r="B2003" s="31" t="str">
        <x:v>Queens</x:v>
      </x:c>
      <x:c r="C2003" s="31" t="str">
        <x:v>073700</x:v>
      </x:c>
      <x:c r="D2003" s="31" t="str">
        <x:v>QN0602</x:v>
      </x:c>
      <x:c r="E2003" s="31" t="str">
        <x:v>Forest Hills</x:v>
      </x:c>
      <x:c r="F2003" s="31" t="n">
        <x:v>0.08138381235436755</x:v>
      </x:c>
      <x:c r="G2003" s="31" t="n">
        <x:v>40.71844113783318</x:v>
      </x:c>
      <x:c r="H2003" s="31" t="n">
        <x:v>-73.84323892655287</x:v>
      </x:c>
      <x:c r="I2003" s="31" t="n">
        <x:v>2277</x:v>
      </x:c>
      <x:c r="J2003" s="31" t="n">
        <x:v>27978.536936624627</x:v>
      </x:c>
      <x:c r="K2003" s="31"/>
      <x:c r="L2003" s="40"/>
      <x:c r="M2003" s="40"/>
      <x:c r="N2003" s="31" t="n">
        <x:v>175</x:v>
      </x:c>
      <x:c r="O2003" s="31" t="n">
        <x:v>1188</x:v>
      </x:c>
      <x:c r="P2003" s="31" t="n">
        <x:v>7.161739864864865</x:v>
      </x:c>
      <x:c r="Q2003" s="40" t="n">
        <x:v>0.18181818181818182</x:v>
      </x:c>
      <x:c r="R2003" s="40" t="n">
        <x:v>0.6784511784511784</x:v>
      </x:c>
      <x:c r="S2003" s="40" t="n">
        <x:v>0.04292929292929293</x:v>
      </x:c>
      <x:c r="T2003" s="31" t="n">
        <x:v>82.91479888391382</x:v>
      </x:c>
      <x:c r="U2003" s="31" t="n">
        <x:v>244</x:v>
      </x:c>
      <x:c r="V2003" s="31" t="n">
        <x:v>27</x:v>
      </x:c>
      <x:c r="W2003" s="31" t="n">
        <x:v>11.857707509881422</x:v>
      </x:c>
      <x:c r="X2003" s="31" t="n">
        <x:v>2</x:v>
      </x:c>
      <x:c r="Y2003" s="40" t="n">
        <x:v>0</x:v>
      </x:c>
      <x:c r="Z2003" s="40" t="n">
        <x:v>1</x:v>
      </x:c>
      <x:c r="AA2003" s="40" t="n">
        <x:v>0.9570707070707071</x:v>
      </x:c>
      <x:c r="AB2003" s="31" t="n">
        <x:v>0.1994345963033031</x:v>
      </x:c>
      <x:c r="AC2003" s="31" t="n">
        <x:v>7</x:v>
      </x:c>
      <x:c r="AD2003" s="44" t="b">
        <x:v>1</x:v>
      </x:c>
    </x:row>
    <x:row r="2004">
      <x:c r="A2004" s="31" t="str">
        <x:v>36081073900</x:v>
      </x:c>
      <x:c r="B2004" s="31" t="str">
        <x:v>Queens</x:v>
      </x:c>
      <x:c r="C2004" s="31" t="str">
        <x:v>073900</x:v>
      </x:c>
      <x:c r="D2004" s="31" t="str">
        <x:v>QN0602</x:v>
      </x:c>
      <x:c r="E2004" s="31" t="str">
        <x:v>Forest Hills</x:v>
      </x:c>
      <x:c r="F2004" s="31" t="n">
        <x:v>0.08648113725967058</x:v>
      </x:c>
      <x:c r="G2004" s="31" t="n">
        <x:v>40.72369479724387</x:v>
      </x:c>
      <x:c r="H2004" s="31" t="n">
        <x:v>-73.84427230465316</x:v>
      </x:c>
      <x:c r="I2004" s="31" t="n">
        <x:v>5548</x:v>
      </x:c>
      <x:c r="J2004" s="31" t="n">
        <x:v>64152.71787351069</x:v>
      </x:c>
      <x:c r="K2004" s="31"/>
      <x:c r="L2004" s="40"/>
      <x:c r="M2004" s="40"/>
      <x:c r="N2004" s="31" t="n">
        <x:v>119</x:v>
      </x:c>
      <x:c r="O2004" s="31" t="n">
        <x:v>2953</x:v>
      </x:c>
      <x:c r="P2004" s="31" t="n">
        <x:v>8.242181571815717</x:v>
      </x:c>
      <x:c r="Q2004" s="40" t="n">
        <x:v>0.3457500846596681</x:v>
      </x:c>
      <x:c r="R2004" s="40" t="n">
        <x:v>0.6251269895022011</x:v>
      </x:c>
      <x:c r="S2004" s="40" t="n">
        <x:v>0.0003386386725364037</x:v>
      </x:c>
      <x:c r="T2004" s="31" t="n">
        <x:v>82.5555345727439</x:v>
      </x:c>
      <x:c r="U2004" s="31" t="n">
        <x:v>192</x:v>
      </x:c>
      <x:c r="V2004" s="31" t="n">
        <x:v>63</x:v>
      </x:c>
      <x:c r="W2004" s="31" t="n">
        <x:v>11.355443403028117</x:v>
      </x:c>
      <x:c r="X2004" s="31" t="n">
        <x:v>2</x:v>
      </x:c>
      <x:c r="Y2004" s="40" t="n">
        <x:v>0</x:v>
      </x:c>
      <x:c r="Z2004" s="40" t="n">
        <x:v>1</x:v>
      </x:c>
      <x:c r="AA2004" s="40" t="n">
        <x:v>0.9996613613274636</x:v>
      </x:c>
      <x:c r="AB2004" s="31" t="n">
        <x:v>0.12451402496128805</x:v>
      </x:c>
      <x:c r="AC2004" s="31" t="n">
        <x:v>6</x:v>
      </x:c>
      <x:c r="AD2004" s="44" t="b">
        <x:v>1</x:v>
      </x:c>
    </x:row>
    <x:row r="2005">
      <x:c r="A2005" s="31" t="str">
        <x:v>36081074100</x:v>
      </x:c>
      <x:c r="B2005" s="31" t="str">
        <x:v>Queens</x:v>
      </x:c>
      <x:c r="C2005" s="31" t="str">
        <x:v>074100</x:v>
      </x:c>
      <x:c r="D2005" s="31" t="str">
        <x:v>QN0602</x:v>
      </x:c>
      <x:c r="E2005" s="31" t="str">
        <x:v>Forest Hills</x:v>
      </x:c>
      <x:c r="F2005" s="31" t="n">
        <x:v>0.06636022484719353</x:v>
      </x:c>
      <x:c r="G2005" s="31" t="n">
        <x:v>40.72828163334489</x:v>
      </x:c>
      <x:c r="H2005" s="31" t="n">
        <x:v>-73.8470474205519</x:v>
      </x:c>
      <x:c r="I2005" s="31" t="n">
        <x:v>3164</x:v>
      </x:c>
      <x:c r="J2005" s="31" t="n">
        <x:v>47679.16334348903</x:v>
      </x:c>
      <x:c r="K2005" s="31"/>
      <x:c r="L2005" s="40"/>
      <x:c r="M2005" s="40"/>
      <x:c r="N2005" s="31" t="n">
        <x:v>132</x:v>
      </x:c>
      <x:c r="O2005" s="31" t="n">
        <x:v>1622</x:v>
      </x:c>
      <x:c r="P2005" s="31" t="n">
        <x:v>5.710345252774353</x:v>
      </x:c>
      <x:c r="Q2005" s="40" t="n">
        <x:v>0</x:v>
      </x:c>
      <x:c r="R2005" s="40" t="n">
        <x:v>0.9241676942046856</x:v>
      </x:c>
      <x:c r="S2005" s="40" t="n">
        <x:v>0.4445129469790382</x:v>
      </x:c>
      <x:c r="T2005" s="31" t="n">
        <x:v>61.41672629536375</x:v>
      </x:c>
      <x:c r="U2005" s="31" t="n">
        <x:v>74.01</x:v>
      </x:c>
      <x:c r="V2005" s="31" t="n">
        <x:v>36</x:v>
      </x:c>
      <x:c r="W2005" s="31" t="n">
        <x:v>11.378002528445007</x:v>
      </x:c>
      <x:c r="X2005" s="31" t="n">
        <x:v>2</x:v>
      </x:c>
      <x:c r="Y2005" s="40" t="n">
        <x:v>0</x:v>
      </x:c>
      <x:c r="Z2005" s="40" t="n">
        <x:v>1</x:v>
      </x:c>
      <x:c r="AA2005" s="40" t="n">
        <x:v>1</x:v>
      </x:c>
      <x:c r="AB2005" s="31" t="n">
        <x:v>0.15882905061070862</x:v>
      </x:c>
      <x:c r="AC2005" s="31" t="n">
        <x:v>7</x:v>
      </x:c>
      <x:c r="AD2005" s="44" t="b">
        <x:v>1</x:v>
      </x:c>
    </x:row>
    <x:row r="2006">
      <x:c r="A2006" s="31" t="str">
        <x:v>36081074300</x:v>
      </x:c>
      <x:c r="B2006" s="31" t="str">
        <x:v>Queens</x:v>
      </x:c>
      <x:c r="C2006" s="31" t="str">
        <x:v>074300</x:v>
      </x:c>
      <x:c r="D2006" s="31" t="str">
        <x:v>QN0602</x:v>
      </x:c>
      <x:c r="E2006" s="31" t="str">
        <x:v>Forest Hills</x:v>
      </x:c>
      <x:c r="F2006" s="31" t="n">
        <x:v>0.07472682447055785</x:v>
      </x:c>
      <x:c r="G2006" s="31" t="n">
        <x:v>40.73229797938966</x:v>
      </x:c>
      <x:c r="H2006" s="31" t="n">
        <x:v>-73.84924943525431</x:v>
      </x:c>
      <x:c r="I2006" s="31" t="n">
        <x:v>4433</x:v>
      </x:c>
      <x:c r="J2006" s="31" t="n">
        <x:v>59322.74027978519</x:v>
      </x:c>
      <x:c r="K2006" s="31"/>
      <x:c r="L2006" s="40"/>
      <x:c r="M2006" s="40"/>
      <x:c r="N2006" s="31" t="n">
        <x:v>320</x:v>
      </x:c>
      <x:c r="O2006" s="31" t="n">
        <x:v>1872</x:v>
      </x:c>
      <x:c r="P2006" s="31" t="n">
        <x:v>4.9989316239316235</x:v>
      </x:c>
      <x:c r="Q2006" s="40" t="n">
        <x:v>0</x:v>
      </x:c>
      <x:c r="R2006" s="40" t="n">
        <x:v>0.7596153846153846</x:v>
      </x:c>
      <x:c r="S2006" s="40" t="n">
        <x:v>0.5192307692307693</x:v>
      </x:c>
      <x:c r="T2006" s="31" t="n">
        <x:v>54.26151078830128</x:v>
      </x:c>
      <x:c r="U2006" s="31" t="n">
        <x:v>68.24</x:v>
      </x:c>
      <x:c r="V2006" s="31" t="n">
        <x:v>32</x:v>
      </x:c>
      <x:c r="W2006" s="31" t="n">
        <x:v>7.218587863749154</x:v>
      </x:c>
      <x:c r="X2006" s="31" t="n">
        <x:v>2</x:v>
      </x:c>
      <x:c r="Y2006" s="40" t="n">
        <x:v>0</x:v>
      </x:c>
      <x:c r="Z2006" s="40" t="n">
        <x:v>1</x:v>
      </x:c>
      <x:c r="AA2006" s="40" t="n">
        <x:v>1</x:v>
      </x:c>
      <x:c r="AB2006" s="31" t="n">
        <x:v>0.19667389844709207</x:v>
      </x:c>
      <x:c r="AC2006" s="31" t="n">
        <x:v>6</x:v>
      </x:c>
      <x:c r="AD2006" s="44" t="b">
        <x:v>1</x:v>
      </x:c>
    </x:row>
    <x:row r="2007">
      <x:c r="A2007" s="31" t="str">
        <x:v>36081074500</x:v>
      </x:c>
      <x:c r="B2007" s="31" t="str">
        <x:v>Queens</x:v>
      </x:c>
      <x:c r="C2007" s="31" t="str">
        <x:v>074500</x:v>
      </x:c>
      <x:c r="D2007" s="31" t="str">
        <x:v>QN0602</x:v>
      </x:c>
      <x:c r="E2007" s="31" t="str">
        <x:v>Forest Hills</x:v>
      </x:c>
      <x:c r="F2007" s="31" t="n">
        <x:v>0.06737143910016356</x:v>
      </x:c>
      <x:c r="G2007" s="31" t="n">
        <x:v>40.73610499910455</x:v>
      </x:c>
      <x:c r="H2007" s="31" t="n">
        <x:v>-73.85083625423503</x:v>
      </x:c>
      <x:c r="I2007" s="31" t="n">
        <x:v>3659</x:v>
      </x:c>
      <x:c r="J2007" s="31" t="n">
        <x:v>54310.84817054348</x:v>
      </x:c>
      <x:c r="K2007" s="31"/>
      <x:c r="L2007" s="40"/>
      <x:c r="M2007" s="40"/>
      <x:c r="N2007" s="31" t="n">
        <x:v>159</x:v>
      </x:c>
      <x:c r="O2007" s="31" t="n">
        <x:v>2044</x:v>
      </x:c>
      <x:c r="P2007" s="31" t="n">
        <x:v>9.184931506849315</x:v>
      </x:c>
      <x:c r="Q2007" s="40" t="n">
        <x:v>0.4261252446183953</x:v>
      </x:c>
      <x:c r="R2007" s="40" t="n">
        <x:v>0.46966731898238745</x:v>
      </x:c>
      <x:c r="S2007" s="40" t="n">
        <x:v>0.4261252446183953</x:v>
      </x:c>
      <x:c r="T2007" s="31" t="n">
        <x:v>92.47885001239824</x:v>
      </x:c>
      <x:c r="U2007" s="31" t="n">
        <x:v>165</x:v>
      </x:c>
      <x:c r="V2007" s="31" t="n">
        <x:v>32</x:v>
      </x:c>
      <x:c r="W2007" s="31" t="n">
        <x:v>8.745558895873188</x:v>
      </x:c>
      <x:c r="X2007" s="31" t="n">
        <x:v>2</x:v>
      </x:c>
      <x:c r="Y2007" s="40" t="n">
        <x:v>0</x:v>
      </x:c>
      <x:c r="Z2007" s="40" t="n">
        <x:v>1</x:v>
      </x:c>
      <x:c r="AA2007" s="40" t="n">
        <x:v>0.9975538160469667</x:v>
      </x:c>
      <x:c r="AB2007" s="31" t="n">
        <x:v>0.07993861852465832</x:v>
      </x:c>
      <x:c r="AC2007" s="31" t="n">
        <x:v>7</x:v>
      </x:c>
      <x:c r="AD2007" s="44" t="b">
        <x:v>1</x:v>
      </x:c>
    </x:row>
    <x:row r="2008">
      <x:c r="A2008" s="31" t="str">
        <x:v>36081074700</x:v>
      </x:c>
      <x:c r="B2008" s="31" t="str">
        <x:v>Queens</x:v>
      </x:c>
      <x:c r="C2008" s="31" t="str">
        <x:v>074700</x:v>
      </x:c>
      <x:c r="D2008" s="31" t="str">
        <x:v>QN0602</x:v>
      </x:c>
      <x:c r="E2008" s="31" t="str">
        <x:v>Forest Hills</x:v>
      </x:c>
      <x:c r="F2008" s="31" t="n">
        <x:v>0.1138965891191747</x:v>
      </x:c>
      <x:c r="G2008" s="31" t="n">
        <x:v>40.73260473418168</x:v>
      </x:c>
      <x:c r="H2008" s="31" t="n">
        <x:v>-73.84520843658585</x:v>
      </x:c>
      <x:c r="I2008" s="31" t="n">
        <x:v>3539</x:v>
      </x:c>
      <x:c r="J2008" s="31" t="n">
        <x:v>31072.045505217</x:v>
      </x:c>
      <x:c r="K2008" s="31"/>
      <x:c r="L2008" s="40"/>
      <x:c r="M2008" s="40"/>
      <x:c r="N2008" s="31" t="n">
        <x:v>301</x:v>
      </x:c>
      <x:c r="O2008" s="31" t="n">
        <x:v>1409</x:v>
      </x:c>
      <x:c r="P2008" s="31" t="n">
        <x:v>5.926898509581263</x:v>
      </x:c>
      <x:c r="Q2008" s="40" t="n">
        <x:v>0.30092264017033354</x:v>
      </x:c>
      <x:c r="R2008" s="40" t="n">
        <x:v>0.31156848828956707</x:v>
      </x:c>
      <x:c r="S2008" s="40" t="n">
        <x:v>0.6529453513129879</x:v>
      </x:c>
      <x:c r="T2008" s="31" t="n">
        <x:v>61.20442657593328</x:v>
      </x:c>
      <x:c r="U2008" s="31" t="n">
        <x:v>124.42</x:v>
      </x:c>
      <x:c r="V2008" s="31" t="n">
        <x:v>9</x:v>
      </x:c>
      <x:c r="W2008" s="31" t="n">
        <x:v>2.5430912687199774</x:v>
      </x:c>
      <x:c r="X2008" s="31" t="n">
        <x:v>2</x:v>
      </x:c>
      <x:c r="Y2008" s="40" t="n">
        <x:v>0</x:v>
      </x:c>
      <x:c r="Z2008" s="40" t="n">
        <x:v>1</x:v>
      </x:c>
      <x:c r="AA2008" s="40" t="n">
        <x:v>1</x:v>
      </x:c>
      <x:c r="AB2008" s="31" t="n">
        <x:v>0.1956275611948635</x:v>
      </x:c>
      <x:c r="AC2008" s="31" t="n">
        <x:v>5</x:v>
      </x:c>
      <x:c r="AD2008" s="44" t="b">
        <x:v>1</x:v>
      </x:c>
    </x:row>
    <x:row r="2009">
      <x:c r="A2009" s="31" t="str">
        <x:v>36081074900</x:v>
      </x:c>
      <x:c r="B2009" s="31" t="str">
        <x:v>Queens</x:v>
      </x:c>
      <x:c r="C2009" s="31" t="str">
        <x:v>074900</x:v>
      </x:c>
      <x:c r="D2009" s="31" t="str">
        <x:v>QN0602</x:v>
      </x:c>
      <x:c r="E2009" s="31" t="str">
        <x:v>Forest Hills</x:v>
      </x:c>
      <x:c r="F2009" s="31" t="n">
        <x:v>0.13845835600931186</x:v>
      </x:c>
      <x:c r="G2009" s="31" t="n">
        <x:v>40.713252050697854</x:v>
      </x:c>
      <x:c r="H2009" s="31" t="n">
        <x:v>-73.84007865391314</x:v>
      </x:c>
      <x:c r="I2009" s="31" t="n">
        <x:v>1563</x:v>
      </x:c>
      <x:c r="J2009" s="31" t="n">
        <x:v>11288.592794608092</x:v>
      </x:c>
      <x:c r="K2009" s="31"/>
      <x:c r="L2009" s="40"/>
      <x:c r="M2009" s="40"/>
      <x:c r="N2009" s="31" t="n">
        <x:v>524</x:v>
      </x:c>
      <x:c r="O2009" s="31" t="n">
        <x:v>582</x:v>
      </x:c>
      <x:c r="P2009" s="31" t="n">
        <x:v>2.576323024054983</x:v>
      </x:c>
      <x:c r="Q2009" s="40" t="n">
        <x:v>0</x:v>
      </x:c>
      <x:c r="R2009" s="40" t="n">
        <x:v>0.07903780068728522</x:v>
      </x:c>
      <x:c r="S2009" s="40" t="n">
        <x:v>0</x:v>
      </x:c>
      <x:c r="T2009" s="31" t="n">
        <x:v>34.01448418309811</x:v>
      </x:c>
      <x:c r="U2009" s="31" t="n">
        <x:v>46.62829584</x:v>
      </x:c>
      <x:c r="V2009" s="31" t="n">
        <x:v>5</x:v>
      </x:c>
      <x:c r="W2009" s="31" t="n">
        <x:v>3.198976327575176</x:v>
      </x:c>
      <x:c r="X2009" s="31" t="n">
        <x:v>2</x:v>
      </x:c>
      <x:c r="Y2009" s="40" t="n">
        <x:v>0</x:v>
      </x:c>
      <x:c r="Z2009" s="40" t="n">
        <x:v>1</x:v>
      </x:c>
      <x:c r="AA2009" s="40" t="n">
        <x:v>0.9982817869415808</x:v>
      </x:c>
      <x:c r="AB2009" s="31" t="n">
        <x:v>0.23840914158572302</x:v>
      </x:c>
      <x:c r="AC2009" s="31" t="n">
        <x:v>5</x:v>
      </x:c>
      <x:c r="AD2009" s="44" t="b">
        <x:v>1</x:v>
      </x:c>
    </x:row>
    <x:row r="2010">
      <x:c r="A2010" s="31" t="str">
        <x:v>36081075701</x:v>
      </x:c>
      <x:c r="B2010" s="31" t="str">
        <x:v>Queens</x:v>
      </x:c>
      <x:c r="C2010" s="31" t="str">
        <x:v>075701</x:v>
      </x:c>
      <x:c r="D2010" s="31" t="str">
        <x:v>QN0602</x:v>
      </x:c>
      <x:c r="E2010" s="31" t="str">
        <x:v>Forest Hills</x:v>
      </x:c>
      <x:c r="F2010" s="31" t="n">
        <x:v>0.07628011867861857</x:v>
      </x:c>
      <x:c r="G2010" s="31" t="n">
        <x:v>40.71821801123852</x:v>
      </x:c>
      <x:c r="H2010" s="31" t="n">
        <x:v>-73.83481458619072</x:v>
      </x:c>
      <x:c r="I2010" s="31" t="n">
        <x:v>5110</x:v>
      </x:c>
      <x:c r="J2010" s="31" t="n">
        <x:v>66989.93248200517</x:v>
      </x:c>
      <x:c r="K2010" s="31"/>
      <x:c r="L2010" s="40"/>
      <x:c r="M2010" s="40"/>
      <x:c r="N2010" s="31" t="n">
        <x:v>92</x:v>
      </x:c>
      <x:c r="O2010" s="31" t="n">
        <x:v>2737</x:v>
      </x:c>
      <x:c r="P2010" s="31" t="n">
        <x:v>6.592667203867848</x:v>
      </x:c>
      <x:c r="Q2010" s="40" t="n">
        <x:v>0.13628059919620022</x:v>
      </x:c>
      <x:c r="R2010" s="40" t="n">
        <x:v>0.7647058823529411</x:v>
      </x:c>
      <x:c r="S2010" s="40" t="n">
        <x:v>0.005480453050785532</x:v>
      </x:c>
      <x:c r="T2010" s="31" t="n">
        <x:v>84.59204950040278</x:v>
      </x:c>
      <x:c r="U2010" s="31" t="n">
        <x:v>269</x:v>
      </x:c>
      <x:c r="V2010" s="31" t="n">
        <x:v>59</x:v>
      </x:c>
      <x:c r="W2010" s="31" t="n">
        <x:v>11.545988258317026</x:v>
      </x:c>
      <x:c r="X2010" s="31" t="n">
        <x:v>2</x:v>
      </x:c>
      <x:c r="Y2010" s="40" t="n">
        <x:v>0</x:v>
      </x:c>
      <x:c r="Z2010" s="40" t="n">
        <x:v>1</x:v>
      </x:c>
      <x:c r="AA2010" s="40" t="n">
        <x:v>0.9978078187796858</x:v>
      </x:c>
      <x:c r="AB2010" s="31" t="n">
        <x:v>0.35162232123807996</x:v>
      </x:c>
      <x:c r="AC2010" s="31" t="n">
        <x:v>5</x:v>
      </x:c>
      <x:c r="AD2010" s="44" t="b">
        <x:v>1</x:v>
      </x:c>
    </x:row>
    <x:row r="2011">
      <x:c r="A2011" s="31" t="str">
        <x:v>36081075702</x:v>
      </x:c>
      <x:c r="B2011" s="31" t="str">
        <x:v>Queens</x:v>
      </x:c>
      <x:c r="C2011" s="31" t="str">
        <x:v>075702</x:v>
      </x:c>
      <x:c r="D2011" s="31" t="str">
        <x:v>QN0602</x:v>
      </x:c>
      <x:c r="E2011" s="31" t="str">
        <x:v>Forest Hills</x:v>
      </x:c>
      <x:c r="F2011" s="31" t="n">
        <x:v>0.1356273944792384</x:v>
      </x:c>
      <x:c r="G2011" s="31" t="n">
        <x:v>40.72433941122062</x:v>
      </x:c>
      <x:c r="H2011" s="31" t="n">
        <x:v>-73.84021086807569</x:v>
      </x:c>
      <x:c r="I2011" s="31" t="n">
        <x:v>5071</x:v>
      </x:c>
      <x:c r="J2011" s="31" t="n">
        <x:v>37389.201639321174</x:v>
      </x:c>
      <x:c r="K2011" s="31"/>
      <x:c r="L2011" s="40"/>
      <x:c r="M2011" s="40"/>
      <x:c r="N2011" s="31" t="n">
        <x:v>313</x:v>
      </x:c>
      <x:c r="O2011" s="31" t="n">
        <x:v>2797</x:v>
      </x:c>
      <x:c r="P2011" s="31" t="n">
        <x:v>10.386773962804005</x:v>
      </x:c>
      <x:c r="Q2011" s="40" t="n">
        <x:v>0.3818376832320343</x:v>
      </x:c>
      <x:c r="R2011" s="40" t="n">
        <x:v>0.518055058991777</x:v>
      </x:c>
      <x:c r="S2011" s="40" t="n">
        <x:v>0</x:v>
      </x:c>
      <x:c r="T2011" s="31" t="n">
        <x:v>94.18684949017259</x:v>
      </x:c>
      <x:c r="U2011" s="31" t="n">
        <x:v>296.17</x:v>
      </x:c>
      <x:c r="V2011" s="31" t="n">
        <x:v>62</x:v>
      </x:c>
      <x:c r="W2011" s="31" t="n">
        <x:v>12.226385328337606</x:v>
      </x:c>
      <x:c r="X2011" s="31" t="n">
        <x:v>2</x:v>
      </x:c>
      <x:c r="Y2011" s="40" t="n">
        <x:v>0</x:v>
      </x:c>
      <x:c r="Z2011" s="40" t="n">
        <x:v>1</x:v>
      </x:c>
      <x:c r="AA2011" s="40" t="n">
        <x:v>0.9942795852699321</x:v>
      </x:c>
      <x:c r="AB2011" s="31" t="n">
        <x:v>0.17081209954328913</x:v>
      </x:c>
      <x:c r="AC2011" s="31" t="n">
        <x:v>7</x:v>
      </x:c>
      <x:c r="AD2011" s="44" t="b">
        <x:v>1</x:v>
      </x:c>
    </x:row>
    <x:row r="2012">
      <x:c r="A2012" s="31" t="str">
        <x:v>36081076901</x:v>
      </x:c>
      <x:c r="B2012" s="31" t="str">
        <x:v>Queens</x:v>
      </x:c>
      <x:c r="C2012" s="31" t="str">
        <x:v>076901</x:v>
      </x:c>
      <x:c r="D2012" s="31" t="str">
        <x:v>QN0602</x:v>
      </x:c>
      <x:c r="E2012" s="31" t="str">
        <x:v>Forest Hills</x:v>
      </x:c>
      <x:c r="F2012" s="31" t="n">
        <x:v>0.06952556697156222</x:v>
      </x:c>
      <x:c r="G2012" s="31" t="n">
        <x:v>40.71645351235623</x:v>
      </x:c>
      <x:c r="H2012" s="31" t="n">
        <x:v>-73.83756994481135</x:v>
      </x:c>
      <x:c r="I2012" s="31" t="n">
        <x:v>4274</x:v>
      </x:c>
      <x:c r="J2012" s="31" t="n">
        <x:v>61473.788509314545</x:v>
      </x:c>
      <x:c r="K2012" s="31"/>
      <x:c r="L2012" s="40"/>
      <x:c r="M2012" s="40"/>
      <x:c r="N2012" s="31" t="n">
        <x:v>205</x:v>
      </x:c>
      <x:c r="O2012" s="31" t="n">
        <x:v>2265</x:v>
      </x:c>
      <x:c r="P2012" s="31" t="n">
        <x:v>7.057284768211921</x:v>
      </x:c>
      <x:c r="Q2012" s="40" t="n">
        <x:v>0.12891832229580574</x:v>
      </x:c>
      <x:c r="R2012" s="40" t="n">
        <x:v>0.8313465783664459</x:v>
      </x:c>
      <x:c r="S2012" s="40" t="n">
        <x:v>0</x:v>
      </x:c>
      <x:c r="T2012" s="31" t="n">
        <x:v>74.39371216331861</x:v>
      </x:c>
      <x:c r="U2012" s="31" t="n">
        <x:v>178.87</x:v>
      </x:c>
      <x:c r="V2012" s="31" t="n">
        <x:v>49</x:v>
      </x:c>
      <x:c r="W2012" s="31" t="n">
        <x:v>11.464670098268602</x:v>
      </x:c>
      <x:c r="X2012" s="31" t="n">
        <x:v>2</x:v>
      </x:c>
      <x:c r="Y2012" s="40" t="n">
        <x:v>0</x:v>
      </x:c>
      <x:c r="Z2012" s="40" t="n">
        <x:v>1</x:v>
      </x:c>
      <x:c r="AA2012" s="40" t="n">
        <x:v>0.9991169977924945</x:v>
      </x:c>
      <x:c r="AB2012" s="31" t="n">
        <x:v>0.3155221169331494</x:v>
      </x:c>
      <x:c r="AC2012" s="31" t="n">
        <x:v>6</x:v>
      </x:c>
      <x:c r="AD2012" s="44" t="b">
        <x:v>1</x:v>
      </x:c>
    </x:row>
    <x:row r="2013">
      <x:c r="A2013" s="31" t="str">
        <x:v>36081076902</x:v>
      </x:c>
      <x:c r="B2013" s="31" t="str">
        <x:v>Queens</x:v>
      </x:c>
      <x:c r="C2013" s="31" t="str">
        <x:v>076902</x:v>
      </x:c>
      <x:c r="D2013" s="31" t="str">
        <x:v>QN0602</x:v>
      </x:c>
      <x:c r="E2013" s="31" t="str">
        <x:v>Forest Hills</x:v>
      </x:c>
      <x:c r="F2013" s="31" t="n">
        <x:v>0.03937918575814968</x:v>
      </x:c>
      <x:c r="G2013" s="31" t="n">
        <x:v>40.715041053890296</x:v>
      </x:c>
      <x:c r="H2013" s="31" t="n">
        <x:v>-73.83404840752506</x:v>
      </x:c>
      <x:c r="I2013" s="31" t="n">
        <x:v>1390</x:v>
      </x:c>
      <x:c r="J2013" s="31" t="n">
        <x:v>35297.834966339644</x:v>
      </x:c>
      <x:c r="K2013" s="31"/>
      <x:c r="L2013" s="40"/>
      <x:c r="M2013" s="40"/>
      <x:c r="N2013" s="31" t="n">
        <x:v>83</x:v>
      </x:c>
      <x:c r="O2013" s="31" t="n">
        <x:v>779</x:v>
      </x:c>
      <x:c r="P2013" s="31" t="n">
        <x:v>5.518613607188703</x:v>
      </x:c>
      <x:c r="Q2013" s="40" t="n">
        <x:v>0</x:v>
      </x:c>
      <x:c r="R2013" s="40" t="n">
        <x:v>0.9050064184852374</x:v>
      </x:c>
      <x:c r="S2013" s="40" t="n">
        <x:v>0.01797175866495507</x:v>
      </x:c>
      <x:c r="T2013" s="31" t="n">
        <x:v>64.26431738228497</x:v>
      </x:c>
      <x:c r="U2013" s="31" t="n">
        <x:v>117</x:v>
      </x:c>
      <x:c r="V2013" s="31" t="n">
        <x:v>15</x:v>
      </x:c>
      <x:c r="W2013" s="31" t="n">
        <x:v>10.79136690647482</x:v>
      </x:c>
      <x:c r="X2013" s="31" t="n">
        <x:v>2</x:v>
      </x:c>
      <x:c r="Y2013" s="40" t="n">
        <x:v>0</x:v>
      </x:c>
      <x:c r="Z2013" s="40" t="n">
        <x:v>1</x:v>
      </x:c>
      <x:c r="AA2013" s="40" t="n">
        <x:v>1</x:v>
      </x:c>
      <x:c r="AB2013" s="31" t="n">
        <x:v>0.41165604811599643</x:v>
      </x:c>
      <x:c r="AC2013" s="31" t="n">
        <x:v>5</x:v>
      </x:c>
      <x:c r="AD2013" s="44" t="b">
        <x:v>1</x:v>
      </x:c>
    </x:row>
    <x:row r="2014">
      <x:c r="A2014" s="31" t="str">
        <x:v>36081077300</x:v>
      </x:c>
      <x:c r="B2014" s="31" t="str">
        <x:v>Queens</x:v>
      </x:c>
      <x:c r="C2014" s="31" t="str">
        <x:v>077300</x:v>
      </x:c>
      <x:c r="D2014" s="31" t="str">
        <x:v>QN0901</x:v>
      </x:c>
      <x:c r="E2014" s="31" t="str">
        <x:v>Kew Gardens</x:v>
      </x:c>
      <x:c r="F2014" s="31" t="n">
        <x:v>0.10807203822816232</x:v>
      </x:c>
      <x:c r="G2014" s="31" t="n">
        <x:v>40.71091324890332</x:v>
      </x:c>
      <x:c r="H2014" s="31" t="n">
        <x:v>-73.83531392969648</x:v>
      </x:c>
      <x:c r="I2014" s="31" t="n">
        <x:v>2311</x:v>
      </x:c>
      <x:c r="J2014" s="31" t="n">
        <x:v>21383.884655908896</x:v>
      </x:c>
      <x:c r="K2014" s="31"/>
      <x:c r="L2014" s="40"/>
      <x:c r="M2014" s="40"/>
      <x:c r="N2014" s="31" t="n">
        <x:v>107</x:v>
      </x:c>
      <x:c r="O2014" s="31" t="n">
        <x:v>1182</x:v>
      </x:c>
      <x:c r="P2014" s="31" t="n">
        <x:v>7.890016920473773</x:v>
      </x:c>
      <x:c r="Q2014" s="40" t="n">
        <x:v>0.1802030456852792</x:v>
      </x:c>
      <x:c r="R2014" s="40" t="n">
        <x:v>0.7360406091370558</x:v>
      </x:c>
      <x:c r="S2014" s="40" t="n">
        <x:v>0.04145516074450085</x:v>
      </x:c>
      <x:c r="T2014" s="31" t="n">
        <x:v>81.8173135636802</x:v>
      </x:c>
      <x:c r="U2014" s="31" t="n">
        <x:v>177.15</x:v>
      </x:c>
      <x:c r="V2014" s="31" t="n">
        <x:v>24</x:v>
      </x:c>
      <x:c r="W2014" s="31" t="n">
        <x:v>10.38511466897447</x:v>
      </x:c>
      <x:c r="X2014" s="31" t="n">
        <x:v>2.2707275803722506</x:v>
      </x:c>
      <x:c r="Y2014" s="40" t="n">
        <x:v>0</x:v>
      </x:c>
      <x:c r="Z2014" s="40" t="n">
        <x:v>1</x:v>
      </x:c>
      <x:c r="AA2014" s="40" t="n">
        <x:v>1</x:v>
      </x:c>
      <x:c r="AB2014" s="31" t="n">
        <x:v>0.40286797002603797</x:v>
      </x:c>
      <x:c r="AC2014" s="31" t="n">
        <x:v>10</x:v>
      </x:c>
      <x:c r="AD2014" s="44" t="b">
        <x:v>1</x:v>
      </x:c>
    </x:row>
    <x:row r="2015">
      <x:c r="A2015" s="31" t="str">
        <x:v>36081077500</x:v>
      </x:c>
      <x:c r="B2015" s="31" t="str">
        <x:v>Queens</x:v>
      </x:c>
      <x:c r="C2015" s="31" t="str">
        <x:v>077500</x:v>
      </x:c>
      <x:c r="D2015" s="31" t="str">
        <x:v>QN0901</x:v>
      </x:c>
      <x:c r="E2015" s="31" t="str">
        <x:v>Kew Gardens</x:v>
      </x:c>
      <x:c r="F2015" s="31" t="n">
        <x:v>0.08858474411121155</x:v>
      </x:c>
      <x:c r="G2015" s="31" t="n">
        <x:v>40.70910366821514</x:v>
      </x:c>
      <x:c r="H2015" s="31" t="n">
        <x:v>-73.83233987553051</x:v>
      </x:c>
      <x:c r="I2015" s="31" t="n">
        <x:v>2241</x:v>
      </x:c>
      <x:c r="J2015" s="31" t="n">
        <x:v>25297.809712997438</x:v>
      </x:c>
      <x:c r="K2015" s="31"/>
      <x:c r="L2015" s="40"/>
      <x:c r="M2015" s="40"/>
      <x:c r="N2015" s="31" t="n">
        <x:v>237</x:v>
      </x:c>
      <x:c r="O2015" s="31" t="n">
        <x:v>1004</x:v>
      </x:c>
      <x:c r="P2015" s="31" t="n">
        <x:v>5.072958167330677</x:v>
      </x:c>
      <x:c r="Q2015" s="40" t="n">
        <x:v>0.14342629482071714</x:v>
      </x:c>
      <x:c r="R2015" s="40" t="n">
        <x:v>0.6294820717131474</x:v>
      </x:c>
      <x:c r="S2015" s="40" t="n">
        <x:v>0.00099601593625498</x:v>
      </x:c>
      <x:c r="T2015" s="31" t="n">
        <x:v>58.59272663179283</x:v>
      </x:c>
      <x:c r="U2015" s="31" t="n">
        <x:v>104.3</x:v>
      </x:c>
      <x:c r="V2015" s="31" t="n">
        <x:v>15</x:v>
      </x:c>
      <x:c r="W2015" s="31" t="n">
        <x:v>6.693440428380187</x:v>
      </x:c>
      <x:c r="X2015" s="31" t="n">
        <x:v>2.1205179282868527</x:v>
      </x:c>
      <x:c r="Y2015" s="40" t="n">
        <x:v>0</x:v>
      </x:c>
      <x:c r="Z2015" s="40" t="n">
        <x:v>1</x:v>
      </x:c>
      <x:c r="AA2015" s="40" t="n">
        <x:v>1</x:v>
      </x:c>
      <x:c r="AB2015" s="31" t="n">
        <x:v>0.29706421064168936</x:v>
      </x:c>
      <x:c r="AC2015" s="31" t="n">
        <x:v>7</x:v>
      </x:c>
      <x:c r="AD2015" s="44" t="b">
        <x:v>1</x:v>
      </x:c>
    </x:row>
    <x:row r="2016">
      <x:c r="A2016" s="31" t="str">
        <x:v>36081077902</x:v>
      </x:c>
      <x:c r="B2016" s="31" t="str">
        <x:v>Queens</x:v>
      </x:c>
      <x:c r="C2016" s="31" t="str">
        <x:v>077902</x:v>
      </x:c>
      <x:c r="D2016" s="31" t="str">
        <x:v>QN0801</x:v>
      </x:c>
      <x:c r="E2016" s="31" t="str">
        <x:v>Kew Gardens Hills</x:v>
      </x:c>
      <x:c r="F2016" s="31" t="n">
        <x:v>0.2160532587670024</x:v>
      </x:c>
      <x:c r="G2016" s="31" t="n">
        <x:v>40.72527480842564</x:v>
      </x:c>
      <x:c r="H2016" s="31" t="n">
        <x:v>-73.82486766137686</x:v>
      </x:c>
      <x:c r="I2016" s="31" t="n">
        <x:v>5416</x:v>
      </x:c>
      <x:c r="J2016" s="31" t="n">
        <x:v>25067.89312463349</x:v>
      </x:c>
      <x:c r="K2016" s="31"/>
      <x:c r="L2016" s="40"/>
      <x:c r="M2016" s="40"/>
      <x:c r="N2016" s="31" t="n">
        <x:v>1155</x:v>
      </x:c>
      <x:c r="O2016" s="31" t="n">
        <x:v>1783</x:v>
      </x:c>
      <x:c r="P2016" s="31" t="n">
        <x:v>2.12307130825379</x:v>
      </x:c>
      <x:c r="Q2016" s="40" t="n">
        <x:v>0</x:v>
      </x:c>
      <x:c r="R2016" s="40" t="n">
        <x:v>0.05440269209197981</x:v>
      </x:c>
      <x:c r="S2016" s="40" t="n">
        <x:v>0.2512619181155356</x:v>
      </x:c>
      <x:c r="T2016" s="31" t="n">
        <x:v>27.58118787731762</x:v>
      </x:c>
      <x:c r="U2016" s="31" t="n">
        <x:v>40.26</x:v>
      </x:c>
      <x:c r="V2016" s="31" t="n">
        <x:v>2</x:v>
      </x:c>
      <x:c r="W2016" s="31" t="n">
        <x:v>0.36927621861152143</x:v>
      </x:c>
      <x:c r="X2016" s="31" t="n">
        <x:v>2</x:v>
      </x:c>
      <x:c r="Y2016" s="40" t="n">
        <x:v>0</x:v>
      </x:c>
      <x:c r="Z2016" s="40" t="n">
        <x:v>1</x:v>
      </x:c>
      <x:c r="AA2016" s="40" t="n">
        <x:v>0.9994391475042064</x:v>
      </x:c>
      <x:c r="AB2016" s="31" t="n">
        <x:v>0.22107533975023805</x:v>
      </x:c>
      <x:c r="AC2016" s="31" t="n">
        <x:v>6</x:v>
      </x:c>
      <x:c r="AD2016" s="44" t="b">
        <x:v>1</x:v>
      </x:c>
    </x:row>
    <x:row r="2017">
      <x:c r="A2017" s="31" t="str">
        <x:v>36081077903</x:v>
      </x:c>
      <x:c r="B2017" s="31" t="str">
        <x:v>Queens</x:v>
      </x:c>
      <x:c r="C2017" s="31" t="str">
        <x:v>077903</x:v>
      </x:c>
      <x:c r="D2017" s="31" t="str">
        <x:v>QN0801</x:v>
      </x:c>
      <x:c r="E2017" s="31" t="str">
        <x:v>Kew Gardens Hills</x:v>
      </x:c>
      <x:c r="F2017" s="31" t="n">
        <x:v>0.10150531491656624</x:v>
      </x:c>
      <x:c r="G2017" s="31" t="n">
        <x:v>40.71922266629009</x:v>
      </x:c>
      <x:c r="H2017" s="31" t="n">
        <x:v>-73.82159575832462</x:v>
      </x:c>
      <x:c r="I2017" s="31" t="n">
        <x:v>2937</x:v>
      </x:c>
      <x:c r="J2017" s="31" t="n">
        <x:v>28934.445476220724</x:v>
      </x:c>
      <x:c r="K2017" s="31"/>
      <x:c r="L2017" s="40"/>
      <x:c r="M2017" s="40"/>
      <x:c r="N2017" s="31" t="n">
        <x:v>116</x:v>
      </x:c>
      <x:c r="O2017" s="31" t="n">
        <x:v>1269</x:v>
      </x:c>
      <x:c r="P2017" s="31" t="n">
        <x:v>2.5169424743892828</x:v>
      </x:c>
      <x:c r="Q2017" s="40" t="n">
        <x:v>0</x:v>
      </x:c>
      <x:c r="R2017" s="40" t="n">
        <x:v>0.5114263199369582</x:v>
      </x:c>
      <x:c r="S2017" s="40" t="n">
        <x:v>0.8100866824271079</x:v>
      </x:c>
      <x:c r="T2017" s="31" t="n">
        <x:v>33.71908059686661</x:v>
      </x:c>
      <x:c r="U2017" s="31" t="n">
        <x:v>50</x:v>
      </x:c>
      <x:c r="V2017" s="31" t="n">
        <x:v>5</x:v>
      </x:c>
      <x:c r="W2017" s="31" t="n">
        <x:v>1.7024174327545114</x:v>
      </x:c>
      <x:c r="X2017" s="31" t="n">
        <x:v>2</x:v>
      </x:c>
      <x:c r="Y2017" s="40" t="n">
        <x:v>0</x:v>
      </x:c>
      <x:c r="Z2017" s="40" t="n">
        <x:v>1</x:v>
      </x:c>
      <x:c r="AA2017" s="40" t="n">
        <x:v>0.9984239558707644</x:v>
      </x:c>
      <x:c r="AB2017" s="31" t="n">
        <x:v>0.14883812291468818</x:v>
      </x:c>
      <x:c r="AC2017" s="31" t="n">
        <x:v>5</x:v>
      </x:c>
      <x:c r="AD2017" s="44" t="b">
        <x:v>1</x:v>
      </x:c>
    </x:row>
    <x:row r="2018">
      <x:c r="A2018" s="31" t="str">
        <x:v>36081077904</x:v>
      </x:c>
      <x:c r="B2018" s="31" t="str">
        <x:v>Queens</x:v>
      </x:c>
      <x:c r="C2018" s="31" t="str">
        <x:v>077904</x:v>
      </x:c>
      <x:c r="D2018" s="31" t="str">
        <x:v>QN0801</x:v>
      </x:c>
      <x:c r="E2018" s="31" t="str">
        <x:v>Kew Gardens Hills</x:v>
      </x:c>
      <x:c r="F2018" s="31" t="n">
        <x:v>0.1493142589868859</x:v>
      </x:c>
      <x:c r="G2018" s="31" t="n">
        <x:v>40.72095889344538</x:v>
      </x:c>
      <x:c r="H2018" s="31" t="n">
        <x:v>-73.8141680301881</x:v>
      </x:c>
      <x:c r="I2018" s="31" t="n">
        <x:v>6324</x:v>
      </x:c>
      <x:c r="J2018" s="31" t="n">
        <x:v>42353.62411406019</x:v>
      </x:c>
      <x:c r="K2018" s="31"/>
      <x:c r="L2018" s="40"/>
      <x:c r="M2018" s="40"/>
      <x:c r="N2018" s="31" t="n">
        <x:v>893</x:v>
      </x:c>
      <x:c r="O2018" s="31" t="n">
        <x:v>2311</x:v>
      </x:c>
      <x:c r="P2018" s="31" t="n">
        <x:v>3.2536737400530504</x:v>
      </x:c>
      <x:c r="Q2018" s="40" t="n">
        <x:v>0</x:v>
      </x:c>
      <x:c r="R2018" s="40" t="n">
        <x:v>0.5534400692340978</x:v>
      </x:c>
      <x:c r="S2018" s="40" t="n">
        <x:v>0.2302033751622674</x:v>
      </x:c>
      <x:c r="T2018" s="31" t="n">
        <x:v>37.65150329784509</x:v>
      </x:c>
      <x:c r="U2018" s="31" t="n">
        <x:v>67.14</x:v>
      </x:c>
      <x:c r="V2018" s="31" t="n">
        <x:v>11</x:v>
      </x:c>
      <x:c r="W2018" s="31" t="n">
        <x:v>1.739405439595193</x:v>
      </x:c>
      <x:c r="X2018" s="31" t="n">
        <x:v>1.972739073993942</x:v>
      </x:c>
      <x:c r="Y2018" s="40" t="n">
        <x:v>0</x:v>
      </x:c>
      <x:c r="Z2018" s="40" t="n">
        <x:v>1</x:v>
      </x:c>
      <x:c r="AA2018" s="40" t="n">
        <x:v>1</x:v>
      </x:c>
      <x:c r="AB2018" s="31" t="n">
        <x:v>0.28156270101118597</x:v>
      </x:c>
      <x:c r="AC2018" s="31" t="n">
        <x:v>7</x:v>
      </x:c>
      <x:c r="AD2018" s="44" t="b">
        <x:v>1</x:v>
      </x:c>
    </x:row>
    <x:row r="2019">
      <x:c r="A2019" s="31" t="str">
        <x:v>36081077905</x:v>
      </x:c>
      <x:c r="B2019" s="31" t="str">
        <x:v>Queens</x:v>
      </x:c>
      <x:c r="C2019" s="31" t="str">
        <x:v>077905</x:v>
      </x:c>
      <x:c r="D2019" s="31" t="str">
        <x:v>QN0801</x:v>
      </x:c>
      <x:c r="E2019" s="31" t="str">
        <x:v>Kew Gardens Hills</x:v>
      </x:c>
      <x:c r="F2019" s="31" t="n">
        <x:v>0.10517870934558654</x:v>
      </x:c>
      <x:c r="G2019" s="31" t="n">
        <x:v>40.71733103300366</x:v>
      </x:c>
      <x:c r="H2019" s="31" t="n">
        <x:v>-73.81293937781376</x:v>
      </x:c>
      <x:c r="I2019" s="31" t="n">
        <x:v>2586</x:v>
      </x:c>
      <x:c r="J2019" s="31" t="n">
        <x:v>24586.724975899437</x:v>
      </x:c>
      <x:c r="K2019" s="31"/>
      <x:c r="L2019" s="40"/>
      <x:c r="M2019" s="40"/>
      <x:c r="N2019" s="31" t="n">
        <x:v>52</x:v>
      </x:c>
      <x:c r="O2019" s="31" t="n">
        <x:v>1242</x:v>
      </x:c>
      <x:c r="P2019" s="31" t="n">
        <x:v>6.489339774557166</x:v>
      </x:c>
      <x:c r="Q2019" s="40" t="n">
        <x:v>0.3687600644122383</x:v>
      </x:c>
      <x:c r="R2019" s="40" t="n">
        <x:v>0.06521739130434782</x:v>
      </x:c>
      <x:c r="S2019" s="40" t="n">
        <x:v>0.9122383252818036</x:v>
      </x:c>
      <x:c r="T2019" s="31" t="n">
        <x:v>77.3194766505636</x:v>
      </x:c>
      <x:c r="U2019" s="31" t="n">
        <x:v>152</x:v>
      </x:c>
      <x:c r="V2019" s="31" t="n">
        <x:v>5</x:v>
      </x:c>
      <x:c r="W2019" s="31" t="n">
        <x:v>1.9334880123743232</x:v>
      </x:c>
      <x:c r="X2019" s="31" t="n">
        <x:v>3.152173913043478</x:v>
      </x:c>
      <x:c r="Y2019" s="40" t="n">
        <x:v>0.5579710144927537</x:v>
      </x:c>
      <x:c r="Z2019" s="40" t="n">
        <x:v>1</x:v>
      </x:c>
      <x:c r="AA2019" s="40" t="n">
        <x:v>1</x:v>
      </x:c>
      <x:c r="AB2019" s="31" t="n">
        <x:v>0.28936982538451644</x:v>
      </x:c>
      <x:c r="AC2019" s="31" t="n">
        <x:v>8</x:v>
      </x:c>
      <x:c r="AD2019" s="44" t="b">
        <x:v>1</x:v>
      </x:c>
    </x:row>
    <x:row r="2020">
      <x:c r="A2020" s="31" t="str">
        <x:v>36081077906</x:v>
      </x:c>
      <x:c r="B2020" s="31" t="str">
        <x:v>Queens</x:v>
      </x:c>
      <x:c r="C2020" s="31" t="str">
        <x:v>077906</x:v>
      </x:c>
      <x:c r="D2020" s="31" t="str">
        <x:v>QN0801</x:v>
      </x:c>
      <x:c r="E2020" s="31" t="str">
        <x:v>Kew Gardens Hills</x:v>
      </x:c>
      <x:c r="F2020" s="31" t="n">
        <x:v>0.11151031360264578</x:v>
      </x:c>
      <x:c r="G2020" s="31" t="n">
        <x:v>40.7293991283991</x:v>
      </x:c>
      <x:c r="H2020" s="31" t="n">
        <x:v>-73.818759531557</x:v>
      </x:c>
      <x:c r="I2020" s="31" t="n">
        <x:v>3968</x:v>
      </x:c>
      <x:c r="J2020" s="31" t="n">
        <x:v>35584.152459112556</x:v>
      </x:c>
      <x:c r="K2020" s="31"/>
      <x:c r="L2020" s="40"/>
      <x:c r="M2020" s="40"/>
      <x:c r="N2020" s="31" t="n">
        <x:v>276</x:v>
      </x:c>
      <x:c r="O2020" s="31" t="n">
        <x:v>1514</x:v>
      </x:c>
      <x:c r="P2020" s="31" t="n">
        <x:v>3.5400264200792604</x:v>
      </x:c>
      <x:c r="Q2020" s="40" t="n">
        <x:v>0</x:v>
      </x:c>
      <x:c r="R2020" s="40" t="n">
        <x:v>0.47291941875825627</x:v>
      </x:c>
      <x:c r="S2020" s="40" t="n">
        <x:v>0.7291941875825627</x:v>
      </x:c>
      <x:c r="T2020" s="31" t="n">
        <x:v>40.213847851071435</x:v>
      </x:c>
      <x:c r="U2020" s="31" t="n">
        <x:v>62.79</x:v>
      </x:c>
      <x:c r="V2020" s="31" t="n">
        <x:v>9</x:v>
      </x:c>
      <x:c r="W2020" s="31" t="n">
        <x:v>2.268145161290323</x:v>
      </x:c>
      <x:c r="X2020" s="31" t="n">
        <x:v>2</x:v>
      </x:c>
      <x:c r="Y2020" s="40" t="n">
        <x:v>0</x:v>
      </x:c>
      <x:c r="Z2020" s="40" t="n">
        <x:v>1</x:v>
      </x:c>
      <x:c r="AA2020" s="40" t="n">
        <x:v>0.9986789960369881</x:v>
      </x:c>
      <x:c r="AB2020" s="31" t="n">
        <x:v>0.05516705100280838</x:v>
      </x:c>
      <x:c r="AC2020" s="31" t="n">
        <x:v>5</x:v>
      </x:c>
      <x:c r="AD2020" s="44" t="b">
        <x:v>1</x:v>
      </x:c>
    </x:row>
    <x:row r="2021">
      <x:c r="A2021" s="31" t="str">
        <x:v>36081077907</x:v>
      </x:c>
      <x:c r="B2021" s="31" t="str">
        <x:v>Queens</x:v>
      </x:c>
      <x:c r="C2021" s="31" t="str">
        <x:v>077907</x:v>
      </x:c>
      <x:c r="D2021" s="31" t="str">
        <x:v>QN0801</x:v>
      </x:c>
      <x:c r="E2021" s="31" t="str">
        <x:v>Kew Gardens Hills</x:v>
      </x:c>
      <x:c r="F2021" s="31" t="n">
        <x:v>0.08358082456166782</x:v>
      </x:c>
      <x:c r="G2021" s="31" t="n">
        <x:v>40.724958315412195</x:v>
      </x:c>
      <x:c r="H2021" s="31" t="n">
        <x:v>-73.81847364333744</x:v>
      </x:c>
      <x:c r="I2021" s="31" t="n">
        <x:v>3349</x:v>
      </x:c>
      <x:c r="J2021" s="31" t="n">
        <x:v>40068.99928977169</x:v>
      </x:c>
      <x:c r="K2021" s="31"/>
      <x:c r="L2021" s="40"/>
      <x:c r="M2021" s="40"/>
      <x:c r="N2021" s="31" t="n">
        <x:v>353</x:v>
      </x:c>
      <x:c r="O2021" s="31" t="n">
        <x:v>1061</x:v>
      </x:c>
      <x:c r="P2021" s="31" t="n">
        <x:v>2.4130065975494817</x:v>
      </x:c>
      <x:c r="Q2021" s="40" t="n">
        <x:v>0</x:v>
      </x:c>
      <x:c r="R2021" s="40" t="n">
        <x:v>0.4203581526861451</x:v>
      </x:c>
      <x:c r="S2021" s="40" t="n">
        <x:v>0.5721017907634307</x:v>
      </x:c>
      <x:c r="T2021" s="31" t="n">
        <x:v>28.940177544156455</x:v>
      </x:c>
      <x:c r="U2021" s="31" t="n">
        <x:v>41.2</x:v>
      </x:c>
      <x:c r="V2021" s="31" t="n">
        <x:v>0</x:v>
      </x:c>
      <x:c r="W2021" s="31" t="n">
        <x:v>0</x:v>
      </x:c>
      <x:c r="X2021" s="31" t="n">
        <x:v>2</x:v>
      </x:c>
      <x:c r="Y2021" s="40" t="n">
        <x:v>0</x:v>
      </x:c>
      <x:c r="Z2021" s="40" t="n">
        <x:v>1</x:v>
      </x:c>
      <x:c r="AA2021" s="40" t="n">
        <x:v>1</x:v>
      </x:c>
      <x:c r="AB2021" s="31" t="n">
        <x:v>0.13731078962846688</x:v>
      </x:c>
      <x:c r="AC2021" s="31" t="n">
        <x:v>5</x:v>
      </x:c>
      <x:c r="AD2021" s="44" t="b">
        <x:v>1</x:v>
      </x:c>
    </x:row>
    <x:row r="2022">
      <x:c r="A2022" s="31" t="str">
        <x:v>36081077908</x:v>
      </x:c>
      <x:c r="B2022" s="31" t="str">
        <x:v>Queens</x:v>
      </x:c>
      <x:c r="C2022" s="31" t="str">
        <x:v>077908</x:v>
      </x:c>
      <x:c r="D2022" s="31" t="str">
        <x:v>QN0801</x:v>
      </x:c>
      <x:c r="E2022" s="31" t="str">
        <x:v>Kew Gardens Hills</x:v>
      </x:c>
      <x:c r="F2022" s="31" t="n">
        <x:v>0.07735804456173954</x:v>
      </x:c>
      <x:c r="G2022" s="31" t="n">
        <x:v>40.72561604337453</x:v>
      </x:c>
      <x:c r="H2022" s="31" t="n">
        <x:v>-73.81369461461821</x:v>
      </x:c>
      <x:c r="I2022" s="31" t="n">
        <x:v>3838</x:v>
      </x:c>
      <x:c r="J2022" s="31" t="n">
        <x:v>49613.45677419351</x:v>
      </x:c>
      <x:c r="K2022" s="31"/>
      <x:c r="L2022" s="40"/>
      <x:c r="M2022" s="40"/>
      <x:c r="N2022" s="31" t="n">
        <x:v>74</x:v>
      </x:c>
      <x:c r="O2022" s="31" t="n">
        <x:v>1520</x:v>
      </x:c>
      <x:c r="P2022" s="31" t="n">
        <x:v>5.764473684210526</x:v>
      </x:c>
      <x:c r="Q2022" s="40" t="n">
        <x:v>0.25526315789473686</x:v>
      </x:c>
      <x:c r="R2022" s="40" t="n">
        <x:v>0.7013157894736842</x:v>
      </x:c>
      <x:c r="S2022" s="40" t="n">
        <x:v>0.6309210526315789</x:v>
      </x:c>
      <x:c r="T2022" s="31" t="n">
        <x:v>61.24828005177631</x:v>
      </x:c>
      <x:c r="U2022" s="31" t="n">
        <x:v>148.79</x:v>
      </x:c>
      <x:c r="V2022" s="31" t="n">
        <x:v>10</x:v>
      </x:c>
      <x:c r="W2022" s="31" t="n">
        <x:v>2.6055237102657633</x:v>
      </x:c>
      <x:c r="X2022" s="31" t="n">
        <x:v>1.938157894736842</x:v>
      </x:c>
      <x:c r="Y2022" s="40" t="n">
        <x:v>0</x:v>
      </x:c>
      <x:c r="Z2022" s="40" t="n">
        <x:v>1</x:v>
      </x:c>
      <x:c r="AA2022" s="40" t="n">
        <x:v>1</x:v>
      </x:c>
      <x:c r="AB2022" s="31" t="n">
        <x:v>0.12461244218094089</x:v>
      </x:c>
      <x:c r="AC2022" s="31" t="n">
        <x:v>5</x:v>
      </x:c>
      <x:c r="AD2022" s="44" t="b">
        <x:v>1</x:v>
      </x:c>
    </x:row>
    <x:row r="2023">
      <x:c r="A2023" s="31" t="str">
        <x:v>36081078800</x:v>
      </x:c>
      <x:c r="B2023" s="31" t="str">
        <x:v>Queens</x:v>
      </x:c>
      <x:c r="C2023" s="31" t="str">
        <x:v>078800</x:v>
      </x:c>
      <x:c r="D2023" s="31" t="str">
        <x:v>QN1203</x:v>
      </x:c>
      <x:c r="E2023" s="31" t="str">
        <x:v>Baisley Park</x:v>
      </x:c>
      <x:c r="F2023" s="31" t="n">
        <x:v>0.07445521868328168</x:v>
      </x:c>
      <x:c r="G2023" s="31" t="n">
        <x:v>40.67033333022634</x:v>
      </x:c>
      <x:c r="H2023" s="31" t="n">
        <x:v>-73.7903671564951</x:v>
      </x:c>
      <x:c r="I2023" s="31" t="n">
        <x:v>2002</x:v>
      </x:c>
      <x:c r="J2023" s="31" t="n">
        <x:v>26888.645757876646</x:v>
      </x:c>
      <x:c r="K2023" s="31"/>
      <x:c r="L2023" s="40"/>
      <x:c r="M2023" s="40"/>
      <x:c r="N2023" s="31" t="n">
        <x:v>422</x:v>
      </x:c>
      <x:c r="O2023" s="31" t="n">
        <x:v>568</x:v>
      </x:c>
      <x:c r="P2023" s="31" t="n">
        <x:v>2.000387323943662</x:v>
      </x:c>
      <x:c r="Q2023" s="40" t="n">
        <x:v>0</x:v>
      </x:c>
      <x:c r="R2023" s="40" t="n">
        <x:v>0.007042253521126761</x:v>
      </x:c>
      <x:c r="S2023" s="40" t="n">
        <x:v>0.014084507042253521</x:v>
      </x:c>
      <x:c r="T2023" s="31" t="n">
        <x:v>24.416432948776595</x:v>
      </x:c>
      <x:c r="U2023" s="31" t="n">
        <x:v>34.677982</x:v>
      </x:c>
      <x:c r="V2023" s="31" t="n">
        <x:v>1</x:v>
      </x:c>
      <x:c r="W2023" s="31" t="n">
        <x:v>0.4995004995004995</x:v>
      </x:c>
      <x:c r="X2023" s="31" t="n">
        <x:v>5</x:v>
      </x:c>
      <x:c r="Y2023" s="40" t="n">
        <x:v>1</x:v>
      </x:c>
      <x:c r="Z2023" s="40" t="n">
        <x:v>1</x:v>
      </x:c>
      <x:c r="AA2023" s="40" t="n">
        <x:v>0.9929577464788732</x:v>
      </x:c>
      <x:c r="AB2023" s="31" t="n">
        <x:v>0.1407122309412793</x:v>
      </x:c>
      <x:c r="AC2023" s="31" t="n">
        <x:v>5</x:v>
      </x:c>
      <x:c r="AD2023" s="44" t="b">
        <x:v>1</x:v>
      </x:c>
    </x:row>
    <x:row r="2024">
      <x:c r="A2024" s="31" t="str">
        <x:v>36081079000</x:v>
      </x:c>
      <x:c r="B2024" s="31" t="str">
        <x:v>Queens</x:v>
      </x:c>
      <x:c r="C2024" s="31" t="str">
        <x:v>079000</x:v>
      </x:c>
      <x:c r="D2024" s="31" t="str">
        <x:v>QN1203</x:v>
      </x:c>
      <x:c r="E2024" s="31" t="str">
        <x:v>Baisley Park</x:v>
      </x:c>
      <x:c r="F2024" s="31" t="n">
        <x:v>0.10040749375789142</x:v>
      </x:c>
      <x:c r="G2024" s="31" t="n">
        <x:v>40.67248275578942</x:v>
      </x:c>
      <x:c r="H2024" s="31" t="n">
        <x:v>-73.79661440294163</x:v>
      </x:c>
      <x:c r="I2024" s="31" t="n">
        <x:v>2875</x:v>
      </x:c>
      <x:c r="J2024" s="31" t="n">
        <x:v>28633.321004230747</x:v>
      </x:c>
      <x:c r="K2024" s="31"/>
      <x:c r="L2024" s="40"/>
      <x:c r="M2024" s="40"/>
      <x:c r="N2024" s="31" t="n">
        <x:v>511</x:v>
      </x:c>
      <x:c r="O2024" s="31" t="n">
        <x:v>822</x:v>
      </x:c>
      <x:c r="P2024" s="31" t="n">
        <x:v>2.054330900243309</x:v>
      </x:c>
      <x:c r="Q2024" s="40" t="n">
        <x:v>0</x:v>
      </x:c>
      <x:c r="R2024" s="40" t="n">
        <x:v>0.01338199513381995</x:v>
      </x:c>
      <x:c r="S2024" s="40" t="n">
        <x:v>0.006082725060827251</x:v>
      </x:c>
      <x:c r="T2024" s="31" t="n">
        <x:v>25.537299390650308</x:v>
      </x:c>
      <x:c r="U2024" s="31" t="n">
        <x:v>35.58</x:v>
      </x:c>
      <x:c r="V2024" s="31" t="n">
        <x:v>0</x:v>
      </x:c>
      <x:c r="W2024" s="31" t="n">
        <x:v>0</x:v>
      </x:c>
      <x:c r="X2024" s="31" t="n">
        <x:v>5</x:v>
      </x:c>
      <x:c r="Y2024" s="40" t="n">
        <x:v>1</x:v>
      </x:c>
      <x:c r="Z2024" s="40" t="n">
        <x:v>1</x:v>
      </x:c>
      <x:c r="AA2024" s="40" t="n">
        <x:v>0.9914841849148418</x:v>
      </x:c>
      <x:c r="AB2024" s="31" t="n">
        <x:v>0.3614606298892353</x:v>
      </x:c>
      <x:c r="AC2024" s="31" t="n">
        <x:v>6</x:v>
      </x:c>
      <x:c r="AD2024" s="44" t="b">
        <x:v>1</x:v>
      </x:c>
    </x:row>
    <x:row r="2025">
      <x:c r="A2025" s="31" t="str">
        <x:v>36081079200</x:v>
      </x:c>
      <x:c r="B2025" s="31" t="str">
        <x:v>Queens</x:v>
      </x:c>
      <x:c r="C2025" s="31" t="str">
        <x:v>079200</x:v>
      </x:c>
      <x:c r="D2025" s="31" t="str">
        <x:v>QN1203</x:v>
      </x:c>
      <x:c r="E2025" s="31" t="str">
        <x:v>Baisley Park</x:v>
      </x:c>
      <x:c r="F2025" s="31" t="n">
        <x:v>0.1410534270051366</x:v>
      </x:c>
      <x:c r="G2025" s="31" t="n">
        <x:v>40.66891889851967</x:v>
      </x:c>
      <x:c r="H2025" s="31" t="n">
        <x:v>-73.7969642043877</x:v>
      </x:c>
      <x:c r="I2025" s="31" t="n">
        <x:v>2717</x:v>
      </x:c>
      <x:c r="J2025" s="31" t="n">
        <x:v>19262.2048091115</x:v>
      </x:c>
      <x:c r="K2025" s="31"/>
      <x:c r="L2025" s="40"/>
      <x:c r="M2025" s="40"/>
      <x:c r="N2025" s="31" t="n">
        <x:v>515</x:v>
      </x:c>
      <x:c r="O2025" s="31" t="n">
        <x:v>1400</x:v>
      </x:c>
      <x:c r="P2025" s="31" t="n">
        <x:v>5.915532523230879</x:v>
      </x:c>
      <x:c r="Q2025" s="40" t="n">
        <x:v>0.4664285714285714</x:v>
      </x:c>
      <x:c r="R2025" s="40" t="n">
        <x:v>0</x:v>
      </x:c>
      <x:c r="S2025" s="40" t="n">
        <x:v>0.002857142857142857</x:v>
      </x:c>
      <x:c r="T2025" s="31" t="n">
        <x:v>46.2792655657556</x:v>
      </x:c>
      <x:c r="U2025" s="31" t="n">
        <x:v>93.54</x:v>
      </x:c>
      <x:c r="V2025" s="31" t="n">
        <x:v>8</x:v>
      </x:c>
      <x:c r="W2025" s="31" t="n">
        <x:v>2.944423997055576</x:v>
      </x:c>
      <x:c r="X2025" s="31" t="n">
        <x:v>5</x:v>
      </x:c>
      <x:c r="Y2025" s="40" t="n">
        <x:v>1</x:v>
      </x:c>
      <x:c r="Z2025" s="40" t="n">
        <x:v>1</x:v>
      </x:c>
      <x:c r="AA2025" s="40" t="n">
        <x:v>0.7657142857142857</x:v>
      </x:c>
      <x:c r="AB2025" s="31" t="n">
        <x:v>0.47860381031793947</x:v>
      </x:c>
      <x:c r="AC2025" s="31" t="n">
        <x:v>5</x:v>
      </x:c>
      <x:c r="AD2025" s="44" t="b">
        <x:v>1</x:v>
      </x:c>
    </x:row>
    <x:row r="2026">
      <x:c r="A2026" s="31" t="str">
        <x:v>36081079300</x:v>
      </x:c>
      <x:c r="B2026" s="31" t="str">
        <x:v>Queens</x:v>
      </x:c>
      <x:c r="C2026" s="31" t="str">
        <x:v>079300</x:v>
      </x:c>
      <x:c r="D2026" s="31" t="str">
        <x:v>QN0871</x:v>
      </x:c>
      <x:c r="E2026" s="31" t="str">
        <x:v>Mount Hebron &amp; Cedar Grove Cemeteries</x:v>
      </x:c>
      <x:c r="F2026" s="31" t="n">
        <x:v>0.33032592590607784</x:v>
      </x:c>
      <x:c r="G2026" s="31" t="n">
        <x:v>40.7364053348752</x:v>
      </x:c>
      <x:c r="H2026" s="31" t="n">
        <x:v>-73.8313591992832</x:v>
      </x:c>
      <x:c r="I2026" s="31" t="n">
        <x:v>1</x:v>
      </x:c>
      <x:c r="J2026" s="31" t="n">
        <x:v>3.02731309162918</x:v>
      </x:c>
      <x:c r="K2026" s="31"/>
      <x:c r="L2026" s="40"/>
      <x:c r="M2026" s="40"/>
      <x:c r="N2026" s="31" t="n">
        <x:v>0</x:v>
      </x:c>
      <x:c r="O2026" s="31"/>
      <x:c r="P2026" s="31"/>
      <x:c r="Q2026" s="40"/>
      <x:c r="R2026" s="40"/>
      <x:c r="S2026" s="40"/>
      <x:c r="T2026" s="31"/>
      <x:c r="U2026" s="31"/>
      <x:c r="V2026" s="31" t="n">
        <x:v>0</x:v>
      </x:c>
      <x:c r="W2026" s="31" t="n">
        <x:v>0</x:v>
      </x:c>
      <x:c r="X2026" s="31"/>
      <x:c r="Y2026" s="40"/>
      <x:c r="Z2026" s="40"/>
      <x:c r="AA2026" s="40"/>
      <x:c r="AB2026" s="31" t="n">
        <x:v>0.36112161860174785</x:v>
      </x:c>
      <x:c r="AC2026" s="31" t="n">
        <x:v>1</x:v>
      </x:c>
      <x:c r="AD2026" s="44" t="b">
        <x:v>0</x:v>
      </x:c>
    </x:row>
    <x:row r="2027">
      <x:c r="A2027" s="31" t="str">
        <x:v>36081079701</x:v>
      </x:c>
      <x:c r="B2027" s="31" t="str">
        <x:v>Queens</x:v>
      </x:c>
      <x:c r="C2027" s="31" t="str">
        <x:v>079701</x:v>
      </x:c>
      <x:c r="D2027" s="31" t="str">
        <x:v>QN0707</x:v>
      </x:c>
      <x:c r="E2027" s="31" t="str">
        <x:v>Flushing-Willets Point</x:v>
      </x:c>
      <x:c r="F2027" s="31" t="n">
        <x:v>0.04302595126944158</x:v>
      </x:c>
      <x:c r="G2027" s="31" t="n">
        <x:v>40.753343099724944</x:v>
      </x:c>
      <x:c r="H2027" s="31" t="n">
        <x:v>-73.82475603223996</x:v>
      </x:c>
      <x:c r="I2027" s="31" t="n">
        <x:v>7620</x:v>
      </x:c>
      <x:c r="J2027" s="31" t="n">
        <x:v>177102.4178473416</x:v>
      </x:c>
      <x:c r="K2027" s="31"/>
      <x:c r="L2027" s="40"/>
      <x:c r="M2027" s="40"/>
      <x:c r="N2027" s="31" t="n">
        <x:v>82</x:v>
      </x:c>
      <x:c r="O2027" s="31" t="n">
        <x:v>3033</x:v>
      </x:c>
      <x:c r="P2027" s="31" t="n">
        <x:v>15.875370919881306</x:v>
      </x:c>
      <x:c r="Q2027" s="40" t="n">
        <x:v>0.8536102868447082</x:v>
      </x:c>
      <x:c r="R2027" s="40" t="n">
        <x:v>0.11935377514012528</x:v>
      </x:c>
      <x:c r="S2027" s="40" t="n">
        <x:v>0.06297395318166832</x:v>
      </x:c>
      <x:c r="T2027" s="31" t="n">
        <x:v>147.58170731538976</x:v>
      </x:c>
      <x:c r="U2027" s="31" t="n">
        <x:v>229.25</x:v>
      </x:c>
      <x:c r="V2027" s="31" t="n">
        <x:v>42</x:v>
      </x:c>
      <x:c r="W2027" s="31" t="n">
        <x:v>5.511811023622047</x:v>
      </x:c>
      <x:c r="X2027" s="31" t="n">
        <x:v>4</x:v>
      </x:c>
      <x:c r="Y2027" s="40" t="n">
        <x:v>1</x:v>
      </x:c>
      <x:c r="Z2027" s="40" t="n">
        <x:v>1</x:v>
      </x:c>
      <x:c r="AA2027" s="40" t="n">
        <x:v>0.9347181008902077</x:v>
      </x:c>
      <x:c r="AB2027" s="31" t="n">
        <x:v>0.31489607105274536</x:v>
      </x:c>
      <x:c r="AC2027" s="31" t="n">
        <x:v>6</x:v>
      </x:c>
      <x:c r="AD2027" s="44" t="b">
        <x:v>1</x:v>
      </x:c>
    </x:row>
    <x:row r="2028">
      <x:c r="A2028" s="31" t="str">
        <x:v>36081079702</x:v>
      </x:c>
      <x:c r="B2028" s="31" t="str">
        <x:v>Queens</x:v>
      </x:c>
      <x:c r="C2028" s="31" t="str">
        <x:v>079702</x:v>
      </x:c>
      <x:c r="D2028" s="31" t="str">
        <x:v>QN0707</x:v>
      </x:c>
      <x:c r="E2028" s="31" t="str">
        <x:v>Flushing-Willets Point</x:v>
      </x:c>
      <x:c r="F2028" s="31" t="n">
        <x:v>0.11032920098750287</x:v>
      </x:c>
      <x:c r="G2028" s="31" t="n">
        <x:v>40.751360562572685</x:v>
      </x:c>
      <x:c r="H2028" s="31" t="n">
        <x:v>-73.82939295612286</x:v>
      </x:c>
      <x:c r="I2028" s="31" t="n">
        <x:v>5002</x:v>
      </x:c>
      <x:c r="J2028" s="31" t="n">
        <x:v>45337.04545333001</x:v>
      </x:c>
      <x:c r="K2028" s="31"/>
      <x:c r="L2028" s="40"/>
      <x:c r="M2028" s="40"/>
      <x:c r="N2028" s="31" t="n">
        <x:v>213</x:v>
      </x:c>
      <x:c r="O2028" s="31" t="n">
        <x:v>1834</x:v>
      </x:c>
      <x:c r="P2028" s="31" t="n">
        <x:v>5.5</x:v>
      </x:c>
      <x:c r="Q2028" s="40" t="n">
        <x:v>0.07633587786259542</x:v>
      </x:c>
      <x:c r="R2028" s="40" t="n">
        <x:v>0.7911668484187568</x:v>
      </x:c>
      <x:c r="S2028" s="40" t="n">
        <x:v>0.14231188658669575</x:v>
      </x:c>
      <x:c r="T2028" s="31" t="n">
        <x:v>59.34945753217963</x:v>
      </x:c>
      <x:c r="U2028" s="31" t="n">
        <x:v>176</x:v>
      </x:c>
      <x:c r="V2028" s="31" t="n">
        <x:v>31</x:v>
      </x:c>
      <x:c r="W2028" s="31" t="n">
        <x:v>6.197520991603359</x:v>
      </x:c>
      <x:c r="X2028" s="31" t="n">
        <x:v>4</x:v>
      </x:c>
      <x:c r="Y2028" s="40" t="n">
        <x:v>1</x:v>
      </x:c>
      <x:c r="Z2028" s="40" t="n">
        <x:v>1</x:v>
      </x:c>
      <x:c r="AA2028" s="40" t="n">
        <x:v>0.9956379498364231</x:v>
      </x:c>
      <x:c r="AB2028" s="31" t="n">
        <x:v>0.4272017942225831</x:v>
      </x:c>
      <x:c r="AC2028" s="31" t="n">
        <x:v>6</x:v>
      </x:c>
      <x:c r="AD2028" s="44" t="b">
        <x:v>1</x:v>
      </x:c>
    </x:row>
    <x:row r="2029">
      <x:c r="A2029" s="31" t="str">
        <x:v>36081079900</x:v>
      </x:c>
      <x:c r="B2029" s="31" t="str">
        <x:v>Queens</x:v>
      </x:c>
      <x:c r="C2029" s="31" t="str">
        <x:v>079900</x:v>
      </x:c>
      <x:c r="D2029" s="31" t="str">
        <x:v>QN0706</x:v>
      </x:c>
      <x:c r="E2029" s="31" t="str">
        <x:v>Queensboro Hill</x:v>
      </x:c>
      <x:c r="F2029" s="31" t="n">
        <x:v>0.11085012827314336</x:v>
      </x:c>
      <x:c r="G2029" s="31" t="n">
        <x:v>40.746988615401484</x:v>
      </x:c>
      <x:c r="H2029" s="31" t="n">
        <x:v>-73.82737571375269</x:v>
      </x:c>
      <x:c r="I2029" s="31" t="n">
        <x:v>3871</x:v>
      </x:c>
      <x:c r="J2029" s="31" t="n">
        <x:v>34921.024091749845</x:v>
      </x:c>
      <x:c r="K2029" s="31"/>
      <x:c r="L2029" s="40"/>
      <x:c r="M2029" s="40"/>
      <x:c r="N2029" s="31" t="n">
        <x:v>536</x:v>
      </x:c>
      <x:c r="O2029" s="31" t="n">
        <x:v>1164</x:v>
      </x:c>
      <x:c r="P2029" s="31" t="n">
        <x:v>2.5056065857885614</x:v>
      </x:c>
      <x:c r="Q2029" s="40" t="n">
        <x:v>0</x:v>
      </x:c>
      <x:c r="R2029" s="40" t="n">
        <x:v>0.4166666666666667</x:v>
      </x:c>
      <x:c r="S2029" s="40" t="n">
        <x:v>0.022336769759450172</x:v>
      </x:c>
      <x:c r="T2029" s="31" t="n">
        <x:v>29.35583280211438</x:v>
      </x:c>
      <x:c r="U2029" s="31" t="n">
        <x:v>48</x:v>
      </x:c>
      <x:c r="V2029" s="31" t="n">
        <x:v>4</x:v>
      </x:c>
      <x:c r="W2029" s="31" t="n">
        <x:v>1.033324722293981</x:v>
      </x:c>
      <x:c r="X2029" s="31" t="n">
        <x:v>4</x:v>
      </x:c>
      <x:c r="Y2029" s="40" t="n">
        <x:v>1</x:v>
      </x:c>
      <x:c r="Z2029" s="40" t="n">
        <x:v>1</x:v>
      </x:c>
      <x:c r="AA2029" s="40" t="n">
        <x:v>0.9914089347079038</x:v>
      </x:c>
      <x:c r="AB2029" s="31" t="n">
        <x:v>0.14833226476665198</x:v>
      </x:c>
      <x:c r="AC2029" s="31" t="n">
        <x:v>3</x:v>
      </x:c>
      <x:c r="AD2029" s="44" t="b">
        <x:v>1</x:v>
      </x:c>
    </x:row>
    <x:row r="2030">
      <x:c r="A2030" s="31" t="str">
        <x:v>36081080301</x:v>
      </x:c>
      <x:c r="B2030" s="31" t="str">
        <x:v>Queens</x:v>
      </x:c>
      <x:c r="C2030" s="31" t="str">
        <x:v>080301</x:v>
      </x:c>
      <x:c r="D2030" s="31" t="str">
        <x:v>QN0706</x:v>
      </x:c>
      <x:c r="E2030" s="31" t="str">
        <x:v>Queensboro Hill</x:v>
      </x:c>
      <x:c r="F2030" s="31" t="n">
        <x:v>0.1219689332056359</x:v>
      </x:c>
      <x:c r="G2030" s="31" t="n">
        <x:v>40.7447935621918</x:v>
      </x:c>
      <x:c r="H2030" s="31" t="n">
        <x:v>-73.83086963221507</x:v>
      </x:c>
      <x:c r="I2030" s="31" t="n">
        <x:v>4828</x:v>
      </x:c>
      <x:c r="J2030" s="31" t="n">
        <x:v>39583.850355238734</x:v>
      </x:c>
      <x:c r="K2030" s="31"/>
      <x:c r="L2030" s="40"/>
      <x:c r="M2030" s="40"/>
      <x:c r="N2030" s="31" t="n">
        <x:v>672</x:v>
      </x:c>
      <x:c r="O2030" s="31" t="n">
        <x:v>1351</x:v>
      </x:c>
      <x:c r="P2030" s="31" t="n">
        <x:v>2.3214072970960538</x:v>
      </x:c>
      <x:c r="Q2030" s="40" t="n">
        <x:v>0</x:v>
      </x:c>
      <x:c r="R2030" s="40" t="n">
        <x:v>0.2849740932642487</x:v>
      </x:c>
      <x:c r="S2030" s="40" t="n">
        <x:v>0</x:v>
      </x:c>
      <x:c r="T2030" s="31" t="n">
        <x:v>28.692216574037175</x:v>
      </x:c>
      <x:c r="U2030" s="31" t="n">
        <x:v>74</x:v>
      </x:c>
      <x:c r="V2030" s="31" t="n">
        <x:v>4</x:v>
      </x:c>
      <x:c r="W2030" s="31" t="n">
        <x:v>0.828500414250207</x:v>
      </x:c>
      <x:c r="X2030" s="31" t="n">
        <x:v>4</x:v>
      </x:c>
      <x:c r="Y2030" s="40" t="n">
        <x:v>1</x:v>
      </x:c>
      <x:c r="Z2030" s="40" t="n">
        <x:v>1</x:v>
      </x:c>
      <x:c r="AA2030" s="40" t="n">
        <x:v>0.9955588452997779</x:v>
      </x:c>
      <x:c r="AB2030" s="31" t="n">
        <x:v>0.10652451992939584</x:v>
      </x:c>
      <x:c r="AC2030" s="31" t="n">
        <x:v>3</x:v>
      </x:c>
      <x:c r="AD2030" s="44" t="b">
        <x:v>1</x:v>
      </x:c>
    </x:row>
    <x:row r="2031">
      <x:c r="A2031" s="31" t="str">
        <x:v>36081080302</x:v>
      </x:c>
      <x:c r="B2031" s="31" t="str">
        <x:v>Queens</x:v>
      </x:c>
      <x:c r="C2031" s="31" t="str">
        <x:v>080302</x:v>
      </x:c>
      <x:c r="D2031" s="31" t="str">
        <x:v>QN0706</x:v>
      </x:c>
      <x:c r="E2031" s="31" t="str">
        <x:v>Queensboro Hill</x:v>
      </x:c>
      <x:c r="F2031" s="31" t="n">
        <x:v>0.1697544887819961</x:v>
      </x:c>
      <x:c r="G2031" s="31" t="n">
        <x:v>40.740359418351424</x:v>
      </x:c>
      <x:c r="H2031" s="31" t="n">
        <x:v>-73.82624220683239</x:v>
      </x:c>
      <x:c r="I2031" s="31" t="n">
        <x:v>3973</x:v>
      </x:c>
      <x:c r="J2031" s="31" t="n">
        <x:v>23404.388470117265</x:v>
      </x:c>
      <x:c r="K2031" s="31"/>
      <x:c r="L2031" s="40"/>
      <x:c r="M2031" s="40"/>
      <x:c r="N2031" s="31" t="n">
        <x:v>847</x:v>
      </x:c>
      <x:c r="O2031" s="31" t="n">
        <x:v>1220</x:v>
      </x:c>
      <x:c r="P2031" s="31" t="n">
        <x:v>1.988262295081967</x:v>
      </x:c>
      <x:c r="Q2031" s="40" t="n">
        <x:v>0</x:v>
      </x:c>
      <x:c r="R2031" s="40" t="n">
        <x:v>0.038524590163934426</x:v>
      </x:c>
      <x:c r="S2031" s="40" t="n">
        <x:v>0.002459016393442623</x:v>
      </x:c>
      <x:c r="T2031" s="31" t="n">
        <x:v>25.9619466087459</x:v>
      </x:c>
      <x:c r="U2031" s="31" t="n">
        <x:v>38.36</x:v>
      </x:c>
      <x:c r="V2031" s="31" t="n">
        <x:v>2</x:v>
      </x:c>
      <x:c r="W2031" s="31" t="n">
        <x:v>0.5033979360684622</x:v>
      </x:c>
      <x:c r="X2031" s="31" t="n">
        <x:v>2</x:v>
      </x:c>
      <x:c r="Y2031" s="40" t="n">
        <x:v>0</x:v>
      </x:c>
      <x:c r="Z2031" s="40" t="n">
        <x:v>1</x:v>
      </x:c>
      <x:c r="AA2031" s="40" t="n">
        <x:v>1</x:v>
      </x:c>
      <x:c r="AB2031" s="31" t="n">
        <x:v>0.16562423547058222</x:v>
      </x:c>
      <x:c r="AC2031" s="31" t="n">
        <x:v>2</x:v>
      </x:c>
      <x:c r="AD2031" s="44" t="b">
        <x:v>1</x:v>
      </x:c>
    </x:row>
    <x:row r="2032">
      <x:c r="A2032" s="31" t="str">
        <x:v>36081080900</x:v>
      </x:c>
      <x:c r="B2032" s="31" t="str">
        <x:v>Queens</x:v>
      </x:c>
      <x:c r="C2032" s="31" t="str">
        <x:v>080900</x:v>
      </x:c>
      <x:c r="D2032" s="31" t="str">
        <x:v>QN0801</x:v>
      </x:c>
      <x:c r="E2032" s="31" t="str">
        <x:v>Kew Gardens Hills</x:v>
      </x:c>
      <x:c r="F2032" s="31" t="n">
        <x:v>0.3859984555247073</x:v>
      </x:c>
      <x:c r="G2032" s="31" t="n">
        <x:v>40.73387538585503</x:v>
      </x:c>
      <x:c r="H2032" s="31" t="n">
        <x:v>-73.82232736756353</x:v>
      </x:c>
      <x:c r="I2032" s="31" t="n">
        <x:v>7591</x:v>
      </x:c>
      <x:c r="J2032" s="31" t="n">
        <x:v>19665.88179655063</x:v>
      </x:c>
      <x:c r="K2032" s="31"/>
      <x:c r="L2032" s="40"/>
      <x:c r="M2032" s="40"/>
      <x:c r="N2032" s="31" t="n">
        <x:v>599</x:v>
      </x:c>
      <x:c r="O2032" s="31" t="n">
        <x:v>2817</x:v>
      </x:c>
      <x:c r="P2032" s="31" t="n">
        <x:v>2.5846396876109337</x:v>
      </x:c>
      <x:c r="Q2032" s="40" t="n">
        <x:v>0</x:v>
      </x:c>
      <x:c r="R2032" s="40" t="n">
        <x:v>0.2648207312744054</x:v>
      </x:c>
      <x:c r="S2032" s="40" t="n">
        <x:v>0.6496272630457934</x:v>
      </x:c>
      <x:c r="T2032" s="31" t="n">
        <x:v>33.97387825839133</x:v>
      </x:c>
      <x:c r="U2032" s="31" t="n">
        <x:v>70</x:v>
      </x:c>
      <x:c r="V2032" s="31" t="n">
        <x:v>7</x:v>
      </x:c>
      <x:c r="W2032" s="31" t="n">
        <x:v>0.9221446449743117</x:v>
      </x:c>
      <x:c r="X2032" s="31" t="n">
        <x:v>2</x:v>
      </x:c>
      <x:c r="Y2032" s="40" t="n">
        <x:v>0</x:v>
      </x:c>
      <x:c r="Z2032" s="40" t="n">
        <x:v>1</x:v>
      </x:c>
      <x:c r="AA2032" s="40" t="n">
        <x:v>0.9996450124245652</x:v>
      </x:c>
      <x:c r="AB2032" s="31" t="n">
        <x:v>0.09185155381265404</x:v>
      </x:c>
      <x:c r="AC2032" s="31" t="n">
        <x:v>4</x:v>
      </x:c>
      <x:c r="AD2032" s="44" t="b">
        <x:v>1</x:v>
      </x:c>
    </x:row>
    <x:row r="2033">
      <x:c r="A2033" s="31" t="str">
        <x:v>36081081400</x:v>
      </x:c>
      <x:c r="B2033" s="31" t="str">
        <x:v>Queens</x:v>
      </x:c>
      <x:c r="C2033" s="31" t="str">
        <x:v>081400</x:v>
      </x:c>
      <x:c r="D2033" s="31" t="str">
        <x:v>QN1001</x:v>
      </x:c>
      <x:c r="E2033" s="31" t="str">
        <x:v>South Ozone Park</x:v>
      </x:c>
      <x:c r="F2033" s="31" t="n">
        <x:v>0.1425198621194186</x:v>
      </x:c>
      <x:c r="G2033" s="31" t="n">
        <x:v>40.670704473427364</x:v>
      </x:c>
      <x:c r="H2033" s="31" t="n">
        <x:v>-73.80393528858872</x:v>
      </x:c>
      <x:c r="I2033" s="31" t="n">
        <x:v>4088</x:v>
      </x:c>
      <x:c r="J2033" s="31" t="n">
        <x:v>28683.721266686534</x:v>
      </x:c>
      <x:c r="K2033" s="31"/>
      <x:c r="L2033" s="40"/>
      <x:c r="M2033" s="40"/>
      <x:c r="N2033" s="31" t="n">
        <x:v>796</x:v>
      </x:c>
      <x:c r="O2033" s="31" t="n">
        <x:v>1074</x:v>
      </x:c>
      <x:c r="P2033" s="31" t="n">
        <x:v>2.1437150837988828</x:v>
      </x:c>
      <x:c r="Q2033" s="40" t="n">
        <x:v>0</x:v>
      </x:c>
      <x:c r="R2033" s="40" t="n">
        <x:v>0.004655493482309125</x:v>
      </x:c>
      <x:c r="S2033" s="40" t="n">
        <x:v>0.008379888268156424</x:v>
      </x:c>
      <x:c r="T2033" s="31" t="n">
        <x:v>26.54292394858757</x:v>
      </x:c>
      <x:c r="U2033" s="31" t="n">
        <x:v>35.4743</x:v>
      </x:c>
      <x:c r="V2033" s="31" t="n">
        <x:v>0</x:v>
      </x:c>
      <x:c r="W2033" s="31" t="n">
        <x:v>0</x:v>
      </x:c>
      <x:c r="X2033" s="31" t="n">
        <x:v>4</x:v>
      </x:c>
      <x:c r="Y2033" s="40" t="n">
        <x:v>1</x:v>
      </x:c>
      <x:c r="Z2033" s="40" t="n">
        <x:v>1</x:v>
      </x:c>
      <x:c r="AA2033" s="40" t="n">
        <x:v>0.9888268156424581</x:v>
      </x:c>
      <x:c r="AB2033" s="31" t="n">
        <x:v>0.38848177570509435</x:v>
      </x:c>
      <x:c r="AC2033" s="31" t="n">
        <x:v>7</x:v>
      </x:c>
      <x:c r="AD2033" s="44" t="b">
        <x:v>1</x:v>
      </x:c>
    </x:row>
    <x:row r="2034">
      <x:c r="A2034" s="31" t="str">
        <x:v>36081081800</x:v>
      </x:c>
      <x:c r="B2034" s="31" t="str">
        <x:v>Queens</x:v>
      </x:c>
      <x:c r="C2034" s="31" t="str">
        <x:v>081800</x:v>
      </x:c>
      <x:c r="D2034" s="31" t="str">
        <x:v>QN1001</x:v>
      </x:c>
      <x:c r="E2034" s="31" t="str">
        <x:v>South Ozone Park</x:v>
      </x:c>
      <x:c r="F2034" s="31" t="n">
        <x:v>0.1451123768882002</x:v>
      </x:c>
      <x:c r="G2034" s="31" t="n">
        <x:v>40.67050568755016</x:v>
      </x:c>
      <x:c r="H2034" s="31" t="n">
        <x:v>-73.8090748994804</x:v>
      </x:c>
      <x:c r="I2034" s="31" t="n">
        <x:v>3873</x:v>
      </x:c>
      <x:c r="J2034" s="31" t="n">
        <x:v>26689.65999353659</x:v>
      </x:c>
      <x:c r="K2034" s="31"/>
      <x:c r="L2034" s="40"/>
      <x:c r="M2034" s="40"/>
      <x:c r="N2034" s="31" t="n">
        <x:v>667</x:v>
      </x:c>
      <x:c r="O2034" s="31" t="n">
        <x:v>1082</x:v>
      </x:c>
      <x:c r="P2034" s="31" t="n">
        <x:v>1.9807763401109055</x:v>
      </x:c>
      <x:c r="Q2034" s="40" t="n">
        <x:v>0</x:v>
      </x:c>
      <x:c r="R2034" s="40" t="n">
        <x:v>0.006469500924214418</x:v>
      </x:c>
      <x:c r="S2034" s="40" t="n">
        <x:v>0.026802218114602587</x:v>
      </x:c>
      <x:c r="T2034" s="31" t="n">
        <x:v>25.57097594904275</x:v>
      </x:c>
      <x:c r="U2034" s="31" t="n">
        <x:v>35</x:v>
      </x:c>
      <x:c r="V2034" s="31" t="n">
        <x:v>0</x:v>
      </x:c>
      <x:c r="W2034" s="31" t="n">
        <x:v>0</x:v>
      </x:c>
      <x:c r="X2034" s="31" t="n">
        <x:v>4</x:v>
      </x:c>
      <x:c r="Y2034" s="40" t="n">
        <x:v>1</x:v>
      </x:c>
      <x:c r="Z2034" s="40" t="n">
        <x:v>1</x:v>
      </x:c>
      <x:c r="AA2034" s="40" t="n">
        <x:v>0.9944547134935305</x:v>
      </x:c>
      <x:c r="AB2034" s="31" t="n">
        <x:v>0.29539616216136483</x:v>
      </x:c>
      <x:c r="AC2034" s="31" t="n">
        <x:v>7</x:v>
      </x:c>
      <x:c r="AD2034" s="44" t="b">
        <x:v>1</x:v>
      </x:c>
    </x:row>
    <x:row r="2035">
      <x:c r="A2035" s="31" t="str">
        <x:v>36081083700</x:v>
      </x:c>
      <x:c r="B2035" s="31" t="str">
        <x:v>Queens</x:v>
      </x:c>
      <x:c r="C2035" s="31" t="str">
        <x:v>083700</x:v>
      </x:c>
      <x:c r="D2035" s="31" t="str">
        <x:v>QN0706</x:v>
      </x:c>
      <x:c r="E2035" s="31" t="str">
        <x:v>Queensboro Hill</x:v>
      </x:c>
      <x:c r="F2035" s="31" t="n">
        <x:v>0.30124807475572485</x:v>
      </x:c>
      <x:c r="G2035" s="31" t="n">
        <x:v>40.74475112272859</x:v>
      </x:c>
      <x:c r="H2035" s="31" t="n">
        <x:v>-73.81978036009346</x:v>
      </x:c>
      <x:c r="I2035" s="31" t="n">
        <x:v>6229</x:v>
      </x:c>
      <x:c r="J2035" s="31" t="n">
        <x:v>20677.31056887568</x:v>
      </x:c>
      <x:c r="K2035" s="31"/>
      <x:c r="L2035" s="40"/>
      <x:c r="M2035" s="40"/>
      <x:c r="N2035" s="31" t="n">
        <x:v>1261</x:v>
      </x:c>
      <x:c r="O2035" s="31" t="n">
        <x:v>1800</x:v>
      </x:c>
      <x:c r="P2035" s="31" t="n">
        <x:v>1.9025777777777777</x:v>
      </x:c>
      <x:c r="Q2035" s="40" t="n">
        <x:v>0</x:v>
      </x:c>
      <x:c r="R2035" s="40" t="n">
        <x:v>0.07</x:v>
      </x:c>
      <x:c r="S2035" s="40" t="n">
        <x:v>0.014444444444444444</x:v>
      </x:c>
      <x:c r="T2035" s="31" t="n">
        <x:v>24.718177823637376</x:v>
      </x:c>
      <x:c r="U2035" s="31" t="n">
        <x:v>36.57504474</x:v>
      </x:c>
      <x:c r="V2035" s="31" t="n">
        <x:v>1</x:v>
      </x:c>
      <x:c r="W2035" s="31" t="n">
        <x:v>0.1605394124257505</x:v>
      </x:c>
      <x:c r="X2035" s="31" t="n">
        <x:v>3.8144444444444443</x:v>
      </x:c>
      <x:c r="Y2035" s="40" t="n">
        <x:v>0.9072222222222223</x:v>
      </x:c>
      <x:c r="Z2035" s="40" t="n">
        <x:v>1</x:v>
      </x:c>
      <x:c r="AA2035" s="40" t="n">
        <x:v>0.9988888888888889</x:v>
      </x:c>
      <x:c r="AB2035" s="31" t="n">
        <x:v>0.30943647579197153</x:v>
      </x:c>
      <x:c r="AC2035" s="31" t="n">
        <x:v>9</x:v>
      </x:c>
      <x:c r="AD2035" s="44" t="b">
        <x:v>1</x:v>
      </x:c>
    </x:row>
    <x:row r="2036">
      <x:c r="A2036" s="31" t="str">
        <x:v>36081083800</x:v>
      </x:c>
      <x:c r="B2036" s="31" t="str">
        <x:v>Queens</x:v>
      </x:c>
      <x:c r="C2036" s="31" t="str">
        <x:v>083800</x:v>
      </x:c>
      <x:c r="D2036" s="31" t="str">
        <x:v>QN1001</x:v>
      </x:c>
      <x:c r="E2036" s="31" t="str">
        <x:v>South Ozone Park</x:v>
      </x:c>
      <x:c r="F2036" s="31" t="n">
        <x:v>0.19127383081848315</x:v>
      </x:c>
      <x:c r="G2036" s="31" t="n">
        <x:v>40.67029514378193</x:v>
      </x:c>
      <x:c r="H2036" s="31" t="n">
        <x:v>-73.81950983777963</x:v>
      </x:c>
      <x:c r="I2036" s="31" t="n">
        <x:v>5194</x:v>
      </x:c>
      <x:c r="J2036" s="31" t="n">
        <x:v>27154.786296558526</x:v>
      </x:c>
      <x:c r="K2036" s="31"/>
      <x:c r="L2036" s="40"/>
      <x:c r="M2036" s="40"/>
      <x:c r="N2036" s="31" t="n">
        <x:v>1027</x:v>
      </x:c>
      <x:c r="O2036" s="31" t="n">
        <x:v>1553</x:v>
      </x:c>
      <x:c r="P2036" s="31" t="n">
        <x:v>1.9522437137330753</x:v>
      </x:c>
      <x:c r="Q2036" s="40" t="n">
        <x:v>0</x:v>
      </x:c>
      <x:c r="R2036" s="40" t="n">
        <x:v>0.00643915003219575</x:v>
      </x:c>
      <x:c r="S2036" s="40" t="n">
        <x:v>0.01674179008370895</x:v>
      </x:c>
      <x:c r="T2036" s="31" t="n">
        <x:v>25.027560831510655</x:v>
      </x:c>
      <x:c r="U2036" s="31" t="n">
        <x:v>32.6975</x:v>
      </x:c>
      <x:c r="V2036" s="31" t="n">
        <x:v>2</x:v>
      </x:c>
      <x:c r="W2036" s="31" t="n">
        <x:v>0.3850596842510589</x:v>
      </x:c>
      <x:c r="X2036" s="31" t="n">
        <x:v>4</x:v>
      </x:c>
      <x:c r="Y2036" s="40" t="n">
        <x:v>1</x:v>
      </x:c>
      <x:c r="Z2036" s="40" t="n">
        <x:v>1</x:v>
      </x:c>
      <x:c r="AA2036" s="40" t="n">
        <x:v>0.9974243399871217</x:v>
      </x:c>
      <x:c r="AB2036" s="31" t="n">
        <x:v>0.36707355742423997</x:v>
      </x:c>
      <x:c r="AC2036" s="31" t="n">
        <x:v>5</x:v>
      </x:c>
      <x:c r="AD2036" s="44" t="b">
        <x:v>1</x:v>
      </x:c>
    </x:row>
    <x:row r="2037">
      <x:c r="A2037" s="31" t="str">
        <x:v>36081084000</x:v>
      </x:c>
      <x:c r="B2037" s="31" t="str">
        <x:v>Queens</x:v>
      </x:c>
      <x:c r="C2037" s="31" t="str">
        <x:v>084000</x:v>
      </x:c>
      <x:c r="D2037" s="31" t="str">
        <x:v>QN1001</x:v>
      </x:c>
      <x:c r="E2037" s="31" t="str">
        <x:v>South Ozone Park</x:v>
      </x:c>
      <x:c r="F2037" s="31" t="n">
        <x:v>0.2194950816521034</x:v>
      </x:c>
      <x:c r="G2037" s="31" t="n">
        <x:v>40.673949442374855</x:v>
      </x:c>
      <x:c r="H2037" s="31" t="n">
        <x:v>-73.8176532330238</x:v>
      </x:c>
      <x:c r="I2037" s="31" t="n">
        <x:v>6644</x:v>
      </x:c>
      <x:c r="J2037" s="31" t="n">
        <x:v>30269.47096031357</x:v>
      </x:c>
      <x:c r="K2037" s="31"/>
      <x:c r="L2037" s="40"/>
      <x:c r="M2037" s="40"/>
      <x:c r="N2037" s="31" t="n">
        <x:v>1237</x:v>
      </x:c>
      <x:c r="O2037" s="31" t="n">
        <x:v>1908</x:v>
      </x:c>
      <x:c r="P2037" s="31" t="n">
        <x:v>2.1562945492662475</x:v>
      </x:c>
      <x:c r="Q2037" s="40" t="n">
        <x:v>0</x:v>
      </x:c>
      <x:c r="R2037" s="40" t="n">
        <x:v>0</x:v>
      </x:c>
      <x:c r="S2037" s="40" t="n">
        <x:v>0.00890985324947589</x:v>
      </x:c>
      <x:c r="T2037" s="31" t="n">
        <x:v>26.604680924739338</x:v>
      </x:c>
      <x:c r="U2037" s="31" t="n">
        <x:v>35.55</x:v>
      </x:c>
      <x:c r="V2037" s="31" t="n">
        <x:v>0</x:v>
      </x:c>
      <x:c r="W2037" s="31" t="n">
        <x:v>0</x:v>
      </x:c>
      <x:c r="X2037" s="31" t="n">
        <x:v>4</x:v>
      </x:c>
      <x:c r="Y2037" s="40" t="n">
        <x:v>1</x:v>
      </x:c>
      <x:c r="Z2037" s="40" t="n">
        <x:v>1</x:v>
      </x:c>
      <x:c r="AA2037" s="40" t="n">
        <x:v>0.9952830188679245</x:v>
      </x:c>
      <x:c r="AB2037" s="31" t="n">
        <x:v>0.09745343282137961</x:v>
      </x:c>
      <x:c r="AC2037" s="31" t="n">
        <x:v>8</x:v>
      </x:c>
      <x:c r="AD2037" s="44" t="b">
        <x:v>1</x:v>
      </x:c>
    </x:row>
    <x:row r="2038">
      <x:c r="A2038" s="31" t="str">
        <x:v>36081084500</x:v>
      </x:c>
      <x:c r="B2038" s="31" t="str">
        <x:v>Queens</x:v>
      </x:c>
      <x:c r="C2038" s="31" t="str">
        <x:v>084500</x:v>
      </x:c>
      <x:c r="D2038" s="31" t="str">
        <x:v>QN0705</x:v>
      </x:c>
      <x:c r="E2038" s="31" t="str">
        <x:v>East Flushing</x:v>
      </x:c>
      <x:c r="F2038" s="31" t="n">
        <x:v>0.07296773406759355</x:v>
      </x:c>
      <x:c r="G2038" s="31" t="n">
        <x:v>40.7499648673389</x:v>
      </x:c>
      <x:c r="H2038" s="31" t="n">
        <x:v>-73.82023427008681</x:v>
      </x:c>
      <x:c r="I2038" s="31" t="n">
        <x:v>5516</x:v>
      </x:c>
      <x:c r="J2038" s="31" t="n">
        <x:v>75595.0567807171</x:v>
      </x:c>
      <x:c r="K2038" s="31"/>
      <x:c r="L2038" s="40"/>
      <x:c r="M2038" s="40"/>
      <x:c r="N2038" s="31" t="n">
        <x:v>275</x:v>
      </x:c>
      <x:c r="O2038" s="31" t="n">
        <x:v>2053</x:v>
      </x:c>
      <x:c r="P2038" s="31" t="n">
        <x:v>8.007464582315583</x:v>
      </x:c>
      <x:c r="Q2038" s="40" t="n">
        <x:v>0.26302971261568436</x:v>
      </x:c>
      <x:c r="R2038" s="40" t="n">
        <x:v>0.5377496346809547</x:v>
      </x:c>
      <x:c r="S2038" s="40" t="n">
        <x:v>0.12323429128105212</x:v>
      </x:c>
      <x:c r="T2038" s="31" t="n">
        <x:v>80.68361185903461</x:v>
      </x:c>
      <x:c r="U2038" s="31" t="n">
        <x:v>167.94</x:v>
      </x:c>
      <x:c r="V2038" s="31" t="n">
        <x:v>25</x:v>
      </x:c>
      <x:c r="W2038" s="31" t="n">
        <x:v>4.532269760696156</x:v>
      </x:c>
      <x:c r="X2038" s="31" t="n">
        <x:v>4</x:v>
      </x:c>
      <x:c r="Y2038" s="40" t="n">
        <x:v>1</x:v>
      </x:c>
      <x:c r="Z2038" s="40" t="n">
        <x:v>1</x:v>
      </x:c>
      <x:c r="AA2038" s="40" t="n">
        <x:v>0.9990258158792011</x:v>
      </x:c>
      <x:c r="AB2038" s="31" t="n">
        <x:v>0.07019207529310369</x:v>
      </x:c>
      <x:c r="AC2038" s="31" t="n">
        <x:v>5</x:v>
      </x:c>
      <x:c r="AD2038" s="44" t="b">
        <x:v>1</x:v>
      </x:c>
    </x:row>
    <x:row r="2039">
      <x:c r="A2039" s="31" t="str">
        <x:v>36081084601</x:v>
      </x:c>
      <x:c r="B2039" s="31" t="str">
        <x:v>Queens</x:v>
      </x:c>
      <x:c r="C2039" s="31" t="str">
        <x:v>084601</x:v>
      </x:c>
      <x:c r="D2039" s="31" t="str">
        <x:v>QN1001</x:v>
      </x:c>
      <x:c r="E2039" s="31" t="str">
        <x:v>South Ozone Park</x:v>
      </x:c>
      <x:c r="F2039" s="31" t="n">
        <x:v>0.1279534565886134</x:v>
      </x:c>
      <x:c r="G2039" s="31" t="n">
        <x:v>40.667340657556394</x:v>
      </x:c>
      <x:c r="H2039" s="31" t="n">
        <x:v>-73.82177946916151</x:v>
      </x:c>
      <x:c r="I2039" s="31" t="n">
        <x:v>3045</x:v>
      </x:c>
      <x:c r="J2039" s="31" t="n">
        <x:v>23797.715834985695</x:v>
      </x:c>
      <x:c r="K2039" s="31"/>
      <x:c r="L2039" s="40"/>
      <x:c r="M2039" s="40"/>
      <x:c r="N2039" s="31" t="n">
        <x:v>558</x:v>
      </x:c>
      <x:c r="O2039" s="31" t="n">
        <x:v>926</x:v>
      </x:c>
      <x:c r="P2039" s="31" t="n">
        <x:v>1.8925917926565874</x:v>
      </x:c>
      <x:c r="Q2039" s="40" t="n">
        <x:v>0</x:v>
      </x:c>
      <x:c r="R2039" s="40" t="n">
        <x:v>0</x:v>
      </x:c>
      <x:c r="S2039" s="40" t="n">
        <x:v>0.01079913606911447</x:v>
      </x:c>
      <x:c r="T2039" s="31" t="n">
        <x:v>25.776208840662324</x:v>
      </x:c>
      <x:c r="U2039" s="31" t="n">
        <x:v>38.8833</x:v>
      </x:c>
      <x:c r="V2039" s="31" t="n">
        <x:v>1</x:v>
      </x:c>
      <x:c r="W2039" s="31" t="n">
        <x:v>0.3284072249589491</x:v>
      </x:c>
      <x:c r="X2039" s="31" t="n">
        <x:v>4</x:v>
      </x:c>
      <x:c r="Y2039" s="40" t="n">
        <x:v>1</x:v>
      </x:c>
      <x:c r="Z2039" s="40" t="n">
        <x:v>1</x:v>
      </x:c>
      <x:c r="AA2039" s="40" t="n">
        <x:v>0.9946004319654428</x:v>
      </x:c>
      <x:c r="AB2039" s="31" t="n">
        <x:v>0.5630714696716504</x:v>
      </x:c>
      <x:c r="AC2039" s="31" t="n">
        <x:v>4</x:v>
      </x:c>
      <x:c r="AD2039" s="44" t="b">
        <x:v>1</x:v>
      </x:c>
    </x:row>
    <x:row r="2040">
      <x:c r="A2040" s="31" t="str">
        <x:v>36081084602</x:v>
      </x:c>
      <x:c r="B2040" s="31" t="str">
        <x:v>Queens</x:v>
      </x:c>
      <x:c r="C2040" s="31" t="str">
        <x:v>084602</x:v>
      </x:c>
      <x:c r="D2040" s="31" t="str">
        <x:v>QN1001</x:v>
      </x:c>
      <x:c r="E2040" s="31" t="str">
        <x:v>South Ozone Park</x:v>
      </x:c>
      <x:c r="F2040" s="31" t="n">
        <x:v>0.27774765914184457</x:v>
      </x:c>
      <x:c r="G2040" s="31" t="n">
        <x:v>40.66511930294437</x:v>
      </x:c>
      <x:c r="H2040" s="31" t="n">
        <x:v>-73.816611702255</x:v>
      </x:c>
      <x:c r="I2040" s="31" t="n">
        <x:v>1496</x:v>
      </x:c>
      <x:c r="J2040" s="31" t="n">
        <x:v>5386.18400825477</x:v>
      </x:c>
      <x:c r="K2040" s="31"/>
      <x:c r="L2040" s="40"/>
      <x:c r="M2040" s="40"/>
      <x:c r="N2040" s="31" t="n">
        <x:v>174</x:v>
      </x:c>
      <x:c r="O2040" s="31" t="n">
        <x:v>258</x:v>
      </x:c>
      <x:c r="P2040" s="31" t="n">
        <x:v>1.772829457364341</x:v>
      </x:c>
      <x:c r="Q2040" s="40" t="n">
        <x:v>0</x:v>
      </x:c>
      <x:c r="R2040" s="40" t="n">
        <x:v>0</x:v>
      </x:c>
      <x:c r="S2040" s="40" t="n">
        <x:v>0.015503875968992248</x:v>
      </x:c>
      <x:c r="T2040" s="31" t="n">
        <x:v>23.71444811854902</x:v>
      </x:c>
      <x:c r="U2040" s="31" t="n">
        <x:v>31.8488</x:v>
      </x:c>
      <x:c r="V2040" s="31" t="n">
        <x:v>0</x:v>
      </x:c>
      <x:c r="W2040" s="31" t="n">
        <x:v>0</x:v>
      </x:c>
      <x:c r="X2040" s="31" t="n">
        <x:v>4</x:v>
      </x:c>
      <x:c r="Y2040" s="40" t="n">
        <x:v>1</x:v>
      </x:c>
      <x:c r="Z2040" s="40" t="n">
        <x:v>1</x:v>
      </x:c>
      <x:c r="AA2040" s="40" t="n">
        <x:v>0.9883720930232558</x:v>
      </x:c>
      <x:c r="AB2040" s="31" t="n">
        <x:v>0.2769547035707305</x:v>
      </x:c>
      <x:c r="AC2040" s="31" t="n">
        <x:v>10</x:v>
      </x:c>
      <x:c r="AD2040" s="44" t="b">
        <x:v>1</x:v>
      </x:c>
    </x:row>
    <x:row r="2041">
      <x:c r="A2041" s="31" t="str">
        <x:v>36081084901</x:v>
      </x:c>
      <x:c r="B2041" s="31" t="str">
        <x:v>Queens</x:v>
      </x:c>
      <x:c r="C2041" s="31" t="str">
        <x:v>084901</x:v>
      </x:c>
      <x:c r="D2041" s="31" t="str">
        <x:v>QN0707</x:v>
      </x:c>
      <x:c r="E2041" s="31" t="str">
        <x:v>Flushing-Willets Point</x:v>
      </x:c>
      <x:c r="F2041" s="31" t="n">
        <x:v>0.07895786360623278</x:v>
      </x:c>
      <x:c r="G2041" s="31" t="n">
        <x:v>40.75392203765729</x:v>
      </x:c>
      <x:c r="H2041" s="31" t="n">
        <x:v>-73.83407178820269</x:v>
      </x:c>
      <x:c r="I2041" s="31" t="n">
        <x:v>3013</x:v>
      </x:c>
      <x:c r="J2041" s="31" t="n">
        <x:v>38159.59376796208</x:v>
      </x:c>
      <x:c r="K2041" s="31"/>
      <x:c r="L2041" s="40"/>
      <x:c r="M2041" s="40"/>
      <x:c r="N2041" s="31" t="n">
        <x:v>138</x:v>
      </x:c>
      <x:c r="O2041" s="31" t="n">
        <x:v>1348</x:v>
      </x:c>
      <x:c r="P2041" s="31" t="n">
        <x:v>5.247376311844078</x:v>
      </x:c>
      <x:c r="Q2041" s="40" t="n">
        <x:v>0</x:v>
      </x:c>
      <x:c r="R2041" s="40" t="n">
        <x:v>0.9161721068249258</x:v>
      </x:c>
      <x:c r="S2041" s="40" t="n">
        <x:v>0.13353115727002968</x:v>
      </x:c>
      <x:c r="T2041" s="31" t="n">
        <x:v>56.747606943757766</x:v>
      </x:c>
      <x:c r="U2041" s="31" t="n">
        <x:v>98</x:v>
      </x:c>
      <x:c r="V2041" s="31" t="n">
        <x:v>29</x:v>
      </x:c>
      <x:c r="W2041" s="31" t="n">
        <x:v>9.624958513109858</x:v>
      </x:c>
      <x:c r="X2041" s="31" t="n">
        <x:v>4</x:v>
      </x:c>
      <x:c r="Y2041" s="40" t="n">
        <x:v>1</x:v>
      </x:c>
      <x:c r="Z2041" s="40" t="n">
        <x:v>1</x:v>
      </x:c>
      <x:c r="AA2041" s="40" t="n">
        <x:v>0.9554896142433235</x:v>
      </x:c>
      <x:c r="AB2041" s="31" t="n">
        <x:v>0.31347520232936393</x:v>
      </x:c>
      <x:c r="AC2041" s="31" t="n">
        <x:v>5</x:v>
      </x:c>
      <x:c r="AD2041" s="44" t="b">
        <x:v>1</x:v>
      </x:c>
    </x:row>
    <x:row r="2042">
      <x:c r="A2042" s="31" t="str">
        <x:v>36081084902</x:v>
      </x:c>
      <x:c r="B2042" s="31" t="str">
        <x:v>Queens</x:v>
      </x:c>
      <x:c r="C2042" s="31" t="str">
        <x:v>084902</x:v>
      </x:c>
      <x:c r="D2042" s="31" t="str">
        <x:v>QN0707</x:v>
      </x:c>
      <x:c r="E2042" s="31" t="str">
        <x:v>Flushing-Willets Point</x:v>
      </x:c>
      <x:c r="F2042" s="31" t="n">
        <x:v>0.038437798528609964</x:v>
      </x:c>
      <x:c r="G2042" s="31" t="n">
        <x:v>40.756261829498456</x:v>
      </x:c>
      <x:c r="H2042" s="31" t="n">
        <x:v>-73.83082627655146</x:v>
      </x:c>
      <x:c r="I2042" s="31" t="n">
        <x:v>4466</x:v>
      </x:c>
      <x:c r="J2042" s="31" t="n">
        <x:v>116187.715502902</x:v>
      </x:c>
      <x:c r="K2042" s="31"/>
      <x:c r="L2042" s="40"/>
      <x:c r="M2042" s="40"/>
      <x:c r="N2042" s="31" t="n">
        <x:v>110</x:v>
      </x:c>
      <x:c r="O2042" s="31" t="n">
        <x:v>1745</x:v>
      </x:c>
      <x:c r="P2042" s="31" t="n">
        <x:v>7.54896013864818</x:v>
      </x:c>
      <x:c r="Q2042" s="40" t="n">
        <x:v>0.2532951289398281</x:v>
      </x:c>
      <x:c r="R2042" s="40" t="n">
        <x:v>0.7266475644699141</x:v>
      </x:c>
      <x:c r="S2042" s="40" t="n">
        <x:v>0.02005730659025788</x:v>
      </x:c>
      <x:c r="T2042" s="31" t="n">
        <x:v>81.24217507691571</x:v>
      </x:c>
      <x:c r="U2042" s="31" t="n">
        <x:v>210</x:v>
      </x:c>
      <x:c r="V2042" s="31" t="n">
        <x:v>63</x:v>
      </x:c>
      <x:c r="W2042" s="31" t="n">
        <x:v>14.106583072100314</x:v>
      </x:c>
      <x:c r="X2042" s="31" t="n">
        <x:v>4</x:v>
      </x:c>
      <x:c r="Y2042" s="40" t="n">
        <x:v>1</x:v>
      </x:c>
      <x:c r="Z2042" s="40" t="n">
        <x:v>1</x:v>
      </x:c>
      <x:c r="AA2042" s="40" t="n">
        <x:v>0.9587392550143267</x:v>
      </x:c>
      <x:c r="AB2042" s="31" t="n">
        <x:v>0.14689859627555799</x:v>
      </x:c>
      <x:c r="AC2042" s="31" t="n">
        <x:v>3</x:v>
      </x:c>
      <x:c r="AD2042" s="44" t="b">
        <x:v>1</x:v>
      </x:c>
    </x:row>
    <x:row r="2043">
      <x:c r="A2043" s="31" t="str">
        <x:v>36081085300</x:v>
      </x:c>
      <x:c r="B2043" s="31" t="str">
        <x:v>Queens</x:v>
      </x:c>
      <x:c r="C2043" s="31" t="str">
        <x:v>085300</x:v>
      </x:c>
      <x:c r="D2043" s="31" t="str">
        <x:v>QN0707</x:v>
      </x:c>
      <x:c r="E2043" s="31" t="str">
        <x:v>Flushing-Willets Point</x:v>
      </x:c>
      <x:c r="F2043" s="31" t="n">
        <x:v>0.07541558099352903</x:v>
      </x:c>
      <x:c r="G2043" s="31" t="n">
        <x:v>40.757151307965636</x:v>
      </x:c>
      <x:c r="H2043" s="31" t="n">
        <x:v>-73.82765178541156</x:v>
      </x:c>
      <x:c r="I2043" s="31" t="n">
        <x:v>5415</x:v>
      </x:c>
      <x:c r="J2043" s="31" t="n">
        <x:v>71802.13861197501</x:v>
      </x:c>
      <x:c r="K2043" s="31"/>
      <x:c r="L2043" s="40"/>
      <x:c r="M2043" s="40"/>
      <x:c r="N2043" s="31" t="n">
        <x:v>80</x:v>
      </x:c>
      <x:c r="O2043" s="31" t="n">
        <x:v>2472</x:v>
      </x:c>
      <x:c r="P2043" s="31" t="n">
        <x:v>8.85301779935275</x:v>
      </x:c>
      <x:c r="Q2043" s="40" t="n">
        <x:v>0.30016181229773464</x:v>
      </x:c>
      <x:c r="R2043" s="40" t="n">
        <x:v>0.6949838187702265</x:v>
      </x:c>
      <x:c r="S2043" s="40" t="n">
        <x:v>0.02669902912621359</x:v>
      </x:c>
      <x:c r="T2043" s="31" t="n">
        <x:v>94.91073627601317</x:v>
      </x:c>
      <x:c r="U2043" s="31" t="n">
        <x:v>240</x:v>
      </x:c>
      <x:c r="V2043" s="31" t="n">
        <x:v>60</x:v>
      </x:c>
      <x:c r="W2043" s="31" t="n">
        <x:v>11.0803324099723</x:v>
      </x:c>
      <x:c r="X2043" s="31" t="n">
        <x:v>4</x:v>
      </x:c>
      <x:c r="Y2043" s="40" t="n">
        <x:v>1</x:v>
      </x:c>
      <x:c r="Z2043" s="40" t="n">
        <x:v>1</x:v>
      </x:c>
      <x:c r="AA2043" s="40" t="n">
        <x:v>0.982200647249191</x:v>
      </x:c>
      <x:c r="AB2043" s="31" t="n">
        <x:v>0.07800571791733084</x:v>
      </x:c>
      <x:c r="AC2043" s="31" t="n">
        <x:v>8</x:v>
      </x:c>
      <x:c r="AD2043" s="44" t="b">
        <x:v>1</x:v>
      </x:c>
    </x:row>
    <x:row r="2044">
      <x:c r="A2044" s="31" t="str">
        <x:v>36081085500</x:v>
      </x:c>
      <x:c r="B2044" s="31" t="str">
        <x:v>Queens</x:v>
      </x:c>
      <x:c r="C2044" s="31" t="str">
        <x:v>085500</x:v>
      </x:c>
      <x:c r="D2044" s="31" t="str">
        <x:v>QN0707</x:v>
      </x:c>
      <x:c r="E2044" s="31" t="str">
        <x:v>Flushing-Willets Point</x:v>
      </x:c>
      <x:c r="F2044" s="31" t="n">
        <x:v>0.050415372563346536</x:v>
      </x:c>
      <x:c r="G2044" s="31" t="n">
        <x:v>40.759641783251965</x:v>
      </x:c>
      <x:c r="H2044" s="31" t="n">
        <x:v>-73.82363371789214</x:v>
      </x:c>
      <x:c r="I2044" s="31" t="n">
        <x:v>6889</x:v>
      </x:c>
      <x:c r="J2044" s="31" t="n">
        <x:v>136644.8297360894</x:v>
      </x:c>
      <x:c r="K2044" s="31"/>
      <x:c r="L2044" s="40"/>
      <x:c r="M2044" s="40"/>
      <x:c r="N2044" s="31" t="n">
        <x:v>43</x:v>
      </x:c>
      <x:c r="O2044" s="31" t="n">
        <x:v>2708</x:v>
      </x:c>
      <x:c r="P2044" s="31" t="n">
        <x:v>5.942023633677991</x:v>
      </x:c>
      <x:c r="Q2044" s="40" t="n">
        <x:v>0.009231905465288036</x:v>
      </x:c>
      <x:c r="R2044" s="40" t="n">
        <x:v>0.9903988183161004</x:v>
      </x:c>
      <x:c r="S2044" s="40" t="n">
        <x:v>0.013293943870014771</x:v>
      </x:c>
      <x:c r="T2044" s="31" t="n">
        <x:v>64.05857302289512</x:v>
      </x:c>
      <x:c r="U2044" s="31" t="n">
        <x:v>111.52342984</x:v>
      </x:c>
      <x:c r="V2044" s="31" t="n">
        <x:v>52</x:v>
      </x:c>
      <x:c r="W2044" s="31" t="n">
        <x:v>7.548265350558862</x:v>
      </x:c>
      <x:c r="X2044" s="31" t="n">
        <x:v>4</x:v>
      </x:c>
      <x:c r="Y2044" s="40" t="n">
        <x:v>1</x:v>
      </x:c>
      <x:c r="Z2044" s="40" t="n">
        <x:v>1</x:v>
      </x:c>
      <x:c r="AA2044" s="40" t="n">
        <x:v>1</x:v>
      </x:c>
      <x:c r="AB2044" s="31" t="n">
        <x:v>0.08405442209353788</x:v>
      </x:c>
      <x:c r="AC2044" s="31" t="n">
        <x:v>6</x:v>
      </x:c>
      <x:c r="AD2044" s="44" t="b">
        <x:v>1</x:v>
      </x:c>
    </x:row>
    <x:row r="2045">
      <x:c r="A2045" s="31" t="str">
        <x:v>36081085700</x:v>
      </x:c>
      <x:c r="B2045" s="31" t="str">
        <x:v>Queens</x:v>
      </x:c>
      <x:c r="C2045" s="31" t="str">
        <x:v>085700</x:v>
      </x:c>
      <x:c r="D2045" s="31" t="str">
        <x:v>QN0707</x:v>
      </x:c>
      <x:c r="E2045" s="31" t="str">
        <x:v>Flushing-Willets Point</x:v>
      </x:c>
      <x:c r="F2045" s="31" t="n">
        <x:v>0.05111579036601814</x:v>
      </x:c>
      <x:c r="G2045" s="31" t="n">
        <x:v>40.75706084026282</x:v>
      </x:c>
      <x:c r="H2045" s="31" t="n">
        <x:v>-73.82305584510013</x:v>
      </x:c>
      <x:c r="I2045" s="31" t="n">
        <x:v>5770</x:v>
      </x:c>
      <x:c r="J2045" s="31" t="n">
        <x:v>112880.97002283476</x:v>
      </x:c>
      <x:c r="K2045" s="31"/>
      <x:c r="L2045" s="40"/>
      <x:c r="M2045" s="40"/>
      <x:c r="N2045" s="31" t="n">
        <x:v>92</x:v>
      </x:c>
      <x:c r="O2045" s="31" t="n">
        <x:v>2192</x:v>
      </x:c>
      <x:c r="P2045" s="31" t="n">
        <x:v>6.0962869003690034</x:v>
      </x:c>
      <x:c r="Q2045" s="40" t="n">
        <x:v>0.08348540145985402</x:v>
      </x:c>
      <x:c r="R2045" s="40" t="n">
        <x:v>0.8736313868613139</x:v>
      </x:c>
      <x:c r="S2045" s="40" t="n">
        <x:v>0.048357664233576646</x:v>
      </x:c>
      <x:c r="T2045" s="31" t="n">
        <x:v>64.21779266149635</x:v>
      </x:c>
      <x:c r="U2045" s="31" t="n">
        <x:v>145</x:v>
      </x:c>
      <x:c r="V2045" s="31" t="n">
        <x:v>43</x:v>
      </x:c>
      <x:c r="W2045" s="31" t="n">
        <x:v>7.452339688041595</x:v>
      </x:c>
      <x:c r="X2045" s="31" t="n">
        <x:v>4</x:v>
      </x:c>
      <x:c r="Y2045" s="40" t="n">
        <x:v>1</x:v>
      </x:c>
      <x:c r="Z2045" s="40" t="n">
        <x:v>1</x:v>
      </x:c>
      <x:c r="AA2045" s="40" t="n">
        <x:v>1</x:v>
      </x:c>
      <x:c r="AB2045" s="31" t="n">
        <x:v>0.10937367359333369</x:v>
      </x:c>
      <x:c r="AC2045" s="31" t="n">
        <x:v>6</x:v>
      </x:c>
      <x:c r="AD2045" s="44" t="b">
        <x:v>1</x:v>
      </x:c>
    </x:row>
    <x:row r="2046">
      <x:c r="A2046" s="31" t="str">
        <x:v>36081085900</x:v>
      </x:c>
      <x:c r="B2046" s="31" t="str">
        <x:v>Queens</x:v>
      </x:c>
      <x:c r="C2046" s="31" t="str">
        <x:v>085900</x:v>
      </x:c>
      <x:c r="D2046" s="31" t="str">
        <x:v>QN0707</x:v>
      </x:c>
      <x:c r="E2046" s="31" t="str">
        <x:v>Flushing-Willets Point</x:v>
      </x:c>
      <x:c r="F2046" s="31" t="n">
        <x:v>0.05634975958053547</x:v>
      </x:c>
      <x:c r="G2046" s="31" t="n">
        <x:v>40.75498554302577</x:v>
      </x:c>
      <x:c r="H2046" s="31" t="n">
        <x:v>-73.82080025152882</x:v>
      </x:c>
      <x:c r="I2046" s="31" t="n">
        <x:v>6162</x:v>
      </x:c>
      <x:c r="J2046" s="31" t="n">
        <x:v>109352.72920185624</x:v>
      </x:c>
      <x:c r="K2046" s="31"/>
      <x:c r="L2046" s="40"/>
      <x:c r="M2046" s="40"/>
      <x:c r="N2046" s="31" t="n">
        <x:v>136</x:v>
      </x:c>
      <x:c r="O2046" s="31" t="n">
        <x:v>2293</x:v>
      </x:c>
      <x:c r="P2046" s="31" t="n">
        <x:v>5.822310405643739</x:v>
      </x:c>
      <x:c r="Q2046" s="40" t="n">
        <x:v>0.024858264282599216</x:v>
      </x:c>
      <x:c r="R2046" s="40" t="n">
        <x:v>0.8975141735717401</x:v>
      </x:c>
      <x:c r="S2046" s="40" t="n">
        <x:v>0.14304404709986918</x:v>
      </x:c>
      <x:c r="T2046" s="31" t="n">
        <x:v>62.35347670457043</x:v>
      </x:c>
      <x:c r="U2046" s="31" t="n">
        <x:v>101</x:v>
      </x:c>
      <x:c r="V2046" s="31" t="n">
        <x:v>65</x:v>
      </x:c>
      <x:c r="W2046" s="31" t="n">
        <x:v>10.548523206751055</x:v>
      </x:c>
      <x:c r="X2046" s="31" t="n">
        <x:v>4</x:v>
      </x:c>
      <x:c r="Y2046" s="40" t="n">
        <x:v>1</x:v>
      </x:c>
      <x:c r="Z2046" s="40" t="n">
        <x:v>1</x:v>
      </x:c>
      <x:c r="AA2046" s="40" t="n">
        <x:v>1</x:v>
      </x:c>
      <x:c r="AB2046" s="31" t="n">
        <x:v>0.24517353383575222</x:v>
      </x:c>
      <x:c r="AC2046" s="31" t="n">
        <x:v>5</x:v>
      </x:c>
      <x:c r="AD2046" s="44" t="b">
        <x:v>1</x:v>
      </x:c>
    </x:row>
    <x:row r="2047">
      <x:c r="A2047" s="31" t="str">
        <x:v>36081086100</x:v>
      </x:c>
      <x:c r="B2047" s="31" t="str">
        <x:v>Queens</x:v>
      </x:c>
      <x:c r="C2047" s="31" t="str">
        <x:v>086100</x:v>
      </x:c>
      <x:c r="D2047" s="31" t="str">
        <x:v>QN0705</x:v>
      </x:c>
      <x:c r="E2047" s="31" t="str">
        <x:v>East Flushing</x:v>
      </x:c>
      <x:c r="F2047" s="31" t="n">
        <x:v>0.05760546403810836</x:v>
      </x:c>
      <x:c r="G2047" s="31" t="n">
        <x:v>40.75681144494115</x:v>
      </x:c>
      <x:c r="H2047" s="31" t="n">
        <x:v>-73.81787233698466</x:v>
      </x:c>
      <x:c r="I2047" s="31" t="n">
        <x:v>2450</x:v>
      </x:c>
      <x:c r="J2047" s="31" t="n">
        <x:v>42530.68768579358</x:v>
      </x:c>
      <x:c r="K2047" s="31"/>
      <x:c r="L2047" s="40"/>
      <x:c r="M2047" s="40"/>
      <x:c r="N2047" s="31" t="n">
        <x:v>165</x:v>
      </x:c>
      <x:c r="O2047" s="31" t="n">
        <x:v>1101</x:v>
      </x:c>
      <x:c r="P2047" s="31" t="n">
        <x:v>5.016651459854015</x:v>
      </x:c>
      <x:c r="Q2047" s="40" t="n">
        <x:v>0.012715712988192553</x:v>
      </x:c>
      <x:c r="R2047" s="40" t="n">
        <x:v>0.8065395095367848</x:v>
      </x:c>
      <x:c r="S2047" s="40" t="n">
        <x:v>0.16348773841961853</x:v>
      </x:c>
      <x:c r="T2047" s="31" t="n">
        <x:v>53.48173320618095</x:v>
      </x:c>
      <x:c r="U2047" s="31" t="n">
        <x:v>147</x:v>
      </x:c>
      <x:c r="V2047" s="31" t="n">
        <x:v>20</x:v>
      </x:c>
      <x:c r="W2047" s="31" t="n">
        <x:v>8.16326530612245</x:v>
      </x:c>
      <x:c r="X2047" s="31" t="n">
        <x:v>4</x:v>
      </x:c>
      <x:c r="Y2047" s="40" t="n">
        <x:v>1</x:v>
      </x:c>
      <x:c r="Z2047" s="40" t="n">
        <x:v>1</x:v>
      </x:c>
      <x:c r="AA2047" s="40" t="n">
        <x:v>0.9536784741144414</x:v>
      </x:c>
      <x:c r="AB2047" s="31" t="n">
        <x:v>0.22692466930377436</x:v>
      </x:c>
      <x:c r="AC2047" s="31" t="n">
        <x:v>9</x:v>
      </x:c>
      <x:c r="AD2047" s="44" t="b">
        <x:v>1</x:v>
      </x:c>
    </x:row>
    <x:row r="2048">
      <x:c r="A2048" s="31" t="str">
        <x:v>36081086300</x:v>
      </x:c>
      <x:c r="B2048" s="31" t="str">
        <x:v>Queens</x:v>
      </x:c>
      <x:c r="C2048" s="31" t="str">
        <x:v>086300</x:v>
      </x:c>
      <x:c r="D2048" s="31" t="str">
        <x:v>QN0704</x:v>
      </x:c>
      <x:c r="E2048" s="31" t="str">
        <x:v>Murray Hill-Broadway Flushing</x:v>
      </x:c>
      <x:c r="F2048" s="31" t="n">
        <x:v>0.055637491967616505</x:v>
      </x:c>
      <x:c r="G2048" s="31" t="n">
        <x:v>40.76126957246989</x:v>
      </x:c>
      <x:c r="H2048" s="31" t="n">
        <x:v>-73.81994158325358</x:v>
      </x:c>
      <x:c r="I2048" s="31" t="n">
        <x:v>7118</x:v>
      </x:c>
      <x:c r="J2048" s="31" t="n">
        <x:v>127935.31390924293</x:v>
      </x:c>
      <x:c r="K2048" s="31"/>
      <x:c r="L2048" s="40"/>
      <x:c r="M2048" s="40"/>
      <x:c r="N2048" s="31" t="n">
        <x:v>105</x:v>
      </x:c>
      <x:c r="O2048" s="31" t="n">
        <x:v>2874</x:v>
      </x:c>
      <x:c r="P2048" s="31" t="n">
        <x:v>5.8458955223880595</x:v>
      </x:c>
      <x:c r="Q2048" s="40" t="n">
        <x:v>0.027835768963117607</x:v>
      </x:c>
      <x:c r="R2048" s="40" t="n">
        <x:v>0.9046624913013221</x:v>
      </x:c>
      <x:c r="S2048" s="40" t="n">
        <x:v>0.1127348643006263</x:v>
      </x:c>
      <x:c r="T2048" s="31" t="n">
        <x:v>63.20110811792319</x:v>
      </x:c>
      <x:c r="U2048" s="31" t="n">
        <x:v>100</x:v>
      </x:c>
      <x:c r="V2048" s="31" t="n">
        <x:v>52</x:v>
      </x:c>
      <x:c r="W2048" s="31" t="n">
        <x:v>7.3054228715931435</x:v>
      </x:c>
      <x:c r="X2048" s="31" t="n">
        <x:v>4</x:v>
      </x:c>
      <x:c r="Y2048" s="40" t="n">
        <x:v>1</x:v>
      </x:c>
      <x:c r="Z2048" s="40" t="n">
        <x:v>1</x:v>
      </x:c>
      <x:c r="AA2048" s="40" t="n">
        <x:v>0.9784272790535838</x:v>
      </x:c>
      <x:c r="AB2048" s="31" t="n">
        <x:v>0.11956672049572065</x:v>
      </x:c>
      <x:c r="AC2048" s="31" t="n">
        <x:v>7</x:v>
      </x:c>
      <x:c r="AD2048" s="44" t="b">
        <x:v>1</x:v>
      </x:c>
    </x:row>
    <x:row r="2049">
      <x:c r="A2049" s="31" t="str">
        <x:v>36081086400</x:v>
      </x:c>
      <x:c r="B2049" s="31" t="str">
        <x:v>Queens</x:v>
      </x:c>
      <x:c r="C2049" s="31" t="str">
        <x:v>086400</x:v>
      </x:c>
      <x:c r="D2049" s="31" t="str">
        <x:v>QN1001</x:v>
      </x:c>
      <x:c r="E2049" s="31" t="str">
        <x:v>South Ozone Park</x:v>
      </x:c>
      <x:c r="F2049" s="31" t="n">
        <x:v>0.4336859645926595</x:v>
      </x:c>
      <x:c r="G2049" s="31" t="n">
        <x:v>40.67334479171033</x:v>
      </x:c>
      <x:c r="H2049" s="31" t="n">
        <x:v>-73.8315944884138</x:v>
      </x:c>
      <x:c r="I2049" s="31" t="n">
        <x:v>2867</x:v>
      </x:c>
      <x:c r="J2049" s="31" t="n">
        <x:v>6610.774233131653</x:v>
      </x:c>
      <x:c r="K2049" s="31"/>
      <x:c r="L2049" s="40"/>
      <x:c r="M2049" s="40"/>
      <x:c r="N2049" s="31" t="n">
        <x:v>478</x:v>
      </x:c>
      <x:c r="O2049" s="31" t="n">
        <x:v>742</x:v>
      </x:c>
      <x:c r="P2049" s="31" t="n">
        <x:v>2.0461590296495955</x:v>
      </x:c>
      <x:c r="Q2049" s="40" t="n">
        <x:v>0</x:v>
      </x:c>
      <x:c r="R2049" s="40" t="n">
        <x:v>0.012129380053908356</x:v>
      </x:c>
      <x:c r="S2049" s="40" t="n">
        <x:v>0.008086253369272238</x:v>
      </x:c>
      <x:c r="T2049" s="31" t="n">
        <x:v>24.654192008301887</x:v>
      </x:c>
      <x:c r="U2049" s="31" t="n">
        <x:v>33.79</x:v>
      </x:c>
      <x:c r="V2049" s="31" t="n">
        <x:v>1</x:v>
      </x:c>
      <x:c r="W2049" s="31" t="n">
        <x:v>0.3487966515521451</x:v>
      </x:c>
      <x:c r="X2049" s="31" t="n">
        <x:v>3.0943396226415096</x:v>
      </x:c>
      <x:c r="Y2049" s="40" t="n">
        <x:v>0.09433962264150944</x:v>
      </x:c>
      <x:c r="Z2049" s="40" t="n">
        <x:v>1</x:v>
      </x:c>
      <x:c r="AA2049" s="40" t="n">
        <x:v>1</x:v>
      </x:c>
      <x:c r="AB2049" s="31" t="n">
        <x:v>0.406120757875957</x:v>
      </x:c>
      <x:c r="AC2049" s="31" t="n">
        <x:v>12</x:v>
      </x:c>
      <x:c r="AD2049" s="44" t="b">
        <x:v>1</x:v>
      </x:c>
    </x:row>
    <x:row r="2050">
      <x:c r="A2050" s="31" t="str">
        <x:v>36081086500</x:v>
      </x:c>
      <x:c r="B2050" s="31" t="str">
        <x:v>Queens</x:v>
      </x:c>
      <x:c r="C2050" s="31" t="str">
        <x:v>086500</x:v>
      </x:c>
      <x:c r="D2050" s="31" t="str">
        <x:v>QN0707</x:v>
      </x:c>
      <x:c r="E2050" s="31" t="str">
        <x:v>Flushing-Willets Point</x:v>
      </x:c>
      <x:c r="F2050" s="31" t="n">
        <x:v>0.061078100218089994</x:v>
      </x:c>
      <x:c r="G2050" s="31" t="n">
        <x:v>40.76268681684541</x:v>
      </x:c>
      <x:c r="H2050" s="31" t="n">
        <x:v>-73.82517262139673</x:v>
      </x:c>
      <x:c r="I2050" s="31" t="n">
        <x:v>5224</x:v>
      </x:c>
      <x:c r="J2050" s="31" t="n">
        <x:v>85529.83772165143</x:v>
      </x:c>
      <x:c r="K2050" s="31"/>
      <x:c r="L2050" s="40"/>
      <x:c r="M2050" s="40"/>
      <x:c r="N2050" s="31" t="n">
        <x:v>84</x:v>
      </x:c>
      <x:c r="O2050" s="31" t="n">
        <x:v>3454</x:v>
      </x:c>
      <x:c r="P2050" s="31" t="n">
        <x:v>7.5611702127659575</x:v>
      </x:c>
      <x:c r="Q2050" s="40" t="n">
        <x:v>0.21221771858714533</x:v>
      </x:c>
      <x:c r="R2050" s="40" t="n">
        <x:v>0.5211349160393747</x:v>
      </x:c>
      <x:c r="S2050" s="40" t="n">
        <x:v>0.004632310364794441</x:v>
      </x:c>
      <x:c r="T2050" s="31" t="n">
        <x:v>83.42585995995404</x:v>
      </x:c>
      <x:c r="U2050" s="31" t="n">
        <x:v>162</x:v>
      </x:c>
      <x:c r="V2050" s="31" t="n">
        <x:v>66</x:v>
      </x:c>
      <x:c r="W2050" s="31" t="n">
        <x:v>12.633996937212864</x:v>
      </x:c>
      <x:c r="X2050" s="31" t="n">
        <x:v>4</x:v>
      </x:c>
      <x:c r="Y2050" s="40" t="n">
        <x:v>1</x:v>
      </x:c>
      <x:c r="Z2050" s="40" t="n">
        <x:v>1</x:v>
      </x:c>
      <x:c r="AA2050" s="40" t="n">
        <x:v>0.6928199189345686</x:v>
      </x:c>
      <x:c r="AB2050" s="31" t="n">
        <x:v>0.17910986046899272</x:v>
      </x:c>
      <x:c r="AC2050" s="31" t="n">
        <x:v>7</x:v>
      </x:c>
      <x:c r="AD2050" s="44" t="b">
        <x:v>1</x:v>
      </x:c>
    </x:row>
    <x:row r="2051">
      <x:c r="A2051" s="31" t="str">
        <x:v>36081086900</x:v>
      </x:c>
      <x:c r="B2051" s="31" t="str">
        <x:v>Queens</x:v>
      </x:c>
      <x:c r="C2051" s="31" t="str">
        <x:v>086900</x:v>
      </x:c>
      <x:c r="D2051" s="31" t="str">
        <x:v>QN0707</x:v>
      </x:c>
      <x:c r="E2051" s="31" t="str">
        <x:v>Flushing-Willets Point</x:v>
      </x:c>
      <x:c r="F2051" s="31" t="n">
        <x:v>0.2375720406314566</x:v>
      </x:c>
      <x:c r="G2051" s="31" t="n">
        <x:v>40.76532738043182</x:v>
      </x:c>
      <x:c r="H2051" s="31" t="n">
        <x:v>-73.83380913713383</x:v>
      </x:c>
      <x:c r="I2051" s="31" t="n">
        <x:v>2343</x:v>
      </x:c>
      <x:c r="J2051" s="31" t="n">
        <x:v>9862.27164514984</x:v>
      </x:c>
      <x:c r="K2051" s="31"/>
      <x:c r="L2051" s="40"/>
      <x:c r="M2051" s="40"/>
      <x:c r="N2051" s="31" t="n">
        <x:v>121</x:v>
      </x:c>
      <x:c r="O2051" s="31" t="n">
        <x:v>1506</x:v>
      </x:c>
      <x:c r="P2051" s="31" t="n">
        <x:v>9.280710491367861</x:v>
      </x:c>
      <x:c r="Q2051" s="40" t="n">
        <x:v>0.4249667994687915</x:v>
      </x:c>
      <x:c r="R2051" s="40" t="n">
        <x:v>0.5092961487383798</x:v>
      </x:c>
      <x:c r="S2051" s="40" t="n">
        <x:v>0</x:v>
      </x:c>
      <x:c r="T2051" s="31" t="n">
        <x:v>85.17475448150195</x:v>
      </x:c>
      <x:c r="U2051" s="31" t="n">
        <x:v>160</x:v>
      </x:c>
      <x:c r="V2051" s="31" t="n">
        <x:v>52</x:v>
      </x:c>
      <x:c r="W2051" s="31" t="n">
        <x:v>22.193768672641912</x:v>
      </x:c>
      <x:c r="X2051" s="31" t="n">
        <x:v>4</x:v>
      </x:c>
      <x:c r="Y2051" s="40" t="n">
        <x:v>1</x:v>
      </x:c>
      <x:c r="Z2051" s="40" t="n">
        <x:v>1</x:v>
      </x:c>
      <x:c r="AA2051" s="40" t="n">
        <x:v>0.853253652058433</x:v>
      </x:c>
      <x:c r="AB2051" s="31" t="n">
        <x:v>0.18470498320376544</x:v>
      </x:c>
      <x:c r="AC2051" s="31" t="n">
        <x:v>6</x:v>
      </x:c>
      <x:c r="AD2051" s="44" t="b">
        <x:v>1</x:v>
      </x:c>
    </x:row>
    <x:row r="2052">
      <x:c r="A2052" s="31" t="str">
        <x:v>36081087100</x:v>
      </x:c>
      <x:c r="B2052" s="31" t="str">
        <x:v>Queens</x:v>
      </x:c>
      <x:c r="C2052" s="31" t="str">
        <x:v>087100</x:v>
      </x:c>
      <x:c r="D2052" s="31" t="str">
        <x:v>QN0707</x:v>
      </x:c>
      <x:c r="E2052" s="31" t="str">
        <x:v>Flushing-Willets Point</x:v>
      </x:c>
      <x:c r="F2052" s="31" t="n">
        <x:v>0.170661934255194</x:v>
      </x:c>
      <x:c r="G2052" s="31" t="n">
        <x:v>40.75899763255647</x:v>
      </x:c>
      <x:c r="H2052" s="31" t="n">
        <x:v>-73.83362787240354</x:v>
      </x:c>
      <x:c r="I2052" s="31" t="n">
        <x:v>6373</x:v>
      </x:c>
      <x:c r="J2052" s="31" t="n">
        <x:v>37342.83235340772</x:v>
      </x:c>
      <x:c r="K2052" s="31"/>
      <x:c r="L2052" s="40"/>
      <x:c r="M2052" s="40"/>
      <x:c r="N2052" s="31" t="n">
        <x:v>83</x:v>
      </x:c>
      <x:c r="O2052" s="31" t="n">
        <x:v>2977</x:v>
      </x:c>
      <x:c r="P2052" s="31" t="n">
        <x:v>13.216628086419753</x:v>
      </x:c>
      <x:c r="Q2052" s="40" t="n">
        <x:v>0.7641921397379913</x:v>
      </x:c>
      <x:c r="R2052" s="40" t="n">
        <x:v>0.0997648639570037</x:v>
      </x:c>
      <x:c r="S2052" s="40" t="n">
        <x:v>0.13436345314074571</x:v>
      </x:c>
      <x:c r="T2052" s="31" t="n">
        <x:v>144.00065464963316</x:v>
      </x:c>
      <x:c r="U2052" s="31" t="n">
        <x:v>227</x:v>
      </x:c>
      <x:c r="V2052" s="31" t="n">
        <x:v>113</x:v>
      </x:c>
      <x:c r="W2052" s="31" t="n">
        <x:v>17.731052879334694</x:v>
      </x:c>
      <x:c r="X2052" s="31" t="n">
        <x:v>4</x:v>
      </x:c>
      <x:c r="Y2052" s="40" t="n">
        <x:v>1</x:v>
      </x:c>
      <x:c r="Z2052" s="40" t="n">
        <x:v>1</x:v>
      </x:c>
      <x:c r="AA2052" s="40" t="n">
        <x:v>0.7050722203560632</x:v>
      </x:c>
      <x:c r="AB2052" s="31" t="n">
        <x:v>0.06899220084059876</x:v>
      </x:c>
      <x:c r="AC2052" s="31" t="n">
        <x:v>8</x:v>
      </x:c>
      <x:c r="AD2052" s="44" t="b">
        <x:v>1</x:v>
      </x:c>
    </x:row>
    <x:row r="2053">
      <x:c r="A2053" s="31" t="str">
        <x:v>36081088400</x:v>
      </x:c>
      <x:c r="B2053" s="31" t="str">
        <x:v>Queens</x:v>
      </x:c>
      <x:c r="C2053" s="31" t="str">
        <x:v>088400</x:v>
      </x:c>
      <x:c r="D2053" s="31" t="str">
        <x:v>QN1003</x:v>
      </x:c>
      <x:c r="E2053" s="31" t="str">
        <x:v>Howard Beach-Lindenwood</x:v>
      </x:c>
      <x:c r="F2053" s="31" t="n">
        <x:v>0.5980402965378214</x:v>
      </x:c>
      <x:c r="G2053" s="31" t="n">
        <x:v>40.65824360835038</x:v>
      </x:c>
      <x:c r="H2053" s="31" t="n">
        <x:v>-73.83432591279563</x:v>
      </x:c>
      <x:c r="I2053" s="31" t="n">
        <x:v>7578</x:v>
      </x:c>
      <x:c r="J2053" s="31" t="n">
        <x:v>12671.386934744372</x:v>
      </x:c>
      <x:c r="K2053" s="31"/>
      <x:c r="L2053" s="40"/>
      <x:c r="M2053" s="40"/>
      <x:c r="N2053" s="31" t="n">
        <x:v>2013</x:v>
      </x:c>
      <x:c r="O2053" s="31" t="n">
        <x:v>2893</x:v>
      </x:c>
      <x:c r="P2053" s="31" t="n">
        <x:v>1.8745178015900448</x:v>
      </x:c>
      <x:c r="Q2053" s="40" t="n">
        <x:v>0</x:v>
      </x:c>
      <x:c r="R2053" s="40" t="n">
        <x:v>0.020394054614586935</x:v>
      </x:c>
      <x:c r="S2053" s="40" t="n">
        <x:v>0.01244382993432423</x:v>
      </x:c>
      <x:c r="T2053" s="31" t="n">
        <x:v>26.185239382702893</x:v>
      </x:c>
      <x:c r="U2053" s="31" t="n">
        <x:v>48.9638</x:v>
      </x:c>
      <x:c r="V2053" s="31" t="n">
        <x:v>11</x:v>
      </x:c>
      <x:c r="W2053" s="31" t="n">
        <x:v>1.4515703351807865</x:v>
      </x:c>
      <x:c r="X2053" s="31" t="n">
        <x:v>2</x:v>
      </x:c>
      <x:c r="Y2053" s="40" t="n">
        <x:v>0</x:v>
      </x:c>
      <x:c r="Z2053" s="40" t="n">
        <x:v>1</x:v>
      </x:c>
      <x:c r="AA2053" s="40" t="n">
        <x:v>0.9923954372623575</x:v>
      </x:c>
      <x:c r="AB2053" s="31" t="n">
        <x:v>0.15952819702350615</x:v>
      </x:c>
      <x:c r="AC2053" s="31" t="n">
        <x:v>7</x:v>
      </x:c>
      <x:c r="AD2053" s="44" t="b">
        <x:v>1</x:v>
      </x:c>
    </x:row>
    <x:row r="2054">
      <x:c r="A2054" s="31" t="str">
        <x:v>36081088902</x:v>
      </x:c>
      <x:c r="B2054" s="31" t="str">
        <x:v>Queens</x:v>
      </x:c>
      <x:c r="C2054" s="31" t="str">
        <x:v>088902</x:v>
      </x:c>
      <x:c r="D2054" s="31" t="str">
        <x:v>QN0707</x:v>
      </x:c>
      <x:c r="E2054" s="31" t="str">
        <x:v>Flushing-Willets Point</x:v>
      </x:c>
      <x:c r="F2054" s="31" t="n">
        <x:v>0.11138187542541897</x:v>
      </x:c>
      <x:c r="G2054" s="31" t="n">
        <x:v>40.76855361676806</x:v>
      </x:c>
      <x:c r="H2054" s="31" t="n">
        <x:v>-73.82981141666986</x:v>
      </x:c>
      <x:c r="I2054" s="31" t="n">
        <x:v>7015</x:v>
      </x:c>
      <x:c r="J2054" s="31" t="n">
        <x:v>62981.52166325505</x:v>
      </x:c>
      <x:c r="K2054" s="31"/>
      <x:c r="L2054" s="40"/>
      <x:c r="M2054" s="40"/>
      <x:c r="N2054" s="31" t="n">
        <x:v>228</x:v>
      </x:c>
      <x:c r="O2054" s="31" t="n">
        <x:v>2951</x:v>
      </x:c>
      <x:c r="P2054" s="31" t="n">
        <x:v>5.9511226252158895</x:v>
      </x:c>
      <x:c r="Q2054" s="40" t="n">
        <x:v>0.16435106743476788</x:v>
      </x:c>
      <x:c r="R2054" s="40" t="n">
        <x:v>0.7824466282616063</x:v>
      </x:c>
      <x:c r="S2054" s="40" t="n">
        <x:v>0.4195188071840054</x:v>
      </x:c>
      <x:c r="T2054" s="31" t="n">
        <x:v>63.95039661755045</x:v>
      </x:c>
      <x:c r="U2054" s="31" t="n">
        <x:v>115.85223589</x:v>
      </x:c>
      <x:c r="V2054" s="31" t="n">
        <x:v>63</x:v>
      </x:c>
      <x:c r="W2054" s="31" t="n">
        <x:v>8.980755523877406</x:v>
      </x:c>
      <x:c r="X2054" s="31" t="n">
        <x:v>4</x:v>
      </x:c>
      <x:c r="Y2054" s="40" t="n">
        <x:v>1</x:v>
      </x:c>
      <x:c r="Z2054" s="40" t="n">
        <x:v>1</x:v>
      </x:c>
      <x:c r="AA2054" s="40" t="n">
        <x:v>0.9739071501186038</x:v>
      </x:c>
      <x:c r="AB2054" s="31" t="n">
        <x:v>0.1409943884048372</x:v>
      </x:c>
      <x:c r="AC2054" s="31" t="n">
        <x:v>5</x:v>
      </x:c>
      <x:c r="AD2054" s="44" t="b">
        <x:v>1</x:v>
      </x:c>
    </x:row>
    <x:row r="2055">
      <x:c r="A2055" s="31" t="str">
        <x:v>36081088903</x:v>
      </x:c>
      <x:c r="B2055" s="31" t="str">
        <x:v>Queens</x:v>
      </x:c>
      <x:c r="C2055" s="31" t="str">
        <x:v>088903</x:v>
      </x:c>
      <x:c r="D2055" s="31" t="str">
        <x:v>QN0704</x:v>
      </x:c>
      <x:c r="E2055" s="31" t="str">
        <x:v>Murray Hill-Broadway Flushing</x:v>
      </x:c>
      <x:c r="F2055" s="31" t="n">
        <x:v>0.1422040400170024</x:v>
      </x:c>
      <x:c r="G2055" s="31" t="n">
        <x:v>40.775747320463594</x:v>
      </x:c>
      <x:c r="H2055" s="31" t="n">
        <x:v>-73.826967763896</x:v>
      </x:c>
      <x:c r="I2055" s="31" t="n">
        <x:v>4487</x:v>
      </x:c>
      <x:c r="J2055" s="31" t="n">
        <x:v>31553.252632369087</x:v>
      </x:c>
      <x:c r="K2055" s="31"/>
      <x:c r="L2055" s="40"/>
      <x:c r="M2055" s="40"/>
      <x:c r="N2055" s="31" t="n">
        <x:v>262</x:v>
      </x:c>
      <x:c r="O2055" s="31" t="n">
        <x:v>1741</x:v>
      </x:c>
      <x:c r="P2055" s="31" t="n">
        <x:v>5.125887421022401</x:v>
      </x:c>
      <x:c r="Q2055" s="40" t="n">
        <x:v>0</x:v>
      </x:c>
      <x:c r="R2055" s="40" t="n">
        <x:v>0.8207926479035037</x:v>
      </x:c>
      <x:c r="S2055" s="40" t="n">
        <x:v>0.768523836875359</x:v>
      </x:c>
      <x:c r="T2055" s="31" t="n">
        <x:v>67.20628686284894</x:v>
      </x:c>
      <x:c r="U2055" s="31" t="n">
        <x:v>85.35</x:v>
      </x:c>
      <x:c r="V2055" s="31" t="n">
        <x:v>31</x:v>
      </x:c>
      <x:c r="W2055" s="31" t="n">
        <x:v>6.908847782482728</x:v>
      </x:c>
      <x:c r="X2055" s="31" t="n">
        <x:v>3.5646180356117174</x:v>
      </x:c>
      <x:c r="Y2055" s="40" t="n">
        <x:v>0.7823090178058587</x:v>
      </x:c>
      <x:c r="Z2055" s="40" t="n">
        <x:v>1</x:v>
      </x:c>
      <x:c r="AA2055" s="40" t="n">
        <x:v>1</x:v>
      </x:c>
      <x:c r="AB2055" s="31" t="n">
        <x:v>0.3907662011066418</x:v>
      </x:c>
      <x:c r="AC2055" s="31" t="n">
        <x:v>5</x:v>
      </x:c>
      <x:c r="AD2055" s="44" t="b">
        <x:v>1</x:v>
      </x:c>
    </x:row>
    <x:row r="2056">
      <x:c r="A2056" s="31" t="str">
        <x:v>36081089201</x:v>
      </x:c>
      <x:c r="B2056" s="31" t="str">
        <x:v>Queens</x:v>
      </x:c>
      <x:c r="C2056" s="31" t="str">
        <x:v>089201</x:v>
      </x:c>
      <x:c r="D2056" s="31" t="str">
        <x:v>QN1003</x:v>
      </x:c>
      <x:c r="E2056" s="31" t="str">
        <x:v>Howard Beach-Lindenwood</x:v>
      </x:c>
      <x:c r="F2056" s="31" t="n">
        <x:v>0.6871848988966368</x:v>
      </x:c>
      <x:c r="G2056" s="31" t="n">
        <x:v>40.6564258003992</x:v>
      </x:c>
      <x:c r="H2056" s="31" t="n">
        <x:v>-73.8449481137265</x:v>
      </x:c>
      <x:c r="I2056" s="31" t="n">
        <x:v>7404</x:v>
      </x:c>
      <x:c r="J2056" s="31" t="n">
        <x:v>10774.392760795628</x:v>
      </x:c>
      <x:c r="K2056" s="31"/>
      <x:c r="L2056" s="40"/>
      <x:c r="M2056" s="40"/>
      <x:c r="N2056" s="31" t="n">
        <x:v>2419</x:v>
      </x:c>
      <x:c r="O2056" s="31" t="n">
        <x:v>2540</x:v>
      </x:c>
      <x:c r="P2056" s="31" t="n">
        <x:v>1.5553743104806934</x:v>
      </x:c>
      <x:c r="Q2056" s="40" t="n">
        <x:v>0</x:v>
      </x:c>
      <x:c r="R2056" s="40" t="n">
        <x:v>0.008661417322834646</x:v>
      </x:c>
      <x:c r="S2056" s="40" t="n">
        <x:v>0</x:v>
      </x:c>
      <x:c r="T2056" s="31" t="n">
        <x:v>23.592231510902288</x:v>
      </x:c>
      <x:c r="U2056" s="31" t="n">
        <x:v>41</x:v>
      </x:c>
      <x:c r="V2056" s="31" t="n">
        <x:v>10</x:v>
      </x:c>
      <x:c r="W2056" s="31" t="n">
        <x:v>1.3506212857914641</x:v>
      </x:c>
      <x:c r="X2056" s="31" t="n">
        <x:v>2</x:v>
      </x:c>
      <x:c r="Y2056" s="40" t="n">
        <x:v>0</x:v>
      </x:c>
      <x:c r="Z2056" s="40" t="n">
        <x:v>1</x:v>
      </x:c>
      <x:c r="AA2056" s="40" t="n">
        <x:v>0.9992125984251968</x:v>
      </x:c>
      <x:c r="AB2056" s="31" t="n">
        <x:v>0.1159743957732673</x:v>
      </x:c>
      <x:c r="AC2056" s="31" t="n">
        <x:v>4</x:v>
      </x:c>
      <x:c r="AD2056" s="44" t="b">
        <x:v>1</x:v>
      </x:c>
    </x:row>
    <x:row r="2057">
      <x:c r="A2057" s="31" t="str">
        <x:v>36081089202</x:v>
      </x:c>
      <x:c r="B2057" s="31" t="str">
        <x:v>Queens</x:v>
      </x:c>
      <x:c r="C2057" s="31" t="str">
        <x:v>089202</x:v>
      </x:c>
      <x:c r="D2057" s="31" t="str">
        <x:v>QN1091</x:v>
      </x:c>
      <x:c r="E2057" s="31" t="str">
        <x:v>Spring Creek Park</x:v>
      </x:c>
      <x:c r="F2057" s="31" t="n">
        <x:v>0.42499392290088384</x:v>
      </x:c>
      <x:c r="G2057" s="31" t="n">
        <x:v>40.64982424058152</x:v>
      </x:c>
      <x:c r="H2057" s="31" t="n">
        <x:v>-73.8486948458117</x:v>
      </x:c>
      <x:c r="I2057" s="31" t="n">
        <x:v>0</x:v>
      </x:c>
      <x:c r="J2057" s="31" t="n">
        <x:v>0</x:v>
      </x:c>
      <x:c r="K2057" s="31"/>
      <x:c r="L2057" s="40"/>
      <x:c r="M2057" s="40"/>
      <x:c r="N2057" s="31" t="n">
        <x:v>0</x:v>
      </x:c>
      <x:c r="O2057" s="31"/>
      <x:c r="P2057" s="31"/>
      <x:c r="Q2057" s="40"/>
      <x:c r="R2057" s="40"/>
      <x:c r="S2057" s="40"/>
      <x:c r="T2057" s="31"/>
      <x:c r="U2057" s="31"/>
      <x:c r="V2057" s="31" t="n">
        <x:v>0</x:v>
      </x:c>
      <x:c r="W2057" s="31"/>
      <x:c r="X2057" s="31"/>
      <x:c r="Y2057" s="40"/>
      <x:c r="Z2057" s="40"/>
      <x:c r="AA2057" s="40"/>
      <x:c r="AB2057" s="31" t="n">
        <x:v>0.6121880825206076</x:v>
      </x:c>
      <x:c r="AC2057" s="31" t="n">
        <x:v>4</x:v>
      </x:c>
      <x:c r="AD2057" s="44" t="b">
        <x:v>0</x:v>
      </x:c>
    </x:row>
    <x:row r="2058">
      <x:c r="A2058" s="31" t="str">
        <x:v>36081090700</x:v>
      </x:c>
      <x:c r="B2058" s="31" t="str">
        <x:v>Queens</x:v>
      </x:c>
      <x:c r="C2058" s="31" t="str">
        <x:v>090700</x:v>
      </x:c>
      <x:c r="D2058" s="31" t="str">
        <x:v>QN0701</x:v>
      </x:c>
      <x:c r="E2058" s="31" t="str">
        <x:v>College Point</x:v>
      </x:c>
      <x:c r="F2058" s="31" t="n">
        <x:v>0.7787094000014347</x:v>
      </x:c>
      <x:c r="G2058" s="31" t="n">
        <x:v>40.77425186314468</x:v>
      </x:c>
      <x:c r="H2058" s="31" t="n">
        <x:v>-73.83800865637569</x:v>
      </x:c>
      <x:c r="I2058" s="31" t="n">
        <x:v>1584</x:v>
      </x:c>
      <x:c r="J2058" s="31" t="n">
        <x:v>2034.1349417344668</x:v>
      </x:c>
      <x:c r="K2058" s="31"/>
      <x:c r="L2058" s="40"/>
      <x:c r="M2058" s="40"/>
      <x:c r="N2058" s="31" t="n">
        <x:v>268</x:v>
      </x:c>
      <x:c r="O2058" s="31" t="n">
        <x:v>469</x:v>
      </x:c>
      <x:c r="P2058" s="31" t="n">
        <x:v>1.978696581196581</x:v>
      </x:c>
      <x:c r="Q2058" s="40" t="n">
        <x:v>0</x:v>
      </x:c>
      <x:c r="R2058" s="40" t="n">
        <x:v>0.18763326226012794</x:v>
      </x:c>
      <x:c r="S2058" s="40" t="n">
        <x:v>0.0021321961620469083</x:v>
      </x:c>
      <x:c r="T2058" s="31" t="n">
        <x:v>24.327133015043106</x:v>
      </x:c>
      <x:c r="U2058" s="31" t="n">
        <x:v>36.8</x:v>
      </x:c>
      <x:c r="V2058" s="31" t="n">
        <x:v>0</x:v>
      </x:c>
      <x:c r="W2058" s="31" t="n">
        <x:v>0</x:v>
      </x:c>
      <x:c r="X2058" s="31" t="n">
        <x:v>3.3795309168443497</x:v>
      </x:c>
      <x:c r="Y2058" s="40" t="n">
        <x:v>0.3795309168443497</x:v>
      </x:c>
      <x:c r="Z2058" s="40" t="n">
        <x:v>1</x:v>
      </x:c>
      <x:c r="AA2058" s="40" t="n">
        <x:v>0.9893390191897654</x:v>
      </x:c>
      <x:c r="AB2058" s="31" t="n">
        <x:v>0.37486923858001403</x:v>
      </x:c>
      <x:c r="AC2058" s="31" t="n">
        <x:v>7</x:v>
      </x:c>
      <x:c r="AD2058" s="44" t="b">
        <x:v>1</x:v>
      </x:c>
    </x:row>
    <x:row r="2059">
      <x:c r="A2059" s="31" t="str">
        <x:v>36081091602</x:v>
      </x:c>
      <x:c r="B2059" s="31" t="str">
        <x:v>Queens</x:v>
      </x:c>
      <x:c r="C2059" s="31" t="str">
        <x:v>091602</x:v>
      </x:c>
      <x:c r="D2059" s="31" t="str">
        <x:v>QN8492</x:v>
      </x:c>
      <x:c r="E2059" s="31" t="str">
        <x:v>Jacob Riis Park-Fort Tilden-Breezy Point Tip</x:v>
      </x:c>
      <x:c r="F2059" s="31" t="n">
        <x:v>0.49134646884326216</x:v>
      </x:c>
      <x:c r="G2059" s="31" t="n">
        <x:v>40.56187231553478</x:v>
      </x:c>
      <x:c r="H2059" s="31" t="n">
        <x:v>-73.89114444701723</x:v>
      </x:c>
      <x:c r="I2059" s="31" t="n">
        <x:v>12</x:v>
      </x:c>
      <x:c r="J2059" s="31" t="n">
        <x:v>24.42268492994494</x:v>
      </x:c>
      <x:c r="K2059" s="31"/>
      <x:c r="L2059" s="40"/>
      <x:c r="M2059" s="40"/>
      <x:c r="N2059" s="31" t="n">
        <x:v>0</x:v>
      </x:c>
      <x:c r="O2059" s="31"/>
      <x:c r="P2059" s="31"/>
      <x:c r="Q2059" s="40"/>
      <x:c r="R2059" s="40"/>
      <x:c r="S2059" s="40"/>
      <x:c r="T2059" s="31"/>
      <x:c r="U2059" s="31"/>
      <x:c r="V2059" s="31" t="n">
        <x:v>0</x:v>
      </x:c>
      <x:c r="W2059" s="31" t="n">
        <x:v>0</x:v>
      </x:c>
      <x:c r="X2059" s="31"/>
      <x:c r="Y2059" s="40"/>
      <x:c r="Z2059" s="40"/>
      <x:c r="AA2059" s="40"/>
      <x:c r="AB2059" s="31" t="n">
        <x:v>1.1865378704322538</x:v>
      </x:c>
      <x:c r="AC2059" s="31" t="n">
        <x:v>3</x:v>
      </x:c>
      <x:c r="AD2059" s="44" t="b">
        <x:v>0</x:v>
      </x:c>
    </x:row>
    <x:row r="2060">
      <x:c r="A2060" s="31" t="str">
        <x:v>36081091603</x:v>
      </x:c>
      <x:c r="B2060" s="31" t="str">
        <x:v>Queens</x:v>
      </x:c>
      <x:c r="C2060" s="31" t="str">
        <x:v>091603</x:v>
      </x:c>
      <x:c r="D2060" s="31" t="str">
        <x:v>QN1403</x:v>
      </x:c>
      <x:c r="E2060" s="31" t="str">
        <x:v>Breezy Point-Belle Harbor-Rockaway Park-Broad Channel</x:v>
      </x:c>
      <x:c r="F2060" s="31" t="n">
        <x:v>0.7235451578749139</x:v>
      </x:c>
      <x:c r="G2060" s="31" t="n">
        <x:v>40.56060845199504</x:v>
      </x:c>
      <x:c r="H2060" s="31" t="n">
        <x:v>-73.9138966473596</x:v>
      </x:c>
      <x:c r="I2060" s="31" t="n">
        <x:v>4456</x:v>
      </x:c>
      <x:c r="J2060" s="31" t="n">
        <x:v>6158.565158652269</x:v>
      </x:c>
      <x:c r="K2060" s="31"/>
      <x:c r="L2060" s="40"/>
      <x:c r="M2060" s="40"/>
      <x:c r="N2060" s="31" t="n">
        <x:v>3</x:v>
      </x:c>
      <x:c r="O2060" s="31" t="n">
        <x:v>2837</x:v>
      </x:c>
      <x:c r="P2060" s="31" t="n">
        <x:v>1</x:v>
      </x:c>
      <x:c r="Q2060" s="40" t="n">
        <x:v>0</x:v>
      </x:c>
      <x:c r="R2060" s="40" t="n">
        <x:v>0</x:v>
      </x:c>
      <x:c r="S2060" s="40" t="n">
        <x:v>1</x:v>
      </x:c>
      <x:c r="T2060" s="31" t="n">
        <x:v>46.97250616848784</x:v>
      </x:c>
      <x:c r="U2060" s="31" t="n">
        <x:v>53</x:v>
      </x:c>
      <x:c r="V2060" s="31" t="n">
        <x:v>108</x:v>
      </x:c>
      <x:c r="W2060" s="31" t="n">
        <x:v>24.23698384201077</x:v>
      </x:c>
      <x:c r="X2060" s="31" t="n">
        <x:v>2</x:v>
      </x:c>
      <x:c r="Y2060" s="40" t="n">
        <x:v>0</x:v>
      </x:c>
      <x:c r="Z2060" s="40" t="n">
        <x:v>1</x:v>
      </x:c>
      <x:c r="AA2060" s="40" t="n">
        <x:v>1</x:v>
      </x:c>
      <x:c r="AB2060" s="31" t="n">
        <x:v>0.04314030488594801</x:v>
      </x:c>
      <x:c r="AC2060" s="31" t="n">
        <x:v>3</x:v>
      </x:c>
      <x:c r="AD2060" s="44" t="b">
        <x:v>1</x:v>
      </x:c>
    </x:row>
    <x:row r="2061">
      <x:c r="A2061" s="31" t="str">
        <x:v>36081091604</x:v>
      </x:c>
      <x:c r="B2061" s="31" t="str">
        <x:v>Queens</x:v>
      </x:c>
      <x:c r="C2061" s="31" t="str">
        <x:v>091604</x:v>
      </x:c>
      <x:c r="D2061" s="31" t="str">
        <x:v>QN8492</x:v>
      </x:c>
      <x:c r="E2061" s="31" t="str">
        <x:v>Jacob Riis Park-Fort Tilden-Breezy Point Tip</x:v>
      </x:c>
      <x:c r="F2061" s="31" t="n">
        <x:v>0.9627363808217115</x:v>
      </x:c>
      <x:c r="G2061" s="31" t="n">
        <x:v>40.552717804998025</x:v>
      </x:c>
      <x:c r="H2061" s="31" t="n">
        <x:v>-73.92496153342667</x:v>
      </x:c>
      <x:c r="I2061" s="31" t="n">
        <x:v>0</x:v>
      </x:c>
      <x:c r="J2061" s="31" t="n">
        <x:v>0</x:v>
      </x:c>
      <x:c r="K2061" s="31"/>
      <x:c r="L2061" s="40"/>
      <x:c r="M2061" s="40"/>
      <x:c r="N2061" s="31" t="n">
        <x:v>0</x:v>
      </x:c>
      <x:c r="O2061" s="31"/>
      <x:c r="P2061" s="31"/>
      <x:c r="Q2061" s="40"/>
      <x:c r="R2061" s="40"/>
      <x:c r="S2061" s="40"/>
      <x:c r="T2061" s="31"/>
      <x:c r="U2061" s="31"/>
      <x:c r="V2061" s="31" t="n">
        <x:v>0</x:v>
      </x:c>
      <x:c r="W2061" s="31"/>
      <x:c r="X2061" s="31"/>
      <x:c r="Y2061" s="40"/>
      <x:c r="Z2061" s="40"/>
      <x:c r="AA2061" s="40"/>
      <x:c r="AB2061" s="31" t="n">
        <x:v>0.8343911490483136</x:v>
      </x:c>
      <x:c r="AC2061" s="31" t="n">
        <x:v>2</x:v>
      </x:c>
      <x:c r="AD2061" s="44" t="b">
        <x:v>0</x:v>
      </x:c>
    </x:row>
    <x:row r="2062">
      <x:c r="A2062" s="31" t="str">
        <x:v>36081091800</x:v>
      </x:c>
      <x:c r="B2062" s="31" t="str">
        <x:v>Queens</x:v>
      </x:c>
      <x:c r="C2062" s="31" t="str">
        <x:v>091800</x:v>
      </x:c>
      <x:c r="D2062" s="31" t="str">
        <x:v>QN8492</x:v>
      </x:c>
      <x:c r="E2062" s="31" t="str">
        <x:v>Jacob Riis Park-Fort Tilden-Breezy Point Tip</x:v>
      </x:c>
      <x:c r="F2062" s="31" t="n">
        <x:v>0.43392279200025824</x:v>
      </x:c>
      <x:c r="G2062" s="31" t="n">
        <x:v>40.56786275734874</x:v>
      </x:c>
      <x:c r="H2062" s="31" t="n">
        <x:v>-73.87259188354354</x:v>
      </x:c>
      <x:c r="I2062" s="31" t="n">
        <x:v>12</x:v>
      </x:c>
      <x:c r="J2062" s="31" t="n">
        <x:v>27.65468931623407</x:v>
      </x:c>
      <x:c r="K2062" s="31"/>
      <x:c r="L2062" s="40"/>
      <x:c r="M2062" s="40"/>
      <x:c r="N2062" s="31" t="n">
        <x:v>9</x:v>
      </x:c>
      <x:c r="O2062" s="31" t="n">
        <x:v>9</x:v>
      </x:c>
      <x:c r="P2062" s="31" t="n">
        <x:v>1.7222222222222223</x:v>
      </x:c>
      <x:c r="Q2062" s="40" t="n">
        <x:v>0</x:v>
      </x:c>
      <x:c r="R2062" s="40" t="n">
        <x:v>0</x:v>
      </x:c>
      <x:c r="S2062" s="40" t="n">
        <x:v>0</x:v>
      </x:c>
      <x:c r="T2062" s="31" t="n">
        <x:v>26.93712133777778</x:v>
      </x:c>
      <x:c r="U2062" s="31" t="n">
        <x:v>30.2552027</x:v>
      </x:c>
      <x:c r="V2062" s="31" t="n">
        <x:v>0</x:v>
      </x:c>
      <x:c r="W2062" s="31" t="n">
        <x:v>0</x:v>
      </x:c>
      <x:c r="X2062" s="31" t="n">
        <x:v>4</x:v>
      </x:c>
      <x:c r="Y2062" s="40" t="n">
        <x:v>1</x:v>
      </x:c>
      <x:c r="Z2062" s="40" t="n">
        <x:v>1</x:v>
      </x:c>
      <x:c r="AA2062" s="40" t="n">
        <x:v>1</x:v>
      </x:c>
      <x:c r="AB2062" s="31" t="n">
        <x:v>1.1725249344145783</x:v>
      </x:c>
      <x:c r="AC2062" s="31" t="n">
        <x:v>3</x:v>
      </x:c>
      <x:c r="AD2062" s="44" t="b">
        <x:v>1</x:v>
      </x:c>
    </x:row>
    <x:row r="2063">
      <x:c r="A2063" s="31" t="str">
        <x:v>36081091900</x:v>
      </x:c>
      <x:c r="B2063" s="31" t="str">
        <x:v>Queens</x:v>
      </x:c>
      <x:c r="C2063" s="31" t="str">
        <x:v>091900</x:v>
      </x:c>
      <x:c r="D2063" s="31" t="str">
        <x:v>QN0701</x:v>
      </x:c>
      <x:c r="E2063" s="31" t="str">
        <x:v>College Point</x:v>
      </x:c>
      <x:c r="F2063" s="31" t="n">
        <x:v>0.17607160386392331</x:v>
      </x:c>
      <x:c r="G2063" s="31" t="n">
        <x:v>40.777305015288945</x:v>
      </x:c>
      <x:c r="H2063" s="31" t="n">
        <x:v>-73.84560689742264</x:v>
      </x:c>
      <x:c r="I2063" s="31" t="n">
        <x:v>6417</x:v>
      </x:c>
      <x:c r="J2063" s="31" t="n">
        <x:v>36445.39982131002</x:v>
      </x:c>
      <x:c r="K2063" s="31"/>
      <x:c r="L2063" s="40"/>
      <x:c r="M2063" s="40"/>
      <x:c r="N2063" s="31" t="n">
        <x:v>846</x:v>
      </x:c>
      <x:c r="O2063" s="31" t="n">
        <x:v>1776</x:v>
      </x:c>
      <x:c r="P2063" s="31" t="n">
        <x:v>2.2689643463497453</x:v>
      </x:c>
      <x:c r="Q2063" s="40" t="n">
        <x:v>0</x:v>
      </x:c>
      <x:c r="R2063" s="40" t="n">
        <x:v>0.25563063063063063</x:v>
      </x:c>
      <x:c r="S2063" s="40" t="n">
        <x:v>0.04954954954954955</x:v>
      </x:c>
      <x:c r="T2063" s="31" t="n">
        <x:v>27.704134629210678</x:v>
      </x:c>
      <x:c r="U2063" s="31" t="n">
        <x:v>55</x:v>
      </x:c>
      <x:c r="V2063" s="31" t="n">
        <x:v>4</x:v>
      </x:c>
      <x:c r="W2063" s="31" t="n">
        <x:v>0.6233442418575659</x:v>
      </x:c>
      <x:c r="X2063" s="31" t="n">
        <x:v>3.3986486486486487</x:v>
      </x:c>
      <x:c r="Y2063" s="40" t="n">
        <x:v>0.39864864864864863</x:v>
      </x:c>
      <x:c r="Z2063" s="40" t="n">
        <x:v>1</x:v>
      </x:c>
      <x:c r="AA2063" s="40" t="n">
        <x:v>0.9915540540540541</x:v>
      </x:c>
      <x:c r="AB2063" s="31" t="n">
        <x:v>0.1502520957800084</x:v>
      </x:c>
      <x:c r="AC2063" s="31" t="n">
        <x:v>4</x:v>
      </x:c>
      <x:c r="AD2063" s="44" t="b">
        <x:v>1</x:v>
      </x:c>
    </x:row>
    <x:row r="2064">
      <x:c r="A2064" s="31" t="str">
        <x:v>36081092200</x:v>
      </x:c>
      <x:c r="B2064" s="31" t="str">
        <x:v>Queens</x:v>
      </x:c>
      <x:c r="C2064" s="31" t="str">
        <x:v>092200</x:v>
      </x:c>
      <x:c r="D2064" s="31" t="str">
        <x:v>QN1403</x:v>
      </x:c>
      <x:c r="E2064" s="31" t="str">
        <x:v>Breezy Point-Belle Harbor-Rockaway Park-Broad Channel</x:v>
      </x:c>
      <x:c r="F2064" s="31" t="n">
        <x:v>0.24604863407584365</x:v>
      </x:c>
      <x:c r="G2064" s="31" t="n">
        <x:v>40.572843414400296</x:v>
      </x:c>
      <x:c r="H2064" s="31" t="n">
        <x:v>-73.86080726895763</x:v>
      </x:c>
      <x:c r="I2064" s="31" t="n">
        <x:v>2208</x:v>
      </x:c>
      <x:c r="J2064" s="31" t="n">
        <x:v>8973.835633321953</x:v>
      </x:c>
      <x:c r="K2064" s="31"/>
      <x:c r="L2064" s="40"/>
      <x:c r="M2064" s="40"/>
      <x:c r="N2064" s="31" t="n">
        <x:v>786</x:v>
      </x:c>
      <x:c r="O2064" s="31" t="n">
        <x:v>894</x:v>
      </x:c>
      <x:c r="P2064" s="31" t="n">
        <x:v>1.9439641657334827</x:v>
      </x:c>
      <x:c r="Q2064" s="40" t="n">
        <x:v>0</x:v>
      </x:c>
      <x:c r="R2064" s="40" t="n">
        <x:v>0.06263982102908278</x:v>
      </x:c>
      <x:c r="S2064" s="40" t="n">
        <x:v>0</x:v>
      </x:c>
      <x:c r="T2064" s="31" t="n">
        <x:v>27.692159485585584</x:v>
      </x:c>
      <x:c r="U2064" s="31" t="n">
        <x:v>48</x:v>
      </x:c>
      <x:c r="V2064" s="31" t="n">
        <x:v>12</x:v>
      </x:c>
      <x:c r="W2064" s="31" t="n">
        <x:v>5.434782608695652</x:v>
      </x:c>
      <x:c r="X2064" s="31" t="n">
        <x:v>4</x:v>
      </x:c>
      <x:c r="Y2064" s="40" t="n">
        <x:v>1</x:v>
      </x:c>
      <x:c r="Z2064" s="40" t="n">
        <x:v>1</x:v>
      </x:c>
      <x:c r="AA2064" s="40" t="n">
        <x:v>0.9932885906040269</x:v>
      </x:c>
      <x:c r="AB2064" s="31" t="n">
        <x:v>0.47553421991299677</x:v>
      </x:c>
      <x:c r="AC2064" s="31" t="n">
        <x:v>2</x:v>
      </x:c>
      <x:c r="AD2064" s="44" t="b">
        <x:v>1</x:v>
      </x:c>
    </x:row>
    <x:row r="2065">
      <x:c r="A2065" s="31" t="str">
        <x:v>36081092500</x:v>
      </x:c>
      <x:c r="B2065" s="31" t="str">
        <x:v>Queens</x:v>
      </x:c>
      <x:c r="C2065" s="31" t="str">
        <x:v>092500</x:v>
      </x:c>
      <x:c r="D2065" s="31" t="str">
        <x:v>QN0701</x:v>
      </x:c>
      <x:c r="E2065" s="31" t="str">
        <x:v>College Point</x:v>
      </x:c>
      <x:c r="F2065" s="31" t="n">
        <x:v>0.12061916075061697</x:v>
      </x:c>
      <x:c r="G2065" s="31" t="n">
        <x:v>40.782481697073095</x:v>
      </x:c>
      <x:c r="H2065" s="31" t="n">
        <x:v>-73.84476814216144</x:v>
      </x:c>
      <x:c r="I2065" s="31" t="n">
        <x:v>4356</x:v>
      </x:c>
      <x:c r="J2065" s="31" t="n">
        <x:v>36113.66529904925</x:v>
      </x:c>
      <x:c r="K2065" s="31"/>
      <x:c r="L2065" s="40"/>
      <x:c r="M2065" s="40"/>
      <x:c r="N2065" s="31" t="n">
        <x:v>579</x:v>
      </x:c>
      <x:c r="O2065" s="31" t="n">
        <x:v>1236</x:v>
      </x:c>
      <x:c r="P2065" s="31" t="n">
        <x:v>2.310810372771475</x:v>
      </x:c>
      <x:c r="Q2065" s="40" t="n">
        <x:v>0</x:v>
      </x:c>
      <x:c r="R2065" s="40" t="n">
        <x:v>0.22653721682847897</x:v>
      </x:c>
      <x:c r="S2065" s="40" t="n">
        <x:v>0.021035598705501618</x:v>
      </x:c>
      <x:c r="T2065" s="31" t="n">
        <x:v>29.427502275595433</x:v>
      </x:c>
      <x:c r="U2065" s="31" t="n">
        <x:v>46.41013209</x:v>
      </x:c>
      <x:c r="V2065" s="31" t="n">
        <x:v>3</x:v>
      </x:c>
      <x:c r="W2065" s="31" t="n">
        <x:v>0.6887052341597797</x:v>
      </x:c>
      <x:c r="X2065" s="31" t="n">
        <x:v>3</x:v>
      </x:c>
      <x:c r="Y2065" s="40" t="n">
        <x:v>0</x:v>
      </x:c>
      <x:c r="Z2065" s="40" t="n">
        <x:v>1</x:v>
      </x:c>
      <x:c r="AA2065" s="40" t="n">
        <x:v>0.9919093851132686</x:v>
      </x:c>
      <x:c r="AB2065" s="31" t="n">
        <x:v>0.19363896713298623</x:v>
      </x:c>
      <x:c r="AC2065" s="31" t="n">
        <x:v>3</x:v>
      </x:c>
      <x:c r="AD2065" s="44" t="b">
        <x:v>1</x:v>
      </x:c>
    </x:row>
    <x:row r="2066">
      <x:c r="A2066" s="31" t="str">
        <x:v>36081092800</x:v>
      </x:c>
      <x:c r="B2066" s="31" t="str">
        <x:v>Queens</x:v>
      </x:c>
      <x:c r="C2066" s="31" t="str">
        <x:v>092800</x:v>
      </x:c>
      <x:c r="D2066" s="31" t="str">
        <x:v>QN1403</x:v>
      </x:c>
      <x:c r="E2066" s="31" t="str">
        <x:v>Breezy Point-Belle Harbor-Rockaway Park-Broad Channel</x:v>
      </x:c>
      <x:c r="F2066" s="31" t="n">
        <x:v>0.29447216262805614</x:v>
      </x:c>
      <x:c r="G2066" s="31" t="n">
        <x:v>40.57480546539721</x:v>
      </x:c>
      <x:c r="H2066" s="31" t="n">
        <x:v>-73.85343603780294</x:v>
      </x:c>
      <x:c r="I2066" s="31" t="n">
        <x:v>3204</x:v>
      </x:c>
      <x:c r="J2066" s="31" t="n">
        <x:v>10880.485175255528</x:v>
      </x:c>
      <x:c r="K2066" s="31"/>
      <x:c r="L2066" s="40"/>
      <x:c r="M2066" s="40"/>
      <x:c r="N2066" s="31" t="n">
        <x:v>1023</x:v>
      </x:c>
      <x:c r="O2066" s="31" t="n">
        <x:v>1395</x:v>
      </x:c>
      <x:c r="P2066" s="31" t="n">
        <x:v>2.1186236559139786</x:v>
      </x:c>
      <x:c r="Q2066" s="40" t="n">
        <x:v>0</x:v>
      </x:c>
      <x:c r="R2066" s="40" t="n">
        <x:v>0.02939068100358423</x:v>
      </x:c>
      <x:c r="S2066" s="40" t="n">
        <x:v>0.002867383512544803</x:v>
      </x:c>
      <x:c r="T2066" s="31" t="n">
        <x:v>30.537162325978418</x:v>
      </x:c>
      <x:c r="U2066" s="31" t="n">
        <x:v>48</x:v>
      </x:c>
      <x:c r="V2066" s="31" t="n">
        <x:v>12</x:v>
      </x:c>
      <x:c r="W2066" s="31" t="n">
        <x:v>3.745318352059925</x:v>
      </x:c>
      <x:c r="X2066" s="31" t="n">
        <x:v>4</x:v>
      </x:c>
      <x:c r="Y2066" s="40" t="n">
        <x:v>1</x:v>
      </x:c>
      <x:c r="Z2066" s="40" t="n">
        <x:v>1</x:v>
      </x:c>
      <x:c r="AA2066" s="40" t="n">
        <x:v>0.996415770609319</x:v>
      </x:c>
      <x:c r="AB2066" s="31" t="n">
        <x:v>0.21176928506765103</x:v>
      </x:c>
      <x:c r="AC2066" s="31" t="n">
        <x:v>2</x:v>
      </x:c>
      <x:c r="AD2066" s="44" t="b">
        <x:v>1</x:v>
      </x:c>
    </x:row>
    <x:row r="2067">
      <x:c r="A2067" s="31" t="str">
        <x:v>36081092900</x:v>
      </x:c>
      <x:c r="B2067" s="31" t="str">
        <x:v>Queens</x:v>
      </x:c>
      <x:c r="C2067" s="31" t="str">
        <x:v>092900</x:v>
      </x:c>
      <x:c r="D2067" s="31" t="str">
        <x:v>QN0701</x:v>
      </x:c>
      <x:c r="E2067" s="31" t="str">
        <x:v>College Point</x:v>
      </x:c>
      <x:c r="F2067" s="31" t="n">
        <x:v>0.36816071684529955</x:v>
      </x:c>
      <x:c r="G2067" s="31" t="n">
        <x:v>40.787186261031195</x:v>
      </x:c>
      <x:c r="H2067" s="31" t="n">
        <x:v>-73.85146302283971</x:v>
      </x:c>
      <x:c r="I2067" s="31" t="n">
        <x:v>7638</x:v>
      </x:c>
      <x:c r="J2067" s="31" t="n">
        <x:v>20746.37420702729</x:v>
      </x:c>
      <x:c r="K2067" s="31"/>
      <x:c r="L2067" s="40"/>
      <x:c r="M2067" s="40"/>
      <x:c r="N2067" s="31" t="n">
        <x:v>1188</x:v>
      </x:c>
      <x:c r="O2067" s="31" t="n">
        <x:v>2396</x:v>
      </x:c>
      <x:c r="P2067" s="31" t="n">
        <x:v>2.688917331095258</x:v>
      </x:c>
      <x:c r="Q2067" s="40" t="n">
        <x:v>0</x:v>
      </x:c>
      <x:c r="R2067" s="40" t="n">
        <x:v>0.38647746243739567</x:v>
      </x:c>
      <x:c r="S2067" s="40" t="n">
        <x:v>0.06093489148580968</x:v>
      </x:c>
      <x:c r="T2067" s="31" t="n">
        <x:v>31.733841499189552</x:v>
      </x:c>
      <x:c r="U2067" s="31" t="n">
        <x:v>102</x:v>
      </x:c>
      <x:c r="V2067" s="31" t="n">
        <x:v>7</x:v>
      </x:c>
      <x:c r="W2067" s="31" t="n">
        <x:v>0.916470280178057</x:v>
      </x:c>
      <x:c r="X2067" s="31" t="n">
        <x:v>3</x:v>
      </x:c>
      <x:c r="Y2067" s="40" t="n">
        <x:v>0</x:v>
      </x:c>
      <x:c r="Z2067" s="40" t="n">
        <x:v>1</x:v>
      </x:c>
      <x:c r="AA2067" s="40" t="n">
        <x:v>0.9424040066777963</x:v>
      </x:c>
      <x:c r="AB2067" s="31" t="n">
        <x:v>0.2930904839941223</x:v>
      </x:c>
      <x:c r="AC2067" s="31" t="n">
        <x:v>4</x:v>
      </x:c>
      <x:c r="AD2067" s="44" t="b">
        <x:v>1</x:v>
      </x:c>
    </x:row>
    <x:row r="2068">
      <x:c r="A2068" s="31" t="str">
        <x:v>36081093401</x:v>
      </x:c>
      <x:c r="B2068" s="31" t="str">
        <x:v>Queens</x:v>
      </x:c>
      <x:c r="C2068" s="31" t="str">
        <x:v>093401</x:v>
      </x:c>
      <x:c r="D2068" s="31" t="str">
        <x:v>QN1403</x:v>
      </x:c>
      <x:c r="E2068" s="31" t="str">
        <x:v>Breezy Point-Belle Harbor-Rockaway Park-Broad Channel</x:v>
      </x:c>
      <x:c r="F2068" s="31" t="n">
        <x:v>0.20924477552155074</x:v>
      </x:c>
      <x:c r="G2068" s="31" t="n">
        <x:v>40.57781754901659</x:v>
      </x:c>
      <x:c r="H2068" s="31" t="n">
        <x:v>-73.84670520629466</x:v>
      </x:c>
      <x:c r="I2068" s="31" t="n">
        <x:v>3732</x:v>
      </x:c>
      <x:c r="J2068" s="31" t="n">
        <x:v>17835.570760119794</x:v>
      </x:c>
      <x:c r="K2068" s="31"/>
      <x:c r="L2068" s="40"/>
      <x:c r="M2068" s="40"/>
      <x:c r="N2068" s="31" t="n">
        <x:v>787</x:v>
      </x:c>
      <x:c r="O2068" s="31" t="n">
        <x:v>1804</x:v>
      </x:c>
      <x:c r="P2068" s="31" t="n">
        <x:v>2.6037652947719687</x:v>
      </x:c>
      <x:c r="Q2068" s="40" t="n">
        <x:v>0</x:v>
      </x:c>
      <x:c r="R2068" s="40" t="n">
        <x:v>0.24833702882483372</x:v>
      </x:c>
      <x:c r="S2068" s="40" t="n">
        <x:v>0.018292682926829267</x:v>
      </x:c>
      <x:c r="T2068" s="31" t="n">
        <x:v>34.214462149277374</x:v>
      </x:c>
      <x:c r="U2068" s="31" t="n">
        <x:v>72</x:v>
      </x:c>
      <x:c r="V2068" s="31" t="n">
        <x:v>12</x:v>
      </x:c>
      <x:c r="W2068" s="31" t="n">
        <x:v>3.215434083601286</x:v>
      </x:c>
      <x:c r="X2068" s="31" t="n">
        <x:v>4</x:v>
      </x:c>
      <x:c r="Y2068" s="40" t="n">
        <x:v>1</x:v>
      </x:c>
      <x:c r="Z2068" s="40" t="n">
        <x:v>1</x:v>
      </x:c>
      <x:c r="AA2068" s="40" t="n">
        <x:v>0.9972283813747228</x:v>
      </x:c>
      <x:c r="AB2068" s="31" t="n">
        <x:v>0.40932377403142833</x:v>
      </x:c>
      <x:c r="AC2068" s="31" t="n">
        <x:v>2</x:v>
      </x:c>
      <x:c r="AD2068" s="44" t="b">
        <x:v>1</x:v>
      </x:c>
    </x:row>
    <x:row r="2069">
      <x:c r="A2069" s="31" t="str">
        <x:v>36081093402</x:v>
      </x:c>
      <x:c r="B2069" s="31" t="str">
        <x:v>Queens</x:v>
      </x:c>
      <x:c r="C2069" s="31" t="str">
        <x:v>093402</x:v>
      </x:c>
      <x:c r="D2069" s="31" t="str">
        <x:v>QN1403</x:v>
      </x:c>
      <x:c r="E2069" s="31" t="str">
        <x:v>Breezy Point-Belle Harbor-Rockaway Park-Broad Channel</x:v>
      </x:c>
      <x:c r="F2069" s="31" t="n">
        <x:v>0.152445680299802</x:v>
      </x:c>
      <x:c r="G2069" s="31" t="n">
        <x:v>40.57876353967982</x:v>
      </x:c>
      <x:c r="H2069" s="31" t="n">
        <x:v>-73.84024995366767</x:v>
      </x:c>
      <x:c r="I2069" s="31" t="n">
        <x:v>3704</x:v>
      </x:c>
      <x:c r="J2069" s="31" t="n">
        <x:v>24297.17911793668</x:v>
      </x:c>
      <x:c r="K2069" s="31"/>
      <x:c r="L2069" s="40"/>
      <x:c r="M2069" s="40"/>
      <x:c r="N2069" s="31" t="n">
        <x:v>497</x:v>
      </x:c>
      <x:c r="O2069" s="31" t="n">
        <x:v>2020</x:v>
      </x:c>
      <x:c r="P2069" s="31" t="n">
        <x:v>4.2109359104781285</x:v>
      </x:c>
      <x:c r="Q2069" s="40" t="n">
        <x:v>0.04257425742574258</x:v>
      </x:c>
      <x:c r="R2069" s="40" t="n">
        <x:v>0.4915841584158416</x:v>
      </x:c>
      <x:c r="S2069" s="40" t="n">
        <x:v>0.018316831683168316</x:v>
      </x:c>
      <x:c r="T2069" s="31" t="n">
        <x:v>48.8864013735692</x:v>
      </x:c>
      <x:c r="U2069" s="31" t="n">
        <x:v>109</x:v>
      </x:c>
      <x:c r="V2069" s="31" t="n">
        <x:v>19</x:v>
      </x:c>
      <x:c r="W2069" s="31" t="n">
        <x:v>5.129589632829373</x:v>
      </x:c>
      <x:c r="X2069" s="31" t="n">
        <x:v>4</x:v>
      </x:c>
      <x:c r="Y2069" s="40" t="n">
        <x:v>1</x:v>
      </x:c>
      <x:c r="Z2069" s="40" t="n">
        <x:v>1</x:v>
      </x:c>
      <x:c r="AA2069" s="40" t="n">
        <x:v>0.9514851485148514</x:v>
      </x:c>
      <x:c r="AB2069" s="31" t="n">
        <x:v>0.1393177365877894</x:v>
      </x:c>
      <x:c r="AC2069" s="31" t="n">
        <x:v>2</x:v>
      </x:c>
      <x:c r="AD2069" s="44" t="b">
        <x:v>1</x:v>
      </x:c>
    </x:row>
    <x:row r="2070">
      <x:c r="A2070" s="31" t="str">
        <x:v>36081093800</x:v>
      </x:c>
      <x:c r="B2070" s="31" t="str">
        <x:v>Queens</x:v>
      </x:c>
      <x:c r="C2070" s="31" t="str">
        <x:v>093800</x:v>
      </x:c>
      <x:c r="D2070" s="31" t="str">
        <x:v>QN1403</x:v>
      </x:c>
      <x:c r="E2070" s="31" t="str">
        <x:v>Breezy Point-Belle Harbor-Rockaway Park-Broad Channel</x:v>
      </x:c>
      <x:c r="F2070" s="31" t="n">
        <x:v>0.3124307951055297</x:v>
      </x:c>
      <x:c r="G2070" s="31" t="n">
        <x:v>40.581777123400244</x:v>
      </x:c>
      <x:c r="H2070" s="31" t="n">
        <x:v>-73.82997459996282</x:v>
      </x:c>
      <x:c r="I2070" s="31" t="n">
        <x:v>4460</x:v>
      </x:c>
      <x:c r="J2070" s="31" t="n">
        <x:v>14275.161315303592</x:v>
      </x:c>
      <x:c r="K2070" s="31"/>
      <x:c r="L2070" s="40"/>
      <x:c r="M2070" s="40"/>
      <x:c r="N2070" s="31" t="n">
        <x:v>212</x:v>
      </x:c>
      <x:c r="O2070" s="31" t="n">
        <x:v>2442</x:v>
      </x:c>
      <x:c r="P2070" s="31" t="n">
        <x:v>8.843903528360876</x:v>
      </x:c>
      <x:c r="Q2070" s="40" t="n">
        <x:v>0.5819000819000819</x:v>
      </x:c>
      <x:c r="R2070" s="40" t="n">
        <x:v>0.17076167076167076</x:v>
      </x:c>
      <x:c r="S2070" s="40" t="n">
        <x:v>0.3525798525798526</x:v>
      </x:c>
      <x:c r="T2070" s="31" t="n">
        <x:v>84.95661331452908</x:v>
      </x:c>
      <x:c r="U2070" s="31" t="n">
        <x:v>115.9347247</x:v>
      </x:c>
      <x:c r="V2070" s="31" t="n">
        <x:v>33</x:v>
      </x:c>
      <x:c r="W2070" s="31" t="n">
        <x:v>7.399103139013453</x:v>
      </x:c>
      <x:c r="X2070" s="31" t="n">
        <x:v>4</x:v>
      </x:c>
      <x:c r="Y2070" s="40" t="n">
        <x:v>1</x:v>
      </x:c>
      <x:c r="Z2070" s="40" t="n">
        <x:v>1</x:v>
      </x:c>
      <x:c r="AA2070" s="40" t="n">
        <x:v>1</x:v>
      </x:c>
      <x:c r="AB2070" s="31" t="n">
        <x:v>0.09275079754871081</x:v>
      </x:c>
      <x:c r="AC2070" s="31" t="n">
        <x:v>2</x:v>
      </x:c>
      <x:c r="AD2070" s="44" t="b">
        <x:v>1</x:v>
      </x:c>
    </x:row>
    <x:row r="2071">
      <x:c r="A2071" s="31" t="str">
        <x:v>36081093900</x:v>
      </x:c>
      <x:c r="B2071" s="31" t="str">
        <x:v>Queens</x:v>
      </x:c>
      <x:c r="C2071" s="31" t="str">
        <x:v>093900</x:v>
      </x:c>
      <x:c r="D2071" s="31" t="str">
        <x:v>QN0701</x:v>
      </x:c>
      <x:c r="E2071" s="31" t="str">
        <x:v>College Point</x:v>
      </x:c>
      <x:c r="F2071" s="31" t="n">
        <x:v>0.2532196788578254</x:v>
      </x:c>
      <x:c r="G2071" s="31" t="n">
        <x:v>40.792474280991726</x:v>
      </x:c>
      <x:c r="H2071" s="31" t="n">
        <x:v>-73.84320506806051</x:v>
      </x:c>
      <x:c r="I2071" s="31" t="n">
        <x:v>6268</x:v>
      </x:c>
      <x:c r="J2071" s="31" t="n">
        <x:v>24753.210446646513</x:v>
      </x:c>
      <x:c r="K2071" s="31"/>
      <x:c r="L2071" s="40"/>
      <x:c r="M2071" s="40"/>
      <x:c r="N2071" s="31" t="n">
        <x:v>870</x:v>
      </x:c>
      <x:c r="O2071" s="31" t="n">
        <x:v>1865</x:v>
      </x:c>
      <x:c r="P2071" s="31" t="n">
        <x:v>2.112953563714903</x:v>
      </x:c>
      <x:c r="Q2071" s="40" t="n">
        <x:v>0</x:v>
      </x:c>
      <x:c r="R2071" s="40" t="n">
        <x:v>0.14691689008042896</x:v>
      </x:c>
      <x:c r="S2071" s="40" t="n">
        <x:v>0.2359249329758713</x:v>
      </x:c>
      <x:c r="T2071" s="31" t="n">
        <x:v>29.588097134935136</x:v>
      </x:c>
      <x:c r="U2071" s="31" t="n">
        <x:v>44</x:v>
      </x:c>
      <x:c r="V2071" s="31" t="n">
        <x:v>0</x:v>
      </x:c>
      <x:c r="W2071" s="31" t="n">
        <x:v>0</x:v>
      </x:c>
      <x:c r="X2071" s="31" t="n">
        <x:v>3</x:v>
      </x:c>
      <x:c r="Y2071" s="40" t="n">
        <x:v>0</x:v>
      </x:c>
      <x:c r="Z2071" s="40" t="n">
        <x:v>1</x:v>
      </x:c>
      <x:c r="AA2071" s="40" t="n">
        <x:v>0.9919571045576407</x:v>
      </x:c>
      <x:c r="AB2071" s="31" t="n">
        <x:v>0.24934143401199726</x:v>
      </x:c>
      <x:c r="AC2071" s="31" t="n">
        <x:v>3</x:v>
      </x:c>
      <x:c r="AD2071" s="44" t="b">
        <x:v>1</x:v>
      </x:c>
    </x:row>
    <x:row r="2072">
      <x:c r="A2072" s="31" t="str">
        <x:v>36081094201</x:v>
      </x:c>
      <x:c r="B2072" s="31" t="str">
        <x:v>Queens</x:v>
      </x:c>
      <x:c r="C2072" s="31" t="str">
        <x:v>094201</x:v>
      </x:c>
      <x:c r="D2072" s="31" t="str">
        <x:v>QN1402</x:v>
      </x:c>
      <x:c r="E2072" s="31" t="str">
        <x:v>Rockaway Beach-Arverne-Edgemere</x:v>
      </x:c>
      <x:c r="F2072" s="31" t="n">
        <x:v>0.13036789516973715</x:v>
      </x:c>
      <x:c r="G2072" s="31" t="n">
        <x:v>40.58473191136774</x:v>
      </x:c>
      <x:c r="H2072" s="31" t="n">
        <x:v>-73.82036316461323</x:v>
      </x:c>
      <x:c r="I2072" s="31" t="n">
        <x:v>3729</x:v>
      </x:c>
      <x:c r="J2072" s="31" t="n">
        <x:v>28603.668066780512</x:v>
      </x:c>
      <x:c r="K2072" s="31"/>
      <x:c r="L2072" s="40"/>
      <x:c r="M2072" s="40"/>
      <x:c r="N2072" s="31" t="n">
        <x:v>330</x:v>
      </x:c>
      <x:c r="O2072" s="31" t="n">
        <x:v>1427</x:v>
      </x:c>
      <x:c r="P2072" s="31" t="n">
        <x:v>5.841519434628975</x:v>
      </x:c>
      <x:c r="Q2072" s="40" t="n">
        <x:v>0.29152067274001403</x:v>
      </x:c>
      <x:c r="R2072" s="40" t="n">
        <x:v>0.4288717589348283</x:v>
      </x:c>
      <x:c r="S2072" s="40" t="n">
        <x:v>0.37841625788367206</x:v>
      </x:c>
      <x:c r="T2072" s="31" t="n">
        <x:v>60.244070133447785</x:v>
      </x:c>
      <x:c r="U2072" s="31" t="n">
        <x:v>126</x:v>
      </x:c>
      <x:c r="V2072" s="31" t="n">
        <x:v>15</x:v>
      </x:c>
      <x:c r="W2072" s="31" t="n">
        <x:v>4.022526146419952</x:v>
      </x:c>
      <x:c r="X2072" s="31" t="n">
        <x:v>4</x:v>
      </x:c>
      <x:c r="Y2072" s="40" t="n">
        <x:v>1</x:v>
      </x:c>
      <x:c r="Z2072" s="40" t="n">
        <x:v>1</x:v>
      </x:c>
      <x:c r="AA2072" s="40" t="n">
        <x:v>1</x:v>
      </x:c>
      <x:c r="AB2072" s="31" t="n">
        <x:v>0.2125918622990201</x:v>
      </x:c>
      <x:c r="AC2072" s="31" t="n">
        <x:v>3</x:v>
      </x:c>
      <x:c r="AD2072" s="44" t="b">
        <x:v>1</x:v>
      </x:c>
    </x:row>
    <x:row r="2073">
      <x:c r="A2073" s="31" t="str">
        <x:v>36081094202</x:v>
      </x:c>
      <x:c r="B2073" s="31" t="str">
        <x:v>Queens</x:v>
      </x:c>
      <x:c r="C2073" s="31" t="str">
        <x:v>094202</x:v>
      </x:c>
      <x:c r="D2073" s="31" t="str">
        <x:v>QN1402</x:v>
      </x:c>
      <x:c r="E2073" s="31" t="str">
        <x:v>Rockaway Beach-Arverne-Edgemere</x:v>
      </x:c>
      <x:c r="F2073" s="31" t="n">
        <x:v>0.2759269826521608</x:v>
      </x:c>
      <x:c r="G2073" s="31" t="n">
        <x:v>40.59015127521917</x:v>
      </x:c>
      <x:c r="H2073" s="31" t="n">
        <x:v>-73.80926760807941</x:v>
      </x:c>
      <x:c r="I2073" s="31" t="n">
        <x:v>4785</x:v>
      </x:c>
      <x:c r="J2073" s="31" t="n">
        <x:v>17341.544324543527</x:v>
      </x:c>
      <x:c r="K2073" s="31"/>
      <x:c r="L2073" s="40"/>
      <x:c r="M2073" s="40"/>
      <x:c r="N2073" s="31" t="n">
        <x:v>478</x:v>
      </x:c>
      <x:c r="O2073" s="31" t="n">
        <x:v>1866</x:v>
      </x:c>
      <x:c r="P2073" s="31" t="n">
        <x:v>4.477209051724138</x:v>
      </x:c>
      <x:c r="Q2073" s="40" t="n">
        <x:v>0</x:v>
      </x:c>
      <x:c r="R2073" s="40" t="n">
        <x:v>0.6843515541264737</x:v>
      </x:c>
      <x:c r="S2073" s="40" t="n">
        <x:v>0.41586280814576637</x:v>
      </x:c>
      <x:c r="T2073" s="31" t="n">
        <x:v>54.57220743686519</x:v>
      </x:c>
      <x:c r="U2073" s="31" t="n">
        <x:v>78.18474159</x:v>
      </x:c>
      <x:c r="V2073" s="31" t="n">
        <x:v>25</x:v>
      </x:c>
      <x:c r="W2073" s="31" t="n">
        <x:v>5.2246603970741905</x:v>
      </x:c>
      <x:c r="X2073" s="31" t="n">
        <x:v>4.111468381564845</x:v>
      </x:c>
      <x:c r="Y2073" s="40" t="n">
        <x:v>1</x:v>
      </x:c>
      <x:c r="Z2073" s="40" t="n">
        <x:v>1</x:v>
      </x:c>
      <x:c r="AA2073" s="40" t="n">
        <x:v>0.9898177920685959</x:v>
      </x:c>
      <x:c r="AB2073" s="31" t="n">
        <x:v>0.12717174585063024</x:v>
      </x:c>
      <x:c r="AC2073" s="31" t="n">
        <x:v>3</x:v>
      </x:c>
      <x:c r="AD2073" s="44" t="b">
        <x:v>1</x:v>
      </x:c>
    </x:row>
    <x:row r="2074">
      <x:c r="A2074" s="31" t="str">
        <x:v>36081094203</x:v>
      </x:c>
      <x:c r="B2074" s="31" t="str">
        <x:v>Queens</x:v>
      </x:c>
      <x:c r="C2074" s="31" t="str">
        <x:v>094203</x:v>
      </x:c>
      <x:c r="D2074" s="31" t="str">
        <x:v>QN1402</x:v>
      </x:c>
      <x:c r="E2074" s="31" t="str">
        <x:v>Rockaway Beach-Arverne-Edgemere</x:v>
      </x:c>
      <x:c r="F2074" s="31" t="n">
        <x:v>0.20031811447859277</x:v>
      </x:c>
      <x:c r="G2074" s="31" t="n">
        <x:v>40.58583445513359</x:v>
      </x:c>
      <x:c r="H2074" s="31" t="n">
        <x:v>-73.80925396492593</x:v>
      </x:c>
      <x:c r="I2074" s="31" t="n">
        <x:v>5676</x:v>
      </x:c>
      <x:c r="J2074" s="31" t="n">
        <x:v>28334.931240612153</x:v>
      </x:c>
      <x:c r="K2074" s="31"/>
      <x:c r="L2074" s="40"/>
      <x:c r="M2074" s="40"/>
      <x:c r="N2074" s="31" t="n">
        <x:v>155</x:v>
      </x:c>
      <x:c r="O2074" s="31" t="n">
        <x:v>2776</x:v>
      </x:c>
      <x:c r="P2074" s="31" t="n">
        <x:v>11.220190922190202</x:v>
      </x:c>
      <x:c r="Q2074" s="40" t="n">
        <x:v>0.8115994236311239</x:v>
      </x:c>
      <x:c r="R2074" s="40" t="n">
        <x:v>0.12175792507204611</x:v>
      </x:c>
      <x:c r="S2074" s="40" t="n">
        <x:v>0.8245677233429395</x:v>
      </x:c>
      <x:c r="T2074" s="31" t="n">
        <x:v>101.42832361214697</x:v>
      </x:c>
      <x:c r="U2074" s="31" t="n">
        <x:v>117</x:v>
      </x:c>
      <x:c r="V2074" s="31" t="n">
        <x:v>36</x:v>
      </x:c>
      <x:c r="W2074" s="31" t="n">
        <x:v>6.342494714587738</x:v>
      </x:c>
      <x:c r="X2074" s="31" t="n">
        <x:v>4.399135446685879</x:v>
      </x:c>
      <x:c r="Y2074" s="40" t="n">
        <x:v>1</x:v>
      </x:c>
      <x:c r="Z2074" s="40" t="n">
        <x:v>1</x:v>
      </x:c>
      <x:c r="AA2074" s="40" t="n">
        <x:v>1</x:v>
      </x:c>
      <x:c r="AB2074" s="31" t="n">
        <x:v>0.18805879695366362</x:v>
      </x:c>
      <x:c r="AC2074" s="31" t="n">
        <x:v>3</x:v>
      </x:c>
      <x:c r="AD2074" s="44" t="b">
        <x:v>1</x:v>
      </x:c>
    </x:row>
    <x:row r="2075">
      <x:c r="A2075" s="31" t="str">
        <x:v>36081094500</x:v>
      </x:c>
      <x:c r="B2075" s="31" t="str">
        <x:v>Queens</x:v>
      </x:c>
      <x:c r="C2075" s="31" t="str">
        <x:v>094500</x:v>
      </x:c>
      <x:c r="D2075" s="31" t="str">
        <x:v>QN0701</x:v>
      </x:c>
      <x:c r="E2075" s="31" t="str">
        <x:v>College Point</x:v>
      </x:c>
      <x:c r="F2075" s="31" t="n">
        <x:v>0.5907847350242481</x:v>
      </x:c>
      <x:c r="G2075" s="31" t="n">
        <x:v>40.7875821110159</x:v>
      </x:c>
      <x:c r="H2075" s="31" t="n">
        <x:v>-73.83077101868535</x:v>
      </x:c>
      <x:c r="I2075" s="31" t="n">
        <x:v>4327</x:v>
      </x:c>
      <x:c r="J2075" s="31" t="n">
        <x:v>7324.1567418332215</x:v>
      </x:c>
      <x:c r="K2075" s="31"/>
      <x:c r="L2075" s="40"/>
      <x:c r="M2075" s="40"/>
      <x:c r="N2075" s="31" t="n">
        <x:v>1071</x:v>
      </x:c>
      <x:c r="O2075" s="31" t="n">
        <x:v>1451</x:v>
      </x:c>
      <x:c r="P2075" s="31" t="n">
        <x:v>1.9461655172413794</x:v>
      </x:c>
      <x:c r="Q2075" s="40" t="n">
        <x:v>0</x:v>
      </x:c>
      <x:c r="R2075" s="40" t="n">
        <x:v>0.13370089593383874</x:v>
      </x:c>
      <x:c r="S2075" s="40" t="n">
        <x:v>0.07236388697450034</x:v>
      </x:c>
      <x:c r="T2075" s="31" t="n">
        <x:v>26.412400700385696</x:v>
      </x:c>
      <x:c r="U2075" s="31" t="n">
        <x:v>45</x:v>
      </x:c>
      <x:c r="V2075" s="31" t="n">
        <x:v>17</x:v>
      </x:c>
      <x:c r="W2075" s="31" t="n">
        <x:v>3.92881904321701</x:v>
      </x:c>
      <x:c r="X2075" s="31" t="n">
        <x:v>2.5444521019986217</x:v>
      </x:c>
      <x:c r="Y2075" s="40" t="n">
        <x:v>0</x:v>
      </x:c>
      <x:c r="Z2075" s="40" t="n">
        <x:v>1</x:v>
      </x:c>
      <x:c r="AA2075" s="40" t="n">
        <x:v>0.9827705031013094</x:v>
      </x:c>
      <x:c r="AB2075" s="31" t="n">
        <x:v>0.19226748275319336</x:v>
      </x:c>
      <x:c r="AC2075" s="31" t="n">
        <x:v>6</x:v>
      </x:c>
      <x:c r="AD2075" s="44" t="b">
        <x:v>1</x:v>
      </x:c>
    </x:row>
    <x:row r="2076">
      <x:c r="A2076" s="31" t="str">
        <x:v>36081094700</x:v>
      </x:c>
      <x:c r="B2076" s="31" t="str">
        <x:v>Queens</x:v>
      </x:c>
      <x:c r="C2076" s="31" t="str">
        <x:v>094700</x:v>
      </x:c>
      <x:c r="D2076" s="31" t="str">
        <x:v>QN0701</x:v>
      </x:c>
      <x:c r="E2076" s="31" t="str">
        <x:v>College Point</x:v>
      </x:c>
      <x:c r="F2076" s="31" t="n">
        <x:v>0.10530090825262568</x:v>
      </x:c>
      <x:c r="G2076" s="31" t="n">
        <x:v>40.785577108889726</x:v>
      </x:c>
      <x:c r="H2076" s="31" t="n">
        <x:v>-73.8413714645638</x:v>
      </x:c>
      <x:c r="I2076" s="31" t="n">
        <x:v>3035</x:v>
      </x:c>
      <x:c r="J2076" s="31" t="n">
        <x:v>28822.163553601848</x:v>
      </x:c>
      <x:c r="K2076" s="31"/>
      <x:c r="L2076" s="40"/>
      <x:c r="M2076" s="40"/>
      <x:c r="N2076" s="31" t="n">
        <x:v>432</x:v>
      </x:c>
      <x:c r="O2076" s="31" t="n">
        <x:v>831</x:v>
      </x:c>
      <x:c r="P2076" s="31" t="n">
        <x:v>2.0888086642599277</x:v>
      </x:c>
      <x:c r="Q2076" s="40" t="n">
        <x:v>0</x:v>
      </x:c>
      <x:c r="R2076" s="40" t="n">
        <x:v>0.05535499398315283</x:v>
      </x:c>
      <x:c r="S2076" s="40" t="n">
        <x:v>0.02527075812274368</x:v>
      </x:c>
      <x:c r="T2076" s="31" t="n">
        <x:v>27.032362528703032</x:v>
      </x:c>
      <x:c r="U2076" s="31" t="n">
        <x:v>48.64</x:v>
      </x:c>
      <x:c r="V2076" s="31" t="n">
        <x:v>1</x:v>
      </x:c>
      <x:c r="W2076" s="31" t="n">
        <x:v>0.32948929159802304</x:v>
      </x:c>
      <x:c r="X2076" s="31" t="n">
        <x:v>3</x:v>
      </x:c>
      <x:c r="Y2076" s="40" t="n">
        <x:v>0</x:v>
      </x:c>
      <x:c r="Z2076" s="40" t="n">
        <x:v>1</x:v>
      </x:c>
      <x:c r="AA2076" s="40" t="n">
        <x:v>0.9927797833935018</x:v>
      </x:c>
      <x:c r="AB2076" s="31" t="n">
        <x:v>0.1170579205891631</x:v>
      </x:c>
      <x:c r="AC2076" s="31" t="n">
        <x:v>6</x:v>
      </x:c>
      <x:c r="AD2076" s="44" t="b">
        <x:v>1</x:v>
      </x:c>
    </x:row>
    <x:row r="2077">
      <x:c r="A2077" s="31" t="str">
        <x:v>36081095400</x:v>
      </x:c>
      <x:c r="B2077" s="31" t="str">
        <x:v>Queens</x:v>
      </x:c>
      <x:c r="C2077" s="31" t="str">
        <x:v>095400</x:v>
      </x:c>
      <x:c r="D2077" s="31" t="str">
        <x:v>QN1402</x:v>
      </x:c>
      <x:c r="E2077" s="31" t="str">
        <x:v>Rockaway Beach-Arverne-Edgemere</x:v>
      </x:c>
      <x:c r="F2077" s="31" t="n">
        <x:v>0.31314982068483127</x:v>
      </x:c>
      <x:c r="G2077" s="31" t="n">
        <x:v>40.59289354885846</x:v>
      </x:c>
      <x:c r="H2077" s="31" t="n">
        <x:v>-73.79950872338775</x:v>
      </x:c>
      <x:c r="I2077" s="31" t="n">
        <x:v>6108</x:v>
      </x:c>
      <x:c r="J2077" s="31" t="n">
        <x:v>19505.040707487355</x:v>
      </x:c>
      <x:c r="K2077" s="31"/>
      <x:c r="L2077" s="40"/>
      <x:c r="M2077" s="40"/>
      <x:c r="N2077" s="31" t="n">
        <x:v>970</x:v>
      </x:c>
      <x:c r="O2077" s="31" t="n">
        <x:v>2220</x:v>
      </x:c>
      <x:c r="P2077" s="31" t="n">
        <x:v>3.2371467391304347</x:v>
      </x:c>
      <x:c r="Q2077" s="40" t="n">
        <x:v>0.07837837837837838</x:v>
      </x:c>
      <x:c r="R2077" s="40" t="n">
        <x:v>0.25135135135135134</x:v>
      </x:c>
      <x:c r="S2077" s="40" t="n">
        <x:v>0.005855855855855856</x:v>
      </x:c>
      <x:c r="T2077" s="31" t="n">
        <x:v>40.62124198852573</x:v>
      </x:c>
      <x:c r="U2077" s="31" t="n">
        <x:v>96.86900798</x:v>
      </x:c>
      <x:c r="V2077" s="31" t="n">
        <x:v>42</x:v>
      </x:c>
      <x:c r="W2077" s="31" t="n">
        <x:v>6.8762278978389</x:v>
      </x:c>
      <x:c r="X2077" s="31" t="n">
        <x:v>5</x:v>
      </x:c>
      <x:c r="Y2077" s="40" t="n">
        <x:v>1</x:v>
      </x:c>
      <x:c r="Z2077" s="40" t="n">
        <x:v>1</x:v>
      </x:c>
      <x:c r="AA2077" s="40" t="n">
        <x:v>0.9716216216216216</x:v>
      </x:c>
      <x:c r="AB2077" s="31" t="n">
        <x:v>0.27104378817735175</x:v>
      </x:c>
      <x:c r="AC2077" s="31" t="n">
        <x:v>3</x:v>
      </x:c>
      <x:c r="AD2077" s="44" t="b">
        <x:v>1</x:v>
      </x:c>
    </x:row>
    <x:row r="2078">
      <x:c r="A2078" s="31" t="str">
        <x:v>36081096400</x:v>
      </x:c>
      <x:c r="B2078" s="31" t="str">
        <x:v>Queens</x:v>
      </x:c>
      <x:c r="C2078" s="31" t="str">
        <x:v>096400</x:v>
      </x:c>
      <x:c r="D2078" s="31" t="str">
        <x:v>QN1402</x:v>
      </x:c>
      <x:c r="E2078" s="31" t="str">
        <x:v>Rockaway Beach-Arverne-Edgemere</x:v>
      </x:c>
      <x:c r="F2078" s="31" t="n">
        <x:v>0.33134501830772206</x:v>
      </x:c>
      <x:c r="G2078" s="31" t="n">
        <x:v>40.59385634289087</x:v>
      </x:c>
      <x:c r="H2078" s="31" t="n">
        <x:v>-73.79252473782033</x:v>
      </x:c>
      <x:c r="I2078" s="31" t="n">
        <x:v>6353</x:v>
      </x:c>
      <x:c r="J2078" s="31" t="n">
        <x:v>19173.368087580337</x:v>
      </x:c>
      <x:c r="K2078" s="31"/>
      <x:c r="L2078" s="40"/>
      <x:c r="M2078" s="40"/>
      <x:c r="N2078" s="31" t="n">
        <x:v>986</x:v>
      </x:c>
      <x:c r="O2078" s="31" t="n">
        <x:v>2122</x:v>
      </x:c>
      <x:c r="P2078" s="31" t="n">
        <x:v>2.2077992485238864</x:v>
      </x:c>
      <x:c r="Q2078" s="40" t="n">
        <x:v>0</x:v>
      </x:c>
      <x:c r="R2078" s="40" t="n">
        <x:v>0.2181903864278982</x:v>
      </x:c>
      <x:c r="S2078" s="40" t="n">
        <x:v>0.06597549481621112</x:v>
      </x:c>
      <x:c r="T2078" s="31" t="n">
        <x:v>30.95599298324851</x:v>
      </x:c>
      <x:c r="U2078" s="31" t="n">
        <x:v>55.51024239</x:v>
      </x:c>
      <x:c r="V2078" s="31" t="n">
        <x:v>11</x:v>
      </x:c>
      <x:c r="W2078" s="31" t="n">
        <x:v>1.731465449393987</x:v>
      </x:c>
      <x:c r="X2078" s="31" t="n">
        <x:v>5</x:v>
      </x:c>
      <x:c r="Y2078" s="40" t="n">
        <x:v>1</x:v>
      </x:c>
      <x:c r="Z2078" s="40" t="n">
        <x:v>1</x:v>
      </x:c>
      <x:c r="AA2078" s="40" t="n">
        <x:v>0.8704052780395853</x:v>
      </x:c>
      <x:c r="AB2078" s="31" t="n">
        <x:v>0.13082378387745955</x:v>
      </x:c>
      <x:c r="AC2078" s="31" t="n">
        <x:v>4</x:v>
      </x:c>
      <x:c r="AD2078" s="44" t="b">
        <x:v>1</x:v>
      </x:c>
    </x:row>
    <x:row r="2079">
      <x:c r="A2079" s="31" t="str">
        <x:v>36081097202</x:v>
      </x:c>
      <x:c r="B2079" s="31" t="str">
        <x:v>Queens</x:v>
      </x:c>
      <x:c r="C2079" s="31" t="str">
        <x:v>097202</x:v>
      </x:c>
      <x:c r="D2079" s="31" t="str">
        <x:v>QN1402</x:v>
      </x:c>
      <x:c r="E2079" s="31" t="str">
        <x:v>Rockaway Beach-Arverne-Edgemere</x:v>
      </x:c>
      <x:c r="F2079" s="31" t="n">
        <x:v>0.22257726235580236</x:v>
      </x:c>
      <x:c r="G2079" s="31" t="n">
        <x:v>40.59102144266065</x:v>
      </x:c>
      <x:c r="H2079" s="31" t="n">
        <x:v>-73.78010760029335</x:v>
      </x:c>
      <x:c r="I2079" s="31" t="n">
        <x:v>3460</x:v>
      </x:c>
      <x:c r="J2079" s="31" t="n">
        <x:v>15545.163793366251</x:v>
      </x:c>
      <x:c r="K2079" s="31"/>
      <x:c r="L2079" s="40"/>
      <x:c r="M2079" s="40"/>
      <x:c r="N2079" s="31" t="n">
        <x:v>2</x:v>
      </x:c>
      <x:c r="O2079" s="31" t="n">
        <x:v>1094</x:v>
      </x:c>
      <x:c r="P2079" s="31" t="n">
        <x:v>18.956124314442413</x:v>
      </x:c>
      <x:c r="Q2079" s="40" t="n">
        <x:v>0.9972577696526508</x:v>
      </x:c>
      <x:c r="R2079" s="40" t="n">
        <x:v>0.002742230347349177</x:v>
      </x:c>
      <x:c r="S2079" s="40" t="n">
        <x:v>0.9972577696526508</x:v>
      </x:c>
      <x:c r="T2079" s="31" t="n">
        <x:v>193.55027422303473</x:v>
      </x:c>
      <x:c r="U2079" s="31" t="n">
        <x:v>194</x:v>
      </x:c>
      <x:c r="V2079" s="31" t="n">
        <x:v>6</x:v>
      </x:c>
      <x:c r="W2079" s="31" t="n">
        <x:v>1.7341040462427746</x:v>
      </x:c>
      <x:c r="X2079" s="31" t="n">
        <x:v>5</x:v>
      </x:c>
      <x:c r="Y2079" s="40" t="n">
        <x:v>1</x:v>
      </x:c>
      <x:c r="Z2079" s="40" t="n">
        <x:v>1</x:v>
      </x:c>
      <x:c r="AA2079" s="40" t="n">
        <x:v>1</x:v>
      </x:c>
      <x:c r="AB2079" s="31" t="n">
        <x:v>0.253846873334135</x:v>
      </x:c>
      <x:c r="AC2079" s="31" t="n">
        <x:v>3</x:v>
      </x:c>
      <x:c r="AD2079" s="44" t="b">
        <x:v>1</x:v>
      </x:c>
    </x:row>
    <x:row r="2080">
      <x:c r="A2080" s="31" t="str">
        <x:v>36081097204</x:v>
      </x:c>
      <x:c r="B2080" s="31" t="str">
        <x:v>Queens</x:v>
      </x:c>
      <x:c r="C2080" s="31" t="str">
        <x:v>097204</x:v>
      </x:c>
      <x:c r="D2080" s="31" t="str">
        <x:v>QN1402</x:v>
      </x:c>
      <x:c r="E2080" s="31" t="str">
        <x:v>Rockaway Beach-Arverne-Edgemere</x:v>
      </x:c>
      <x:c r="F2080" s="31" t="n">
        <x:v>0.1512047830542642</x:v>
      </x:c>
      <x:c r="G2080" s="31" t="n">
        <x:v>40.5939054074339</x:v>
      </x:c>
      <x:c r="H2080" s="31" t="n">
        <x:v>-73.78113076000929</x:v>
      </x:c>
      <x:c r="I2080" s="31" t="n">
        <x:v>4078</x:v>
      </x:c>
      <x:c r="J2080" s="31" t="n">
        <x:v>26970.046301620576</x:v>
      </x:c>
      <x:c r="K2080" s="31"/>
      <x:c r="L2080" s="40"/>
      <x:c r="M2080" s="40"/>
      <x:c r="N2080" s="31" t="n">
        <x:v>216</x:v>
      </x:c>
      <x:c r="O2080" s="31" t="n">
        <x:v>2060</x:v>
      </x:c>
      <x:c r="P2080" s="31" t="n">
        <x:v>8.77457379444715</x:v>
      </x:c>
      <x:c r="Q2080" s="40" t="n">
        <x:v>0.3276699029126214</x:v>
      </x:c>
      <x:c r="R2080" s="40" t="n">
        <x:v>0.5305825242718447</x:v>
      </x:c>
      <x:c r="S2080" s="40" t="n">
        <x:v>0.3713592233009709</x:v>
      </x:c>
      <x:c r="T2080" s="31" t="n">
        <x:v>79.06476005892198</x:v>
      </x:c>
      <x:c r="U2080" s="31" t="n">
        <x:v>180</x:v>
      </x:c>
      <x:c r="V2080" s="31" t="n">
        <x:v>30</x:v>
      </x:c>
      <x:c r="W2080" s="31" t="n">
        <x:v>7.356547327121138</x:v>
      </x:c>
      <x:c r="X2080" s="31" t="n">
        <x:v>5</x:v>
      </x:c>
      <x:c r="Y2080" s="40" t="n">
        <x:v>1</x:v>
      </x:c>
      <x:c r="Z2080" s="40" t="n">
        <x:v>1</x:v>
      </x:c>
      <x:c r="AA2080" s="40" t="n">
        <x:v>0.8150485436893203</x:v>
      </x:c>
      <x:c r="AB2080" s="31" t="n">
        <x:v>0.13254703381220462</x:v>
      </x:c>
      <x:c r="AC2080" s="31" t="n">
        <x:v>5</x:v>
      </x:c>
      <x:c r="AD2080" s="44" t="b">
        <x:v>1</x:v>
      </x:c>
    </x:row>
    <x:row r="2081">
      <x:c r="A2081" s="31" t="str">
        <x:v>36081097205</x:v>
      </x:c>
      <x:c r="B2081" s="31" t="str">
        <x:v>Queens</x:v>
      </x:c>
      <x:c r="C2081" s="31" t="str">
        <x:v>097205</x:v>
      </x:c>
      <x:c r="D2081" s="31" t="str">
        <x:v>QN1402</x:v>
      </x:c>
      <x:c r="E2081" s="31" t="str">
        <x:v>Rockaway Beach-Arverne-Edgemere</x:v>
      </x:c>
      <x:c r="F2081" s="31" t="n">
        <x:v>0.06801129432105142</x:v>
      </x:c>
      <x:c r="G2081" s="31" t="n">
        <x:v>40.59622815240185</x:v>
      </x:c>
      <x:c r="H2081" s="31" t="n">
        <x:v>-73.78550764574578</x:v>
      </x:c>
      <x:c r="I2081" s="31" t="n">
        <x:v>4268</x:v>
      </x:c>
      <x:c r="J2081" s="31" t="n">
        <x:v>62754.28283797465</x:v>
      </x:c>
      <x:c r="K2081" s="31"/>
      <x:c r="L2081" s="40"/>
      <x:c r="M2081" s="40"/>
      <x:c r="N2081" s="31" t="n">
        <x:v>2</x:v>
      </x:c>
      <x:c r="O2081" s="31" t="n">
        <x:v>1395</x:v>
      </x:c>
      <x:c r="P2081" s="31" t="n">
        <x:v>9</x:v>
      </x:c>
      <x:c r="Q2081" s="40" t="n">
        <x:v>1</x:v>
      </x:c>
      <x:c r="R2081" s="40" t="n">
        <x:v>0</x:v>
      </x:c>
      <x:c r="S2081" s="40" t="n">
        <x:v>1</x:v>
      </x:c>
      <x:c r="T2081" s="31" t="n">
        <x:v>79.77715014735483</x:v>
      </x:c>
      <x:c r="U2081" s="31" t="n">
        <x:v>80</x:v>
      </x:c>
      <x:c r="V2081" s="31" t="n">
        <x:v>28</x:v>
      </x:c>
      <x:c r="W2081" s="31" t="n">
        <x:v>6.560449859418931</x:v>
      </x:c>
      <x:c r="X2081" s="31" t="n">
        <x:v>5</x:v>
      </x:c>
      <x:c r="Y2081" s="40" t="n">
        <x:v>1</x:v>
      </x:c>
      <x:c r="Z2081" s="40" t="n">
        <x:v>1</x:v>
      </x:c>
      <x:c r="AA2081" s="40" t="n">
        <x:v>1</x:v>
      </x:c>
      <x:c r="AB2081" s="31" t="n">
        <x:v>0.13443773253854702</x:v>
      </x:c>
      <x:c r="AC2081" s="31" t="n">
        <x:v>4</x:v>
      </x:c>
      <x:c r="AD2081" s="44" t="b">
        <x:v>1</x:v>
      </x:c>
    </x:row>
    <x:row r="2082">
      <x:c r="A2082" s="31" t="str">
        <x:v>36081097206</x:v>
      </x:c>
      <x:c r="B2082" s="31" t="str">
        <x:v>Queens</x:v>
      </x:c>
      <x:c r="C2082" s="31" t="str">
        <x:v>097206</x:v>
      </x:c>
      <x:c r="D2082" s="31" t="str">
        <x:v>QN1402</x:v>
      </x:c>
      <x:c r="E2082" s="31" t="str">
        <x:v>Rockaway Beach-Arverne-Edgemere</x:v>
      </x:c>
      <x:c r="F2082" s="31" t="n">
        <x:v>0.11863213584423783</x:v>
      </x:c>
      <x:c r="G2082" s="31" t="n">
        <x:v>40.597532281354844</x:v>
      </x:c>
      <x:c r="H2082" s="31" t="n">
        <x:v>-73.77591240535018</x:v>
      </x:c>
      <x:c r="I2082" s="31" t="n">
        <x:v>2910</x:v>
      </x:c>
      <x:c r="J2082" s="31" t="n">
        <x:v>24529.60978314329</x:v>
      </x:c>
      <x:c r="K2082" s="31"/>
      <x:c r="L2082" s="40"/>
      <x:c r="M2082" s="40"/>
      <x:c r="N2082" s="31" t="n">
        <x:v>250</x:v>
      </x:c>
      <x:c r="O2082" s="31" t="n">
        <x:v>1084</x:v>
      </x:c>
      <x:c r="P2082" s="31" t="n">
        <x:v>9.104150417827299</x:v>
      </x:c>
      <x:c r="Q2082" s="40" t="n">
        <x:v>0.6568265682656826</x:v>
      </x:c>
      <x:c r="R2082" s="40" t="n">
        <x:v>0</x:v>
      </x:c>
      <x:c r="S2082" s="40" t="n">
        <x:v>0.34501845018450183</x:v>
      </x:c>
      <x:c r="T2082" s="31" t="n">
        <x:v>85.37933636525821</x:v>
      </x:c>
      <x:c r="U2082" s="31" t="n">
        <x:v>116.40136986</x:v>
      </x:c>
      <x:c r="V2082" s="31" t="n">
        <x:v>16</x:v>
      </x:c>
      <x:c r="W2082" s="31" t="n">
        <x:v>5.498281786941581</x:v>
      </x:c>
      <x:c r="X2082" s="31" t="n">
        <x:v>5</x:v>
      </x:c>
      <x:c r="Y2082" s="40" t="n">
        <x:v>1</x:v>
      </x:c>
      <x:c r="Z2082" s="40" t="n">
        <x:v>1</x:v>
      </x:c>
      <x:c r="AA2082" s="40" t="n">
        <x:v>0.9824723247232472</x:v>
      </x:c>
      <x:c r="AB2082" s="31" t="n">
        <x:v>0.22690100611675007</x:v>
      </x:c>
      <x:c r="AC2082" s="31" t="n">
        <x:v>4</x:v>
      </x:c>
      <x:c r="AD2082" s="44" t="b">
        <x:v>1</x:v>
      </x:c>
    </x:row>
    <x:row r="2083">
      <x:c r="A2083" s="31" t="str">
        <x:v>36081097207</x:v>
      </x:c>
      <x:c r="B2083" s="31" t="str">
        <x:v>Queens</x:v>
      </x:c>
      <x:c r="C2083" s="31" t="str">
        <x:v>097207</x:v>
      </x:c>
      <x:c r="D2083" s="31" t="str">
        <x:v>QN1491</x:v>
      </x:c>
      <x:c r="E2083" s="31" t="str">
        <x:v>Rockaway Community Park</x:v>
      </x:c>
      <x:c r="F2083" s="31" t="n">
        <x:v>0.3203091898340651</x:v>
      </x:c>
      <x:c r="G2083" s="31" t="n">
        <x:v>40.603377522532156</x:v>
      </x:c>
      <x:c r="H2083" s="31" t="n">
        <x:v>-73.78052174799141</x:v>
      </x:c>
      <x:c r="I2083" s="31" t="n">
        <x:v>12</x:v>
      </x:c>
      <x:c r="J2083" s="31" t="n">
        <x:v>37.46380179168931</x:v>
      </x:c>
      <x:c r="K2083" s="31"/>
      <x:c r="L2083" s="40"/>
      <x:c r="M2083" s="40"/>
      <x:c r="N2083" s="31" t="n">
        <x:v>0</x:v>
      </x:c>
      <x:c r="O2083" s="31"/>
      <x:c r="P2083" s="31"/>
      <x:c r="Q2083" s="40"/>
      <x:c r="R2083" s="40"/>
      <x:c r="S2083" s="40"/>
      <x:c r="T2083" s="31"/>
      <x:c r="U2083" s="31"/>
      <x:c r="V2083" s="31" t="n">
        <x:v>0</x:v>
      </x:c>
      <x:c r="W2083" s="31" t="n">
        <x:v>0</x:v>
      </x:c>
      <x:c r="X2083" s="31"/>
      <x:c r="Y2083" s="40"/>
      <x:c r="Z2083" s="40"/>
      <x:c r="AA2083" s="40"/>
      <x:c r="AB2083" s="31" t="n">
        <x:v>0.5234418860375318</x:v>
      </x:c>
      <x:c r="AC2083" s="31" t="n">
        <x:v>2</x:v>
      </x:c>
      <x:c r="AD2083" s="44" t="b">
        <x:v>0</x:v>
      </x:c>
    </x:row>
    <x:row r="2084">
      <x:c r="A2084" s="31" t="str">
        <x:v>36081097300</x:v>
      </x:c>
      <x:c r="B2084" s="31" t="str">
        <x:v>Queens</x:v>
      </x:c>
      <x:c r="C2084" s="31" t="str">
        <x:v>097300</x:v>
      </x:c>
      <x:c r="D2084" s="31" t="str">
        <x:v>QN0702</x:v>
      </x:c>
      <x:c r="E2084" s="31" t="str">
        <x:v>Whitestone-Beechhurst</x:v>
      </x:c>
      <x:c r="F2084" s="31" t="n">
        <x:v>0.20230673128981577</x:v>
      </x:c>
      <x:c r="G2084" s="31" t="n">
        <x:v>40.79353164386561</x:v>
      </x:c>
      <x:c r="H2084" s="31" t="n">
        <x:v>-73.82102821466152</x:v>
      </x:c>
      <x:c r="I2084" s="31" t="n">
        <x:v>2007</x:v>
      </x:c>
      <x:c r="J2084" s="31" t="n">
        <x:v>9920.579444906652</x:v>
      </x:c>
      <x:c r="K2084" s="31"/>
      <x:c r="L2084" s="40"/>
      <x:c r="M2084" s="40"/>
      <x:c r="N2084" s="31" t="n">
        <x:v>671</x:v>
      </x:c>
      <x:c r="O2084" s="31" t="n">
        <x:v>758</x:v>
      </x:c>
      <x:c r="P2084" s="31" t="n">
        <x:v>1.809089709762533</x:v>
      </x:c>
      <x:c r="Q2084" s="40" t="n">
        <x:v>0</x:v>
      </x:c>
      <x:c r="R2084" s="40" t="n">
        <x:v>0.0013192612137203166</x:v>
      </x:c>
      <x:c r="S2084" s="40" t="n">
        <x:v>0.026385224274406333</x:v>
      </x:c>
      <x:c r="T2084" s="31" t="n">
        <x:v>24.643865574603176</x:v>
      </x:c>
      <x:c r="U2084" s="31" t="n">
        <x:v>38.73</x:v>
      </x:c>
      <x:c r="V2084" s="31" t="n">
        <x:v>2</x:v>
      </x:c>
      <x:c r="W2084" s="31" t="n">
        <x:v>0.996512207274539</x:v>
      </x:c>
      <x:c r="X2084" s="31" t="n">
        <x:v>2</x:v>
      </x:c>
      <x:c r="Y2084" s="40" t="n">
        <x:v>0</x:v>
      </x:c>
      <x:c r="Z2084" s="40" t="n">
        <x:v>1</x:v>
      </x:c>
      <x:c r="AA2084" s="40" t="n">
        <x:v>0.9973614775725593</x:v>
      </x:c>
      <x:c r="AB2084" s="31" t="n">
        <x:v>0.5361542805668009</x:v>
      </x:c>
      <x:c r="AC2084" s="31" t="n">
        <x:v>3</x:v>
      </x:c>
      <x:c r="AD2084" s="44" t="b">
        <x:v>1</x:v>
      </x:c>
    </x:row>
    <x:row r="2085">
      <x:c r="A2085" s="31" t="str">
        <x:v>36081098100</x:v>
      </x:c>
      <x:c r="B2085" s="31" t="str">
        <x:v>Queens</x:v>
      </x:c>
      <x:c r="C2085" s="31" t="str">
        <x:v>098100</x:v>
      </x:c>
      <x:c r="D2085" s="31" t="str">
        <x:v>QN0702</x:v>
      </x:c>
      <x:c r="E2085" s="31" t="str">
        <x:v>Whitestone-Beechhurst</x:v>
      </x:c>
      <x:c r="F2085" s="31" t="n">
        <x:v>0.2498225604955808</x:v>
      </x:c>
      <x:c r="G2085" s="31" t="n">
        <x:v>40.79469560249189</x:v>
      </x:c>
      <x:c r="H2085" s="31" t="n">
        <x:v>-73.81604677411447</x:v>
      </x:c>
      <x:c r="I2085" s="31" t="n">
        <x:v>2353</x:v>
      </x:c>
      <x:c r="J2085" s="31" t="n">
        <x:v>9418.684987185627</x:v>
      </x:c>
      <x:c r="K2085" s="31"/>
      <x:c r="L2085" s="40"/>
      <x:c r="M2085" s="40"/>
      <x:c r="N2085" s="31" t="n">
        <x:v>690</x:v>
      </x:c>
      <x:c r="O2085" s="31" t="n">
        <x:v>895</x:v>
      </x:c>
      <x:c r="P2085" s="31" t="n">
        <x:v>2.077441340782123</x:v>
      </x:c>
      <x:c r="Q2085" s="40" t="n">
        <x:v>0.0022346368715083797</x:v>
      </x:c>
      <x:c r="R2085" s="40" t="n">
        <x:v>0.07486033519553073</x:v>
      </x:c>
      <x:c r="S2085" s="40" t="n">
        <x:v>0.012290502793296089</x:v>
      </x:c>
      <x:c r="T2085" s="31" t="n">
        <x:v>27.195972083974798</x:v>
      </x:c>
      <x:c r="U2085" s="31" t="n">
        <x:v>53</x:v>
      </x:c>
      <x:c r="V2085" s="31" t="n">
        <x:v>8</x:v>
      </x:c>
      <x:c r="W2085" s="31" t="n">
        <x:v>3.399915002124947</x:v>
      </x:c>
      <x:c r="X2085" s="31" t="n">
        <x:v>2</x:v>
      </x:c>
      <x:c r="Y2085" s="40" t="n">
        <x:v>0</x:v>
      </x:c>
      <x:c r="Z2085" s="40" t="n">
        <x:v>1</x:v>
      </x:c>
      <x:c r="AA2085" s="40" t="n">
        <x:v>0.9754189944134078</x:v>
      </x:c>
      <x:c r="AB2085" s="31" t="n">
        <x:v>0.3865408273685467</x:v>
      </x:c>
      <x:c r="AC2085" s="31" t="n">
        <x:v>4</x:v>
      </x:c>
      <x:c r="AD2085" s="44" t="b">
        <x:v>1</x:v>
      </x:c>
    </x:row>
    <x:row r="2086">
      <x:c r="A2086" s="31" t="str">
        <x:v>36081098700</x:v>
      </x:c>
      <x:c r="B2086" s="31" t="str">
        <x:v>Queens</x:v>
      </x:c>
      <x:c r="C2086" s="31" t="str">
        <x:v>098700</x:v>
      </x:c>
      <x:c r="D2086" s="31" t="str">
        <x:v>QN0702</x:v>
      </x:c>
      <x:c r="E2086" s="31" t="str">
        <x:v>Whitestone-Beechhurst</x:v>
      </x:c>
      <x:c r="F2086" s="31" t="n">
        <x:v>0.2585544356128759</x:v>
      </x:c>
      <x:c r="G2086" s="31" t="n">
        <x:v>40.79239503238585</x:v>
      </x:c>
      <x:c r="H2086" s="31" t="n">
        <x:v>-73.80873147114622</x:v>
      </x:c>
      <x:c r="I2086" s="31" t="n">
        <x:v>2543</x:v>
      </x:c>
      <x:c r="J2086" s="31" t="n">
        <x:v>9835.453002274311</x:v>
      </x:c>
      <x:c r="K2086" s="31"/>
      <x:c r="L2086" s="40"/>
      <x:c r="M2086" s="40"/>
      <x:c r="N2086" s="31" t="n">
        <x:v>685</x:v>
      </x:c>
      <x:c r="O2086" s="31" t="n">
        <x:v>953</x:v>
      </x:c>
      <x:c r="P2086" s="31" t="n">
        <x:v>2.335036726128017</x:v>
      </x:c>
      <x:c r="Q2086" s="40" t="n">
        <x:v>0</x:v>
      </x:c>
      <x:c r="R2086" s="40" t="n">
        <x:v>0.16054564533053514</x:v>
      </x:c>
      <x:c r="S2086" s="40" t="n">
        <x:v>0.06295907660020986</x:v>
      </x:c>
      <x:c r="T2086" s="31" t="n">
        <x:v>28.988750167185184</x:v>
      </x:c>
      <x:c r="U2086" s="31" t="n">
        <x:v>64.29</x:v>
      </x:c>
      <x:c r="V2086" s="31" t="n">
        <x:v>2</x:v>
      </x:c>
      <x:c r="W2086" s="31" t="n">
        <x:v>0.7864726700747149</x:v>
      </x:c>
      <x:c r="X2086" s="31" t="n">
        <x:v>2</x:v>
      </x:c>
      <x:c r="Y2086" s="40" t="n">
        <x:v>0</x:v>
      </x:c>
      <x:c r="Z2086" s="40" t="n">
        <x:v>1</x:v>
      </x:c>
      <x:c r="AA2086" s="40" t="n">
        <x:v>0.9916054564533053</x:v>
      </x:c>
      <x:c r="AB2086" s="31" t="n">
        <x:v>0.044248136441671436</x:v>
      </x:c>
      <x:c r="AC2086" s="31" t="n">
        <x:v>4</x:v>
      </x:c>
      <x:c r="AD2086" s="44" t="b">
        <x:v>1</x:v>
      </x:c>
    </x:row>
    <x:row r="2087">
      <x:c r="A2087" s="31" t="str">
        <x:v>36081099100</x:v>
      </x:c>
      <x:c r="B2087" s="31" t="str">
        <x:v>Queens</x:v>
      </x:c>
      <x:c r="C2087" s="31" t="str">
        <x:v>099100</x:v>
      </x:c>
      <x:c r="D2087" s="31" t="str">
        <x:v>QN0702</x:v>
      </x:c>
      <x:c r="E2087" s="31" t="str">
        <x:v>Whitestone-Beechhurst</x:v>
      </x:c>
      <x:c r="F2087" s="31" t="n">
        <x:v>0.41884604098513545</x:v>
      </x:c>
      <x:c r="G2087" s="31" t="n">
        <x:v>40.79028125694585</x:v>
      </x:c>
      <x:c r="H2087" s="31" t="n">
        <x:v>-73.80000095223863</x:v>
      </x:c>
      <x:c r="I2087" s="31" t="n">
        <x:v>6642</x:v>
      </x:c>
      <x:c r="J2087" s="31" t="n">
        <x:v>15857.855512679227</x:v>
      </x:c>
      <x:c r="K2087" s="31"/>
      <x:c r="L2087" s="40"/>
      <x:c r="M2087" s="40"/>
      <x:c r="N2087" s="31" t="n">
        <x:v>1180</x:v>
      </x:c>
      <x:c r="O2087" s="31" t="n">
        <x:v>3021</x:v>
      </x:c>
      <x:c r="P2087" s="31" t="n">
        <x:v>5.940158887785502</x:v>
      </x:c>
      <x:c r="Q2087" s="40" t="n">
        <x:v>0.07845084409136048</x:v>
      </x:c>
      <x:c r="R2087" s="40" t="n">
        <x:v>0.5127441244620986</x:v>
      </x:c>
      <x:c r="S2087" s="40" t="n">
        <x:v>0.03210857332009268</x:v>
      </x:c>
      <x:c r="T2087" s="31" t="n">
        <x:v>62.214126578143855</x:v>
      </x:c>
      <x:c r="U2087" s="31" t="n">
        <x:v>182.26</x:v>
      </x:c>
      <x:c r="V2087" s="31" t="n">
        <x:v>43</x:v>
      </x:c>
      <x:c r="W2087" s="31" t="n">
        <x:v>6.473953628425173</x:v>
      </x:c>
      <x:c r="X2087" s="31" t="n">
        <x:v>2</x:v>
      </x:c>
      <x:c r="Y2087" s="40" t="n">
        <x:v>0</x:v>
      </x:c>
      <x:c r="Z2087" s="40" t="n">
        <x:v>1</x:v>
      </x:c>
      <x:c r="AA2087" s="40" t="n">
        <x:v>0.9986759351208209</x:v>
      </x:c>
      <x:c r="AB2087" s="31" t="n">
        <x:v>0.5077474153279226</x:v>
      </x:c>
      <x:c r="AC2087" s="31" t="n">
        <x:v>5</x:v>
      </x:c>
      <x:c r="AD2087" s="44" t="b">
        <x:v>1</x:v>
      </x:c>
    </x:row>
    <x:row r="2088">
      <x:c r="A2088" s="31" t="str">
        <x:v>36081099200</x:v>
      </x:c>
      <x:c r="B2088" s="31" t="str">
        <x:v>Queens</x:v>
      </x:c>
      <x:c r="C2088" s="31" t="str">
        <x:v>099200</x:v>
      </x:c>
      <x:c r="D2088" s="31" t="str">
        <x:v>QN1401</x:v>
      </x:c>
      <x:c r="E2088" s="31" t="str">
        <x:v>Far Rockaway-Bayswater</x:v>
      </x:c>
      <x:c r="F2088" s="31" t="n">
        <x:v>0.22485089344905015</x:v>
      </x:c>
      <x:c r="G2088" s="31" t="n">
        <x:v>40.59522761567781</x:v>
      </x:c>
      <x:c r="H2088" s="31" t="n">
        <x:v>-73.76728379170085</x:v>
      </x:c>
      <x:c r="I2088" s="31" t="n">
        <x:v>4348</x:v>
      </x:c>
      <x:c r="J2088" s="31" t="n">
        <x:v>19337.259164528205</x:v>
      </x:c>
      <x:c r="K2088" s="31"/>
      <x:c r="L2088" s="40"/>
      <x:c r="M2088" s="40"/>
      <x:c r="N2088" s="31" t="n">
        <x:v>413</x:v>
      </x:c>
      <x:c r="O2088" s="31" t="n">
        <x:v>1715</x:v>
      </x:c>
      <x:c r="P2088" s="31" t="n">
        <x:v>8.2932944606414</x:v>
      </x:c>
      <x:c r="Q2088" s="40" t="n">
        <x:v>0.2693877551020408</x:v>
      </x:c>
      <x:c r="R2088" s="40" t="n">
        <x:v>0.3819241982507289</x:v>
      </x:c>
      <x:c r="S2088" s="40" t="n">
        <x:v>0</x:v>
      </x:c>
      <x:c r="T2088" s="31" t="n">
        <x:v>82.34531403033333</x:v>
      </x:c>
      <x:c r="U2088" s="31" t="n">
        <x:v>178.28860916</x:v>
      </x:c>
      <x:c r="V2088" s="31" t="n">
        <x:v>39</x:v>
      </x:c>
      <x:c r="W2088" s="31" t="n">
        <x:v>8.969641214351427</x:v>
      </x:c>
      <x:c r="X2088" s="31" t="n">
        <x:v>5</x:v>
      </x:c>
      <x:c r="Y2088" s="40" t="n">
        <x:v>1</x:v>
      </x:c>
      <x:c r="Z2088" s="40" t="n">
        <x:v>1</x:v>
      </x:c>
      <x:c r="AA2088" s="40" t="n">
        <x:v>0.9096209912536443</x:v>
      </x:c>
      <x:c r="AB2088" s="31" t="n">
        <x:v>0.044489840542232005</x:v>
      </x:c>
      <x:c r="AC2088" s="31" t="n">
        <x:v>7</x:v>
      </x:c>
      <x:c r="AD2088" s="44" t="b">
        <x:v>1</x:v>
      </x:c>
    </x:row>
    <x:row r="2089">
      <x:c r="A2089" s="31" t="str">
        <x:v>36081099701</x:v>
      </x:c>
      <x:c r="B2089" s="31" t="str">
        <x:v>Queens</x:v>
      </x:c>
      <x:c r="C2089" s="31" t="str">
        <x:v>099701</x:v>
      </x:c>
      <x:c r="D2089" s="31" t="str">
        <x:v>QN0703</x:v>
      </x:c>
      <x:c r="E2089" s="31" t="str">
        <x:v>Bay Terrace-Clearview</x:v>
      </x:c>
      <x:c r="F2089" s="31" t="n">
        <x:v>0.3764654453734791</x:v>
      </x:c>
      <x:c r="G2089" s="31" t="n">
        <x:v>40.78091161154552</x:v>
      </x:c>
      <x:c r="H2089" s="31" t="n">
        <x:v>-73.78990124251581</x:v>
      </x:c>
      <x:c r="I2089" s="31" t="n">
        <x:v>3075</x:v>
      </x:c>
      <x:c r="J2089" s="31" t="n">
        <x:v>8168.080331913046</x:v>
      </x:c>
      <x:c r="K2089" s="31"/>
      <x:c r="L2089" s="40"/>
      <x:c r="M2089" s="40"/>
      <x:c r="N2089" s="31" t="n">
        <x:v>512</x:v>
      </x:c>
      <x:c r="O2089" s="31" t="n">
        <x:v>1298</x:v>
      </x:c>
      <x:c r="P2089" s="31" t="n">
        <x:v>2.1253543913713404</x:v>
      </x:c>
      <x:c r="Q2089" s="40" t="n">
        <x:v>0</x:v>
      </x:c>
      <x:c r="R2089" s="40" t="n">
        <x:v>0.06086286594761171</x:v>
      </x:c>
      <x:c r="S2089" s="40" t="n">
        <x:v>0.46841294298921415</x:v>
      </x:c>
      <x:c r="T2089" s="31" t="n">
        <x:v>30.190597531996918</x:v>
      </x:c>
      <x:c r="U2089" s="31" t="n">
        <x:v>65.69</x:v>
      </x:c>
      <x:c r="V2089" s="31" t="n">
        <x:v>1</x:v>
      </x:c>
      <x:c r="W2089" s="31" t="n">
        <x:v>0.3252032520325203</x:v>
      </x:c>
      <x:c r="X2089" s="31" t="n">
        <x:v>2.010785824345146</x:v>
      </x:c>
      <x:c r="Y2089" s="40" t="n">
        <x:v>0</x:v>
      </x:c>
      <x:c r="Z2089" s="40" t="n">
        <x:v>1</x:v>
      </x:c>
      <x:c r="AA2089" s="40" t="n">
        <x:v>0.9992295839753467</x:v>
      </x:c>
      <x:c r="AB2089" s="31" t="n">
        <x:v>0.3512067384441385</x:v>
      </x:c>
      <x:c r="AC2089" s="31" t="n">
        <x:v>5</x:v>
      </x:c>
      <x:c r="AD2089" s="44" t="b">
        <x:v>1</x:v>
      </x:c>
    </x:row>
    <x:row r="2090">
      <x:c r="A2090" s="31" t="str">
        <x:v>36081099703</x:v>
      </x:c>
      <x:c r="B2090" s="31" t="str">
        <x:v>Queens</x:v>
      </x:c>
      <x:c r="C2090" s="31" t="str">
        <x:v>099703</x:v>
      </x:c>
      <x:c r="D2090" s="31" t="str">
        <x:v>QN0703</x:v>
      </x:c>
      <x:c r="E2090" s="31" t="str">
        <x:v>Bay Terrace-Clearview</x:v>
      </x:c>
      <x:c r="F2090" s="31" t="n">
        <x:v>0.22250174859138255</x:v>
      </x:c>
      <x:c r="G2090" s="31" t="n">
        <x:v>40.78297193059075</x:v>
      </x:c>
      <x:c r="H2090" s="31" t="n">
        <x:v>-73.77470350620595</x:v>
      </x:c>
      <x:c r="I2090" s="31" t="n">
        <x:v>3938</x:v>
      </x:c>
      <x:c r="J2090" s="31" t="n">
        <x:v>17698.737312990797</x:v>
      </x:c>
      <x:c r="K2090" s="31"/>
      <x:c r="L2090" s="40"/>
      <x:c r="M2090" s="40"/>
      <x:c r="N2090" s="31" t="n">
        <x:v>437</x:v>
      </x:c>
      <x:c r="O2090" s="31" t="n">
        <x:v>2051</x:v>
      </x:c>
      <x:c r="P2090" s="31" t="n">
        <x:v>8.731921014139443</x:v>
      </x:c>
      <x:c r="Q2090" s="40" t="n">
        <x:v>0.4232081911262799</x:v>
      </x:c>
      <x:c r="R2090" s="40" t="n">
        <x:v>0.27840078010726477</x:v>
      </x:c>
      <x:c r="S2090" s="40" t="n">
        <x:v>0.4232081911262799</x:v>
      </x:c>
      <x:c r="T2090" s="31" t="n">
        <x:v>88.59246078515358</x:v>
      </x:c>
      <x:c r="U2090" s="31" t="n">
        <x:v>164.67211735</x:v>
      </x:c>
      <x:c r="V2090" s="31" t="n">
        <x:v>27</x:v>
      </x:c>
      <x:c r="W2090" s="31" t="n">
        <x:v>6.8562722194007115</x:v>
      </x:c>
      <x:c r="X2090" s="31" t="n">
        <x:v>2</x:v>
      </x:c>
      <x:c r="Y2090" s="40" t="n">
        <x:v>0</x:v>
      </x:c>
      <x:c r="Z2090" s="40" t="n">
        <x:v>1</x:v>
      </x:c>
      <x:c r="AA2090" s="40" t="n">
        <x:v>1</x:v>
      </x:c>
      <x:c r="AB2090" s="31" t="n">
        <x:v>0.12489952380243832</x:v>
      </x:c>
      <x:c r="AC2090" s="31" t="n">
        <x:v>4</x:v>
      </x:c>
      <x:c r="AD2090" s="44" t="b">
        <x:v>1</x:v>
      </x:c>
    </x:row>
    <x:row r="2091">
      <x:c r="A2091" s="31" t="str">
        <x:v>36081099704</x:v>
      </x:c>
      <x:c r="B2091" s="31" t="str">
        <x:v>Queens</x:v>
      </x:c>
      <x:c r="C2091" s="31" t="str">
        <x:v>099704</x:v>
      </x:c>
      <x:c r="D2091" s="31" t="str">
        <x:v>QN0703</x:v>
      </x:c>
      <x:c r="E2091" s="31" t="str">
        <x:v>Bay Terrace-Clearview</x:v>
      </x:c>
      <x:c r="F2091" s="31" t="n">
        <x:v>0.25996520462580347</x:v>
      </x:c>
      <x:c r="G2091" s="31" t="n">
        <x:v>40.78172087540708</x:v>
      </x:c>
      <x:c r="H2091" s="31" t="n">
        <x:v>-73.78067403830664</x:v>
      </x:c>
      <x:c r="I2091" s="31" t="n">
        <x:v>7280</x:v>
      </x:c>
      <x:c r="J2091" s="31" t="n">
        <x:v>28003.74769569222</x:v>
      </x:c>
      <x:c r="K2091" s="31"/>
      <x:c r="L2091" s="40"/>
      <x:c r="M2091" s="40"/>
      <x:c r="N2091" s="31" t="n">
        <x:v>144</x:v>
      </x:c>
      <x:c r="O2091" s="31" t="n">
        <x:v>4027</x:v>
      </x:c>
      <x:c r="P2091" s="31" t="n">
        <x:v>8.594983858952073</x:v>
      </x:c>
      <x:c r="Q2091" s="40" t="n">
        <x:v>0.2575117953811771</x:v>
      </x:c>
      <x:c r="R2091" s="40" t="n">
        <x:v>0.4919294760367519</x:v>
      </x:c>
      <x:c r="S2091" s="40" t="n">
        <x:v>0.7044946610379935</x:v>
      </x:c>
      <x:c r="T2091" s="31" t="n">
        <x:v>87.36926783760119</x:v>
      </x:c>
      <x:c r="U2091" s="31" t="n">
        <x:v>191</x:v>
      </x:c>
      <x:c r="V2091" s="31" t="n">
        <x:v>40</x:v>
      </x:c>
      <x:c r="W2091" s="31" t="n">
        <x:v>5.4945054945054945</x:v>
      </x:c>
      <x:c r="X2091" s="31" t="n">
        <x:v>2</x:v>
      </x:c>
      <x:c r="Y2091" s="40" t="n">
        <x:v>0</x:v>
      </x:c>
      <x:c r="Z2091" s="40" t="n">
        <x:v>1</x:v>
      </x:c>
      <x:c r="AA2091" s="40" t="n">
        <x:v>1</x:v>
      </x:c>
      <x:c r="AB2091" s="31" t="n">
        <x:v>0.1340411231606463</x:v>
      </x:c>
      <x:c r="AC2091" s="31" t="n">
        <x:v>5</x:v>
      </x:c>
      <x:c r="AD2091" s="44" t="b">
        <x:v>1</x:v>
      </x:c>
    </x:row>
    <x:row r="2092">
      <x:c r="A2092" s="31" t="str">
        <x:v>36081099705</x:v>
      </x:c>
      <x:c r="B2092" s="31" t="str">
        <x:v>Queens</x:v>
      </x:c>
      <x:c r="C2092" s="31" t="str">
        <x:v>099705</x:v>
      </x:c>
      <x:c r="D2092" s="31" t="str">
        <x:v>QN0703</x:v>
      </x:c>
      <x:c r="E2092" s="31" t="str">
        <x:v>Bay Terrace-Clearview</x:v>
      </x:c>
      <x:c r="F2092" s="31" t="n">
        <x:v>0.16980910853169479</x:v>
      </x:c>
      <x:c r="G2092" s="31" t="n">
        <x:v>40.78743062401077</x:v>
      </x:c>
      <x:c r="H2092" s="31" t="n">
        <x:v>-73.78588337555632</x:v>
      </x:c>
      <x:c r="I2092" s="31" t="n">
        <x:v>2687</x:v>
      </x:c>
      <x:c r="J2092" s="31" t="n">
        <x:v>15823.650587615404</x:v>
      </x:c>
      <x:c r="K2092" s="31"/>
      <x:c r="L2092" s="40"/>
      <x:c r="M2092" s="40"/>
      <x:c r="N2092" s="31" t="n">
        <x:v>241</x:v>
      </x:c>
      <x:c r="O2092" s="31" t="n">
        <x:v>1116</x:v>
      </x:c>
      <x:c r="P2092" s="31" t="n">
        <x:v>2.6137992831541217</x:v>
      </x:c>
      <x:c r="Q2092" s="40" t="n">
        <x:v>0</x:v>
      </x:c>
      <x:c r="R2092" s="40" t="n">
        <x:v>0.6218637992831542</x:v>
      </x:c>
      <x:c r="S2092" s="40" t="n">
        <x:v>0.5949820788530465</x:v>
      </x:c>
      <x:c r="T2092" s="31" t="n">
        <x:v>33.162866027423696</x:v>
      </x:c>
      <x:c r="U2092" s="31" t="n">
        <x:v>36</x:v>
      </x:c>
      <x:c r="V2092" s="31" t="n">
        <x:v>0</x:v>
      </x:c>
      <x:c r="W2092" s="31" t="n">
        <x:v>0</x:v>
      </x:c>
      <x:c r="X2092" s="31" t="n">
        <x:v>2</x:v>
      </x:c>
      <x:c r="Y2092" s="40" t="n">
        <x:v>0</x:v>
      </x:c>
      <x:c r="Z2092" s="40" t="n">
        <x:v>1</x:v>
      </x:c>
      <x:c r="AA2092" s="40" t="n">
        <x:v>0.9982078853046595</x:v>
      </x:c>
      <x:c r="AB2092" s="31" t="n">
        <x:v>0.559036567396305</x:v>
      </x:c>
      <x:c r="AC2092" s="31" t="n">
        <x:v>4</x:v>
      </x:c>
      <x:c r="AD2092" s="44" t="b">
        <x:v>1</x:v>
      </x:c>
    </x:row>
    <x:row r="2093">
      <x:c r="A2093" s="31" t="str">
        <x:v>36081099801</x:v>
      </x:c>
      <x:c r="B2093" s="31" t="str">
        <x:v>Queens</x:v>
      </x:c>
      <x:c r="C2093" s="31" t="str">
        <x:v>099801</x:v>
      </x:c>
      <x:c r="D2093" s="31" t="str">
        <x:v>QN1401</x:v>
      </x:c>
      <x:c r="E2093" s="31" t="str">
        <x:v>Far Rockaway-Bayswater</x:v>
      </x:c>
      <x:c r="F2093" s="31" t="n">
        <x:v>0.17640134542190372</x:v>
      </x:c>
      <x:c r="G2093" s="31" t="n">
        <x:v>40.598082746281925</x:v>
      </x:c>
      <x:c r="H2093" s="31" t="n">
        <x:v>-73.75759862499122</x:v>
      </x:c>
      <x:c r="I2093" s="31" t="n">
        <x:v>7853</x:v>
      </x:c>
      <x:c r="J2093" s="31" t="n">
        <x:v>44517.80104747939</x:v>
      </x:c>
      <x:c r="K2093" s="31"/>
      <x:c r="L2093" s="40"/>
      <x:c r="M2093" s="40"/>
      <x:c r="N2093" s="31" t="n">
        <x:v>525</x:v>
      </x:c>
      <x:c r="O2093" s="31" t="n">
        <x:v>2539</x:v>
      </x:c>
      <x:c r="P2093" s="31" t="n">
        <x:v>4.340756799369334</x:v>
      </x:c>
      <x:c r="Q2093" s="40" t="n">
        <x:v>0</x:v>
      </x:c>
      <x:c r="R2093" s="40" t="n">
        <x:v>0.6301693580149665</x:v>
      </x:c>
      <x:c r="S2093" s="40" t="n">
        <x:v>0.35525797558093736</x:v>
      </x:c>
      <x:c r="T2093" s="31" t="n">
        <x:v>47.71704626244329</x:v>
      </x:c>
      <x:c r="U2093" s="31" t="n">
        <x:v>65.54112848</x:v>
      </x:c>
      <x:c r="V2093" s="31" t="n">
        <x:v>32</x:v>
      </x:c>
      <x:c r="W2093" s="31" t="n">
        <x:v>4.074875843626639</x:v>
      </x:c>
      <x:c r="X2093" s="31" t="n">
        <x:v>5</x:v>
      </x:c>
      <x:c r="Y2093" s="40" t="n">
        <x:v>1</x:v>
      </x:c>
      <x:c r="Z2093" s="40" t="n">
        <x:v>1</x:v>
      </x:c>
      <x:c r="AA2093" s="40" t="n">
        <x:v>0.9897597479322567</x:v>
      </x:c>
      <x:c r="AB2093" s="31" t="n">
        <x:v>0.12180845250658205</x:v>
      </x:c>
      <x:c r="AC2093" s="31" t="n">
        <x:v>5</x:v>
      </x:c>
      <x:c r="AD2093" s="44" t="b">
        <x:v>1</x:v>
      </x:c>
    </x:row>
    <x:row r="2094">
      <x:c r="A2094" s="31" t="str">
        <x:v>36081099802</x:v>
      </x:c>
      <x:c r="B2094" s="31" t="str">
        <x:v>Queens</x:v>
      </x:c>
      <x:c r="C2094" s="31" t="str">
        <x:v>099802</x:v>
      </x:c>
      <x:c r="D2094" s="31" t="str">
        <x:v>QN1401</x:v>
      </x:c>
      <x:c r="E2094" s="31" t="str">
        <x:v>Far Rockaway-Bayswater</x:v>
      </x:c>
      <x:c r="F2094" s="31" t="n">
        <x:v>0.1673479439376004</x:v>
      </x:c>
      <x:c r="G2094" s="31" t="n">
        <x:v>40.59339815757917</x:v>
      </x:c>
      <x:c r="H2094" s="31" t="n">
        <x:v>-73.7584555177368</x:v>
      </x:c>
      <x:c r="I2094" s="31" t="n">
        <x:v>5822</x:v>
      </x:c>
      <x:c r="J2094" s="31" t="n">
        <x:v>34789.79103663722</x:v>
      </x:c>
      <x:c r="K2094" s="31"/>
      <x:c r="L2094" s="40"/>
      <x:c r="M2094" s="40"/>
      <x:c r="N2094" s="31" t="n">
        <x:v>370</x:v>
      </x:c>
      <x:c r="O2094" s="31" t="n">
        <x:v>2786</x:v>
      </x:c>
      <x:c r="P2094" s="31" t="n">
        <x:v>9.329145728643216</x:v>
      </x:c>
      <x:c r="Q2094" s="40" t="n">
        <x:v>0.38190954773869346</x:v>
      </x:c>
      <x:c r="R2094" s="40" t="n">
        <x:v>0.48312993539124194</x:v>
      </x:c>
      <x:c r="S2094" s="40" t="n">
        <x:v>0.3033022254127782</x:v>
      </x:c>
      <x:c r="T2094" s="31" t="n">
        <x:v>89.64943851195738</x:v>
      </x:c>
      <x:c r="U2094" s="31" t="n">
        <x:v>196.4614728</x:v>
      </x:c>
      <x:c r="V2094" s="31" t="n">
        <x:v>35</x:v>
      </x:c>
      <x:c r="W2094" s="31" t="n">
        <x:v>6.01167983510821</x:v>
      </x:c>
      <x:c r="X2094" s="31" t="n">
        <x:v>5</x:v>
      </x:c>
      <x:c r="Y2094" s="40" t="n">
        <x:v>1</x:v>
      </x:c>
      <x:c r="Z2094" s="40" t="n">
        <x:v>1</x:v>
      </x:c>
      <x:c r="AA2094" s="40" t="n">
        <x:v>0.9938980617372577</x:v>
      </x:c>
      <x:c r="AB2094" s="31" t="n">
        <x:v>0.16141407593787355</x:v>
      </x:c>
      <x:c r="AC2094" s="31" t="n">
        <x:v>3</x:v>
      </x:c>
      <x:c r="AD2094" s="44" t="b">
        <x:v>1</x:v>
      </x:c>
    </x:row>
    <x:row r="2095">
      <x:c r="A2095" s="31" t="str">
        <x:v>36081099900</x:v>
      </x:c>
      <x:c r="B2095" s="31" t="str">
        <x:v>Queens</x:v>
      </x:c>
      <x:c r="C2095" s="31" t="str">
        <x:v>099900</x:v>
      </x:c>
      <x:c r="D2095" s="31" t="str">
        <x:v>QN0761</x:v>
      </x:c>
      <x:c r="E2095" s="31" t="str">
        <x:v>Fort Totten</x:v>
      </x:c>
      <x:c r="F2095" s="31" t="n">
        <x:v>0.24955956711468377</x:v>
      </x:c>
      <x:c r="G2095" s="31" t="n">
        <x:v>40.79160690576458</x:v>
      </x:c>
      <x:c r="H2095" s="31" t="n">
        <x:v>-73.77671254927435</x:v>
      </x:c>
      <x:c r="I2095" s="31" t="n">
        <x:v>0</x:v>
      </x:c>
      <x:c r="J2095" s="31" t="n">
        <x:v>0</x:v>
      </x:c>
      <x:c r="K2095" s="31"/>
      <x:c r="L2095" s="40"/>
      <x:c r="M2095" s="40"/>
      <x:c r="N2095" s="31" t="n">
        <x:v>0</x:v>
      </x:c>
      <x:c r="O2095" s="31"/>
      <x:c r="P2095" s="31"/>
      <x:c r="Q2095" s="40"/>
      <x:c r="R2095" s="40"/>
      <x:c r="S2095" s="40"/>
      <x:c r="T2095" s="31"/>
      <x:c r="U2095" s="31"/>
      <x:c r="V2095" s="31" t="n">
        <x:v>0</x:v>
      </x:c>
      <x:c r="W2095" s="31"/>
      <x:c r="X2095" s="31"/>
      <x:c r="Y2095" s="40"/>
      <x:c r="Z2095" s="40"/>
      <x:c r="AA2095" s="40"/>
      <x:c r="AB2095" s="31" t="n">
        <x:v>0.6261185482676038</x:v>
      </x:c>
      <x:c r="AC2095" s="31" t="n">
        <x:v>2</x:v>
      </x:c>
      <x:c r="AD2095" s="44" t="b">
        <x:v>0</x:v>
      </x:c>
    </x:row>
    <x:row r="2096">
      <x:c r="A2096" s="31" t="str">
        <x:v>36081100801</x:v>
      </x:c>
      <x:c r="B2096" s="31" t="str">
        <x:v>Queens</x:v>
      </x:c>
      <x:c r="C2096" s="31" t="str">
        <x:v>100801</x:v>
      </x:c>
      <x:c r="D2096" s="31" t="str">
        <x:v>QN1401</x:v>
      </x:c>
      <x:c r="E2096" s="31" t="str">
        <x:v>Far Rockaway-Bayswater</x:v>
      </x:c>
      <x:c r="F2096" s="31" t="n">
        <x:v>0.24860336092960858</x:v>
      </x:c>
      <x:c r="G2096" s="31" t="n">
        <x:v>40.61040828316621</x:v>
      </x:c>
      <x:c r="H2096" s="31" t="n">
        <x:v>-73.7665200528252</x:v>
      </x:c>
      <x:c r="I2096" s="31" t="n">
        <x:v>2496</x:v>
      </x:c>
      <x:c r="J2096" s="31" t="n">
        <x:v>10040.089525204514</x:v>
      </x:c>
      <x:c r="K2096" s="31"/>
      <x:c r="L2096" s="40"/>
      <x:c r="M2096" s="40"/>
      <x:c r="N2096" s="31" t="n">
        <x:v>486</x:v>
      </x:c>
      <x:c r="O2096" s="31" t="n">
        <x:v>640</x:v>
      </x:c>
      <x:c r="P2096" s="31" t="n">
        <x:v>1.8643750000000001</x:v>
      </x:c>
      <x:c r="Q2096" s="40" t="n">
        <x:v>0</x:v>
      </x:c>
      <x:c r="R2096" s="40" t="n">
        <x:v>0.0171875</x:v>
      </x:c>
      <x:c r="S2096" s="40" t="n">
        <x:v>0.0046875</x:v>
      </x:c>
      <x:c r="T2096" s="31" t="n">
        <x:v>26.33104592596244</x:v>
      </x:c>
      <x:c r="U2096" s="31" t="n">
        <x:v>42.01046272</x:v>
      </x:c>
      <x:c r="V2096" s="31" t="n">
        <x:v>3</x:v>
      </x:c>
      <x:c r="W2096" s="31" t="n">
        <x:v>1.201923076923077</x:v>
      </x:c>
      <x:c r="X2096" s="31" t="n">
        <x:v>5</x:v>
      </x:c>
      <x:c r="Y2096" s="40" t="n">
        <x:v>1</x:v>
      </x:c>
      <x:c r="Z2096" s="40" t="n">
        <x:v>1</x:v>
      </x:c>
      <x:c r="AA2096" s="40" t="n">
        <x:v>0.9984375</x:v>
      </x:c>
      <x:c r="AB2096" s="31" t="n">
        <x:v>0.1823625657397091</x:v>
      </x:c>
      <x:c r="AC2096" s="31" t="n">
        <x:v>3</x:v>
      </x:c>
      <x:c r="AD2096" s="44" t="b">
        <x:v>1</x:v>
      </x:c>
    </x:row>
    <x:row r="2097">
      <x:c r="A2097" s="31" t="str">
        <x:v>36081100803</x:v>
      </x:c>
      <x:c r="B2097" s="31" t="str">
        <x:v>Queens</x:v>
      </x:c>
      <x:c r="C2097" s="31" t="str">
        <x:v>100803</x:v>
      </x:c>
      <x:c r="D2097" s="31" t="str">
        <x:v>QN1401</x:v>
      </x:c>
      <x:c r="E2097" s="31" t="str">
        <x:v>Far Rockaway-Bayswater</x:v>
      </x:c>
      <x:c r="F2097" s="31" t="n">
        <x:v>0.1341418179185319</x:v>
      </x:c>
      <x:c r="G2097" s="31" t="n">
        <x:v>40.60315008475801</x:v>
      </x:c>
      <x:c r="H2097" s="31" t="n">
        <x:v>-73.75754212594812</x:v>
      </x:c>
      <x:c r="I2097" s="31" t="n">
        <x:v>4817</x:v>
      </x:c>
      <x:c r="J2097" s="31" t="n">
        <x:v>35909.75636639649</x:v>
      </x:c>
      <x:c r="K2097" s="31"/>
      <x:c r="L2097" s="40"/>
      <x:c r="M2097" s="40"/>
      <x:c r="N2097" s="31" t="n">
        <x:v>442</x:v>
      </x:c>
      <x:c r="O2097" s="31" t="n">
        <x:v>1585</x:v>
      </x:c>
      <x:c r="P2097" s="31" t="n">
        <x:v>4.281630929174789</x:v>
      </x:c>
      <x:c r="Q2097" s="40" t="n">
        <x:v>0.14132492113564668</x:v>
      </x:c>
      <x:c r="R2097" s="40" t="n">
        <x:v>0.37097791798107255</x:v>
      </x:c>
      <x:c r="S2097" s="40" t="n">
        <x:v>0.0946372239747634</x:v>
      </x:c>
      <x:c r="T2097" s="31" t="n">
        <x:v>48.746687534990244</x:v>
      </x:c>
      <x:c r="U2097" s="31" t="n">
        <x:v>105</x:v>
      </x:c>
      <x:c r="V2097" s="31" t="n">
        <x:v>10</x:v>
      </x:c>
      <x:c r="W2097" s="31" t="n">
        <x:v>2.075980900975711</x:v>
      </x:c>
      <x:c r="X2097" s="31" t="n">
        <x:v>5</x:v>
      </x:c>
      <x:c r="Y2097" s="40" t="n">
        <x:v>1</x:v>
      </x:c>
      <x:c r="Z2097" s="40" t="n">
        <x:v>1</x:v>
      </x:c>
      <x:c r="AA2097" s="40" t="n">
        <x:v>0.9697160883280758</x:v>
      </x:c>
      <x:c r="AB2097" s="31" t="n">
        <x:v>0.2141028145814973</x:v>
      </x:c>
      <x:c r="AC2097" s="31" t="n">
        <x:v>7</x:v>
      </x:c>
      <x:c r="AD2097" s="44" t="b">
        <x:v>1</x:v>
      </x:c>
    </x:row>
    <x:row r="2098">
      <x:c r="A2098" s="31" t="str">
        <x:v>36081100804</x:v>
      </x:c>
      <x:c r="B2098" s="31" t="str">
        <x:v>Queens</x:v>
      </x:c>
      <x:c r="C2098" s="31" t="str">
        <x:v>100804</x:v>
      </x:c>
      <x:c r="D2098" s="31" t="str">
        <x:v>QN1401</x:v>
      </x:c>
      <x:c r="E2098" s="31" t="str">
        <x:v>Far Rockaway-Bayswater</x:v>
      </x:c>
      <x:c r="F2098" s="31" t="n">
        <x:v>0.26736329732194103</x:v>
      </x:c>
      <x:c r="G2098" s="31" t="n">
        <x:v>40.60287103404107</x:v>
      </x:c>
      <x:c r="H2098" s="31" t="n">
        <x:v>-73.76605952522172</x:v>
      </x:c>
      <x:c r="I2098" s="31" t="n">
        <x:v>4315</x:v>
      </x:c>
      <x:c r="J2098" s="31" t="n">
        <x:v>16139.088809950474</x:v>
      </x:c>
      <x:c r="K2098" s="31"/>
      <x:c r="L2098" s="40"/>
      <x:c r="M2098" s="40"/>
      <x:c r="N2098" s="31" t="n">
        <x:v>629</x:v>
      </x:c>
      <x:c r="O2098" s="31" t="n">
        <x:v>1130</x:v>
      </x:c>
      <x:c r="P2098" s="31" t="n">
        <x:v>2.0047016274864373</x:v>
      </x:c>
      <x:c r="Q2098" s="40" t="n">
        <x:v>0</x:v>
      </x:c>
      <x:c r="R2098" s="40" t="n">
        <x:v>0.046902654867256637</x:v>
      </x:c>
      <x:c r="S2098" s="40" t="n">
        <x:v>0.08230088495575222</x:v>
      </x:c>
      <x:c r="T2098" s="31" t="n">
        <x:v>27.57584291349419</x:v>
      </x:c>
      <x:c r="U2098" s="31" t="n">
        <x:v>43.39498402</x:v>
      </x:c>
      <x:c r="V2098" s="31" t="n">
        <x:v>3</x:v>
      </x:c>
      <x:c r="W2098" s="31" t="n">
        <x:v>0.6952491309385863</x:v>
      </x:c>
      <x:c r="X2098" s="31" t="n">
        <x:v>5</x:v>
      </x:c>
      <x:c r="Y2098" s="40" t="n">
        <x:v>1</x:v>
      </x:c>
      <x:c r="Z2098" s="40" t="n">
        <x:v>1</x:v>
      </x:c>
      <x:c r="AA2098" s="40" t="n">
        <x:v>0.9902654867256637</x:v>
      </x:c>
      <x:c r="AB2098" s="31" t="n">
        <x:v>0.15084569150778002</x:v>
      </x:c>
      <x:c r="AC2098" s="31" t="n">
        <x:v>4</x:v>
      </x:c>
      <x:c r="AD2098" s="44" t="b">
        <x:v>1</x:v>
      </x:c>
    </x:row>
    <x:row r="2099">
      <x:c r="A2099" s="31" t="str">
        <x:v>36081101002</x:v>
      </x:c>
      <x:c r="B2099" s="31" t="str">
        <x:v>Queens</x:v>
      </x:c>
      <x:c r="C2099" s="31" t="str">
        <x:v>101002</x:v>
      </x:c>
      <x:c r="D2099" s="31" t="str">
        <x:v>QN1401</x:v>
      </x:c>
      <x:c r="E2099" s="31" t="str">
        <x:v>Far Rockaway-Bayswater</x:v>
      </x:c>
      <x:c r="F2099" s="31" t="n">
        <x:v>0.2079191484220759</x:v>
      </x:c>
      <x:c r="G2099" s="31" t="n">
        <x:v>40.599529103161096</x:v>
      </x:c>
      <x:c r="H2099" s="31" t="n">
        <x:v>-73.74156087305217</x:v>
      </x:c>
      <x:c r="I2099" s="31" t="n">
        <x:v>4596</x:v>
      </x:c>
      <x:c r="J2099" s="31" t="n">
        <x:v>22104.746171190156</x:v>
      </x:c>
      <x:c r="K2099" s="31"/>
      <x:c r="L2099" s="40"/>
      <x:c r="M2099" s="40"/>
      <x:c r="N2099" s="31" t="n">
        <x:v>602</x:v>
      </x:c>
      <x:c r="O2099" s="31" t="n">
        <x:v>1783</x:v>
      </x:c>
      <x:c r="P2099" s="31" t="n">
        <x:v>14.173550928531233</x:v>
      </x:c>
      <x:c r="Q2099" s="40" t="n">
        <x:v>0.514301738642737</x:v>
      </x:c>
      <x:c r="R2099" s="40" t="n">
        <x:v>0.10487941671340438</x:v>
      </x:c>
      <x:c r="S2099" s="40" t="n">
        <x:v>0.0028042624789680315</x:v>
      </x:c>
      <x:c r="T2099" s="31" t="n">
        <x:v>132.91857535647523</x:v>
      </x:c>
      <x:c r="U2099" s="31" t="n">
        <x:v>225.22886409</x:v>
      </x:c>
      <x:c r="V2099" s="31" t="n">
        <x:v>19</x:v>
      </x:c>
      <x:c r="W2099" s="31" t="n">
        <x:v>4.134029590948651</x:v>
      </x:c>
      <x:c r="X2099" s="31" t="n">
        <x:v>5</x:v>
      </x:c>
      <x:c r="Y2099" s="40" t="n">
        <x:v>1</x:v>
      </x:c>
      <x:c r="Z2099" s="40" t="n">
        <x:v>1</x:v>
      </x:c>
      <x:c r="AA2099" s="40" t="n">
        <x:v>0.9960740325294447</x:v>
      </x:c>
      <x:c r="AB2099" s="31" t="n">
        <x:v>0.1360145067042547</x:v>
      </x:c>
      <x:c r="AC2099" s="31" t="n">
        <x:v>3</x:v>
      </x:c>
      <x:c r="AD2099" s="44" t="b">
        <x:v>1</x:v>
      </x:c>
    </x:row>
    <x:row r="2100">
      <x:c r="A2100" s="31" t="str">
        <x:v>36081101003</x:v>
      </x:c>
      <x:c r="B2100" s="31" t="str">
        <x:v>Queens</x:v>
      </x:c>
      <x:c r="C2100" s="31" t="str">
        <x:v>101003</x:v>
      </x:c>
      <x:c r="D2100" s="31" t="str">
        <x:v>QN1401</x:v>
      </x:c>
      <x:c r="E2100" s="31" t="str">
        <x:v>Far Rockaway-Bayswater</x:v>
      </x:c>
      <x:c r="F2100" s="31" t="n">
        <x:v>0.09030617743808826</x:v>
      </x:c>
      <x:c r="G2100" s="31" t="n">
        <x:v>40.601445558568685</x:v>
      </x:c>
      <x:c r="H2100" s="31" t="n">
        <x:v>-73.75043691698093</x:v>
      </x:c>
      <x:c r="I2100" s="31" t="n">
        <x:v>3943</x:v>
      </x:c>
      <x:c r="J2100" s="31" t="n">
        <x:v>43662.57228308912</x:v>
      </x:c>
      <x:c r="K2100" s="31"/>
      <x:c r="L2100" s="40"/>
      <x:c r="M2100" s="40"/>
      <x:c r="N2100" s="31" t="n">
        <x:v>210</x:v>
      </x:c>
      <x:c r="O2100" s="31" t="n">
        <x:v>1494</x:v>
      </x:c>
      <x:c r="P2100" s="31" t="n">
        <x:v>5.586248216833096</x:v>
      </x:c>
      <x:c r="Q2100" s="40" t="n">
        <x:v>0.21084337349397592</x:v>
      </x:c>
      <x:c r="R2100" s="40" t="n">
        <x:v>0.4959839357429719</x:v>
      </x:c>
      <x:c r="S2100" s="40" t="n">
        <x:v>0</x:v>
      </x:c>
      <x:c r="T2100" s="31" t="n">
        <x:v>63.00981869896922</x:v>
      </x:c>
      <x:c r="U2100" s="31" t="n">
        <x:v>116</x:v>
      </x:c>
      <x:c r="V2100" s="31" t="n">
        <x:v>19</x:v>
      </x:c>
      <x:c r="W2100" s="31" t="n">
        <x:v>4.8186659903626685</x:v>
      </x:c>
      <x:c r="X2100" s="31" t="n">
        <x:v>5</x:v>
      </x:c>
      <x:c r="Y2100" s="40" t="n">
        <x:v>1</x:v>
      </x:c>
      <x:c r="Z2100" s="40" t="n">
        <x:v>1</x:v>
      </x:c>
      <x:c r="AA2100" s="40" t="n">
        <x:v>0.9350736278447122</x:v>
      </x:c>
      <x:c r="AB2100" s="31" t="n">
        <x:v>0.1760543109660943</x:v>
      </x:c>
      <x:c r="AC2100" s="31" t="n">
        <x:v>5</x:v>
      </x:c>
      <x:c r="AD2100" s="44" t="b">
        <x:v>1</x:v>
      </x:c>
    </x:row>
    <x:row r="2101">
      <x:c r="A2101" s="31" t="str">
        <x:v>36081101004</x:v>
      </x:c>
      <x:c r="B2101" s="31" t="str">
        <x:v>Queens</x:v>
      </x:c>
      <x:c r="C2101" s="31" t="str">
        <x:v>101004</x:v>
      </x:c>
      <x:c r="D2101" s="31" t="str">
        <x:v>QN1401</x:v>
      </x:c>
      <x:c r="E2101" s="31" t="str">
        <x:v>Far Rockaway-Bayswater</x:v>
      </x:c>
      <x:c r="F2101" s="31" t="n">
        <x:v>0.22236957952823694</x:v>
      </x:c>
      <x:c r="G2101" s="31" t="n">
        <x:v>40.596600108575885</x:v>
      </x:c>
      <x:c r="H2101" s="31" t="n">
        <x:v>-73.74881251198524</x:v>
      </x:c>
      <x:c r="I2101" s="31" t="n">
        <x:v>6612</x:v>
      </x:c>
      <x:c r="J2101" s="31" t="n">
        <x:v>29734.282962748486</x:v>
      </x:c>
      <x:c r="K2101" s="31"/>
      <x:c r="L2101" s="40"/>
      <x:c r="M2101" s="40"/>
      <x:c r="N2101" s="31" t="n">
        <x:v>395</x:v>
      </x:c>
      <x:c r="O2101" s="31" t="n">
        <x:v>2191</x:v>
      </x:c>
      <x:c r="P2101" s="31" t="n">
        <x:v>10.321582799634035</x:v>
      </x:c>
      <x:c r="Q2101" s="40" t="n">
        <x:v>0.2747603833865815</x:v>
      </x:c>
      <x:c r="R2101" s="40" t="n">
        <x:v>0.4390689183021451</x:v>
      </x:c>
      <x:c r="S2101" s="40" t="n">
        <x:v>0.3085349155636696</x:v>
      </x:c>
      <x:c r="T2101" s="31" t="n">
        <x:v>99.63631230097884</x:v>
      </x:c>
      <x:c r="U2101" s="31" t="n">
        <x:v>241</x:v>
      </x:c>
      <x:c r="V2101" s="31" t="n">
        <x:v>22</x:v>
      </x:c>
      <x:c r="W2101" s="31" t="n">
        <x:v>3.327283726557774</x:v>
      </x:c>
      <x:c r="X2101" s="31" t="n">
        <x:v>5</x:v>
      </x:c>
      <x:c r="Y2101" s="40" t="n">
        <x:v>1</x:v>
      </x:c>
      <x:c r="Z2101" s="40" t="n">
        <x:v>1</x:v>
      </x:c>
      <x:c r="AA2101" s="40" t="n">
        <x:v>0.9931538110451849</x:v>
      </x:c>
      <x:c r="AB2101" s="31" t="n">
        <x:v>0.33436231217139295</x:v>
      </x:c>
      <x:c r="AC2101" s="31" t="n">
        <x:v>4</x:v>
      </x:c>
      <x:c r="AD2101" s="44" t="b">
        <x:v>1</x:v>
      </x:c>
    </x:row>
    <x:row r="2102">
      <x:c r="A2102" s="31" t="str">
        <x:v>36081101700</x:v>
      </x:c>
      <x:c r="B2102" s="31" t="str">
        <x:v>Queens</x:v>
      </x:c>
      <x:c r="C2102" s="31" t="str">
        <x:v>101700</x:v>
      </x:c>
      <x:c r="D2102" s="31" t="str">
        <x:v>QN0703</x:v>
      </x:c>
      <x:c r="E2102" s="31" t="str">
        <x:v>Bay Terrace-Clearview</x:v>
      </x:c>
      <x:c r="F2102" s="31" t="n">
        <x:v>0.3816670069408575</x:v>
      </x:c>
      <x:c r="G2102" s="31" t="n">
        <x:v>40.77976654997915</x:v>
      </x:c>
      <x:c r="H2102" s="31" t="n">
        <x:v>-73.79825139329003</x:v>
      </x:c>
      <x:c r="I2102" s="31" t="n">
        <x:v>6307</x:v>
      </x:c>
      <x:c r="J2102" s="31" t="n">
        <x:v>16524.876096972464</x:v>
      </x:c>
      <x:c r="K2102" s="31"/>
      <x:c r="L2102" s="40"/>
      <x:c r="M2102" s="40"/>
      <x:c r="N2102" s="31" t="n">
        <x:v>1212</x:v>
      </x:c>
      <x:c r="O2102" s="31" t="n">
        <x:v>2502</x:v>
      </x:c>
      <x:c r="P2102" s="31" t="n">
        <x:v>1.9697242206235013</x:v>
      </x:c>
      <x:c r="Q2102" s="40" t="n">
        <x:v>0</x:v>
      </x:c>
      <x:c r="R2102" s="40" t="n">
        <x:v>0.032773780975219824</x:v>
      </x:c>
      <x:c r="S2102" s="40" t="n">
        <x:v>0.4008792965627498</x:v>
      </x:c>
      <x:c r="T2102" s="31" t="n">
        <x:v>28.003792217917663</x:v>
      </x:c>
      <x:c r="U2102" s="31" t="n">
        <x:v>40.8</x:v>
      </x:c>
      <x:c r="V2102" s="31" t="n">
        <x:v>1</x:v>
      </x:c>
      <x:c r="W2102" s="31" t="n">
        <x:v>0.15855398763278897</x:v>
      </x:c>
      <x:c r="X2102" s="31" t="n">
        <x:v>2.01638689048761</x:v>
      </x:c>
      <x:c r="Y2102" s="40" t="n">
        <x:v>0</x:v>
      </x:c>
      <x:c r="Z2102" s="40" t="n">
        <x:v>1</x:v>
      </x:c>
      <x:c r="AA2102" s="40" t="n">
        <x:v>1</x:v>
      </x:c>
      <x:c r="AB2102" s="31" t="n">
        <x:v>0.1258198712550063</x:v>
      </x:c>
      <x:c r="AC2102" s="31" t="n">
        <x:v>7</x:v>
      </x:c>
      <x:c r="AD2102" s="44" t="b">
        <x:v>1</x:v>
      </x:c>
    </x:row>
    <x:row r="2103">
      <x:c r="A2103" s="31" t="str">
        <x:v>36081102900</x:v>
      </x:c>
      <x:c r="B2103" s="31" t="str">
        <x:v>Queens</x:v>
      </x:c>
      <x:c r="C2103" s="31" t="str">
        <x:v>102900</x:v>
      </x:c>
      <x:c r="D2103" s="31" t="str">
        <x:v>QN0702</x:v>
      </x:c>
      <x:c r="E2103" s="31" t="str">
        <x:v>Whitestone-Beechhurst</x:v>
      </x:c>
      <x:c r="F2103" s="31" t="n">
        <x:v>0.1890383460887282</x:v>
      </x:c>
      <x:c r="G2103" s="31" t="n">
        <x:v>40.7838733709949</x:v>
      </x:c>
      <x:c r="H2103" s="31" t="n">
        <x:v>-73.80736841883574</x:v>
      </x:c>
      <x:c r="I2103" s="31" t="n">
        <x:v>3786</x:v>
      </x:c>
      <x:c r="J2103" s="31" t="n">
        <x:v>20027.68262806838</x:v>
      </x:c>
      <x:c r="K2103" s="31"/>
      <x:c r="L2103" s="40"/>
      <x:c r="M2103" s="40"/>
      <x:c r="N2103" s="31" t="n">
        <x:v>569</x:v>
      </x:c>
      <x:c r="O2103" s="31" t="n">
        <x:v>1217</x:v>
      </x:c>
      <x:c r="P2103" s="31" t="n">
        <x:v>2.002090534979424</x:v>
      </x:c>
      <x:c r="Q2103" s="40" t="n">
        <x:v>0</x:v>
      </x:c>
      <x:c r="R2103" s="40" t="n">
        <x:v>0.05094494658997535</x:v>
      </x:c>
      <x:c r="S2103" s="40" t="n">
        <x:v>0.20049301561216104</x:v>
      </x:c>
      <x:c r="T2103" s="31" t="n">
        <x:v>26.319385178098766</x:v>
      </x:c>
      <x:c r="U2103" s="31" t="n">
        <x:v>35.43</x:v>
      </x:c>
      <x:c r="V2103" s="31" t="n">
        <x:v>2</x:v>
      </x:c>
      <x:c r="W2103" s="31" t="n">
        <x:v>0.5282620179609087</x:v>
      </x:c>
      <x:c r="X2103" s="31" t="n">
        <x:v>2</x:v>
      </x:c>
      <x:c r="Y2103" s="40" t="n">
        <x:v>0</x:v>
      </x:c>
      <x:c r="Z2103" s="40" t="n">
        <x:v>1</x:v>
      </x:c>
      <x:c r="AA2103" s="40" t="n">
        <x:v>0.9983566146261298</x:v>
      </x:c>
      <x:c r="AB2103" s="31" t="n">
        <x:v>0.062186730269539345</x:v>
      </x:c>
      <x:c r="AC2103" s="31" t="n">
        <x:v>6</x:v>
      </x:c>
      <x:c r="AD2103" s="44" t="b">
        <x:v>1</x:v>
      </x:c>
    </x:row>
    <x:row r="2104">
      <x:c r="A2104" s="31" t="str">
        <x:v>36081103201</x:v>
      </x:c>
      <x:c r="B2104" s="31" t="str">
        <x:v>Queens</x:v>
      </x:c>
      <x:c r="C2104" s="31" t="str">
        <x:v>103201</x:v>
      </x:c>
      <x:c r="D2104" s="31" t="str">
        <x:v>QN1401</x:v>
      </x:c>
      <x:c r="E2104" s="31" t="str">
        <x:v>Far Rockaway-Bayswater</x:v>
      </x:c>
      <x:c r="F2104" s="31" t="n">
        <x:v>0.1546479339334395</x:v>
      </x:c>
      <x:c r="G2104" s="31" t="n">
        <x:v>40.60849953819436</x:v>
      </x:c>
      <x:c r="H2104" s="31" t="n">
        <x:v>-73.75529908913626</x:v>
      </x:c>
      <x:c r="I2104" s="31" t="n">
        <x:v>6986</x:v>
      </x:c>
      <x:c r="J2104" s="31" t="n">
        <x:v>45173.574727527724</x:v>
      </x:c>
      <x:c r="K2104" s="31"/>
      <x:c r="L2104" s="40"/>
      <x:c r="M2104" s="40"/>
      <x:c r="N2104" s="31" t="n">
        <x:v>477</x:v>
      </x:c>
      <x:c r="O2104" s="31" t="n">
        <x:v>2191</x:v>
      </x:c>
      <x:c r="P2104" s="31" t="n">
        <x:v>4.29185759926974</x:v>
      </x:c>
      <x:c r="Q2104" s="40" t="n">
        <x:v>0</x:v>
      </x:c>
      <x:c r="R2104" s="40" t="n">
        <x:v>0.7078959379278869</x:v>
      </x:c>
      <x:c r="S2104" s="40" t="n">
        <x:v>0.33591967138293016</x:v>
      </x:c>
      <x:c r="T2104" s="31" t="n">
        <x:v>45.303127420584744</x:v>
      </x:c>
      <x:c r="U2104" s="31" t="n">
        <x:v>68</x:v>
      </x:c>
      <x:c r="V2104" s="31" t="n">
        <x:v>30</x:v>
      </x:c>
      <x:c r="W2104" s="31" t="n">
        <x:v>4.2943028914972805</x:v>
      </x:c>
      <x:c r="X2104" s="31" t="n">
        <x:v>5</x:v>
      </x:c>
      <x:c r="Y2104" s="40" t="n">
        <x:v>1</x:v>
      </x:c>
      <x:c r="Z2104" s="40" t="n">
        <x:v>1</x:v>
      </x:c>
      <x:c r="AA2104" s="40" t="n">
        <x:v>0.9210406207211319</x:v>
      </x:c>
      <x:c r="AB2104" s="31" t="n">
        <x:v>0.1394929783780346</x:v>
      </x:c>
      <x:c r="AC2104" s="31" t="n">
        <x:v>4</x:v>
      </x:c>
      <x:c r="AD2104" s="44" t="b">
        <x:v>1</x:v>
      </x:c>
    </x:row>
    <x:row r="2105">
      <x:c r="A2105" s="31" t="str">
        <x:v>36081103202</x:v>
      </x:c>
      <x:c r="B2105" s="31" t="str">
        <x:v>Queens</x:v>
      </x:c>
      <x:c r="C2105" s="31" t="str">
        <x:v>103202</x:v>
      </x:c>
      <x:c r="D2105" s="31" t="str">
        <x:v>QN1401</x:v>
      </x:c>
      <x:c r="E2105" s="31" t="str">
        <x:v>Far Rockaway-Bayswater</x:v>
      </x:c>
      <x:c r="F2105" s="31" t="n">
        <x:v>0.2752858636525052</x:v>
      </x:c>
      <x:c r="G2105" s="31" t="n">
        <x:v>40.60664687703493</x:v>
      </x:c>
      <x:c r="H2105" s="31" t="n">
        <x:v>-73.74753011743654</x:v>
      </x:c>
      <x:c r="I2105" s="31" t="n">
        <x:v>6860</x:v>
      </x:c>
      <x:c r="J2105" s="31" t="n">
        <x:v>24919.55056820286</x:v>
      </x:c>
      <x:c r="K2105" s="31"/>
      <x:c r="L2105" s="40"/>
      <x:c r="M2105" s="40"/>
      <x:c r="N2105" s="31" t="n">
        <x:v>605</x:v>
      </x:c>
      <x:c r="O2105" s="31" t="n">
        <x:v>3581</x:v>
      </x:c>
      <x:c r="P2105" s="31" t="n">
        <x:v>6.691242165242166</x:v>
      </x:c>
      <x:c r="Q2105" s="40" t="n">
        <x:v>0.4526668528344038</x:v>
      </x:c>
      <x:c r="R2105" s="40" t="n">
        <x:v>0.319743088522759</x:v>
      </x:c>
      <x:c r="S2105" s="40" t="n">
        <x:v>0.36889137112538395</x:v>
      </x:c>
      <x:c r="T2105" s="31" t="n">
        <x:v>100.73160933007146</x:v>
      </x:c>
      <x:c r="U2105" s="31" t="n">
        <x:v>180</x:v>
      </x:c>
      <x:c r="V2105" s="31" t="n">
        <x:v>57</x:v>
      </x:c>
      <x:c r="W2105" s="31" t="n">
        <x:v>8.309037900874635</x:v>
      </x:c>
      <x:c r="X2105" s="31" t="n">
        <x:v>5</x:v>
      </x:c>
      <x:c r="Y2105" s="40" t="n">
        <x:v>1</x:v>
      </x:c>
      <x:c r="Z2105" s="40" t="n">
        <x:v>1</x:v>
      </x:c>
      <x:c r="AA2105" s="40" t="n">
        <x:v>0.9768221167271712</x:v>
      </x:c>
      <x:c r="AB2105" s="31" t="n">
        <x:v>0.08296214075713713</x:v>
      </x:c>
      <x:c r="AC2105" s="31" t="n">
        <x:v>4</x:v>
      </x:c>
      <x:c r="AD2105" s="44" t="b">
        <x:v>1</x:v>
      </x:c>
    </x:row>
    <x:row r="2106">
      <x:c r="A2106" s="31" t="str">
        <x:v>36081103300</x:v>
      </x:c>
      <x:c r="B2106" s="31" t="str">
        <x:v>Queens</x:v>
      </x:c>
      <x:c r="C2106" s="31" t="str">
        <x:v>103300</x:v>
      </x:c>
      <x:c r="D2106" s="31" t="str">
        <x:v>QN0702</x:v>
      </x:c>
      <x:c r="E2106" s="31" t="str">
        <x:v>Whitestone-Beechhurst</x:v>
      </x:c>
      <x:c r="F2106" s="31" t="n">
        <x:v>0.23406478053008783</x:v>
      </x:c>
      <x:c r="G2106" s="31" t="n">
        <x:v>40.77917916540414</x:v>
      </x:c>
      <x:c r="H2106" s="31" t="n">
        <x:v>-73.80966030671864</x:v>
      </x:c>
      <x:c r="I2106" s="31" t="n">
        <x:v>4459</x:v>
      </x:c>
      <x:c r="J2106" s="31" t="n">
        <x:v>19050.281678011008</x:v>
      </x:c>
      <x:c r="K2106" s="31"/>
      <x:c r="L2106" s="40"/>
      <x:c r="M2106" s="40"/>
      <x:c r="N2106" s="31" t="n">
        <x:v>1099</x:v>
      </x:c>
      <x:c r="O2106" s="31" t="n">
        <x:v>1605</x:v>
      </x:c>
      <x:c r="P2106" s="31" t="n">
        <x:v>1.8902002503128912</x:v>
      </x:c>
      <x:c r="Q2106" s="40" t="n">
        <x:v>0</x:v>
      </x:c>
      <x:c r="R2106" s="40" t="n">
        <x:v>0.019314641744548288</x:v>
      </x:c>
      <x:c r="S2106" s="40" t="n">
        <x:v>0.004984423676012461</x:v>
      </x:c>
      <x:c r="T2106" s="31" t="n">
        <x:v>24.814635269044626</x:v>
      </x:c>
      <x:c r="U2106" s="31" t="n">
        <x:v>37.55</x:v>
      </x:c>
      <x:c r="V2106" s="31" t="n">
        <x:v>2</x:v>
      </x:c>
      <x:c r="W2106" s="31" t="n">
        <x:v>0.4485310607759588</x:v>
      </x:c>
      <x:c r="X2106" s="31" t="n">
        <x:v>2</x:v>
      </x:c>
      <x:c r="Y2106" s="40" t="n">
        <x:v>0</x:v>
      </x:c>
      <x:c r="Z2106" s="40" t="n">
        <x:v>1</x:v>
      </x:c>
      <x:c r="AA2106" s="40" t="n">
        <x:v>0.9912772585669782</x:v>
      </x:c>
      <x:c r="AB2106" s="31" t="n">
        <x:v>0.32634847910768494</x:v>
      </x:c>
      <x:c r="AC2106" s="31" t="n">
        <x:v>5</x:v>
      </x:c>
      <x:c r="AD2106" s="44" t="b">
        <x:v>1</x:v>
      </x:c>
    </x:row>
    <x:row r="2107">
      <x:c r="A2107" s="31" t="str">
        <x:v>36081103900</x:v>
      </x:c>
      <x:c r="B2107" s="31" t="str">
        <x:v>Queens</x:v>
      </x:c>
      <x:c r="C2107" s="31" t="str">
        <x:v>103900</x:v>
      </x:c>
      <x:c r="D2107" s="31" t="str">
        <x:v>QN0702</x:v>
      </x:c>
      <x:c r="E2107" s="31" t="str">
        <x:v>Whitestone-Beechhurst</x:v>
      </x:c>
      <x:c r="F2107" s="31" t="n">
        <x:v>0.3354868145750832</x:v>
      </x:c>
      <x:c r="G2107" s="31" t="n">
        <x:v>40.78405458409857</x:v>
      </x:c>
      <x:c r="H2107" s="31" t="n">
        <x:v>-73.81903383270019</x:v>
      </x:c>
      <x:c r="I2107" s="31" t="n">
        <x:v>6618</x:v>
      </x:c>
      <x:c r="J2107" s="31" t="n">
        <x:v>19726.55768418841</x:v>
      </x:c>
      <x:c r="K2107" s="31"/>
      <x:c r="L2107" s="40"/>
      <x:c r="M2107" s="40"/>
      <x:c r="N2107" s="31" t="n">
        <x:v>1458</x:v>
      </x:c>
      <x:c r="O2107" s="31" t="n">
        <x:v>2313</x:v>
      </x:c>
      <x:c r="P2107" s="31" t="n">
        <x:v>2.2476091655858195</x:v>
      </x:c>
      <x:c r="Q2107" s="40" t="n">
        <x:v>0</x:v>
      </x:c>
      <x:c r="R2107" s="40" t="n">
        <x:v>0.09252053610030264</x:v>
      </x:c>
      <x:c r="S2107" s="40" t="n">
        <x:v>0.028534370946822308</x:v>
      </x:c>
      <x:c r="T2107" s="31" t="n">
        <x:v>29.002775892351657</x:v>
      </x:c>
      <x:c r="U2107" s="31" t="n">
        <x:v>53.03711257</x:v>
      </x:c>
      <x:c r="V2107" s="31" t="n">
        <x:v>3</x:v>
      </x:c>
      <x:c r="W2107" s="31" t="n">
        <x:v>0.45330915684496825</x:v>
      </x:c>
      <x:c r="X2107" s="31" t="n">
        <x:v>2</x:v>
      </x:c>
      <x:c r="Y2107" s="40" t="n">
        <x:v>0</x:v>
      </x:c>
      <x:c r="Z2107" s="40" t="n">
        <x:v>1</x:v>
      </x:c>
      <x:c r="AA2107" s="40" t="n">
        <x:v>0.9909208819714657</x:v>
      </x:c>
      <x:c r="AB2107" s="31" t="n">
        <x:v>0.16925806715552388</x:v>
      </x:c>
      <x:c r="AC2107" s="31" t="n">
        <x:v>8</x:v>
      </x:c>
      <x:c r="AD2107" s="44" t="b">
        <x:v>1</x:v>
      </x:c>
    </x:row>
    <x:row r="2108">
      <x:c r="A2108" s="31" t="str">
        <x:v>36081104700</x:v>
      </x:c>
      <x:c r="B2108" s="31" t="str">
        <x:v>Queens</x:v>
      </x:c>
      <x:c r="C2108" s="31" t="str">
        <x:v>104700</x:v>
      </x:c>
      <x:c r="D2108" s="31" t="str">
        <x:v>QN0704</x:v>
      </x:c>
      <x:c r="E2108" s="31" t="str">
        <x:v>Murray Hill-Broadway Flushing</x:v>
      </x:c>
      <x:c r="F2108" s="31" t="n">
        <x:v>0.3250202887776917</x:v>
      </x:c>
      <x:c r="G2108" s="31" t="n">
        <x:v>40.77481580298594</x:v>
      </x:c>
      <x:c r="H2108" s="31" t="n">
        <x:v>-73.82037101281612</x:v>
      </x:c>
      <x:c r="I2108" s="31" t="n">
        <x:v>7907</x:v>
      </x:c>
      <x:c r="J2108" s="31" t="n">
        <x:v>24327.712062948332</x:v>
      </x:c>
      <x:c r="K2108" s="31"/>
      <x:c r="L2108" s="40"/>
      <x:c r="M2108" s="40"/>
      <x:c r="N2108" s="31" t="n">
        <x:v>1279</x:v>
      </x:c>
      <x:c r="O2108" s="31" t="n">
        <x:v>2884</x:v>
      </x:c>
      <x:c r="P2108" s="31" t="n">
        <x:v>2.9656241331484052</x:v>
      </x:c>
      <x:c r="Q2108" s="40" t="n">
        <x:v>0</x:v>
      </x:c>
      <x:c r="R2108" s="40" t="n">
        <x:v>0.31588072122052707</x:v>
      </x:c>
      <x:c r="S2108" s="40" t="n">
        <x:v>0.20977808599167821</x:v>
      </x:c>
      <x:c r="T2108" s="31" t="n">
        <x:v>34.312237462780864</x:v>
      </x:c>
      <x:c r="U2108" s="31" t="n">
        <x:v>64.18582387</x:v>
      </x:c>
      <x:c r="V2108" s="31" t="n">
        <x:v>18</x:v>
      </x:c>
      <x:c r="W2108" s="31" t="n">
        <x:v>2.276463892753257</x:v>
      </x:c>
      <x:c r="X2108" s="31" t="n">
        <x:v>3.420249653259362</x:v>
      </x:c>
      <x:c r="Y2108" s="40" t="n">
        <x:v>0.710124826629681</x:v>
      </x:c>
      <x:c r="Z2108" s="40" t="n">
        <x:v>1</x:v>
      </x:c>
      <x:c r="AA2108" s="40" t="n">
        <x:v>1</x:v>
      </x:c>
      <x:c r="AB2108" s="31" t="n">
        <x:v>0.10254090183714407</x:v>
      </x:c>
      <x:c r="AC2108" s="31" t="n">
        <x:v>9</x:v>
      </x:c>
      <x:c r="AD2108" s="44" t="b">
        <x:v>1</x:v>
      </x:c>
    </x:row>
    <x:row r="2109">
      <x:c r="A2109" s="31" t="str">
        <x:v>36081105900</x:v>
      </x:c>
      <x:c r="B2109" s="31" t="str">
        <x:v>Queens</x:v>
      </x:c>
      <x:c r="C2109" s="31" t="str">
        <x:v>105900</x:v>
      </x:c>
      <x:c r="D2109" s="31" t="str">
        <x:v>QN0704</x:v>
      </x:c>
      <x:c r="E2109" s="31" t="str">
        <x:v>Murray Hill-Broadway Flushing</x:v>
      </x:c>
      <x:c r="F2109" s="31" t="n">
        <x:v>0.25127119434077994</x:v>
      </x:c>
      <x:c r="G2109" s="31" t="n">
        <x:v>40.773765052328194</x:v>
      </x:c>
      <x:c r="H2109" s="31" t="n">
        <x:v>-73.80705674866955</x:v>
      </x:c>
      <x:c r="I2109" s="31" t="n">
        <x:v>3812</x:v>
      </x:c>
      <x:c r="J2109" s="31" t="n">
        <x:v>15170.859556746786</x:v>
      </x:c>
      <x:c r="K2109" s="31"/>
      <x:c r="L2109" s="40"/>
      <x:c r="M2109" s="40"/>
      <x:c r="N2109" s="31" t="n">
        <x:v>1168</x:v>
      </x:c>
      <x:c r="O2109" s="31" t="n">
        <x:v>1338</x:v>
      </x:c>
      <x:c r="P2109" s="31" t="n">
        <x:v>1.690657698056801</x:v>
      </x:c>
      <x:c r="Q2109" s="40" t="n">
        <x:v>0</x:v>
      </x:c>
      <x:c r="R2109" s="40" t="n">
        <x:v>0.053811659192825115</x:v>
      </x:c>
      <x:c r="S2109" s="40" t="n">
        <x:v>0.0029895366218236174</x:v>
      </x:c>
      <x:c r="T2109" s="31" t="n">
        <x:v>23.150665172100524</x:v>
      </x:c>
      <x:c r="U2109" s="31" t="n">
        <x:v>35.27</x:v>
      </x:c>
      <x:c r="V2109" s="31" t="n">
        <x:v>1</x:v>
      </x:c>
      <x:c r="W2109" s="31" t="n">
        <x:v>0.2623294858342078</x:v>
      </x:c>
      <x:c r="X2109" s="31" t="n">
        <x:v>3.2443946188340806</x:v>
      </x:c>
      <x:c r="Y2109" s="40" t="n">
        <x:v>0.48953662182361735</x:v>
      </x:c>
      <x:c r="Z2109" s="40" t="n">
        <x:v>1</x:v>
      </x:c>
      <x:c r="AA2109" s="40" t="n">
        <x:v>0.9962630792227205</x:v>
      </x:c>
      <x:c r="AB2109" s="31" t="n">
        <x:v>0.4963317699631002</x:v>
      </x:c>
      <x:c r="AC2109" s="31" t="n">
        <x:v>8</x:v>
      </x:c>
      <x:c r="AD2109" s="44" t="b">
        <x:v>1</x:v>
      </x:c>
    </x:row>
    <x:row r="2110">
      <x:c r="A2110" s="31" t="str">
        <x:v>36081107201</x:v>
      </x:c>
      <x:c r="B2110" s="31" t="str">
        <x:v>Queens</x:v>
      </x:c>
      <x:c r="C2110" s="31" t="str">
        <x:v>107201</x:v>
      </x:c>
      <x:c r="D2110" s="31" t="str">
        <x:v>QN1403</x:v>
      </x:c>
      <x:c r="E2110" s="31" t="str">
        <x:v>Breezy Point-Belle Harbor-Rockaway Park-Broad Channel</x:v>
      </x:c>
      <x:c r="F2110" s="31" t="n">
        <x:v>0.5451971853729052</x:v>
      </x:c>
      <x:c r="G2110" s="31" t="n">
        <x:v>40.60363638070698</x:v>
      </x:c>
      <x:c r="H2110" s="31" t="n">
        <x:v>-73.82198151589847</x:v>
      </x:c>
      <x:c r="I2110" s="31" t="n">
        <x:v>2370</x:v>
      </x:c>
      <x:c r="J2110" s="31" t="n">
        <x:v>4347.051055259873</x:v>
      </x:c>
      <x:c r="K2110" s="31"/>
      <x:c r="L2110" s="40"/>
      <x:c r="M2110" s="40"/>
      <x:c r="N2110" s="31" t="n">
        <x:v>875</x:v>
      </x:c>
      <x:c r="O2110" s="31" t="n">
        <x:v>966</x:v>
      </x:c>
      <x:c r="P2110" s="31" t="n">
        <x:v>1.7131568016614744</x:v>
      </x:c>
      <x:c r="Q2110" s="40" t="n">
        <x:v>0</x:v>
      </x:c>
      <x:c r="R2110" s="40" t="n">
        <x:v>0.009316770186335404</x:v>
      </x:c>
      <x:c r="S2110" s="40" t="n">
        <x:v>0.015527950310559006</x:v>
      </x:c>
      <x:c r="T2110" s="31" t="n">
        <x:v>22.784574238843323</x:v>
      </x:c>
      <x:c r="U2110" s="31" t="n">
        <x:v>41.6069</x:v>
      </x:c>
      <x:c r="V2110" s="31" t="n">
        <x:v>28</x:v>
      </x:c>
      <x:c r="W2110" s="31" t="n">
        <x:v>11.814345991561181</x:v>
      </x:c>
      <x:c r="X2110" s="31" t="n">
        <x:v>4</x:v>
      </x:c>
      <x:c r="Y2110" s="40" t="n">
        <x:v>1</x:v>
      </x:c>
      <x:c r="Z2110" s="40" t="n">
        <x:v>0.9968944099378882</x:v>
      </x:c>
      <x:c r="AA2110" s="40" t="n">
        <x:v>0.984472049689441</x:v>
      </x:c>
      <x:c r="AB2110" s="31" t="n">
        <x:v>0.21046408261139934</x:v>
      </x:c>
      <x:c r="AC2110" s="31" t="n">
        <x:v>0</x:v>
      </x:c>
      <x:c r="AD2110" s="44" t="b">
        <x:v>0</x:v>
      </x:c>
    </x:row>
    <x:row r="2111">
      <x:c r="A2111" s="31" t="str">
        <x:v>36081107202</x:v>
      </x:c>
      <x:c r="B2111" s="31" t="str">
        <x:v>Queens</x:v>
      </x:c>
      <x:c r="C2111" s="31" t="str">
        <x:v>107202</x:v>
      </x:c>
      <x:c r="D2111" s="31" t="str">
        <x:v>QN8491</x:v>
      </x:c>
      <x:c r="E2111" s="31" t="str">
        <x:v>Jamaica Bay (East)</x:v>
      </x:c>
      <x:c r="F2111" s="31" t="n">
        <x:v>2.50805894745753</x:v>
      </x:c>
      <x:c r="G2111" s="31" t="n">
        <x:v>40.61691366068687</x:v>
      </x:c>
      <x:c r="H2111" s="31" t="n">
        <x:v>-73.8138148857122</x:v>
      </x:c>
      <x:c r="I2111" s="31" t="n">
        <x:v>0</x:v>
      </x:c>
      <x:c r="J2111" s="31" t="n">
        <x:v>0</x:v>
      </x:c>
      <x:c r="K2111" s="31"/>
      <x:c r="L2111" s="40"/>
      <x:c r="M2111" s="40"/>
      <x:c r="N2111" s="31" t="n">
        <x:v>1</x:v>
      </x:c>
      <x:c r="O2111" s="31" t="n">
        <x:v>1</x:v>
      </x:c>
      <x:c r="P2111" s="31" t="n">
        <x:v>2</x:v>
      </x:c>
      <x:c r="Q2111" s="40" t="n">
        <x:v>0</x:v>
      </x:c>
      <x:c r="R2111" s="40" t="n">
        <x:v>0</x:v>
      </x:c>
      <x:c r="S2111" s="40" t="n">
        <x:v>0</x:v>
      </x:c>
      <x:c r="T2111" s="31"/>
      <x:c r="U2111" s="31"/>
      <x:c r="V2111" s="31" t="n">
        <x:v>0</x:v>
      </x:c>
      <x:c r="W2111" s="31"/>
      <x:c r="X2111" s="31"/>
      <x:c r="Y2111" s="40"/>
      <x:c r="Z2111" s="40" t="n">
        <x:v>0</x:v>
      </x:c>
      <x:c r="AA2111" s="40" t="n">
        <x:v>0</x:v>
      </x:c>
      <x:c r="AB2111" s="31" t="n">
        <x:v>0.803571238822838</x:v>
      </x:c>
      <x:c r="AC2111" s="31" t="n">
        <x:v>0</x:v>
      </x:c>
      <x:c r="AD2111" s="44" t="b">
        <x:v>0</x:v>
      </x:c>
    </x:row>
    <x:row r="2112">
      <x:c r="A2112" s="31" t="str">
        <x:v>36081108500</x:v>
      </x:c>
      <x:c r="B2112" s="31" t="str">
        <x:v>Queens</x:v>
      </x:c>
      <x:c r="C2112" s="31" t="str">
        <x:v>108500</x:v>
      </x:c>
      <x:c r="D2112" s="31" t="str">
        <x:v>QN1101</x:v>
      </x:c>
      <x:c r="E2112" s="31" t="str">
        <x:v>Auburndale</x:v>
      </x:c>
      <x:c r="F2112" s="31" t="n">
        <x:v>0.17190501733277377</x:v>
      </x:c>
      <x:c r="G2112" s="31" t="n">
        <x:v>40.77244578691885</x:v>
      </x:c>
      <x:c r="H2112" s="31" t="n">
        <x:v>-73.78907648004937</x:v>
      </x:c>
      <x:c r="I2112" s="31" t="n">
        <x:v>2778</x:v>
      </x:c>
      <x:c r="J2112" s="31" t="n">
        <x:v>16160.08679154691</x:v>
      </x:c>
      <x:c r="K2112" s="31"/>
      <x:c r="L2112" s="40"/>
      <x:c r="M2112" s="40"/>
      <x:c r="N2112" s="31" t="n">
        <x:v>681</x:v>
      </x:c>
      <x:c r="O2112" s="31" t="n">
        <x:v>956</x:v>
      </x:c>
      <x:c r="P2112" s="31" t="n">
        <x:v>2.033200836820084</x:v>
      </x:c>
      <x:c r="Q2112" s="40" t="n">
        <x:v>0</x:v>
      </x:c>
      <x:c r="R2112" s="40" t="n">
        <x:v>0.07740585774058577</x:v>
      </x:c>
      <x:c r="S2112" s="40" t="n">
        <x:v>0</x:v>
      </x:c>
      <x:c r="T2112" s="31" t="n">
        <x:v>25.972155749476986</x:v>
      </x:c>
      <x:c r="U2112" s="31" t="n">
        <x:v>44.69</x:v>
      </x:c>
      <x:c r="V2112" s="31" t="n">
        <x:v>0</x:v>
      </x:c>
      <x:c r="W2112" s="31" t="n">
        <x:v>0</x:v>
      </x:c>
      <x:c r="X2112" s="31" t="n">
        <x:v>2.4152719665271967</x:v>
      </x:c>
      <x:c r="Y2112" s="40" t="n">
        <x:v>0</x:v>
      </x:c>
      <x:c r="Z2112" s="40" t="n">
        <x:v>1</x:v>
      </x:c>
      <x:c r="AA2112" s="40" t="n">
        <x:v>1</x:v>
      </x:c>
      <x:c r="AB2112" s="31" t="n">
        <x:v>0.32965092987689604</x:v>
      </x:c>
      <x:c r="AC2112" s="31" t="n">
        <x:v>8</x:v>
      </x:c>
      <x:c r="AD2112" s="44" t="b">
        <x:v>1</x:v>
      </x:c>
    </x:row>
    <x:row r="2113">
      <x:c r="A2113" s="31" t="str">
        <x:v>36081109300</x:v>
      </x:c>
      <x:c r="B2113" s="31" t="str">
        <x:v>Queens</x:v>
      </x:c>
      <x:c r="C2113" s="31" t="str">
        <x:v>109300</x:v>
      </x:c>
      <x:c r="D2113" s="31" t="str">
        <x:v>QN1102</x:v>
      </x:c>
      <x:c r="E2113" s="31" t="str">
        <x:v>Bayside</x:v>
      </x:c>
      <x:c r="F2113" s="31" t="n">
        <x:v>0.4132709187004993</x:v>
      </x:c>
      <x:c r="G2113" s="31" t="n">
        <x:v>40.77456809785132</x:v>
      </x:c>
      <x:c r="H2113" s="31" t="n">
        <x:v>-73.77410361211925</x:v>
      </x:c>
      <x:c r="I2113" s="31" t="n">
        <x:v>3139</x:v>
      </x:c>
      <x:c r="J2113" s="31" t="n">
        <x:v>7595.501783358867</x:v>
      </x:c>
      <x:c r="K2113" s="31"/>
      <x:c r="L2113" s="40"/>
      <x:c r="M2113" s="40"/>
      <x:c r="N2113" s="31" t="n">
        <x:v>1010</x:v>
      </x:c>
      <x:c r="O2113" s="31" t="n">
        <x:v>1094</x:v>
      </x:c>
      <x:c r="P2113" s="31" t="n">
        <x:v>1.6993961573650505</x:v>
      </x:c>
      <x:c r="Q2113" s="40" t="n">
        <x:v>0</x:v>
      </x:c>
      <x:c r="R2113" s="40" t="n">
        <x:v>0.027422303473491772</x:v>
      </x:c>
      <x:c r="S2113" s="40" t="n">
        <x:v>0.0018281535648994515</x:v>
      </x:c>
      <x:c r="T2113" s="31" t="n">
        <x:v>24.938831000183487</x:v>
      </x:c>
      <x:c r="U2113" s="31" t="n">
        <x:v>42</x:v>
      </x:c>
      <x:c r="V2113" s="31" t="n">
        <x:v>2</x:v>
      </x:c>
      <x:c r="W2113" s="31" t="n">
        <x:v>0.6371455877668047</x:v>
      </x:c>
      <x:c r="X2113" s="31" t="n">
        <x:v>2</x:v>
      </x:c>
      <x:c r="Y2113" s="40" t="n">
        <x:v>0</x:v>
      </x:c>
      <x:c r="Z2113" s="40" t="n">
        <x:v>1</x:v>
      </x:c>
      <x:c r="AA2113" s="40" t="n">
        <x:v>0.9963436928702011</x:v>
      </x:c>
      <x:c r="AB2113" s="31" t="n">
        <x:v>0.3409941839948819</x:v>
      </x:c>
      <x:c r="AC2113" s="31" t="n">
        <x:v>8</x:v>
      </x:c>
      <x:c r="AD2113" s="44" t="b">
        <x:v>1</x:v>
      </x:c>
    </x:row>
    <x:row r="2114">
      <x:c r="A2114" s="31" t="str">
        <x:v>36081109700</x:v>
      </x:c>
      <x:c r="B2114" s="31" t="str">
        <x:v>Queens</x:v>
      </x:c>
      <x:c r="C2114" s="31" t="str">
        <x:v>109700</x:v>
      </x:c>
      <x:c r="D2114" s="31" t="str">
        <x:v>QN1102</x:v>
      </x:c>
      <x:c r="E2114" s="31" t="str">
        <x:v>Bayside</x:v>
      </x:c>
      <x:c r="F2114" s="31" t="n">
        <x:v>0.1718971502848083</x:v>
      </x:c>
      <x:c r="G2114" s="31" t="n">
        <x:v>40.77034674690144</x:v>
      </x:c>
      <x:c r="H2114" s="31" t="n">
        <x:v>-73.77731403746647</x:v>
      </x:c>
      <x:c r="I2114" s="31" t="n">
        <x:v>1797</x:v>
      </x:c>
      <x:c r="J2114" s="31" t="n">
        <x:v>10453.925484062042</x:v>
      </x:c>
      <x:c r="K2114" s="31"/>
      <x:c r="L2114" s="40"/>
      <x:c r="M2114" s="40"/>
      <x:c r="N2114" s="31" t="n">
        <x:v>520</x:v>
      </x:c>
      <x:c r="O2114" s="31" t="n">
        <x:v>712</x:v>
      </x:c>
      <x:c r="P2114" s="31" t="n">
        <x:v>2.1396488764044945</x:v>
      </x:c>
      <x:c r="Q2114" s="40" t="n">
        <x:v>0</x:v>
      </x:c>
      <x:c r="R2114" s="40" t="n">
        <x:v>0.09831460674157304</x:v>
      </x:c>
      <x:c r="S2114" s="40" t="n">
        <x:v>0.07724719101123595</x:v>
      </x:c>
      <x:c r="T2114" s="31" t="n">
        <x:v>27.47632816709632</x:v>
      </x:c>
      <x:c r="U2114" s="31" t="n">
        <x:v>37.77867625</x:v>
      </x:c>
      <x:c r="V2114" s="31" t="n">
        <x:v>2</x:v>
      </x:c>
      <x:c r="W2114" s="31" t="n">
        <x:v>1.1129660545353368</x:v>
      </x:c>
      <x:c r="X2114" s="31" t="n">
        <x:v>2</x:v>
      </x:c>
      <x:c r="Y2114" s="40" t="n">
        <x:v>0</x:v>
      </x:c>
      <x:c r="Z2114" s="40" t="n">
        <x:v>1</x:v>
      </x:c>
      <x:c r="AA2114" s="40" t="n">
        <x:v>0.9915730337078652</x:v>
      </x:c>
      <x:c r="AB2114" s="31" t="n">
        <x:v>0.2071306421883817</x:v>
      </x:c>
      <x:c r="AC2114" s="31" t="n">
        <x:v>6</x:v>
      </x:c>
      <x:c r="AD2114" s="44" t="b">
        <x:v>1</x:v>
      </x:c>
    </x:row>
    <x:row r="2115">
      <x:c r="A2115" s="31" t="str">
        <x:v>36081109900</x:v>
      </x:c>
      <x:c r="B2115" s="31" t="str">
        <x:v>Queens</x:v>
      </x:c>
      <x:c r="C2115" s="31" t="str">
        <x:v>109900</x:v>
      </x:c>
      <x:c r="D2115" s="31" t="str">
        <x:v>QN1101</x:v>
      </x:c>
      <x:c r="E2115" s="31" t="str">
        <x:v>Auburndale</x:v>
      </x:c>
      <x:c r="F2115" s="31" t="n">
        <x:v>0.14612583885445363</x:v>
      </x:c>
      <x:c r="G2115" s="31" t="n">
        <x:v>40.76794527406236</x:v>
      </x:c>
      <x:c r="H2115" s="31" t="n">
        <x:v>-73.78649236068732</x:v>
      </x:c>
      <x:c r="I2115" s="31" t="n">
        <x:v>3538</x:v>
      </x:c>
      <x:c r="J2115" s="31" t="n">
        <x:v>24212.008141311475</x:v>
      </x:c>
      <x:c r="K2115" s="31"/>
      <x:c r="L2115" s="40"/>
      <x:c r="M2115" s="40"/>
      <x:c r="N2115" s="31" t="n">
        <x:v>911</x:v>
      </x:c>
      <x:c r="O2115" s="31" t="n">
        <x:v>1213</x:v>
      </x:c>
      <x:c r="P2115" s="31" t="n">
        <x:v>2.2196372629843366</x:v>
      </x:c>
      <x:c r="Q2115" s="40" t="n">
        <x:v>0</x:v>
      </x:c>
      <x:c r="R2115" s="40" t="n">
        <x:v>0.14674361088211046</x:v>
      </x:c>
      <x:c r="S2115" s="40" t="n">
        <x:v>0.041220115416323165</x:v>
      </x:c>
      <x:c r="T2115" s="31" t="n">
        <x:v>26.18488730501239</x:v>
      </x:c>
      <x:c r="U2115" s="31" t="n">
        <x:v>53</x:v>
      </x:c>
      <x:c r="V2115" s="31" t="n">
        <x:v>2</x:v>
      </x:c>
      <x:c r="W2115" s="31" t="n">
        <x:v>0.5652911249293385</x:v>
      </x:c>
      <x:c r="X2115" s="31" t="n">
        <x:v>2.3248145094806265</x:v>
      </x:c>
      <x:c r="Y2115" s="40" t="n">
        <x:v>0</x:v>
      </x:c>
      <x:c r="Z2115" s="40" t="n">
        <x:v>1</x:v>
      </x:c>
      <x:c r="AA2115" s="40" t="n">
        <x:v>0.998351195383347</x:v>
      </x:c>
      <x:c r="AB2115" s="31" t="n">
        <x:v>0.19112259620288694</x:v>
      </x:c>
      <x:c r="AC2115" s="31" t="n">
        <x:v>6</x:v>
      </x:c>
      <x:c r="AD2115" s="44" t="b">
        <x:v>1</x:v>
      </x:c>
    </x:row>
    <x:row r="2116">
      <x:c r="A2116" s="31" t="str">
        <x:v>36081111300</x:v>
      </x:c>
      <x:c r="B2116" s="31" t="str">
        <x:v>Queens</x:v>
      </x:c>
      <x:c r="C2116" s="31" t="str">
        <x:v>111300</x:v>
      </x:c>
      <x:c r="D2116" s="31" t="str">
        <x:v>QN1102</x:v>
      </x:c>
      <x:c r="E2116" s="31" t="str">
        <x:v>Bayside</x:v>
      </x:c>
      <x:c r="F2116" s="31" t="n">
        <x:v>0.28168022669773013</x:v>
      </x:c>
      <x:c r="G2116" s="31" t="n">
        <x:v>40.767246235858444</x:v>
      </x:c>
      <x:c r="H2116" s="31" t="n">
        <x:v>-73.76335291715085</x:v>
      </x:c>
      <x:c r="I2116" s="31" t="n">
        <x:v>2611</x:v>
      </x:c>
      <x:c r="J2116" s="31" t="n">
        <x:v>9269.376237764298</x:v>
      </x:c>
      <x:c r="K2116" s="31"/>
      <x:c r="L2116" s="40"/>
      <x:c r="M2116" s="40"/>
      <x:c r="N2116" s="31" t="n">
        <x:v>734</x:v>
      </x:c>
      <x:c r="O2116" s="31" t="n">
        <x:v>901</x:v>
      </x:c>
      <x:c r="P2116" s="31" t="n">
        <x:v>2.0766555555555555</x:v>
      </x:c>
      <x:c r="Q2116" s="40" t="n">
        <x:v>0</x:v>
      </x:c>
      <x:c r="R2116" s="40" t="n">
        <x:v>0.03107658157602664</x:v>
      </x:c>
      <x:c r="S2116" s="40" t="n">
        <x:v>0.0022197558268590455</x:v>
      </x:c>
      <x:c r="T2116" s="31" t="n">
        <x:v>27.741702893729002</x:v>
      </x:c>
      <x:c r="U2116" s="31" t="n">
        <x:v>41.25</x:v>
      </x:c>
      <x:c r="V2116" s="31" t="n">
        <x:v>1</x:v>
      </x:c>
      <x:c r="W2116" s="31" t="n">
        <x:v>0.38299502106472616</x:v>
      </x:c>
      <x:c r="X2116" s="31" t="n">
        <x:v>2</x:v>
      </x:c>
      <x:c r="Y2116" s="40" t="n">
        <x:v>0</x:v>
      </x:c>
      <x:c r="Z2116" s="40" t="n">
        <x:v>1</x:v>
      </x:c>
      <x:c r="AA2116" s="40" t="n">
        <x:v>0.9911209766925638</x:v>
      </x:c>
      <x:c r="AB2116" s="31" t="n">
        <x:v>0.45972619356917754</x:v>
      </x:c>
      <x:c r="AC2116" s="31" t="n">
        <x:v>5</x:v>
      </x:c>
      <x:c r="AD2116" s="44" t="b">
        <x:v>1</x:v>
      </x:c>
    </x:row>
    <x:row r="2117">
      <x:c r="A2117" s="31" t="str">
        <x:v>36081112300</x:v>
      </x:c>
      <x:c r="B2117" s="31" t="str">
        <x:v>Queens</x:v>
      </x:c>
      <x:c r="C2117" s="31" t="str">
        <x:v>112300</x:v>
      </x:c>
      <x:c r="D2117" s="31" t="str">
        <x:v>QN1102</x:v>
      </x:c>
      <x:c r="E2117" s="31" t="str">
        <x:v>Bayside</x:v>
      </x:c>
      <x:c r="F2117" s="31" t="n">
        <x:v>0.10782252689322198</x:v>
      </x:c>
      <x:c r="G2117" s="31" t="n">
        <x:v>40.76629176722713</x:v>
      </x:c>
      <x:c r="H2117" s="31" t="n">
        <x:v>-73.77124500976217</x:v>
      </x:c>
      <x:c r="I2117" s="31" t="n">
        <x:v>2126</x:v>
      </x:c>
      <x:c r="J2117" s="31" t="n">
        <x:v>19717.586493826144</x:v>
      </x:c>
      <x:c r="K2117" s="31"/>
      <x:c r="L2117" s="40"/>
      <x:c r="M2117" s="40"/>
      <x:c r="N2117" s="31" t="n">
        <x:v>359</x:v>
      </x:c>
      <x:c r="O2117" s="31" t="n">
        <x:v>891</x:v>
      </x:c>
      <x:c r="P2117" s="31" t="n">
        <x:v>2.4510946408209806</x:v>
      </x:c>
      <x:c r="Q2117" s="40" t="n">
        <x:v>0</x:v>
      </x:c>
      <x:c r="R2117" s="40" t="n">
        <x:v>0.3265993265993266</x:v>
      </x:c>
      <x:c r="S2117" s="40" t="n">
        <x:v>0.11335578002244669</x:v>
      </x:c>
      <x:c r="T2117" s="31" t="n">
        <x:v>30.74954102423392</x:v>
      </x:c>
      <x:c r="U2117" s="31" t="n">
        <x:v>46.69806937</x:v>
      </x:c>
      <x:c r="V2117" s="31" t="n">
        <x:v>3</x:v>
      </x:c>
      <x:c r="W2117" s="31" t="n">
        <x:v>1.4111006585136407</x:v>
      </x:c>
      <x:c r="X2117" s="31" t="n">
        <x:v>2</x:v>
      </x:c>
      <x:c r="Y2117" s="40" t="n">
        <x:v>0</x:v>
      </x:c>
      <x:c r="Z2117" s="40" t="n">
        <x:v>1</x:v>
      </x:c>
      <x:c r="AA2117" s="40" t="n">
        <x:v>0.9595959595959596</x:v>
      </x:c>
      <x:c r="AB2117" s="31" t="n">
        <x:v>0.26457739310560685</x:v>
      </x:c>
      <x:c r="AC2117" s="31" t="n">
        <x:v>5</x:v>
      </x:c>
      <x:c r="AD2117" s="44" t="b">
        <x:v>1</x:v>
      </x:c>
    </x:row>
    <x:row r="2118">
      <x:c r="A2118" s="31" t="str">
        <x:v>36081112900</x:v>
      </x:c>
      <x:c r="B2118" s="31" t="str">
        <x:v>Queens</x:v>
      </x:c>
      <x:c r="C2118" s="31" t="str">
        <x:v>112900</x:v>
      </x:c>
      <x:c r="D2118" s="31" t="str">
        <x:v>QN1102</x:v>
      </x:c>
      <x:c r="E2118" s="31" t="str">
        <x:v>Bayside</x:v>
      </x:c>
      <x:c r="F2118" s="31" t="n">
        <x:v>0.13702304652060376</x:v>
      </x:c>
      <x:c r="G2118" s="31" t="n">
        <x:v>40.76540148666526</x:v>
      </x:c>
      <x:c r="H2118" s="31" t="n">
        <x:v>-73.77681659789175</x:v>
      </x:c>
      <x:c r="I2118" s="31" t="n">
        <x:v>2248</x:v>
      </x:c>
      <x:c r="J2118" s="31" t="n">
        <x:v>16405.99926131386</x:v>
      </x:c>
      <x:c r="K2118" s="31"/>
      <x:c r="L2118" s="40"/>
      <x:c r="M2118" s="40"/>
      <x:c r="N2118" s="31" t="n">
        <x:v>474</x:v>
      </x:c>
      <x:c r="O2118" s="31" t="n">
        <x:v>910</x:v>
      </x:c>
      <x:c r="P2118" s="31" t="n">
        <x:v>2.997290748898678</x:v>
      </x:c>
      <x:c r="Q2118" s="40" t="n">
        <x:v>0</x:v>
      </x:c>
      <x:c r="R2118" s="40" t="n">
        <x:v>0.321978021978022</x:v>
      </x:c>
      <x:c r="S2118" s="40" t="n">
        <x:v>0.06593406593406594</x:v>
      </x:c>
      <x:c r="T2118" s="31" t="n">
        <x:v>34.56438434901766</x:v>
      </x:c>
      <x:c r="U2118" s="31" t="n">
        <x:v>58.45</x:v>
      </x:c>
      <x:c r="V2118" s="31" t="n">
        <x:v>3</x:v>
      </x:c>
      <x:c r="W2118" s="31" t="n">
        <x:v>1.3345195729537367</x:v>
      </x:c>
      <x:c r="X2118" s="31" t="n">
        <x:v>2</x:v>
      </x:c>
      <x:c r="Y2118" s="40" t="n">
        <x:v>0</x:v>
      </x:c>
      <x:c r="Z2118" s="40" t="n">
        <x:v>1</x:v>
      </x:c>
      <x:c r="AA2118" s="40" t="n">
        <x:v>0.9956043956043956</x:v>
      </x:c>
      <x:c r="AB2118" s="31" t="n">
        <x:v>0.43750224339788824</x:v>
      </x:c>
      <x:c r="AC2118" s="31" t="n">
        <x:v>6</x:v>
      </x:c>
      <x:c r="AD2118" s="44" t="b">
        <x:v>1</x:v>
      </x:c>
    </x:row>
    <x:row r="2119">
      <x:c r="A2119" s="31" t="str">
        <x:v>36081113300</x:v>
      </x:c>
      <x:c r="B2119" s="31" t="str">
        <x:v>Queens</x:v>
      </x:c>
      <x:c r="C2119" s="31" t="str">
        <x:v>113300</x:v>
      </x:c>
      <x:c r="D2119" s="31" t="str">
        <x:v>QN1101</x:v>
      </x:c>
      <x:c r="E2119" s="31" t="str">
        <x:v>Auburndale</x:v>
      </x:c>
      <x:c r="F2119" s="31" t="n">
        <x:v>0.09852316668818871</x:v>
      </x:c>
      <x:c r="G2119" s="31" t="n">
        <x:v>40.764137092811936</x:v>
      </x:c>
      <x:c r="H2119" s="31" t="n">
        <x:v>-73.78313526995268</x:v>
      </x:c>
      <x:c r="I2119" s="31" t="n">
        <x:v>1554</x:v>
      </x:c>
      <x:c r="J2119" s="31" t="n">
        <x:v>15772.940032654256</x:v>
      </x:c>
      <x:c r="K2119" s="31"/>
      <x:c r="L2119" s="40"/>
      <x:c r="M2119" s="40"/>
      <x:c r="N2119" s="31" t="n">
        <x:v>364</x:v>
      </x:c>
      <x:c r="O2119" s="31" t="n">
        <x:v>659</x:v>
      </x:c>
      <x:c r="P2119" s="31" t="n">
        <x:v>2.005250379362671</x:v>
      </x:c>
      <x:c r="Q2119" s="40" t="n">
        <x:v>0</x:v>
      </x:c>
      <x:c r="R2119" s="40" t="n">
        <x:v>0.004552352048558422</x:v>
      </x:c>
      <x:c r="S2119" s="40" t="n">
        <x:v>0.3095599393019727</x:v>
      </x:c>
      <x:c r="T2119" s="31" t="n">
        <x:v>27.428136208237085</x:v>
      </x:c>
      <x:c r="U2119" s="31" t="n">
        <x:v>37.97</x:v>
      </x:c>
      <x:c r="V2119" s="31" t="n">
        <x:v>0</x:v>
      </x:c>
      <x:c r="W2119" s="31" t="n">
        <x:v>0</x:v>
      </x:c>
      <x:c r="X2119" s="31" t="n">
        <x:v>2.0075872534142643</x:v>
      </x:c>
      <x:c r="Y2119" s="40" t="n">
        <x:v>0</x:v>
      </x:c>
      <x:c r="Z2119" s="40" t="n">
        <x:v>1</x:v>
      </x:c>
      <x:c r="AA2119" s="40" t="n">
        <x:v>0.9984825493171472</x:v>
      </x:c>
      <x:c r="AB2119" s="31" t="n">
        <x:v>0.290894880071378</x:v>
      </x:c>
      <x:c r="AC2119" s="31" t="n">
        <x:v>6</x:v>
      </x:c>
      <x:c r="AD2119" s="44" t="b">
        <x:v>1</x:v>
      </x:c>
    </x:row>
    <x:row r="2120">
      <x:c r="A2120" s="31" t="str">
        <x:v>36081113900</x:v>
      </x:c>
      <x:c r="B2120" s="31" t="str">
        <x:v>Queens</x:v>
      </x:c>
      <x:c r="C2120" s="31" t="str">
        <x:v>113900</x:v>
      </x:c>
      <x:c r="D2120" s="31" t="str">
        <x:v>QN1101</x:v>
      </x:c>
      <x:c r="E2120" s="31" t="str">
        <x:v>Auburndale</x:v>
      </x:c>
      <x:c r="F2120" s="31" t="n">
        <x:v>0.14824437189544593</x:v>
      </x:c>
      <x:c r="G2120" s="31" t="n">
        <x:v>40.76423344960993</x:v>
      </x:c>
      <x:c r="H2120" s="31" t="n">
        <x:v>-73.79062520542557</x:v>
      </x:c>
      <x:c r="I2120" s="31" t="n">
        <x:v>3602</x:v>
      </x:c>
      <x:c r="J2120" s="31" t="n">
        <x:v>24297.718381784</x:v>
      </x:c>
      <x:c r="K2120" s="31"/>
      <x:c r="L2120" s="40"/>
      <x:c r="M2120" s="40"/>
      <x:c r="N2120" s="31" t="n">
        <x:v>620</x:v>
      </x:c>
      <x:c r="O2120" s="31" t="n">
        <x:v>1471</x:v>
      </x:c>
      <x:c r="P2120" s="31" t="n">
        <x:v>2.4419658703071674</x:v>
      </x:c>
      <x:c r="Q2120" s="40" t="n">
        <x:v>0</x:v>
      </x:c>
      <x:c r="R2120" s="40" t="n">
        <x:v>0.18694765465669613</x:v>
      </x:c>
      <x:c r="S2120" s="40" t="n">
        <x:v>0.1787899388171312</x:v>
      </x:c>
      <x:c r="T2120" s="31" t="n">
        <x:v>30.996391470137176</x:v>
      </x:c>
      <x:c r="U2120" s="31" t="n">
        <x:v>61.05</x:v>
      </x:c>
      <x:c r="V2120" s="31" t="n">
        <x:v>4</x:v>
      </x:c>
      <x:c r="W2120" s="31" t="n">
        <x:v>1.1104941699056081</x:v>
      </x:c>
      <x:c r="X2120" s="31" t="n">
        <x:v>2.9918422841604353</x:v>
      </x:c>
      <x:c r="Y2120" s="40" t="n">
        <x:v>0</x:v>
      </x:c>
      <x:c r="Z2120" s="40" t="n">
        <x:v>1</x:v>
      </x:c>
      <x:c r="AA2120" s="40" t="n">
        <x:v>0.991162474507138</x:v>
      </x:c>
      <x:c r="AB2120" s="31" t="n">
        <x:v>0.07144389253602557</x:v>
      </x:c>
      <x:c r="AC2120" s="31" t="n">
        <x:v>7</x:v>
      </x:c>
      <x:c r="AD2120" s="44" t="b">
        <x:v>1</x:v>
      </x:c>
    </x:row>
    <x:row r="2121">
      <x:c r="A2121" s="31" t="str">
        <x:v>36081114100</x:v>
      </x:c>
      <x:c r="B2121" s="31" t="str">
        <x:v>Queens</x:v>
      </x:c>
      <x:c r="C2121" s="31" t="str">
        <x:v>114100</x:v>
      </x:c>
      <x:c r="D2121" s="31" t="str">
        <x:v>QN0704</x:v>
      </x:c>
      <x:c r="E2121" s="31" t="str">
        <x:v>Murray Hill-Broadway Flushing</x:v>
      </x:c>
      <x:c r="F2121" s="31" t="n">
        <x:v>0.17275152607323233</x:v>
      </x:c>
      <x:c r="G2121" s="31" t="n">
        <x:v>40.769093050510946</x:v>
      </x:c>
      <x:c r="H2121" s="31" t="n">
        <x:v>-73.79668799641922</x:v>
      </x:c>
      <x:c r="I2121" s="31" t="n">
        <x:v>2580</x:v>
      </x:c>
      <x:c r="J2121" s="31" t="n">
        <x:v>14934.745056355066</x:v>
      </x:c>
      <x:c r="K2121" s="31"/>
      <x:c r="L2121" s="40"/>
      <x:c r="M2121" s="40"/>
      <x:c r="N2121" s="31" t="n">
        <x:v>792</x:v>
      </x:c>
      <x:c r="O2121" s="31" t="n">
        <x:v>878</x:v>
      </x:c>
      <x:c r="P2121" s="31" t="n">
        <x:v>2.1471753986332573</x:v>
      </x:c>
      <x:c r="Q2121" s="40" t="n">
        <x:v>0</x:v>
      </x:c>
      <x:c r="R2121" s="40" t="n">
        <x:v>0.003416856492027335</x:v>
      </x:c>
      <x:c r="S2121" s="40" t="n">
        <x:v>0.0056947608200455585</x:v>
      </x:c>
      <x:c r="T2121" s="31" t="n">
        <x:v>28.233888421894978</x:v>
      </x:c>
      <x:c r="U2121" s="31" t="n">
        <x:v>40.43</x:v>
      </x:c>
      <x:c r="V2121" s="31" t="n">
        <x:v>1</x:v>
      </x:c>
      <x:c r="W2121" s="31" t="n">
        <x:v>0.3875968992248062</x:v>
      </x:c>
      <x:c r="X2121" s="31" t="n">
        <x:v>3</x:v>
      </x:c>
      <x:c r="Y2121" s="40" t="n">
        <x:v>0</x:v>
      </x:c>
      <x:c r="Z2121" s="40" t="n">
        <x:v>1</x:v>
      </x:c>
      <x:c r="AA2121" s="40" t="n">
        <x:v>0.9977220956719818</x:v>
      </x:c>
      <x:c r="AB2121" s="31" t="n">
        <x:v>0.26534517032741783</x:v>
      </x:c>
      <x:c r="AC2121" s="31" t="n">
        <x:v>6</x:v>
      </x:c>
      <x:c r="AD2121" s="44" t="b">
        <x:v>1</x:v>
      </x:c>
    </x:row>
    <x:row r="2122">
      <x:c r="A2122" s="31" t="str">
        <x:v>36081114700</x:v>
      </x:c>
      <x:c r="B2122" s="31" t="str">
        <x:v>Queens</x:v>
      </x:c>
      <x:c r="C2122" s="31" t="str">
        <x:v>114700</x:v>
      </x:c>
      <x:c r="D2122" s="31" t="str">
        <x:v>QN0704</x:v>
      </x:c>
      <x:c r="E2122" s="31" t="str">
        <x:v>Murray Hill-Broadway Flushing</x:v>
      </x:c>
      <x:c r="F2122" s="31" t="n">
        <x:v>0.11876756729116449</x:v>
      </x:c>
      <x:c r="G2122" s="31" t="n">
        <x:v>40.76825878518967</x:v>
      </x:c>
      <x:c r="H2122" s="31" t="n">
        <x:v>-73.80195504036939</x:v>
      </x:c>
      <x:c r="I2122" s="31" t="n">
        <x:v>1833</x:v>
      </x:c>
      <x:c r="J2122" s="31" t="n">
        <x:v>15433.506316638708</x:v>
      </x:c>
      <x:c r="K2122" s="31"/>
      <x:c r="L2122" s="40"/>
      <x:c r="M2122" s="40"/>
      <x:c r="N2122" s="31" t="n">
        <x:v>523</x:v>
      </x:c>
      <x:c r="O2122" s="31" t="n">
        <x:v>626</x:v>
      </x:c>
      <x:c r="P2122" s="31" t="n">
        <x:v>2.185111821086262</x:v>
      </x:c>
      <x:c r="Q2122" s="40" t="n">
        <x:v>0</x:v>
      </x:c>
      <x:c r="R2122" s="40" t="n">
        <x:v>0.025559105431309903</x:v>
      </x:c>
      <x:c r="S2122" s="40" t="n">
        <x:v>0.006389776357827476</x:v>
      </x:c>
      <x:c r="T2122" s="31" t="n">
        <x:v>28.13678626695513</x:v>
      </x:c>
      <x:c r="U2122" s="31" t="n">
        <x:v>40</x:v>
      </x:c>
      <x:c r="V2122" s="31" t="n">
        <x:v>0</x:v>
      </x:c>
      <x:c r="W2122" s="31" t="n">
        <x:v>0</x:v>
      </x:c>
      <x:c r="X2122" s="31" t="n">
        <x:v>3</x:v>
      </x:c>
      <x:c r="Y2122" s="40" t="n">
        <x:v>0</x:v>
      </x:c>
      <x:c r="Z2122" s="40" t="n">
        <x:v>1</x:v>
      </x:c>
      <x:c r="AA2122" s="40" t="n">
        <x:v>0.9968051118210862</x:v>
      </x:c>
      <x:c r="AB2122" s="31" t="n">
        <x:v>0.42970612756487425</x:v>
      </x:c>
      <x:c r="AC2122" s="31" t="n">
        <x:v>5</x:v>
      </x:c>
      <x:c r="AD2122" s="44" t="b">
        <x:v>1</x:v>
      </x:c>
    </x:row>
    <x:row r="2123">
      <x:c r="A2123" s="31" t="str">
        <x:v>36081115100</x:v>
      </x:c>
      <x:c r="B2123" s="31" t="str">
        <x:v>Queens</x:v>
      </x:c>
      <x:c r="C2123" s="31" t="str">
        <x:v>115100</x:v>
      </x:c>
      <x:c r="D2123" s="31" t="str">
        <x:v>QN0704</x:v>
      </x:c>
      <x:c r="E2123" s="31" t="str">
        <x:v>Murray Hill-Broadway Flushing</x:v>
      </x:c>
      <x:c r="F2123" s="31" t="n">
        <x:v>0.11442873740853134</x:v>
      </x:c>
      <x:c r="G2123" s="31" t="n">
        <x:v>40.76857004272146</x:v>
      </x:c>
      <x:c r="H2123" s="31" t="n">
        <x:v>-73.80763174857785</x:v>
      </x:c>
      <x:c r="I2123" s="31" t="n">
        <x:v>1087</x:v>
      </x:c>
      <x:c r="J2123" s="31" t="n">
        <x:v>9499.362001340738</x:v>
      </x:c>
      <x:c r="K2123" s="31"/>
      <x:c r="L2123" s="40"/>
      <x:c r="M2123" s="40"/>
      <x:c r="N2123" s="31" t="n">
        <x:v>334</x:v>
      </x:c>
      <x:c r="O2123" s="31" t="n">
        <x:v>386</x:v>
      </x:c>
      <x:c r="P2123" s="31" t="n">
        <x:v>2.2837046632124354</x:v>
      </x:c>
      <x:c r="Q2123" s="40" t="n">
        <x:v>0</x:v>
      </x:c>
      <x:c r="R2123" s="40" t="n">
        <x:v>0.0025906735751295338</x:v>
      </x:c>
      <x:c r="S2123" s="40" t="n">
        <x:v>0.0025906735751295338</x:v>
      </x:c>
      <x:c r="T2123" s="31" t="n">
        <x:v>29.8524726608094</x:v>
      </x:c>
      <x:c r="U2123" s="31" t="n">
        <x:v>42.41</x:v>
      </x:c>
      <x:c r="V2123" s="31" t="n">
        <x:v>2</x:v>
      </x:c>
      <x:c r="W2123" s="31" t="n">
        <x:v>1.8399264029438822</x:v>
      </x:c>
      <x:c r="X2123" s="31" t="n">
        <x:v>3.626943005181347</x:v>
      </x:c>
      <x:c r="Y2123" s="40" t="n">
        <x:v>0.6269430051813472</x:v>
      </x:c>
      <x:c r="Z2123" s="40" t="n">
        <x:v>1</x:v>
      </x:c>
      <x:c r="AA2123" s="40" t="n">
        <x:v>0.9922279792746114</x:v>
      </x:c>
      <x:c r="AB2123" s="31" t="n">
        <x:v>0.35179669775416766</x:v>
      </x:c>
      <x:c r="AC2123" s="31" t="n">
        <x:v>4</x:v>
      </x:c>
      <x:c r="AD2123" s="44" t="b">
        <x:v>1</x:v>
      </x:c>
    </x:row>
    <x:row r="2124">
      <x:c r="A2124" s="31" t="str">
        <x:v>36081115500</x:v>
      </x:c>
      <x:c r="B2124" s="31" t="str">
        <x:v>Queens</x:v>
      </x:c>
      <x:c r="C2124" s="31" t="str">
        <x:v>115500</x:v>
      </x:c>
      <x:c r="D2124" s="31" t="str">
        <x:v>QN0704</x:v>
      </x:c>
      <x:c r="E2124" s="31" t="str">
        <x:v>Murray Hill-Broadway Flushing</x:v>
      </x:c>
      <x:c r="F2124" s="31" t="n">
        <x:v>0.07220785797104567</x:v>
      </x:c>
      <x:c r="G2124" s="31" t="n">
        <x:v>40.767838319016434</x:v>
      </x:c>
      <x:c r="H2124" s="31" t="n">
        <x:v>-73.81179141798546</x:v>
      </x:c>
      <x:c r="I2124" s="31" t="n">
        <x:v>2132</x:v>
      </x:c>
      <x:c r="J2124" s="31" t="n">
        <x:v>29525.872389884516</x:v>
      </x:c>
      <x:c r="K2124" s="31"/>
      <x:c r="L2124" s="40"/>
      <x:c r="M2124" s="40"/>
      <x:c r="N2124" s="31" t="n">
        <x:v>330</x:v>
      </x:c>
      <x:c r="O2124" s="31" t="n">
        <x:v>710</x:v>
      </x:c>
      <x:c r="P2124" s="31" t="n">
        <x:v>3.271394366197183</x:v>
      </x:c>
      <x:c r="Q2124" s="40" t="n">
        <x:v>0</x:v>
      </x:c>
      <x:c r="R2124" s="40" t="n">
        <x:v>0.43661971830985913</x:v>
      </x:c>
      <x:c r="S2124" s="40" t="n">
        <x:v>0.0014084507042253522</x:v>
      </x:c>
      <x:c r="T2124" s="31" t="n">
        <x:v>38.92162303091808</x:v>
      </x:c>
      <x:c r="U2124" s="31" t="n">
        <x:v>68.46</x:v>
      </x:c>
      <x:c r="V2124" s="31" t="n">
        <x:v>2</x:v>
      </x:c>
      <x:c r="W2124" s="31" t="n">
        <x:v>0.9380863039399625</x:v>
      </x:c>
      <x:c r="X2124" s="31" t="n">
        <x:v>4</x:v>
      </x:c>
      <x:c r="Y2124" s="40" t="n">
        <x:v>1</x:v>
      </x:c>
      <x:c r="Z2124" s="40" t="n">
        <x:v>1</x:v>
      </x:c>
      <x:c r="AA2124" s="40" t="n">
        <x:v>0.9971830985915493</x:v>
      </x:c>
      <x:c r="AB2124" s="31" t="n">
        <x:v>0.2998979005198618</x:v>
      </x:c>
      <x:c r="AC2124" s="31" t="n">
        <x:v>6</x:v>
      </x:c>
      <x:c r="AD2124" s="44" t="b">
        <x:v>1</x:v>
      </x:c>
    </x:row>
    <x:row r="2125">
      <x:c r="A2125" s="31" t="str">
        <x:v>36081115700</x:v>
      </x:c>
      <x:c r="B2125" s="31" t="str">
        <x:v>Queens</x:v>
      </x:c>
      <x:c r="C2125" s="31" t="str">
        <x:v>115700</x:v>
      </x:c>
      <x:c r="D2125" s="31" t="str">
        <x:v>QN0704</x:v>
      </x:c>
      <x:c r="E2125" s="31" t="str">
        <x:v>Murray Hill-Broadway Flushing</x:v>
      </x:c>
      <x:c r="F2125" s="31" t="n">
        <x:v>0.12147029126097623</x:v>
      </x:c>
      <x:c r="G2125" s="31" t="n">
        <x:v>40.767572673461906</x:v>
      </x:c>
      <x:c r="H2125" s="31" t="n">
        <x:v>-73.81516957788942</x:v>
      </x:c>
      <x:c r="I2125" s="31" t="n">
        <x:v>3529</x:v>
      </x:c>
      <x:c r="J2125" s="31" t="n">
        <x:v>29052.371270091233</x:v>
      </x:c>
      <x:c r="K2125" s="31"/>
      <x:c r="L2125" s="40"/>
      <x:c r="M2125" s="40"/>
      <x:c r="N2125" s="31" t="n">
        <x:v>453</x:v>
      </x:c>
      <x:c r="O2125" s="31" t="n">
        <x:v>1342</x:v>
      </x:c>
      <x:c r="P2125" s="31" t="n">
        <x:v>4.1061619190404794</x:v>
      </x:c>
      <x:c r="Q2125" s="40" t="n">
        <x:v>0</x:v>
      </x:c>
      <x:c r="R2125" s="40" t="n">
        <x:v>0.6028315946348733</x:v>
      </x:c>
      <x:c r="S2125" s="40" t="n">
        <x:v>0.0037257824143070045</x:v>
      </x:c>
      <x:c r="T2125" s="31" t="n">
        <x:v>47.01458188614467</x:v>
      </x:c>
      <x:c r="U2125" s="31" t="n">
        <x:v>77</x:v>
      </x:c>
      <x:c r="V2125" s="31" t="n">
        <x:v>16</x:v>
      </x:c>
      <x:c r="W2125" s="31" t="n">
        <x:v>4.533862283933126</x:v>
      </x:c>
      <x:c r="X2125" s="31" t="n">
        <x:v>4</x:v>
      </x:c>
      <x:c r="Y2125" s="40" t="n">
        <x:v>1</x:v>
      </x:c>
      <x:c r="Z2125" s="40" t="n">
        <x:v>1</x:v>
      </x:c>
      <x:c r="AA2125" s="40" t="n">
        <x:v>0.9992548435171386</x:v>
      </x:c>
      <x:c r="AB2125" s="31" t="n">
        <x:v>0.3843741843701721</x:v>
      </x:c>
      <x:c r="AC2125" s="31" t="n">
        <x:v>7</x:v>
      </x:c>
      <x:c r="AD2125" s="44" t="b">
        <x:v>1</x:v>
      </x:c>
    </x:row>
    <x:row r="2126">
      <x:c r="A2126" s="31" t="str">
        <x:v>36081115900</x:v>
      </x:c>
      <x:c r="B2126" s="31" t="str">
        <x:v>Queens</x:v>
      </x:c>
      <x:c r="C2126" s="31" t="str">
        <x:v>115900</x:v>
      </x:c>
      <x:c r="D2126" s="31" t="str">
        <x:v>QN0704</x:v>
      </x:c>
      <x:c r="E2126" s="31" t="str">
        <x:v>Murray Hill-Broadway Flushing</x:v>
      </x:c>
      <x:c r="F2126" s="31" t="n">
        <x:v>0.11930894948849288</x:v>
      </x:c>
      <x:c r="G2126" s="31" t="n">
        <x:v>40.76863971057181</x:v>
      </x:c>
      <x:c r="H2126" s="31" t="n">
        <x:v>-73.82075529244514</x:v>
      </x:c>
      <x:c r="I2126" s="31" t="n">
        <x:v>3922</x:v>
      </x:c>
      <x:c r="J2126" s="31" t="n">
        <x:v>32872.63878204099</x:v>
      </x:c>
      <x:c r="K2126" s="31"/>
      <x:c r="L2126" s="40"/>
      <x:c r="M2126" s="40"/>
      <x:c r="N2126" s="31" t="n">
        <x:v>393</x:v>
      </x:c>
      <x:c r="O2126" s="31" t="n">
        <x:v>1418</x:v>
      </x:c>
      <x:c r="P2126" s="31" t="n">
        <x:v>4.507487649964714</x:v>
      </x:c>
      <x:c r="Q2126" s="40" t="n">
        <x:v>0</x:v>
      </x:c>
      <x:c r="R2126" s="40" t="n">
        <x:v>0.6396332863187588</x:v>
      </x:c>
      <x:c r="S2126" s="40" t="n">
        <x:v>0.005641748942172073</x:v>
      </x:c>
      <x:c r="T2126" s="31" t="n">
        <x:v>49.303113816048</x:v>
      </x:c>
      <x:c r="U2126" s="31" t="n">
        <x:v>76</x:v>
      </x:c>
      <x:c r="V2126" s="31" t="n">
        <x:v>16</x:v>
      </x:c>
      <x:c r="W2126" s="31" t="n">
        <x:v>4.07955124936257</x:v>
      </x:c>
      <x:c r="X2126" s="31" t="n">
        <x:v>4</x:v>
      </x:c>
      <x:c r="Y2126" s="40" t="n">
        <x:v>1</x:v>
      </x:c>
      <x:c r="Z2126" s="40" t="n">
        <x:v>1</x:v>
      </x:c>
      <x:c r="AA2126" s="40" t="n">
        <x:v>0.9992947813822285</x:v>
      </x:c>
      <x:c r="AB2126" s="31" t="n">
        <x:v>0.32814124078979107</x:v>
      </x:c>
      <x:c r="AC2126" s="31" t="n">
        <x:v>4</x:v>
      </x:c>
      <x:c r="AD2126" s="44" t="b">
        <x:v>1</x:v>
      </x:c>
    </x:row>
    <x:row r="2127">
      <x:c r="A2127" s="31" t="str">
        <x:v>36081116100</x:v>
      </x:c>
      <x:c r="B2127" s="31" t="str">
        <x:v>Queens</x:v>
      </x:c>
      <x:c r="C2127" s="31" t="str">
        <x:v>116100</x:v>
      </x:c>
      <x:c r="D2127" s="31" t="str">
        <x:v>QN0707</x:v>
      </x:c>
      <x:c r="E2127" s="31" t="str">
        <x:v>Flushing-Willets Point</x:v>
      </x:c>
      <x:c r="F2127" s="31" t="n">
        <x:v>0.06783597223621154</x:v>
      </x:c>
      <x:c r="G2127" s="31" t="n">
        <x:v>40.76686005353262</x:v>
      </x:c>
      <x:c r="H2127" s="31" t="n">
        <x:v>-73.82569887602293</x:v>
      </x:c>
      <x:c r="I2127" s="31" t="n">
        <x:v>4585</x:v>
      </x:c>
      <x:c r="J2127" s="31" t="n">
        <x:v>67589.50817472738</x:v>
      </x:c>
      <x:c r="K2127" s="31"/>
      <x:c r="L2127" s="40"/>
      <x:c r="M2127" s="40"/>
      <x:c r="N2127" s="31" t="n">
        <x:v>131</x:v>
      </x:c>
      <x:c r="O2127" s="31" t="n">
        <x:v>1604</x:v>
      </x:c>
      <x:c r="P2127" s="31" t="n">
        <x:v>6.281602002503129</x:v>
      </x:c>
      <x:c r="Q2127" s="40" t="n">
        <x:v>0.12655860349127182</x:v>
      </x:c>
      <x:c r="R2127" s="40" t="n">
        <x:v>0.8216957605985037</x:v>
      </x:c>
      <x:c r="S2127" s="40" t="n">
        <x:v>0</x:v>
      </x:c>
      <x:c r="T2127" s="31" t="n">
        <x:v>64.9539907011243</x:v>
      </x:c>
      <x:c r="U2127" s="31" t="n">
        <x:v>99.02</x:v>
      </x:c>
      <x:c r="V2127" s="31" t="n">
        <x:v>31</x:v>
      </x:c>
      <x:c r="W2127" s="31" t="n">
        <x:v>6.761177753544166</x:v>
      </x:c>
      <x:c r="X2127" s="31" t="n">
        <x:v>4</x:v>
      </x:c>
      <x:c r="Y2127" s="40" t="n">
        <x:v>1</x:v>
      </x:c>
      <x:c r="Z2127" s="40" t="n">
        <x:v>1</x:v>
      </x:c>
      <x:c r="AA2127" s="40" t="n">
        <x:v>0.9981296758104738</x:v>
      </x:c>
      <x:c r="AB2127" s="31" t="n">
        <x:v>0.13983191236387543</x:v>
      </x:c>
      <x:c r="AC2127" s="31" t="n">
        <x:v>6</x:v>
      </x:c>
      <x:c r="AD2127" s="44" t="b">
        <x:v>1</x:v>
      </x:c>
    </x:row>
    <x:row r="2128">
      <x:c r="A2128" s="31" t="str">
        <x:v>36081116301</x:v>
      </x:c>
      <x:c r="B2128" s="31" t="str">
        <x:v>Queens</x:v>
      </x:c>
      <x:c r="C2128" s="31" t="str">
        <x:v>116301</x:v>
      </x:c>
      <x:c r="D2128" s="31" t="str">
        <x:v>QN0704</x:v>
      </x:c>
      <x:c r="E2128" s="31" t="str">
        <x:v>Murray Hill-Broadway Flushing</x:v>
      </x:c>
      <x:c r="F2128" s="31" t="n">
        <x:v>0.05150657074724518</x:v>
      </x:c>
      <x:c r="G2128" s="31" t="n">
        <x:v>40.764875628646195</x:v>
      </x:c>
      <x:c r="H2128" s="31" t="n">
        <x:v>-73.82085080551553</x:v>
      </x:c>
      <x:c r="I2128" s="31" t="n">
        <x:v>5178</x:v>
      </x:c>
      <x:c r="J2128" s="31" t="n">
        <x:v>100530.86285650157</x:v>
      </x:c>
      <x:c r="K2128" s="31"/>
      <x:c r="L2128" s="40"/>
      <x:c r="M2128" s="40"/>
      <x:c r="N2128" s="31" t="n">
        <x:v>150</x:v>
      </x:c>
      <x:c r="O2128" s="31" t="n">
        <x:v>2120</x:v>
      </x:c>
      <x:c r="P2128" s="31" t="n">
        <x:v>6.21219281663516</x:v>
      </x:c>
      <x:c r="Q2128" s="40" t="n">
        <x:v>0.09764150943396227</x:v>
      </x:c>
      <x:c r="R2128" s="40" t="n">
        <x:v>0.8933962264150943</x:v>
      </x:c>
      <x:c r="S2128" s="40" t="n">
        <x:v>0</x:v>
      </x:c>
      <x:c r="T2128" s="31" t="n">
        <x:v>64.37688679245284</x:v>
      </x:c>
      <x:c r="U2128" s="31" t="n">
        <x:v>163</x:v>
      </x:c>
      <x:c r="V2128" s="31" t="n">
        <x:v>45</x:v>
      </x:c>
      <x:c r="W2128" s="31" t="n">
        <x:v>8.69061413673233</x:v>
      </x:c>
      <x:c r="X2128" s="31" t="n">
        <x:v>4</x:v>
      </x:c>
      <x:c r="Y2128" s="40" t="n">
        <x:v>1</x:v>
      </x:c>
      <x:c r="Z2128" s="40" t="n">
        <x:v>1</x:v>
      </x:c>
      <x:c r="AA2128" s="40" t="n">
        <x:v>0.9</x:v>
      </x:c>
      <x:c r="AB2128" s="31" t="n">
        <x:v>0.3089470993209178</x:v>
      </x:c>
      <x:c r="AC2128" s="31" t="n">
        <x:v>6</x:v>
      </x:c>
      <x:c r="AD2128" s="44" t="b">
        <x:v>1</x:v>
      </x:c>
    </x:row>
    <x:row r="2129">
      <x:c r="A2129" s="31" t="str">
        <x:v>36081116302</x:v>
      </x:c>
      <x:c r="B2129" s="31" t="str">
        <x:v>Queens</x:v>
      </x:c>
      <x:c r="C2129" s="31" t="str">
        <x:v>116302</x:v>
      </x:c>
      <x:c r="D2129" s="31" t="str">
        <x:v>QN0704</x:v>
      </x:c>
      <x:c r="E2129" s="31" t="str">
        <x:v>Murray Hill-Broadway Flushing</x:v>
      </x:c>
      <x:c r="F2129" s="31" t="n">
        <x:v>0.04559930720342631</x:v>
      </x:c>
      <x:c r="G2129" s="31" t="n">
        <x:v>40.76262250025521</x:v>
      </x:c>
      <x:c r="H2129" s="31" t="n">
        <x:v>-73.81735405630236</x:v>
      </x:c>
      <x:c r="I2129" s="31" t="n">
        <x:v>3461</x:v>
      </x:c>
      <x:c r="J2129" s="31" t="n">
        <x:v>75900.27595287548</x:v>
      </x:c>
      <x:c r="K2129" s="31"/>
      <x:c r="L2129" s="40"/>
      <x:c r="M2129" s="40"/>
      <x:c r="N2129" s="31" t="n">
        <x:v>143</x:v>
      </x:c>
      <x:c r="O2129" s="31" t="n">
        <x:v>1197</x:v>
      </x:c>
      <x:c r="P2129" s="31" t="n">
        <x:v>4.832698815566836</x:v>
      </x:c>
      <x:c r="Q2129" s="40" t="n">
        <x:v>0</x:v>
      </x:c>
      <x:c r="R2129" s="40" t="n">
        <x:v>0.9490392648287385</x:v>
      </x:c>
      <x:c r="S2129" s="40" t="n">
        <x:v>0.22055137844611528</x:v>
      </x:c>
      <x:c r="T2129" s="31" t="n">
        <x:v>50.58166024162907</x:v>
      </x:c>
      <x:c r="U2129" s="31" t="n">
        <x:v>67.59</x:v>
      </x:c>
      <x:c r="V2129" s="31" t="n">
        <x:v>18</x:v>
      </x:c>
      <x:c r="W2129" s="31" t="n">
        <x:v>5.200809014735626</x:v>
      </x:c>
      <x:c r="X2129" s="31" t="n">
        <x:v>4</x:v>
      </x:c>
      <x:c r="Y2129" s="40" t="n">
        <x:v>1</x:v>
      </x:c>
      <x:c r="Z2129" s="40" t="n">
        <x:v>1</x:v>
      </x:c>
      <x:c r="AA2129" s="40" t="n">
        <x:v>1</x:v>
      </x:c>
      <x:c r="AB2129" s="31" t="n">
        <x:v>0.18163351599833033</x:v>
      </x:c>
      <x:c r="AC2129" s="31" t="n">
        <x:v>6</x:v>
      </x:c>
      <x:c r="AD2129" s="44" t="b">
        <x:v>1</x:v>
      </x:c>
    </x:row>
    <x:row r="2130">
      <x:c r="A2130" s="31" t="str">
        <x:v>36081116700</x:v>
      </x:c>
      <x:c r="B2130" s="31" t="str">
        <x:v>Queens</x:v>
      </x:c>
      <x:c r="C2130" s="31" t="str">
        <x:v>116700</x:v>
      </x:c>
      <x:c r="D2130" s="31" t="str">
        <x:v>QN0704</x:v>
      </x:c>
      <x:c r="E2130" s="31" t="str">
        <x:v>Murray Hill-Broadway Flushing</x:v>
      </x:c>
      <x:c r="F2130" s="31" t="n">
        <x:v>0.0641343582006141</x:v>
      </x:c>
      <x:c r="G2130" s="31" t="n">
        <x:v>40.76217343435502</x:v>
      </x:c>
      <x:c r="H2130" s="31" t="n">
        <x:v>-73.81244355890928</x:v>
      </x:c>
      <x:c r="I2130" s="31" t="n">
        <x:v>2094</x:v>
      </x:c>
      <x:c r="J2130" s="31" t="n">
        <x:v>32650.20589197928</x:v>
      </x:c>
      <x:c r="K2130" s="31"/>
      <x:c r="L2130" s="40"/>
      <x:c r="M2130" s="40"/>
      <x:c r="N2130" s="31" t="n">
        <x:v>214</x:v>
      </x:c>
      <x:c r="O2130" s="31" t="n">
        <x:v>700</x:v>
      </x:c>
      <x:c r="P2130" s="31" t="n">
        <x:v>3.510357142857143</x:v>
      </x:c>
      <x:c r="Q2130" s="40" t="n">
        <x:v>0</x:v>
      </x:c>
      <x:c r="R2130" s="40" t="n">
        <x:v>0.6942857142857143</x:v>
      </x:c>
      <x:c r="S2130" s="40" t="n">
        <x:v>0.01</x:v>
      </x:c>
      <x:c r="T2130" s="31" t="n">
        <x:v>38.2942815577728</x:v>
      </x:c>
      <x:c r="U2130" s="31" t="n">
        <x:v>66.05</x:v>
      </x:c>
      <x:c r="V2130" s="31" t="n">
        <x:v>6</x:v>
      </x:c>
      <x:c r="W2130" s="31" t="n">
        <x:v>2.865329512893983</x:v>
      </x:c>
      <x:c r="X2130" s="31" t="n">
        <x:v>3.962857142857143</x:v>
      </x:c>
      <x:c r="Y2130" s="40" t="n">
        <x:v>0.9628571428571429</x:v>
      </x:c>
      <x:c r="Z2130" s="40" t="n">
        <x:v>1</x:v>
      </x:c>
      <x:c r="AA2130" s="40" t="n">
        <x:v>0.9557142857142857</x:v>
      </x:c>
      <x:c r="AB2130" s="31" t="n">
        <x:v>0.08348718767869151</x:v>
      </x:c>
      <x:c r="AC2130" s="31" t="n">
        <x:v>6</x:v>
      </x:c>
      <x:c r="AD2130" s="44" t="b">
        <x:v>1</x:v>
      </x:c>
    </x:row>
    <x:row r="2131">
      <x:c r="A2131" s="31" t="str">
        <x:v>36081117100</x:v>
      </x:c>
      <x:c r="B2131" s="31" t="str">
        <x:v>Queens</x:v>
      </x:c>
      <x:c r="C2131" s="31" t="str">
        <x:v>117100</x:v>
      </x:c>
      <x:c r="D2131" s="31" t="str">
        <x:v>QN0704</x:v>
      </x:c>
      <x:c r="E2131" s="31" t="str">
        <x:v>Murray Hill-Broadway Flushing</x:v>
      </x:c>
      <x:c r="F2131" s="31" t="n">
        <x:v>0.1535565053152261</x:v>
      </x:c>
      <x:c r="G2131" s="31" t="n">
        <x:v>40.76325594424664</x:v>
      </x:c>
      <x:c r="H2131" s="31" t="n">
        <x:v>-73.8057109377791</x:v>
      </x:c>
      <x:c r="I2131" s="31" t="n">
        <x:v>2837</x:v>
      </x:c>
      <x:c r="J2131" s="31" t="n">
        <x:v>18475.28370208809</x:v>
      </x:c>
      <x:c r="K2131" s="31"/>
      <x:c r="L2131" s="40"/>
      <x:c r="M2131" s="40"/>
      <x:c r="N2131" s="31" t="n">
        <x:v>390</x:v>
      </x:c>
      <x:c r="O2131" s="31" t="n">
        <x:v>992</x:v>
      </x:c>
      <x:c r="P2131" s="31" t="n">
        <x:v>3.1570967741935485</x:v>
      </x:c>
      <x:c r="Q2131" s="40" t="n">
        <x:v>0</x:v>
      </x:c>
      <x:c r="R2131" s="40" t="n">
        <x:v>0.5463709677419355</x:v>
      </x:c>
      <x:c r="S2131" s="40" t="n">
        <x:v>0.10987903225806452</x:v>
      </x:c>
      <x:c r="T2131" s="31" t="n">
        <x:v>36.22987191066802</x:v>
      </x:c>
      <x:c r="U2131" s="31" t="n">
        <x:v>63.49</x:v>
      </x:c>
      <x:c r="V2131" s="31" t="n">
        <x:v>4</x:v>
      </x:c>
      <x:c r="W2131" s="31" t="n">
        <x:v>1.4099400775467041</x:v>
      </x:c>
      <x:c r="X2131" s="31" t="n">
        <x:v>3.1723790322580645</x:v>
      </x:c>
      <x:c r="Y2131" s="40" t="n">
        <x:v>0.17237903225806453</x:v>
      </x:c>
      <x:c r="Z2131" s="40" t="n">
        <x:v>1</x:v>
      </x:c>
      <x:c r="AA2131" s="40" t="n">
        <x:v>0.9959677419354839</x:v>
      </x:c>
      <x:c r="AB2131" s="31" t="n">
        <x:v>0.21907268364193175</x:v>
      </x:c>
      <x:c r="AC2131" s="31" t="n">
        <x:v>6</x:v>
      </x:c>
      <x:c r="AD2131" s="44" t="b">
        <x:v>1</x:v>
      </x:c>
    </x:row>
    <x:row r="2132">
      <x:c r="A2132" s="31" t="str">
        <x:v>36081117500</x:v>
      </x:c>
      <x:c r="B2132" s="31" t="str">
        <x:v>Queens</x:v>
      </x:c>
      <x:c r="C2132" s="31" t="str">
        <x:v>117500</x:v>
      </x:c>
      <x:c r="D2132" s="31" t="str">
        <x:v>QN0704</x:v>
      </x:c>
      <x:c r="E2132" s="31" t="str">
        <x:v>Murray Hill-Broadway Flushing</x:v>
      </x:c>
      <x:c r="F2132" s="31" t="n">
        <x:v>0.21709725191295054</x:v>
      </x:c>
      <x:c r="G2132" s="31" t="n">
        <x:v>40.76147140753169</x:v>
      </x:c>
      <x:c r="H2132" s="31" t="n">
        <x:v>-73.79642778255291</x:v>
      </x:c>
      <x:c r="I2132" s="31" t="n">
        <x:v>5410</x:v>
      </x:c>
      <x:c r="J2132" s="31" t="n">
        <x:v>24919.7074229629</x:v>
      </x:c>
      <x:c r="K2132" s="31"/>
      <x:c r="L2132" s="40"/>
      <x:c r="M2132" s="40"/>
      <x:c r="N2132" s="31" t="n">
        <x:v>769</x:v>
      </x:c>
      <x:c r="O2132" s="31" t="n">
        <x:v>2046</x:v>
      </x:c>
      <x:c r="P2132" s="31" t="n">
        <x:v>3.33985257985258</x:v>
      </x:c>
      <x:c r="Q2132" s="40" t="n">
        <x:v>0</x:v>
      </x:c>
      <x:c r="R2132" s="40" t="n">
        <x:v>0.4838709677419355</x:v>
      </x:c>
      <x:c r="S2132" s="40" t="n">
        <x:v>0.04349951124144673</x:v>
      </x:c>
      <x:c r="T2132" s="31" t="n">
        <x:v>39.63885669466273</x:v>
      </x:c>
      <x:c r="U2132" s="31" t="n">
        <x:v>67.66</x:v>
      </x:c>
      <x:c r="V2132" s="31" t="n">
        <x:v>12</x:v>
      </x:c>
      <x:c r="W2132" s="31" t="n">
        <x:v>2.2181146025878</x:v>
      </x:c>
      <x:c r="X2132" s="31" t="n">
        <x:v>3</x:v>
      </x:c>
      <x:c r="Y2132" s="40" t="n">
        <x:v>0</x:v>
      </x:c>
      <x:c r="Z2132" s="40" t="n">
        <x:v>1</x:v>
      </x:c>
      <x:c r="AA2132" s="40" t="n">
        <x:v>0.9926686217008798</x:v>
      </x:c>
      <x:c r="AB2132" s="31" t="n">
        <x:v>0.3023047043475649</x:v>
      </x:c>
      <x:c r="AC2132" s="31" t="n">
        <x:v>8</x:v>
      </x:c>
      <x:c r="AD2132" s="44" t="b">
        <x:v>1</x:v>
      </x:c>
    </x:row>
    <x:row r="2133">
      <x:c r="A2133" s="31" t="str">
        <x:v>36081118100</x:v>
      </x:c>
      <x:c r="B2133" s="31" t="str">
        <x:v>Queens</x:v>
      </x:c>
      <x:c r="C2133" s="31" t="str">
        <x:v>118100</x:v>
      </x:c>
      <x:c r="D2133" s="31" t="str">
        <x:v>QN1101</x:v>
      </x:c>
      <x:c r="E2133" s="31" t="str">
        <x:v>Auburndale</x:v>
      </x:c>
      <x:c r="F2133" s="31" t="n">
        <x:v>0.07528852028380395</x:v>
      </x:c>
      <x:c r="G2133" s="31" t="n">
        <x:v>40.75949857432533</x:v>
      </x:c>
      <x:c r="H2133" s="31" t="n">
        <x:v>-73.78736174688778</x:v>
      </x:c>
      <x:c r="I2133" s="31" t="n">
        <x:v>2015</x:v>
      </x:c>
      <x:c r="J2133" s="31" t="n">
        <x:v>26763.70836356398</x:v>
      </x:c>
      <x:c r="K2133" s="31"/>
      <x:c r="L2133" s="40"/>
      <x:c r="M2133" s="40"/>
      <x:c r="N2133" s="31" t="n">
        <x:v>360</x:v>
      </x:c>
      <x:c r="O2133" s="31" t="n">
        <x:v>742</x:v>
      </x:c>
      <x:c r="P2133" s="31" t="n">
        <x:v>2.1486024423337855</x:v>
      </x:c>
      <x:c r="Q2133" s="40" t="n">
        <x:v>0</x:v>
      </x:c>
      <x:c r="R2133" s="40" t="n">
        <x:v>0.12533692722371967</x:v>
      </x:c>
      <x:c r="S2133" s="40" t="n">
        <x:v>0.07277628032345014</x:v>
      </x:c>
      <x:c r="T2133" s="31" t="n">
        <x:v>27.29560229242091</x:v>
      </x:c>
      <x:c r="U2133" s="31" t="n">
        <x:v>40.52740086</x:v>
      </x:c>
      <x:c r="V2133" s="31" t="n">
        <x:v>0</x:v>
      </x:c>
      <x:c r="W2133" s="31" t="n">
        <x:v>0</x:v>
      </x:c>
      <x:c r="X2133" s="31" t="n">
        <x:v>2.9555256064690028</x:v>
      </x:c>
      <x:c r="Y2133" s="40" t="n">
        <x:v>0</x:v>
      </x:c>
      <x:c r="Z2133" s="40" t="n">
        <x:v>1</x:v>
      </x:c>
      <x:c r="AA2133" s="40" t="n">
        <x:v>0.9797843665768194</x:v>
      </x:c>
      <x:c r="AB2133" s="31" t="n">
        <x:v>0.18043805576260133</x:v>
      </x:c>
      <x:c r="AC2133" s="31" t="n">
        <x:v>5</x:v>
      </x:c>
      <x:c r="AD2133" s="44" t="b">
        <x:v>1</x:v>
      </x:c>
    </x:row>
    <x:row r="2134">
      <x:c r="A2134" s="31" t="str">
        <x:v>36081118500</x:v>
      </x:c>
      <x:c r="B2134" s="31" t="str">
        <x:v>Queens</x:v>
      </x:c>
      <x:c r="C2134" s="31" t="str">
        <x:v>118500</x:v>
      </x:c>
      <x:c r="D2134" s="31" t="str">
        <x:v>QN0705</x:v>
      </x:c>
      <x:c r="E2134" s="31" t="str">
        <x:v>East Flushing</x:v>
      </x:c>
      <x:c r="F2134" s="31" t="n">
        <x:v>0.059756014216741274</x:v>
      </x:c>
      <x:c r="G2134" s="31" t="n">
        <x:v>40.75947030765846</x:v>
      </x:c>
      <x:c r="H2134" s="31" t="n">
        <x:v>-73.80382247599253</x:v>
      </x:c>
      <x:c r="I2134" s="31" t="n">
        <x:v>2357</x:v>
      </x:c>
      <x:c r="J2134" s="31" t="n">
        <x:v>39443.72848314341</x:v>
      </x:c>
      <x:c r="K2134" s="31"/>
      <x:c r="L2134" s="40"/>
      <x:c r="M2134" s="40"/>
      <x:c r="N2134" s="31" t="n">
        <x:v>284</x:v>
      </x:c>
      <x:c r="O2134" s="31" t="n">
        <x:v>764</x:v>
      </x:c>
      <x:c r="P2134" s="31" t="n">
        <x:v>2.8514041994750654</x:v>
      </x:c>
      <x:c r="Q2134" s="40" t="n">
        <x:v>0</x:v>
      </x:c>
      <x:c r="R2134" s="40" t="n">
        <x:v>0.5117801047120419</x:v>
      </x:c>
      <x:c r="S2134" s="40" t="n">
        <x:v>0.028795811518324606</x:v>
      </x:c>
      <x:c r="T2134" s="31" t="n">
        <x:v>34.21081921602108</x:v>
      </x:c>
      <x:c r="U2134" s="31" t="n">
        <x:v>49.65</x:v>
      </x:c>
      <x:c r="V2134" s="31" t="n">
        <x:v>6</x:v>
      </x:c>
      <x:c r="W2134" s="31" t="n">
        <x:v>2.545608824777259</x:v>
      </x:c>
      <x:c r="X2134" s="31" t="n">
        <x:v>3.056282722513089</x:v>
      </x:c>
      <x:c r="Y2134" s="40" t="n">
        <x:v>0.056282722513089</x:v>
      </x:c>
      <x:c r="Z2134" s="40" t="n">
        <x:v>1</x:v>
      </x:c>
      <x:c r="AA2134" s="40" t="n">
        <x:v>0.993455497382199</x:v>
      </x:c>
      <x:c r="AB2134" s="31" t="n">
        <x:v>0.35796718676765593</x:v>
      </x:c>
      <x:c r="AC2134" s="31" t="n">
        <x:v>6</x:v>
      </x:c>
      <x:c r="AD2134" s="44" t="b">
        <x:v>1</x:v>
      </x:c>
    </x:row>
    <x:row r="2135">
      <x:c r="A2135" s="31" t="str">
        <x:v>36081118700</x:v>
      </x:c>
      <x:c r="B2135" s="31" t="str">
        <x:v>Queens</x:v>
      </x:c>
      <x:c r="C2135" s="31" t="str">
        <x:v>118700</x:v>
      </x:c>
      <x:c r="D2135" s="31" t="str">
        <x:v>QN0705</x:v>
      </x:c>
      <x:c r="E2135" s="31" t="str">
        <x:v>East Flushing</x:v>
      </x:c>
      <x:c r="F2135" s="31" t="n">
        <x:v>0.07228795184946052</x:v>
      </x:c>
      <x:c r="G2135" s="31" t="n">
        <x:v>40.75963226138146</x:v>
      </x:c>
      <x:c r="H2135" s="31" t="n">
        <x:v>-73.81287971504662</x:v>
      </x:c>
      <x:c r="I2135" s="31" t="n">
        <x:v>2648</x:v>
      </x:c>
      <x:c r="J2135" s="31" t="n">
        <x:v>36631.277166552645</x:v>
      </x:c>
      <x:c r="K2135" s="31"/>
      <x:c r="L2135" s="40"/>
      <x:c r="M2135" s="40"/>
      <x:c r="N2135" s="31" t="n">
        <x:v>320</x:v>
      </x:c>
      <x:c r="O2135" s="31" t="n">
        <x:v>767</x:v>
      </x:c>
      <x:c r="P2135" s="31" t="n">
        <x:v>2.893150326797386</x:v>
      </x:c>
      <x:c r="Q2135" s="40" t="n">
        <x:v>0</x:v>
      </x:c>
      <x:c r="R2135" s="40" t="n">
        <x:v>0.39113428943937417</x:v>
      </x:c>
      <x:c r="S2135" s="40" t="n">
        <x:v>0.005215123859191656</x:v>
      </x:c>
      <x:c r="T2135" s="31" t="n">
        <x:v>35.8543407546438</x:v>
      </x:c>
      <x:c r="U2135" s="31" t="n">
        <x:v>66.70991201</x:v>
      </x:c>
      <x:c r="V2135" s="31" t="n">
        <x:v>5</x:v>
      </x:c>
      <x:c r="W2135" s="31" t="n">
        <x:v>1.8882175226586104</x:v>
      </x:c>
      <x:c r="X2135" s="31" t="n">
        <x:v>4</x:v>
      </x:c>
      <x:c r="Y2135" s="40" t="n">
        <x:v>1</x:v>
      </x:c>
      <x:c r="Z2135" s="40" t="n">
        <x:v>1</x:v>
      </x:c>
      <x:c r="AA2135" s="40" t="n">
        <x:v>0.9882659713168188</x:v>
      </x:c>
      <x:c r="AB2135" s="31" t="n">
        <x:v>0.18062227609542028</x:v>
      </x:c>
      <x:c r="AC2135" s="31" t="n">
        <x:v>7</x:v>
      </x:c>
      <x:c r="AD2135" s="44" t="b">
        <x:v>1</x:v>
      </x:c>
    </x:row>
    <x:row r="2136">
      <x:c r="A2136" s="31" t="str">
        <x:v>36081118900</x:v>
      </x:c>
      <x:c r="B2136" s="31" t="str">
        <x:v>Queens</x:v>
      </x:c>
      <x:c r="C2136" s="31" t="str">
        <x:v>118900</x:v>
      </x:c>
      <x:c r="D2136" s="31" t="str">
        <x:v>QN0705</x:v>
      </x:c>
      <x:c r="E2136" s="31" t="str">
        <x:v>East Flushing</x:v>
      </x:c>
      <x:c r="F2136" s="31" t="n">
        <x:v>0.07808896916967975</x:v>
      </x:c>
      <x:c r="G2136" s="31" t="n">
        <x:v>40.75650661351394</x:v>
      </x:c>
      <x:c r="H2136" s="31" t="n">
        <x:v>-73.81260885618062</x:v>
      </x:c>
      <x:c r="I2136" s="31" t="n">
        <x:v>2625</x:v>
      </x:c>
      <x:c r="J2136" s="31" t="n">
        <x:v>33615.503289537985</x:v>
      </x:c>
      <x:c r="K2136" s="31"/>
      <x:c r="L2136" s="40"/>
      <x:c r="M2136" s="40"/>
      <x:c r="N2136" s="31" t="n">
        <x:v>385</x:v>
      </x:c>
      <x:c r="O2136" s="31" t="n">
        <x:v>734</x:v>
      </x:c>
      <x:c r="P2136" s="31" t="n">
        <x:v>2.328237704918033</x:v>
      </x:c>
      <x:c r="Q2136" s="40" t="n">
        <x:v>0</x:v>
      </x:c>
      <x:c r="R2136" s="40" t="n">
        <x:v>0.09809264305177112</x:v>
      </x:c>
      <x:c r="S2136" s="40" t="n">
        <x:v>0.004087193460490463</x:v>
      </x:c>
      <x:c r="T2136" s="31" t="n">
        <x:v>29.84342568535519</x:v>
      </x:c>
      <x:c r="U2136" s="31" t="n">
        <x:v>43.6</x:v>
      </x:c>
      <x:c r="V2136" s="31" t="n">
        <x:v>1</x:v>
      </x:c>
      <x:c r="W2136" s="31" t="n">
        <x:v>0.380952380952381</x:v>
      </x:c>
      <x:c r="X2136" s="31" t="n">
        <x:v>4</x:v>
      </x:c>
      <x:c r="Y2136" s="40" t="n">
        <x:v>1</x:v>
      </x:c>
      <x:c r="Z2136" s="40" t="n">
        <x:v>1</x:v>
      </x:c>
      <x:c r="AA2136" s="40" t="n">
        <x:v>0.997275204359673</x:v>
      </x:c>
      <x:c r="AB2136" s="31" t="n">
        <x:v>0.37511384780656803</x:v>
      </x:c>
      <x:c r="AC2136" s="31" t="n">
        <x:v>5</x:v>
      </x:c>
      <x:c r="AD2136" s="44" t="b">
        <x:v>1</x:v>
      </x:c>
    </x:row>
    <x:row r="2137">
      <x:c r="A2137" s="31" t="str">
        <x:v>36081119100</x:v>
      </x:c>
      <x:c r="B2137" s="31" t="str">
        <x:v>Queens</x:v>
      </x:c>
      <x:c r="C2137" s="31" t="str">
        <x:v>119100</x:v>
      </x:c>
      <x:c r="D2137" s="31" t="str">
        <x:v>QN0705</x:v>
      </x:c>
      <x:c r="E2137" s="31" t="str">
        <x:v>East Flushing</x:v>
      </x:c>
      <x:c r="F2137" s="31" t="n">
        <x:v>0.08404021659887226</x:v>
      </x:c>
      <x:c r="G2137" s="31" t="n">
        <x:v>40.75666502512605</x:v>
      </x:c>
      <x:c r="H2137" s="31" t="n">
        <x:v>-73.80651107061355</x:v>
      </x:c>
      <x:c r="I2137" s="31" t="n">
        <x:v>3694</x:v>
      </x:c>
      <x:c r="J2137" s="31" t="n">
        <x:v>43955.146113337956</x:v>
      </x:c>
      <x:c r="K2137" s="31"/>
      <x:c r="L2137" s="40"/>
      <x:c r="M2137" s="40"/>
      <x:c r="N2137" s="31" t="n">
        <x:v>494</x:v>
      </x:c>
      <x:c r="O2137" s="31" t="n">
        <x:v>1116</x:v>
      </x:c>
      <x:c r="P2137" s="31" t="n">
        <x:v>2.563761220825853</x:v>
      </x:c>
      <x:c r="Q2137" s="40" t="n">
        <x:v>0</x:v>
      </x:c>
      <x:c r="R2137" s="40" t="n">
        <x:v>0.3924731182795699</x:v>
      </x:c>
      <x:c r="S2137" s="40" t="n">
        <x:v>0.0035842293906810036</x:v>
      </x:c>
      <x:c r="T2137" s="31" t="n">
        <x:v>30.919557945680584</x:v>
      </x:c>
      <x:c r="U2137" s="31" t="n">
        <x:v>49.65</x:v>
      </x:c>
      <x:c r="V2137" s="31" t="n">
        <x:v>4</x:v>
      </x:c>
      <x:c r="W2137" s="31" t="n">
        <x:v>1.0828370330265296</x:v>
      </x:c>
      <x:c r="X2137" s="31" t="n">
        <x:v>3.152329749103943</x:v>
      </x:c>
      <x:c r="Y2137" s="40" t="n">
        <x:v>0.15232974910394265</x:v>
      </x:c>
      <x:c r="Z2137" s="40" t="n">
        <x:v>1</x:v>
      </x:c>
      <x:c r="AA2137" s="40" t="n">
        <x:v>0.9874551971326165</x:v>
      </x:c>
      <x:c r="AB2137" s="31" t="n">
        <x:v>0.3813637666587997</x:v>
      </x:c>
      <x:c r="AC2137" s="31" t="n">
        <x:v>8</x:v>
      </x:c>
      <x:c r="AD2137" s="44" t="b">
        <x:v>1</x:v>
      </x:c>
    </x:row>
    <x:row r="2138">
      <x:c r="A2138" s="31" t="str">
        <x:v>36081119300</x:v>
      </x:c>
      <x:c r="B2138" s="31" t="str">
        <x:v>Queens</x:v>
      </x:c>
      <x:c r="C2138" s="31" t="str">
        <x:v>119300</x:v>
      </x:c>
      <x:c r="D2138" s="31" t="str">
        <x:v>QN0705</x:v>
      </x:c>
      <x:c r="E2138" s="31" t="str">
        <x:v>East Flushing</x:v>
      </x:c>
      <x:c r="F2138" s="31" t="n">
        <x:v>0.08162420988614842</x:v>
      </x:c>
      <x:c r="G2138" s="31" t="n">
        <x:v>40.75718613528205</x:v>
      </x:c>
      <x:c r="H2138" s="31" t="n">
        <x:v>-73.79962144643528</x:v>
      </x:c>
      <x:c r="I2138" s="31" t="n">
        <x:v>2407</x:v>
      </x:c>
      <x:c r="J2138" s="31" t="n">
        <x:v>29488.799993988872</x:v>
      </x:c>
      <x:c r="K2138" s="31"/>
      <x:c r="L2138" s="40"/>
      <x:c r="M2138" s="40"/>
      <x:c r="N2138" s="31" t="n">
        <x:v>410</x:v>
      </x:c>
      <x:c r="O2138" s="31" t="n">
        <x:v>778</x:v>
      </x:c>
      <x:c r="P2138" s="31" t="n">
        <x:v>2.6551550387596903</x:v>
      </x:c>
      <x:c r="Q2138" s="40" t="n">
        <x:v>0</x:v>
      </x:c>
      <x:c r="R2138" s="40" t="n">
        <x:v>0.2853470437017995</x:v>
      </x:c>
      <x:c r="S2138" s="40" t="n">
        <x:v>0</x:v>
      </x:c>
      <x:c r="T2138" s="31" t="n">
        <x:v>32.4251277535026</x:v>
      </x:c>
      <x:c r="U2138" s="31" t="n">
        <x:v>53.41285592</x:v>
      </x:c>
      <x:c r="V2138" s="31" t="n">
        <x:v>1</x:v>
      </x:c>
      <x:c r="W2138" s="31" t="n">
        <x:v>0.4154549231408392</x:v>
      </x:c>
      <x:c r="X2138" s="31" t="n">
        <x:v>3</x:v>
      </x:c>
      <x:c r="Y2138" s="40" t="n">
        <x:v>0</x:v>
      </x:c>
      <x:c r="Z2138" s="40" t="n">
        <x:v>1</x:v>
      </x:c>
      <x:c r="AA2138" s="40" t="n">
        <x:v>0.987146529562982</x:v>
      </x:c>
      <x:c r="AB2138" s="31" t="n">
        <x:v>0.1155736002937363</x:v>
      </x:c>
      <x:c r="AC2138" s="31" t="n">
        <x:v>5</x:v>
      </x:c>
      <x:c r="AD2138" s="44" t="b">
        <x:v>1</x:v>
      </x:c>
    </x:row>
    <x:row r="2139">
      <x:c r="A2139" s="31" t="str">
        <x:v>36081119500</x:v>
      </x:c>
      <x:c r="B2139" s="31" t="str">
        <x:v>Queens</x:v>
      </x:c>
      <x:c r="C2139" s="31" t="str">
        <x:v>119500</x:v>
      </x:c>
      <x:c r="D2139" s="31" t="str">
        <x:v>QN0705</x:v>
      </x:c>
      <x:c r="E2139" s="31" t="str">
        <x:v>East Flushing</x:v>
      </x:c>
      <x:c r="F2139" s="31" t="n">
        <x:v>0.07306881332142447</x:v>
      </x:c>
      <x:c r="G2139" s="31" t="n">
        <x:v>40.75486782493285</x:v>
      </x:c>
      <x:c r="H2139" s="31" t="n">
        <x:v>-73.79947226990778</x:v>
      </x:c>
      <x:c r="I2139" s="31" t="n">
        <x:v>1445</x:v>
      </x:c>
      <x:c r="J2139" s="31" t="n">
        <x:v>19775.878850578134</x:v>
      </x:c>
      <x:c r="K2139" s="31"/>
      <x:c r="L2139" s="40"/>
      <x:c r="M2139" s="40"/>
      <x:c r="N2139" s="31" t="n">
        <x:v>335</x:v>
      </x:c>
      <x:c r="O2139" s="31" t="n">
        <x:v>449</x:v>
      </x:c>
      <x:c r="P2139" s="31" t="n">
        <x:v>2.219220489977728</x:v>
      </x:c>
      <x:c r="Q2139" s="40" t="n">
        <x:v>0</x:v>
      </x:c>
      <x:c r="R2139" s="40" t="n">
        <x:v>0.035634743875278395</x:v>
      </x:c>
      <x:c r="S2139" s="40" t="n">
        <x:v>0.008908685968819599</x:v>
      </x:c>
      <x:c r="T2139" s="31" t="n">
        <x:v>29.09257547791011</x:v>
      </x:c>
      <x:c r="U2139" s="31" t="n">
        <x:v>36.84</x:v>
      </x:c>
      <x:c r="V2139" s="31" t="n">
        <x:v>0</x:v>
      </x:c>
      <x:c r="W2139" s="31" t="n">
        <x:v>0</x:v>
      </x:c>
      <x:c r="X2139" s="31" t="n">
        <x:v>3</x:v>
      </x:c>
      <x:c r="Y2139" s="40" t="n">
        <x:v>0</x:v>
      </x:c>
      <x:c r="Z2139" s="40" t="n">
        <x:v>1</x:v>
      </x:c>
      <x:c r="AA2139" s="40" t="n">
        <x:v>0.9910913140311804</x:v>
      </x:c>
      <x:c r="AB2139" s="31" t="n">
        <x:v>0.04513281254533058</x:v>
      </x:c>
      <x:c r="AC2139" s="31" t="n">
        <x:v>4</x:v>
      </x:c>
      <x:c r="AD2139" s="44" t="b">
        <x:v>1</x:v>
      </x:c>
    </x:row>
    <x:row r="2140">
      <x:c r="A2140" s="31" t="str">
        <x:v>36081119900</x:v>
      </x:c>
      <x:c r="B2140" s="31" t="str">
        <x:v>Queens</x:v>
      </x:c>
      <x:c r="C2140" s="31" t="str">
        <x:v>119900</x:v>
      </x:c>
      <x:c r="D2140" s="31" t="str">
        <x:v>QN0705</x:v>
      </x:c>
      <x:c r="E2140" s="31" t="str">
        <x:v>East Flushing</x:v>
      </x:c>
      <x:c r="F2140" s="31" t="n">
        <x:v>0.07113358965543216</x:v>
      </x:c>
      <x:c r="G2140" s="31" t="n">
        <x:v>40.753459797238555</x:v>
      </x:c>
      <x:c r="H2140" s="31" t="n">
        <x:v>-73.80957694703855</x:v>
      </x:c>
      <x:c r="I2140" s="31" t="n">
        <x:v>1699</x:v>
      </x:c>
      <x:c r="J2140" s="31" t="n">
        <x:v>23884.637457913734</x:v>
      </x:c>
      <x:c r="K2140" s="31"/>
      <x:c r="L2140" s="40"/>
      <x:c r="M2140" s="40"/>
      <x:c r="N2140" s="31" t="n">
        <x:v>353</x:v>
      </x:c>
      <x:c r="O2140" s="31" t="n">
        <x:v>464</x:v>
      </x:c>
      <x:c r="P2140" s="31" t="n">
        <x:v>2.174137931034483</x:v>
      </x:c>
      <x:c r="Q2140" s="40" t="n">
        <x:v>0</x:v>
      </x:c>
      <x:c r="R2140" s="40" t="n">
        <x:v>0.034482758620689655</x:v>
      </x:c>
      <x:c r="S2140" s="40" t="n">
        <x:v>0.0021551724137931034</x:v>
      </x:c>
      <x:c r="T2140" s="31" t="n">
        <x:v>28.755662552543104</x:v>
      </x:c>
      <x:c r="U2140" s="31" t="n">
        <x:v>41.13</x:v>
      </x:c>
      <x:c r="V2140" s="31" t="n">
        <x:v>1</x:v>
      </x:c>
      <x:c r="W2140" s="31" t="n">
        <x:v>0.5885815185403178</x:v>
      </x:c>
      <x:c r="X2140" s="31" t="n">
        <x:v>3.6142241379310347</x:v>
      </x:c>
      <x:c r="Y2140" s="40" t="n">
        <x:v>0.6142241379310345</x:v>
      </x:c>
      <x:c r="Z2140" s="40" t="n">
        <x:v>1</x:v>
      </x:c>
      <x:c r="AA2140" s="40" t="n">
        <x:v>1</x:v>
      </x:c>
      <x:c r="AB2140" s="31" t="n">
        <x:v>0.4644882497626113</x:v>
      </x:c>
      <x:c r="AC2140" s="31" t="n">
        <x:v>5</x:v>
      </x:c>
      <x:c r="AD2140" s="44" t="b">
        <x:v>1</x:v>
      </x:c>
    </x:row>
    <x:row r="2141">
      <x:c r="A2141" s="31" t="str">
        <x:v>36081120100</x:v>
      </x:c>
      <x:c r="B2141" s="31" t="str">
        <x:v>Queens</x:v>
      </x:c>
      <x:c r="C2141" s="31" t="str">
        <x:v>120100</x:v>
      </x:c>
      <x:c r="D2141" s="31" t="str">
        <x:v>QN0705</x:v>
      </x:c>
      <x:c r="E2141" s="31" t="str">
        <x:v>East Flushing</x:v>
      </x:c>
      <x:c r="F2141" s="31" t="n">
        <x:v>0.06290343540877524</x:v>
      </x:c>
      <x:c r="G2141" s="31" t="n">
        <x:v>40.75321204323683</x:v>
      </x:c>
      <x:c r="H2141" s="31" t="n">
        <x:v>-73.81405923150844</x:v>
      </x:c>
      <x:c r="I2141" s="31" t="n">
        <x:v>1840</x:v>
      </x:c>
      <x:c r="J2141" s="31" t="n">
        <x:v>29251.18458225437</x:v>
      </x:c>
      <x:c r="K2141" s="31"/>
      <x:c r="L2141" s="40"/>
      <x:c r="M2141" s="40"/>
      <x:c r="N2141" s="31" t="n">
        <x:v>312</x:v>
      </x:c>
      <x:c r="O2141" s="31" t="n">
        <x:v>514</x:v>
      </x:c>
      <x:c r="P2141" s="31" t="n">
        <x:v>2.3604382470119525</x:v>
      </x:c>
      <x:c r="Q2141" s="40" t="n">
        <x:v>0</x:v>
      </x:c>
      <x:c r="R2141" s="40" t="n">
        <x:v>0.14396887159533073</x:v>
      </x:c>
      <x:c r="S2141" s="40" t="n">
        <x:v>0.009727626459143969</x:v>
      </x:c>
      <x:c r="T2141" s="31" t="n">
        <x:v>28.847245398221343</x:v>
      </x:c>
      <x:c r="U2141" s="31" t="n">
        <x:v>49.36</x:v>
      </x:c>
      <x:c r="V2141" s="31" t="n">
        <x:v>0</x:v>
      </x:c>
      <x:c r="W2141" s="31" t="n">
        <x:v>0</x:v>
      </x:c>
      <x:c r="X2141" s="31" t="n">
        <x:v>4</x:v>
      </x:c>
      <x:c r="Y2141" s="40" t="n">
        <x:v>1</x:v>
      </x:c>
      <x:c r="Z2141" s="40" t="n">
        <x:v>1</x:v>
      </x:c>
      <x:c r="AA2141" s="40" t="n">
        <x:v>0.9844357976653697</x:v>
      </x:c>
      <x:c r="AB2141" s="31" t="n">
        <x:v>0.23349170203591463</x:v>
      </x:c>
      <x:c r="AC2141" s="31" t="n">
        <x:v>5</x:v>
      </x:c>
      <x:c r="AD2141" s="44" t="b">
        <x:v>1</x:v>
      </x:c>
    </x:row>
    <x:row r="2142">
      <x:c r="A2142" s="31" t="str">
        <x:v>36081120300</x:v>
      </x:c>
      <x:c r="B2142" s="31" t="str">
        <x:v>Queens</x:v>
      </x:c>
      <x:c r="C2142" s="31" t="str">
        <x:v>120300</x:v>
      </x:c>
      <x:c r="D2142" s="31" t="str">
        <x:v>QN0705</x:v>
      </x:c>
      <x:c r="E2142" s="31" t="str">
        <x:v>East Flushing</x:v>
      </x:c>
      <x:c r="F2142" s="31" t="n">
        <x:v>0.07103785141076963</x:v>
      </x:c>
      <x:c r="G2142" s="31" t="n">
        <x:v>40.7487998668988</x:v>
      </x:c>
      <x:c r="H2142" s="31" t="n">
        <x:v>-73.81258089769224</x:v>
      </x:c>
      <x:c r="I2142" s="31" t="n">
        <x:v>1818</x:v>
      </x:c>
      <x:c r="J2142" s="31" t="n">
        <x:v>25591.990240352116</x:v>
      </x:c>
      <x:c r="K2142" s="31"/>
      <x:c r="L2142" s="40"/>
      <x:c r="M2142" s="40"/>
      <x:c r="N2142" s="31" t="n">
        <x:v>327</x:v>
      </x:c>
      <x:c r="O2142" s="31" t="n">
        <x:v>501</x:v>
      </x:c>
      <x:c r="P2142" s="31" t="n">
        <x:v>2.0946492985971945</x:v>
      </x:c>
      <x:c r="Q2142" s="40" t="n">
        <x:v>0</x:v>
      </x:c>
      <x:c r="R2142" s="40" t="n">
        <x:v>0</x:v>
      </x:c>
      <x:c r="S2142" s="40" t="n">
        <x:v>0.011976047904191617</x:v>
      </x:c>
      <x:c r="T2142" s="31" t="n">
        <x:v>28.35623465494</x:v>
      </x:c>
      <x:c r="U2142" s="31" t="n">
        <x:v>38.82</x:v>
      </x:c>
      <x:c r="V2142" s="31" t="n">
        <x:v>1</x:v>
      </x:c>
      <x:c r="W2142" s="31" t="n">
        <x:v>0.55005500550055</x:v>
      </x:c>
      <x:c r="X2142" s="31" t="n">
        <x:v>3.9980039920159682</x:v>
      </x:c>
      <x:c r="Y2142" s="40" t="n">
        <x:v>0.998003992015968</x:v>
      </x:c>
      <x:c r="Z2142" s="40" t="n">
        <x:v>1</x:v>
      </x:c>
      <x:c r="AA2142" s="40" t="n">
        <x:v>0.998003992015968</x:v>
      </x:c>
      <x:c r="AB2142" s="31" t="n">
        <x:v>0.3702792607843585</x:v>
      </x:c>
      <x:c r="AC2142" s="31" t="n">
        <x:v>7</x:v>
      </x:c>
      <x:c r="AD2142" s="44" t="b">
        <x:v>1</x:v>
      </x:c>
    </x:row>
    <x:row r="2143">
      <x:c r="A2143" s="31" t="str">
        <x:v>36081120500</x:v>
      </x:c>
      <x:c r="B2143" s="31" t="str">
        <x:v>Queens</x:v>
      </x:c>
      <x:c r="C2143" s="31" t="str">
        <x:v>120500</x:v>
      </x:c>
      <x:c r="D2143" s="31" t="str">
        <x:v>QN0705</x:v>
      </x:c>
      <x:c r="E2143" s="31" t="str">
        <x:v>East Flushing</x:v>
      </x:c>
      <x:c r="F2143" s="31" t="n">
        <x:v>0.07808340120164715</x:v>
      </x:c>
      <x:c r="G2143" s="31" t="n">
        <x:v>40.75127416293484</x:v>
      </x:c>
      <x:c r="H2143" s="31" t="n">
        <x:v>-73.81710932846573</x:v>
      </x:c>
      <x:c r="I2143" s="31" t="n">
        <x:v>3144</x:v>
      </x:c>
      <x:c r="J2143" s="31" t="n">
        <x:v>40264.639495925</x:v>
      </x:c>
      <x:c r="K2143" s="31"/>
      <x:c r="L2143" s="40"/>
      <x:c r="M2143" s="40"/>
      <x:c r="N2143" s="31" t="n">
        <x:v>357</x:v>
      </x:c>
      <x:c r="O2143" s="31" t="n">
        <x:v>1028</x:v>
      </x:c>
      <x:c r="P2143" s="31" t="n">
        <x:v>4.539091796875</x:v>
      </x:c>
      <x:c r="Q2143" s="40" t="n">
        <x:v>0.13132295719844359</x:v>
      </x:c>
      <x:c r="R2143" s="40" t="n">
        <x:v>0.311284046692607</x:v>
      </x:c>
      <x:c r="S2143" s="40" t="n">
        <x:v>0.021400778210116732</x:v>
      </x:c>
      <x:c r="T2143" s="31" t="n">
        <x:v>46.341958305540274</x:v>
      </x:c>
      <x:c r="U2143" s="31" t="n">
        <x:v>104.76</x:v>
      </x:c>
      <x:c r="V2143" s="31" t="n">
        <x:v>10</x:v>
      </x:c>
      <x:c r="W2143" s="31" t="n">
        <x:v>3.1806615776081424</x:v>
      </x:c>
      <x:c r="X2143" s="31" t="n">
        <x:v>4</x:v>
      </x:c>
      <x:c r="Y2143" s="40" t="n">
        <x:v>1</x:v>
      </x:c>
      <x:c r="Z2143" s="40" t="n">
        <x:v>1</x:v>
      </x:c>
      <x:c r="AA2143" s="40" t="n">
        <x:v>0.9902723735408561</x:v>
      </x:c>
      <x:c r="AB2143" s="31" t="n">
        <x:v>0.07797509414450195</x:v>
      </x:c>
      <x:c r="AC2143" s="31" t="n">
        <x:v>5</x:v>
      </x:c>
      <x:c r="AD2143" s="44" t="b">
        <x:v>1</x:v>
      </x:c>
    </x:row>
    <x:row r="2144">
      <x:c r="A2144" s="31" t="str">
        <x:v>36081120701</x:v>
      </x:c>
      <x:c r="B2144" s="31" t="str">
        <x:v>Queens</x:v>
      </x:c>
      <x:c r="C2144" s="31" t="str">
        <x:v>120701</x:v>
      </x:c>
      <x:c r="D2144" s="31" t="str">
        <x:v>QN0705</x:v>
      </x:c>
      <x:c r="E2144" s="31" t="str">
        <x:v>East Flushing</x:v>
      </x:c>
      <x:c r="F2144" s="31" t="n">
        <x:v>0.15231698690993745</x:v>
      </x:c>
      <x:c r="G2144" s="31" t="n">
        <x:v>40.74969533772701</x:v>
      </x:c>
      <x:c r="H2144" s="31" t="n">
        <x:v>-73.80220519971927</x:v>
      </x:c>
      <x:c r="I2144" s="31" t="n">
        <x:v>3058</x:v>
      </x:c>
      <x:c r="J2144" s="31" t="n">
        <x:v>20076.552602817344</x:v>
      </x:c>
      <x:c r="K2144" s="31"/>
      <x:c r="L2144" s="40"/>
      <x:c r="M2144" s="40"/>
      <x:c r="N2144" s="31" t="n">
        <x:v>664</x:v>
      </x:c>
      <x:c r="O2144" s="31" t="n">
        <x:v>926</x:v>
      </x:c>
      <x:c r="P2144" s="31" t="n">
        <x:v>2.1190259740259743</x:v>
      </x:c>
      <x:c r="Q2144" s="40" t="n">
        <x:v>0</x:v>
      </x:c>
      <x:c r="R2144" s="40" t="n">
        <x:v>0.17062634989200864</x:v>
      </x:c>
      <x:c r="S2144" s="40" t="n">
        <x:v>0.019438444924406047</x:v>
      </x:c>
      <x:c r="T2144" s="31" t="n">
        <x:v>26.768516360065078</x:v>
      </x:c>
      <x:c r="U2144" s="31" t="n">
        <x:v>40.32</x:v>
      </x:c>
      <x:c r="V2144" s="31" t="n">
        <x:v>1</x:v>
      </x:c>
      <x:c r="W2144" s="31" t="n">
        <x:v>0.3270111183780249</x:v>
      </x:c>
      <x:c r="X2144" s="31" t="n">
        <x:v>2.6673866090712743</x:v>
      </x:c>
      <x:c r="Y2144" s="40" t="n">
        <x:v>0</x:v>
      </x:c>
      <x:c r="Z2144" s="40" t="n">
        <x:v>1</x:v>
      </x:c>
      <x:c r="AA2144" s="40" t="n">
        <x:v>0.9956803455723542</x:v>
      </x:c>
      <x:c r="AB2144" s="31" t="n">
        <x:v>0.4279852891237684</x:v>
      </x:c>
      <x:c r="AC2144" s="31" t="n">
        <x:v>6</x:v>
      </x:c>
      <x:c r="AD2144" s="44" t="b">
        <x:v>1</x:v>
      </x:c>
    </x:row>
    <x:row r="2145">
      <x:c r="A2145" s="31" t="str">
        <x:v>36081120702</x:v>
      </x:c>
      <x:c r="B2145" s="31" t="str">
        <x:v>Queens</x:v>
      </x:c>
      <x:c r="C2145" s="31" t="str">
        <x:v>120702</x:v>
      </x:c>
      <x:c r="D2145" s="31" t="str">
        <x:v>QN0705</x:v>
      </x:c>
      <x:c r="E2145" s="31" t="str">
        <x:v>East Flushing</x:v>
      </x:c>
      <x:c r="F2145" s="31" t="n">
        <x:v>0.12072917938834367</x:v>
      </x:c>
      <x:c r="G2145" s="31" t="n">
        <x:v>40.751991763354695</x:v>
      </x:c>
      <x:c r="H2145" s="31" t="n">
        <x:v>-73.79917626610252</x:v>
      </x:c>
      <x:c r="I2145" s="31" t="n">
        <x:v>3</x:v>
      </x:c>
      <x:c r="J2145" s="31" t="n">
        <x:v>24.849005146883723</x:v>
      </x:c>
      <x:c r="K2145" s="31"/>
      <x:c r="L2145" s="40"/>
      <x:c r="M2145" s="40"/>
      <x:c r="N2145" s="31" t="n">
        <x:v>0</x:v>
      </x:c>
      <x:c r="O2145" s="31"/>
      <x:c r="P2145" s="31"/>
      <x:c r="Q2145" s="40"/>
      <x:c r="R2145" s="40"/>
      <x:c r="S2145" s="40"/>
      <x:c r="T2145" s="31"/>
      <x:c r="U2145" s="31"/>
      <x:c r="V2145" s="31" t="n">
        <x:v>0</x:v>
      </x:c>
      <x:c r="W2145" s="31" t="n">
        <x:v>0</x:v>
      </x:c>
      <x:c r="X2145" s="31"/>
      <x:c r="Y2145" s="40"/>
      <x:c r="Z2145" s="40"/>
      <x:c r="AA2145" s="40"/>
      <x:c r="AB2145" s="31" t="n">
        <x:v>0.2437166392026395</x:v>
      </x:c>
      <x:c r="AC2145" s="31" t="n">
        <x:v>5</x:v>
      </x:c>
      <x:c r="AD2145" s="44" t="b">
        <x:v>0</x:v>
      </x:c>
    </x:row>
    <x:row r="2146">
      <x:c r="A2146" s="31" t="str">
        <x:v>36081121100</x:v>
      </x:c>
      <x:c r="B2146" s="31" t="str">
        <x:v>Queens</x:v>
      </x:c>
      <x:c r="C2146" s="31" t="str">
        <x:v>121100</x:v>
      </x:c>
      <x:c r="D2146" s="31" t="str">
        <x:v>QN0791</x:v>
      </x:c>
      <x:c r="E2146" s="31" t="str">
        <x:v>Kissena Park</x:v>
      </x:c>
      <x:c r="F2146" s="31" t="n">
        <x:v>0.395152814720357</x:v>
      </x:c>
      <x:c r="G2146" s="31" t="n">
        <x:v>40.74531861777415</x:v>
      </x:c>
      <x:c r="H2146" s="31" t="n">
        <x:v>-73.80487982379765</x:v>
      </x:c>
      <x:c r="I2146" s="31" t="n">
        <x:v>2</x:v>
      </x:c>
      <x:c r="J2146" s="31" t="n">
        <x:v>5.061333047609357</x:v>
      </x:c>
      <x:c r="K2146" s="31"/>
      <x:c r="L2146" s="40"/>
      <x:c r="M2146" s="40"/>
      <x:c r="N2146" s="31" t="n">
        <x:v>0</x:v>
      </x:c>
      <x:c r="O2146" s="31"/>
      <x:c r="P2146" s="31"/>
      <x:c r="Q2146" s="40"/>
      <x:c r="R2146" s="40"/>
      <x:c r="S2146" s="40"/>
      <x:c r="T2146" s="31"/>
      <x:c r="U2146" s="31"/>
      <x:c r="V2146" s="31" t="n">
        <x:v>0</x:v>
      </x:c>
      <x:c r="W2146" s="31" t="n">
        <x:v>0</x:v>
      </x:c>
      <x:c r="X2146" s="31"/>
      <x:c r="Y2146" s="40"/>
      <x:c r="Z2146" s="40"/>
      <x:c r="AA2146" s="40"/>
      <x:c r="AB2146" s="31" t="n">
        <x:v>0.3632171877121367</x:v>
      </x:c>
      <x:c r="AC2146" s="31" t="n">
        <x:v>5</x:v>
      </x:c>
      <x:c r="AD2146" s="44" t="b">
        <x:v>0</x:v>
      </x:c>
    </x:row>
    <x:row r="2147">
      <x:c r="A2147" s="31" t="str">
        <x:v>36081121500</x:v>
      </x:c>
      <x:c r="B2147" s="31" t="str">
        <x:v>Queens</x:v>
      </x:c>
      <x:c r="C2147" s="31" t="str">
        <x:v>121500</x:v>
      </x:c>
      <x:c r="D2147" s="31" t="str">
        <x:v>QN0706</x:v>
      </x:c>
      <x:c r="E2147" s="31" t="str">
        <x:v>Queensboro Hill</x:v>
      </x:c>
      <x:c r="F2147" s="31" t="n">
        <x:v>0.24414303767145892</x:v>
      </x:c>
      <x:c r="G2147" s="31" t="n">
        <x:v>40.74035985085341</x:v>
      </x:c>
      <x:c r="H2147" s="31" t="n">
        <x:v>-73.80592356026912</x:v>
      </x:c>
      <x:c r="I2147" s="31" t="n">
        <x:v>4737</x:v>
      </x:c>
      <x:c r="J2147" s="31" t="n">
        <x:v>19402.56025803422</x:v>
      </x:c>
      <x:c r="K2147" s="31"/>
      <x:c r="L2147" s="40"/>
      <x:c r="M2147" s="40"/>
      <x:c r="N2147" s="31" t="n">
        <x:v>864</x:v>
      </x:c>
      <x:c r="O2147" s="31" t="n">
        <x:v>1402</x:v>
      </x:c>
      <x:c r="P2147" s="31" t="n">
        <x:v>2.1329133858267717</x:v>
      </x:c>
      <x:c r="Q2147" s="40" t="n">
        <x:v>0</x:v>
      </x:c>
      <x:c r="R2147" s="40" t="n">
        <x:v>0.1355206847360913</x:v>
      </x:c>
      <x:c r="S2147" s="40" t="n">
        <x:v>0.0021398002853067048</x:v>
      </x:c>
      <x:c r="T2147" s="31" t="n">
        <x:v>26.42262820753934</x:v>
      </x:c>
      <x:c r="U2147" s="31" t="n">
        <x:v>38.5005443</x:v>
      </x:c>
      <x:c r="V2147" s="31" t="n">
        <x:v>1</x:v>
      </x:c>
      <x:c r="W2147" s="31" t="n">
        <x:v>0.21110407430863415</x:v>
      </x:c>
      <x:c r="X2147" s="31" t="n">
        <x:v>2.7631954350927246</x:v>
      </x:c>
      <x:c r="Y2147" s="40" t="n">
        <x:v>0.38159771754636235</x:v>
      </x:c>
      <x:c r="Z2147" s="40" t="n">
        <x:v>1</x:v>
      </x:c>
      <x:c r="AA2147" s="40" t="n">
        <x:v>0.9971469329529244</x:v>
      </x:c>
      <x:c r="AB2147" s="31" t="n">
        <x:v>0.15569954824040394</x:v>
      </x:c>
      <x:c r="AC2147" s="31" t="n">
        <x:v>7</x:v>
      </x:c>
      <x:c r="AD2147" s="44" t="b">
        <x:v>1</x:v>
      </x:c>
    </x:row>
    <x:row r="2148">
      <x:c r="A2148" s="31" t="str">
        <x:v>36081122300</x:v>
      </x:c>
      <x:c r="B2148" s="31" t="str">
        <x:v>Queens</x:v>
      </x:c>
      <x:c r="C2148" s="31" t="str">
        <x:v>122300</x:v>
      </x:c>
      <x:c r="D2148" s="31" t="str">
        <x:v>QN0803</x:v>
      </x:c>
      <x:c r="E2148" s="31" t="str">
        <x:v>Fresh Meadows-Utopia</x:v>
      </x:c>
      <x:c r="F2148" s="31" t="n">
        <x:v>0.19055386541910582</x:v>
      </x:c>
      <x:c r="G2148" s="31" t="n">
        <x:v>40.734964421726254</x:v>
      </x:c>
      <x:c r="H2148" s="31" t="n">
        <x:v>-73.79946456582847</x:v>
      </x:c>
      <x:c r="I2148" s="31" t="n">
        <x:v>3822</x:v>
      </x:c>
      <x:c r="J2148" s="31" t="n">
        <x:v>20057.32075596504</x:v>
      </x:c>
      <x:c r="K2148" s="31"/>
      <x:c r="L2148" s="40"/>
      <x:c r="M2148" s="40"/>
      <x:c r="N2148" s="31" t="n">
        <x:v>829</x:v>
      </x:c>
      <x:c r="O2148" s="31" t="n">
        <x:v>1209</x:v>
      </x:c>
      <x:c r="P2148" s="31" t="n">
        <x:v>2.0265500000000003</x:v>
      </x:c>
      <x:c r="Q2148" s="40" t="n">
        <x:v>0</x:v>
      </x:c>
      <x:c r="R2148" s="40" t="n">
        <x:v>0.20099255583126552</x:v>
      </x:c>
      <x:c r="S2148" s="40" t="n">
        <x:v>0.0033085194375516956</x:v>
      </x:c>
      <x:c r="T2148" s="31" t="n">
        <x:v>25.922693406666667</x:v>
      </x:c>
      <x:c r="U2148" s="31" t="n">
        <x:v>38.45</x:v>
      </x:c>
      <x:c r="V2148" s="31" t="n">
        <x:v>1</x:v>
      </x:c>
      <x:c r="W2148" s="31" t="n">
        <x:v>0.26164311878597596</x:v>
      </x:c>
      <x:c r="X2148" s="31" t="n">
        <x:v>2</x:v>
      </x:c>
      <x:c r="Y2148" s="40" t="n">
        <x:v>0</x:v>
      </x:c>
      <x:c r="Z2148" s="40" t="n">
        <x:v>1</x:v>
      </x:c>
      <x:c r="AA2148" s="40" t="n">
        <x:v>0.9900744416873449</x:v>
      </x:c>
      <x:c r="AB2148" s="31" t="n">
        <x:v>0.22709344915078886</x:v>
      </x:c>
      <x:c r="AC2148" s="31" t="n">
        <x:v>7</x:v>
      </x:c>
      <x:c r="AD2148" s="44" t="b">
        <x:v>1</x:v>
      </x:c>
    </x:row>
    <x:row r="2149">
      <x:c r="A2149" s="31" t="str">
        <x:v>36081122702</x:v>
      </x:c>
      <x:c r="B2149" s="31" t="str">
        <x:v>Queens</x:v>
      </x:c>
      <x:c r="C2149" s="31" t="str">
        <x:v>122702</x:v>
      </x:c>
      <x:c r="D2149" s="31" t="str">
        <x:v>QN0802</x:v>
      </x:c>
      <x:c r="E2149" s="31" t="str">
        <x:v>Pomonok-Electchester-Hillcrest</x:v>
      </x:c>
      <x:c r="F2149" s="31" t="n">
        <x:v>0.17335908953419135</x:v>
      </x:c>
      <x:c r="G2149" s="31" t="n">
        <x:v>40.73314249412034</x:v>
      </x:c>
      <x:c r="H2149" s="31" t="n">
        <x:v>-73.81274220827031</x:v>
      </x:c>
      <x:c r="I2149" s="31" t="n">
        <x:v>6959</x:v>
      </x:c>
      <x:c r="J2149" s="31" t="n">
        <x:v>40142.11206749264</x:v>
      </x:c>
      <x:c r="K2149" s="31"/>
      <x:c r="L2149" s="40"/>
      <x:c r="M2149" s="40"/>
      <x:c r="N2149" s="31" t="n">
        <x:v>174</x:v>
      </x:c>
      <x:c r="O2149" s="31" t="n">
        <x:v>3008</x:v>
      </x:c>
      <x:c r="P2149" s="31" t="n">
        <x:v>6.491416223404255</x:v>
      </x:c>
      <x:c r="Q2149" s="40" t="n">
        <x:v>0.08244680851063829</x:v>
      </x:c>
      <x:c r="R2149" s="40" t="n">
        <x:v>0.789561170212766</x:v>
      </x:c>
      <x:c r="S2149" s="40" t="n">
        <x:v>0.753656914893617</x:v>
      </x:c>
      <x:c r="T2149" s="31" t="n">
        <x:v>76.79616149299201</x:v>
      </x:c>
      <x:c r="U2149" s="31" t="n">
        <x:v>94.44579424</x:v>
      </x:c>
      <x:c r="V2149" s="31" t="n">
        <x:v>67</x:v>
      </x:c>
      <x:c r="W2149" s="31" t="n">
        <x:v>9.62782008909326</x:v>
      </x:c>
      <x:c r="X2149" s="31" t="n">
        <x:v>2</x:v>
      </x:c>
      <x:c r="Y2149" s="40" t="n">
        <x:v>0</x:v>
      </x:c>
      <x:c r="Z2149" s="40" t="n">
        <x:v>1</x:v>
      </x:c>
      <x:c r="AA2149" s="40" t="n">
        <x:v>1</x:v>
      </x:c>
      <x:c r="AB2149" s="31" t="n">
        <x:v>0.14982413476867543</x:v>
      </x:c>
      <x:c r="AC2149" s="31" t="n">
        <x:v>8</x:v>
      </x:c>
      <x:c r="AD2149" s="44" t="b">
        <x:v>1</x:v>
      </x:c>
    </x:row>
    <x:row r="2150">
      <x:c r="A2150" s="31" t="str">
        <x:v>36081122703</x:v>
      </x:c>
      <x:c r="B2150" s="31" t="str">
        <x:v>Queens</x:v>
      </x:c>
      <x:c r="C2150" s="31" t="str">
        <x:v>122703</x:v>
      </x:c>
      <x:c r="D2150" s="31" t="str">
        <x:v>QN0802</x:v>
      </x:c>
      <x:c r="E2150" s="31" t="str">
        <x:v>Pomonok-Electchester-Hillcrest</x:v>
      </x:c>
      <x:c r="F2150" s="31" t="n">
        <x:v>0.16981682614389634</x:v>
      </x:c>
      <x:c r="G2150" s="31" t="n">
        <x:v>40.7352592117494</x:v>
      </x:c>
      <x:c r="H2150" s="31" t="n">
        <x:v>-73.80693184774417</x:v>
      </x:c>
      <x:c r="I2150" s="31" t="n">
        <x:v>6801</x:v>
      </x:c>
      <x:c r="J2150" s="31" t="n">
        <x:v>40049.03491858392</x:v>
      </x:c>
      <x:c r="K2150" s="31"/>
      <x:c r="L2150" s="40"/>
      <x:c r="M2150" s="40"/>
      <x:c r="N2150" s="31" t="n">
        <x:v>372</x:v>
      </x:c>
      <x:c r="O2150" s="31" t="n">
        <x:v>2696</x:v>
      </x:c>
      <x:c r="P2150" s="31" t="n">
        <x:v>6.292440652818992</x:v>
      </x:c>
      <x:c r="Q2150" s="40" t="n">
        <x:v>0.06824925816023739</x:v>
      </x:c>
      <x:c r="R2150" s="40" t="n">
        <x:v>0.75</x:v>
      </x:c>
      <x:c r="S2150" s="40" t="n">
        <x:v>0.6836053412462908</x:v>
      </x:c>
      <x:c r="T2150" s="31" t="n">
        <x:v>68.41019111413935</x:v>
      </x:c>
      <x:c r="U2150" s="31" t="n">
        <x:v>230.48</x:v>
      </x:c>
      <x:c r="V2150" s="31" t="n">
        <x:v>52</x:v>
      </x:c>
      <x:c r="W2150" s="31" t="n">
        <x:v>7.645934421408616</x:v>
      </x:c>
      <x:c r="X2150" s="31" t="n">
        <x:v>2</x:v>
      </x:c>
      <x:c r="Y2150" s="40" t="n">
        <x:v>0</x:v>
      </x:c>
      <x:c r="Z2150" s="40" t="n">
        <x:v>1</x:v>
      </x:c>
      <x:c r="AA2150" s="40" t="n">
        <x:v>0.9955489614243324</x:v>
      </x:c>
      <x:c r="AB2150" s="31" t="n">
        <x:v>0.2176547259848678</x:v>
      </x:c>
      <x:c r="AC2150" s="31" t="n">
        <x:v>4</x:v>
      </x:c>
      <x:c r="AD2150" s="44" t="b">
        <x:v>1</x:v>
      </x:c>
    </x:row>
    <x:row r="2151">
      <x:c r="A2151" s="31" t="str">
        <x:v>36081122704</x:v>
      </x:c>
      <x:c r="B2151" s="31" t="str">
        <x:v>Queens</x:v>
      </x:c>
      <x:c r="C2151" s="31" t="str">
        <x:v>122704</x:v>
      </x:c>
      <x:c r="D2151" s="31" t="str">
        <x:v>QN0802</x:v>
      </x:c>
      <x:c r="E2151" s="31" t="str">
        <x:v>Pomonok-Electchester-Hillcrest</x:v>
      </x:c>
      <x:c r="F2151" s="31" t="n">
        <x:v>0.1011629625509355</x:v>
      </x:c>
      <x:c r="G2151" s="31" t="n">
        <x:v>40.730066888659394</x:v>
      </x:c>
      <x:c r="H2151" s="31" t="n">
        <x:v>-73.80738218990861</x:v>
      </x:c>
      <x:c r="I2151" s="31" t="n">
        <x:v>4444</x:v>
      </x:c>
      <x:c r="J2151" s="31" t="n">
        <x:v>43929.12077641507</x:v>
      </x:c>
      <x:c r="K2151" s="31"/>
      <x:c r="L2151" s="40"/>
      <x:c r="M2151" s="40"/>
      <x:c r="N2151" s="31" t="n">
        <x:v>247</x:v>
      </x:c>
      <x:c r="O2151" s="31" t="n">
        <x:v>1791</x:v>
      </x:c>
      <x:c r="P2151" s="31" t="n">
        <x:v>4.8228063241106724</x:v>
      </x:c>
      <x:c r="Q2151" s="40" t="n">
        <x:v>0</x:v>
      </x:c>
      <x:c r="R2151" s="40" t="n">
        <x:v>0.8676716917922948</x:v>
      </x:c>
      <x:c r="S2151" s="40" t="n">
        <x:v>0.384142936906756</x:v>
      </x:c>
      <x:c r="T2151" s="31" t="n">
        <x:v>56.43708290979335</x:v>
      </x:c>
      <x:c r="U2151" s="31" t="n">
        <x:v>89.61</x:v>
      </x:c>
      <x:c r="V2151" s="31" t="n">
        <x:v>35</x:v>
      </x:c>
      <x:c r="W2151" s="31" t="n">
        <x:v>7.875787578757875</x:v>
      </x:c>
      <x:c r="X2151" s="31" t="n">
        <x:v>2</x:v>
      </x:c>
      <x:c r="Y2151" s="40" t="n">
        <x:v>0</x:v>
      </x:c>
      <x:c r="Z2151" s="40" t="n">
        <x:v>1</x:v>
      </x:c>
      <x:c r="AA2151" s="40" t="n">
        <x:v>0.972640982691234</x:v>
      </x:c>
      <x:c r="AB2151" s="31" t="n">
        <x:v>0.12366689681835319</x:v>
      </x:c>
      <x:c r="AC2151" s="31" t="n">
        <x:v>5</x:v>
      </x:c>
      <x:c r="AD2151" s="44" t="b">
        <x:v>1</x:v>
      </x:c>
    </x:row>
    <x:row r="2152">
      <x:c r="A2152" s="31" t="str">
        <x:v>36081124100</x:v>
      </x:c>
      <x:c r="B2152" s="31" t="str">
        <x:v>Queens</x:v>
      </x:c>
      <x:c r="C2152" s="31" t="str">
        <x:v>124100</x:v>
      </x:c>
      <x:c r="D2152" s="31" t="str">
        <x:v>QN0802</x:v>
      </x:c>
      <x:c r="E2152" s="31" t="str">
        <x:v>Pomonok-Electchester-Hillcrest</x:v>
      </x:c>
      <x:c r="F2152" s="31" t="n">
        <x:v>0.19261844014290633</x:v>
      </x:c>
      <x:c r="G2152" s="31" t="n">
        <x:v>40.726801223163605</x:v>
      </x:c>
      <x:c r="H2152" s="31" t="n">
        <x:v>-73.80241950168579</x:v>
      </x:c>
      <x:c r="I2152" s="31" t="n">
        <x:v>4004</x:v>
      </x:c>
      <x:c r="J2152" s="31" t="n">
        <x:v>20787.21018106769</x:v>
      </x:c>
      <x:c r="K2152" s="31"/>
      <x:c r="L2152" s="40"/>
      <x:c r="M2152" s="40"/>
      <x:c r="N2152" s="31" t="n">
        <x:v>1032</x:v>
      </x:c>
      <x:c r="O2152" s="31" t="n">
        <x:v>1319</x:v>
      </x:c>
      <x:c r="P2152" s="31" t="n">
        <x:v>1.9505913570887035</x:v>
      </x:c>
      <x:c r="Q2152" s="40" t="n">
        <x:v>0</x:v>
      </x:c>
      <x:c r="R2152" s="40" t="n">
        <x:v>0.037149355572403335</x:v>
      </x:c>
      <x:c r="S2152" s="40" t="n">
        <x:v>0.001516300227445034</x:v>
      </x:c>
      <x:c r="T2152" s="31" t="n">
        <x:v>24.44898307863567</x:v>
      </x:c>
      <x:c r="U2152" s="31" t="n">
        <x:v>36.14</x:v>
      </x:c>
      <x:c r="V2152" s="31" t="n">
        <x:v>4</x:v>
      </x:c>
      <x:c r="W2152" s="31" t="n">
        <x:v>0.999000999000999</x:v>
      </x:c>
      <x:c r="X2152" s="31" t="n">
        <x:v>1.22289613343442</x:v>
      </x:c>
      <x:c r="Y2152" s="40" t="n">
        <x:v>0</x:v>
      </x:c>
      <x:c r="Z2152" s="40" t="n">
        <x:v>1</x:v>
      </x:c>
      <x:c r="AA2152" s="40" t="n">
        <x:v>0.9946929492039424</x:v>
      </x:c>
      <x:c r="AB2152" s="31" t="n">
        <x:v>0.2650628714627963</x:v>
      </x:c>
      <x:c r="AC2152" s="31" t="n">
        <x:v>6</x:v>
      </x:c>
      <x:c r="AD2152" s="44" t="b">
        <x:v>1</x:v>
      </x:c>
    </x:row>
    <x:row r="2153">
      <x:c r="A2153" s="31" t="str">
        <x:v>36081124700</x:v>
      </x:c>
      <x:c r="B2153" s="31" t="str">
        <x:v>Queens</x:v>
      </x:c>
      <x:c r="C2153" s="31" t="str">
        <x:v>124700</x:v>
      </x:c>
      <x:c r="D2153" s="31" t="str">
        <x:v>QN0802</x:v>
      </x:c>
      <x:c r="E2153" s="31" t="str">
        <x:v>Pomonok-Electchester-Hillcrest</x:v>
      </x:c>
      <x:c r="F2153" s="31" t="n">
        <x:v>0.18676774339058194</x:v>
      </x:c>
      <x:c r="G2153" s="31" t="n">
        <x:v>40.72808270122848</x:v>
      </x:c>
      <x:c r="H2153" s="31" t="n">
        <x:v>-73.79625095988551</x:v>
      </x:c>
      <x:c r="I2153" s="31" t="n">
        <x:v>3734</x:v>
      </x:c>
      <x:c r="J2153" s="31" t="n">
        <x:v>19992.745707652495</x:v>
      </x:c>
      <x:c r="K2153" s="31"/>
      <x:c r="L2153" s="40"/>
      <x:c r="M2153" s="40"/>
      <x:c r="N2153" s="31" t="n">
        <x:v>1074</x:v>
      </x:c>
      <x:c r="O2153" s="31" t="n">
        <x:v>1200</x:v>
      </x:c>
      <x:c r="P2153" s="31" t="n">
        <x:v>1.9225666666666665</x:v>
      </x:c>
      <x:c r="Q2153" s="40" t="n">
        <x:v>0</x:v>
      </x:c>
      <x:c r="R2153" s="40" t="n">
        <x:v>0.0008333333333333334</x:v>
      </x:c>
      <x:c r="S2153" s="40" t="n">
        <x:v>0.0025</x:v>
      </x:c>
      <x:c r="T2153" s="31" t="n">
        <x:v>24.973653693469558</x:v>
      </x:c>
      <x:c r="U2153" s="31" t="n">
        <x:v>36.99</x:v>
      </x:c>
      <x:c r="V2153" s="31" t="n">
        <x:v>2</x:v>
      </x:c>
      <x:c r="W2153" s="31" t="n">
        <x:v>0.5356186395286556</x:v>
      </x:c>
      <x:c r="X2153" s="31" t="n">
        <x:v>1.3508333333333333</x:v>
      </x:c>
      <x:c r="Y2153" s="40" t="n">
        <x:v>0</x:v>
      </x:c>
      <x:c r="Z2153" s="40" t="n">
        <x:v>1</x:v>
      </x:c>
      <x:c r="AA2153" s="40" t="n">
        <x:v>0.9991666666666666</x:v>
      </x:c>
      <x:c r="AB2153" s="31" t="n">
        <x:v>0.42006398105103915</x:v>
      </x:c>
      <x:c r="AC2153" s="31" t="n">
        <x:v>6</x:v>
      </x:c>
      <x:c r="AD2153" s="44" t="b">
        <x:v>1</x:v>
      </x:c>
    </x:row>
    <x:row r="2154">
      <x:c r="A2154" s="31" t="str">
        <x:v>36081125700</x:v>
      </x:c>
      <x:c r="B2154" s="31" t="str">
        <x:v>Queens</x:v>
      </x:c>
      <x:c r="C2154" s="31" t="str">
        <x:v>125700</x:v>
      </x:c>
      <x:c r="D2154" s="31" t="str">
        <x:v>QN0802</x:v>
      </x:c>
      <x:c r="E2154" s="31" t="str">
        <x:v>Pomonok-Electchester-Hillcrest</x:v>
      </x:c>
      <x:c r="F2154" s="31" t="n">
        <x:v>0.12794495869203398</x:v>
      </x:c>
      <x:c r="G2154" s="31" t="n">
        <x:v>40.724129103853635</x:v>
      </x:c>
      <x:c r="H2154" s="31" t="n">
        <x:v>-73.80793112043096</x:v>
      </x:c>
      <x:c r="I2154" s="31" t="n">
        <x:v>3642</x:v>
      </x:c>
      <x:c r="J2154" s="31" t="n">
        <x:v>28465.36539799403</x:v>
      </x:c>
      <x:c r="K2154" s="31"/>
      <x:c r="L2154" s="40"/>
      <x:c r="M2154" s="40"/>
      <x:c r="N2154" s="31" t="n">
        <x:v>509</x:v>
      </x:c>
      <x:c r="O2154" s="31" t="n">
        <x:v>1125</x:v>
      </x:c>
      <x:c r="P2154" s="31" t="n">
        <x:v>2.589504504504504</x:v>
      </x:c>
      <x:c r="Q2154" s="40" t="n">
        <x:v>0</x:v>
      </x:c>
      <x:c r="R2154" s="40" t="n">
        <x:v>0.16533333333333333</x:v>
      </x:c>
      <x:c r="S2154" s="40" t="n">
        <x:v>0.044444444444444446</x:v>
      </x:c>
      <x:c r="T2154" s="31" t="n">
        <x:v>31.848929003691758</x:v>
      </x:c>
      <x:c r="U2154" s="31" t="n">
        <x:v>68.74</x:v>
      </x:c>
      <x:c r="V2154" s="31" t="n">
        <x:v>6</x:v>
      </x:c>
      <x:c r="W2154" s="31" t="n">
        <x:v>1.6474464579901154</x:v>
      </x:c>
      <x:c r="X2154" s="31" t="n">
        <x:v>1.0524444444444445</x:v>
      </x:c>
      <x:c r="Y2154" s="40" t="n">
        <x:v>0</x:v>
      </x:c>
      <x:c r="Z2154" s="40" t="n">
        <x:v>1</x:v>
      </x:c>
      <x:c r="AA2154" s="40" t="n">
        <x:v>0.992</x:v>
      </x:c>
      <x:c r="AB2154" s="31" t="n">
        <x:v>0.05865481066638783</x:v>
      </x:c>
      <x:c r="AC2154" s="31" t="n">
        <x:v>7</x:v>
      </x:c>
      <x:c r="AD2154" s="44" t="b">
        <x:v>1</x:v>
      </x:c>
    </x:row>
    <x:row r="2155">
      <x:c r="A2155" s="31" t="str">
        <x:v>36081126500</x:v>
      </x:c>
      <x:c r="B2155" s="31" t="str">
        <x:v>Queens</x:v>
      </x:c>
      <x:c r="C2155" s="31" t="str">
        <x:v>126500</x:v>
      </x:c>
      <x:c r="D2155" s="31" t="str">
        <x:v>QN0802</x:v>
      </x:c>
      <x:c r="E2155" s="31" t="str">
        <x:v>Pomonok-Electchester-Hillcrest</x:v>
      </x:c>
      <x:c r="F2155" s="31" t="n">
        <x:v>0.07736432194135963</x:v>
      </x:c>
      <x:c r="G2155" s="31" t="n">
        <x:v>40.72049508060535</x:v>
      </x:c>
      <x:c r="H2155" s="31" t="n">
        <x:v>-73.80370523659624</x:v>
      </x:c>
      <x:c r="I2155" s="31" t="n">
        <x:v>1595</x:v>
      </x:c>
      <x:c r="J2155" s="31" t="n">
        <x:v>20616.73856857394</x:v>
      </x:c>
      <x:c r="K2155" s="31"/>
      <x:c r="L2155" s="40"/>
      <x:c r="M2155" s="40"/>
      <x:c r="N2155" s="31" t="n">
        <x:v>366</x:v>
      </x:c>
      <x:c r="O2155" s="31" t="n">
        <x:v>575</x:v>
      </x:c>
      <x:c r="P2155" s="31" t="n">
        <x:v>2.5046086956521743</x:v>
      </x:c>
      <x:c r="Q2155" s="40" t="n">
        <x:v>0</x:v>
      </x:c>
      <x:c r="R2155" s="40" t="n">
        <x:v>0.23478260869565218</x:v>
      </x:c>
      <x:c r="S2155" s="40" t="n">
        <x:v>0.008695652173913044</x:v>
      </x:c>
      <x:c r="T2155" s="31" t="n">
        <x:v>29.15377312700349</x:v>
      </x:c>
      <x:c r="U2155" s="31" t="n">
        <x:v>41.02</x:v>
      </x:c>
      <x:c r="V2155" s="31" t="n">
        <x:v>2</x:v>
      </x:c>
      <x:c r="W2155" s="31" t="n">
        <x:v>1.2539184952978057</x:v>
      </x:c>
      <x:c r="X2155" s="31" t="n">
        <x:v>2.951304347826087</x:v>
      </x:c>
      <x:c r="Y2155" s="40" t="n">
        <x:v>0</x:v>
      </x:c>
      <x:c r="Z2155" s="40" t="n">
        <x:v>1</x:v>
      </x:c>
      <x:c r="AA2155" s="40" t="n">
        <x:v>0.9982608695652174</x:v>
      </x:c>
      <x:c r="AB2155" s="31" t="n">
        <x:v>0.1822293342776085</x:v>
      </x:c>
      <x:c r="AC2155" s="31" t="n">
        <x:v>5</x:v>
      </x:c>
      <x:c r="AD2155" s="44" t="b">
        <x:v>1</x:v>
      </x:c>
    </x:row>
    <x:row r="2156">
      <x:c r="A2156" s="31" t="str">
        <x:v>36081126700</x:v>
      </x:c>
      <x:c r="B2156" s="31" t="str">
        <x:v>Queens</x:v>
      </x:c>
      <x:c r="C2156" s="31" t="str">
        <x:v>126700</x:v>
      </x:c>
      <x:c r="D2156" s="31" t="str">
        <x:v>QN0802</x:v>
      </x:c>
      <x:c r="E2156" s="31" t="str">
        <x:v>Pomonok-Electchester-Hillcrest</x:v>
      </x:c>
      <x:c r="F2156" s="31" t="n">
        <x:v>0.2972310336332071</x:v>
      </x:c>
      <x:c r="G2156" s="31" t="n">
        <x:v>40.72033056873374</x:v>
      </x:c>
      <x:c r="H2156" s="31" t="n">
        <x:v>-73.79777183496911</x:v>
      </x:c>
      <x:c r="I2156" s="31" t="n">
        <x:v>4490</x:v>
      </x:c>
      <x:c r="J2156" s="31" t="n">
        <x:v>15106.094222788353</x:v>
      </x:c>
      <x:c r="K2156" s="31"/>
      <x:c r="L2156" s="40"/>
      <x:c r="M2156" s="40"/>
      <x:c r="N2156" s="31" t="n">
        <x:v>577</x:v>
      </x:c>
      <x:c r="O2156" s="31" t="n">
        <x:v>888</x:v>
      </x:c>
      <x:c r="P2156" s="31" t="n">
        <x:v>3.86574011299435</x:v>
      </x:c>
      <x:c r="Q2156" s="40" t="n">
        <x:v>0.22522522522522523</x:v>
      </x:c>
      <x:c r="R2156" s="40" t="n">
        <x:v>0.015765765765765764</x:v>
      </x:c>
      <x:c r="S2156" s="40" t="n">
        <x:v>0.007882882882882882</x:v>
      </x:c>
      <x:c r="T2156" s="31" t="n">
        <x:v>59.77107655002255</x:v>
      </x:c>
      <x:c r="U2156" s="31" t="n">
        <x:v>174</x:v>
      </x:c>
      <x:c r="V2156" s="31" t="n">
        <x:v>21</x:v>
      </x:c>
      <x:c r="W2156" s="31" t="n">
        <x:v>4.677060133630289</x:v>
      </x:c>
      <x:c r="X2156" s="31" t="n">
        <x:v>2.972972972972973</x:v>
      </x:c>
      <x:c r="Y2156" s="40" t="n">
        <x:v>0</x:v>
      </x:c>
      <x:c r="Z2156" s="40" t="n">
        <x:v>1</x:v>
      </x:c>
      <x:c r="AA2156" s="40" t="n">
        <x:v>0.9988738738738738</x:v>
      </x:c>
      <x:c r="AB2156" s="31" t="n">
        <x:v>0.2769565433986051</x:v>
      </x:c>
      <x:c r="AC2156" s="31" t="n">
        <x:v>10</x:v>
      </x:c>
      <x:c r="AD2156" s="44" t="b">
        <x:v>1</x:v>
      </x:c>
    </x:row>
    <x:row r="2157">
      <x:c r="A2157" s="31" t="str">
        <x:v>36081127700</x:v>
      </x:c>
      <x:c r="B2157" s="31" t="str">
        <x:v>Queens</x:v>
      </x:c>
      <x:c r="C2157" s="31" t="str">
        <x:v>127700</x:v>
      </x:c>
      <x:c r="D2157" s="31" t="str">
        <x:v>QN0804</x:v>
      </x:c>
      <x:c r="E2157" s="31" t="str">
        <x:v>Jamaica Estates-Holliswood</x:v>
      </x:c>
      <x:c r="F2157" s="31" t="n">
        <x:v>0.41269264634986225</x:v>
      </x:c>
      <x:c r="G2157" s="31" t="n">
        <x:v>40.72440852197874</x:v>
      </x:c>
      <x:c r="H2157" s="31" t="n">
        <x:v>-73.78339180148828</x:v>
      </x:c>
      <x:c r="I2157" s="31" t="n">
        <x:v>3600</x:v>
      </x:c>
      <x:c r="J2157" s="31" t="n">
        <x:v>8723.198806280841</x:v>
      </x:c>
      <x:c r="K2157" s="31"/>
      <x:c r="L2157" s="40"/>
      <x:c r="M2157" s="40"/>
      <x:c r="N2157" s="31" t="n">
        <x:v>1155</x:v>
      </x:c>
      <x:c r="O2157" s="31" t="n">
        <x:v>1185</x:v>
      </x:c>
      <x:c r="P2157" s="31" t="n">
        <x:v>2.0254054054054054</x:v>
      </x:c>
      <x:c r="Q2157" s="40" t="n">
        <x:v>0</x:v>
      </x:c>
      <x:c r="R2157" s="40" t="n">
        <x:v>0.005063291139240506</x:v>
      </x:c>
      <x:c r="S2157" s="40" t="n">
        <x:v>0.002531645569620253</x:v>
      </x:c>
      <x:c r="T2157" s="31" t="n">
        <x:v>28.57097348881702</x:v>
      </x:c>
      <x:c r="U2157" s="31" t="n">
        <x:v>45.20543778</x:v>
      </x:c>
      <x:c r="V2157" s="31" t="n">
        <x:v>28</x:v>
      </x:c>
      <x:c r="W2157" s="31" t="n">
        <x:v>7.777777777777778</x:v>
      </x:c>
      <x:c r="X2157" s="31" t="n">
        <x:v>3.258227848101266</x:v>
      </x:c>
      <x:c r="Y2157" s="40" t="n">
        <x:v>0.2582278481012658</x:v>
      </x:c>
      <x:c r="Z2157" s="40" t="n">
        <x:v>1</x:v>
      </x:c>
      <x:c r="AA2157" s="40" t="n">
        <x:v>0.9915611814345991</x:v>
      </x:c>
      <x:c r="AB2157" s="31" t="n">
        <x:v>0.3373500333641116</x:v>
      </x:c>
      <x:c r="AC2157" s="31" t="n">
        <x:v>9</x:v>
      </x:c>
      <x:c r="AD2157" s="44" t="b">
        <x:v>1</x:v>
      </x:c>
    </x:row>
    <x:row r="2158">
      <x:c r="A2158" s="31" t="str">
        <x:v>36081128300</x:v>
      </x:c>
      <x:c r="B2158" s="31" t="str">
        <x:v>Queens</x:v>
      </x:c>
      <x:c r="C2158" s="31" t="str">
        <x:v>128300</x:v>
      </x:c>
      <x:c r="D2158" s="31" t="str">
        <x:v>QN0891</x:v>
      </x:c>
      <x:c r="E2158" s="31" t="str">
        <x:v>Cunningham Park</x:v>
      </x:c>
      <x:c r="F2158" s="31" t="n">
        <x:v>0.7642078574595386</x:v>
      </x:c>
      <x:c r="G2158" s="31" t="n">
        <x:v>40.7339443440407</x:v>
      </x:c>
      <x:c r="H2158" s="31" t="n">
        <x:v>-73.7688109159258</x:v>
      </x:c>
      <x:c r="I2158" s="31" t="n">
        <x:v>5</x:v>
      </x:c>
      <x:c r="J2158" s="31" t="n">
        <x:v>6.54272257370074</x:v>
      </x:c>
      <x:c r="K2158" s="31"/>
      <x:c r="L2158" s="40"/>
      <x:c r="M2158" s="40"/>
      <x:c r="N2158" s="31" t="n">
        <x:v>0</x:v>
      </x:c>
      <x:c r="O2158" s="31"/>
      <x:c r="P2158" s="31"/>
      <x:c r="Q2158" s="40"/>
      <x:c r="R2158" s="40"/>
      <x:c r="S2158" s="40"/>
      <x:c r="T2158" s="31"/>
      <x:c r="U2158" s="31"/>
      <x:c r="V2158" s="31" t="n">
        <x:v>0</x:v>
      </x:c>
      <x:c r="W2158" s="31" t="n">
        <x:v>0</x:v>
      </x:c>
      <x:c r="X2158" s="31"/>
      <x:c r="Y2158" s="40"/>
      <x:c r="Z2158" s="40"/>
      <x:c r="AA2158" s="40"/>
      <x:c r="AB2158" s="31" t="n">
        <x:v>0.5092725541671477</x:v>
      </x:c>
      <x:c r="AC2158" s="31" t="n">
        <x:v>13</x:v>
      </x:c>
      <x:c r="AD2158" s="44" t="b">
        <x:v>0</x:v>
      </x:c>
    </x:row>
    <x:row r="2159">
      <x:c r="A2159" s="31" t="str">
        <x:v>36081129102</x:v>
      </x:c>
      <x:c r="B2159" s="31" t="str">
        <x:v>Queens</x:v>
      </x:c>
      <x:c r="C2159" s="31" t="str">
        <x:v>129102</x:v>
      </x:c>
      <x:c r="D2159" s="31" t="str">
        <x:v>QN1104</x:v>
      </x:c>
      <x:c r="E2159" s="31" t="str">
        <x:v>Oakland Gardens-Hollis Hills</x:v>
      </x:c>
      <x:c r="F2159" s="31" t="n">
        <x:v>0.3828971069860537</x:v>
      </x:c>
      <x:c r="G2159" s="31" t="n">
        <x:v>40.73163852881311</x:v>
      </x:c>
      <x:c r="H2159" s="31" t="n">
        <x:v>-73.75438296339783</x:v>
      </x:c>
      <x:c r="I2159" s="31" t="n">
        <x:v>3561</x:v>
      </x:c>
      <x:c r="J2159" s="31" t="n">
        <x:v>9300.148617027035</x:v>
      </x:c>
      <x:c r="K2159" s="31"/>
      <x:c r="L2159" s="40"/>
      <x:c r="M2159" s="40"/>
      <x:c r="N2159" s="31" t="n">
        <x:v>975</x:v>
      </x:c>
      <x:c r="O2159" s="31" t="n">
        <x:v>1272</x:v>
      </x:c>
      <x:c r="P2159" s="31" t="n">
        <x:v>2.7937922895357983</x:v>
      </x:c>
      <x:c r="Q2159" s="40" t="n">
        <x:v>0</x:v>
      </x:c>
      <x:c r="R2159" s="40" t="n">
        <x:v>0.22641509433962265</x:v>
      </x:c>
      <x:c r="S2159" s="40" t="n">
        <x:v>0.22562893081761007</x:v>
      </x:c>
      <x:c r="T2159" s="31" t="n">
        <x:v>33.429775335531914</x:v>
      </x:c>
      <x:c r="U2159" s="31" t="n">
        <x:v>61.08516356</x:v>
      </x:c>
      <x:c r="V2159" s="31" t="n">
        <x:v>8</x:v>
      </x:c>
      <x:c r="W2159" s="31" t="n">
        <x:v>2.246559955068801</x:v>
      </x:c>
      <x:c r="X2159" s="31" t="n">
        <x:v>2.8435534591194966</x:v>
      </x:c>
      <x:c r="Y2159" s="40" t="n">
        <x:v>0</x:v>
      </x:c>
      <x:c r="Z2159" s="40" t="n">
        <x:v>1</x:v>
      </x:c>
      <x:c r="AA2159" s="40" t="n">
        <x:v>0.9976415094339622</x:v>
      </x:c>
      <x:c r="AB2159" s="31" t="n">
        <x:v>0.20874032927453348</x:v>
      </x:c>
      <x:c r="AC2159" s="31" t="n">
        <x:v>6</x:v>
      </x:c>
      <x:c r="AD2159" s="44" t="b">
        <x:v>1</x:v>
      </x:c>
    </x:row>
    <x:row r="2160">
      <x:c r="A2160" s="31" t="str">
        <x:v>36081129103</x:v>
      </x:c>
      <x:c r="B2160" s="31" t="str">
        <x:v>Queens</x:v>
      </x:c>
      <x:c r="C2160" s="31" t="str">
        <x:v>129103</x:v>
      </x:c>
      <x:c r="D2160" s="31" t="str">
        <x:v>QN1104</x:v>
      </x:c>
      <x:c r="E2160" s="31" t="str">
        <x:v>Oakland Gardens-Hollis Hills</x:v>
      </x:c>
      <x:c r="F2160" s="31" t="n">
        <x:v>0.17717446849460516</x:v>
      </x:c>
      <x:c r="G2160" s="31" t="n">
        <x:v>40.73669468229866</x:v>
      </x:c>
      <x:c r="H2160" s="31" t="n">
        <x:v>-73.75972226530693</x:v>
      </x:c>
      <x:c r="I2160" s="31" t="n">
        <x:v>3811</x:v>
      </x:c>
      <x:c r="J2160" s="31" t="n">
        <x:v>21509.871215536015</x:v>
      </x:c>
      <x:c r="K2160" s="31"/>
      <x:c r="L2160" s="40"/>
      <x:c r="M2160" s="40"/>
      <x:c r="N2160" s="31" t="n">
        <x:v>270</x:v>
      </x:c>
      <x:c r="O2160" s="31" t="n">
        <x:v>2138</x:v>
      </x:c>
      <x:c r="P2160" s="31" t="n">
        <x:v>5.487853133769879</x:v>
      </x:c>
      <x:c r="Q2160" s="40" t="n">
        <x:v>0</x:v>
      </x:c>
      <x:c r="R2160" s="40" t="n">
        <x:v>0.8746492048643593</x:v>
      </x:c>
      <x:c r="S2160" s="40" t="n">
        <x:v>0.8746492048643593</x:v>
      </x:c>
      <x:c r="T2160" s="31" t="n">
        <x:v>60.11589070767431</x:v>
      </x:c>
      <x:c r="U2160" s="31" t="n">
        <x:v>68.95</x:v>
      </x:c>
      <x:c r="V2160" s="31" t="n">
        <x:v>42</x:v>
      </x:c>
      <x:c r="W2160" s="31" t="n">
        <x:v>11.02072946733141</x:v>
      </x:c>
      <x:c r="X2160" s="31" t="n">
        <x:v>2</x:v>
      </x:c>
      <x:c r="Y2160" s="40" t="n">
        <x:v>0</x:v>
      </x:c>
      <x:c r="Z2160" s="40" t="n">
        <x:v>1</x:v>
      </x:c>
      <x:c r="AA2160" s="40" t="n">
        <x:v>0.999532273152479</x:v>
      </x:c>
      <x:c r="AB2160" s="31" t="n">
        <x:v>0.1967466995884855</x:v>
      </x:c>
      <x:c r="AC2160" s="31" t="n">
        <x:v>4</x:v>
      </x:c>
      <x:c r="AD2160" s="44" t="b">
        <x:v>1</x:v>
      </x:c>
    </x:row>
    <x:row r="2161">
      <x:c r="A2161" s="31" t="str">
        <x:v>36081129104</x:v>
      </x:c>
      <x:c r="B2161" s="31" t="str">
        <x:v>Queens</x:v>
      </x:c>
      <x:c r="C2161" s="31" t="str">
        <x:v>129104</x:v>
      </x:c>
      <x:c r="D2161" s="31" t="str">
        <x:v>QN1104</x:v>
      </x:c>
      <x:c r="E2161" s="31" t="str">
        <x:v>Oakland Gardens-Hollis Hills</x:v>
      </x:c>
      <x:c r="F2161" s="31" t="n">
        <x:v>0.27335527652017333</x:v>
      </x:c>
      <x:c r="G2161" s="31" t="n">
        <x:v>40.73809378247754</x:v>
      </x:c>
      <x:c r="H2161" s="31" t="n">
        <x:v>-73.75007582665148</x:v>
      </x:c>
      <x:c r="I2161" s="31" t="n">
        <x:v>4318</x:v>
      </x:c>
      <x:c r="J2161" s="31" t="n">
        <x:v>15796.292849980293</x:v>
      </x:c>
      <x:c r="K2161" s="31"/>
      <x:c r="L2161" s="40"/>
      <x:c r="M2161" s="40"/>
      <x:c r="N2161" s="31" t="n">
        <x:v>446</x:v>
      </x:c>
      <x:c r="O2161" s="31" t="n">
        <x:v>1928</x:v>
      </x:c>
      <x:c r="P2161" s="31" t="n">
        <x:v>2.0093101659751036</x:v>
      </x:c>
      <x:c r="Q2161" s="40" t="n">
        <x:v>0</x:v>
      </x:c>
      <x:c r="R2161" s="40" t="n">
        <x:v>0.0254149377593361</x:v>
      </x:c>
      <x:c r="S2161" s="40" t="n">
        <x:v>0.7479253112033195</x:v>
      </x:c>
      <x:c r="T2161" s="31" t="n">
        <x:v>30.541837147821578</x:v>
      </x:c>
      <x:c r="U2161" s="31" t="n">
        <x:v>62.32</x:v>
      </x:c>
      <x:c r="V2161" s="31" t="n">
        <x:v>2</x:v>
      </x:c>
      <x:c r="W2161" s="31" t="n">
        <x:v>0.4631773969430292</x:v>
      </x:c>
      <x:c r="X2161" s="31" t="n">
        <x:v>2</x:v>
      </x:c>
      <x:c r="Y2161" s="40" t="n">
        <x:v>0</x:v>
      </x:c>
      <x:c r="Z2161" s="40" t="n">
        <x:v>1</x:v>
      </x:c>
      <x:c r="AA2161" s="40" t="n">
        <x:v>1</x:v>
      </x:c>
      <x:c r="AB2161" s="31" t="n">
        <x:v>0.2307862663446014</x:v>
      </x:c>
      <x:c r="AC2161" s="31" t="n">
        <x:v>7</x:v>
      </x:c>
      <x:c r="AD2161" s="44" t="b">
        <x:v>1</x:v>
      </x:c>
    </x:row>
    <x:row r="2162">
      <x:c r="A2162" s="31" t="str">
        <x:v>36081130100</x:v>
      </x:c>
      <x:c r="B2162" s="31" t="str">
        <x:v>Queens</x:v>
      </x:c>
      <x:c r="C2162" s="31" t="str">
        <x:v>130100</x:v>
      </x:c>
      <x:c r="D2162" s="31" t="str">
        <x:v>QN1302</x:v>
      </x:c>
      <x:c r="E2162" s="31" t="str">
        <x:v>Bellerose</x:v>
      </x:c>
      <x:c r="F2162" s="31" t="n">
        <x:v>0.26968706499906736</x:v>
      </x:c>
      <x:c r="G2162" s="31" t="n">
        <x:v>40.73350064242653</x:v>
      </x:c>
      <x:c r="H2162" s="31" t="n">
        <x:v>-73.73977784416287</x:v>
      </x:c>
      <x:c r="I2162" s="31" t="n">
        <x:v>4203</x:v>
      </x:c>
      <x:c r="J2162" s="31" t="n">
        <x:v>15584.729656999067</x:v>
      </x:c>
      <x:c r="K2162" s="31"/>
      <x:c r="L2162" s="40"/>
      <x:c r="M2162" s="40"/>
      <x:c r="N2162" s="31" t="n">
        <x:v>555</x:v>
      </x:c>
      <x:c r="O2162" s="31" t="n">
        <x:v>1586</x:v>
      </x:c>
      <x:c r="P2162" s="31" t="n">
        <x:v>2.0106935687263556</x:v>
      </x:c>
      <x:c r="Q2162" s="40" t="n">
        <x:v>0</x:v>
      </x:c>
      <x:c r="R2162" s="40" t="n">
        <x:v>0.0069356872635561164</x:v>
      </x:c>
      <x:c r="S2162" s="40" t="n">
        <x:v>0.5712484237074401</x:v>
      </x:c>
      <x:c r="T2162" s="31" t="n">
        <x:v>29.526659935567466</x:v>
      </x:c>
      <x:c r="U2162" s="31" t="n">
        <x:v>34.08362056</x:v>
      </x:c>
      <x:c r="V2162" s="31" t="n">
        <x:v>0</x:v>
      </x:c>
      <x:c r="W2162" s="31" t="n">
        <x:v>0</x:v>
      </x:c>
      <x:c r="X2162" s="31" t="n">
        <x:v>3.0056746532156366</x:v>
      </x:c>
      <x:c r="Y2162" s="40" t="n">
        <x:v>0.005674653215636823</x:v>
      </x:c>
      <x:c r="Z2162" s="40" t="n">
        <x:v>1</x:v>
      </x:c>
      <x:c r="AA2162" s="40" t="n">
        <x:v>1</x:v>
      </x:c>
      <x:c r="AB2162" s="31" t="n">
        <x:v>0.03443116674922702</x:v>
      </x:c>
      <x:c r="AC2162" s="31" t="n">
        <x:v>6</x:v>
      </x:c>
      <x:c r="AD2162" s="44" t="b">
        <x:v>1</x:v>
      </x:c>
    </x:row>
    <x:row r="2163">
      <x:c r="A2163" s="31" t="str">
        <x:v>36081133300</x:v>
      </x:c>
      <x:c r="B2163" s="31" t="str">
        <x:v>Queens</x:v>
      </x:c>
      <x:c r="C2163" s="31" t="str">
        <x:v>133300</x:v>
      </x:c>
      <x:c r="D2163" s="31" t="str">
        <x:v>QN0803</x:v>
      </x:c>
      <x:c r="E2163" s="31" t="str">
        <x:v>Fresh Meadows-Utopia</x:v>
      </x:c>
      <x:c r="F2163" s="31" t="n">
        <x:v>0.26684555325413223</x:v>
      </x:c>
      <x:c r="G2163" s="31" t="n">
        <x:v>40.73190427053629</x:v>
      </x:c>
      <x:c r="H2163" s="31" t="n">
        <x:v>-73.77932320417334</x:v>
      </x:c>
      <x:c r="I2163" s="31" t="n">
        <x:v>3915</x:v>
      </x:c>
      <x:c r="J2163" s="31" t="n">
        <x:v>14671.4080570476</x:v>
      </x:c>
      <x:c r="K2163" s="31"/>
      <x:c r="L2163" s="40"/>
      <x:c r="M2163" s="40"/>
      <x:c r="N2163" s="31" t="n">
        <x:v>1131</x:v>
      </x:c>
      <x:c r="O2163" s="31" t="n">
        <x:v>1358</x:v>
      </x:c>
      <x:c r="P2163" s="31" t="n">
        <x:v>1.9313696612665687</x:v>
      </x:c>
      <x:c r="Q2163" s="40" t="n">
        <x:v>0</x:v>
      </x:c>
      <x:c r="R2163" s="40" t="n">
        <x:v>0.008836524300441826</x:v>
      </x:c>
      <x:c r="S2163" s="40" t="n">
        <x:v>0.0007363770250368188</x:v>
      </x:c>
      <x:c r="T2163" s="31" t="n">
        <x:v>23.859160168628318</x:v>
      </x:c>
      <x:c r="U2163" s="31" t="n">
        <x:v>35</x:v>
      </x:c>
      <x:c r="V2163" s="31" t="n">
        <x:v>1</x:v>
      </x:c>
      <x:c r="W2163" s="31" t="n">
        <x:v>0.2554278416347382</x:v>
      </x:c>
      <x:c r="X2163" s="31" t="n">
        <x:v>1</x:v>
      </x:c>
      <x:c r="Y2163" s="40" t="n">
        <x:v>0</x:v>
      </x:c>
      <x:c r="Z2163" s="40" t="n">
        <x:v>1</x:v>
      </x:c>
      <x:c r="AA2163" s="40" t="n">
        <x:v>0.9985272459499264</x:v>
      </x:c>
      <x:c r="AB2163" s="31" t="n">
        <x:v>0.2272712907090434</x:v>
      </x:c>
      <x:c r="AC2163" s="31" t="n">
        <x:v>6</x:v>
      </x:c>
      <x:c r="AD2163" s="44" t="b">
        <x:v>1</x:v>
      </x:c>
    </x:row>
    <x:row r="2164">
      <x:c r="A2164" s="31" t="str">
        <x:v>36081133900</x:v>
      </x:c>
      <x:c r="B2164" s="31" t="str">
        <x:v>Queens</x:v>
      </x:c>
      <x:c r="C2164" s="31" t="str">
        <x:v>133900</x:v>
      </x:c>
      <x:c r="D2164" s="31" t="str">
        <x:v>QN0803</x:v>
      </x:c>
      <x:c r="E2164" s="31" t="str">
        <x:v>Fresh Meadows-Utopia</x:v>
      </x:c>
      <x:c r="F2164" s="31" t="n">
        <x:v>0.08733814071718606</x:v>
      </x:c>
      <x:c r="G2164" s="31" t="n">
        <x:v>40.72863935130522</x:v>
      </x:c>
      <x:c r="H2164" s="31" t="n">
        <x:v>-73.79003852103853</x:v>
      </x:c>
      <x:c r="I2164" s="31" t="n">
        <x:v>1360</x:v>
      </x:c>
      <x:c r="J2164" s="31" t="n">
        <x:v>15571.661920350276</x:v>
      </x:c>
      <x:c r="K2164" s="31"/>
      <x:c r="L2164" s="40"/>
      <x:c r="M2164" s="40"/>
      <x:c r="N2164" s="31" t="n">
        <x:v>430</x:v>
      </x:c>
      <x:c r="O2164" s="31" t="n">
        <x:v>463</x:v>
      </x:c>
      <x:c r="P2164" s="31" t="n">
        <x:v>1.9179481641468683</x:v>
      </x:c>
      <x:c r="Q2164" s="40" t="n">
        <x:v>0</x:v>
      </x:c>
      <x:c r="R2164" s="40" t="n">
        <x:v>0</x:v>
      </x:c>
      <x:c r="S2164" s="40" t="n">
        <x:v>0.0021598272138228943</x:v>
      </x:c>
      <x:c r="T2164" s="31" t="n">
        <x:v>25.63989045887446</x:v>
      </x:c>
      <x:c r="U2164" s="31" t="n">
        <x:v>34.41</x:v>
      </x:c>
      <x:c r="V2164" s="31" t="n">
        <x:v>2</x:v>
      </x:c>
      <x:c r="W2164" s="31" t="n">
        <x:v>1.4705882352941175</x:v>
      </x:c>
      <x:c r="X2164" s="31" t="n">
        <x:v>1</x:v>
      </x:c>
      <x:c r="Y2164" s="40" t="n">
        <x:v>0</x:v>
      </x:c>
      <x:c r="Z2164" s="40" t="n">
        <x:v>1</x:v>
      </x:c>
      <x:c r="AA2164" s="40" t="n">
        <x:v>0.9978401727861771</x:v>
      </x:c>
      <x:c r="AB2164" s="31" t="n">
        <x:v>0.4290131224977333</x:v>
      </x:c>
      <x:c r="AC2164" s="31" t="n">
        <x:v>5</x:v>
      </x:c>
      <x:c r="AD2164" s="44" t="b">
        <x:v>1</x:v>
      </x:c>
    </x:row>
    <x:row r="2165">
      <x:c r="A2165" s="31" t="str">
        <x:v>36081134100</x:v>
      </x:c>
      <x:c r="B2165" s="31" t="str">
        <x:v>Queens</x:v>
      </x:c>
      <x:c r="C2165" s="31" t="str">
        <x:v>134100</x:v>
      </x:c>
      <x:c r="D2165" s="31" t="str">
        <x:v>QN0803</x:v>
      </x:c>
      <x:c r="E2165" s="31" t="str">
        <x:v>Fresh Meadows-Utopia</x:v>
      </x:c>
      <x:c r="F2165" s="31" t="n">
        <x:v>0.2292561681947314</x:v>
      </x:c>
      <x:c r="G2165" s="31" t="n">
        <x:v>40.73529288329155</x:v>
      </x:c>
      <x:c r="H2165" s="31" t="n">
        <x:v>-73.7911858014314</x:v>
      </x:c>
      <x:c r="I2165" s="31" t="n">
        <x:v>3659</x:v>
      </x:c>
      <x:c r="J2165" s="31" t="n">
        <x:v>15960.312120771494</x:v>
      </x:c>
      <x:c r="K2165" s="31"/>
      <x:c r="L2165" s="40"/>
      <x:c r="M2165" s="40"/>
      <x:c r="N2165" s="31" t="n">
        <x:v>863</x:v>
      </x:c>
      <x:c r="O2165" s="31" t="n">
        <x:v>1089</x:v>
      </x:c>
      <x:c r="P2165" s="31" t="n">
        <x:v>1.9585399449035812</x:v>
      </x:c>
      <x:c r="Q2165" s="40" t="n">
        <x:v>0</x:v>
      </x:c>
      <x:c r="R2165" s="40" t="n">
        <x:v>0.10192837465564739</x:v>
      </x:c>
      <x:c r="S2165" s="40" t="n">
        <x:v>0</x:v>
      </x:c>
      <x:c r="T2165" s="31" t="n">
        <x:v>25.46073632296501</x:v>
      </x:c>
      <x:c r="U2165" s="31" t="n">
        <x:v>37.24</x:v>
      </x:c>
      <x:c r="V2165" s="31" t="n">
        <x:v>2</x:v>
      </x:c>
      <x:c r="W2165" s="31" t="n">
        <x:v>0.5465974309920743</x:v>
      </x:c>
      <x:c r="X2165" s="31" t="n">
        <x:v>1.9981634527089072</x:v>
      </x:c>
      <x:c r="Y2165" s="40" t="n">
        <x:v>0</x:v>
      </x:c>
      <x:c r="Z2165" s="40" t="n">
        <x:v>1</x:v>
      </x:c>
      <x:c r="AA2165" s="40" t="n">
        <x:v>0.9972451790633609</x:v>
      </x:c>
      <x:c r="AB2165" s="31" t="n">
        <x:v>0.22756001568101122</x:v>
      </x:c>
      <x:c r="AC2165" s="31" t="n">
        <x:v>8</x:v>
      </x:c>
      <x:c r="AD2165" s="44" t="b">
        <x:v>1</x:v>
      </x:c>
    </x:row>
    <x:row r="2166">
      <x:c r="A2166" s="31" t="str">
        <x:v>36081134701</x:v>
      </x:c>
      <x:c r="B2166" s="31" t="str">
        <x:v>Queens</x:v>
      </x:c>
      <x:c r="C2166" s="31" t="str">
        <x:v>134701</x:v>
      </x:c>
      <x:c r="D2166" s="31" t="str">
        <x:v>QN0803</x:v>
      </x:c>
      <x:c r="E2166" s="31" t="str">
        <x:v>Fresh Meadows-Utopia</x:v>
      </x:c>
      <x:c r="F2166" s="31" t="n">
        <x:v>0.17924089668919307</x:v>
      </x:c>
      <x:c r="G2166" s="31" t="n">
        <x:v>40.73727944739589</x:v>
      </x:c>
      <x:c r="H2166" s="31" t="n">
        <x:v>-73.78485915517173</x:v>
      </x:c>
      <x:c r="I2166" s="31" t="n">
        <x:v>5561</x:v>
      </x:c>
      <x:c r="J2166" s="31" t="n">
        <x:v>31025.285538728775</x:v>
      </x:c>
      <x:c r="K2166" s="31"/>
      <x:c r="L2166" s="40"/>
      <x:c r="M2166" s="40"/>
      <x:c r="N2166" s="31" t="n">
        <x:v>119</x:v>
      </x:c>
      <x:c r="O2166" s="31" t="n">
        <x:v>2607</x:v>
      </x:c>
      <x:c r="P2166" s="31" t="n">
        <x:v>7.6485928489042685</x:v>
      </x:c>
      <x:c r="Q2166" s="40" t="n">
        <x:v>0.4675872650556195</x:v>
      </x:c>
      <x:c r="R2166" s="40" t="n">
        <x:v>0.48216340621403914</x:v>
      </x:c>
      <x:c r="S2166" s="40" t="n">
        <x:v>0.9202148062907557</x:v>
      </x:c>
      <x:c r="T2166" s="31" t="n">
        <x:v>117.04898368490603</x:v>
      </x:c>
      <x:c r="U2166" s="31" t="n">
        <x:v>210.49</x:v>
      </x:c>
      <x:c r="V2166" s="31" t="n">
        <x:v>18</x:v>
      </x:c>
      <x:c r="W2166" s="31" t="n">
        <x:v>3.2368279086495235</x:v>
      </x:c>
      <x:c r="X2166" s="31" t="n">
        <x:v>1.7353279631760645</x:v>
      </x:c>
      <x:c r="Y2166" s="40" t="n">
        <x:v>0</x:v>
      </x:c>
      <x:c r="Z2166" s="40" t="n">
        <x:v>1</x:v>
      </x:c>
      <x:c r="AA2166" s="40" t="n">
        <x:v>1</x:v>
      </x:c>
      <x:c r="AB2166" s="31" t="n">
        <x:v>0.3251296616358611</x:v>
      </x:c>
      <x:c r="AC2166" s="31" t="n">
        <x:v>4</x:v>
      </x:c>
      <x:c r="AD2166" s="44" t="b">
        <x:v>1</x:v>
      </x:c>
    </x:row>
    <x:row r="2167">
      <x:c r="A2167" s="31" t="str">
        <x:v>36081134702</x:v>
      </x:c>
      <x:c r="B2167" s="31" t="str">
        <x:v>Queens</x:v>
      </x:c>
      <x:c r="C2167" s="31" t="str">
        <x:v>134702</x:v>
      </x:c>
      <x:c r="D2167" s="31" t="str">
        <x:v>QN0803</x:v>
      </x:c>
      <x:c r="E2167" s="31" t="str">
        <x:v>Fresh Meadows-Utopia</x:v>
      </x:c>
      <x:c r="F2167" s="31" t="n">
        <x:v>0.2375100567586375</x:v>
      </x:c>
      <x:c r="G2167" s="31" t="n">
        <x:v>40.738469259020086</x:v>
      </x:c>
      <x:c r="H2167" s="31" t="n">
        <x:v>-73.77829535466478</x:v>
      </x:c>
      <x:c r="I2167" s="31" t="n">
        <x:v>5117</x:v>
      </x:c>
      <x:c r="J2167" s="31" t="n">
        <x:v>21544.350878581947</x:v>
      </x:c>
      <x:c r="K2167" s="31"/>
      <x:c r="L2167" s="40"/>
      <x:c r="M2167" s="40"/>
      <x:c r="N2167" s="31" t="n">
        <x:v>236</x:v>
      </x:c>
      <x:c r="O2167" s="31" t="n">
        <x:v>1408</x:v>
      </x:c>
      <x:c r="P2167" s="31" t="n">
        <x:v>2.1526988636363638</x:v>
      </x:c>
      <x:c r="Q2167" s="40" t="n">
        <x:v>0</x:v>
      </x:c>
      <x:c r="R2167" s="40" t="n">
        <x:v>0.15269886363636365</x:v>
      </x:c>
      <x:c r="S2167" s="40" t="n">
        <x:v>0.8352272727272727</x:v>
      </x:c>
      <x:c r="T2167" s="31" t="n">
        <x:v>29.87820159992898</x:v>
      </x:c>
      <x:c r="U2167" s="31" t="n">
        <x:v>33.1</x:v>
      </x:c>
      <x:c r="V2167" s="31" t="n">
        <x:v>0</x:v>
      </x:c>
      <x:c r="W2167" s="31" t="n">
        <x:v>0</x:v>
      </x:c>
      <x:c r="X2167" s="31" t="n">
        <x:v>1.9985795454545454</x:v>
      </x:c>
      <x:c r="Y2167" s="40" t="n">
        <x:v>0</x:v>
      </x:c>
      <x:c r="Z2167" s="40" t="n">
        <x:v>1</x:v>
      </x:c>
      <x:c r="AA2167" s="40" t="n">
        <x:v>1</x:v>
      </x:c>
      <x:c r="AB2167" s="31" t="n">
        <x:v>0.13436079976975437</x:v>
      </x:c>
      <x:c r="AC2167" s="31" t="n">
        <x:v>4</x:v>
      </x:c>
      <x:c r="AD2167" s="44" t="b">
        <x:v>1</x:v>
      </x:c>
    </x:row>
    <x:row r="2168">
      <x:c r="A2168" s="31" t="str">
        <x:v>36081136700</x:v>
      </x:c>
      <x:c r="B2168" s="31" t="str">
        <x:v>Queens</x:v>
      </x:c>
      <x:c r="C2168" s="31" t="str">
        <x:v>136700</x:v>
      </x:c>
      <x:c r="D2168" s="31" t="str">
        <x:v>QN1104</x:v>
      </x:c>
      <x:c r="E2168" s="31" t="str">
        <x:v>Oakland Gardens-Hollis Hills</x:v>
      </x:c>
      <x:c r="F2168" s="31" t="n">
        <x:v>0.29839442595127413</x:v>
      </x:c>
      <x:c r="G2168" s="31" t="n">
        <x:v>40.7441991035706</x:v>
      </x:c>
      <x:c r="H2168" s="31" t="n">
        <x:v>-73.76031314957042</x:v>
      </x:c>
      <x:c r="I2168" s="31" t="n">
        <x:v>6250</x:v>
      </x:c>
      <x:c r="J2168" s="31" t="n">
        <x:v>20945.431470695716</x:v>
      </x:c>
      <x:c r="K2168" s="31"/>
      <x:c r="L2168" s="40"/>
      <x:c r="M2168" s="40"/>
      <x:c r="N2168" s="31" t="n">
        <x:v>742</x:v>
      </x:c>
      <x:c r="O2168" s="31" t="n">
        <x:v>2496</x:v>
      </x:c>
      <x:c r="P2168" s="31" t="n">
        <x:v>2.194510433386838</x:v>
      </x:c>
      <x:c r="Q2168" s="40" t="n">
        <x:v>0</x:v>
      </x:c>
      <x:c r="R2168" s="40" t="n">
        <x:v>0.23317307692307693</x:v>
      </x:c>
      <x:c r="S2168" s="40" t="n">
        <x:v>0.6017628205128205</x:v>
      </x:c>
      <x:c r="T2168" s="31" t="n">
        <x:v>28.400156418123114</x:v>
      </x:c>
      <x:c r="U2168" s="31" t="n">
        <x:v>42</x:v>
      </x:c>
      <x:c r="V2168" s="31" t="n">
        <x:v>1</x:v>
      </x:c>
      <x:c r="W2168" s="31" t="n">
        <x:v>0.16</x:v>
      </x:c>
      <x:c r="X2168" s="31" t="n">
        <x:v>2</x:v>
      </x:c>
      <x:c r="Y2168" s="40" t="n">
        <x:v>0</x:v>
      </x:c>
      <x:c r="Z2168" s="40" t="n">
        <x:v>1</x:v>
      </x:c>
      <x:c r="AA2168" s="40" t="n">
        <x:v>0.9306891025641025</x:v>
      </x:c>
      <x:c r="AB2168" s="31" t="n">
        <x:v>0.15013996275594518</x:v>
      </x:c>
      <x:c r="AC2168" s="31" t="n">
        <x:v>8</x:v>
      </x:c>
      <x:c r="AD2168" s="44" t="b">
        <x:v>1</x:v>
      </x:c>
    </x:row>
    <x:row r="2169">
      <x:c r="A2169" s="31" t="str">
        <x:v>36081137700</x:v>
      </x:c>
      <x:c r="B2169" s="31" t="str">
        <x:v>Queens</x:v>
      </x:c>
      <x:c r="C2169" s="31" t="str">
        <x:v>137700</x:v>
      </x:c>
      <x:c r="D2169" s="31" t="str">
        <x:v>QN1104</x:v>
      </x:c>
      <x:c r="E2169" s="31" t="str">
        <x:v>Oakland Gardens-Hollis Hills</x:v>
      </x:c>
      <x:c r="F2169" s="31" t="n">
        <x:v>0.2898806700761163</x:v>
      </x:c>
      <x:c r="G2169" s="31" t="n">
        <x:v>40.747133729505386</x:v>
      </x:c>
      <x:c r="H2169" s="31" t="n">
        <x:v>-73.75003318208213</x:v>
      </x:c>
      <x:c r="I2169" s="31" t="n">
        <x:v>7309</x:v>
      </x:c>
      <x:c r="J2169" s="31" t="n">
        <x:v>25213.823322820448</x:v>
      </x:c>
      <x:c r="K2169" s="31"/>
      <x:c r="L2169" s="40"/>
      <x:c r="M2169" s="40"/>
      <x:c r="N2169" s="31" t="n">
        <x:v>620</x:v>
      </x:c>
      <x:c r="O2169" s="31" t="n">
        <x:v>2496</x:v>
      </x:c>
      <x:c r="P2169" s="31" t="n">
        <x:v>1.9556746987951807</x:v>
      </x:c>
      <x:c r="Q2169" s="40" t="n">
        <x:v>0</x:v>
      </x:c>
      <x:c r="R2169" s="40" t="n">
        <x:v>0</x:v>
      </x:c>
      <x:c r="S2169" s="40" t="n">
        <x:v>0.6125801282051282</x:v>
      </x:c>
      <x:c r="T2169" s="31" t="n">
        <x:v>28.375445860306947</x:v>
      </x:c>
      <x:c r="U2169" s="31" t="n">
        <x:v>37.10030394</x:v>
      </x:c>
      <x:c r="V2169" s="31" t="n">
        <x:v>1</x:v>
      </x:c>
      <x:c r="W2169" s="31" t="n">
        <x:v>0.13681762210972773</x:v>
      </x:c>
      <x:c r="X2169" s="31" t="n">
        <x:v>2</x:v>
      </x:c>
      <x:c r="Y2169" s="40" t="n">
        <x:v>0</x:v>
      </x:c>
      <x:c r="Z2169" s="40" t="n">
        <x:v>1</x:v>
      </x:c>
      <x:c r="AA2169" s="40" t="n">
        <x:v>0.9919871794871795</x:v>
      </x:c>
      <x:c r="AB2169" s="31" t="n">
        <x:v>0.24212625102356536</x:v>
      </x:c>
      <x:c r="AC2169" s="31" t="n">
        <x:v>5</x:v>
      </x:c>
      <x:c r="AD2169" s="44" t="b">
        <x:v>1</x:v>
      </x:c>
    </x:row>
    <x:row r="2170">
      <x:c r="A2170" s="31" t="str">
        <x:v>36081138501</x:v>
      </x:c>
      <x:c r="B2170" s="31" t="str">
        <x:v>Queens</x:v>
      </x:c>
      <x:c r="C2170" s="31" t="str">
        <x:v>138501</x:v>
      </x:c>
      <x:c r="D2170" s="31" t="str">
        <x:v>QN1102</x:v>
      </x:c>
      <x:c r="E2170" s="31" t="str">
        <x:v>Bayside</x:v>
      </x:c>
      <x:c r="F2170" s="31" t="n">
        <x:v>0.4011277652483643</x:v>
      </x:c>
      <x:c r="G2170" s="31" t="n">
        <x:v>40.75492346570218</x:v>
      </x:c>
      <x:c r="H2170" s="31" t="n">
        <x:v>-73.75479234007031</x:v>
      </x:c>
      <x:c r="I2170" s="31" t="n">
        <x:v>4994</x:v>
      </x:c>
      <x:c r="J2170" s="31" t="n">
        <x:v>12449.898592554144</x:v>
      </x:c>
      <x:c r="K2170" s="31"/>
      <x:c r="L2170" s="40"/>
      <x:c r="M2170" s="40"/>
      <x:c r="N2170" s="31" t="n">
        <x:v>971</x:v>
      </x:c>
      <x:c r="O2170" s="31" t="n">
        <x:v>1499</x:v>
      </x:c>
      <x:c r="P2170" s="31" t="n">
        <x:v>1.8321214142761841</x:v>
      </x:c>
      <x:c r="Q2170" s="40" t="n">
        <x:v>0</x:v>
      </x:c>
      <x:c r="R2170" s="40" t="n">
        <x:v>0.00867244829886591</x:v>
      </x:c>
      <x:c r="S2170" s="40" t="n">
        <x:v>0.01667778519012675</x:v>
      </x:c>
      <x:c r="T2170" s="31" t="n">
        <x:v>26.111521888669785</x:v>
      </x:c>
      <x:c r="U2170" s="31" t="n">
        <x:v>37.05892616</x:v>
      </x:c>
      <x:c r="V2170" s="31" t="n">
        <x:v>1</x:v>
      </x:c>
      <x:c r="W2170" s="31" t="n">
        <x:v>0.2002402883460152</x:v>
      </x:c>
      <x:c r="X2170" s="31" t="n">
        <x:v>2</x:v>
      </x:c>
      <x:c r="Y2170" s="40" t="n">
        <x:v>0</x:v>
      </x:c>
      <x:c r="Z2170" s="40" t="n">
        <x:v>1</x:v>
      </x:c>
      <x:c r="AA2170" s="40" t="n">
        <x:v>0.9979986657771848</x:v>
      </x:c>
      <x:c r="AB2170" s="31" t="n">
        <x:v>0.11646140971323962</x:v>
      </x:c>
      <x:c r="AC2170" s="31" t="n">
        <x:v>6</x:v>
      </x:c>
      <x:c r="AD2170" s="44" t="b">
        <x:v>1</x:v>
      </x:c>
    </x:row>
    <x:row r="2171">
      <x:c r="A2171" s="31" t="str">
        <x:v>36081138502</x:v>
      </x:c>
      <x:c r="B2171" s="31" t="str">
        <x:v>Queens</x:v>
      </x:c>
      <x:c r="C2171" s="31" t="str">
        <x:v>138502</x:v>
      </x:c>
      <x:c r="D2171" s="31" t="str">
        <x:v>QN1191</x:v>
      </x:c>
      <x:c r="E2171" s="31" t="str">
        <x:v>Alley Pond Park</x:v>
      </x:c>
      <x:c r="F2171" s="31" t="n">
        <x:v>0.9373707173187844</x:v>
      </x:c>
      <x:c r="G2171" s="31" t="n">
        <x:v>40.75221544472051</x:v>
      </x:c>
      <x:c r="H2171" s="31" t="n">
        <x:v>-73.7455541885627</x:v>
      </x:c>
      <x:c r="I2171" s="31" t="n">
        <x:v>85</x:v>
      </x:c>
      <x:c r="J2171" s="31" t="n">
        <x:v>90.67917146284493</x:v>
      </x:c>
      <x:c r="K2171" s="31"/>
      <x:c r="L2171" s="40"/>
      <x:c r="M2171" s="40"/>
      <x:c r="N2171" s="31" t="n">
        <x:v>0</x:v>
      </x:c>
      <x:c r="O2171" s="31"/>
      <x:c r="P2171" s="31"/>
      <x:c r="Q2171" s="40"/>
      <x:c r="R2171" s="40"/>
      <x:c r="S2171" s="40"/>
      <x:c r="T2171" s="31"/>
      <x:c r="U2171" s="31"/>
      <x:c r="V2171" s="31" t="n">
        <x:v>0</x:v>
      </x:c>
      <x:c r="W2171" s="31" t="n">
        <x:v>0</x:v>
      </x:c>
      <x:c r="X2171" s="31"/>
      <x:c r="Y2171" s="40"/>
      <x:c r="Z2171" s="40"/>
      <x:c r="AA2171" s="40"/>
      <x:c r="AB2171" s="31" t="n">
        <x:v>0.3271173964322048</x:v>
      </x:c>
      <x:c r="AC2171" s="31" t="n">
        <x:v>10</x:v>
      </x:c>
      <x:c r="AD2171" s="44" t="b">
        <x:v>0</x:v>
      </x:c>
    </x:row>
    <x:row r="2172">
      <x:c r="A2172" s="31" t="str">
        <x:v>36081139900</x:v>
      </x:c>
      <x:c r="B2172" s="31" t="str">
        <x:v>Queens</x:v>
      </x:c>
      <x:c r="C2172" s="31" t="str">
        <x:v>139900</x:v>
      </x:c>
      <x:c r="D2172" s="31" t="str">
        <x:v>QN1102</x:v>
      </x:c>
      <x:c r="E2172" s="31" t="str">
        <x:v>Bayside</x:v>
      </x:c>
      <x:c r="F2172" s="31" t="n">
        <x:v>0.1408039585858586</x:v>
      </x:c>
      <x:c r="G2172" s="31" t="n">
        <x:v>40.74986855440728</x:v>
      </x:c>
      <x:c r="H2172" s="31" t="n">
        <x:v>-73.7624705627347</x:v>
      </x:c>
      <x:c r="I2172" s="31" t="n">
        <x:v>1769</x:v>
      </x:c>
      <x:c r="J2172" s="31" t="n">
        <x:v>12563.56723040077</x:v>
      </x:c>
      <x:c r="K2172" s="31"/>
      <x:c r="L2172" s="40"/>
      <x:c r="M2172" s="40"/>
      <x:c r="N2172" s="31" t="n">
        <x:v>538</x:v>
      </x:c>
      <x:c r="O2172" s="31" t="n">
        <x:v>572</x:v>
      </x:c>
      <x:c r="P2172" s="31" t="n">
        <x:v>1.8184615384615386</x:v>
      </x:c>
      <x:c r="Q2172" s="40" t="n">
        <x:v>0</x:v>
      </x:c>
      <x:c r="R2172" s="40" t="n">
        <x:v>0</x:v>
      </x:c>
      <x:c r="S2172" s="40" t="n">
        <x:v>0.005244755244755245</x:v>
      </x:c>
      <x:c r="T2172" s="31" t="n">
        <x:v>24.430164334755244</x:v>
      </x:c>
      <x:c r="U2172" s="31" t="n">
        <x:v>38.02537911</x:v>
      </x:c>
      <x:c r="V2172" s="31" t="n">
        <x:v>0</x:v>
      </x:c>
      <x:c r="W2172" s="31" t="n">
        <x:v>0</x:v>
      </x:c>
      <x:c r="X2172" s="31" t="n">
        <x:v>2</x:v>
      </x:c>
      <x:c r="Y2172" s="40" t="n">
        <x:v>0</x:v>
      </x:c>
      <x:c r="Z2172" s="40" t="n">
        <x:v>1</x:v>
      </x:c>
      <x:c r="AA2172" s="40" t="n">
        <x:v>1</x:v>
      </x:c>
      <x:c r="AB2172" s="31" t="n">
        <x:v>0.13124423745219008</x:v>
      </x:c>
      <x:c r="AC2172" s="31" t="n">
        <x:v>6</x:v>
      </x:c>
      <x:c r="AD2172" s="44" t="b">
        <x:v>1</x:v>
      </x:c>
    </x:row>
    <x:row r="2173">
      <x:c r="A2173" s="31" t="str">
        <x:v>36081140300</x:v>
      </x:c>
      <x:c r="B2173" s="31" t="str">
        <x:v>Queens</x:v>
      </x:c>
      <x:c r="C2173" s="31" t="str">
        <x:v>140300</x:v>
      </x:c>
      <x:c r="D2173" s="31" t="str">
        <x:v>QN1102</x:v>
      </x:c>
      <x:c r="E2173" s="31" t="str">
        <x:v>Bayside</x:v>
      </x:c>
      <x:c r="F2173" s="31" t="n">
        <x:v>0.14453883685971936</x:v>
      </x:c>
      <x:c r="G2173" s="31" t="n">
        <x:v>40.7481687990681</x:v>
      </x:c>
      <x:c r="H2173" s="31" t="n">
        <x:v>-73.76960198318135</x:v>
      </x:c>
      <x:c r="I2173" s="31" t="n">
        <x:v>2406</x:v>
      </x:c>
      <x:c r="J2173" s="31" t="n">
        <x:v>16646.045120282226</x:v>
      </x:c>
      <x:c r="K2173" s="31"/>
      <x:c r="L2173" s="40"/>
      <x:c r="M2173" s="40"/>
      <x:c r="N2173" s="31" t="n">
        <x:v>728</x:v>
      </x:c>
      <x:c r="O2173" s="31" t="n">
        <x:v>784</x:v>
      </x:c>
      <x:c r="P2173" s="31" t="n">
        <x:v>1.8459438775510204</x:v>
      </x:c>
      <x:c r="Q2173" s="40" t="n">
        <x:v>0</x:v>
      </x:c>
      <x:c r="R2173" s="40" t="n">
        <x:v>0.012755102040816327</x:v>
      </x:c>
      <x:c r="S2173" s="40" t="n">
        <x:v>0</x:v>
      </x:c>
      <x:c r="T2173" s="31" t="n">
        <x:v>24.271632012736575</x:v>
      </x:c>
      <x:c r="U2173" s="31" t="n">
        <x:v>34.79222005</x:v>
      </x:c>
      <x:c r="V2173" s="31" t="n">
        <x:v>0</x:v>
      </x:c>
      <x:c r="W2173" s="31" t="n">
        <x:v>0</x:v>
      </x:c>
      <x:c r="X2173" s="31" t="n">
        <x:v>2</x:v>
      </x:c>
      <x:c r="Y2173" s="40" t="n">
        <x:v>0</x:v>
      </x:c>
      <x:c r="Z2173" s="40" t="n">
        <x:v>1</x:v>
      </x:c>
      <x:c r="AA2173" s="40" t="n">
        <x:v>0.9974489795918368</x:v>
      </x:c>
      <x:c r="AB2173" s="31" t="n">
        <x:v>0.257673805781793</x:v>
      </x:c>
      <x:c r="AC2173" s="31" t="n">
        <x:v>5</x:v>
      </x:c>
      <x:c r="AD2173" s="44" t="b">
        <x:v>1</x:v>
      </x:c>
    </x:row>
    <x:row r="2174">
      <x:c r="A2174" s="31" t="str">
        <x:v>36081140901</x:v>
      </x:c>
      <x:c r="B2174" s="31" t="str">
        <x:v>Queens</x:v>
      </x:c>
      <x:c r="C2174" s="31" t="str">
        <x:v>140901</x:v>
      </x:c>
      <x:c r="D2174" s="31" t="str">
        <x:v>QN1101</x:v>
      </x:c>
      <x:c r="E2174" s="31" t="str">
        <x:v>Auburndale</x:v>
      </x:c>
      <x:c r="F2174" s="31" t="n">
        <x:v>0.09443134472853536</x:v>
      </x:c>
      <x:c r="G2174" s="31" t="n">
        <x:v>40.74653578442056</x:v>
      </x:c>
      <x:c r="H2174" s="31" t="n">
        <x:v>-73.7748961052702</x:v>
      </x:c>
      <x:c r="I2174" s="31" t="n">
        <x:v>1020</x:v>
      </x:c>
      <x:c r="J2174" s="31" t="n">
        <x:v>10801.498198847266</x:v>
      </x:c>
      <x:c r="K2174" s="31"/>
      <x:c r="L2174" s="40"/>
      <x:c r="M2174" s="40"/>
      <x:c r="N2174" s="31" t="n">
        <x:v>270</x:v>
      </x:c>
      <x:c r="O2174" s="31" t="n">
        <x:v>322</x:v>
      </x:c>
      <x:c r="P2174" s="31" t="n">
        <x:v>1.7164906832298137</x:v>
      </x:c>
      <x:c r="Q2174" s="40" t="n">
        <x:v>0</x:v>
      </x:c>
      <x:c r="R2174" s="40" t="n">
        <x:v>0</x:v>
      </x:c>
      <x:c r="S2174" s="40" t="n">
        <x:v>0.08695652173913043</x:v>
      </x:c>
      <x:c r="T2174" s="31" t="n">
        <x:v>23.023201259844722</x:v>
      </x:c>
      <x:c r="U2174" s="31" t="n">
        <x:v>32.78974898</x:v>
      </x:c>
      <x:c r="V2174" s="31" t="n">
        <x:v>0</x:v>
      </x:c>
      <x:c r="W2174" s="31" t="n">
        <x:v>0</x:v>
      </x:c>
      <x:c r="X2174" s="31" t="n">
        <x:v>2</x:v>
      </x:c>
      <x:c r="Y2174" s="40" t="n">
        <x:v>0</x:v>
      </x:c>
      <x:c r="Z2174" s="40" t="n">
        <x:v>1</x:v>
      </x:c>
      <x:c r="AA2174" s="40" t="n">
        <x:v>1</x:v>
      </x:c>
      <x:c r="AB2174" s="31" t="n">
        <x:v>0.18267558752172955</x:v>
      </x:c>
      <x:c r="AC2174" s="31" t="n">
        <x:v>7</x:v>
      </x:c>
      <x:c r="AD2174" s="44" t="b">
        <x:v>1</x:v>
      </x:c>
    </x:row>
    <x:row r="2175">
      <x:c r="A2175" s="31" t="str">
        <x:v>36081140902</x:v>
      </x:c>
      <x:c r="B2175" s="31" t="str">
        <x:v>Queens</x:v>
      </x:c>
      <x:c r="C2175" s="31" t="str">
        <x:v>140902</x:v>
      </x:c>
      <x:c r="D2175" s="31" t="str">
        <x:v>QN1101</x:v>
      </x:c>
      <x:c r="E2175" s="31" t="str">
        <x:v>Auburndale</x:v>
      </x:c>
      <x:c r="F2175" s="31" t="n">
        <x:v>0.20753913062263257</x:v>
      </x:c>
      <x:c r="G2175" s="31" t="n">
        <x:v>40.744911469679586</x:v>
      </x:c>
      <x:c r="H2175" s="31" t="n">
        <x:v>-73.78215451223821</x:v>
      </x:c>
      <x:c r="I2175" s="31" t="n">
        <x:v>2906</x:v>
      </x:c>
      <x:c r="J2175" s="31" t="n">
        <x:v>14002.178727846587</x:v>
      </x:c>
      <x:c r="K2175" s="31"/>
      <x:c r="L2175" s="40"/>
      <x:c r="M2175" s="40"/>
      <x:c r="N2175" s="31" t="n">
        <x:v>716</x:v>
      </x:c>
      <x:c r="O2175" s="31" t="n">
        <x:v>886</x:v>
      </x:c>
      <x:c r="P2175" s="31" t="n">
        <x:v>1.8420654627539503</x:v>
      </x:c>
      <x:c r="Q2175" s="40" t="n">
        <x:v>0</x:v>
      </x:c>
      <x:c r="R2175" s="40" t="n">
        <x:v>0.007900677200902935</x:v>
      </x:c>
      <x:c r="S2175" s="40" t="n">
        <x:v>0.003386004514672686</x:v>
      </x:c>
      <x:c r="T2175" s="31" t="n">
        <x:v>24.37186297318594</x:v>
      </x:c>
      <x:c r="U2175" s="31" t="n">
        <x:v>35</x:v>
      </x:c>
      <x:c r="V2175" s="31" t="n">
        <x:v>1</x:v>
      </x:c>
      <x:c r="W2175" s="31" t="n">
        <x:v>0.3441156228492773</x:v>
      </x:c>
      <x:c r="X2175" s="31" t="n">
        <x:v>2</x:v>
      </x:c>
      <x:c r="Y2175" s="40" t="n">
        <x:v>0</x:v>
      </x:c>
      <x:c r="Z2175" s="40" t="n">
        <x:v>1</x:v>
      </x:c>
      <x:c r="AA2175" s="40" t="n">
        <x:v>0.9954853273137697</x:v>
      </x:c>
      <x:c r="AB2175" s="31" t="n">
        <x:v>0.2313784140431842</x:v>
      </x:c>
      <x:c r="AC2175" s="31" t="n">
        <x:v>8</x:v>
      </x:c>
      <x:c r="AD2175" s="44" t="b">
        <x:v>1</x:v>
      </x:c>
    </x:row>
    <x:row r="2176">
      <x:c r="A2176" s="31" t="str">
        <x:v>36081141700</x:v>
      </x:c>
      <x:c r="B2176" s="31" t="str">
        <x:v>Queens</x:v>
      </x:c>
      <x:c r="C2176" s="31" t="str">
        <x:v>141700</x:v>
      </x:c>
      <x:c r="D2176" s="31" t="str">
        <x:v>QN1101</x:v>
      </x:c>
      <x:c r="E2176" s="31" t="str">
        <x:v>Auburndale</x:v>
      </x:c>
      <x:c r="F2176" s="31" t="n">
        <x:v>0.3446304295120954</x:v>
      </x:c>
      <x:c r="G2176" s="31" t="n">
        <x:v>40.74480936907211</x:v>
      </x:c>
      <x:c r="H2176" s="31" t="n">
        <x:v>-73.79172047447102</x:v>
      </x:c>
      <x:c r="I2176" s="31" t="n">
        <x:v>4975</x:v>
      </x:c>
      <x:c r="J2176" s="31" t="n">
        <x:v>14435.753705914103</x:v>
      </x:c>
      <x:c r="K2176" s="31"/>
      <x:c r="L2176" s="40"/>
      <x:c r="M2176" s="40"/>
      <x:c r="N2176" s="31" t="n">
        <x:v>1196</x:v>
      </x:c>
      <x:c r="O2176" s="31" t="n">
        <x:v>1570</x:v>
      </x:c>
      <x:c r="P2176" s="31" t="n">
        <x:v>1.8382369534555711</x:v>
      </x:c>
      <x:c r="Q2176" s="40" t="n">
        <x:v>0</x:v>
      </x:c>
      <x:c r="R2176" s="40" t="n">
        <x:v>0.05159235668789809</x:v>
      </x:c>
      <x:c r="S2176" s="40" t="n">
        <x:v>0.1159235668789809</x:v>
      </x:c>
      <x:c r="T2176" s="31" t="n">
        <x:v>25.24510101739796</x:v>
      </x:c>
      <x:c r="U2176" s="31" t="n">
        <x:v>43.04706549</x:v>
      </x:c>
      <x:c r="V2176" s="31" t="n">
        <x:v>0</x:v>
      </x:c>
      <x:c r="W2176" s="31" t="n">
        <x:v>0</x:v>
      </x:c>
      <x:c r="X2176" s="31" t="n">
        <x:v>2.1872611464968155</x:v>
      </x:c>
      <x:c r="Y2176" s="40" t="n">
        <x:v>0</x:v>
      </x:c>
      <x:c r="Z2176" s="40" t="n">
        <x:v>1</x:v>
      </x:c>
      <x:c r="AA2176" s="40" t="n">
        <x:v>0.9987261146496815</x:v>
      </x:c>
      <x:c r="AB2176" s="31" t="n">
        <x:v>0.25352048576425745</x:v>
      </x:c>
      <x:c r="AC2176" s="31" t="n">
        <x:v>10</x:v>
      </x:c>
      <x:c r="AD2176" s="44" t="b">
        <x:v>1</x:v>
      </x:c>
    </x:row>
    <x:row r="2177">
      <x:c r="A2177" s="31" t="str">
        <x:v>36081142900</x:v>
      </x:c>
      <x:c r="B2177" s="31" t="str">
        <x:v>Queens</x:v>
      </x:c>
      <x:c r="C2177" s="31" t="str">
        <x:v>142900</x:v>
      </x:c>
      <x:c r="D2177" s="31" t="str">
        <x:v>QN1101</x:v>
      </x:c>
      <x:c r="E2177" s="31" t="str">
        <x:v>Auburndale</x:v>
      </x:c>
      <x:c r="F2177" s="31" t="n">
        <x:v>0.20519256783459597</x:v>
      </x:c>
      <x:c r="G2177" s="31" t="n">
        <x:v>40.751070355410015</x:v>
      </x:c>
      <x:c r="H2177" s="31" t="n">
        <x:v>-73.78452909016487</x:v>
      </x:c>
      <x:c r="I2177" s="31" t="n">
        <x:v>3897</x:v>
      </x:c>
      <x:c r="J2177" s="31" t="n">
        <x:v>18991.915940841187</x:v>
      </x:c>
      <x:c r="K2177" s="31"/>
      <x:c r="L2177" s="40"/>
      <x:c r="M2177" s="40"/>
      <x:c r="N2177" s="31" t="n">
        <x:v>1021</x:v>
      </x:c>
      <x:c r="O2177" s="31" t="n">
        <x:v>1317</x:v>
      </x:c>
      <x:c r="P2177" s="31" t="n">
        <x:v>1.917410782080486</x:v>
      </x:c>
      <x:c r="Q2177" s="40" t="n">
        <x:v>0</x:v>
      </x:c>
      <x:c r="R2177" s="40" t="n">
        <x:v>0.037965072133637055</x:v>
      </x:c>
      <x:c r="S2177" s="40" t="n">
        <x:v>0.002277904328018223</x:v>
      </x:c>
      <x:c r="T2177" s="31" t="n">
        <x:v>25.304546607826087</x:v>
      </x:c>
      <x:c r="U2177" s="31" t="n">
        <x:v>39.31693925</x:v>
      </x:c>
      <x:c r="V2177" s="31" t="n">
        <x:v>0</x:v>
      </x:c>
      <x:c r="W2177" s="31" t="n">
        <x:v>0</x:v>
      </x:c>
      <x:c r="X2177" s="31" t="n">
        <x:v>2.53454821564161</x:v>
      </x:c>
      <x:c r="Y2177" s="40" t="n">
        <x:v>0</x:v>
      </x:c>
      <x:c r="Z2177" s="40" t="n">
        <x:v>1</x:v>
      </x:c>
      <x:c r="AA2177" s="40" t="n">
        <x:v>0.9954441913439636</x:v>
      </x:c>
      <x:c r="AB2177" s="31" t="n">
        <x:v>0.4372623677847029</x:v>
      </x:c>
      <x:c r="AC2177" s="31" t="n">
        <x:v>7</x:v>
      </x:c>
      <x:c r="AD2177" s="44" t="b">
        <x:v>1</x:v>
      </x:c>
    </x:row>
    <x:row r="2178">
      <x:c r="A2178" s="31" t="str">
        <x:v>36081143500</x:v>
      </x:c>
      <x:c r="B2178" s="31" t="str">
        <x:v>Queens</x:v>
      </x:c>
      <x:c r="C2178" s="31" t="str">
        <x:v>143500</x:v>
      </x:c>
      <x:c r="D2178" s="31" t="str">
        <x:v>QN1102</x:v>
      </x:c>
      <x:c r="E2178" s="31" t="str">
        <x:v>Bayside</x:v>
      </x:c>
      <x:c r="F2178" s="31" t="n">
        <x:v>0.13786893940505912</x:v>
      </x:c>
      <x:c r="G2178" s="31" t="n">
        <x:v>40.75291024108</x:v>
      </x:c>
      <x:c r="H2178" s="31" t="n">
        <x:v>-73.77028964134348</x:v>
      </x:c>
      <x:c r="I2178" s="31" t="n">
        <x:v>2364</x:v>
      </x:c>
      <x:c r="J2178" s="31" t="n">
        <x:v>17146.719269773774</x:v>
      </x:c>
      <x:c r="K2178" s="31"/>
      <x:c r="L2178" s="40"/>
      <x:c r="M2178" s="40"/>
      <x:c r="N2178" s="31" t="n">
        <x:v>624</x:v>
      </x:c>
      <x:c r="O2178" s="31" t="n">
        <x:v>765</x:v>
      </x:c>
      <x:c r="P2178" s="31" t="n">
        <x:v>2.0787712418300655</x:v>
      </x:c>
      <x:c r="Q2178" s="40" t="n">
        <x:v>0</x:v>
      </x:c>
      <x:c r="R2178" s="40" t="n">
        <x:v>0.00261437908496732</x:v>
      </x:c>
      <x:c r="S2178" s="40" t="n">
        <x:v>0.00130718954248366</x:v>
      </x:c>
      <x:c r="T2178" s="31" t="n">
        <x:v>26.54296123779085</x:v>
      </x:c>
      <x:c r="U2178" s="31" t="n">
        <x:v>36.6417684</x:v>
      </x:c>
      <x:c r="V2178" s="31" t="n">
        <x:v>0</x:v>
      </x:c>
      <x:c r="W2178" s="31" t="n">
        <x:v>0</x:v>
      </x:c>
      <x:c r="X2178" s="31" t="n">
        <x:v>2</x:v>
      </x:c>
      <x:c r="Y2178" s="40" t="n">
        <x:v>0</x:v>
      </x:c>
      <x:c r="Z2178" s="40" t="n">
        <x:v>1</x:v>
      </x:c>
      <x:c r="AA2178" s="40" t="n">
        <x:v>1</x:v>
      </x:c>
      <x:c r="AB2178" s="31" t="n">
        <x:v>0.16128160765662009</x:v>
      </x:c>
      <x:c r="AC2178" s="31" t="n">
        <x:v>6</x:v>
      </x:c>
      <x:c r="AD2178" s="44" t="b">
        <x:v>1</x:v>
      </x:c>
    </x:row>
    <x:row r="2179">
      <x:c r="A2179" s="31" t="str">
        <x:v>36081144100</x:v>
      </x:c>
      <x:c r="B2179" s="31" t="str">
        <x:v>Queens</x:v>
      </x:c>
      <x:c r="C2179" s="31" t="str">
        <x:v>144100</x:v>
      </x:c>
      <x:c r="D2179" s="31" t="str">
        <x:v>QN1102</x:v>
      </x:c>
      <x:c r="E2179" s="31" t="str">
        <x:v>Bayside</x:v>
      </x:c>
      <x:c r="F2179" s="31" t="n">
        <x:v>0.13024372908703513</x:v>
      </x:c>
      <x:c r="G2179" s="31" t="n">
        <x:v>40.7556684035524</x:v>
      </x:c>
      <x:c r="H2179" s="31" t="n">
        <x:v>-73.76382208304341</x:v>
      </x:c>
      <x:c r="I2179" s="31" t="n">
        <x:v>2957</x:v>
      </x:c>
      <x:c r="J2179" s="31" t="n">
        <x:v>22703.5882704494</x:v>
      </x:c>
      <x:c r="K2179" s="31"/>
      <x:c r="L2179" s="40"/>
      <x:c r="M2179" s="40"/>
      <x:c r="N2179" s="31" t="n">
        <x:v>586</x:v>
      </x:c>
      <x:c r="O2179" s="31" t="n">
        <x:v>1198</x:v>
      </x:c>
      <x:c r="P2179" s="31" t="n">
        <x:v>2.459699499165276</x:v>
      </x:c>
      <x:c r="Q2179" s="40" t="n">
        <x:v>0</x:v>
      </x:c>
      <x:c r="R2179" s="40" t="n">
        <x:v>0.5008347245409015</x:v>
      </x:c>
      <x:c r="S2179" s="40" t="n">
        <x:v>0.39565943238731216</x:v>
      </x:c>
      <x:c r="T2179" s="31" t="n">
        <x:v>29.07589089239766</x:v>
      </x:c>
      <x:c r="U2179" s="31" t="n">
        <x:v>37.25</x:v>
      </x:c>
      <x:c r="V2179" s="31" t="n">
        <x:v>0</x:v>
      </x:c>
      <x:c r="W2179" s="31" t="n">
        <x:v>0</x:v>
      </x:c>
      <x:c r="X2179" s="31" t="n">
        <x:v>2</x:v>
      </x:c>
      <x:c r="Y2179" s="40" t="n">
        <x:v>0</x:v>
      </x:c>
      <x:c r="Z2179" s="40" t="n">
        <x:v>1</x:v>
      </x:c>
      <x:c r="AA2179" s="40" t="n">
        <x:v>0.9991652754590985</x:v>
      </x:c>
      <x:c r="AB2179" s="31" t="n">
        <x:v>0.2450889335837791</x:v>
      </x:c>
      <x:c r="AC2179" s="31" t="n">
        <x:v>5</x:v>
      </x:c>
      <x:c r="AD2179" s="44" t="b">
        <x:v>1</x:v>
      </x:c>
    </x:row>
    <x:row r="2180">
      <x:c r="A2180" s="31" t="str">
        <x:v>36081144700</x:v>
      </x:c>
      <x:c r="B2180" s="31" t="str">
        <x:v>Queens</x:v>
      </x:c>
      <x:c r="C2180" s="31" t="str">
        <x:v>144700</x:v>
      </x:c>
      <x:c r="D2180" s="31" t="str">
        <x:v>QN1102</x:v>
      </x:c>
      <x:c r="E2180" s="31" t="str">
        <x:v>Bayside</x:v>
      </x:c>
      <x:c r="F2180" s="31" t="n">
        <x:v>0.15987247909456784</x:v>
      </x:c>
      <x:c r="G2180" s="31" t="n">
        <x:v>40.75686699044453</x:v>
      </x:c>
      <x:c r="H2180" s="31" t="n">
        <x:v>-73.77246818365562</x:v>
      </x:c>
      <x:c r="I2180" s="31" t="n">
        <x:v>3131</x:v>
      </x:c>
      <x:c r="J2180" s="31" t="n">
        <x:v>19584.358844826253</x:v>
      </x:c>
      <x:c r="K2180" s="31"/>
      <x:c r="L2180" s="40"/>
      <x:c r="M2180" s="40"/>
      <x:c r="N2180" s="31" t="n">
        <x:v>675</x:v>
      </x:c>
      <x:c r="O2180" s="31" t="n">
        <x:v>1059</x:v>
      </x:c>
      <x:c r="P2180" s="31" t="n">
        <x:v>2.0489004739336494</x:v>
      </x:c>
      <x:c r="Q2180" s="40" t="n">
        <x:v>0</x:v>
      </x:c>
      <x:c r="R2180" s="40" t="n">
        <x:v>0.05476864966949953</x:v>
      </x:c>
      <x:c r="S2180" s="40" t="n">
        <x:v>0.009442870632672332</x:v>
      </x:c>
      <x:c r="T2180" s="31" t="n">
        <x:v>24.65431380846821</x:v>
      </x:c>
      <x:c r="U2180" s="31" t="n">
        <x:v>39.53</x:v>
      </x:c>
      <x:c r="V2180" s="31" t="n">
        <x:v>4</x:v>
      </x:c>
      <x:c r="W2180" s="31" t="n">
        <x:v>1.2775471095496647</x:v>
      </x:c>
      <x:c r="X2180" s="31" t="n">
        <x:v>2</x:v>
      </x:c>
      <x:c r="Y2180" s="40" t="n">
        <x:v>0</x:v>
      </x:c>
      <x:c r="Z2180" s="40" t="n">
        <x:v>1</x:v>
      </x:c>
      <x:c r="AA2180" s="40" t="n">
        <x:v>0.9801699716713881</x:v>
      </x:c>
      <x:c r="AB2180" s="31" t="n">
        <x:v>0.040355509486813275</x:v>
      </x:c>
      <x:c r="AC2180" s="31" t="n">
        <x:v>6</x:v>
      </x:c>
      <x:c r="AD2180" s="44" t="b">
        <x:v>1</x:v>
      </x:c>
    </x:row>
    <x:row r="2181">
      <x:c r="A2181" s="31" t="str">
        <x:v>36081145101</x:v>
      </x:c>
      <x:c r="B2181" s="31" t="str">
        <x:v>Queens</x:v>
      </x:c>
      <x:c r="C2181" s="31" t="str">
        <x:v>145101</x:v>
      </x:c>
      <x:c r="D2181" s="31" t="str">
        <x:v>QN1101</x:v>
      </x:c>
      <x:c r="E2181" s="31" t="str">
        <x:v>Auburndale</x:v>
      </x:c>
      <x:c r="F2181" s="31" t="n">
        <x:v>0.0970052147293245</x:v>
      </x:c>
      <x:c r="G2181" s="31" t="n">
        <x:v>40.75514089038741</x:v>
      </x:c>
      <x:c r="H2181" s="31" t="n">
        <x:v>-73.7846879987286</x:v>
      </x:c>
      <x:c r="I2181" s="31" t="n">
        <x:v>1501</x:v>
      </x:c>
      <x:c r="J2181" s="31" t="n">
        <x:v>15473.394952923603</x:v>
      </x:c>
      <x:c r="K2181" s="31"/>
      <x:c r="L2181" s="40"/>
      <x:c r="M2181" s="40"/>
      <x:c r="N2181" s="31" t="n">
        <x:v>362</x:v>
      </x:c>
      <x:c r="O2181" s="31" t="n">
        <x:v>503</x:v>
      </x:c>
      <x:c r="P2181" s="31" t="n">
        <x:v>1.8344333996023858</x:v>
      </x:c>
      <x:c r="Q2181" s="40" t="n">
        <x:v>0</x:v>
      </x:c>
      <x:c r="R2181" s="40" t="n">
        <x:v>0.003976143141153081</x:v>
      </x:c>
      <x:c r="S2181" s="40" t="n">
        <x:v>0</x:v>
      </x:c>
      <x:c r="T2181" s="31" t="n">
        <x:v>25.559248177852883</x:v>
      </x:c>
      <x:c r="U2181" s="31" t="n">
        <x:v>36.71</x:v>
      </x:c>
      <x:c r="V2181" s="31" t="n">
        <x:v>0</x:v>
      </x:c>
      <x:c r="W2181" s="31" t="n">
        <x:v>0</x:v>
      </x:c>
      <x:c r="X2181" s="31" t="n">
        <x:v>2.9980119284294235</x:v>
      </x:c>
      <x:c r="Y2181" s="40" t="n">
        <x:v>0</x:v>
      </x:c>
      <x:c r="Z2181" s="40" t="n">
        <x:v>1</x:v>
      </x:c>
      <x:c r="AA2181" s="40" t="n">
        <x:v>1</x:v>
      </x:c>
      <x:c r="AB2181" s="31" t="n">
        <x:v>0.1676727119066098</x:v>
      </x:c>
      <x:c r="AC2181" s="31" t="n">
        <x:v>4</x:v>
      </x:c>
      <x:c r="AD2181" s="44" t="b">
        <x:v>1</x:v>
      </x:c>
    </x:row>
    <x:row r="2182">
      <x:c r="A2182" s="31" t="str">
        <x:v>36081145102</x:v>
      </x:c>
      <x:c r="B2182" s="31" t="str">
        <x:v>Queens</x:v>
      </x:c>
      <x:c r="C2182" s="31" t="str">
        <x:v>145102</x:v>
      </x:c>
      <x:c r="D2182" s="31" t="str">
        <x:v>QN1101</x:v>
      </x:c>
      <x:c r="E2182" s="31" t="str">
        <x:v>Auburndale</x:v>
      </x:c>
      <x:c r="F2182" s="31" t="n">
        <x:v>0.13216509297197832</x:v>
      </x:c>
      <x:c r="G2182" s="31" t="n">
        <x:v>40.75322641309266</x:v>
      </x:c>
      <x:c r="H2182" s="31" t="n">
        <x:v>-73.77815066347571</x:v>
      </x:c>
      <x:c r="I2182" s="31" t="n">
        <x:v>2597</x:v>
      </x:c>
      <x:c r="J2182" s="31" t="n">
        <x:v>19649.666501204043</x:v>
      </x:c>
      <x:c r="K2182" s="31"/>
      <x:c r="L2182" s="40"/>
      <x:c r="M2182" s="40"/>
      <x:c r="N2182" s="31" t="n">
        <x:v>585</x:v>
      </x:c>
      <x:c r="O2182" s="31" t="n">
        <x:v>880</x:v>
      </x:c>
      <x:c r="P2182" s="31" t="n">
        <x:v>2.0412826603325414</x:v>
      </x:c>
      <x:c r="Q2182" s="40" t="n">
        <x:v>0</x:v>
      </x:c>
      <x:c r="R2182" s="40" t="n">
        <x:v>0.011363636363636364</x:v>
      </x:c>
      <x:c r="S2182" s="40" t="n">
        <x:v>0.07613636363636364</x:v>
      </x:c>
      <x:c r="T2182" s="31" t="n">
        <x:v>26.46738569971461</x:v>
      </x:c>
      <x:c r="U2182" s="31" t="n">
        <x:v>36.52</x:v>
      </x:c>
      <x:c r="V2182" s="31" t="n">
        <x:v>1</x:v>
      </x:c>
      <x:c r="W2182" s="31" t="n">
        <x:v>0.3850596842510589</x:v>
      </x:c>
      <x:c r="X2182" s="31" t="n">
        <x:v>2</x:v>
      </x:c>
      <x:c r="Y2182" s="40" t="n">
        <x:v>0</x:v>
      </x:c>
      <x:c r="Z2182" s="40" t="n">
        <x:v>1</x:v>
      </x:c>
      <x:c r="AA2182" s="40" t="n">
        <x:v>0.9954545454545455</x:v>
      </x:c>
      <x:c r="AB2182" s="31" t="n">
        <x:v>0.31603877761614896</x:v>
      </x:c>
      <x:c r="AC2182" s="31" t="n">
        <x:v>8</x:v>
      </x:c>
      <x:c r="AD2182" s="44" t="b">
        <x:v>1</x:v>
      </x:c>
    </x:row>
    <x:row r="2183">
      <x:c r="A2183" s="31" t="str">
        <x:v>36081145900</x:v>
      </x:c>
      <x:c r="B2183" s="31" t="str">
        <x:v>Queens</x:v>
      </x:c>
      <x:c r="C2183" s="31" t="str">
        <x:v>145900</x:v>
      </x:c>
      <x:c r="D2183" s="31" t="str">
        <x:v>QN1101</x:v>
      </x:c>
      <x:c r="E2183" s="31" t="str">
        <x:v>Auburndale</x:v>
      </x:c>
      <x:c r="F2183" s="31" t="n">
        <x:v>0.14374007771536387</x:v>
      </x:c>
      <x:c r="G2183" s="31" t="n">
        <x:v>40.75420956173472</x:v>
      </x:c>
      <x:c r="H2183" s="31" t="n">
        <x:v>-73.79194882650097</x:v>
      </x:c>
      <x:c r="I2183" s="31" t="n">
        <x:v>2870</x:v>
      </x:c>
      <x:c r="J2183" s="31" t="n">
        <x:v>19966.595577353273</x:v>
      </x:c>
      <x:c r="K2183" s="31"/>
      <x:c r="L2183" s="40"/>
      <x:c r="M2183" s="40"/>
      <x:c r="N2183" s="31" t="n">
        <x:v>739</x:v>
      </x:c>
      <x:c r="O2183" s="31" t="n">
        <x:v>976</x:v>
      </x:c>
      <x:c r="P2183" s="31" t="n">
        <x:v>2.138562628336756</x:v>
      </x:c>
      <x:c r="Q2183" s="40" t="n">
        <x:v>0</x:v>
      </x:c>
      <x:c r="R2183" s="40" t="n">
        <x:v>0.03381147540983607</x:v>
      </x:c>
      <x:c r="S2183" s="40" t="n">
        <x:v>0.010245901639344262</x:v>
      </x:c>
      <x:c r="T2183" s="31" t="n">
        <x:v>27.812786145627573</x:v>
      </x:c>
      <x:c r="U2183" s="31" t="n">
        <x:v>37.10773786</x:v>
      </x:c>
      <x:c r="V2183" s="31" t="n">
        <x:v>1</x:v>
      </x:c>
      <x:c r="W2183" s="31" t="n">
        <x:v>0.34843205574912894</x:v>
      </x:c>
      <x:c r="X2183" s="31" t="n">
        <x:v>3</x:v>
      </x:c>
      <x:c r="Y2183" s="40" t="n">
        <x:v>0</x:v>
      </x:c>
      <x:c r="Z2183" s="40" t="n">
        <x:v>1</x:v>
      </x:c>
      <x:c r="AA2183" s="40" t="n">
        <x:v>0.9959016393442623</x:v>
      </x:c>
      <x:c r="AB2183" s="31" t="n">
        <x:v>0.40133363237691266</x:v>
      </x:c>
      <x:c r="AC2183" s="31" t="n">
        <x:v>7</x:v>
      </x:c>
      <x:c r="AD2183" s="44" t="b">
        <x:v>1</x:v>
      </x:c>
    </x:row>
    <x:row r="2184">
      <x:c r="A2184" s="31" t="str">
        <x:v>36081146300</x:v>
      </x:c>
      <x:c r="B2184" s="31" t="str">
        <x:v>Queens</x:v>
      </x:c>
      <x:c r="C2184" s="31" t="str">
        <x:v>146300</x:v>
      </x:c>
      <x:c r="D2184" s="31" t="str">
        <x:v>QN1101</x:v>
      </x:c>
      <x:c r="E2184" s="31" t="str">
        <x:v>Auburndale</x:v>
      </x:c>
      <x:c r="F2184" s="31" t="n">
        <x:v>0.12470846229195362</x:v>
      </x:c>
      <x:c r="G2184" s="31" t="n">
        <x:v>40.75945756406838</x:v>
      </x:c>
      <x:c r="H2184" s="31" t="n">
        <x:v>-73.78109888847287</x:v>
      </x:c>
      <x:c r="I2184" s="31" t="n">
        <x:v>2929</x:v>
      </x:c>
      <x:c r="J2184" s="31" t="n">
        <x:v>23486.778252007873</x:v>
      </x:c>
      <x:c r="K2184" s="31"/>
      <x:c r="L2184" s="40"/>
      <x:c r="M2184" s="40"/>
      <x:c r="N2184" s="31" t="n">
        <x:v>400</x:v>
      </x:c>
      <x:c r="O2184" s="31" t="n">
        <x:v>1023</x:v>
      </x:c>
      <x:c r="P2184" s="31" t="n">
        <x:v>2.554021526418787</x:v>
      </x:c>
      <x:c r="Q2184" s="40" t="n">
        <x:v>0</x:v>
      </x:c>
      <x:c r="R2184" s="40" t="n">
        <x:v>0.4027370478983382</x:v>
      </x:c>
      <x:c r="S2184" s="40" t="n">
        <x:v>0.10068426197458455</x:v>
      </x:c>
      <x:c r="T2184" s="31" t="n">
        <x:v>30.85654247147059</x:v>
      </x:c>
      <x:c r="U2184" s="31" t="n">
        <x:v>46.94</x:v>
      </x:c>
      <x:c r="V2184" s="31" t="n">
        <x:v>1</x:v>
      </x:c>
      <x:c r="W2184" s="31" t="n">
        <x:v>0.3414134516899966</x:v>
      </x:c>
      <x:c r="X2184" s="31" t="n">
        <x:v>2</x:v>
      </x:c>
      <x:c r="Y2184" s="40" t="n">
        <x:v>0</x:v>
      </x:c>
      <x:c r="Z2184" s="40" t="n">
        <x:v>1</x:v>
      </x:c>
      <x:c r="AA2184" s="40" t="n">
        <x:v>0.9970674486803519</x:v>
      </x:c>
      <x:c r="AB2184" s="31" t="n">
        <x:v>0.15521527589155845</x:v>
      </x:c>
      <x:c r="AC2184" s="31" t="n">
        <x:v>7</x:v>
      </x:c>
      <x:c r="AD2184" s="44" t="b">
        <x:v>1</x:v>
      </x:c>
    </x:row>
    <x:row r="2185">
      <x:c r="A2185" s="31" t="str">
        <x:v>36081146700</x:v>
      </x:c>
      <x:c r="B2185" s="31" t="str">
        <x:v>Queens</x:v>
      </x:c>
      <x:c r="C2185" s="31" t="str">
        <x:v>146700</x:v>
      </x:c>
      <x:c r="D2185" s="31" t="str">
        <x:v>QN1102</x:v>
      </x:c>
      <x:c r="E2185" s="31" t="str">
        <x:v>Bayside</x:v>
      </x:c>
      <x:c r="F2185" s="31" t="n">
        <x:v>0.136565395087236</x:v>
      </x:c>
      <x:c r="G2185" s="31" t="n">
        <x:v>40.76120229309663</x:v>
      </x:c>
      <x:c r="H2185" s="31" t="n">
        <x:v>-73.77321347356657</x:v>
      </x:c>
      <x:c r="I2185" s="31" t="n">
        <x:v>2807</x:v>
      </x:c>
      <x:c r="J2185" s="31" t="n">
        <x:v>20554.25533098578</x:v>
      </x:c>
      <x:c r="K2185" s="31"/>
      <x:c r="L2185" s="40"/>
      <x:c r="M2185" s="40"/>
      <x:c r="N2185" s="31" t="n">
        <x:v>339</x:v>
      </x:c>
      <x:c r="O2185" s="31" t="n">
        <x:v>1344</x:v>
      </x:c>
      <x:c r="P2185" s="31" t="n">
        <x:v>2.7532369038311177</x:v>
      </x:c>
      <x:c r="Q2185" s="40" t="n">
        <x:v>0</x:v>
      </x:c>
      <x:c r="R2185" s="40" t="n">
        <x:v>0.6123511904761905</x:v>
      </x:c>
      <x:c r="S2185" s="40" t="n">
        <x:v>0.30580357142857145</x:v>
      </x:c>
      <x:c r="T2185" s="31" t="n">
        <x:v>33.08687186283482</x:v>
      </x:c>
      <x:c r="U2185" s="31" t="n">
        <x:v>82.51</x:v>
      </x:c>
      <x:c r="V2185" s="31" t="n">
        <x:v>8</x:v>
      </x:c>
      <x:c r="W2185" s="31" t="n">
        <x:v>2.8500178126113287</x:v>
      </x:c>
      <x:c r="X2185" s="31" t="n">
        <x:v>2</x:v>
      </x:c>
      <x:c r="Y2185" s="40" t="n">
        <x:v>0</x:v>
      </x:c>
      <x:c r="Z2185" s="40" t="n">
        <x:v>1</x:v>
      </x:c>
      <x:c r="AA2185" s="40" t="n">
        <x:v>1</x:v>
      </x:c>
      <x:c r="AB2185" s="31" t="n">
        <x:v>0.26499740802475796</x:v>
      </x:c>
      <x:c r="AC2185" s="31" t="n">
        <x:v>8</x:v>
      </x:c>
      <x:c r="AD2185" s="44" t="b">
        <x:v>1</x:v>
      </x:c>
    </x:row>
    <x:row r="2186">
      <x:c r="A2186" s="31" t="str">
        <x:v>36081147100</x:v>
      </x:c>
      <x:c r="B2186" s="31" t="str">
        <x:v>Queens</x:v>
      </x:c>
      <x:c r="C2186" s="31" t="str">
        <x:v>147100</x:v>
      </x:c>
      <x:c r="D2186" s="31" t="str">
        <x:v>QN1102</x:v>
      </x:c>
      <x:c r="E2186" s="31" t="str">
        <x:v>Bayside</x:v>
      </x:c>
      <x:c r="F2186" s="31" t="n">
        <x:v>0.16289844532935893</x:v>
      </x:c>
      <x:c r="G2186" s="31" t="n">
        <x:v>40.76146984855529</x:v>
      </x:c>
      <x:c r="H2186" s="31" t="n">
        <x:v>-73.76343949821846</x:v>
      </x:c>
      <x:c r="I2186" s="31" t="n">
        <x:v>3239</x:v>
      </x:c>
      <x:c r="J2186" s="31" t="n">
        <x:v>19883.553789916004</x:v>
      </x:c>
      <x:c r="K2186" s="31"/>
      <x:c r="L2186" s="40"/>
      <x:c r="M2186" s="40"/>
      <x:c r="N2186" s="31" t="n">
        <x:v>638</x:v>
      </x:c>
      <x:c r="O2186" s="31" t="n">
        <x:v>1387</x:v>
      </x:c>
      <x:c r="P2186" s="31" t="n">
        <x:v>4.704751261715933</x:v>
      </x:c>
      <x:c r="Q2186" s="40" t="n">
        <x:v>0.22638788752703676</x:v>
      </x:c>
      <x:c r="R2186" s="40" t="n">
        <x:v>0.15861571737563085</x:v>
      </x:c>
      <x:c r="S2186" s="40" t="n">
        <x:v>0.018745493871665464</x:v>
      </x:c>
      <x:c r="T2186" s="31" t="n">
        <x:v>50.031752235276535</x:v>
      </x:c>
      <x:c r="U2186" s="31" t="n">
        <x:v>122.35</x:v>
      </x:c>
      <x:c r="V2186" s="31" t="n">
        <x:v>7</x:v>
      </x:c>
      <x:c r="W2186" s="31" t="n">
        <x:v>2.16116085211485</x:v>
      </x:c>
      <x:c r="X2186" s="31" t="n">
        <x:v>2</x:v>
      </x:c>
      <x:c r="Y2186" s="40" t="n">
        <x:v>0</x:v>
      </x:c>
      <x:c r="Z2186" s="40" t="n">
        <x:v>1</x:v>
      </x:c>
      <x:c r="AA2186" s="40" t="n">
        <x:v>0.9646719538572458</x:v>
      </x:c>
      <x:c r="AB2186" s="31" t="n">
        <x:v>0.2742359098264823</x:v>
      </x:c>
      <x:c r="AC2186" s="31" t="n">
        <x:v>6</x:v>
      </x:c>
      <x:c r="AD2186" s="44" t="b">
        <x:v>1</x:v>
      </x:c>
    </x:row>
    <x:row r="2187">
      <x:c r="A2187" s="31" t="str">
        <x:v>36081147900</x:v>
      </x:c>
      <x:c r="B2187" s="31" t="str">
        <x:v>Queens</x:v>
      </x:c>
      <x:c r="C2187" s="31" t="str">
        <x:v>147900</x:v>
      </x:c>
      <x:c r="D2187" s="31" t="str">
        <x:v>QN1103</x:v>
      </x:c>
      <x:c r="E2187" s="31" t="str">
        <x:v>Douglaston-Little Neck</x:v>
      </x:c>
      <x:c r="F2187" s="31" t="n">
        <x:v>0.32921356675957014</x:v>
      </x:c>
      <x:c r="G2187" s="31" t="n">
        <x:v>40.76987957688385</x:v>
      </x:c>
      <x:c r="H2187" s="31" t="n">
        <x:v>-73.74176009968531</x:v>
      </x:c>
      <x:c r="I2187" s="31" t="n">
        <x:v>4279</x:v>
      </x:c>
      <x:c r="J2187" s="31" t="n">
        <x:v>12997.641750058925</x:v>
      </x:c>
      <x:c r="K2187" s="31"/>
      <x:c r="L2187" s="40"/>
      <x:c r="M2187" s="40"/>
      <x:c r="N2187" s="31" t="n">
        <x:v>976</x:v>
      </x:c>
      <x:c r="O2187" s="31" t="n">
        <x:v>1832</x:v>
      </x:c>
      <x:c r="P2187" s="31" t="n">
        <x:v>3.2816602949208082</x:v>
      </x:c>
      <x:c r="Q2187" s="40" t="n">
        <x:v>0</x:v>
      </x:c>
      <x:c r="R2187" s="40" t="n">
        <x:v>0.36681222707423583</x:v>
      </x:c>
      <x:c r="S2187" s="40" t="n">
        <x:v>0.039847161572052404</x:v>
      </x:c>
      <x:c r="T2187" s="31" t="n">
        <x:v>39.59589994489241</x:v>
      </x:c>
      <x:c r="U2187" s="31" t="n">
        <x:v>85</x:v>
      </x:c>
      <x:c r="V2187" s="31" t="n">
        <x:v>8</x:v>
      </x:c>
      <x:c r="W2187" s="31" t="n">
        <x:v>1.8695956999298902</x:v>
      </x:c>
      <x:c r="X2187" s="31" t="n">
        <x:v>1</x:v>
      </x:c>
      <x:c r="Y2187" s="40" t="n">
        <x:v>0</x:v>
      </x:c>
      <x:c r="Z2187" s="40" t="n">
        <x:v>0.9956331877729258</x:v>
      </x:c>
      <x:c r="AA2187" s="40" t="n">
        <x:v>0.9639737991266376</x:v>
      </x:c>
      <x:c r="AB2187" s="31" t="n">
        <x:v>0.19179026828913215</x:v>
      </x:c>
      <x:c r="AC2187" s="31" t="n">
        <x:v>4</x:v>
      </x:c>
      <x:c r="AD2187" s="44" t="b">
        <x:v>1</x:v>
      </x:c>
    </x:row>
    <x:row r="2188">
      <x:c r="A2188" s="31" t="str">
        <x:v>36081148300</x:v>
      </x:c>
      <x:c r="B2188" s="31" t="str">
        <x:v>Queens</x:v>
      </x:c>
      <x:c r="C2188" s="31" t="str">
        <x:v>148300</x:v>
      </x:c>
      <x:c r="D2188" s="31" t="str">
        <x:v>QN1103</x:v>
      </x:c>
      <x:c r="E2188" s="31" t="str">
        <x:v>Douglaston-Little Neck</x:v>
      </x:c>
      <x:c r="F2188" s="31" t="n">
        <x:v>0.5106903486103938</x:v>
      </x:c>
      <x:c r="G2188" s="31" t="n">
        <x:v>40.77440664773291</x:v>
      </x:c>
      <x:c r="H2188" s="31" t="n">
        <x:v>-73.74930574373975</x:v>
      </x:c>
      <x:c r="I2188" s="31" t="n">
        <x:v>2968</x:v>
      </x:c>
      <x:c r="J2188" s="31" t="n">
        <x:v>5811.740926915951</x:v>
      </x:c>
      <x:c r="K2188" s="31"/>
      <x:c r="L2188" s="40"/>
      <x:c r="M2188" s="40"/>
      <x:c r="N2188" s="31" t="n">
        <x:v>966</x:v>
      </x:c>
      <x:c r="O2188" s="31" t="n">
        <x:v>1088</x:v>
      </x:c>
      <x:c r="P2188" s="31" t="n">
        <x:v>2.157279411764706</x:v>
      </x:c>
      <x:c r="Q2188" s="40" t="n">
        <x:v>0</x:v>
      </x:c>
      <x:c r="R2188" s="40" t="n">
        <x:v>0.05422794117647059</x:v>
      </x:c>
      <x:c r="S2188" s="40" t="n">
        <x:v>0.009191176470588236</x:v>
      </x:c>
      <x:c r="T2188" s="31" t="n">
        <x:v>29.100781251658987</x:v>
      </x:c>
      <x:c r="U2188" s="31" t="n">
        <x:v>60.95</x:v>
      </x:c>
      <x:c r="V2188" s="31" t="n">
        <x:v>4</x:v>
      </x:c>
      <x:c r="W2188" s="31" t="n">
        <x:v>1.3477088948787064</x:v>
      </x:c>
      <x:c r="X2188" s="31" t="n">
        <x:v>1.0036764705882353</x:v>
      </x:c>
      <x:c r="Y2188" s="40" t="n">
        <x:v>0</x:v>
      </x:c>
      <x:c r="Z2188" s="40" t="n">
        <x:v>1</x:v>
      </x:c>
      <x:c r="AA2188" s="40" t="n">
        <x:v>0.9972426470588235</x:v>
      </x:c>
      <x:c r="AB2188" s="31" t="n">
        <x:v>0.36725222437860017</x:v>
      </x:c>
      <x:c r="AC2188" s="31" t="n">
        <x:v>1</x:v>
      </x:c>
      <x:c r="AD2188" s="44" t="b">
        <x:v>1</x:v>
      </x:c>
    </x:row>
    <x:row r="2189">
      <x:c r="A2189" s="31" t="str">
        <x:v>36081150701</x:v>
      </x:c>
      <x:c r="B2189" s="31" t="str">
        <x:v>Queens</x:v>
      </x:c>
      <x:c r="C2189" s="31" t="str">
        <x:v>150701</x:v>
      </x:c>
      <x:c r="D2189" s="31" t="str">
        <x:v>QN1103</x:v>
      </x:c>
      <x:c r="E2189" s="31" t="str">
        <x:v>Douglaston-Little Neck</x:v>
      </x:c>
      <x:c r="F2189" s="31" t="n">
        <x:v>0.3385442057485365</x:v>
      </x:c>
      <x:c r="G2189" s="31" t="n">
        <x:v>40.76220619197595</x:v>
      </x:c>
      <x:c r="H2189" s="31" t="n">
        <x:v>-73.73969966497673</x:v>
      </x:c>
      <x:c r="I2189" s="31" t="n">
        <x:v>2919</x:v>
      </x:c>
      <x:c r="J2189" s="31" t="n">
        <x:v>8622.212255991679</x:v>
      </x:c>
      <x:c r="K2189" s="31"/>
      <x:c r="L2189" s="40"/>
      <x:c r="M2189" s="40"/>
      <x:c r="N2189" s="31" t="n">
        <x:v>954</x:v>
      </x:c>
      <x:c r="O2189" s="31" t="n">
        <x:v>1131</x:v>
      </x:c>
      <x:c r="P2189" s="31" t="n">
        <x:v>2.277816091954023</x:v>
      </x:c>
      <x:c r="Q2189" s="40" t="n">
        <x:v>0</x:v>
      </x:c>
      <x:c r="R2189" s="40" t="n">
        <x:v>0.09106984969053934</x:v>
      </x:c>
      <x:c r="S2189" s="40" t="n">
        <x:v>0.009725906277630416</x:v>
      </x:c>
      <x:c r="T2189" s="31" t="n">
        <x:v>29.35438432930851</x:v>
      </x:c>
      <x:c r="U2189" s="31" t="n">
        <x:v>63.66</x:v>
      </x:c>
      <x:c r="V2189" s="31" t="n">
        <x:v>5</x:v>
      </x:c>
      <x:c r="W2189" s="31" t="n">
        <x:v>1.7129153819801302</x:v>
      </x:c>
      <x:c r="X2189" s="31" t="n">
        <x:v>1</x:v>
      </x:c>
      <x:c r="Y2189" s="40" t="n">
        <x:v>0</x:v>
      </x:c>
      <x:c r="Z2189" s="40" t="n">
        <x:v>1</x:v>
      </x:c>
      <x:c r="AA2189" s="40" t="n">
        <x:v>0.9973474801061007</x:v>
      </x:c>
      <x:c r="AB2189" s="31" t="n">
        <x:v>0.2764932815428955</x:v>
      </x:c>
      <x:c r="AC2189" s="31" t="n">
        <x:v>4</x:v>
      </x:c>
      <x:c r="AD2189" s="44" t="b">
        <x:v>1</x:v>
      </x:c>
    </x:row>
    <x:row r="2190">
      <x:c r="A2190" s="31" t="str">
        <x:v>36081150702</x:v>
      </x:c>
      <x:c r="B2190" s="31" t="str">
        <x:v>Queens</x:v>
      </x:c>
      <x:c r="C2190" s="31" t="str">
        <x:v>150702</x:v>
      </x:c>
      <x:c r="D2190" s="31" t="str">
        <x:v>QN1103</x:v>
      </x:c>
      <x:c r="E2190" s="31" t="str">
        <x:v>Douglaston-Little Neck</x:v>
      </x:c>
      <x:c r="F2190" s="31" t="n">
        <x:v>0.32467923047197833</x:v>
      </x:c>
      <x:c r="G2190" s="31" t="n">
        <x:v>40.76638053851936</x:v>
      </x:c>
      <x:c r="H2190" s="31" t="n">
        <x:v>-73.73079602033185</x:v>
      </x:c>
      <x:c r="I2190" s="31" t="n">
        <x:v>3049</x:v>
      </x:c>
      <x:c r="J2190" s="31" t="n">
        <x:v>9390.807029965368</x:v>
      </x:c>
      <x:c r="K2190" s="31"/>
      <x:c r="L2190" s="40"/>
      <x:c r="M2190" s="40"/>
      <x:c r="N2190" s="31" t="n">
        <x:v>850</x:v>
      </x:c>
      <x:c r="O2190" s="31" t="n">
        <x:v>1215</x:v>
      </x:c>
      <x:c r="P2190" s="31" t="n">
        <x:v>2.908171334431631</x:v>
      </x:c>
      <x:c r="Q2190" s="40" t="n">
        <x:v>0</x:v>
      </x:c>
      <x:c r="R2190" s="40" t="n">
        <x:v>0.2748971193415638</x:v>
      </x:c>
      <x:c r="S2190" s="40" t="n">
        <x:v>0.00823045267489712</x:v>
      </x:c>
      <x:c r="T2190" s="31" t="n">
        <x:v>36.285014311058724</x:v>
      </x:c>
      <x:c r="U2190" s="31" t="n">
        <x:v>68.14</x:v>
      </x:c>
      <x:c r="V2190" s="31" t="n">
        <x:v>11</x:v>
      </x:c>
      <x:c r="W2190" s="31" t="n">
        <x:v>3.6077402427025254</x:v>
      </x:c>
      <x:c r="X2190" s="31" t="n">
        <x:v>1</x:v>
      </x:c>
      <x:c r="Y2190" s="40" t="n">
        <x:v>0</x:v>
      </x:c>
      <x:c r="Z2190" s="40" t="n">
        <x:v>1</x:v>
      </x:c>
      <x:c r="AA2190" s="40" t="n">
        <x:v>0.9950617283950617</x:v>
      </x:c>
      <x:c r="AB2190" s="31" t="n">
        <x:v>0.32904968665475537</x:v>
      </x:c>
      <x:c r="AC2190" s="31" t="n">
        <x:v>3</x:v>
      </x:c>
      <x:c r="AD2190" s="44" t="b">
        <x:v>1</x:v>
      </x:c>
    </x:row>
    <x:row r="2191">
      <x:c r="A2191" s="31" t="str">
        <x:v>36081152901</x:v>
      </x:c>
      <x:c r="B2191" s="31" t="str">
        <x:v>Queens</x:v>
      </x:c>
      <x:c r="C2191" s="31" t="str">
        <x:v>152901</x:v>
      </x:c>
      <x:c r="D2191" s="31" t="str">
        <x:v>QN1103</x:v>
      </x:c>
      <x:c r="E2191" s="31" t="str">
        <x:v>Douglaston-Little Neck</x:v>
      </x:c>
      <x:c r="F2191" s="31" t="n">
        <x:v>0.5403876179802284</x:v>
      </x:c>
      <x:c r="G2191" s="31" t="n">
        <x:v>40.752325480150944</x:v>
      </x:c>
      <x:c r="H2191" s="31" t="n">
        <x:v>-73.73365064251637</x:v>
      </x:c>
      <x:c r="I2191" s="31" t="n">
        <x:v>6382</x:v>
      </x:c>
      <x:c r="J2191" s="31" t="n">
        <x:v>11810.04114019782</x:v>
      </x:c>
      <x:c r="K2191" s="31"/>
      <x:c r="L2191" s="40"/>
      <x:c r="M2191" s="40"/>
      <x:c r="N2191" s="31" t="n">
        <x:v>614</x:v>
      </x:c>
      <x:c r="O2191" s="31" t="n">
        <x:v>2361</x:v>
      </x:c>
      <x:c r="P2191" s="31" t="n">
        <x:v>2.1115108225108226</x:v>
      </x:c>
      <x:c r="Q2191" s="40" t="n">
        <x:v>0</x:v>
      </x:c>
      <x:c r="R2191" s="40" t="n">
        <x:v>0.14061838204150784</x:v>
      </x:c>
      <x:c r="S2191" s="40" t="n">
        <x:v>0.6514188903007201</x:v>
      </x:c>
      <x:c r="T2191" s="31" t="n">
        <x:v>31.616913718234294</x:v>
      </x:c>
      <x:c r="U2191" s="31" t="n">
        <x:v>46</x:v>
      </x:c>
      <x:c r="V2191" s="31" t="n">
        <x:v>1</x:v>
      </x:c>
      <x:c r="W2191" s="31" t="n">
        <x:v>0.15669069257286117</x:v>
      </x:c>
      <x:c r="X2191" s="31" t="n">
        <x:v>1</x:v>
      </x:c>
      <x:c r="Y2191" s="40" t="n">
        <x:v>0</x:v>
      </x:c>
      <x:c r="Z2191" s="40" t="n">
        <x:v>1</x:v>
      </x:c>
      <x:c r="AA2191" s="40" t="n">
        <x:v>0.9978822532825075</x:v>
      </x:c>
      <x:c r="AB2191" s="31" t="n">
        <x:v>0.3863007446099417</x:v>
      </x:c>
      <x:c r="AC2191" s="31" t="n">
        <x:v>5</x:v>
      </x:c>
      <x:c r="AD2191" s="44" t="b">
        <x:v>1</x:v>
      </x:c>
    </x:row>
    <x:row r="2192">
      <x:c r="A2192" s="31" t="str">
        <x:v>36081152902</x:v>
      </x:c>
      <x:c r="B2192" s="31" t="str">
        <x:v>Queens</x:v>
      </x:c>
      <x:c r="C2192" s="31" t="str">
        <x:v>152902</x:v>
      </x:c>
      <x:c r="D2192" s="31" t="str">
        <x:v>QN1103</x:v>
      </x:c>
      <x:c r="E2192" s="31" t="str">
        <x:v>Douglaston-Little Neck</x:v>
      </x:c>
      <x:c r="F2192" s="31" t="n">
        <x:v>0.40100109936007805</x:v>
      </x:c>
      <x:c r="G2192" s="31" t="n">
        <x:v>40.759337977712164</x:v>
      </x:c>
      <x:c r="H2192" s="31" t="n">
        <x:v>-73.72399049987557</x:v>
      </x:c>
      <x:c r="I2192" s="31" t="n">
        <x:v>5665</x:v>
      </x:c>
      <x:c r="J2192" s="31" t="n">
        <x:v>14127.143314669882</x:v>
      </x:c>
      <x:c r="K2192" s="31"/>
      <x:c r="L2192" s="40"/>
      <x:c r="M2192" s="40"/>
      <x:c r="N2192" s="31" t="n">
        <x:v>758</x:v>
      </x:c>
      <x:c r="O2192" s="31" t="n">
        <x:v>2302</x:v>
      </x:c>
      <x:c r="P2192" s="31" t="n">
        <x:v>1.8604474370112944</x:v>
      </x:c>
      <x:c r="Q2192" s="40" t="n">
        <x:v>0</x:v>
      </x:c>
      <x:c r="R2192" s="40" t="n">
        <x:v>0</x:v>
      </x:c>
      <x:c r="S2192" s="40" t="n">
        <x:v>0.606863596872285</x:v>
      </x:c>
      <x:c r="T2192" s="31" t="n">
        <x:v>29.03160920693013</x:v>
      </x:c>
      <x:c r="U2192" s="31" t="n">
        <x:v>35.22</x:v>
      </x:c>
      <x:c r="V2192" s="31" t="n">
        <x:v>0</x:v>
      </x:c>
      <x:c r="W2192" s="31" t="n">
        <x:v>0</x:v>
      </x:c>
      <x:c r="X2192" s="31" t="n">
        <x:v>1</x:v>
      </x:c>
      <x:c r="Y2192" s="40" t="n">
        <x:v>0</x:v>
      </x:c>
      <x:c r="Z2192" s="40" t="n">
        <x:v>1</x:v>
      </x:c>
      <x:c r="AA2192" s="40" t="n">
        <x:v>0.9947871416159861</x:v>
      </x:c>
      <x:c r="AB2192" s="31" t="n">
        <x:v>0.3166687237076885</x:v>
      </x:c>
      <x:c r="AC2192" s="31" t="n">
        <x:v>1</x:v>
      </x:c>
      <x:c r="AD2192" s="44" t="b">
        <x:v>1</x:v>
      </x:c>
    </x:row>
    <x:row r="2193">
      <x:c r="A2193" s="31" t="str">
        <x:v>36081155101</x:v>
      </x:c>
      <x:c r="B2193" s="31" t="str">
        <x:v>Queens</x:v>
      </x:c>
      <x:c r="C2193" s="31" t="str">
        <x:v>155101</x:v>
      </x:c>
      <x:c r="D2193" s="31" t="str">
        <x:v>QN1301</x:v>
      </x:c>
      <x:c r="E2193" s="31" t="str">
        <x:v>Glen Oaks-Floral Park-New Hyde Park</x:v>
      </x:c>
      <x:c r="F2193" s="31" t="n">
        <x:v>0.18367639243751435</x:v>
      </x:c>
      <x:c r="G2193" s="31" t="n">
        <x:v>40.75665630269905</x:v>
      </x:c>
      <x:c r="H2193" s="31" t="n">
        <x:v>-73.71426407071185</x:v>
      </x:c>
      <x:c r="I2193" s="31" t="n">
        <x:v>1945</x:v>
      </x:c>
      <x:c r="J2193" s="31" t="n">
        <x:v>10589.27592266207</x:v>
      </x:c>
      <x:c r="K2193" s="31"/>
      <x:c r="L2193" s="40"/>
      <x:c r="M2193" s="40"/>
      <x:c r="N2193" s="31" t="n">
        <x:v>1</x:v>
      </x:c>
      <x:c r="O2193" s="31" t="n">
        <x:v>1844</x:v>
      </x:c>
      <x:c r="P2193" s="31" t="n">
        <x:v>34</x:v>
      </x:c>
      <x:c r="Q2193" s="40" t="n">
        <x:v>1</x:v>
      </x:c>
      <x:c r="R2193" s="40" t="n">
        <x:v>0</x:v>
      </x:c>
      <x:c r="S2193" s="40" t="n">
        <x:v>1</x:v>
      </x:c>
      <x:c r="T2193" s="31" t="n">
        <x:v>329.26</x:v>
      </x:c>
      <x:c r="U2193" s="31" t="n">
        <x:v>329.26</x:v>
      </x:c>
      <x:c r="V2193" s="31" t="n">
        <x:v>24</x:v>
      </x:c>
      <x:c r="W2193" s="31" t="n">
        <x:v>12.339331619537276</x:v>
      </x:c>
      <x:c r="X2193" s="31" t="n">
        <x:v>1</x:v>
      </x:c>
      <x:c r="Y2193" s="40" t="n">
        <x:v>0</x:v>
      </x:c>
      <x:c r="Z2193" s="40" t="n">
        <x:v>1</x:v>
      </x:c>
      <x:c r="AA2193" s="40" t="n">
        <x:v>1</x:v>
      </x:c>
      <x:c r="AB2193" s="31" t="n">
        <x:v>0.6129873287290631</x:v>
      </x:c>
      <x:c r="AC2193" s="31" t="n">
        <x:v>1</x:v>
      </x:c>
      <x:c r="AD2193" s="44" t="b">
        <x:v>1</x:v>
      </x:c>
    </x:row>
    <x:row r="2194">
      <x:c r="A2194" s="31" t="str">
        <x:v>36081155103</x:v>
      </x:c>
      <x:c r="B2194" s="31" t="str">
        <x:v>Queens</x:v>
      </x:c>
      <x:c r="C2194" s="31" t="str">
        <x:v>155103</x:v>
      </x:c>
      <x:c r="D2194" s="31" t="str">
        <x:v>QN1301</x:v>
      </x:c>
      <x:c r="E2194" s="31" t="str">
        <x:v>Glen Oaks-Floral Park-New Hyde Park</x:v>
      </x:c>
      <x:c r="F2194" s="31" t="n">
        <x:v>0.27767669243428605</x:v>
      </x:c>
      <x:c r="G2194" s="31" t="n">
        <x:v>40.751912771968044</x:v>
      </x:c>
      <x:c r="H2194" s="31" t="n">
        <x:v>-73.71955919076743</x:v>
      </x:c>
      <x:c r="I2194" s="31" t="n">
        <x:v>4373</x:v>
      </x:c>
      <x:c r="J2194" s="31" t="n">
        <x:v>15748.53100439785</x:v>
      </x:c>
      <x:c r="K2194" s="31"/>
      <x:c r="L2194" s="40"/>
      <x:c r="M2194" s="40"/>
      <x:c r="N2194" s="31" t="n">
        <x:v>157</x:v>
      </x:c>
      <x:c r="O2194" s="31" t="n">
        <x:v>2310</x:v>
      </x:c>
      <x:c r="P2194" s="31" t="n">
        <x:v>2.4652597402597403</x:v>
      </x:c>
      <x:c r="Q2194" s="40" t="n">
        <x:v>0</x:v>
      </x:c>
      <x:c r="R2194" s="40" t="n">
        <x:v>0.18744588744588744</x:v>
      </x:c>
      <x:c r="S2194" s="40" t="n">
        <x:v>0.819047619047619</x:v>
      </x:c>
      <x:c r="T2194" s="31" t="n">
        <x:v>37.036294808001735</x:v>
      </x:c>
      <x:c r="U2194" s="31" t="n">
        <x:v>68.3</x:v>
      </x:c>
      <x:c r="V2194" s="31" t="n">
        <x:v>6</x:v>
      </x:c>
      <x:c r="W2194" s="31" t="n">
        <x:v>1.372055796935742</x:v>
      </x:c>
      <x:c r="X2194" s="31" t="n">
        <x:v>3</x:v>
      </x:c>
      <x:c r="Y2194" s="40" t="n">
        <x:v>0</x:v>
      </x:c>
      <x:c r="Z2194" s="40" t="n">
        <x:v>1</x:v>
      </x:c>
      <x:c r="AA2194" s="40" t="n">
        <x:v>0.9987012987012988</x:v>
      </x:c>
      <x:c r="AB2194" s="31" t="n">
        <x:v>0.18484883367866806</x:v>
      </x:c>
      <x:c r="AC2194" s="31" t="n">
        <x:v>3</x:v>
      </x:c>
      <x:c r="AD2194" s="44" t="b">
        <x:v>1</x:v>
      </x:c>
    </x:row>
    <x:row r="2195">
      <x:c r="A2195" s="31" t="str">
        <x:v>36081155104</x:v>
      </x:c>
      <x:c r="B2195" s="31" t="str">
        <x:v>Queens</x:v>
      </x:c>
      <x:c r="C2195" s="31" t="str">
        <x:v>155104</x:v>
      </x:c>
      <x:c r="D2195" s="31" t="str">
        <x:v>QN1301</x:v>
      </x:c>
      <x:c r="E2195" s="31" t="str">
        <x:v>Glen Oaks-Floral Park-New Hyde Park</x:v>
      </x:c>
      <x:c r="F2195" s="31" t="n">
        <x:v>0.2732580857222796</x:v>
      </x:c>
      <x:c r="G2195" s="31" t="n">
        <x:v>40.75043615967149</x:v>
      </x:c>
      <x:c r="H2195" s="31" t="n">
        <x:v>-73.7104399357087</x:v>
      </x:c>
      <x:c r="I2195" s="31" t="n">
        <x:v>3616</x:v>
      </x:c>
      <x:c r="J2195" s="31" t="n">
        <x:v>13232.911262047885</x:v>
      </x:c>
      <x:c r="K2195" s="31"/>
      <x:c r="L2195" s="40"/>
      <x:c r="M2195" s="40"/>
      <x:c r="N2195" s="31" t="n">
        <x:v>350</x:v>
      </x:c>
      <x:c r="O2195" s="31" t="n">
        <x:v>1284</x:v>
      </x:c>
      <x:c r="P2195" s="31" t="n">
        <x:v>1.9121573208722742</x:v>
      </x:c>
      <x:c r="Q2195" s="40" t="n">
        <x:v>0</x:v>
      </x:c>
      <x:c r="R2195" s="40" t="n">
        <x:v>0</x:v>
      </x:c>
      <x:c r="S2195" s="40" t="n">
        <x:v>0.7079439252336449</x:v>
      </x:c>
      <x:c r="T2195" s="31" t="n">
        <x:v>29.761660047375386</x:v>
      </x:c>
      <x:c r="U2195" s="31" t="n">
        <x:v>37.00928433</x:v>
      </x:c>
      <x:c r="V2195" s="31" t="n">
        <x:v>1</x:v>
      </x:c>
      <x:c r="W2195" s="31" t="n">
        <x:v>0.27654867256637167</x:v>
      </x:c>
      <x:c r="X2195" s="31" t="n">
        <x:v>3</x:v>
      </x:c>
      <x:c r="Y2195" s="40" t="n">
        <x:v>0</x:v>
      </x:c>
      <x:c r="Z2195" s="40" t="n">
        <x:v>0.7570093457943925</x:v>
      </x:c>
      <x:c r="AA2195" s="40" t="n">
        <x:v>1</x:v>
      </x:c>
      <x:c r="AB2195" s="31" t="n">
        <x:v>0.43215968020464657</x:v>
      </x:c>
      <x:c r="AC2195" s="31" t="n">
        <x:v>5</x:v>
      </x:c>
      <x:c r="AD2195" s="44" t="b">
        <x:v>1</x:v>
      </x:c>
    </x:row>
    <x:row r="2196">
      <x:c r="A2196" s="31" t="str">
        <x:v>36081156700</x:v>
      </x:c>
      <x:c r="B2196" s="31" t="str">
        <x:v>Queens</x:v>
      </x:c>
      <x:c r="C2196" s="31" t="str">
        <x:v>156700</x:v>
      </x:c>
      <x:c r="D2196" s="31" t="str">
        <x:v>QN1302</x:v>
      </x:c>
      <x:c r="E2196" s="31" t="str">
        <x:v>Bellerose</x:v>
      </x:c>
      <x:c r="F2196" s="31" t="n">
        <x:v>0.5680777531745007</x:v>
      </x:c>
      <x:c r="G2196" s="31" t="n">
        <x:v>40.74066271409695</x:v>
      </x:c>
      <x:c r="H2196" s="31" t="n">
        <x:v>-73.72963175340885</x:v>
      </x:c>
      <x:c r="I2196" s="31" t="n">
        <x:v>1470</x:v>
      </x:c>
      <x:c r="J2196" s="31" t="n">
        <x:v>2587.673943901917</x:v>
      </x:c>
      <x:c r="K2196" s="31"/>
      <x:c r="L2196" s="40"/>
      <x:c r="M2196" s="40"/>
      <x:c r="N2196" s="31" t="n">
        <x:v>101</x:v>
      </x:c>
      <x:c r="O2196" s="31" t="n">
        <x:v>250</x:v>
      </x:c>
      <x:c r="P2196" s="31" t="n">
        <x:v>1.796</x:v>
      </x:c>
      <x:c r="Q2196" s="40" t="n">
        <x:v>0</x:v>
      </x:c>
      <x:c r="R2196" s="40" t="n">
        <x:v>0</x:v>
      </x:c>
      <x:c r="S2196" s="40" t="n">
        <x:v>0.204</x:v>
      </x:c>
      <x:c r="T2196" s="31" t="n">
        <x:v>21.474671138639998</x:v>
      </x:c>
      <x:c r="U2196" s="31" t="n">
        <x:v>24.47</x:v>
      </x:c>
      <x:c r="V2196" s="31" t="n">
        <x:v>0</x:v>
      </x:c>
      <x:c r="W2196" s="31" t="n">
        <x:v>0</x:v>
      </x:c>
      <x:c r="X2196" s="31" t="n">
        <x:v>3</x:v>
      </x:c>
      <x:c r="Y2196" s="40" t="n">
        <x:v>0</x:v>
      </x:c>
      <x:c r="Z2196" s="40" t="n">
        <x:v>1</x:v>
      </x:c>
      <x:c r="AA2196" s="40" t="n">
        <x:v>1</x:v>
      </x:c>
      <x:c r="AB2196" s="31" t="n">
        <x:v>0.11097784766784607</x:v>
      </x:c>
      <x:c r="AC2196" s="31" t="n">
        <x:v>9</x:v>
      </x:c>
      <x:c r="AD2196" s="44" t="b">
        <x:v>1</x:v>
      </x:c>
    </x:row>
    <x:row r="2197">
      <x:c r="A2197" s="31" t="str">
        <x:v>36081157101</x:v>
      </x:c>
      <x:c r="B2197" s="31" t="str">
        <x:v>Queens</x:v>
      </x:c>
      <x:c r="C2197" s="31" t="str">
        <x:v>157101</x:v>
      </x:c>
      <x:c r="D2197" s="31" t="str">
        <x:v>QN1302</x:v>
      </x:c>
      <x:c r="E2197" s="31" t="str">
        <x:v>Bellerose</x:v>
      </x:c>
      <x:c r="F2197" s="31" t="n">
        <x:v>0.4729979299063074</x:v>
      </x:c>
      <x:c r="G2197" s="31" t="n">
        <x:v>40.73849545292666</x:v>
      </x:c>
      <x:c r="H2197" s="31" t="n">
        <x:v>-73.71955742595465</x:v>
      </x:c>
      <x:c r="I2197" s="31" t="n">
        <x:v>7561</x:v>
      </x:c>
      <x:c r="J2197" s="31" t="n">
        <x:v>15985.27080551431</x:v>
      </x:c>
      <x:c r="K2197" s="31"/>
      <x:c r="L2197" s="40"/>
      <x:c r="M2197" s="40"/>
      <x:c r="N2197" s="31" t="n">
        <x:v>1802</x:v>
      </x:c>
      <x:c r="O2197" s="31" t="n">
        <x:v>2554</x:v>
      </x:c>
      <x:c r="P2197" s="31" t="n">
        <x:v>1.8201566170712609</x:v>
      </x:c>
      <x:c r="Q2197" s="40" t="n">
        <x:v>0</x:v>
      </x:c>
      <x:c r="R2197" s="40" t="n">
        <x:v>0.04541895066562255</x:v>
      </x:c>
      <x:c r="S2197" s="40" t="n">
        <x:v>0.22709475332811277</x:v>
      </x:c>
      <x:c r="T2197" s="31" t="n">
        <x:v>25.994029202747942</x:v>
      </x:c>
      <x:c r="U2197" s="31" t="n">
        <x:v>40.73839537</x:v>
      </x:c>
      <x:c r="V2197" s="31" t="n">
        <x:v>1</x:v>
      </x:c>
      <x:c r="W2197" s="31" t="n">
        <x:v>0.1322576378785875</x:v>
      </x:c>
      <x:c r="X2197" s="31" t="n">
        <x:v>3</x:v>
      </x:c>
      <x:c r="Y2197" s="40" t="n">
        <x:v>0</x:v>
      </x:c>
      <x:c r="Z2197" s="40" t="n">
        <x:v>1</x:v>
      </x:c>
      <x:c r="AA2197" s="40" t="n">
        <x:v>0.9988253719655442</x:v>
      </x:c>
      <x:c r="AB2197" s="31" t="n">
        <x:v>0.2634808683304486</x:v>
      </x:c>
      <x:c r="AC2197" s="31" t="n">
        <x:v>7</x:v>
      </x:c>
      <x:c r="AD2197" s="44" t="b">
        <x:v>1</x:v>
      </x:c>
    </x:row>
    <x:row r="2198">
      <x:c r="A2198" s="31" t="str">
        <x:v>36081157102</x:v>
      </x:c>
      <x:c r="B2198" s="31" t="str">
        <x:v>Queens</x:v>
      </x:c>
      <x:c r="C2198" s="31" t="str">
        <x:v>157102</x:v>
      </x:c>
      <x:c r="D2198" s="31" t="str">
        <x:v>QN1302</x:v>
      </x:c>
      <x:c r="E2198" s="31" t="str">
        <x:v>Bellerose</x:v>
      </x:c>
      <x:c r="F2198" s="31" t="n">
        <x:v>0.12407067300670052</x:v>
      </x:c>
      <x:c r="G2198" s="31" t="n">
        <x:v>40.735024631412294</x:v>
      </x:c>
      <x:c r="H2198" s="31" t="n">
        <x:v>-73.72505692761833</x:v>
      </x:c>
      <x:c r="I2198" s="31" t="n">
        <x:v>2109</x:v>
      </x:c>
      <x:c r="J2198" s="31" t="n">
        <x:v>16998.376400248122</x:v>
      </x:c>
      <x:c r="K2198" s="31"/>
      <x:c r="L2198" s="40"/>
      <x:c r="M2198" s="40"/>
      <x:c r="N2198" s="31" t="n">
        <x:v>425</x:v>
      </x:c>
      <x:c r="O2198" s="31" t="n">
        <x:v>585</x:v>
      </x:c>
      <x:c r="P2198" s="31" t="n">
        <x:v>1.8985811965811967</x:v>
      </x:c>
      <x:c r="Q2198" s="40" t="n">
        <x:v>0</x:v>
      </x:c>
      <x:c r="R2198" s="40" t="n">
        <x:v>0</x:v>
      </x:c>
      <x:c r="S2198" s="40" t="n">
        <x:v>0</x:v>
      </x:c>
      <x:c r="T2198" s="31" t="n">
        <x:v>24.01378535034188</x:v>
      </x:c>
      <x:c r="U2198" s="31" t="n">
        <x:v>35</x:v>
      </x:c>
      <x:c r="V2198" s="31" t="n">
        <x:v>0</x:v>
      </x:c>
      <x:c r="W2198" s="31" t="n">
        <x:v>0</x:v>
      </x:c>
      <x:c r="X2198" s="31" t="n">
        <x:v>3</x:v>
      </x:c>
      <x:c r="Y2198" s="40" t="n">
        <x:v>0</x:v>
      </x:c>
      <x:c r="Z2198" s="40" t="n">
        <x:v>1</x:v>
      </x:c>
      <x:c r="AA2198" s="40" t="n">
        <x:v>1</x:v>
      </x:c>
      <x:c r="AB2198" s="31" t="n">
        <x:v>0.41786674353848774</x:v>
      </x:c>
      <x:c r="AC2198" s="31" t="n">
        <x:v>4</x:v>
      </x:c>
      <x:c r="AD2198" s="44" t="b">
        <x:v>1</x:v>
      </x:c>
    </x:row>
    <x:row r="2199">
      <x:c r="A2199" s="31" t="str">
        <x:v>36081157901</x:v>
      </x:c>
      <x:c r="B2199" s="31" t="str">
        <x:v>Queens</x:v>
      </x:c>
      <x:c r="C2199" s="31" t="str">
        <x:v>157901</x:v>
      </x:c>
      <x:c r="D2199" s="31" t="str">
        <x:v>QN1301</x:v>
      </x:c>
      <x:c r="E2199" s="31" t="str">
        <x:v>Glen Oaks-Floral Park-New Hyde Park</x:v>
      </x:c>
      <x:c r="F2199" s="31" t="n">
        <x:v>0.3527166357653237</x:v>
      </x:c>
      <x:c r="G2199" s="31" t="n">
        <x:v>40.74472092633768</x:v>
      </x:c>
      <x:c r="H2199" s="31" t="n">
        <x:v>-73.70458215660014</x:v>
      </x:c>
      <x:c r="I2199" s="31" t="n">
        <x:v>5184</x:v>
      </x:c>
      <x:c r="J2199" s="31" t="n">
        <x:v>14697.350434724378</x:v>
      </x:c>
      <x:c r="K2199" s="31"/>
      <x:c r="L2199" s="40"/>
      <x:c r="M2199" s="40"/>
      <x:c r="N2199" s="31" t="n">
        <x:v>1329</x:v>
      </x:c>
      <x:c r="O2199" s="31" t="n">
        <x:v>1760</x:v>
      </x:c>
      <x:c r="P2199" s="31" t="n">
        <x:v>1.7519886363636363</x:v>
      </x:c>
      <x:c r="Q2199" s="40" t="n">
        <x:v>0</x:v>
      </x:c>
      <x:c r="R2199" s="40" t="n">
        <x:v>0.01875</x:v>
      </x:c>
      <x:c r="S2199" s="40" t="n">
        <x:v>0.2056818181818182</x:v>
      </x:c>
      <x:c r="T2199" s="31" t="n">
        <x:v>23.891852777606594</x:v>
      </x:c>
      <x:c r="U2199" s="31" t="n">
        <x:v>34.79874664</x:v>
      </x:c>
      <x:c r="V2199" s="31" t="n">
        <x:v>1</x:v>
      </x:c>
      <x:c r="W2199" s="31" t="n">
        <x:v>0.19290123456790123</x:v>
      </x:c>
      <x:c r="X2199" s="31" t="n">
        <x:v>3</x:v>
      </x:c>
      <x:c r="Y2199" s="40" t="n">
        <x:v>0</x:v>
      </x:c>
      <x:c r="Z2199" s="40" t="n">
        <x:v>0.6232954545454545</x:v>
      </x:c>
      <x:c r="AA2199" s="40" t="n">
        <x:v>0.9994318181818181</x:v>
      </x:c>
      <x:c r="AB2199" s="31" t="n">
        <x:v>0.25513098620199526</x:v>
      </x:c>
      <x:c r="AC2199" s="31" t="n">
        <x:v>3</x:v>
      </x:c>
      <x:c r="AD2199" s="44" t="b">
        <x:v>1</x:v>
      </x:c>
    </x:row>
    <x:row r="2200">
      <x:c r="A2200" s="31" t="str">
        <x:v>36081157902</x:v>
      </x:c>
      <x:c r="B2200" s="31" t="str">
        <x:v>Queens</x:v>
      </x:c>
      <x:c r="C2200" s="31" t="str">
        <x:v>157902</x:v>
      </x:c>
      <x:c r="D2200" s="31" t="str">
        <x:v>QN1301</x:v>
      </x:c>
      <x:c r="E2200" s="31" t="str">
        <x:v>Glen Oaks-Floral Park-New Hyde Park</x:v>
      </x:c>
      <x:c r="F2200" s="31" t="n">
        <x:v>0.27882211208032026</x:v>
      </x:c>
      <x:c r="G2200" s="31" t="n">
        <x:v>40.7415799579879</x:v>
      </x:c>
      <x:c r="H2200" s="31" t="n">
        <x:v>-73.71199837559206</x:v>
      </x:c>
      <x:c r="I2200" s="31" t="n">
        <x:v>3757</x:v>
      </x:c>
      <x:c r="J2200" s="31" t="n">
        <x:v>13474.541068384568</x:v>
      </x:c>
      <x:c r="K2200" s="31"/>
      <x:c r="L2200" s="40"/>
      <x:c r="M2200" s="40"/>
      <x:c r="N2200" s="31" t="n">
        <x:v>1073</x:v>
      </x:c>
      <x:c r="O2200" s="31" t="n">
        <x:v>1108</x:v>
      </x:c>
      <x:c r="P2200" s="31" t="n">
        <x:v>1.6616696750902527</x:v>
      </x:c>
      <x:c r="Q2200" s="40" t="n">
        <x:v>0</x:v>
      </x:c>
      <x:c r="R2200" s="40" t="n">
        <x:v>0.013537906137184115</x:v>
      </x:c>
      <x:c r="S2200" s="40" t="n">
        <x:v>0.002707581227436823</x:v>
      </x:c>
      <x:c r="T2200" s="31" t="n">
        <x:v>23.02565663896926</x:v>
      </x:c>
      <x:c r="U2200" s="31" t="n">
        <x:v>45</x:v>
      </x:c>
      <x:c r="V2200" s="31" t="n">
        <x:v>2</x:v>
      </x:c>
      <x:c r="W2200" s="31" t="n">
        <x:v>0.5323396326856535</x:v>
      </x:c>
      <x:c r="X2200" s="31" t="n">
        <x:v>3</x:v>
      </x:c>
      <x:c r="Y2200" s="40" t="n">
        <x:v>0</x:v>
      </x:c>
      <x:c r="Z2200" s="40" t="n">
        <x:v>1</x:v>
      </x:c>
      <x:c r="AA2200" s="40" t="n">
        <x:v>0.9981949458483754</x:v>
      </x:c>
      <x:c r="AB2200" s="31" t="n">
        <x:v>0.0657457317243578</x:v>
      </x:c>
      <x:c r="AC2200" s="31" t="n">
        <x:v>4</x:v>
      </x:c>
      <x:c r="AD2200" s="44" t="b">
        <x:v>1</x:v>
      </x:c>
    </x:row>
    <x:row r="2201">
      <x:c r="A2201" s="31" t="str">
        <x:v>36081157903</x:v>
      </x:c>
      <x:c r="B2201" s="31" t="str">
        <x:v>Queens</x:v>
      </x:c>
      <x:c r="C2201" s="31" t="str">
        <x:v>157903</x:v>
      </x:c>
      <x:c r="D2201" s="31" t="str">
        <x:v>QN1301</x:v>
      </x:c>
      <x:c r="E2201" s="31" t="str">
        <x:v>Glen Oaks-Floral Park-New Hyde Park</x:v>
      </x:c>
      <x:c r="F2201" s="31" t="n">
        <x:v>0.26311795655919995</x:v>
      </x:c>
      <x:c r="G2201" s="31" t="n">
        <x:v>40.73380621054829</x:v>
      </x:c>
      <x:c r="H2201" s="31" t="n">
        <x:v>-73.70757727962675</x:v>
      </x:c>
      <x:c r="I2201" s="31" t="n">
        <x:v>4489</x:v>
      </x:c>
      <x:c r="J2201" s="31" t="n">
        <x:v>17060.78923195803</x:v>
      </x:c>
      <x:c r="K2201" s="31"/>
      <x:c r="L2201" s="40"/>
      <x:c r="M2201" s="40"/>
      <x:c r="N2201" s="31" t="n">
        <x:v>1114</x:v>
      </x:c>
      <x:c r="O2201" s="31" t="n">
        <x:v>1377</x:v>
      </x:c>
      <x:c r="P2201" s="31" t="n">
        <x:v>2.05848</x:v>
      </x:c>
      <x:c r="Q2201" s="40" t="n">
        <x:v>0</x:v>
      </x:c>
      <x:c r="R2201" s="40" t="n">
        <x:v>0.09295570079883805</x:v>
      </x:c>
      <x:c r="S2201" s="40" t="n">
        <x:v>0.032679738562091505</x:v>
      </x:c>
      <x:c r="T2201" s="31" t="n">
        <x:v>26.419279064269006</x:v>
      </x:c>
      <x:c r="U2201" s="31" t="n">
        <x:v>76.13512067</x:v>
      </x:c>
      <x:c r="V2201" s="31" t="n">
        <x:v>2</x:v>
      </x:c>
      <x:c r="W2201" s="31" t="n">
        <x:v>0.4455335263978615</x:v>
      </x:c>
      <x:c r="X2201" s="31" t="n">
        <x:v>3</x:v>
      </x:c>
      <x:c r="Y2201" s="40" t="n">
        <x:v>0</x:v>
      </x:c>
      <x:c r="Z2201" s="40" t="n">
        <x:v>1</x:v>
      </x:c>
      <x:c r="AA2201" s="40" t="n">
        <x:v>0.9934640522875817</x:v>
      </x:c>
      <x:c r="AB2201" s="31" t="n">
        <x:v>0.06703985022047752</x:v>
      </x:c>
      <x:c r="AC2201" s="31" t="n">
        <x:v>4</x:v>
      </x:c>
      <x:c r="AD2201" s="44" t="b">
        <x:v>1</x:v>
      </x:c>
    </x:row>
    <x:row r="2202">
      <x:c r="A2202" s="31" t="str">
        <x:v>36081161700</x:v>
      </x:c>
      <x:c r="B2202" s="31" t="str">
        <x:v>Queens</x:v>
      </x:c>
      <x:c r="C2202" s="31" t="str">
        <x:v>161700</x:v>
      </x:c>
      <x:c r="D2202" s="31" t="str">
        <x:v>QN1302</x:v>
      </x:c>
      <x:c r="E2202" s="31" t="str">
        <x:v>Bellerose</x:v>
      </x:c>
      <x:c r="F2202" s="31" t="n">
        <x:v>0.2711977939523072</x:v>
      </x:c>
      <x:c r="G2202" s="31" t="n">
        <x:v>40.72882237306439</x:v>
      </x:c>
      <x:c r="H2202" s="31" t="n">
        <x:v>-73.7176112420721</x:v>
      </x:c>
      <x:c r="I2202" s="31" t="n">
        <x:v>4541</x:v>
      </x:c>
      <x:c r="J2202" s="31" t="n">
        <x:v>16744.236499204635</x:v>
      </x:c>
      <x:c r="K2202" s="31"/>
      <x:c r="L2202" s="40"/>
      <x:c r="M2202" s="40"/>
      <x:c r="N2202" s="31" t="n">
        <x:v>1301</x:v>
      </x:c>
      <x:c r="O2202" s="31" t="n">
        <x:v>1516</x:v>
      </x:c>
      <x:c r="P2202" s="31" t="n">
        <x:v>2.153430079155673</x:v>
      </x:c>
      <x:c r="Q2202" s="40" t="n">
        <x:v>0</x:v>
      </x:c>
      <x:c r="R2202" s="40" t="n">
        <x:v>0.005277044854881266</x:v>
      </x:c>
      <x:c r="S2202" s="40" t="n">
        <x:v>0.0006596306068601583</x:v>
      </x:c>
      <x:c r="T2202" s="31" t="n">
        <x:v>26.703558438534653</x:v>
      </x:c>
      <x:c r="U2202" s="31" t="n">
        <x:v>35.61</x:v>
      </x:c>
      <x:c r="V2202" s="31" t="n">
        <x:v>1</x:v>
      </x:c>
      <x:c r="W2202" s="31" t="n">
        <x:v>0.22021581149526537</x:v>
      </x:c>
      <x:c r="X2202" s="31" t="n">
        <x:v>3</x:v>
      </x:c>
      <x:c r="Y2202" s="40" t="n">
        <x:v>0</x:v>
      </x:c>
      <x:c r="Z2202" s="40" t="n">
        <x:v>1</x:v>
      </x:c>
      <x:c r="AA2202" s="40" t="n">
        <x:v>0.9993403693931399</x:v>
      </x:c>
      <x:c r="AB2202" s="31" t="n">
        <x:v>0.2333160999262985</x:v>
      </x:c>
      <x:c r="AC2202" s="31" t="n">
        <x:v>4</x:v>
      </x:c>
      <x:c r="AD2202" s="44" t="b">
        <x:v>1</x:v>
      </x:c>
    </x:row>
    <x:row r="2203">
      <x:c r="A2203" s="31" t="str">
        <x:v>36081162100</x:v>
      </x:c>
      <x:c r="B2203" s="31" t="str">
        <x:v>Queens</x:v>
      </x:c>
      <x:c r="C2203" s="31" t="str">
        <x:v>162100</x:v>
      </x:c>
      <x:c r="D2203" s="31" t="str">
        <x:v>QN1302</x:v>
      </x:c>
      <x:c r="E2203" s="31" t="str">
        <x:v>Bellerose</x:v>
      </x:c>
      <x:c r="F2203" s="31" t="n">
        <x:v>0.2783782939013717</x:v>
      </x:c>
      <x:c r="G2203" s="31" t="n">
        <x:v>40.728471096757154</x:v>
      </x:c>
      <x:c r="H2203" s="31" t="n">
        <x:v>-73.72971057762302</x:v>
      </x:c>
      <x:c r="I2203" s="31" t="n">
        <x:v>6682</x:v>
      </x:c>
      <x:c r="J2203" s="31" t="n">
        <x:v>24003.30825494392</x:v>
      </x:c>
      <x:c r="K2203" s="31"/>
      <x:c r="L2203" s="40"/>
      <x:c r="M2203" s="40"/>
      <x:c r="N2203" s="31" t="n">
        <x:v>1314</x:v>
      </x:c>
      <x:c r="O2203" s="31" t="n">
        <x:v>2062</x:v>
      </x:c>
      <x:c r="P2203" s="31" t="n">
        <x:v>2.435</x:v>
      </x:c>
      <x:c r="Q2203" s="40" t="n">
        <x:v>0</x:v>
      </x:c>
      <x:c r="R2203" s="40" t="n">
        <x:v>0.14597478176527642</x:v>
      </x:c>
      <x:c r="S2203" s="40" t="n">
        <x:v>0.006304558680892337</x:v>
      </x:c>
      <x:c r="T2203" s="31" t="n">
        <x:v>28.328531782631067</x:v>
      </x:c>
      <x:c r="U2203" s="31" t="n">
        <x:v>60.33878654</x:v>
      </x:c>
      <x:c r="V2203" s="31" t="n">
        <x:v>2</x:v>
      </x:c>
      <x:c r="W2203" s="31" t="n">
        <x:v>0.299311583358276</x:v>
      </x:c>
      <x:c r="X2203" s="31" t="n">
        <x:v>3.0620756547041705</x:v>
      </x:c>
      <x:c r="Y2203" s="40" t="n">
        <x:v>0.06207565470417071</x:v>
      </x:c>
      <x:c r="Z2203" s="40" t="n">
        <x:v>1</x:v>
      </x:c>
      <x:c r="AA2203" s="40" t="n">
        <x:v>0.9990300678952473</x:v>
      </x:c>
      <x:c r="AB2203" s="31" t="n">
        <x:v>0.2650722109814131</x:v>
      </x:c>
      <x:c r="AC2203" s="31" t="n">
        <x:v>8</x:v>
      </x:c>
      <x:c r="AD2203" s="44" t="b">
        <x:v>1</x:v>
      </x:c>
    </x:row>
    <x:row r="2204">
      <x:c r="A2204" s="31" t="str">
        <x:v>36085000300</x:v>
      </x:c>
      <x:c r="B2204" s="31" t="str">
        <x:v>Staten Island</x:v>
      </x:c>
      <x:c r="C2204" s="31" t="str">
        <x:v>000300</x:v>
      </x:c>
      <x:c r="D2204" s="31" t="str">
        <x:v>SI0101</x:v>
      </x:c>
      <x:c r="E2204" s="31" t="str">
        <x:v>St. George-New Brighton</x:v>
      </x:c>
      <x:c r="F2204" s="31" t="n">
        <x:v>0.1476673218204775</x:v>
      </x:c>
      <x:c r="G2204" s="31" t="n">
        <x:v>40.64142615534825</x:v>
      </x:c>
      <x:c r="H2204" s="31" t="n">
        <x:v>-74.07527680610578</x:v>
      </x:c>
      <x:c r="I2204" s="31" t="n">
        <x:v>2348</x:v>
      </x:c>
      <x:c r="J2204" s="31" t="n">
        <x:v>15900.606654561776</x:v>
      </x:c>
      <x:c r="K2204" s="31"/>
      <x:c r="L2204" s="40"/>
      <x:c r="M2204" s="40"/>
      <x:c r="N2204" s="31" t="n">
        <x:v>68</x:v>
      </x:c>
      <x:c r="O2204" s="31" t="n">
        <x:v>1248</x:v>
      </x:c>
      <x:c r="P2204" s="31" t="n">
        <x:v>6.861235452103849</x:v>
      </x:c>
      <x:c r="Q2204" s="40" t="n">
        <x:v>0.2764423076923077</x:v>
      </x:c>
      <x:c r="R2204" s="40" t="n">
        <x:v>0.5192307692307693</x:v>
      </x:c>
      <x:c r="S2204" s="40" t="n">
        <x:v>0</x:v>
      </x:c>
      <x:c r="T2204" s="31" t="n">
        <x:v>88.6002422634491</x:v>
      </x:c>
      <x:c r="U2204" s="31" t="n">
        <x:v>173</x:v>
      </x:c>
      <x:c r="V2204" s="31" t="n">
        <x:v>24</x:v>
      </x:c>
      <x:c r="W2204" s="31" t="n">
        <x:v>10.221465076660987</x:v>
      </x:c>
      <x:c r="X2204" s="31" t="n">
        <x:v>2</x:v>
      </x:c>
      <x:c r="Y2204" s="40" t="n">
        <x:v>0</x:v>
      </x:c>
      <x:c r="Z2204" s="40" t="n">
        <x:v>1</x:v>
      </x:c>
      <x:c r="AA2204" s="40" t="n">
        <x:v>0.9919871794871795</x:v>
      </x:c>
      <x:c r="AB2204" s="31" t="n">
        <x:v>0.07581401844562939</x:v>
      </x:c>
      <x:c r="AC2204" s="31" t="n">
        <x:v>5</x:v>
      </x:c>
      <x:c r="AD2204" s="44" t="b">
        <x:v>1</x:v>
      </x:c>
    </x:row>
    <x:row r="2205">
      <x:c r="A2205" s="31" t="str">
        <x:v>36085000600</x:v>
      </x:c>
      <x:c r="B2205" s="31" t="str">
        <x:v>Staten Island</x:v>
      </x:c>
      <x:c r="C2205" s="31" t="str">
        <x:v>000600</x:v>
      </x:c>
      <x:c r="D2205" s="31" t="str">
        <x:v>SI0103</x:v>
      </x:c>
      <x:c r="E2205" s="31" t="str">
        <x:v>Rosebank-Shore Acres-Park Hill</x:v>
      </x:c>
      <x:c r="F2205" s="31" t="n">
        <x:v>0.2580678246506256</x:v>
      </x:c>
      <x:c r="G2205" s="31" t="n">
        <x:v>40.615339801131434</x:v>
      </x:c>
      <x:c r="H2205" s="31" t="n">
        <x:v>-74.06516447655693</x:v>
      </x:c>
      <x:c r="I2205" s="31" t="n">
        <x:v>2859</x:v>
      </x:c>
      <x:c r="J2205" s="31" t="n">
        <x:v>11078.48296807453</x:v>
      </x:c>
      <x:c r="K2205" s="31"/>
      <x:c r="L2205" s="40"/>
      <x:c r="M2205" s="40"/>
      <x:c r="N2205" s="31" t="n">
        <x:v>429</x:v>
      </x:c>
      <x:c r="O2205" s="31" t="n">
        <x:v>1444</x:v>
      </x:c>
      <x:c r="P2205" s="31" t="n">
        <x:v>5.480734072022161</x:v>
      </x:c>
      <x:c r="Q2205" s="40" t="n">
        <x:v>0.31786703601108035</x:v>
      </x:c>
      <x:c r="R2205" s="40" t="n">
        <x:v>0.2873961218836565</x:v>
      </x:c>
      <x:c r="S2205" s="40" t="n">
        <x:v>0.036011080332409975</x:v>
      </x:c>
      <x:c r="T2205" s="31" t="n">
        <x:v>60.82906044530229</x:v>
      </x:c>
      <x:c r="U2205" s="31" t="n">
        <x:v>149</x:v>
      </x:c>
      <x:c r="V2205" s="31" t="n">
        <x:v>19</x:v>
      </x:c>
      <x:c r="W2205" s="31" t="n">
        <x:v>6.64568030779993</x:v>
      </x:c>
      <x:c r="X2205" s="31" t="n">
        <x:v>2.0242382271468142</x:v>
      </x:c>
      <x:c r="Y2205" s="40" t="n">
        <x:v>0</x:v>
      </x:c>
      <x:c r="Z2205" s="40" t="n">
        <x:v>1</x:v>
      </x:c>
      <x:c r="AA2205" s="40" t="n">
        <x:v>0.9965373961218836</x:v>
      </x:c>
      <x:c r="AB2205" s="31" t="n">
        <x:v>0.2576548139552903</x:v>
      </x:c>
      <x:c r="AC2205" s="31" t="n">
        <x:v>5</x:v>
      </x:c>
      <x:c r="AD2205" s="44" t="b">
        <x:v>1</x:v>
      </x:c>
    </x:row>
    <x:row r="2206">
      <x:c r="A2206" s="31" t="str">
        <x:v>36085000700</x:v>
      </x:c>
      <x:c r="B2206" s="31" t="str">
        <x:v>Staten Island</x:v>
      </x:c>
      <x:c r="C2206" s="31" t="str">
        <x:v>000700</x:v>
      </x:c>
      <x:c r="D2206" s="31" t="str">
        <x:v>SI0101</x:v>
      </x:c>
      <x:c r="E2206" s="31" t="str">
        <x:v>St. George-New Brighton</x:v>
      </x:c>
      <x:c r="F2206" s="31" t="n">
        <x:v>0.19729040500602615</x:v>
      </x:c>
      <x:c r="G2206" s="31" t="n">
        <x:v>40.646090213986966</x:v>
      </x:c>
      <x:c r="H2206" s="31" t="n">
        <x:v>-74.08238868230106</x:v>
      </x:c>
      <x:c r="I2206" s="31" t="n">
        <x:v>5143</x:v>
      </x:c>
      <x:c r="J2206" s="31" t="n">
        <x:v>26068.17092723242</x:v>
      </x:c>
      <x:c r="K2206" s="31"/>
      <x:c r="L2206" s="40"/>
      <x:c r="M2206" s="40"/>
      <x:c r="N2206" s="31" t="n">
        <x:v>222</x:v>
      </x:c>
      <x:c r="O2206" s="31" t="n">
        <x:v>2355</x:v>
      </x:c>
      <x:c r="P2206" s="31" t="n">
        <x:v>8.532131634819532</x:v>
      </x:c>
      <x:c r="Q2206" s="40" t="n">
        <x:v>0.2615711252653928</x:v>
      </x:c>
      <x:c r="R2206" s="40" t="n">
        <x:v>0.5885350318471337</x:v>
      </x:c>
      <x:c r="S2206" s="40" t="n">
        <x:v>0.35583864118895964</x:v>
      </x:c>
      <x:c r="T2206" s="31" t="n">
        <x:v>89.36368139638334</x:v>
      </x:c>
      <x:c r="U2206" s="31" t="n">
        <x:v>192.1</x:v>
      </x:c>
      <x:c r="V2206" s="31" t="n">
        <x:v>36</x:v>
      </x:c>
      <x:c r="W2206" s="31" t="n">
        <x:v>6.99980556095664</x:v>
      </x:c>
      <x:c r="X2206" s="31" t="n">
        <x:v>2</x:v>
      </x:c>
      <x:c r="Y2206" s="40" t="n">
        <x:v>0</x:v>
      </x:c>
      <x:c r="Z2206" s="40" t="n">
        <x:v>1</x:v>
      </x:c>
      <x:c r="AA2206" s="40" t="n">
        <x:v>0.9991507430997877</x:v>
      </x:c>
      <x:c r="AB2206" s="31" t="n">
        <x:v>0.04755388795083229</x:v>
      </x:c>
      <x:c r="AC2206" s="31" t="n">
        <x:v>3</x:v>
      </x:c>
      <x:c r="AD2206" s="44" t="b">
        <x:v>1</x:v>
      </x:c>
    </x:row>
    <x:row r="2207">
      <x:c r="A2207" s="31" t="str">
        <x:v>36085000800</x:v>
      </x:c>
      <x:c r="B2207" s="31" t="str">
        <x:v>Staten Island</x:v>
      </x:c>
      <x:c r="C2207" s="31" t="str">
        <x:v>000800</x:v>
      </x:c>
      <x:c r="D2207" s="31" t="str">
        <x:v>SI0103</x:v>
      </x:c>
      <x:c r="E2207" s="31" t="str">
        <x:v>Rosebank-Shore Acres-Park Hill</x:v>
      </x:c>
      <x:c r="F2207" s="31" t="n">
        <x:v>0.30745655572055786</x:v>
      </x:c>
      <x:c r="G2207" s="31" t="n">
        <x:v>40.6119222768095</x:v>
      </x:c>
      <x:c r="H2207" s="31" t="n">
        <x:v>-74.06769346009088</x:v>
      </x:c>
      <x:c r="I2207" s="31" t="n">
        <x:v>6268</x:v>
      </x:c>
      <x:c r="J2207" s="31" t="n">
        <x:v>20386.620104132307</x:v>
      </x:c>
      <x:c r="K2207" s="31"/>
      <x:c r="L2207" s="40"/>
      <x:c r="M2207" s="40"/>
      <x:c r="N2207" s="31" t="n">
        <x:v>1426</x:v>
      </x:c>
      <x:c r="O2207" s="31" t="n">
        <x:v>2008</x:v>
      </x:c>
      <x:c r="P2207" s="31" t="n">
        <x:v>2.198653366583541</x:v>
      </x:c>
      <x:c r="Q2207" s="40" t="n">
        <x:v>0</x:v>
      </x:c>
      <x:c r="R2207" s="40" t="n">
        <x:v>0.1454183266932271</x:v>
      </x:c>
      <x:c r="S2207" s="40" t="n">
        <x:v>0.04332669322709164</x:v>
      </x:c>
      <x:c r="T2207" s="31" t="n">
        <x:v>28.907546003695323</x:v>
      </x:c>
      <x:c r="U2207" s="31" t="n">
        <x:v>52</x:v>
      </x:c>
      <x:c r="V2207" s="31" t="n">
        <x:v>2</x:v>
      </x:c>
      <x:c r="W2207" s="31" t="n">
        <x:v>0.3190810465858328</x:v>
      </x:c>
      <x:c r="X2207" s="31" t="n">
        <x:v>2</x:v>
      </x:c>
      <x:c r="Y2207" s="40" t="n">
        <x:v>0</x:v>
      </x:c>
      <x:c r="Z2207" s="40" t="n">
        <x:v>1</x:v>
      </x:c>
      <x:c r="AA2207" s="40" t="n">
        <x:v>0.9905378486055777</x:v>
      </x:c>
      <x:c r="AB2207" s="31" t="n">
        <x:v>0.11250156083968228</x:v>
      </x:c>
      <x:c r="AC2207" s="31" t="n">
        <x:v>6</x:v>
      </x:c>
      <x:c r="AD2207" s="44" t="b">
        <x:v>1</x:v>
      </x:c>
    </x:row>
    <x:row r="2208">
      <x:c r="A2208" s="31" t="str">
        <x:v>36085000900</x:v>
      </x:c>
      <x:c r="B2208" s="31" t="str">
        <x:v>Staten Island</x:v>
      </x:c>
      <x:c r="C2208" s="31" t="str">
        <x:v>000900</x:v>
      </x:c>
      <x:c r="D2208" s="31" t="str">
        <x:v>SI0101</x:v>
      </x:c>
      <x:c r="E2208" s="31" t="str">
        <x:v>St. George-New Brighton</x:v>
      </x:c>
      <x:c r="F2208" s="31" t="n">
        <x:v>0.08956789786644857</x:v>
      </x:c>
      <x:c r="G2208" s="31" t="n">
        <x:v>40.64220416387523</x:v>
      </x:c>
      <x:c r="H2208" s="31" t="n">
        <x:v>-74.08285642578305</x:v>
      </x:c>
      <x:c r="I2208" s="31" t="n">
        <x:v>2240</x:v>
      </x:c>
      <x:c r="J2208" s="31" t="n">
        <x:v>25008.960278826486</x:v>
      </x:c>
      <x:c r="K2208" s="31"/>
      <x:c r="L2208" s="40"/>
      <x:c r="M2208" s="40"/>
      <x:c r="N2208" s="31" t="n">
        <x:v>342</x:v>
      </x:c>
      <x:c r="O2208" s="31" t="n">
        <x:v>861</x:v>
      </x:c>
      <x:c r="P2208" s="31" t="n">
        <x:v>3.110058072009292</x:v>
      </x:c>
      <x:c r="Q2208" s="40" t="n">
        <x:v>0</x:v>
      </x:c>
      <x:c r="R2208" s="40" t="n">
        <x:v>0.35423925667828104</x:v>
      </x:c>
      <x:c r="S2208" s="40" t="n">
        <x:v>0.032520325203252036</x:v>
      </x:c>
      <x:c r="T2208" s="31" t="n">
        <x:v>40.37347514584597</x:v>
      </x:c>
      <x:c r="U2208" s="31" t="n">
        <x:v>66.44</x:v>
      </x:c>
      <x:c r="V2208" s="31" t="n">
        <x:v>2</x:v>
      </x:c>
      <x:c r="W2208" s="31" t="n">
        <x:v>0.8928571428571428</x:v>
      </x:c>
      <x:c r="X2208" s="31" t="n">
        <x:v>2</x:v>
      </x:c>
      <x:c r="Y2208" s="40" t="n">
        <x:v>0</x:v>
      </x:c>
      <x:c r="Z2208" s="40" t="n">
        <x:v>1</x:v>
      </x:c>
      <x:c r="AA2208" s="40" t="n">
        <x:v>0.9953542392566783</x:v>
      </x:c>
      <x:c r="AB2208" s="31" t="n">
        <x:v>0.13782380091949648</x:v>
      </x:c>
      <x:c r="AC2208" s="31" t="n">
        <x:v>5</x:v>
      </x:c>
      <x:c r="AD2208" s="44" t="b">
        <x:v>1</x:v>
      </x:c>
    </x:row>
    <x:row r="2209">
      <x:c r="A2209" s="31" t="str">
        <x:v>36085001100</x:v>
      </x:c>
      <x:c r="B2209" s="31" t="str">
        <x:v>Staten Island</x:v>
      </x:c>
      <x:c r="C2209" s="31" t="str">
        <x:v>001100</x:v>
      </x:c>
      <x:c r="D2209" s="31" t="str">
        <x:v>SI0101</x:v>
      </x:c>
      <x:c r="E2209" s="31" t="str">
        <x:v>St. George-New Brighton</x:v>
      </x:c>
      <x:c r="F2209" s="31" t="n">
        <x:v>0.12543151466475838</x:v>
      </x:c>
      <x:c r="G2209" s="31" t="n">
        <x:v>40.638776303487774</x:v>
      </x:c>
      <x:c r="H2209" s="31" t="n">
        <x:v>-74.08267802146754</x:v>
      </x:c>
      <x:c r="I2209" s="31" t="n">
        <x:v>4234</x:v>
      </x:c>
      <x:c r="J2209" s="31" t="n">
        <x:v>33755.47215001142</x:v>
      </x:c>
      <x:c r="K2209" s="31"/>
      <x:c r="L2209" s="40"/>
      <x:c r="M2209" s="40"/>
      <x:c r="N2209" s="31" t="n">
        <x:v>614</x:v>
      </x:c>
      <x:c r="O2209" s="31" t="n">
        <x:v>1471</x:v>
      </x:c>
      <x:c r="P2209" s="31" t="n">
        <x:v>2.8339591836734694</x:v>
      </x:c>
      <x:c r="Q2209" s="40" t="n">
        <x:v>0</x:v>
      </x:c>
      <x:c r="R2209" s="40" t="n">
        <x:v>0.40584636301835486</x:v>
      </x:c>
      <x:c r="S2209" s="40" t="n">
        <x:v>0.02379333786539769</x:v>
      </x:c>
      <x:c r="T2209" s="31" t="n">
        <x:v>37.089052299856945</x:v>
      </x:c>
      <x:c r="U2209" s="31" t="n">
        <x:v>71.19</x:v>
      </x:c>
      <x:c r="V2209" s="31" t="n">
        <x:v>2</x:v>
      </x:c>
      <x:c r="W2209" s="31" t="n">
        <x:v>0.4723665564478035</x:v>
      </x:c>
      <x:c r="X2209" s="31" t="n">
        <x:v>2</x:v>
      </x:c>
      <x:c r="Y2209" s="40" t="n">
        <x:v>0</x:v>
      </x:c>
      <x:c r="Z2209" s="40" t="n">
        <x:v>1</x:v>
      </x:c>
      <x:c r="AA2209" s="40" t="n">
        <x:v>0.9979605710401088</x:v>
      </x:c>
      <x:c r="AB2209" s="31" t="n">
        <x:v>0.16551648980612327</x:v>
      </x:c>
      <x:c r="AC2209" s="31" t="n">
        <x:v>6</x:v>
      </x:c>
      <x:c r="AD2209" s="44" t="b">
        <x:v>1</x:v>
      </x:c>
    </x:row>
    <x:row r="2210">
      <x:c r="A2210" s="31" t="str">
        <x:v>36085001700</x:v>
      </x:c>
      <x:c r="B2210" s="31" t="str">
        <x:v>Staten Island</x:v>
      </x:c>
      <x:c r="C2210" s="31" t="str">
        <x:v>001700</x:v>
      </x:c>
      <x:c r="D2210" s="31" t="str">
        <x:v>SI0102</x:v>
      </x:c>
      <x:c r="E2210" s="31" t="str">
        <x:v>Tompkinsville-Stapleton-Clifton-Fox Hills</x:v>
      </x:c>
      <x:c r="F2210" s="31" t="n">
        <x:v>0.11821986168323863</x:v>
      </x:c>
      <x:c r="G2210" s="31" t="n">
        <x:v>40.634415774532734</x:v>
      </x:c>
      <x:c r="H2210" s="31" t="n">
        <x:v>-74.08122748229717</x:v>
      </x:c>
      <x:c r="I2210" s="31" t="n">
        <x:v>1865</x:v>
      </x:c>
      <x:c r="J2210" s="31" t="n">
        <x:v>15775.690932519694</x:v>
      </x:c>
      <x:c r="K2210" s="31"/>
      <x:c r="L2210" s="40"/>
      <x:c r="M2210" s="40"/>
      <x:c r="N2210" s="31" t="n">
        <x:v>372</x:v>
      </x:c>
      <x:c r="O2210" s="31" t="n">
        <x:v>746</x:v>
      </x:c>
      <x:c r="P2210" s="31" t="n">
        <x:v>2.860955585464334</x:v>
      </x:c>
      <x:c r="Q2210" s="40" t="n">
        <x:v>0</x:v>
      </x:c>
      <x:c r="R2210" s="40" t="n">
        <x:v>0.3203753351206434</x:v>
      </x:c>
      <x:c r="S2210" s="40" t="n">
        <x:v>0.01742627345844504</x:v>
      </x:c>
      <x:c r="T2210" s="31" t="n">
        <x:v>34.23223994953454</x:v>
      </x:c>
      <x:c r="U2210" s="31" t="n">
        <x:v>64.79</x:v>
      </x:c>
      <x:c r="V2210" s="31" t="n">
        <x:v>2</x:v>
      </x:c>
      <x:c r="W2210" s="31" t="n">
        <x:v>1.0723860589812333</x:v>
      </x:c>
      <x:c r="X2210" s="31" t="n">
        <x:v>2.260053619302949</x:v>
      </x:c>
      <x:c r="Y2210" s="40" t="n">
        <x:v>0</x:v>
      </x:c>
      <x:c r="Z2210" s="40" t="n">
        <x:v>1</x:v>
      </x:c>
      <x:c r="AA2210" s="40" t="n">
        <x:v>0.8927613941018767</x:v>
      </x:c>
      <x:c r="AB2210" s="31" t="n">
        <x:v>0.16367004806329669</x:v>
      </x:c>
      <x:c r="AC2210" s="31" t="n">
        <x:v>5</x:v>
      </x:c>
      <x:c r="AD2210" s="44" t="b">
        <x:v>1</x:v>
      </x:c>
    </x:row>
    <x:row r="2211">
      <x:c r="A2211" s="31" t="str">
        <x:v>36085001800</x:v>
      </x:c>
      <x:c r="B2211" s="31" t="str">
        <x:v>Staten Island</x:v>
      </x:c>
      <x:c r="C2211" s="31" t="str">
        <x:v>001800</x:v>
      </x:c>
      <x:c r="D2211" s="31" t="str">
        <x:v>SI9561</x:v>
      </x:c>
      <x:c r="E2211" s="31" t="str">
        <x:v>Fort Wadsworth</x:v>
      </x:c>
      <x:c r="F2211" s="31" t="n">
        <x:v>0.35393885963577537</x:v>
      </x:c>
      <x:c r="G2211" s="31" t="n">
        <x:v>40.60151747293362</x:v>
      </x:c>
      <x:c r="H2211" s="31" t="n">
        <x:v>-74.05853320685372</x:v>
      </x:c>
      <x:c r="I2211" s="31" t="n">
        <x:v>495</x:v>
      </x:c>
      <x:c r="J2211" s="31" t="n">
        <x:v>1398.5466317809385</x:v>
      </x:c>
      <x:c r="K2211" s="31"/>
      <x:c r="L2211" s="40"/>
      <x:c r="M2211" s="40"/>
      <x:c r="N2211" s="31" t="n">
        <x:v>0</x:v>
      </x:c>
      <x:c r="O2211" s="31"/>
      <x:c r="P2211" s="31"/>
      <x:c r="Q2211" s="40"/>
      <x:c r="R2211" s="40"/>
      <x:c r="S2211" s="40"/>
      <x:c r="T2211" s="31"/>
      <x:c r="U2211" s="31"/>
      <x:c r="V2211" s="31" t="n">
        <x:v>0</x:v>
      </x:c>
      <x:c r="W2211" s="31" t="n">
        <x:v>0</x:v>
      </x:c>
      <x:c r="X2211" s="31"/>
      <x:c r="Y2211" s="40"/>
      <x:c r="Z2211" s="40"/>
      <x:c r="AA2211" s="40"/>
      <x:c r="AB2211" s="31" t="n">
        <x:v>0.45932276571448966</x:v>
      </x:c>
      <x:c r="AC2211" s="31" t="n">
        <x:v>5</x:v>
      </x:c>
      <x:c r="AD2211" s="44" t="b">
        <x:v>0</x:v>
      </x:c>
    </x:row>
    <x:row r="2212">
      <x:c r="A2212" s="31" t="str">
        <x:v>36085002001</x:v>
      </x:c>
      <x:c r="B2212" s="31" t="str">
        <x:v>Staten Island</x:v>
      </x:c>
      <x:c r="C2212" s="31" t="str">
        <x:v>002001</x:v>
      </x:c>
      <x:c r="D2212" s="31" t="str">
        <x:v>SI0103</x:v>
      </x:c>
      <x:c r="E2212" s="31" t="str">
        <x:v>Rosebank-Shore Acres-Park Hill</x:v>
      </x:c>
      <x:c r="F2212" s="31" t="n">
        <x:v>0.19770152387690829</x:v>
      </x:c>
      <x:c r="G2212" s="31" t="n">
        <x:v>40.606890544811705</x:v>
      </x:c>
      <x:c r="H2212" s="31" t="n">
        <x:v>-74.07096374842172</x:v>
      </x:c>
      <x:c r="I2212" s="31" t="n">
        <x:v>2524</x:v>
      </x:c>
      <x:c r="J2212" s="31" t="n">
        <x:v>12766.72000551436</x:v>
      </x:c>
      <x:c r="K2212" s="31"/>
      <x:c r="L2212" s="40"/>
      <x:c r="M2212" s="40"/>
      <x:c r="N2212" s="31" t="n">
        <x:v>484</x:v>
      </x:c>
      <x:c r="O2212" s="31" t="n">
        <x:v>1287</x:v>
      </x:c>
      <x:c r="P2212" s="31" t="n">
        <x:v>2.4091517509727627</x:v>
      </x:c>
      <x:c r="Q2212" s="40" t="n">
        <x:v>0</x:v>
      </x:c>
      <x:c r="R2212" s="40" t="n">
        <x:v>0.2913752913752914</x:v>
      </x:c>
      <x:c r="S2212" s="40" t="n">
        <x:v>0.42657342657342656</x:v>
      </x:c>
      <x:c r="T2212" s="31" t="n">
        <x:v>31.40881468580224</x:v>
      </x:c>
      <x:c r="U2212" s="31" t="n">
        <x:v>47.14</x:v>
      </x:c>
      <x:c r="V2212" s="31" t="n">
        <x:v>2</x:v>
      </x:c>
      <x:c r="W2212" s="31" t="n">
        <x:v>0.7923930269413629</x:v>
      </x:c>
      <x:c r="X2212" s="31" t="n">
        <x:v>2</x:v>
      </x:c>
      <x:c r="Y2212" s="40" t="n">
        <x:v>0</x:v>
      </x:c>
      <x:c r="Z2212" s="40" t="n">
        <x:v>1</x:v>
      </x:c>
      <x:c r="AA2212" s="40" t="n">
        <x:v>0.8329448329448329</x:v>
      </x:c>
      <x:c r="AB2212" s="31" t="n">
        <x:v>0.4417600248629544</x:v>
      </x:c>
      <x:c r="AC2212" s="31" t="n">
        <x:v>5</x:v>
      </x:c>
      <x:c r="AD2212" s="44" t="b">
        <x:v>1</x:v>
      </x:c>
    </x:row>
    <x:row r="2213">
      <x:c r="A2213" s="31" t="str">
        <x:v>36085002002</x:v>
      </x:c>
      <x:c r="B2213" s="31" t="str">
        <x:v>Staten Island</x:v>
      </x:c>
      <x:c r="C2213" s="31" t="str">
        <x:v>002002</x:v>
      </x:c>
      <x:c r="D2213" s="31" t="str">
        <x:v>SI0201</x:v>
      </x:c>
      <x:c r="E2213" s="31" t="str">
        <x:v>Grasmere-Arrochar-South Beach-Dongan Hills</x:v>
      </x:c>
      <x:c r="F2213" s="31" t="n">
        <x:v>0.29701177794457356</x:v>
      </x:c>
      <x:c r="G2213" s="31" t="n">
        <x:v>40.60147842202536</x:v>
      </x:c>
      <x:c r="H2213" s="31" t="n">
        <x:v>-74.07032352061896</x:v>
      </x:c>
      <x:c r="I2213" s="31" t="n">
        <x:v>3302</x:v>
      </x:c>
      <x:c r="J2213" s="31" t="n">
        <x:v>11117.404241848611</x:v>
      </x:c>
      <x:c r="K2213" s="31"/>
      <x:c r="L2213" s="40"/>
      <x:c r="M2213" s="40"/>
      <x:c r="N2213" s="31" t="n">
        <x:v>601</x:v>
      </x:c>
      <x:c r="O2213" s="31" t="n">
        <x:v>1106</x:v>
      </x:c>
      <x:c r="P2213" s="31" t="n">
        <x:v>2.5910036166365282</x:v>
      </x:c>
      <x:c r="Q2213" s="40" t="n">
        <x:v>0</x:v>
      </x:c>
      <x:c r="R2213" s="40" t="n">
        <x:v>0.19981916817359854</x:v>
      </x:c>
      <x:c r="S2213" s="40" t="n">
        <x:v>0.11754068716094032</x:v>
      </x:c>
      <x:c r="T2213" s="31" t="n">
        <x:v>32.533019415004574</x:v>
      </x:c>
      <x:c r="U2213" s="31" t="n">
        <x:v>65.94</x:v>
      </x:c>
      <x:c r="V2213" s="31" t="n">
        <x:v>10</x:v>
      </x:c>
      <x:c r="W2213" s="31" t="n">
        <x:v>3.0284675953967293</x:v>
      </x:c>
      <x:c r="X2213" s="31" t="n">
        <x:v>2</x:v>
      </x:c>
      <x:c r="Y2213" s="40" t="n">
        <x:v>0</x:v>
      </x:c>
      <x:c r="Z2213" s="40" t="n">
        <x:v>1</x:v>
      </x:c>
      <x:c r="AA2213" s="40" t="n">
        <x:v>0.9882459312839059</x:v>
      </x:c>
      <x:c r="AB2213" s="31" t="n">
        <x:v>0.24422282925333025</x:v>
      </x:c>
      <x:c r="AC2213" s="31" t="n">
        <x:v>7</x:v>
      </x:c>
      <x:c r="AD2213" s="44" t="b">
        <x:v>1</x:v>
      </x:c>
    </x:row>
    <x:row r="2214">
      <x:c r="A2214" s="31" t="str">
        <x:v>36085002100</x:v>
      </x:c>
      <x:c r="B2214" s="31" t="str">
        <x:v>Staten Island</x:v>
      </x:c>
      <x:c r="C2214" s="31" t="str">
        <x:v>002100</x:v>
      </x:c>
      <x:c r="D2214" s="31" t="str">
        <x:v>SI0102</x:v>
      </x:c>
      <x:c r="E2214" s="31" t="str">
        <x:v>Tompkinsville-Stapleton-Clifton-Fox Hills</x:v>
      </x:c>
      <x:c r="F2214" s="31" t="n">
        <x:v>0.3333374410507776</x:v>
      </x:c>
      <x:c r="G2214" s="31" t="n">
        <x:v>40.63036614544602</x:v>
      </x:c>
      <x:c r="H2214" s="31" t="n">
        <x:v>-74.07742970920938</x:v>
      </x:c>
      <x:c r="I2214" s="31" t="n">
        <x:v>5467</x:v>
      </x:c>
      <x:c r="J2214" s="31" t="n">
        <x:v>16400.797890469217</x:v>
      </x:c>
      <x:c r="K2214" s="31"/>
      <x:c r="L2214" s="40"/>
      <x:c r="M2214" s="40"/>
      <x:c r="N2214" s="31" t="n">
        <x:v>816</x:v>
      </x:c>
      <x:c r="O2214" s="31" t="n">
        <x:v>2486</x:v>
      </x:c>
      <x:c r="P2214" s="31" t="n">
        <x:v>4.295074446680081</x:v>
      </x:c>
      <x:c r="Q2214" s="40" t="n">
        <x:v>0.1086082059533387</x:v>
      </x:c>
      <x:c r="R2214" s="40" t="n">
        <x:v>0.4754625905068383</x:v>
      </x:c>
      <x:c r="S2214" s="40" t="n">
        <x:v>0.02775543041029767</x:v>
      </x:c>
      <x:c r="T2214" s="31" t="n">
        <x:v>52.98683300969808</x:v>
      </x:c>
      <x:c r="U2214" s="31" t="n">
        <x:v>144</x:v>
      </x:c>
      <x:c r="V2214" s="31" t="n">
        <x:v>22</x:v>
      </x:c>
      <x:c r="W2214" s="31" t="n">
        <x:v>4.024144869215292</x:v>
      </x:c>
      <x:c r="X2214" s="31" t="n">
        <x:v>2.8801287208366855</x:v>
      </x:c>
      <x:c r="Y2214" s="40" t="n">
        <x:v>0</x:v>
      </x:c>
      <x:c r="Z2214" s="40" t="n">
        <x:v>1</x:v>
      </x:c>
      <x:c r="AA2214" s="40" t="n">
        <x:v>0.9859211584875301</x:v>
      </x:c>
      <x:c r="AB2214" s="31" t="n">
        <x:v>0.19032823437959775</x:v>
      </x:c>
      <x:c r="AC2214" s="31" t="n">
        <x:v>7</x:v>
      </x:c>
      <x:c r="AD2214" s="44" t="b">
        <x:v>1</x:v>
      </x:c>
    </x:row>
    <x:row r="2215">
      <x:c r="A2215" s="31" t="str">
        <x:v>36085002700</x:v>
      </x:c>
      <x:c r="B2215" s="31" t="str">
        <x:v>Staten Island</x:v>
      </x:c>
      <x:c r="C2215" s="31" t="str">
        <x:v>002700</x:v>
      </x:c>
      <x:c r="D2215" s="31" t="str">
        <x:v>SI0102</x:v>
      </x:c>
      <x:c r="E2215" s="31" t="str">
        <x:v>Tompkinsville-Stapleton-Clifton-Fox Hills</x:v>
      </x:c>
      <x:c r="F2215" s="31" t="n">
        <x:v>0.09694840381657485</x:v>
      </x:c>
      <x:c r="G2215" s="31" t="n">
        <x:v>40.623588087115536</x:v>
      </x:c>
      <x:c r="H2215" s="31" t="n">
        <x:v>-74.07642057521966</x:v>
      </x:c>
      <x:c r="I2215" s="31" t="n">
        <x:v>2049</x:v>
      </x:c>
      <x:c r="J2215" s="31" t="n">
        <x:v>21134.953432309023</x:v>
      </x:c>
      <x:c r="K2215" s="31"/>
      <x:c r="L2215" s="40"/>
      <x:c r="M2215" s="40"/>
      <x:c r="N2215" s="31" t="n">
        <x:v>222</x:v>
      </x:c>
      <x:c r="O2215" s="31" t="n">
        <x:v>488</x:v>
      </x:c>
      <x:c r="P2215" s="31" t="n">
        <x:v>2.6514373716632442</x:v>
      </x:c>
      <x:c r="Q2215" s="40" t="n">
        <x:v>0</x:v>
      </x:c>
      <x:c r="R2215" s="40" t="n">
        <x:v>0.38524590163934425</x:v>
      </x:c>
      <x:c r="S2215" s="40" t="n">
        <x:v>0.05942622950819672</x:v>
      </x:c>
      <x:c r="T2215" s="31" t="n">
        <x:v>34.699224410102666</x:v>
      </x:c>
      <x:c r="U2215" s="31" t="n">
        <x:v>64.37986326</x:v>
      </x:c>
      <x:c r="V2215" s="31" t="n">
        <x:v>2</x:v>
      </x:c>
      <x:c r="W2215" s="31" t="n">
        <x:v>0.9760858955588092</x:v>
      </x:c>
      <x:c r="X2215" s="31" t="n">
        <x:v>3</x:v>
      </x:c>
      <x:c r="Y2215" s="40" t="n">
        <x:v>0</x:v>
      </x:c>
      <x:c r="Z2215" s="40" t="n">
        <x:v>1</x:v>
      </x:c>
      <x:c r="AA2215" s="40" t="n">
        <x:v>0.9979508196721312</x:v>
      </x:c>
      <x:c r="AB2215" s="31" t="n">
        <x:v>0.16579024219670613</x:v>
      </x:c>
      <x:c r="AC2215" s="31" t="n">
        <x:v>4</x:v>
      </x:c>
      <x:c r="AD2215" s="44" t="b">
        <x:v>1</x:v>
      </x:c>
    </x:row>
    <x:row r="2216">
      <x:c r="A2216" s="31" t="str">
        <x:v>36085002900</x:v>
      </x:c>
      <x:c r="B2216" s="31" t="str">
        <x:v>Staten Island</x:v>
      </x:c>
      <x:c r="C2216" s="31" t="str">
        <x:v>002900</x:v>
      </x:c>
      <x:c r="D2216" s="31" t="str">
        <x:v>SI0102</x:v>
      </x:c>
      <x:c r="E2216" s="31" t="str">
        <x:v>Tompkinsville-Stapleton-Clifton-Fox Hills</x:v>
      </x:c>
      <x:c r="F2216" s="31" t="n">
        <x:v>0.20337307612954833</x:v>
      </x:c>
      <x:c r="G2216" s="31" t="n">
        <x:v>40.619661117779074</x:v>
      </x:c>
      <x:c r="H2216" s="31" t="n">
        <x:v>-74.08273825020994</x:v>
      </x:c>
      <x:c r="I2216" s="31" t="n">
        <x:v>6871</x:v>
      </x:c>
      <x:c r="J2216" s="31" t="n">
        <x:v>33785.19974602333</x:v>
      </x:c>
      <x:c r="K2216" s="31"/>
      <x:c r="L2216" s="40"/>
      <x:c r="M2216" s="40"/>
      <x:c r="N2216" s="31" t="n">
        <x:v>770</x:v>
      </x:c>
      <x:c r="O2216" s="31" t="n">
        <x:v>2000</x:v>
      </x:c>
      <x:c r="P2216" s="31" t="n">
        <x:v>4.55054718875502</x:v>
      </x:c>
      <x:c r="Q2216" s="40" t="n">
        <x:v>0</x:v>
      </x:c>
      <x:c r="R2216" s="40" t="n">
        <x:v>0.484</x:v>
      </x:c>
      <x:c r="S2216" s="40" t="n">
        <x:v>0.3585</x:v>
      </x:c>
      <x:c r="T2216" s="31" t="n">
        <x:v>49.86923373189352</x:v>
      </x:c>
      <x:c r="U2216" s="31" t="n">
        <x:v>82.23</x:v>
      </x:c>
      <x:c r="V2216" s="31" t="n">
        <x:v>16</x:v>
      </x:c>
      <x:c r="W2216" s="31" t="n">
        <x:v>2.328627565128802</x:v>
      </x:c>
      <x:c r="X2216" s="31" t="n">
        <x:v>3</x:v>
      </x:c>
      <x:c r="Y2216" s="40" t="n">
        <x:v>0</x:v>
      </x:c>
      <x:c r="Z2216" s="40" t="n">
        <x:v>1</x:v>
      </x:c>
      <x:c r="AA2216" s="40" t="n">
        <x:v>0.9955</x:v>
      </x:c>
      <x:c r="AB2216" s="31" t="n">
        <x:v>0.11285033812359443</x:v>
      </x:c>
      <x:c r="AC2216" s="31" t="n">
        <x:v>6</x:v>
      </x:c>
      <x:c r="AD2216" s="44" t="b">
        <x:v>1</x:v>
      </x:c>
    </x:row>
    <x:row r="2217">
      <x:c r="A2217" s="31" t="str">
        <x:v>36085003300</x:v>
      </x:c>
      <x:c r="B2217" s="31" t="str">
        <x:v>Staten Island</x:v>
      </x:c>
      <x:c r="C2217" s="31" t="str">
        <x:v>003300</x:v>
      </x:c>
      <x:c r="D2217" s="31" t="str">
        <x:v>SI0104</x:v>
      </x:c>
      <x:c r="E2217" s="31" t="str">
        <x:v>West New Brighton-Silver Lake-Grymes Hill</x:v>
      </x:c>
      <x:c r="F2217" s="31" t="n">
        <x:v>0.33032238110042184</x:v>
      </x:c>
      <x:c r="G2217" s="31" t="n">
        <x:v>40.62561050173028</x:v>
      </x:c>
      <x:c r="H2217" s="31" t="n">
        <x:v>-74.08662861246171</x:v>
      </x:c>
      <x:c r="I2217" s="31" t="n">
        <x:v>3738</x:v>
      </x:c>
      <x:c r="J2217" s="31" t="n">
        <x:v>11316.217773519877</x:v>
      </x:c>
      <x:c r="K2217" s="31"/>
      <x:c r="L2217" s="40"/>
      <x:c r="M2217" s="40"/>
      <x:c r="N2217" s="31" t="n">
        <x:v>709</x:v>
      </x:c>
      <x:c r="O2217" s="31" t="n">
        <x:v>1464</x:v>
      </x:c>
      <x:c r="P2217" s="31" t="n">
        <x:v>3.4400341763499656</x:v>
      </x:c>
      <x:c r="Q2217" s="40" t="n">
        <x:v>0</x:v>
      </x:c>
      <x:c r="R2217" s="40" t="n">
        <x:v>0.4098360655737705</x:v>
      </x:c>
      <x:c r="S2217" s="40" t="n">
        <x:v>0.06830601092896176</x:v>
      </x:c>
      <x:c r="T2217" s="31" t="n">
        <x:v>40.4778645854489</x:v>
      </x:c>
      <x:c r="U2217" s="31" t="n">
        <x:v>65.53</x:v>
      </x:c>
      <x:c r="V2217" s="31" t="n">
        <x:v>12</x:v>
      </x:c>
      <x:c r="W2217" s="31" t="n">
        <x:v>3.2102728731942216</x:v>
      </x:c>
      <x:c r="X2217" s="31" t="n">
        <x:v>2.759562841530055</x:v>
      </x:c>
      <x:c r="Y2217" s="40" t="n">
        <x:v>0</x:v>
      </x:c>
      <x:c r="Z2217" s="40" t="n">
        <x:v>1</x:v>
      </x:c>
      <x:c r="AA2217" s="40" t="n">
        <x:v>0.9890710382513661</x:v>
      </x:c>
      <x:c r="AB2217" s="31" t="n">
        <x:v>0.29326152660701477</x:v>
      </x:c>
      <x:c r="AC2217" s="31" t="n">
        <x:v>7</x:v>
      </x:c>
      <x:c r="AD2217" s="44" t="b">
        <x:v>1</x:v>
      </x:c>
    </x:row>
    <x:row r="2218">
      <x:c r="A2218" s="31" t="str">
        <x:v>36085003600</x:v>
      </x:c>
      <x:c r="B2218" s="31" t="str">
        <x:v>Staten Island</x:v>
      </x:c>
      <x:c r="C2218" s="31" t="str">
        <x:v>003600</x:v>
      </x:c>
      <x:c r="D2218" s="31" t="str">
        <x:v>SI0103</x:v>
      </x:c>
      <x:c r="E2218" s="31" t="str">
        <x:v>Rosebank-Shore Acres-Park Hill</x:v>
      </x:c>
      <x:c r="F2218" s="31" t="n">
        <x:v>0.15840550099108988</x:v>
      </x:c>
      <x:c r="G2218" s="31" t="n">
        <x:v>40.61108034155837</x:v>
      </x:c>
      <x:c r="H2218" s="31" t="n">
        <x:v>-74.07589846830409</x:v>
      </x:c>
      <x:c r="I2218" s="31" t="n">
        <x:v>2792</x:v>
      </x:c>
      <x:c r="J2218" s="31" t="n">
        <x:v>17625.65051422707</x:v>
      </x:c>
      <x:c r="K2218" s="31"/>
      <x:c r="L2218" s="40"/>
      <x:c r="M2218" s="40"/>
      <x:c r="N2218" s="31" t="n">
        <x:v>649</x:v>
      </x:c>
      <x:c r="O2218" s="31" t="n">
        <x:v>885</x:v>
      </x:c>
      <x:c r="P2218" s="31" t="n">
        <x:v>2.1098983050847457</x:v>
      </x:c>
      <x:c r="Q2218" s="40" t="n">
        <x:v>0</x:v>
      </x:c>
      <x:c r="R2218" s="40" t="n">
        <x:v>0.17627118644067796</x:v>
      </x:c>
      <x:c r="S2218" s="40" t="n">
        <x:v>0.05649717514124294</x:v>
      </x:c>
      <x:c r="T2218" s="31" t="n">
        <x:v>26.49803957239726</x:v>
      </x:c>
      <x:c r="U2218" s="31" t="n">
        <x:v>39.06</x:v>
      </x:c>
      <x:c r="V2218" s="31" t="n">
        <x:v>1</x:v>
      </x:c>
      <x:c r="W2218" s="31" t="n">
        <x:v>0.35816618911174786</x:v>
      </x:c>
      <x:c r="X2218" s="31" t="n">
        <x:v>2</x:v>
      </x:c>
      <x:c r="Y2218" s="40" t="n">
        <x:v>0</x:v>
      </x:c>
      <x:c r="Z2218" s="40" t="n">
        <x:v>1</x:v>
      </x:c>
      <x:c r="AA2218" s="40" t="n">
        <x:v>0.9898305084745763</x:v>
      </x:c>
      <x:c r="AB2218" s="31" t="n">
        <x:v>0.38360837116883906</x:v>
      </x:c>
      <x:c r="AC2218" s="31" t="n">
        <x:v>7</x:v>
      </x:c>
      <x:c r="AD2218" s="44" t="b">
        <x:v>1</x:v>
      </x:c>
    </x:row>
    <x:row r="2219">
      <x:c r="A2219" s="31" t="str">
        <x:v>36085003900</x:v>
      </x:c>
      <x:c r="B2219" s="31" t="str">
        <x:v>Staten Island</x:v>
      </x:c>
      <x:c r="C2219" s="31" t="str">
        <x:v>003900</x:v>
      </x:c>
      <x:c r="D2219" s="31" t="str">
        <x:v>SI0104</x:v>
      </x:c>
      <x:c r="E2219" s="31" t="str">
        <x:v>West New Brighton-Silver Lake-Grymes Hill</x:v>
      </x:c>
      <x:c r="F2219" s="31" t="n">
        <x:v>0.22587149244827534</x:v>
      </x:c>
      <x:c r="G2219" s="31" t="n">
        <x:v>40.62117820555207</x:v>
      </x:c>
      <x:c r="H2219" s="31" t="n">
        <x:v>-74.09335603057443</x:v>
      </x:c>
      <x:c r="I2219" s="31" t="n">
        <x:v>2179</x:v>
      </x:c>
      <x:c r="J2219" s="31" t="n">
        <x:v>9647.078417826418</x:v>
      </x:c>
      <x:c r="K2219" s="31"/>
      <x:c r="L2219" s="40"/>
      <x:c r="M2219" s="40"/>
      <x:c r="N2219" s="31" t="n">
        <x:v>160</x:v>
      </x:c>
      <x:c r="O2219" s="31" t="n">
        <x:v>1126</x:v>
      </x:c>
      <x:c r="P2219" s="31" t="n">
        <x:v>5.717388987566607</x:v>
      </x:c>
      <x:c r="Q2219" s="40" t="n">
        <x:v>0.2024866785079929</x:v>
      </x:c>
      <x:c r="R2219" s="40" t="n">
        <x:v>0.14120781527531084</x:v>
      </x:c>
      <x:c r="S2219" s="40" t="n">
        <x:v>0.5053285968028419</x:v>
      </x:c>
      <x:c r="T2219" s="31" t="n">
        <x:v>63.03666306817291</x:v>
      </x:c>
      <x:c r="U2219" s="31" t="n">
        <x:v>156.75</x:v>
      </x:c>
      <x:c r="V2219" s="31" t="n">
        <x:v>6</x:v>
      </x:c>
      <x:c r="W2219" s="31" t="n">
        <x:v>2.7535566773749425</x:v>
      </x:c>
      <x:c r="X2219" s="31" t="n">
        <x:v>2</x:v>
      </x:c>
      <x:c r="Y2219" s="40" t="n">
        <x:v>0</x:v>
      </x:c>
      <x:c r="Z2219" s="40" t="n">
        <x:v>1</x:v>
      </x:c>
      <x:c r="AA2219" s="40" t="n">
        <x:v>0.9964476021314387</x:v>
      </x:c>
      <x:c r="AB2219" s="31" t="n">
        <x:v>0.5040206780933513</x:v>
      </x:c>
      <x:c r="AC2219" s="31" t="n">
        <x:v>4</x:v>
      </x:c>
      <x:c r="AD2219" s="44" t="b">
        <x:v>1</x:v>
      </x:c>
    </x:row>
    <x:row r="2220">
      <x:c r="A2220" s="31" t="str">
        <x:v>36085004001</x:v>
      </x:c>
      <x:c r="B2220" s="31" t="str">
        <x:v>Staten Island</x:v>
      </x:c>
      <x:c r="C2220" s="31" t="str">
        <x:v>004001</x:v>
      </x:c>
      <x:c r="D2220" s="31" t="str">
        <x:v>SI0102</x:v>
      </x:c>
      <x:c r="E2220" s="31" t="str">
        <x:v>Tompkinsville-Stapleton-Clifton-Fox Hills</x:v>
      </x:c>
      <x:c r="F2220" s="31" t="n">
        <x:v>0.11766343218764347</x:v>
      </x:c>
      <x:c r="G2220" s="31" t="n">
        <x:v>40.61888496499224</x:v>
      </x:c>
      <x:c r="H2220" s="31" t="n">
        <x:v>-74.07566368375397</x:v>
      </x:c>
      <x:c r="I2220" s="31" t="n">
        <x:v>2775</x:v>
      </x:c>
      <x:c r="J2220" s="31" t="n">
        <x:v>23584.217699638197</x:v>
      </x:c>
      <x:c r="K2220" s="31"/>
      <x:c r="L2220" s="40"/>
      <x:c r="M2220" s="40"/>
      <x:c r="N2220" s="31" t="n">
        <x:v>461</x:v>
      </x:c>
      <x:c r="O2220" s="31" t="n">
        <x:v>888</x:v>
      </x:c>
      <x:c r="P2220" s="31" t="n">
        <x:v>2.411385135135135</x:v>
      </x:c>
      <x:c r="Q2220" s="40" t="n">
        <x:v>0</x:v>
      </x:c>
      <x:c r="R2220" s="40" t="n">
        <x:v>0.15653153153153154</x:v>
      </x:c>
      <x:c r="S2220" s="40" t="n">
        <x:v>0.2635135135135135</x:v>
      </x:c>
      <x:c r="T2220" s="31" t="n">
        <x:v>32.91944376178329</x:v>
      </x:c>
      <x:c r="U2220" s="31" t="n">
        <x:v>58.54882392</x:v>
      </x:c>
      <x:c r="V2220" s="31" t="n">
        <x:v>2</x:v>
      </x:c>
      <x:c r="W2220" s="31" t="n">
        <x:v>0.7207207207207207</x:v>
      </x:c>
      <x:c r="X2220" s="31" t="n">
        <x:v>3</x:v>
      </x:c>
      <x:c r="Y2220" s="40" t="n">
        <x:v>0</x:v>
      </x:c>
      <x:c r="Z2220" s="40" t="n">
        <x:v>1</x:v>
      </x:c>
      <x:c r="AA2220" s="40" t="n">
        <x:v>0.9977477477477478</x:v>
      </x:c>
      <x:c r="AB2220" s="31" t="n">
        <x:v>0.12629726035096295</x:v>
      </x:c>
      <x:c r="AC2220" s="31" t="n">
        <x:v>7</x:v>
      </x:c>
      <x:c r="AD2220" s="44" t="b">
        <x:v>1</x:v>
      </x:c>
    </x:row>
    <x:row r="2221">
      <x:c r="A2221" s="31" t="str">
        <x:v>36085004002</x:v>
      </x:c>
      <x:c r="B2221" s="31" t="str">
        <x:v>Staten Island</x:v>
      </x:c>
      <x:c r="C2221" s="31" t="str">
        <x:v>004002</x:v>
      </x:c>
      <x:c r="D2221" s="31" t="str">
        <x:v>SI0103</x:v>
      </x:c>
      <x:c r="E2221" s="31" t="str">
        <x:v>Rosebank-Shore Acres-Park Hill</x:v>
      </x:c>
      <x:c r="F2221" s="31" t="n">
        <x:v>0.12516160087200126</x:v>
      </x:c>
      <x:c r="G2221" s="31" t="n">
        <x:v>40.61282888244002</x:v>
      </x:c>
      <x:c r="H2221" s="31" t="n">
        <x:v>-74.07937006894775</x:v>
      </x:c>
      <x:c r="I2221" s="31" t="n">
        <x:v>3409</x:v>
      </x:c>
      <x:c r="J2221" s="31" t="n">
        <x:v>27236.788090352682</x:v>
      </x:c>
      <x:c r="K2221" s="31"/>
      <x:c r="L2221" s="40"/>
      <x:c r="M2221" s="40"/>
      <x:c r="N2221" s="31" t="n">
        <x:v>884</x:v>
      </x:c>
      <x:c r="O2221" s="31" t="n">
        <x:v>986</x:v>
      </x:c>
      <x:c r="P2221" s="31" t="n">
        <x:v>2.1971269035532996</x:v>
      </x:c>
      <x:c r="Q2221" s="40" t="n">
        <x:v>0</x:v>
      </x:c>
      <x:c r="R2221" s="40" t="n">
        <x:v>0.19168356997971603</x:v>
      </x:c>
      <x:c r="S2221" s="40" t="n">
        <x:v>0.03144016227180527</x:v>
      </x:c>
      <x:c r="T2221" s="31" t="n">
        <x:v>29.569909591871102</x:v>
      </x:c>
      <x:c r="U2221" s="31" t="n">
        <x:v>39.68</x:v>
      </x:c>
      <x:c r="V2221" s="31" t="n">
        <x:v>0</x:v>
      </x:c>
      <x:c r="W2221" s="31" t="n">
        <x:v>0</x:v>
      </x:c>
      <x:c r="X2221" s="31" t="n">
        <x:v>3</x:v>
      </x:c>
      <x:c r="Y2221" s="40" t="n">
        <x:v>0</x:v>
      </x:c>
      <x:c r="Z2221" s="40" t="n">
        <x:v>1</x:v>
      </x:c>
      <x:c r="AA2221" s="40" t="n">
        <x:v>0.9756592292089249</x:v>
      </x:c>
      <x:c r="AB2221" s="31" t="n">
        <x:v>0.255387702384236</x:v>
      </x:c>
      <x:c r="AC2221" s="31" t="n">
        <x:v>5</x:v>
      </x:c>
      <x:c r="AD2221" s="44" t="b">
        <x:v>1</x:v>
      </x:c>
    </x:row>
    <x:row r="2222">
      <x:c r="A2222" s="31" t="str">
        <x:v>36085004003</x:v>
      </x:c>
      <x:c r="B2222" s="31" t="str">
        <x:v>Staten Island</x:v>
      </x:c>
      <x:c r="C2222" s="31" t="str">
        <x:v>004003</x:v>
      </x:c>
      <x:c r="D2222" s="31" t="str">
        <x:v>SI0103</x:v>
      </x:c>
      <x:c r="E2222" s="31" t="str">
        <x:v>Rosebank-Shore Acres-Park Hill</x:v>
      </x:c>
      <x:c r="F2222" s="31" t="n">
        <x:v>0.08090782319035526</x:v>
      </x:c>
      <x:c r="G2222" s="31" t="n">
        <x:v>40.614289944643886</x:v>
      </x:c>
      <x:c r="H2222" s="31" t="n">
        <x:v>-74.08326412544965</x:v>
      </x:c>
      <x:c r="I2222" s="31" t="n">
        <x:v>4851</x:v>
      </x:c>
      <x:c r="J2222" s="31" t="n">
        <x:v>59957.11920943475</x:v>
      </x:c>
      <x:c r="K2222" s="31"/>
      <x:c r="L2222" s="40"/>
      <x:c r="M2222" s="40"/>
      <x:c r="N2222" s="31" t="n">
        <x:v>128</x:v>
      </x:c>
      <x:c r="O2222" s="31" t="n">
        <x:v>1776</x:v>
      </x:c>
      <x:c r="P2222" s="31" t="n">
        <x:v>5.677573198198198</x:v>
      </x:c>
      <x:c r="Q2222" s="40" t="n">
        <x:v>0</x:v>
      </x:c>
      <x:c r="R2222" s="40" t="n">
        <x:v>0.9183558558558559</x:v>
      </x:c>
      <x:c r="S2222" s="40" t="n">
        <x:v>0.8305180180180181</x:v>
      </x:c>
      <x:c r="T2222" s="31" t="n">
        <x:v>61.93191538555743</x:v>
      </x:c>
      <x:c r="U2222" s="31" t="n">
        <x:v>67.61610166</x:v>
      </x:c>
      <x:c r="V2222" s="31" t="n">
        <x:v>26</x:v>
      </x:c>
      <x:c r="W2222" s="31" t="n">
        <x:v>5.359719645433931</x:v>
      </x:c>
      <x:c r="X2222" s="31" t="n">
        <x:v>3</x:v>
      </x:c>
      <x:c r="Y2222" s="40" t="n">
        <x:v>0</x:v>
      </x:c>
      <x:c r="Z2222" s="40" t="n">
        <x:v>1</x:v>
      </x:c>
      <x:c r="AA2222" s="40" t="n">
        <x:v>1</x:v>
      </x:c>
      <x:c r="AB2222" s="31" t="n">
        <x:v>0.22436530539268368</x:v>
      </x:c>
      <x:c r="AC2222" s="31" t="n">
        <x:v>5</x:v>
      </x:c>
      <x:c r="AD2222" s="44" t="b">
        <x:v>1</x:v>
      </x:c>
    </x:row>
    <x:row r="2223">
      <x:c r="A2223" s="31" t="str">
        <x:v>36085004004</x:v>
      </x:c>
      <x:c r="B2223" s="31" t="str">
        <x:v>Staten Island</x:v>
      </x:c>
      <x:c r="C2223" s="31" t="str">
        <x:v>004004</x:v>
      </x:c>
      <x:c r="D2223" s="31" t="str">
        <x:v>SI0103</x:v>
      </x:c>
      <x:c r="E2223" s="31" t="str">
        <x:v>Rosebank-Shore Acres-Park Hill</x:v>
      </x:c>
      <x:c r="F2223" s="31" t="n">
        <x:v>0.13676066183425162</x:v>
      </x:c>
      <x:c r="G2223" s="31" t="n">
        <x:v>40.609301884815764</x:v>
      </x:c>
      <x:c r="H2223" s="31" t="n">
        <x:v>-74.08526397586417</x:v>
      </x:c>
      <x:c r="I2223" s="31" t="n">
        <x:v>2807</x:v>
      </x:c>
      <x:c r="J2223" s="31" t="n">
        <x:v>20524.90798415388</x:v>
      </x:c>
      <x:c r="K2223" s="31"/>
      <x:c r="L2223" s="40"/>
      <x:c r="M2223" s="40"/>
      <x:c r="N2223" s="31" t="n">
        <x:v>594</x:v>
      </x:c>
      <x:c r="O2223" s="31" t="n">
        <x:v>914</x:v>
      </x:c>
      <x:c r="P2223" s="31" t="n">
        <x:v>2.9035487404162104</x:v>
      </x:c>
      <x:c r="Q2223" s="40" t="n">
        <x:v>0</x:v>
      </x:c>
      <x:c r="R2223" s="40" t="n">
        <x:v>0.29978118161925604</x:v>
      </x:c>
      <x:c r="S2223" s="40" t="n">
        <x:v>0.0010940919037199124</x:v>
      </x:c>
      <x:c r="T2223" s="31" t="n">
        <x:v>35.45599114618262</x:v>
      </x:c>
      <x:c r="U2223" s="31" t="n">
        <x:v>67.67</x:v>
      </x:c>
      <x:c r="V2223" s="31" t="n">
        <x:v>4</x:v>
      </x:c>
      <x:c r="W2223" s="31" t="n">
        <x:v>1.4250089063056643</x:v>
      </x:c>
      <x:c r="X2223" s="31" t="n">
        <x:v>3</x:v>
      </x:c>
      <x:c r="Y2223" s="40" t="n">
        <x:v>0</x:v>
      </x:c>
      <x:c r="Z2223" s="40" t="n">
        <x:v>1</x:v>
      </x:c>
      <x:c r="AA2223" s="40" t="n">
        <x:v>0.9945295404814004</x:v>
      </x:c>
      <x:c r="AB2223" s="31" t="n">
        <x:v>0.1312158155303846</x:v>
      </x:c>
      <x:c r="AC2223" s="31" t="n">
        <x:v>6</x:v>
      </x:c>
      <x:c r="AD2223" s="44" t="b">
        <x:v>1</x:v>
      </x:c>
    </x:row>
    <x:row r="2224">
      <x:c r="A2224" s="31" t="str">
        <x:v>36085004700</x:v>
      </x:c>
      <x:c r="B2224" s="31" t="str">
        <x:v>Staten Island</x:v>
      </x:c>
      <x:c r="C2224" s="31" t="str">
        <x:v>004700</x:v>
      </x:c>
      <x:c r="D2224" s="31" t="str">
        <x:v>SI0104</x:v>
      </x:c>
      <x:c r="E2224" s="31" t="str">
        <x:v>West New Brighton-Silver Lake-Grymes Hill</x:v>
      </x:c>
      <x:c r="F2224" s="31" t="n">
        <x:v>0.3449548930903495</x:v>
      </x:c>
      <x:c r="G2224" s="31" t="n">
        <x:v>40.61420801435057</x:v>
      </x:c>
      <x:c r="H2224" s="31" t="n">
        <x:v>-74.09473786293684</x:v>
      </x:c>
      <x:c r="I2224" s="31" t="n">
        <x:v>3126</x:v>
      </x:c>
      <x:c r="J2224" s="31" t="n">
        <x:v>9062.054380487503</x:v>
      </x:c>
      <x:c r="K2224" s="31"/>
      <x:c r="L2224" s="40"/>
      <x:c r="M2224" s="40"/>
      <x:c r="N2224" s="31" t="n">
        <x:v>646</x:v>
      </x:c>
      <x:c r="O2224" s="31" t="n">
        <x:v>1220</x:v>
      </x:c>
      <x:c r="P2224" s="31" t="n">
        <x:v>3.3707901234567905</x:v>
      </x:c>
      <x:c r="Q2224" s="40" t="n">
        <x:v>0.07622950819672131</x:v>
      </x:c>
      <x:c r="R2224" s="40" t="n">
        <x:v>0.20327868852459016</x:v>
      </x:c>
      <x:c r="S2224" s="40" t="n">
        <x:v>0.005737704918032787</x:v>
      </x:c>
      <x:c r="T2224" s="31" t="n">
        <x:v>37.881053937429286</x:v>
      </x:c>
      <x:c r="U2224" s="31" t="n">
        <x:v>78</x:v>
      </x:c>
      <x:c r="V2224" s="31" t="n">
        <x:v>8</x:v>
      </x:c>
      <x:c r="W2224" s="31" t="n">
        <x:v>2.5591810620601407</x:v>
      </x:c>
      <x:c r="X2224" s="31" t="n">
        <x:v>2.39672131147541</x:v>
      </x:c>
      <x:c r="Y2224" s="40" t="n">
        <x:v>0</x:v>
      </x:c>
      <x:c r="Z2224" s="40" t="n">
        <x:v>1</x:v>
      </x:c>
      <x:c r="AA2224" s="40" t="n">
        <x:v>0.9852459016393442</x:v>
      </x:c>
      <x:c r="AB2224" s="31" t="n">
        <x:v>0.2562284698392527</x:v>
      </x:c>
      <x:c r="AC2224" s="31" t="n">
        <x:v>10</x:v>
      </x:c>
      <x:c r="AD2224" s="44" t="b">
        <x:v>1</x:v>
      </x:c>
    </x:row>
    <x:row r="2225">
      <x:c r="A2225" s="31" t="str">
        <x:v>36085005000</x:v>
      </x:c>
      <x:c r="B2225" s="31" t="str">
        <x:v>Staten Island</x:v>
      </x:c>
      <x:c r="C2225" s="31" t="str">
        <x:v>005000</x:v>
      </x:c>
      <x:c r="D2225" s="31" t="str">
        <x:v>SI0201</x:v>
      </x:c>
      <x:c r="E2225" s="31" t="str">
        <x:v>Grasmere-Arrochar-South Beach-Dongan Hills</x:v>
      </x:c>
      <x:c r="F2225" s="31" t="n">
        <x:v>0.3224194151956354</x:v>
      </x:c>
      <x:c r="G2225" s="31" t="n">
        <x:v>40.60414072119304</x:v>
      </x:c>
      <x:c r="H2225" s="31" t="n">
        <x:v>-74.08600955040295</x:v>
      </x:c>
      <x:c r="I2225" s="31" t="n">
        <x:v>4357</x:v>
      </x:c>
      <x:c r="J2225" s="31" t="n">
        <x:v>13513.454198644615</x:v>
      </x:c>
      <x:c r="K2225" s="31"/>
      <x:c r="L2225" s="40"/>
      <x:c r="M2225" s="40"/>
      <x:c r="N2225" s="31" t="n">
        <x:v>840</x:v>
      </x:c>
      <x:c r="O2225" s="31" t="n">
        <x:v>1553</x:v>
      </x:c>
      <x:c r="P2225" s="31" t="n">
        <x:v>2.796870573084353</x:v>
      </x:c>
      <x:c r="Q2225" s="40" t="n">
        <x:v>0</x:v>
      </x:c>
      <x:c r="R2225" s="40" t="n">
        <x:v>0.44172569220862845</x:v>
      </x:c>
      <x:c r="S2225" s="40" t="n">
        <x:v>0.21249195106245974</x:v>
      </x:c>
      <x:c r="T2225" s="31" t="n">
        <x:v>34.894575716168475</x:v>
      </x:c>
      <x:c r="U2225" s="31" t="n">
        <x:v>65.97</x:v>
      </x:c>
      <x:c r="V2225" s="31" t="n">
        <x:v>5</x:v>
      </x:c>
      <x:c r="W2225" s="31" t="n">
        <x:v>1.1475786091347258</x:v>
      </x:c>
      <x:c r="X2225" s="31" t="n">
        <x:v>2.887314874436574</x:v>
      </x:c>
      <x:c r="Y2225" s="40" t="n">
        <x:v>0</x:v>
      </x:c>
      <x:c r="Z2225" s="40" t="n">
        <x:v>1</x:v>
      </x:c>
      <x:c r="AA2225" s="40" t="n">
        <x:v>0.9478428847392144</x:v>
      </x:c>
      <x:c r="AB2225" s="31" t="n">
        <x:v>0.28102831836940984</x:v>
      </x:c>
      <x:c r="AC2225" s="31" t="n">
        <x:v>9</x:v>
      </x:c>
      <x:c r="AD2225" s="44" t="b">
        <x:v>1</x:v>
      </x:c>
    </x:row>
    <x:row r="2226">
      <x:c r="A2226" s="31" t="str">
        <x:v>36085005901</x:v>
      </x:c>
      <x:c r="B2226" s="31" t="str">
        <x:v>Staten Island</x:v>
      </x:c>
      <x:c r="C2226" s="31" t="str">
        <x:v>005901</x:v>
      </x:c>
      <x:c r="D2226" s="31" t="str">
        <x:v>SI0104</x:v>
      </x:c>
      <x:c r="E2226" s="31" t="str">
        <x:v>West New Brighton-Silver Lake-Grymes Hill</x:v>
      </x:c>
      <x:c r="F2226" s="31" t="n">
        <x:v>0.36280925364798555</x:v>
      </x:c>
      <x:c r="G2226" s="31" t="n">
        <x:v>40.62428523873656</x:v>
      </x:c>
      <x:c r="H2226" s="31" t="n">
        <x:v>-74.10157497949673</x:v>
      </x:c>
      <x:c r="I2226" s="31" t="n">
        <x:v>2854</x:v>
      </x:c>
      <x:c r="J2226" s="31" t="n">
        <x:v>7866.392522526682</x:v>
      </x:c>
      <x:c r="K2226" s="31"/>
      <x:c r="L2226" s="40"/>
      <x:c r="M2226" s="40"/>
      <x:c r="N2226" s="31" t="n">
        <x:v>698</x:v>
      </x:c>
      <x:c r="O2226" s="31" t="n">
        <x:v>1191</x:v>
      </x:c>
      <x:c r="P2226" s="31" t="n">
        <x:v>3.3055126050420167</x:v>
      </x:c>
      <x:c r="Q2226" s="40" t="n">
        <x:v>0</x:v>
      </x:c>
      <x:c r="R2226" s="40" t="n">
        <x:v>0.2938706968933669</x:v>
      </x:c>
      <x:c r="S2226" s="40" t="n">
        <x:v>0.008396305625524769</x:v>
      </x:c>
      <x:c r="T2226" s="31" t="n">
        <x:v>40.77930898770202</x:v>
      </x:c>
      <x:c r="U2226" s="31" t="n">
        <x:v>75.54</x:v>
      </x:c>
      <x:c r="V2226" s="31" t="n">
        <x:v>7</x:v>
      </x:c>
      <x:c r="W2226" s="31" t="n">
        <x:v>2.452697967764541</x:v>
      </x:c>
      <x:c r="X2226" s="31" t="n">
        <x:v>2.0218303946263645</x:v>
      </x:c>
      <x:c r="Y2226" s="40" t="n">
        <x:v>0</x:v>
      </x:c>
      <x:c r="Z2226" s="40" t="n">
        <x:v>1</x:v>
      </x:c>
      <x:c r="AA2226" s="40" t="n">
        <x:v>0.9974811083123426</x:v>
      </x:c>
      <x:c r="AB2226" s="31" t="n">
        <x:v>0.425712847771481</x:v>
      </x:c>
      <x:c r="AC2226" s="31" t="n">
        <x:v>8</x:v>
      </x:c>
      <x:c r="AD2226" s="44" t="b">
        <x:v>1</x:v>
      </x:c>
    </x:row>
    <x:row r="2227">
      <x:c r="A2227" s="31" t="str">
        <x:v>36085005902</x:v>
      </x:c>
      <x:c r="B2227" s="31" t="str">
        <x:v>Staten Island</x:v>
      </x:c>
      <x:c r="C2227" s="31" t="str">
        <x:v>005902</x:v>
      </x:c>
      <x:c r="D2227" s="31" t="str">
        <x:v>SI0104</x:v>
      </x:c>
      <x:c r="E2227" s="31" t="str">
        <x:v>West New Brighton-Silver Lake-Grymes Hill</x:v>
      </x:c>
      <x:c r="F2227" s="31" t="n">
        <x:v>0.1729529187589675</x:v>
      </x:c>
      <x:c r="G2227" s="31" t="n">
        <x:v>40.6274905817424</x:v>
      </x:c>
      <x:c r="H2227" s="31" t="n">
        <x:v>-74.09441371317426</x:v>
      </x:c>
      <x:c r="I2227" s="31" t="n">
        <x:v>5</x:v>
      </x:c>
      <x:c r="J2227" s="31" t="n">
        <x:v>28.90960173368426</x:v>
      </x:c>
      <x:c r="K2227" s="31"/>
      <x:c r="L2227" s="40"/>
      <x:c r="M2227" s="40"/>
      <x:c r="N2227" s="31" t="n">
        <x:v>0</x:v>
      </x:c>
      <x:c r="O2227" s="31"/>
      <x:c r="P2227" s="31"/>
      <x:c r="Q2227" s="40"/>
      <x:c r="R2227" s="40"/>
      <x:c r="S2227" s="40"/>
      <x:c r="T2227" s="31"/>
      <x:c r="U2227" s="31"/>
      <x:c r="V2227" s="31" t="n">
        <x:v>0</x:v>
      </x:c>
      <x:c r="W2227" s="31" t="n">
        <x:v>0</x:v>
      </x:c>
      <x:c r="X2227" s="31"/>
      <x:c r="Y2227" s="40"/>
      <x:c r="Z2227" s="40"/>
      <x:c r="AA2227" s="40"/>
      <x:c r="AB2227" s="31" t="n">
        <x:v>0.5213107677028219</x:v>
      </x:c>
      <x:c r="AC2227" s="31" t="n">
        <x:v>4</x:v>
      </x:c>
      <x:c r="AD2227" s="44" t="b">
        <x:v>0</x:v>
      </x:c>
    </x:row>
    <x:row r="2228">
      <x:c r="A2228" s="31" t="str">
        <x:v>36085006400</x:v>
      </x:c>
      <x:c r="B2228" s="31" t="str">
        <x:v>Staten Island</x:v>
      </x:c>
      <x:c r="C2228" s="31" t="str">
        <x:v>006400</x:v>
      </x:c>
      <x:c r="D2228" s="31" t="str">
        <x:v>SI0201</x:v>
      </x:c>
      <x:c r="E2228" s="31" t="str">
        <x:v>Grasmere-Arrochar-South Beach-Dongan Hills</x:v>
      </x:c>
      <x:c r="F2228" s="31" t="n">
        <x:v>0.2738791311344984</x:v>
      </x:c>
      <x:c r="G2228" s="31" t="n">
        <x:v>40.59724681045673</x:v>
      </x:c>
      <x:c r="H2228" s="31" t="n">
        <x:v>-74.07849556480083</x:v>
      </x:c>
      <x:c r="I2228" s="31" t="n">
        <x:v>3698</x:v>
      </x:c>
      <x:c r="J2228" s="31" t="n">
        <x:v>13502.306600293548</x:v>
      </x:c>
      <x:c r="K2228" s="31"/>
      <x:c r="L2228" s="40"/>
      <x:c r="M2228" s="40"/>
      <x:c r="N2228" s="31" t="n">
        <x:v>753</x:v>
      </x:c>
      <x:c r="O2228" s="31" t="n">
        <x:v>1333</x:v>
      </x:c>
      <x:c r="P2228" s="31" t="n">
        <x:v>3.113675918979745</x:v>
      </x:c>
      <x:c r="Q2228" s="40" t="n">
        <x:v>0</x:v>
      </x:c>
      <x:c r="R2228" s="40" t="n">
        <x:v>0.336834208552138</x:v>
      </x:c>
      <x:c r="S2228" s="40" t="n">
        <x:v>0.32558139534883723</x:v>
      </x:c>
      <x:c r="T2228" s="31" t="n">
        <x:v>35.4745402989902</x:v>
      </x:c>
      <x:c r="U2228" s="31" t="n">
        <x:v>57.79</x:v>
      </x:c>
      <x:c r="V2228" s="31" t="n">
        <x:v>17</x:v>
      </x:c>
      <x:c r="W2228" s="31" t="n">
        <x:v>4.597079502433748</x:v>
      </x:c>
      <x:c r="X2228" s="31" t="n">
        <x:v>2</x:v>
      </x:c>
      <x:c r="Y2228" s="40" t="n">
        <x:v>0</x:v>
      </x:c>
      <x:c r="Z2228" s="40" t="n">
        <x:v>1</x:v>
      </x:c>
      <x:c r="AA2228" s="40" t="n">
        <x:v>0.9954988747186797</x:v>
      </x:c>
      <x:c r="AB2228" s="31" t="n">
        <x:v>0.13573930507565407</x:v>
      </x:c>
      <x:c r="AC2228" s="31" t="n">
        <x:v>6</x:v>
      </x:c>
      <x:c r="AD2228" s="44" t="b">
        <x:v>1</x:v>
      </x:c>
    </x:row>
    <x:row r="2229">
      <x:c r="A2229" s="31" t="str">
        <x:v>36085006700</x:v>
      </x:c>
      <x:c r="B2229" s="31" t="str">
        <x:v>Staten Island</x:v>
      </x:c>
      <x:c r="C2229" s="31" t="str">
        <x:v>006700</x:v>
      </x:c>
      <x:c r="D2229" s="31" t="str">
        <x:v>SI0104</x:v>
      </x:c>
      <x:c r="E2229" s="31" t="str">
        <x:v>West New Brighton-Silver Lake-Grymes Hill</x:v>
      </x:c>
      <x:c r="F2229" s="31" t="n">
        <x:v>0.36791762283344814</x:v>
      </x:c>
      <x:c r="G2229" s="31" t="n">
        <x:v>40.63519408947843</x:v>
      </x:c>
      <x:c r="H2229" s="31" t="n">
        <x:v>-74.10109159820662</x:v>
      </x:c>
      <x:c r="I2229" s="31" t="n">
        <x:v>2927</x:v>
      </x:c>
      <x:c r="J2229" s="31" t="n">
        <x:v>7955.585213500408</x:v>
      </x:c>
      <x:c r="K2229" s="31"/>
      <x:c r="L2229" s="40"/>
      <x:c r="M2229" s="40"/>
      <x:c r="N2229" s="31" t="n">
        <x:v>753</x:v>
      </x:c>
      <x:c r="O2229" s="31" t="n">
        <x:v>1098</x:v>
      </x:c>
      <x:c r="P2229" s="31" t="n">
        <x:v>2.1825774134790525</x:v>
      </x:c>
      <x:c r="Q2229" s="40" t="n">
        <x:v>0</x:v>
      </x:c>
      <x:c r="R2229" s="40" t="n">
        <x:v>0.02185792349726776</x:v>
      </x:c>
      <x:c r="S2229" s="40" t="n">
        <x:v>0.08196721311475409</x:v>
      </x:c>
      <x:c r="T2229" s="31" t="n">
        <x:v>29.808744614</x:v>
      </x:c>
      <x:c r="U2229" s="31" t="n">
        <x:v>40.62757495</x:v>
      </x:c>
      <x:c r="V2229" s="31" t="n">
        <x:v>2</x:v>
      </x:c>
      <x:c r="W2229" s="31" t="n">
        <x:v>0.683293474547318</x:v>
      </x:c>
      <x:c r="X2229" s="31" t="n">
        <x:v>2.1293260473588345</x:v>
      </x:c>
      <x:c r="Y2229" s="40" t="n">
        <x:v>0</x:v>
      </x:c>
      <x:c r="Z2229" s="40" t="n">
        <x:v>1</x:v>
      </x:c>
      <x:c r="AA2229" s="40" t="n">
        <x:v>0.9927140255009107</x:v>
      </x:c>
      <x:c r="AB2229" s="31" t="n">
        <x:v>0.17794655908593968</x:v>
      </x:c>
      <x:c r="AC2229" s="31" t="n">
        <x:v>8</x:v>
      </x:c>
      <x:c r="AD2229" s="44" t="b">
        <x:v>1</x:v>
      </x:c>
    </x:row>
    <x:row r="2230">
      <x:c r="A2230" s="31" t="str">
        <x:v>36085007001</x:v>
      </x:c>
      <x:c r="B2230" s="31" t="str">
        <x:v>Staten Island</x:v>
      </x:c>
      <x:c r="C2230" s="31" t="str">
        <x:v>007001</x:v>
      </x:c>
      <x:c r="D2230" s="31" t="str">
        <x:v>SI0201</x:v>
      </x:c>
      <x:c r="E2230" s="31" t="str">
        <x:v>Grasmere-Arrochar-South Beach-Dongan Hills</x:v>
      </x:c>
      <x:c r="F2230" s="31" t="n">
        <x:v>0.1825430935806933</x:v>
      </x:c>
      <x:c r="G2230" s="31" t="n">
        <x:v>40.58996067840765</x:v>
      </x:c>
      <x:c r="H2230" s="31" t="n">
        <x:v>-74.08683182680566</x:v>
      </x:c>
      <x:c r="I2230" s="31" t="n">
        <x:v>2634</x:v>
      </x:c>
      <x:c r="J2230" s="31" t="n">
        <x:v>14429.469493107055</x:v>
      </x:c>
      <x:c r="K2230" s="31"/>
      <x:c r="L2230" s="40"/>
      <x:c r="M2230" s="40"/>
      <x:c r="N2230" s="31" t="n">
        <x:v>747</x:v>
      </x:c>
      <x:c r="O2230" s="31" t="n">
        <x:v>988</x:v>
      </x:c>
      <x:c r="P2230" s="31" t="n">
        <x:v>1.8612854251012145</x:v>
      </x:c>
      <x:c r="Q2230" s="40" t="n">
        <x:v>0</x:v>
      </x:c>
      <x:c r="R2230" s="40" t="n">
        <x:v>0.06275303643724696</x:v>
      </x:c>
      <x:c r="S2230" s="40" t="n">
        <x:v>0.003036437246963563</x:v>
      </x:c>
      <x:c r="T2230" s="31" t="n">
        <x:v>25.093650454820878</x:v>
      </x:c>
      <x:c r="U2230" s="31" t="n">
        <x:v>40.37</x:v>
      </x:c>
      <x:c r="V2230" s="31" t="n">
        <x:v>2</x:v>
      </x:c>
      <x:c r="W2230" s="31" t="n">
        <x:v>0.7593014426727411</x:v>
      </x:c>
      <x:c r="X2230" s="31" t="n">
        <x:v>2</x:v>
      </x:c>
      <x:c r="Y2230" s="40" t="n">
        <x:v>0</x:v>
      </x:c>
      <x:c r="Z2230" s="40" t="n">
        <x:v>1</x:v>
      </x:c>
      <x:c r="AA2230" s="40" t="n">
        <x:v>0.9888663967611336</x:v>
      </x:c>
      <x:c r="AB2230" s="31" t="n">
        <x:v>0.43914210707022067</x:v>
      </x:c>
      <x:c r="AC2230" s="31" t="n">
        <x:v>6</x:v>
      </x:c>
      <x:c r="AD2230" s="44" t="b">
        <x:v>1</x:v>
      </x:c>
    </x:row>
    <x:row r="2231">
      <x:c r="A2231" s="31" t="str">
        <x:v>36085007002</x:v>
      </x:c>
      <x:c r="B2231" s="31" t="str">
        <x:v>Staten Island</x:v>
      </x:c>
      <x:c r="C2231" s="31" t="str">
        <x:v>007002</x:v>
      </x:c>
      <x:c r="D2231" s="31" t="str">
        <x:v>SI0201</x:v>
      </x:c>
      <x:c r="E2231" s="31" t="str">
        <x:v>Grasmere-Arrochar-South Beach-Dongan Hills</x:v>
      </x:c>
      <x:c r="F2231" s="31" t="n">
        <x:v>0.8482396781020431</x:v>
      </x:c>
      <x:c r="G2231" s="31" t="n">
        <x:v>40.58753462227479</x:v>
      </x:c>
      <x:c r="H2231" s="31" t="n">
        <x:v>-74.07618762707521</x:v>
      </x:c>
      <x:c r="I2231" s="31" t="n">
        <x:v>6215</x:v>
      </x:c>
      <x:c r="J2231" s="31" t="n">
        <x:v>7326.938553388841</x:v>
      </x:c>
      <x:c r="K2231" s="31"/>
      <x:c r="L2231" s="40"/>
      <x:c r="M2231" s="40"/>
      <x:c r="N2231" s="31" t="n">
        <x:v>1400</x:v>
      </x:c>
      <x:c r="O2231" s="31" t="n">
        <x:v>1898</x:v>
      </x:c>
      <x:c r="P2231" s="31" t="n">
        <x:v>1.9313027426160339</x:v>
      </x:c>
      <x:c r="Q2231" s="40" t="n">
        <x:v>0</x:v>
      </x:c>
      <x:c r="R2231" s="40" t="n">
        <x:v>0.09852476290832456</x:v>
      </x:c>
      <x:c r="S2231" s="40" t="n">
        <x:v>0.011064278187565859</x:v>
      </x:c>
      <x:c r="T2231" s="31" t="n">
        <x:v>26.139738583901394</x:v>
      </x:c>
      <x:c r="U2231" s="31" t="n">
        <x:v>52</x:v>
      </x:c>
      <x:c r="V2231" s="31" t="n">
        <x:v>1</x:v>
      </x:c>
      <x:c r="W2231" s="31" t="n">
        <x:v>0.16090104585679807</x:v>
      </x:c>
      <x:c r="X2231" s="31" t="n">
        <x:v>2</x:v>
      </x:c>
      <x:c r="Y2231" s="40" t="n">
        <x:v>0</x:v>
      </x:c>
      <x:c r="Z2231" s="40" t="n">
        <x:v>1</x:v>
      </x:c>
      <x:c r="AA2231" s="40" t="n">
        <x:v>0.9831401475237092</x:v>
      </x:c>
      <x:c r="AB2231" s="31" t="n">
        <x:v>0.34195515051228337</x:v>
      </x:c>
      <x:c r="AC2231" s="31" t="n">
        <x:v>5</x:v>
      </x:c>
      <x:c r="AD2231" s="44" t="b">
        <x:v>1</x:v>
      </x:c>
    </x:row>
    <x:row r="2232">
      <x:c r="A2232" s="31" t="str">
        <x:v>36085007400</x:v>
      </x:c>
      <x:c r="B2232" s="31" t="str">
        <x:v>Staten Island</x:v>
      </x:c>
      <x:c r="C2232" s="31" t="str">
        <x:v>007400</x:v>
      </x:c>
      <x:c r="D2232" s="31" t="str">
        <x:v>SI0201</x:v>
      </x:c>
      <x:c r="E2232" s="31" t="str">
        <x:v>Grasmere-Arrochar-South Beach-Dongan Hills</x:v>
      </x:c>
      <x:c r="F2232" s="31" t="n">
        <x:v>0.20762446827830866</x:v>
      </x:c>
      <x:c r="G2232" s="31" t="n">
        <x:v>40.59442142563464</x:v>
      </x:c>
      <x:c r="H2232" s="31" t="n">
        <x:v>-74.06512231348108</x:v>
      </x:c>
      <x:c r="I2232" s="31" t="n">
        <x:v>4962</x:v>
      </x:c>
      <x:c r="J2232" s="31" t="n">
        <x:v>23898.917315220882</x:v>
      </x:c>
      <x:c r="K2232" s="31"/>
      <x:c r="L2232" s="40"/>
      <x:c r="M2232" s="40"/>
      <x:c r="N2232" s="31" t="n">
        <x:v>979</x:v>
      </x:c>
      <x:c r="O2232" s="31" t="n">
        <x:v>1636</x:v>
      </x:c>
      <x:c r="P2232" s="31" t="n">
        <x:v>2.9274373088685013</x:v>
      </x:c>
      <x:c r="Q2232" s="40" t="n">
        <x:v>0</x:v>
      </x:c>
      <x:c r="R2232" s="40" t="n">
        <x:v>0.32396088019559904</x:v>
      </x:c>
      <x:c r="S2232" s="40" t="n">
        <x:v>0.02506112469437653</x:v>
      </x:c>
      <x:c r="T2232" s="31" t="n">
        <x:v>34.33344129201852</x:v>
      </x:c>
      <x:c r="U2232" s="31" t="n">
        <x:v>66.99</x:v>
      </x:c>
      <x:c r="V2232" s="31" t="n">
        <x:v>7</x:v>
      </x:c>
      <x:c r="W2232" s="31" t="n">
        <x:v>1.4107214832728738</x:v>
      </x:c>
      <x:c r="X2232" s="31" t="n">
        <x:v>2</x:v>
      </x:c>
      <x:c r="Y2232" s="40" t="n">
        <x:v>0</x:v>
      </x:c>
      <x:c r="Z2232" s="40" t="n">
        <x:v>1</x:v>
      </x:c>
      <x:c r="AA2232" s="40" t="n">
        <x:v>0.9902200488997555</x:v>
      </x:c>
      <x:c r="AB2232" s="31" t="n">
        <x:v>0.14599757440112707</x:v>
      </x:c>
      <x:c r="AC2232" s="31" t="n">
        <x:v>4</x:v>
      </x:c>
      <x:c r="AD2232" s="44" t="b">
        <x:v>1</x:v>
      </x:c>
    </x:row>
    <x:row r="2233">
      <x:c r="A2233" s="31" t="str">
        <x:v>36085007500</x:v>
      </x:c>
      <x:c r="B2233" s="31" t="str">
        <x:v>Staten Island</x:v>
      </x:c>
      <x:c r="C2233" s="31" t="str">
        <x:v>007500</x:v>
      </x:c>
      <x:c r="D2233" s="31" t="str">
        <x:v>SI0104</x:v>
      </x:c>
      <x:c r="E2233" s="31" t="str">
        <x:v>West New Brighton-Silver Lake-Grymes Hill</x:v>
      </x:c>
      <x:c r="F2233" s="31" t="n">
        <x:v>0.18499180029054751</x:v>
      </x:c>
      <x:c r="G2233" s="31" t="n">
        <x:v>40.63359229962598</x:v>
      </x:c>
      <x:c r="H2233" s="31" t="n">
        <x:v>-74.09094051296317</x:v>
      </x:c>
      <x:c r="I2233" s="31" t="n">
        <x:v>4200</x:v>
      </x:c>
      <x:c r="J2233" s="31" t="n">
        <x:v>22703.70899360671</x:v>
      </x:c>
      <x:c r="K2233" s="31"/>
      <x:c r="L2233" s="40"/>
      <x:c r="M2233" s="40"/>
      <x:c r="N2233" s="31" t="n">
        <x:v>658</x:v>
      </x:c>
      <x:c r="O2233" s="31" t="n">
        <x:v>1505</x:v>
      </x:c>
      <x:c r="P2233" s="31" t="n">
        <x:v>2.2569729286300246</x:v>
      </x:c>
      <x:c r="Q2233" s="40" t="n">
        <x:v>0</x:v>
      </x:c>
      <x:c r="R2233" s="40" t="n">
        <x:v>0.08837209302325581</x:v>
      </x:c>
      <x:c r="S2233" s="40" t="n">
        <x:v>0.20398671096345514</x:v>
      </x:c>
      <x:c r="T2233" s="31" t="n">
        <x:v>30.415667299381187</x:v>
      </x:c>
      <x:c r="U2233" s="31" t="n">
        <x:v>50.27</x:v>
      </x:c>
      <x:c r="V2233" s="31" t="n">
        <x:v>0</x:v>
      </x:c>
      <x:c r="W2233" s="31" t="n">
        <x:v>0</x:v>
      </x:c>
      <x:c r="X2233" s="31" t="n">
        <x:v>2</x:v>
      </x:c>
      <x:c r="Y2233" s="40" t="n">
        <x:v>0</x:v>
      </x:c>
      <x:c r="Z2233" s="40" t="n">
        <x:v>1</x:v>
      </x:c>
      <x:c r="AA2233" s="40" t="n">
        <x:v>0.8053156146179402</x:v>
      </x:c>
      <x:c r="AB2233" s="31" t="n">
        <x:v>0.3671239143443603</x:v>
      </x:c>
      <x:c r="AC2233" s="31" t="n">
        <x:v>7</x:v>
      </x:c>
      <x:c r="AD2233" s="44" t="b">
        <x:v>1</x:v>
      </x:c>
    </x:row>
    <x:row r="2234">
      <x:c r="A2234" s="31" t="str">
        <x:v>36085007700</x:v>
      </x:c>
      <x:c r="B2234" s="31" t="str">
        <x:v>Staten Island</x:v>
      </x:c>
      <x:c r="C2234" s="31" t="str">
        <x:v>007700</x:v>
      </x:c>
      <x:c r="D2234" s="31" t="str">
        <x:v>SI0101</x:v>
      </x:c>
      <x:c r="E2234" s="31" t="str">
        <x:v>St. George-New Brighton</x:v>
      </x:c>
      <x:c r="F2234" s="31" t="n">
        <x:v>0.0959907699251033</x:v>
      </x:c>
      <x:c r="G2234" s="31" t="n">
        <x:v>40.637862438112776</x:v>
      </x:c>
      <x:c r="H2234" s="31" t="n">
        <x:v>-74.09027328115017</x:v>
      </x:c>
      <x:c r="I2234" s="31" t="n">
        <x:v>1762</x:v>
      </x:c>
      <x:c r="J2234" s="31" t="n">
        <x:v>18355.93152732079</x:v>
      </x:c>
      <x:c r="K2234" s="31"/>
      <x:c r="L2234" s="40"/>
      <x:c r="M2234" s="40"/>
      <x:c r="N2234" s="31" t="n">
        <x:v>387</x:v>
      </x:c>
      <x:c r="O2234" s="31" t="n">
        <x:v>603</x:v>
      </x:c>
      <x:c r="P2234" s="31" t="n">
        <x:v>2.216193656093489</x:v>
      </x:c>
      <x:c r="Q2234" s="40" t="n">
        <x:v>0</x:v>
      </x:c>
      <x:c r="R2234" s="40" t="n">
        <x:v>0.15422885572139303</x:v>
      </x:c>
      <x:c r="S2234" s="40" t="n">
        <x:v>0</x:v>
      </x:c>
      <x:c r="T2234" s="31" t="n">
        <x:v>28.762096086632827</x:v>
      </x:c>
      <x:c r="U2234" s="31" t="n">
        <x:v>46</x:v>
      </x:c>
      <x:c r="V2234" s="31" t="n">
        <x:v>1</x:v>
      </x:c>
      <x:c r="W2234" s="31" t="n">
        <x:v>0.5675368898978433</x:v>
      </x:c>
      <x:c r="X2234" s="31" t="n">
        <x:v>2</x:v>
      </x:c>
      <x:c r="Y2234" s="40" t="n">
        <x:v>0</x:v>
      </x:c>
      <x:c r="Z2234" s="40" t="n">
        <x:v>1</x:v>
      </x:c>
      <x:c r="AA2234" s="40" t="n">
        <x:v>0.9800995024875622</x:v>
      </x:c>
      <x:c r="AB2234" s="31" t="n">
        <x:v>0.34040357647428066</x:v>
      </x:c>
      <x:c r="AC2234" s="31" t="n">
        <x:v>5</x:v>
      </x:c>
      <x:c r="AD2234" s="44" t="b">
        <x:v>1</x:v>
      </x:c>
    </x:row>
    <x:row r="2235">
      <x:c r="A2235" s="31" t="str">
        <x:v>36085008100</x:v>
      </x:c>
      <x:c r="B2235" s="31" t="str">
        <x:v>Staten Island</x:v>
      </x:c>
      <x:c r="C2235" s="31" t="str">
        <x:v>008100</x:v>
      </x:c>
      <x:c r="D2235" s="31" t="str">
        <x:v>SI0101</x:v>
      </x:c>
      <x:c r="E2235" s="31" t="str">
        <x:v>St. George-New Brighton</x:v>
      </x:c>
      <x:c r="F2235" s="31" t="n">
        <x:v>0.29493098773889465</x:v>
      </x:c>
      <x:c r="G2235" s="31" t="n">
        <x:v>40.64280523112454</x:v>
      </x:c>
      <x:c r="H2235" s="31" t="n">
        <x:v>-74.09325625132784</x:v>
      </x:c>
      <x:c r="I2235" s="31" t="n">
        <x:v>4822</x:v>
      </x:c>
      <x:c r="J2235" s="31" t="n">
        <x:v>16349.587532216061</x:v>
      </x:c>
      <x:c r="K2235" s="31"/>
      <x:c r="L2235" s="40"/>
      <x:c r="M2235" s="40"/>
      <x:c r="N2235" s="31" t="n">
        <x:v>806</x:v>
      </x:c>
      <x:c r="O2235" s="31" t="n">
        <x:v>1766</x:v>
      </x:c>
      <x:c r="P2235" s="31" t="n">
        <x:v>3.2355668934240365</x:v>
      </x:c>
      <x:c r="Q2235" s="40" t="n">
        <x:v>0</x:v>
      </x:c>
      <x:c r="R2235" s="40" t="n">
        <x:v>0.4082672706681767</x:v>
      </x:c>
      <x:c r="S2235" s="40" t="n">
        <x:v>0.0362400906002265</x:v>
      </x:c>
      <x:c r="T2235" s="31" t="n">
        <x:v>38.06519098321794</x:v>
      </x:c>
      <x:c r="U2235" s="31" t="n">
        <x:v>58.74</x:v>
      </x:c>
      <x:c r="V2235" s="31" t="n">
        <x:v>11</x:v>
      </x:c>
      <x:c r="W2235" s="31" t="n">
        <x:v>2.281211115719618</x:v>
      </x:c>
      <x:c r="X2235" s="31" t="n">
        <x:v>2</x:v>
      </x:c>
      <x:c r="Y2235" s="40" t="n">
        <x:v>0</x:v>
      </x:c>
      <x:c r="Z2235" s="40" t="n">
        <x:v>1</x:v>
      </x:c>
      <x:c r="AA2235" s="40" t="n">
        <x:v>0.9977349943374858</x:v>
      </x:c>
      <x:c r="AB2235" s="31" t="n">
        <x:v>0.16874932115879807</x:v>
      </x:c>
      <x:c r="AC2235" s="31" t="n">
        <x:v>5</x:v>
      </x:c>
      <x:c r="AD2235" s="44" t="b">
        <x:v>1</x:v>
      </x:c>
    </x:row>
    <x:row r="2236">
      <x:c r="A2236" s="31" t="str">
        <x:v>36085009601</x:v>
      </x:c>
      <x:c r="B2236" s="31" t="str">
        <x:v>Staten Island</x:v>
      </x:c>
      <x:c r="C2236" s="31" t="str">
        <x:v>009601</x:v>
      </x:c>
      <x:c r="D2236" s="31" t="str">
        <x:v>SI0201</x:v>
      </x:c>
      <x:c r="E2236" s="31" t="str">
        <x:v>Grasmere-Arrochar-South Beach-Dongan Hills</x:v>
      </x:c>
      <x:c r="F2236" s="31" t="n">
        <x:v>0.2998727384437414</x:v>
      </x:c>
      <x:c r="G2236" s="31" t="n">
        <x:v>40.596926391423246</x:v>
      </x:c>
      <x:c r="H2236" s="31" t="n">
        <x:v>-74.0886036316808</x:v>
      </x:c>
      <x:c r="I2236" s="31" t="n">
        <x:v>4075</x:v>
      </x:c>
      <x:c r="J2236" s="31" t="n">
        <x:v>13589.09789915599</x:v>
      </x:c>
      <x:c r="K2236" s="31"/>
      <x:c r="L2236" s="40"/>
      <x:c r="M2236" s="40"/>
      <x:c r="N2236" s="31" t="n">
        <x:v>947</x:v>
      </x:c>
      <x:c r="O2236" s="31" t="n">
        <x:v>1593</x:v>
      </x:c>
      <x:c r="P2236" s="31" t="n">
        <x:v>2.229428750784683</x:v>
      </x:c>
      <x:c r="Q2236" s="40" t="n">
        <x:v>0</x:v>
      </x:c>
      <x:c r="R2236" s="40" t="n">
        <x:v>0.12617702448210924</x:v>
      </x:c>
      <x:c r="S2236" s="40" t="n">
        <x:v>0.1029504080351538</x:v>
      </x:c>
      <x:c r="T2236" s="31" t="n">
        <x:v>29.808192363487052</x:v>
      </x:c>
      <x:c r="U2236" s="31" t="n">
        <x:v>74.48</x:v>
      </x:c>
      <x:c r="V2236" s="31" t="n">
        <x:v>7</x:v>
      </x:c>
      <x:c r="W2236" s="31" t="n">
        <x:v>1.7177914110429449</x:v>
      </x:c>
      <x:c r="X2236" s="31" t="n">
        <x:v>2.645951035781544</x:v>
      </x:c>
      <x:c r="Y2236" s="40" t="n">
        <x:v>0</x:v>
      </x:c>
      <x:c r="Z2236" s="40" t="n">
        <x:v>1</x:v>
      </x:c>
      <x:c r="AA2236" s="40" t="n">
        <x:v>0.9937225360954175</x:v>
      </x:c>
      <x:c r="AB2236" s="31" t="n">
        <x:v>0.40692334038558037</x:v>
      </x:c>
      <x:c r="AC2236" s="31" t="n">
        <x:v>5</x:v>
      </x:c>
      <x:c r="AD2236" s="44" t="b">
        <x:v>1</x:v>
      </x:c>
    </x:row>
    <x:row r="2237">
      <x:c r="A2237" s="31" t="str">
        <x:v>36085009602</x:v>
      </x:c>
      <x:c r="B2237" s="31" t="str">
        <x:v>Staten Island</x:v>
      </x:c>
      <x:c r="C2237" s="31" t="str">
        <x:v>009602</x:v>
      </x:c>
      <x:c r="D2237" s="31" t="str">
        <x:v>SI0201</x:v>
      </x:c>
      <x:c r="E2237" s="31" t="str">
        <x:v>Grasmere-Arrochar-South Beach-Dongan Hills</x:v>
      </x:c>
      <x:c r="F2237" s="31" t="n">
        <x:v>0.23859921173811982</x:v>
      </x:c>
      <x:c r="G2237" s="31" t="n">
        <x:v>40.59078276869492</x:v>
      </x:c>
      <x:c r="H2237" s="31" t="n">
        <x:v>-74.09516256700786</x:v>
      </x:c>
      <x:c r="I2237" s="31" t="n">
        <x:v>3767</x:v>
      </x:c>
      <x:c r="J2237" s="31" t="n">
        <x:v>15787.981747963859</x:v>
      </x:c>
      <x:c r="K2237" s="31"/>
      <x:c r="L2237" s="40"/>
      <x:c r="M2237" s="40"/>
      <x:c r="N2237" s="31" t="n">
        <x:v>905</x:v>
      </x:c>
      <x:c r="O2237" s="31" t="n">
        <x:v>1526</x:v>
      </x:c>
      <x:c r="P2237" s="31" t="n">
        <x:v>2.139599211563732</x:v>
      </x:c>
      <x:c r="Q2237" s="40" t="n">
        <x:v>0</x:v>
      </x:c>
      <x:c r="R2237" s="40" t="n">
        <x:v>0.14220183486238533</x:v>
      </x:c>
      <x:c r="S2237" s="40" t="n">
        <x:v>0.007208387942332897</x:v>
      </x:c>
      <x:c r="T2237" s="31" t="n">
        <x:v>28.545105863088043</x:v>
      </x:c>
      <x:c r="U2237" s="31" t="n">
        <x:v>54.51</x:v>
      </x:c>
      <x:c r="V2237" s="31" t="n">
        <x:v>3</x:v>
      </x:c>
      <x:c r="W2237" s="31" t="n">
        <x:v>0.7963897000265463</x:v>
      </x:c>
      <x:c r="X2237" s="31" t="n">
        <x:v>2.5740498034076014</x:v>
      </x:c>
      <x:c r="Y2237" s="40" t="n">
        <x:v>0</x:v>
      </x:c>
      <x:c r="Z2237" s="40" t="n">
        <x:v>1</x:v>
      </x:c>
      <x:c r="AA2237" s="40" t="n">
        <x:v>0.9973787680209698</x:v>
      </x:c>
      <x:c r="AB2237" s="31" t="n">
        <x:v>0.147259968693551</x:v>
      </x:c>
      <x:c r="AC2237" s="31" t="n">
        <x:v>7</x:v>
      </x:c>
      <x:c r="AD2237" s="44" t="b">
        <x:v>1</x:v>
      </x:c>
    </x:row>
    <x:row r="2238">
      <x:c r="A2238" s="31" t="str">
        <x:v>36085009701</x:v>
      </x:c>
      <x:c r="B2238" s="31" t="str">
        <x:v>Staten Island</x:v>
      </x:c>
      <x:c r="C2238" s="31" t="str">
        <x:v>009701</x:v>
      </x:c>
      <x:c r="D2238" s="31" t="str">
        <x:v>SI0104</x:v>
      </x:c>
      <x:c r="E2238" s="31" t="str">
        <x:v>West New Brighton-Silver Lake-Grymes Hill</x:v>
      </x:c>
      <x:c r="F2238" s="31" t="n">
        <x:v>0.26638439467688246</x:v>
      </x:c>
      <x:c r="G2238" s="31" t="n">
        <x:v>40.641152049066775</x:v>
      </x:c>
      <x:c r="H2238" s="31" t="n">
        <x:v>-74.11145313364051</x:v>
      </x:c>
      <x:c r="I2238" s="31" t="n">
        <x:v>4454</x:v>
      </x:c>
      <x:c r="J2238" s="31" t="n">
        <x:v>16720.19866404933</x:v>
      </x:c>
      <x:c r="K2238" s="31"/>
      <x:c r="L2238" s="40"/>
      <x:c r="M2238" s="40"/>
      <x:c r="N2238" s="31" t="n">
        <x:v>816</x:v>
      </x:c>
      <x:c r="O2238" s="31" t="n">
        <x:v>1542</x:v>
      </x:c>
      <x:c r="P2238" s="31" t="n">
        <x:v>2.469390402075227</x:v>
      </x:c>
      <x:c r="Q2238" s="40" t="n">
        <x:v>0</x:v>
      </x:c>
      <x:c r="R2238" s="40" t="n">
        <x:v>0.2619974059662776</x:v>
      </x:c>
      <x:c r="S2238" s="40" t="n">
        <x:v>0.2490272373540856</x:v>
      </x:c>
      <x:c r="T2238" s="31" t="n">
        <x:v>31.94781267690507</x:v>
      </x:c>
      <x:c r="U2238" s="31" t="n">
        <x:v>55</x:v>
      </x:c>
      <x:c r="V2238" s="31" t="n">
        <x:v>4</x:v>
      </x:c>
      <x:c r="W2238" s="31" t="n">
        <x:v>0.8980691513246519</x:v>
      </x:c>
      <x:c r="X2238" s="31" t="n">
        <x:v>3</x:v>
      </x:c>
      <x:c r="Y2238" s="40" t="n">
        <x:v>0</x:v>
      </x:c>
      <x:c r="Z2238" s="40" t="n">
        <x:v>1</x:v>
      </x:c>
      <x:c r="AA2238" s="40" t="n">
        <x:v>0.9974059662775616</x:v>
      </x:c>
      <x:c r="AB2238" s="31" t="n">
        <x:v>0.42342249017777767</x:v>
      </x:c>
      <x:c r="AC2238" s="31" t="n">
        <x:v>4</x:v>
      </x:c>
      <x:c r="AD2238" s="44" t="b">
        <x:v>1</x:v>
      </x:c>
    </x:row>
    <x:row r="2239">
      <x:c r="A2239" s="31" t="str">
        <x:v>36085009702</x:v>
      </x:c>
      <x:c r="B2239" s="31" t="str">
        <x:v>Staten Island</x:v>
      </x:c>
      <x:c r="C2239" s="31" t="str">
        <x:v>009702</x:v>
      </x:c>
      <x:c r="D2239" s="31" t="str">
        <x:v>SI0191</x:v>
      </x:c>
      <x:c r="E2239" s="31" t="str">
        <x:v>Snug Harbor</x:v>
      </x:c>
      <x:c r="F2239" s="31" t="n">
        <x:v>0.13517114178539658</x:v>
      </x:c>
      <x:c r="G2239" s="31" t="n">
        <x:v>40.642594352466645</x:v>
      </x:c>
      <x:c r="H2239" s="31" t="n">
        <x:v>-74.10327187315065</x:v>
      </x:c>
      <x:c r="I2239" s="31" t="n">
        <x:v>8</x:v>
      </x:c>
      <x:c r="J2239" s="31" t="n">
        <x:v>59.18423040844871</x:v>
      </x:c>
      <x:c r="K2239" s="31"/>
      <x:c r="L2239" s="40"/>
      <x:c r="M2239" s="40"/>
      <x:c r="N2239" s="31" t="n">
        <x:v>1</x:v>
      </x:c>
      <x:c r="O2239" s="31" t="n">
        <x:v>1</x:v>
      </x:c>
      <x:c r="P2239" s="31" t="n">
        <x:v>2</x:v>
      </x:c>
      <x:c r="Q2239" s="40" t="n">
        <x:v>0</x:v>
      </x:c>
      <x:c r="R2239" s="40" t="n">
        <x:v>0</x:v>
      </x:c>
      <x:c r="S2239" s="40" t="n">
        <x:v>0</x:v>
      </x:c>
      <x:c r="T2239" s="31" t="n">
        <x:v>30.88</x:v>
      </x:c>
      <x:c r="U2239" s="31" t="n">
        <x:v>30.88</x:v>
      </x:c>
      <x:c r="V2239" s="31" t="n">
        <x:v>0</x:v>
      </x:c>
      <x:c r="W2239" s="31" t="n">
        <x:v>0</x:v>
      </x:c>
      <x:c r="X2239" s="31" t="n">
        <x:v>2</x:v>
      </x:c>
      <x:c r="Y2239" s="40" t="n">
        <x:v>0</x:v>
      </x:c>
      <x:c r="Z2239" s="40" t="n">
        <x:v>1</x:v>
      </x:c>
      <x:c r="AA2239" s="40" t="n">
        <x:v>1</x:v>
      </x:c>
      <x:c r="AB2239" s="31" t="n">
        <x:v>0.4325490566946295</x:v>
      </x:c>
      <x:c r="AC2239" s="31" t="n">
        <x:v>3</x:v>
      </x:c>
      <x:c r="AD2239" s="44" t="b">
        <x:v>1</x:v>
      </x:c>
    </x:row>
    <x:row r="2240">
      <x:c r="A2240" s="31" t="str">
        <x:v>36085010500</x:v>
      </x:c>
      <x:c r="B2240" s="31" t="str">
        <x:v>Staten Island</x:v>
      </x:c>
      <x:c r="C2240" s="31" t="str">
        <x:v>010500</x:v>
      </x:c>
      <x:c r="D2240" s="31" t="str">
        <x:v>SI0104</x:v>
      </x:c>
      <x:c r="E2240" s="31" t="str">
        <x:v>West New Brighton-Silver Lake-Grymes Hill</x:v>
      </x:c>
      <x:c r="F2240" s="31" t="n">
        <x:v>0.31544684083304636</x:v>
      </x:c>
      <x:c r="G2240" s="31" t="n">
        <x:v>40.63379568308067</x:v>
      </x:c>
      <x:c r="H2240" s="31" t="n">
        <x:v>-74.11187050308695</x:v>
      </x:c>
      <x:c r="I2240" s="31" t="n">
        <x:v>5597</x:v>
      </x:c>
      <x:c r="J2240" s="31" t="n">
        <x:v>17743.084651661713</x:v>
      </x:c>
      <x:c r="K2240" s="31"/>
      <x:c r="L2240" s="40"/>
      <x:c r="M2240" s="40"/>
      <x:c r="N2240" s="31" t="n">
        <x:v>1179</x:v>
      </x:c>
      <x:c r="O2240" s="31" t="n">
        <x:v>1781</x:v>
      </x:c>
      <x:c r="P2240" s="31" t="n">
        <x:v>2.233138357705287</x:v>
      </x:c>
      <x:c r="Q2240" s="40" t="n">
        <x:v>0</x:v>
      </x:c>
      <x:c r="R2240" s="40" t="n">
        <x:v>0.03312745648512072</x:v>
      </x:c>
      <x:c r="S2240" s="40" t="n">
        <x:v>0.02021336327905671</x:v>
      </x:c>
      <x:c r="T2240" s="31" t="n">
        <x:v>29.68559042427442</x:v>
      </x:c>
      <x:c r="U2240" s="31" t="n">
        <x:v>46</x:v>
      </x:c>
      <x:c r="V2240" s="31" t="n">
        <x:v>3</x:v>
      </x:c>
      <x:c r="W2240" s="31" t="n">
        <x:v>0.5360014293371449</x:v>
      </x:c>
      <x:c r="X2240" s="31" t="n">
        <x:v>3</x:v>
      </x:c>
      <x:c r="Y2240" s="40" t="n">
        <x:v>0</x:v>
      </x:c>
      <x:c r="Z2240" s="40" t="n">
        <x:v>1</x:v>
      </x:c>
      <x:c r="AA2240" s="40" t="n">
        <x:v>0.9943851768669287</x:v>
      </x:c>
      <x:c r="AB2240" s="31" t="n">
        <x:v>0.16275974614593372</x:v>
      </x:c>
      <x:c r="AC2240" s="31" t="n">
        <x:v>6</x:v>
      </x:c>
      <x:c r="AD2240" s="44" t="b">
        <x:v>1</x:v>
      </x:c>
    </x:row>
    <x:row r="2241">
      <x:c r="A2241" s="31" t="str">
        <x:v>36085011201</x:v>
      </x:c>
      <x:c r="B2241" s="31" t="str">
        <x:v>Staten Island</x:v>
      </x:c>
      <x:c r="C2241" s="31" t="str">
        <x:v>011201</x:v>
      </x:c>
      <x:c r="D2241" s="31" t="str">
        <x:v>SI0202</x:v>
      </x:c>
      <x:c r="E2241" s="31" t="str">
        <x:v>New Dorp-Midland Beach</x:v>
      </x:c>
      <x:c r="F2241" s="31" t="n">
        <x:v>0.6314031625380223</x:v>
      </x:c>
      <x:c r="G2241" s="31" t="n">
        <x:v>40.578896955155464</x:v>
      </x:c>
      <x:c r="H2241" s="31" t="n">
        <x:v>-74.08816782649737</x:v>
      </x:c>
      <x:c r="I2241" s="31" t="n">
        <x:v>5768</x:v>
      </x:c>
      <x:c r="J2241" s="31" t="n">
        <x:v>9135.209232742254</x:v>
      </x:c>
      <x:c r="K2241" s="31"/>
      <x:c r="L2241" s="40"/>
      <x:c r="M2241" s="40"/>
      <x:c r="N2241" s="31" t="n">
        <x:v>1430</x:v>
      </x:c>
      <x:c r="O2241" s="31" t="n">
        <x:v>2045</x:v>
      </x:c>
      <x:c r="P2241" s="31" t="n">
        <x:v>2.0434492895639393</x:v>
      </x:c>
      <x:c r="Q2241" s="40" t="n">
        <x:v>0</x:v>
      </x:c>
      <x:c r="R2241" s="40" t="n">
        <x:v>0.1315403422982885</x:v>
      </x:c>
      <x:c r="S2241" s="40" t="n">
        <x:v>0.0469437652811736</x:v>
      </x:c>
      <x:c r="T2241" s="31" t="n">
        <x:v>26.432295785481006</x:v>
      </x:c>
      <x:c r="U2241" s="31" t="n">
        <x:v>43</x:v>
      </x:c>
      <x:c r="V2241" s="31" t="n">
        <x:v>13</x:v>
      </x:c>
      <x:c r="W2241" s="31" t="n">
        <x:v>2.2538141470180304</x:v>
      </x:c>
      <x:c r="X2241" s="31" t="n">
        <x:v>1.6210268948655258</x:v>
      </x:c>
      <x:c r="Y2241" s="40" t="n">
        <x:v>0</x:v>
      </x:c>
      <x:c r="Z2241" s="40" t="n">
        <x:v>1</x:v>
      </x:c>
      <x:c r="AA2241" s="40" t="n">
        <x:v>0.99119804400978</x:v>
      </x:c>
      <x:c r="AB2241" s="31" t="n">
        <x:v>0.24464739810341649</x:v>
      </x:c>
      <x:c r="AC2241" s="31" t="n">
        <x:v>7</x:v>
      </x:c>
      <x:c r="AD2241" s="44" t="b">
        <x:v>1</x:v>
      </x:c>
    </x:row>
    <x:row r="2242">
      <x:c r="A2242" s="31" t="str">
        <x:v>36085011203</x:v>
      </x:c>
      <x:c r="B2242" s="31" t="str">
        <x:v>Staten Island</x:v>
      </x:c>
      <x:c r="C2242" s="31" t="str">
        <x:v>011203</x:v>
      </x:c>
      <x:c r="D2242" s="31" t="str">
        <x:v>SI0202</x:v>
      </x:c>
      <x:c r="E2242" s="31" t="str">
        <x:v>New Dorp-Midland Beach</x:v>
      </x:c>
      <x:c r="F2242" s="31" t="n">
        <x:v>0.38846778519570707</x:v>
      </x:c>
      <x:c r="G2242" s="31" t="n">
        <x:v>40.573757936621114</x:v>
      </x:c>
      <x:c r="H2242" s="31" t="n">
        <x:v>-74.09742394890152</x:v>
      </x:c>
      <x:c r="I2242" s="31" t="n">
        <x:v>6791</x:v>
      </x:c>
      <x:c r="J2242" s="31" t="n">
        <x:v>17481.50106341185</x:v>
      </x:c>
      <x:c r="K2242" s="31"/>
      <x:c r="L2242" s="40"/>
      <x:c r="M2242" s="40"/>
      <x:c r="N2242" s="31" t="n">
        <x:v>1917</x:v>
      </x:c>
      <x:c r="O2242" s="31" t="n">
        <x:v>2437</x:v>
      </x:c>
      <x:c r="P2242" s="31" t="n">
        <x:v>2.0896624125154384</x:v>
      </x:c>
      <x:c r="Q2242" s="40" t="n">
        <x:v>0</x:v>
      </x:c>
      <x:c r="R2242" s="40" t="n">
        <x:v>0.1797291752154288</x:v>
      </x:c>
      <x:c r="S2242" s="40" t="n">
        <x:v>0.06360279031596225</x:v>
      </x:c>
      <x:c r="T2242" s="31" t="n">
        <x:v>27.62856980794056</x:v>
      </x:c>
      <x:c r="U2242" s="31" t="n">
        <x:v>50.32</x:v>
      </x:c>
      <x:c r="V2242" s="31" t="n">
        <x:v>27</x:v>
      </x:c>
      <x:c r="W2242" s="31" t="n">
        <x:v>3.975850390222353</x:v>
      </x:c>
      <x:c r="X2242" s="31" t="n">
        <x:v>1</x:v>
      </x:c>
      <x:c r="Y2242" s="40" t="n">
        <x:v>0</x:v>
      </x:c>
      <x:c r="Z2242" s="40" t="n">
        <x:v>1</x:v>
      </x:c>
      <x:c r="AA2242" s="40" t="n">
        <x:v>0.9803036520311859</x:v>
      </x:c>
      <x:c r="AB2242" s="31" t="n">
        <x:v>0.12130559897658452</x:v>
      </x:c>
      <x:c r="AC2242" s="31" t="n">
        <x:v>6</x:v>
      </x:c>
      <x:c r="AD2242" s="44" t="b">
        <x:v>1</x:v>
      </x:c>
    </x:row>
    <x:row r="2243">
      <x:c r="A2243" s="31" t="str">
        <x:v>36085011204</x:v>
      </x:c>
      <x:c r="B2243" s="31" t="str">
        <x:v>Staten Island</x:v>
      </x:c>
      <x:c r="C2243" s="31" t="str">
        <x:v>011204</x:v>
      </x:c>
      <x:c r="D2243" s="31" t="str">
        <x:v>SI9592</x:v>
      </x:c>
      <x:c r="E2243" s="31" t="str">
        <x:v>Miller Field</x:v>
      </x:c>
      <x:c r="F2243" s="31" t="n">
        <x:v>0.38979297044665406</x:v>
      </x:c>
      <x:c r="G2243" s="31" t="n">
        <x:v>40.56873175053539</x:v>
      </x:c>
      <x:c r="H2243" s="31" t="n">
        <x:v>-74.09730461298085</x:v>
      </x:c>
      <x:c r="I2243" s="31" t="n">
        <x:v>46</x:v>
      </x:c>
      <x:c r="J2243" s="31" t="n">
        <x:v>118.01136369208953</x:v>
      </x:c>
      <x:c r="K2243" s="31"/>
      <x:c r="L2243" s="40"/>
      <x:c r="M2243" s="40"/>
      <x:c r="N2243" s="31" t="n">
        <x:v>0</x:v>
      </x:c>
      <x:c r="O2243" s="31"/>
      <x:c r="P2243" s="31"/>
      <x:c r="Q2243" s="40"/>
      <x:c r="R2243" s="40"/>
      <x:c r="S2243" s="40"/>
      <x:c r="T2243" s="31"/>
      <x:c r="U2243" s="31"/>
      <x:c r="V2243" s="31" t="n">
        <x:v>0</x:v>
      </x:c>
      <x:c r="W2243" s="31" t="n">
        <x:v>0</x:v>
      </x:c>
      <x:c r="X2243" s="31"/>
      <x:c r="Y2243" s="40"/>
      <x:c r="Z2243" s="40"/>
      <x:c r="AA2243" s="40"/>
      <x:c r="AB2243" s="31" t="n">
        <x:v>0.4311040545204201</x:v>
      </x:c>
      <x:c r="AC2243" s="31" t="n">
        <x:v>3</x:v>
      </x:c>
      <x:c r="AD2243" s="44" t="b">
        <x:v>0</x:v>
      </x:c>
    </x:row>
    <x:row r="2244">
      <x:c r="A2244" s="31" t="str">
        <x:v>36085011401</x:v>
      </x:c>
      <x:c r="B2244" s="31" t="str">
        <x:v>Staten Island</x:v>
      </x:c>
      <x:c r="C2244" s="31" t="str">
        <x:v>011401</x:v>
      </x:c>
      <x:c r="D2244" s="31" t="str">
        <x:v>SI0201</x:v>
      </x:c>
      <x:c r="E2244" s="31" t="str">
        <x:v>Grasmere-Arrochar-South Beach-Dongan Hills</x:v>
      </x:c>
      <x:c r="F2244" s="31" t="n">
        <x:v>0.20347468866039659</x:v>
      </x:c>
      <x:c r="G2244" s="31" t="n">
        <x:v>40.58574354720826</x:v>
      </x:c>
      <x:c r="H2244" s="31" t="n">
        <x:v>-74.09909828088074</x:v>
      </x:c>
      <x:c r="I2244" s="31" t="n">
        <x:v>3249</x:v>
      </x:c>
      <x:c r="J2244" s="31" t="n">
        <x:v>15967.588014952795</x:v>
      </x:c>
      <x:c r="K2244" s="31"/>
      <x:c r="L2244" s="40"/>
      <x:c r="M2244" s="40"/>
      <x:c r="N2244" s="31" t="n">
        <x:v>488</x:v>
      </x:c>
      <x:c r="O2244" s="31" t="n">
        <x:v>1382</x:v>
      </x:c>
      <x:c r="P2244" s="31" t="n">
        <x:v>3.749138929088278</x:v>
      </x:c>
      <x:c r="Q2244" s="40" t="n">
        <x:v>0</x:v>
      </x:c>
      <x:c r="R2244" s="40" t="n">
        <x:v>0.5072358900144718</x:v>
      </x:c>
      <x:c r="S2244" s="40" t="n">
        <x:v>0.45369030390738063</x:v>
      </x:c>
      <x:c r="T2244" s="31" t="n">
        <x:v>43.75823577405681</x:v>
      </x:c>
      <x:c r="U2244" s="31" t="n">
        <x:v>67</x:v>
      </x:c>
      <x:c r="V2244" s="31" t="n">
        <x:v>18</x:v>
      </x:c>
      <x:c r="W2244" s="31" t="n">
        <x:v>5.54016620498615</x:v>
      </x:c>
      <x:c r="X2244" s="31" t="n">
        <x:v>1.5303907380607815</x:v>
      </x:c>
      <x:c r="Y2244" s="40" t="n">
        <x:v>0</x:v>
      </x:c>
      <x:c r="Z2244" s="40" t="n">
        <x:v>1</x:v>
      </x:c>
      <x:c r="AA2244" s="40" t="n">
        <x:v>0.9934876989869754</x:v>
      </x:c>
      <x:c r="AB2244" s="31" t="n">
        <x:v>0.13949969511209978</x:v>
      </x:c>
      <x:c r="AC2244" s="31" t="n">
        <x:v>5</x:v>
      </x:c>
      <x:c r="AD2244" s="44" t="b">
        <x:v>1</x:v>
      </x:c>
    </x:row>
    <x:row r="2245">
      <x:c r="A2245" s="31" t="str">
        <x:v>36085011402</x:v>
      </x:c>
      <x:c r="B2245" s="31" t="str">
        <x:v>Staten Island</x:v>
      </x:c>
      <x:c r="C2245" s="31" t="str">
        <x:v>011402</x:v>
      </x:c>
      <x:c r="D2245" s="31" t="str">
        <x:v>SI0202</x:v>
      </x:c>
      <x:c r="E2245" s="31" t="str">
        <x:v>New Dorp-Midland Beach</x:v>
      </x:c>
      <x:c r="F2245" s="31" t="n">
        <x:v>0.22331314232093663</x:v>
      </x:c>
      <x:c r="G2245" s="31" t="n">
        <x:v>40.58119425407939</x:v>
      </x:c>
      <x:c r="H2245" s="31" t="n">
        <x:v>-74.10494867788742</x:v>
      </x:c>
      <x:c r="I2245" s="31" t="n">
        <x:v>3738</x:v>
      </x:c>
      <x:c r="J2245" s="31" t="n">
        <x:v>16738.826748619646</x:v>
      </x:c>
      <x:c r="K2245" s="31"/>
      <x:c r="L2245" s="40"/>
      <x:c r="M2245" s="40"/>
      <x:c r="N2245" s="31" t="n">
        <x:v>852</x:v>
      </x:c>
      <x:c r="O2245" s="31" t="n">
        <x:v>1430</x:v>
      </x:c>
      <x:c r="P2245" s="31" t="n">
        <x:v>2.9810769230769227</x:v>
      </x:c>
      <x:c r="Q2245" s="40" t="n">
        <x:v>0</x:v>
      </x:c>
      <x:c r="R2245" s="40" t="n">
        <x:v>0.24475524475524477</x:v>
      </x:c>
      <x:c r="S2245" s="40" t="n">
        <x:v>0.014685314685314685</x:v>
      </x:c>
      <x:c r="T2245" s="31" t="n">
        <x:v>34.422147181367826</x:v>
      </x:c>
      <x:c r="U2245" s="31" t="n">
        <x:v>66</x:v>
      </x:c>
      <x:c r="V2245" s="31" t="n">
        <x:v>5</x:v>
      </x:c>
      <x:c r="W2245" s="31" t="n">
        <x:v>1.337613697164259</x:v>
      </x:c>
      <x:c r="X2245" s="31" t="n">
        <x:v>1</x:v>
      </x:c>
      <x:c r="Y2245" s="40" t="n">
        <x:v>0</x:v>
      </x:c>
      <x:c r="Z2245" s="40" t="n">
        <x:v>1</x:v>
      </x:c>
      <x:c r="AA2245" s="40" t="n">
        <x:v>0.9867132867132867</x:v>
      </x:c>
      <x:c r="AB2245" s="31" t="n">
        <x:v>0.37460010931618765</x:v>
      </x:c>
      <x:c r="AC2245" s="31" t="n">
        <x:v>5</x:v>
      </x:c>
      <x:c r="AD2245" s="44" t="b">
        <x:v>1</x:v>
      </x:c>
    </x:row>
    <x:row r="2246">
      <x:c r="A2246" s="31" t="str">
        <x:v>36085012100</x:v>
      </x:c>
      <x:c r="B2246" s="31" t="str">
        <x:v>Staten Island</x:v>
      </x:c>
      <x:c r="C2246" s="31" t="str">
        <x:v>012100</x:v>
      </x:c>
      <x:c r="D2246" s="31" t="str">
        <x:v>SI0104</x:v>
      </x:c>
      <x:c r="E2246" s="31" t="str">
        <x:v>West New Brighton-Silver Lake-Grymes Hill</x:v>
      </x:c>
      <x:c r="F2246" s="31" t="n">
        <x:v>0.2866670276012971</x:v>
      </x:c>
      <x:c r="G2246" s="31" t="n">
        <x:v>40.62587850618912</x:v>
      </x:c>
      <x:c r="H2246" s="31" t="n">
        <x:v>-74.10963554025207</x:v>
      </x:c>
      <x:c r="I2246" s="31" t="n">
        <x:v>3212</x:v>
      </x:c>
      <x:c r="J2246" s="31" t="n">
        <x:v>11204.637055320229</x:v>
      </x:c>
      <x:c r="K2246" s="31"/>
      <x:c r="L2246" s="40"/>
      <x:c r="M2246" s="40"/>
      <x:c r="N2246" s="31" t="n">
        <x:v>1102</x:v>
      </x:c>
      <x:c r="O2246" s="31" t="n">
        <x:v>1223</x:v>
      </x:c>
      <x:c r="P2246" s="31" t="n">
        <x:v>2.0353229762878167</x:v>
      </x:c>
      <x:c r="Q2246" s="40" t="n">
        <x:v>0</x:v>
      </x:c>
      <x:c r="R2246" s="40" t="n">
        <x:v>0.03107113654946852</x:v>
      </x:c>
      <x:c r="S2246" s="40" t="n">
        <x:v>0.014717906786590351</x:v>
      </x:c>
      <x:c r="T2246" s="31" t="n">
        <x:v>26.79261344550041</x:v>
      </x:c>
      <x:c r="U2246" s="31" t="n">
        <x:v>39.8794743</x:v>
      </x:c>
      <x:c r="V2246" s="31" t="n">
        <x:v>1</x:v>
      </x:c>
      <x:c r="W2246" s="31" t="n">
        <x:v>0.31133250311332505</x:v>
      </x:c>
      <x:c r="X2246" s="31" t="n">
        <x:v>2.982011447260834</x:v>
      </x:c>
      <x:c r="Y2246" s="40" t="n">
        <x:v>0</x:v>
      </x:c>
      <x:c r="Z2246" s="40" t="n">
        <x:v>1</x:v>
      </x:c>
      <x:c r="AA2246" s="40" t="n">
        <x:v>0.9885527391659853</x:v>
      </x:c>
      <x:c r="AB2246" s="31" t="n">
        <x:v>0.21467447254575428</x:v>
      </x:c>
      <x:c r="AC2246" s="31" t="n">
        <x:v>5</x:v>
      </x:c>
      <x:c r="AD2246" s="44" t="b">
        <x:v>1</x:v>
      </x:c>
    </x:row>
    <x:row r="2247">
      <x:c r="A2247" s="31" t="str">
        <x:v>36085012200</x:v>
      </x:c>
      <x:c r="B2247" s="31" t="str">
        <x:v>Staten Island</x:v>
      </x:c>
      <x:c r="C2247" s="31" t="str">
        <x:v>012200</x:v>
      </x:c>
      <x:c r="D2247" s="31" t="str">
        <x:v>SI0202</x:v>
      </x:c>
      <x:c r="E2247" s="31" t="str">
        <x:v>New Dorp-Midland Beach</x:v>
      </x:c>
      <x:c r="F2247" s="31" t="n">
        <x:v>0.31986929428876837</x:v>
      </x:c>
      <x:c r="G2247" s="31" t="n">
        <x:v>40.57597188472946</x:v>
      </x:c>
      <x:c r="H2247" s="31" t="n">
        <x:v>-74.11145517184433</x:v>
      </x:c>
      <x:c r="I2247" s="31" t="n">
        <x:v>3938</x:v>
      </x:c>
      <x:c r="J2247" s="31" t="n">
        <x:v>12311.278607583046</x:v>
      </x:c>
      <x:c r="K2247" s="31"/>
      <x:c r="L2247" s="40"/>
      <x:c r="M2247" s="40"/>
      <x:c r="N2247" s="31" t="n">
        <x:v>1144</x:v>
      </x:c>
      <x:c r="O2247" s="31" t="n">
        <x:v>1576</x:v>
      </x:c>
      <x:c r="P2247" s="31" t="n">
        <x:v>1.9705781448538755</x:v>
      </x:c>
      <x:c r="Q2247" s="40" t="n">
        <x:v>0</x:v>
      </x:c>
      <x:c r="R2247" s="40" t="n">
        <x:v>0.014593908629441625</x:v>
      </x:c>
      <x:c r="S2247" s="40" t="n">
        <x:v>0.00951776649746193</x:v>
      </x:c>
      <x:c r="T2247" s="31" t="n">
        <x:v>27.292765527258787</x:v>
      </x:c>
      <x:c r="U2247" s="31" t="n">
        <x:v>38.44</x:v>
      </x:c>
      <x:c r="V2247" s="31" t="n">
        <x:v>0</x:v>
      </x:c>
      <x:c r="W2247" s="31" t="n">
        <x:v>0</x:v>
      </x:c>
      <x:c r="X2247" s="31" t="n">
        <x:v>1</x:v>
      </x:c>
      <x:c r="Y2247" s="40" t="n">
        <x:v>0</x:v>
      </x:c>
      <x:c r="Z2247" s="40" t="n">
        <x:v>1</x:v>
      </x:c>
      <x:c r="AA2247" s="40" t="n">
        <x:v>0.993020304568528</x:v>
      </x:c>
      <x:c r="AB2247" s="31" t="n">
        <x:v>0.19917009654169499</x:v>
      </x:c>
      <x:c r="AC2247" s="31" t="n">
        <x:v>5</x:v>
      </x:c>
      <x:c r="AD2247" s="44" t="b">
        <x:v>1</x:v>
      </x:c>
    </x:row>
    <x:row r="2248">
      <x:c r="A2248" s="31" t="str">
        <x:v>36085012500</x:v>
      </x:c>
      <x:c r="B2248" s="31" t="str">
        <x:v>Staten Island</x:v>
      </x:c>
      <x:c r="C2248" s="31" t="str">
        <x:v>012500</x:v>
      </x:c>
      <x:c r="D2248" s="31" t="str">
        <x:v>SI0104</x:v>
      </x:c>
      <x:c r="E2248" s="31" t="str">
        <x:v>West New Brighton-Silver Lake-Grymes Hill</x:v>
      </x:c>
      <x:c r="F2248" s="31" t="n">
        <x:v>0.17763502430125114</x:v>
      </x:c>
      <x:c r="G2248" s="31" t="n">
        <x:v>40.62868757980124</x:v>
      </x:c>
      <x:c r="H2248" s="31" t="n">
        <x:v>-74.11885204602832</x:v>
      </x:c>
      <x:c r="I2248" s="31" t="n">
        <x:v>3087</x:v>
      </x:c>
      <x:c r="J2248" s="31" t="n">
        <x:v>17378.329595433603</x:v>
      </x:c>
      <x:c r="K2248" s="31"/>
      <x:c r="L2248" s="40"/>
      <x:c r="M2248" s="40"/>
      <x:c r="N2248" s="31" t="n">
        <x:v>686</x:v>
      </x:c>
      <x:c r="O2248" s="31" t="n">
        <x:v>1034</x:v>
      </x:c>
      <x:c r="P2248" s="31" t="n">
        <x:v>2.2964085188770573</x:v>
      </x:c>
      <x:c r="Q2248" s="40" t="n">
        <x:v>0</x:v>
      </x:c>
      <x:c r="R2248" s="40" t="n">
        <x:v>0.0851063829787234</x:v>
      </x:c>
      <x:c r="S2248" s="40" t="n">
        <x:v>0.009671179883945842</x:v>
      </x:c>
      <x:c r="T2248" s="31" t="n">
        <x:v>30.093111999999998</x:v>
      </x:c>
      <x:c r="U2248" s="31" t="n">
        <x:v>47</x:v>
      </x:c>
      <x:c r="V2248" s="31" t="n">
        <x:v>1</x:v>
      </x:c>
      <x:c r="W2248" s="31" t="n">
        <x:v>0.32393909944930355</x:v>
      </x:c>
      <x:c r="X2248" s="31" t="n">
        <x:v>3</x:v>
      </x:c>
      <x:c r="Y2248" s="40" t="n">
        <x:v>0</x:v>
      </x:c>
      <x:c r="Z2248" s="40" t="n">
        <x:v>1</x:v>
      </x:c>
      <x:c r="AA2248" s="40" t="n">
        <x:v>0.9893617021276596</x:v>
      </x:c>
      <x:c r="AB2248" s="31" t="n">
        <x:v>0.07286720814283167</x:v>
      </x:c>
      <x:c r="AC2248" s="31" t="n">
        <x:v>5</x:v>
      </x:c>
      <x:c r="AD2248" s="44" t="b">
        <x:v>1</x:v>
      </x:c>
    </x:row>
    <x:row r="2249">
      <x:c r="A2249" s="31" t="str">
        <x:v>36085012804</x:v>
      </x:c>
      <x:c r="B2249" s="31" t="str">
        <x:v>Staten Island</x:v>
      </x:c>
      <x:c r="C2249" s="31" t="str">
        <x:v>012804</x:v>
      </x:c>
      <x:c r="D2249" s="31" t="str">
        <x:v>SI0202</x:v>
      </x:c>
      <x:c r="E2249" s="31" t="str">
        <x:v>New Dorp-Midland Beach</x:v>
      </x:c>
      <x:c r="F2249" s="31" t="n">
        <x:v>0.33883525421401517</x:v>
      </x:c>
      <x:c r="G2249" s="31" t="n">
        <x:v>40.56460974471494</x:v>
      </x:c>
      <x:c r="H2249" s="31" t="n">
        <x:v>-74.10445842453106</x:v>
      </x:c>
      <x:c r="I2249" s="31" t="n">
        <x:v>4644</x:v>
      </x:c>
      <x:c r="J2249" s="31" t="n">
        <x:v>13705.775719154524</x:v>
      </x:c>
      <x:c r="K2249" s="31"/>
      <x:c r="L2249" s="40"/>
      <x:c r="M2249" s="40"/>
      <x:c r="N2249" s="31" t="n">
        <x:v>1333</x:v>
      </x:c>
      <x:c r="O2249" s="31" t="n">
        <x:v>1793</x:v>
      </x:c>
      <x:c r="P2249" s="31" t="n">
        <x:v>1.9694633873672442</x:v>
      </x:c>
      <x:c r="Q2249" s="40" t="n">
        <x:v>0</x:v>
      </x:c>
      <x:c r="R2249" s="40" t="n">
        <x:v>0.12883435582822086</x:v>
      </x:c>
      <x:c r="S2249" s="40" t="n">
        <x:v>0.01728945900725042</x:v>
      </x:c>
      <x:c r="T2249" s="31" t="n">
        <x:v>27.11566901506479</x:v>
      </x:c>
      <x:c r="U2249" s="31" t="n">
        <x:v>55</x:v>
      </x:c>
      <x:c r="V2249" s="31" t="n">
        <x:v>40</x:v>
      </x:c>
      <x:c r="W2249" s="31" t="n">
        <x:v>8.613264427217917</x:v>
      </x:c>
      <x:c r="X2249" s="31" t="n">
        <x:v>1</x:v>
      </x:c>
      <x:c r="Y2249" s="40" t="n">
        <x:v>0</x:v>
      </x:c>
      <x:c r="Z2249" s="40" t="n">
        <x:v>1</x:v>
      </x:c>
      <x:c r="AA2249" s="40" t="n">
        <x:v>0.9899609592861126</x:v>
      </x:c>
      <x:c r="AB2249" s="31" t="n">
        <x:v>0.3967128421320139</x:v>
      </x:c>
      <x:c r="AC2249" s="31" t="n">
        <x:v>5</x:v>
      </x:c>
      <x:c r="AD2249" s="44" t="b">
        <x:v>1</x:v>
      </x:c>
    </x:row>
    <x:row r="2250">
      <x:c r="A2250" s="31" t="str">
        <x:v>36085012805</x:v>
      </x:c>
      <x:c r="B2250" s="31" t="str">
        <x:v>Staten Island</x:v>
      </x:c>
      <x:c r="C2250" s="31" t="str">
        <x:v>012805</x:v>
      </x:c>
      <x:c r="D2250" s="31" t="str">
        <x:v>SI0301</x:v>
      </x:c>
      <x:c r="E2250" s="31" t="str">
        <x:v>Oakwood-Richmondtown</x:v>
      </x:c>
      <x:c r="F2250" s="31" t="n">
        <x:v>0.38115338191933545</x:v>
      </x:c>
      <x:c r="G2250" s="31" t="n">
        <x:v>40.55465625775967</x:v>
      </x:c>
      <x:c r="H2250" s="31" t="n">
        <x:v>-74.11763611933885</x:v>
      </x:c>
      <x:c r="I2250" s="31" t="n">
        <x:v>2390</x:v>
      </x:c>
      <x:c r="J2250" s="31" t="n">
        <x:v>6270.441542365226</x:v>
      </x:c>
      <x:c r="K2250" s="31"/>
      <x:c r="L2250" s="40"/>
      <x:c r="M2250" s="40"/>
      <x:c r="N2250" s="31" t="n">
        <x:v>656</x:v>
      </x:c>
      <x:c r="O2250" s="31" t="n">
        <x:v>852</x:v>
      </x:c>
      <x:c r="P2250" s="31" t="n">
        <x:v>2.1091069330199765</x:v>
      </x:c>
      <x:c r="Q2250" s="40" t="n">
        <x:v>0</x:v>
      </x:c>
      <x:c r="R2250" s="40" t="n">
        <x:v>0.16666666666666666</x:v>
      </x:c>
      <x:c r="S2250" s="40" t="n">
        <x:v>0.009389671361502348</x:v>
      </x:c>
      <x:c r="T2250" s="31" t="n">
        <x:v>25.80594057686603</x:v>
      </x:c>
      <x:c r="U2250" s="31" t="n">
        <x:v>35</x:v>
      </x:c>
      <x:c r="V2250" s="31" t="n">
        <x:v>0</x:v>
      </x:c>
      <x:c r="W2250" s="31" t="n">
        <x:v>0</x:v>
      </x:c>
      <x:c r="X2250" s="31" t="n">
        <x:v>1</x:v>
      </x:c>
      <x:c r="Y2250" s="40" t="n">
        <x:v>0</x:v>
      </x:c>
      <x:c r="Z2250" s="40" t="n">
        <x:v>1</x:v>
      </x:c>
      <x:c r="AA2250" s="40" t="n">
        <x:v>0.9812206572769953</x:v>
      </x:c>
      <x:c r="AB2250" s="31" t="n">
        <x:v>0.605906517795484</x:v>
      </x:c>
      <x:c r="AC2250" s="31" t="n">
        <x:v>4</x:v>
      </x:c>
      <x:c r="AD2250" s="44" t="b">
        <x:v>1</x:v>
      </x:c>
    </x:row>
    <x:row r="2251">
      <x:c r="A2251" s="31" t="str">
        <x:v>36085012806</x:v>
      </x:c>
      <x:c r="B2251" s="31" t="str">
        <x:v>Staten Island</x:v>
      </x:c>
      <x:c r="C2251" s="31" t="str">
        <x:v>012806</x:v>
      </x:c>
      <x:c r="D2251" s="31" t="str">
        <x:v>SI0301</x:v>
      </x:c>
      <x:c r="E2251" s="31" t="str">
        <x:v>Oakwood-Richmondtown</x:v>
      </x:c>
      <x:c r="F2251" s="31" t="n">
        <x:v>0.4970916511241678</x:v>
      </x:c>
      <x:c r="G2251" s="31" t="n">
        <x:v>40.55941970751135</x:v>
      </x:c>
      <x:c r="H2251" s="31" t="n">
        <x:v>-74.11003098187997</x:v>
      </x:c>
      <x:c r="I2251" s="31" t="n">
        <x:v>6659</x:v>
      </x:c>
      <x:c r="J2251" s="31" t="n">
        <x:v>13395.9200178493</x:v>
      </x:c>
      <x:c r="K2251" s="31"/>
      <x:c r="L2251" s="40"/>
      <x:c r="M2251" s="40"/>
      <x:c r="N2251" s="31" t="n">
        <x:v>1143</x:v>
      </x:c>
      <x:c r="O2251" s="31" t="n">
        <x:v>2575</x:v>
      </x:c>
      <x:c r="P2251" s="31" t="n">
        <x:v>3.5547650485436897</x:v>
      </x:c>
      <x:c r="Q2251" s="40" t="n">
        <x:v>0</x:v>
      </x:c>
      <x:c r="R2251" s="40" t="n">
        <x:v>0.4854368932038835</x:v>
      </x:c>
      <x:c r="S2251" s="40" t="n">
        <x:v>0.36776699029126214</x:v>
      </x:c>
      <x:c r="T2251" s="31" t="n">
        <x:v>37.873914900287716</x:v>
      </x:c>
      <x:c r="U2251" s="31" t="n">
        <x:v>57.65</x:v>
      </x:c>
      <x:c r="V2251" s="31" t="n">
        <x:v>17</x:v>
      </x:c>
      <x:c r="W2251" s="31" t="n">
        <x:v>2.5529358762576964</x:v>
      </x:c>
      <x:c r="X2251" s="31" t="n">
        <x:v>1</x:v>
      </x:c>
      <x:c r="Y2251" s="40" t="n">
        <x:v>0</x:v>
      </x:c>
      <x:c r="Z2251" s="40" t="n">
        <x:v>1</x:v>
      </x:c>
      <x:c r="AA2251" s="40" t="n">
        <x:v>0.9988349514563106</x:v>
      </x:c>
      <x:c r="AB2251" s="31" t="n">
        <x:v>0.6866174013953565</x:v>
      </x:c>
      <x:c r="AC2251" s="31" t="n">
        <x:v>5</x:v>
      </x:c>
      <x:c r="AD2251" s="44" t="b">
        <x:v>1</x:v>
      </x:c>
    </x:row>
    <x:row r="2252">
      <x:c r="A2252" s="31" t="str">
        <x:v>36085013201</x:v>
      </x:c>
      <x:c r="B2252" s="31" t="str">
        <x:v>Staten Island</x:v>
      </x:c>
      <x:c r="C2252" s="31" t="str">
        <x:v>013201</x:v>
      </x:c>
      <x:c r="D2252" s="31" t="str">
        <x:v>SI0301</x:v>
      </x:c>
      <x:c r="E2252" s="31" t="str">
        <x:v>Oakwood-Richmondtown</x:v>
      </x:c>
      <x:c r="F2252" s="31" t="n">
        <x:v>0.18130104521959656</x:v>
      </x:c>
      <x:c r="G2252" s="31" t="n">
        <x:v>40.56477754274977</x:v>
      </x:c>
      <x:c r="H2252" s="31" t="n">
        <x:v>-74.12257132325897</x:v>
      </x:c>
      <x:c r="I2252" s="31" t="n">
        <x:v>1659</x:v>
      </x:c>
      <x:c r="J2252" s="31" t="n">
        <x:v>9150.526396527808</x:v>
      </x:c>
      <x:c r="K2252" s="31"/>
      <x:c r="L2252" s="40"/>
      <x:c r="M2252" s="40"/>
      <x:c r="N2252" s="31" t="n">
        <x:v>516</x:v>
      </x:c>
      <x:c r="O2252" s="31" t="n">
        <x:v>602</x:v>
      </x:c>
      <x:c r="P2252" s="31" t="n">
        <x:v>1.7166943521594684</x:v>
      </x:c>
      <x:c r="Q2252" s="40" t="n">
        <x:v>0</x:v>
      </x:c>
      <x:c r="R2252" s="40" t="n">
        <x:v>0.014950166112956811</x:v>
      </x:c>
      <x:c r="S2252" s="40" t="n">
        <x:v>0.0016611295681063123</x:v>
      </x:c>
      <x:c r="T2252" s="31" t="n">
        <x:v>23.44543929991653</x:v>
      </x:c>
      <x:c r="U2252" s="31" t="n">
        <x:v>38.89909704</x:v>
      </x:c>
      <x:c r="V2252" s="31" t="n">
        <x:v>2</x:v>
      </x:c>
      <x:c r="W2252" s="31" t="n">
        <x:v>1.2055455093429777</x:v>
      </x:c>
      <x:c r="X2252" s="31" t="n">
        <x:v>1</x:v>
      </x:c>
      <x:c r="Y2252" s="40" t="n">
        <x:v>0</x:v>
      </x:c>
      <x:c r="Z2252" s="40" t="n">
        <x:v>1</x:v>
      </x:c>
      <x:c r="AA2252" s="40" t="n">
        <x:v>0.9950166112956811</x:v>
      </x:c>
      <x:c r="AB2252" s="31" t="n">
        <x:v>0.2572891514158842</x:v>
      </x:c>
      <x:c r="AC2252" s="31" t="n">
        <x:v>5</x:v>
      </x:c>
      <x:c r="AD2252" s="44" t="b">
        <x:v>1</x:v>
      </x:c>
    </x:row>
    <x:row r="2253">
      <x:c r="A2253" s="31" t="str">
        <x:v>36085013203</x:v>
      </x:c>
      <x:c r="B2253" s="31" t="str">
        <x:v>Staten Island</x:v>
      </x:c>
      <x:c r="C2253" s="31" t="str">
        <x:v>013203</x:v>
      </x:c>
      <x:c r="D2253" s="31" t="str">
        <x:v>SI0302</x:v>
      </x:c>
      <x:c r="E2253" s="31" t="str">
        <x:v>Great Kills-Eltingville</x:v>
      </x:c>
      <x:c r="F2253" s="31" t="n">
        <x:v>0.3990344315993744</x:v>
      </x:c>
      <x:c r="G2253" s="31" t="n">
        <x:v>40.54970420006702</x:v>
      </x:c>
      <x:c r="H2253" s="31" t="n">
        <x:v>-74.14272668532595</x:v>
      </x:c>
      <x:c r="I2253" s="31" t="n">
        <x:v>5790</x:v>
      </x:c>
      <x:c r="J2253" s="31" t="n">
        <x:v>14510.026056631343</x:v>
      </x:c>
      <x:c r="K2253" s="31"/>
      <x:c r="L2253" s="40"/>
      <x:c r="M2253" s="40"/>
      <x:c r="N2253" s="31" t="n">
        <x:v>1592</x:v>
      </x:c>
      <x:c r="O2253" s="31" t="n">
        <x:v>2200</x:v>
      </x:c>
      <x:c r="P2253" s="31" t="n">
        <x:v>1.9223954545454547</x:v>
      </x:c>
      <x:c r="Q2253" s="40" t="n">
        <x:v>0</x:v>
      </x:c>
      <x:c r="R2253" s="40" t="n">
        <x:v>0.031818181818181815</x:v>
      </x:c>
      <x:c r="S2253" s="40" t="n">
        <x:v>0.05818181818181818</x:v>
      </x:c>
      <x:c r="T2253" s="31" t="n">
        <x:v>25.919413993986304</x:v>
      </x:c>
      <x:c r="U2253" s="31" t="n">
        <x:v>38</x:v>
      </x:c>
      <x:c r="V2253" s="31" t="n">
        <x:v>3</x:v>
      </x:c>
      <x:c r="W2253" s="31" t="n">
        <x:v>0.5181347150259067</x:v>
      </x:c>
      <x:c r="X2253" s="31" t="n">
        <x:v>1.8040909090909092</x:v>
      </x:c>
      <x:c r="Y2253" s="40" t="n">
        <x:v>0</x:v>
      </x:c>
      <x:c r="Z2253" s="40" t="n">
        <x:v>1</x:v>
      </x:c>
      <x:c r="AA2253" s="40" t="n">
        <x:v>0.9954545454545455</x:v>
      </x:c>
      <x:c r="AB2253" s="31" t="n">
        <x:v>0.30969883673006543</x:v>
      </x:c>
      <x:c r="AC2253" s="31" t="n">
        <x:v>7</x:v>
      </x:c>
      <x:c r="AD2253" s="44" t="b">
        <x:v>1</x:v>
      </x:c>
    </x:row>
    <x:row r="2254">
      <x:c r="A2254" s="31" t="str">
        <x:v>36085013204</x:v>
      </x:c>
      <x:c r="B2254" s="31" t="str">
        <x:v>Staten Island</x:v>
      </x:c>
      <x:c r="C2254" s="31" t="str">
        <x:v>013204</x:v>
      </x:c>
      <x:c r="D2254" s="31" t="str">
        <x:v>SI0301</x:v>
      </x:c>
      <x:c r="E2254" s="31" t="str">
        <x:v>Oakwood-Richmondtown</x:v>
      </x:c>
      <x:c r="F2254" s="31" t="n">
        <x:v>0.4035272769384183</x:v>
      </x:c>
      <x:c r="G2254" s="31" t="n">
        <x:v>40.55942320486446</x:v>
      </x:c>
      <x:c r="H2254" s="31" t="n">
        <x:v>-74.13023847503635</x:v>
      </x:c>
      <x:c r="I2254" s="31" t="n">
        <x:v>5055</x:v>
      </x:c>
      <x:c r="J2254" s="31" t="n">
        <x:v>12527.034202873569</x:v>
      </x:c>
      <x:c r="K2254" s="31"/>
      <x:c r="L2254" s="40"/>
      <x:c r="M2254" s="40"/>
      <x:c r="N2254" s="31" t="n">
        <x:v>1407</x:v>
      </x:c>
      <x:c r="O2254" s="31" t="n">
        <x:v>1972</x:v>
      </x:c>
      <x:c r="P2254" s="31" t="n">
        <x:v>1.8614553752535496</x:v>
      </x:c>
      <x:c r="Q2254" s="40" t="n">
        <x:v>0</x:v>
      </x:c>
      <x:c r="R2254" s="40" t="n">
        <x:v>0.036511156186612576</x:v>
      </x:c>
      <x:c r="S2254" s="40" t="n">
        <x:v>0.04006085192697769</x:v>
      </x:c>
      <x:c r="T2254" s="31" t="n">
        <x:v>24.754696403755723</x:v>
      </x:c>
      <x:c r="U2254" s="31" t="n">
        <x:v>39.76</x:v>
      </x:c>
      <x:c r="V2254" s="31" t="n">
        <x:v>0</x:v>
      </x:c>
      <x:c r="W2254" s="31" t="n">
        <x:v>0</x:v>
      </x:c>
      <x:c r="X2254" s="31" t="n">
        <x:v>1</x:v>
      </x:c>
      <x:c r="Y2254" s="40" t="n">
        <x:v>0</x:v>
      </x:c>
      <x:c r="Z2254" s="40" t="n">
        <x:v>1</x:v>
      </x:c>
      <x:c r="AA2254" s="40" t="n">
        <x:v>0.9964503042596349</x:v>
      </x:c>
      <x:c r="AB2254" s="31" t="n">
        <x:v>0.31632708762846296</x:v>
      </x:c>
      <x:c r="AC2254" s="31" t="n">
        <x:v>7</x:v>
      </x:c>
      <x:c r="AD2254" s="44" t="b">
        <x:v>1</x:v>
      </x:c>
    </x:row>
    <x:row r="2255">
      <x:c r="A2255" s="31" t="str">
        <x:v>36085013301</x:v>
      </x:c>
      <x:c r="B2255" s="31" t="str">
        <x:v>Staten Island</x:v>
      </x:c>
      <x:c r="C2255" s="31" t="str">
        <x:v>013301</x:v>
      </x:c>
      <x:c r="D2255" s="31" t="str">
        <x:v>SI0104</x:v>
      </x:c>
      <x:c r="E2255" s="31" t="str">
        <x:v>West New Brighton-Silver Lake-Grymes Hill</x:v>
      </x:c>
      <x:c r="F2255" s="31" t="n">
        <x:v>0.025874273244447313</x:v>
      </x:c>
      <x:c r="G2255" s="31" t="n">
        <x:v>40.63559618269894</x:v>
      </x:c>
      <x:c r="H2255" s="31" t="n">
        <x:v>-74.1189150488767</x:v>
      </x:c>
      <x:c r="I2255" s="31" t="n">
        <x:v>1631</x:v>
      </x:c>
      <x:c r="J2255" s="31" t="n">
        <x:v>63035.58691643704</x:v>
      </x:c>
      <x:c r="K2255" s="31"/>
      <x:c r="L2255" s="40"/>
      <x:c r="M2255" s="40"/>
      <x:c r="N2255" s="31" t="n">
        <x:v>15</x:v>
      </x:c>
      <x:c r="O2255" s="31" t="n">
        <x:v>648</x:v>
      </x:c>
      <x:c r="P2255" s="31" t="n">
        <x:v>7.880401234567901</x:v>
      </x:c>
      <x:c r="Q2255" s="40" t="n">
        <x:v>0</x:v>
      </x:c>
      <x:c r="R2255" s="40" t="n">
        <x:v>0.9783950617283951</x:v>
      </x:c>
      <x:c r="S2255" s="40" t="n">
        <x:v>0.9783950617283951</x:v>
      </x:c>
      <x:c r="T2255" s="31" t="n">
        <x:v>75.60621913580248</x:v>
      </x:c>
      <x:c r="U2255" s="31" t="n">
        <x:v>76.68</x:v>
      </x:c>
      <x:c r="V2255" s="31" t="n">
        <x:v>9</x:v>
      </x:c>
      <x:c r="W2255" s="31" t="n">
        <x:v>5.518087063151441</x:v>
      </x:c>
      <x:c r="X2255" s="31" t="n">
        <x:v>3</x:v>
      </x:c>
      <x:c r="Y2255" s="40" t="n">
        <x:v>0</x:v>
      </x:c>
      <x:c r="Z2255" s="40" t="n">
        <x:v>1</x:v>
      </x:c>
      <x:c r="AA2255" s="40" t="n">
        <x:v>1</x:v>
      </x:c>
      <x:c r="AB2255" s="31" t="n">
        <x:v>0.056807567748663544</x:v>
      </x:c>
      <x:c r="AC2255" s="31" t="n">
        <x:v>2</x:v>
      </x:c>
      <x:c r="AD2255" s="44" t="b">
        <x:v>1</x:v>
      </x:c>
    </x:row>
    <x:row r="2256">
      <x:c r="A2256" s="31" t="str">
        <x:v>36085013302</x:v>
      </x:c>
      <x:c r="B2256" s="31" t="str">
        <x:v>Staten Island</x:v>
      </x:c>
      <x:c r="C2256" s="31" t="str">
        <x:v>013302</x:v>
      </x:c>
      <x:c r="D2256" s="31" t="str">
        <x:v>SI0106</x:v>
      </x:c>
      <x:c r="E2256" s="31" t="str">
        <x:v>Port Richmond</x:v>
      </x:c>
      <x:c r="F2256" s="31" t="n">
        <x:v>0.33408164755330294</x:v>
      </x:c>
      <x:c r="G2256" s="31" t="n">
        <x:v>40.635970986666734</x:v>
      </x:c>
      <x:c r="H2256" s="31" t="n">
        <x:v>-74.12349494887911</x:v>
      </x:c>
      <x:c r="I2256" s="31" t="n">
        <x:v>3733</x:v>
      </x:c>
      <x:c r="J2256" s="31" t="n">
        <x:v>11173.915201086877</x:v>
      </x:c>
      <x:c r="K2256" s="31"/>
      <x:c r="L2256" s="40"/>
      <x:c r="M2256" s="40"/>
      <x:c r="N2256" s="31" t="n">
        <x:v>676</x:v>
      </x:c>
      <x:c r="O2256" s="31" t="n">
        <x:v>1039</x:v>
      </x:c>
      <x:c r="P2256" s="31" t="n">
        <x:v>2.3193236714975844</x:v>
      </x:c>
      <x:c r="Q2256" s="40" t="n">
        <x:v>0</x:v>
      </x:c>
      <x:c r="R2256" s="40" t="n">
        <x:v>0.09913378248315688</x:v>
      </x:c>
      <x:c r="S2256" s="40" t="n">
        <x:v>0.030798845043310877</x:v>
      </x:c>
      <x:c r="T2256" s="31" t="n">
        <x:v>29.92548231580078</x:v>
      </x:c>
      <x:c r="U2256" s="31" t="n">
        <x:v>40.68</x:v>
      </x:c>
      <x:c r="V2256" s="31" t="n">
        <x:v>0</x:v>
      </x:c>
      <x:c r="W2256" s="31" t="n">
        <x:v>0</x:v>
      </x:c>
      <x:c r="X2256" s="31" t="n">
        <x:v>3.0346487006737246</x:v>
      </x:c>
      <x:c r="Y2256" s="40" t="n">
        <x:v>0.03464870067372473</x:v>
      </x:c>
      <x:c r="Z2256" s="40" t="n">
        <x:v>1</x:v>
      </x:c>
      <x:c r="AA2256" s="40" t="n">
        <x:v>0.9855630413859481</x:v>
      </x:c>
      <x:c r="AB2256" s="31" t="n">
        <x:v>0.22123908618931845</x:v>
      </x:c>
      <x:c r="AC2256" s="31" t="n">
        <x:v>8</x:v>
      </x:c>
      <x:c r="AD2256" s="44" t="b">
        <x:v>1</x:v>
      </x:c>
    </x:row>
    <x:row r="2257">
      <x:c r="A2257" s="31" t="str">
        <x:v>36085013400</x:v>
      </x:c>
      <x:c r="B2257" s="31" t="str">
        <x:v>Staten Island</x:v>
      </x:c>
      <x:c r="C2257" s="31" t="str">
        <x:v>013400</x:v>
      </x:c>
      <x:c r="D2257" s="31" t="str">
        <x:v>SI0202</x:v>
      </x:c>
      <x:c r="E2257" s="31" t="str">
        <x:v>New Dorp-Midland Beach</x:v>
      </x:c>
      <x:c r="F2257" s="31" t="n">
        <x:v>0.32849895464445594</x:v>
      </x:c>
      <x:c r="G2257" s="31" t="n">
        <x:v>40.56988150028795</x:v>
      </x:c>
      <x:c r="H2257" s="31" t="n">
        <x:v>-74.11744484064924</x:v>
      </x:c>
      <x:c r="I2257" s="31" t="n">
        <x:v>4204</x:v>
      </x:c>
      <x:c r="J2257" s="31" t="n">
        <x:v>12797.605412626388</x:v>
      </x:c>
      <x:c r="K2257" s="31"/>
      <x:c r="L2257" s="40"/>
      <x:c r="M2257" s="40"/>
      <x:c r="N2257" s="31" t="n">
        <x:v>1103</x:v>
      </x:c>
      <x:c r="O2257" s="31" t="n">
        <x:v>1654</x:v>
      </x:c>
      <x:c r="P2257" s="31" t="n">
        <x:v>1.915677146311971</x:v>
      </x:c>
      <x:c r="Q2257" s="40" t="n">
        <x:v>0</x:v>
      </x:c>
      <x:c r="R2257" s="40" t="n">
        <x:v>0.07013301088270858</x:v>
      </x:c>
      <x:c r="S2257" s="40" t="n">
        <x:v>0.06711003627569528</x:v>
      </x:c>
      <x:c r="T2257" s="31" t="n">
        <x:v>26.46854805538649</x:v>
      </x:c>
      <x:c r="U2257" s="31" t="n">
        <x:v>39.12</x:v>
      </x:c>
      <x:c r="V2257" s="31" t="n">
        <x:v>1</x:v>
      </x:c>
      <x:c r="W2257" s="31" t="n">
        <x:v>0.2378686964795433</x:v>
      </x:c>
      <x:c r="X2257" s="31" t="n">
        <x:v>1</x:v>
      </x:c>
      <x:c r="Y2257" s="40" t="n">
        <x:v>0</x:v>
      </x:c>
      <x:c r="Z2257" s="40" t="n">
        <x:v>1</x:v>
      </x:c>
      <x:c r="AA2257" s="40" t="n">
        <x:v>0.9933494558645707</x:v>
      </x:c>
      <x:c r="AB2257" s="31" t="n">
        <x:v>0.1339327422142046</x:v>
      </x:c>
      <x:c r="AC2257" s="31" t="n">
        <x:v>7</x:v>
      </x:c>
      <x:c r="AD2257" s="44" t="b">
        <x:v>1</x:v>
      </x:c>
    </x:row>
    <x:row r="2258">
      <x:c r="A2258" s="31" t="str">
        <x:v>36085013800</x:v>
      </x:c>
      <x:c r="B2258" s="31" t="str">
        <x:v>Staten Island</x:v>
      </x:c>
      <x:c r="C2258" s="31" t="str">
        <x:v>013800</x:v>
      </x:c>
      <x:c r="D2258" s="31" t="str">
        <x:v>SI0301</x:v>
      </x:c>
      <x:c r="E2258" s="31" t="str">
        <x:v>Oakwood-Richmondtown</x:v>
      </x:c>
      <x:c r="F2258" s="31" t="n">
        <x:v>0.5434012977502296</x:v>
      </x:c>
      <x:c r="G2258" s="31" t="n">
        <x:v>40.5704901047536</x:v>
      </x:c>
      <x:c r="H2258" s="31" t="n">
        <x:v>-74.1318815148879</x:v>
      </x:c>
      <x:c r="I2258" s="31" t="n">
        <x:v>6625</x:v>
      </x:c>
      <x:c r="J2258" s="31" t="n">
        <x:v>12191.72649647431</x:v>
      </x:c>
      <x:c r="K2258" s="31"/>
      <x:c r="L2258" s="40"/>
      <x:c r="M2258" s="40"/>
      <x:c r="N2258" s="31" t="n">
        <x:v>2096</x:v>
      </x:c>
      <x:c r="O2258" s="31" t="n">
        <x:v>2481</x:v>
      </x:c>
      <x:c r="P2258" s="31" t="n">
        <x:v>1.8689112903225804</x:v>
      </x:c>
      <x:c r="Q2258" s="40" t="n">
        <x:v>0</x:v>
      </x:c>
      <x:c r="R2258" s="40" t="n">
        <x:v>0.025796049979846837</x:v>
      </x:c>
      <x:c r="S2258" s="40" t="n">
        <x:v>0.014510278113663845</x:v>
      </x:c>
      <x:c r="T2258" s="31" t="n">
        <x:v>25.096560074512592</x:v>
      </x:c>
      <x:c r="U2258" s="31" t="n">
        <x:v>51</x:v>
      </x:c>
      <x:c r="V2258" s="31" t="n">
        <x:v>3</x:v>
      </x:c>
      <x:c r="W2258" s="31" t="n">
        <x:v>0.4528301886792453</x:v>
      </x:c>
      <x:c r="X2258" s="31" t="n">
        <x:v>1</x:v>
      </x:c>
      <x:c r="Y2258" s="40" t="n">
        <x:v>0</x:v>
      </x:c>
      <x:c r="Z2258" s="40" t="n">
        <x:v>1</x:v>
      </x:c>
      <x:c r="AA2258" s="40" t="n">
        <x:v>0.992341797662233</x:v>
      </x:c>
      <x:c r="AB2258" s="31" t="n">
        <x:v>0.059834180741776335</x:v>
      </x:c>
      <x:c r="AC2258" s="31" t="n">
        <x:v>6</x:v>
      </x:c>
      <x:c r="AD2258" s="44" t="b">
        <x:v>1</x:v>
      </x:c>
    </x:row>
    <x:row r="2259">
      <x:c r="A2259" s="31" t="str">
        <x:v>36085014100</x:v>
      </x:c>
      <x:c r="B2259" s="31" t="str">
        <x:v>Staten Island</x:v>
      </x:c>
      <x:c r="C2259" s="31" t="str">
        <x:v>014100</x:v>
      </x:c>
      <x:c r="D2259" s="31" t="str">
        <x:v>SI0106</x:v>
      </x:c>
      <x:c r="E2259" s="31" t="str">
        <x:v>Port Richmond</x:v>
      </x:c>
      <x:c r="F2259" s="31" t="n">
        <x:v>0.11976470910238751</x:v>
      </x:c>
      <x:c r="G2259" s="31" t="n">
        <x:v>40.62885200210559</x:v>
      </x:c>
      <x:c r="H2259" s="31" t="n">
        <x:v>-74.12688645363643</x:v>
      </x:c>
      <x:c r="I2259" s="31" t="n">
        <x:v>2868</x:v>
      </x:c>
      <x:c r="J2259" s="31" t="n">
        <x:v>23946.95416951358</x:v>
      </x:c>
      <x:c r="K2259" s="31"/>
      <x:c r="L2259" s="40"/>
      <x:c r="M2259" s="40"/>
      <x:c r="N2259" s="31" t="n">
        <x:v>550</x:v>
      </x:c>
      <x:c r="O2259" s="31" t="n">
        <x:v>975</x:v>
      </x:c>
      <x:c r="P2259" s="31" t="n">
        <x:v>2.384728205128205</x:v>
      </x:c>
      <x:c r="Q2259" s="40" t="n">
        <x:v>0</x:v>
      </x:c>
      <x:c r="R2259" s="40" t="n">
        <x:v>0.2235897435897436</x:v>
      </x:c>
      <x:c r="S2259" s="40" t="n">
        <x:v>0.10153846153846154</x:v>
      </x:c>
      <x:c r="T2259" s="31" t="n">
        <x:v>31.841939782063985</x:v>
      </x:c>
      <x:c r="U2259" s="31" t="n">
        <x:v>43</x:v>
      </x:c>
      <x:c r="V2259" s="31" t="n">
        <x:v>3</x:v>
      </x:c>
      <x:c r="W2259" s="31" t="n">
        <x:v>1.0460251046025104</x:v>
      </x:c>
      <x:c r="X2259" s="31" t="n">
        <x:v>3.075897435897436</x:v>
      </x:c>
      <x:c r="Y2259" s="40" t="n">
        <x:v>0.0758974358974359</x:v>
      </x:c>
      <x:c r="Z2259" s="40" t="n">
        <x:v>1</x:v>
      </x:c>
      <x:c r="AA2259" s="40" t="n">
        <x:v>0.9938461538461538</x:v>
      </x:c>
      <x:c r="AB2259" s="31" t="n">
        <x:v>0.13730013476046282</x:v>
      </x:c>
      <x:c r="AC2259" s="31" t="n">
        <x:v>6</x:v>
      </x:c>
      <x:c r="AD2259" s="44" t="b">
        <x:v>1</x:v>
      </x:c>
    </x:row>
    <x:row r="2260">
      <x:c r="A2260" s="31" t="str">
        <x:v>36085014604</x:v>
      </x:c>
      <x:c r="B2260" s="31" t="str">
        <x:v>Staten Island</x:v>
      </x:c>
      <x:c r="C2260" s="31" t="str">
        <x:v>014604</x:v>
      </x:c>
      <x:c r="D2260" s="31" t="str">
        <x:v>SI0302</x:v>
      </x:c>
      <x:c r="E2260" s="31" t="str">
        <x:v>Great Kills-Eltingville</x:v>
      </x:c>
      <x:c r="F2260" s="31" t="n">
        <x:v>0.4357573854848198</x:v>
      </x:c>
      <x:c r="G2260" s="31" t="n">
        <x:v>40.550042601174425</x:v>
      </x:c>
      <x:c r="H2260" s="31" t="n">
        <x:v>-74.15976159296827</x:v>
      </x:c>
      <x:c r="I2260" s="31" t="n">
        <x:v>6651</x:v>
      </x:c>
      <x:c r="J2260" s="31" t="n">
        <x:v>15263.080378087354</x:v>
      </x:c>
      <x:c r="K2260" s="31"/>
      <x:c r="L2260" s="40"/>
      <x:c r="M2260" s="40"/>
      <x:c r="N2260" s="31" t="n">
        <x:v>1736</x:v>
      </x:c>
      <x:c r="O2260" s="31" t="n">
        <x:v>2638</x:v>
      </x:c>
      <x:c r="P2260" s="31" t="n">
        <x:v>1.9674329652996845</x:v>
      </x:c>
      <x:c r="Q2260" s="40" t="n">
        <x:v>0</x:v>
      </x:c>
      <x:c r="R2260" s="40" t="n">
        <x:v>0.04359363153904473</x:v>
      </x:c>
      <x:c r="S2260" s="40" t="n">
        <x:v>0.08377558756633814</x:v>
      </x:c>
      <x:c r="T2260" s="31" t="n">
        <x:v>25.279670692079208</x:v>
      </x:c>
      <x:c r="U2260" s="31" t="n">
        <x:v>39.69</x:v>
      </x:c>
      <x:c r="V2260" s="31" t="n">
        <x:v>3</x:v>
      </x:c>
      <x:c r="W2260" s="31" t="n">
        <x:v>0.4510599909788002</x:v>
      </x:c>
      <x:c r="X2260" s="31" t="n">
        <x:v>1.639499620924943</x:v>
      </x:c>
      <x:c r="Y2260" s="40" t="n">
        <x:v>0</x:v>
      </x:c>
      <x:c r="Z2260" s="40" t="n">
        <x:v>1</x:v>
      </x:c>
      <x:c r="AA2260" s="40" t="n">
        <x:v>0.9954510993176648</x:v>
      </x:c>
      <x:c r="AB2260" s="31" t="n">
        <x:v>0.43103096736694424</x:v>
      </x:c>
      <x:c r="AC2260" s="31" t="n">
        <x:v>8</x:v>
      </x:c>
      <x:c r="AD2260" s="44" t="b">
        <x:v>1</x:v>
      </x:c>
    </x:row>
    <x:row r="2261">
      <x:c r="A2261" s="31" t="str">
        <x:v>36085014605</x:v>
      </x:c>
      <x:c r="B2261" s="31" t="str">
        <x:v>Staten Island</x:v>
      </x:c>
      <x:c r="C2261" s="31" t="str">
        <x:v>014605</x:v>
      </x:c>
      <x:c r="D2261" s="31" t="str">
        <x:v>SI0302</x:v>
      </x:c>
      <x:c r="E2261" s="31" t="str">
        <x:v>Great Kills-Eltingville</x:v>
      </x:c>
      <x:c r="F2261" s="31" t="n">
        <x:v>0.340676979296875</x:v>
      </x:c>
      <x:c r="G2261" s="31" t="n">
        <x:v>40.558699708447094</x:v>
      </x:c>
      <x:c r="H2261" s="31" t="n">
        <x:v>-74.15012532035983</x:v>
      </x:c>
      <x:c r="I2261" s="31" t="n">
        <x:v>3785</x:v>
      </x:c>
      <x:c r="J2261" s="31" t="n">
        <x:v>11110.231186773703</x:v>
      </x:c>
      <x:c r="K2261" s="31"/>
      <x:c r="L2261" s="40"/>
      <x:c r="M2261" s="40"/>
      <x:c r="N2261" s="31" t="n">
        <x:v>1162</x:v>
      </x:c>
      <x:c r="O2261" s="31" t="n">
        <x:v>1437</x:v>
      </x:c>
      <x:c r="P2261" s="31" t="n">
        <x:v>1.8926540616246499</x:v>
      </x:c>
      <x:c r="Q2261" s="40" t="n">
        <x:v>0</x:v>
      </x:c>
      <x:c r="R2261" s="40" t="n">
        <x:v>0.07724425887265135</x:v>
      </x:c>
      <x:c r="S2261" s="40" t="n">
        <x:v>0.006958942240779402</x:v>
      </x:c>
      <x:c r="T2261" s="31" t="n">
        <x:v>24.767853872425533</x:v>
      </x:c>
      <x:c r="U2261" s="31" t="n">
        <x:v>62</x:v>
      </x:c>
      <x:c r="V2261" s="31" t="n">
        <x:v>5</x:v>
      </x:c>
      <x:c r="W2261" s="31" t="n">
        <x:v>1.321003963011889</x:v>
      </x:c>
      <x:c r="X2261" s="31" t="n">
        <x:v>2</x:v>
      </x:c>
      <x:c r="Y2261" s="40" t="n">
        <x:v>0</x:v>
      </x:c>
      <x:c r="Z2261" s="40" t="n">
        <x:v>1</x:v>
      </x:c>
      <x:c r="AA2261" s="40" t="n">
        <x:v>0.9812108559498957</x:v>
      </x:c>
      <x:c r="AB2261" s="31" t="n">
        <x:v>0.2637448118724637</x:v>
      </x:c>
      <x:c r="AC2261" s="31" t="n">
        <x:v>5</x:v>
      </x:c>
      <x:c r="AD2261" s="44" t="b">
        <x:v>1</x:v>
      </x:c>
    </x:row>
    <x:row r="2262">
      <x:c r="A2262" s="31" t="str">
        <x:v>36085014606</x:v>
      </x:c>
      <x:c r="B2262" s="31" t="str">
        <x:v>Staten Island</x:v>
      </x:c>
      <x:c r="C2262" s="31" t="str">
        <x:v>014606</x:v>
      </x:c>
      <x:c r="D2262" s="31" t="str">
        <x:v>SI0302</x:v>
      </x:c>
      <x:c r="E2262" s="31" t="str">
        <x:v>Great Kills-Eltingville</x:v>
      </x:c>
      <x:c r="F2262" s="31" t="n">
        <x:v>0.683129089341569</x:v>
      </x:c>
      <x:c r="G2262" s="31" t="n">
        <x:v>40.56255657493897</x:v>
      </x:c>
      <x:c r="H2262" s="31" t="n">
        <x:v>-74.14262184404312</x:v>
      </x:c>
      <x:c r="I2262" s="31" t="n">
        <x:v>6288</x:v>
      </x:c>
      <x:c r="J2262" s="31" t="n">
        <x:v>9204.70244659126</x:v>
      </x:c>
      <x:c r="K2262" s="31"/>
      <x:c r="L2262" s="40"/>
      <x:c r="M2262" s="40"/>
      <x:c r="N2262" s="31" t="n">
        <x:v>1684</x:v>
      </x:c>
      <x:c r="O2262" s="31" t="n">
        <x:v>2350</x:v>
      </x:c>
      <x:c r="P2262" s="31" t="n">
        <x:v>2.3270212765957448</x:v>
      </x:c>
      <x:c r="Q2262" s="40" t="n">
        <x:v>0</x:v>
      </x:c>
      <x:c r="R2262" s="40" t="n">
        <x:v>0.30851063829787234</x:v>
      </x:c>
      <x:c r="S2262" s="40" t="n">
        <x:v>0.09148936170212765</x:v>
      </x:c>
      <x:c r="T2262" s="31" t="n">
        <x:v>27.97294158984589</x:v>
      </x:c>
      <x:c r="U2262" s="31" t="n">
        <x:v>41</x:v>
      </x:c>
      <x:c r="V2262" s="31" t="n">
        <x:v>3</x:v>
      </x:c>
      <x:c r="W2262" s="31" t="n">
        <x:v>0.47709923664122134</x:v>
      </x:c>
      <x:c r="X2262" s="31" t="n">
        <x:v>1.4434042553191488</x:v>
      </x:c>
      <x:c r="Y2262" s="40" t="n">
        <x:v>0</x:v>
      </x:c>
      <x:c r="Z2262" s="40" t="n">
        <x:v>1</x:v>
      </x:c>
      <x:c r="AA2262" s="40" t="n">
        <x:v>0.9940425531914894</x:v>
      </x:c>
      <x:c r="AB2262" s="31" t="n">
        <x:v>0.3487066029708565</x:v>
      </x:c>
      <x:c r="AC2262" s="31" t="n">
        <x:v>5</x:v>
      </x:c>
      <x:c r="AD2262" s="44" t="b">
        <x:v>1</x:v>
      </x:c>
    </x:row>
    <x:row r="2263">
      <x:c r="A2263" s="31" t="str">
        <x:v>36085014607</x:v>
      </x:c>
      <x:c r="B2263" s="31" t="str">
        <x:v>Staten Island</x:v>
      </x:c>
      <x:c r="C2263" s="31" t="str">
        <x:v>014607</x:v>
      </x:c>
      <x:c r="D2263" s="31" t="str">
        <x:v>SI0302</x:v>
      </x:c>
      <x:c r="E2263" s="31" t="str">
        <x:v>Great Kills-Eltingville</x:v>
      </x:c>
      <x:c r="F2263" s="31" t="n">
        <x:v>0.26378115599209423</x:v>
      </x:c>
      <x:c r="G2263" s="31" t="n">
        <x:v>40.55692827791108</x:v>
      </x:c>
      <x:c r="H2263" s="31" t="n">
        <x:v>-74.16412065487002</x:v>
      </x:c>
      <x:c r="I2263" s="31" t="n">
        <x:v>4650</x:v>
      </x:c>
      <x:c r="J2263" s="31" t="n">
        <x:v>17628.24938161756</x:v>
      </x:c>
      <x:c r="K2263" s="31"/>
      <x:c r="L2263" s="40"/>
      <x:c r="M2263" s="40"/>
      <x:c r="N2263" s="31" t="n">
        <x:v>1200</x:v>
      </x:c>
      <x:c r="O2263" s="31" t="n">
        <x:v>1714</x:v>
      </x:c>
      <x:c r="P2263" s="31" t="n">
        <x:v>1.9448308051341892</x:v>
      </x:c>
      <x:c r="Q2263" s="40" t="n">
        <x:v>0</x:v>
      </x:c>
      <x:c r="R2263" s="40" t="n">
        <x:v>0.023920653442240373</x:v>
      </x:c>
      <x:c r="S2263" s="40" t="n">
        <x:v>0.12252042007001167</x:v>
      </x:c>
      <x:c r="T2263" s="31" t="n">
        <x:v>27.17008938903396</x:v>
      </x:c>
      <x:c r="U2263" s="31" t="n">
        <x:v>39.91</x:v>
      </x:c>
      <x:c r="V2263" s="31" t="n">
        <x:v>3</x:v>
      </x:c>
      <x:c r="W2263" s="31" t="n">
        <x:v>0.6451612903225806</x:v>
      </x:c>
      <x:c r="X2263" s="31" t="n">
        <x:v>1.4789964994165694</x:v>
      </x:c>
      <x:c r="Y2263" s="40" t="n">
        <x:v>0</x:v>
      </x:c>
      <x:c r="Z2263" s="40" t="n">
        <x:v>1</x:v>
      </x:c>
      <x:c r="AA2263" s="40" t="n">
        <x:v>0.9964994165694282</x:v>
      </x:c>
      <x:c r="AB2263" s="31" t="n">
        <x:v>0.43424994251914095</x:v>
      </x:c>
      <x:c r="AC2263" s="31" t="n">
        <x:v>5</x:v>
      </x:c>
      <x:c r="AD2263" s="44" t="b">
        <x:v>1</x:v>
      </x:c>
    </x:row>
    <x:row r="2264">
      <x:c r="A2264" s="31" t="str">
        <x:v>36085014608</x:v>
      </x:c>
      <x:c r="B2264" s="31" t="str">
        <x:v>Staten Island</x:v>
      </x:c>
      <x:c r="C2264" s="31" t="str">
        <x:v>014608</x:v>
      </x:c>
      <x:c r="D2264" s="31" t="str">
        <x:v>SI0302</x:v>
      </x:c>
      <x:c r="E2264" s="31" t="str">
        <x:v>Great Kills-Eltingville</x:v>
      </x:c>
      <x:c r="F2264" s="31" t="n">
        <x:v>0.17329080923151974</x:v>
      </x:c>
      <x:c r="G2264" s="31" t="n">
        <x:v>40.558463680252665</x:v>
      </x:c>
      <x:c r="H2264" s="31" t="n">
        <x:v>-74.15651757266572</x:v>
      </x:c>
      <x:c r="I2264" s="31" t="n">
        <x:v>3640</x:v>
      </x:c>
      <x:c r="J2264" s="31" t="n">
        <x:v>21005.15322273608</x:v>
      </x:c>
      <x:c r="K2264" s="31"/>
      <x:c r="L2264" s="40"/>
      <x:c r="M2264" s="40"/>
      <x:c r="N2264" s="31" t="n">
        <x:v>1050</x:v>
      </x:c>
      <x:c r="O2264" s="31" t="n">
        <x:v>1276</x:v>
      </x:c>
      <x:c r="P2264" s="31" t="n">
        <x:v>2.0432366771159876</x:v>
      </x:c>
      <x:c r="Q2264" s="40" t="n">
        <x:v>0</x:v>
      </x:c>
      <x:c r="R2264" s="40" t="n">
        <x:v>0.11050156739811912</x:v>
      </x:c>
      <x:c r="S2264" s="40" t="n">
        <x:v>0</x:v>
      </x:c>
      <x:c r="T2264" s="31" t="n">
        <x:v>26.3121260611774</x:v>
      </x:c>
      <x:c r="U2264" s="31" t="n">
        <x:v>39.98</x:v>
      </x:c>
      <x:c r="V2264" s="31" t="n">
        <x:v>0</x:v>
      </x:c>
      <x:c r="W2264" s="31" t="n">
        <x:v>0</x:v>
      </x:c>
      <x:c r="X2264" s="31" t="n">
        <x:v>2</x:v>
      </x:c>
      <x:c r="Y2264" s="40" t="n">
        <x:v>0</x:v>
      </x:c>
      <x:c r="Z2264" s="40" t="n">
        <x:v>1</x:v>
      </x:c>
      <x:c r="AA2264" s="40" t="n">
        <x:v>0.9984326018808778</x:v>
      </x:c>
      <x:c r="AB2264" s="31" t="n">
        <x:v>0.0732485706811287</x:v>
      </x:c>
      <x:c r="AC2264" s="31" t="n">
        <x:v>4</x:v>
      </x:c>
      <x:c r="AD2264" s="44" t="b">
        <x:v>1</x:v>
      </x:c>
    </x:row>
    <x:row r="2265">
      <x:c r="A2265" s="31" t="str">
        <x:v>36085014700</x:v>
      </x:c>
      <x:c r="B2265" s="31" t="str">
        <x:v>Staten Island</x:v>
      </x:c>
      <x:c r="C2265" s="31" t="str">
        <x:v>014700</x:v>
      </x:c>
      <x:c r="D2265" s="31" t="str">
        <x:v>SI0105</x:v>
      </x:c>
      <x:c r="E2265" s="31" t="str">
        <x:v>Westerleigh-Castleton Corners</x:v>
      </x:c>
      <x:c r="F2265" s="31" t="n">
        <x:v>0.644876239411157</x:v>
      </x:c>
      <x:c r="G2265" s="31" t="n">
        <x:v>40.61926360162766</x:v>
      </x:c>
      <x:c r="H2265" s="31" t="n">
        <x:v>-74.11641827059553</x:v>
      </x:c>
      <x:c r="I2265" s="31" t="n">
        <x:v>3451</x:v>
      </x:c>
      <x:c r="J2265" s="31" t="n">
        <x:v>5351.414409610041</x:v>
      </x:c>
      <x:c r="K2265" s="31"/>
      <x:c r="L2265" s="40"/>
      <x:c r="M2265" s="40"/>
      <x:c r="N2265" s="31" t="n">
        <x:v>961</x:v>
      </x:c>
      <x:c r="O2265" s="31" t="n">
        <x:v>1576</x:v>
      </x:c>
      <x:c r="P2265" s="31" t="n">
        <x:v>3.57633883248731</x:v>
      </x:c>
      <x:c r="Q2265" s="40" t="n">
        <x:v>0.20939086294416243</x:v>
      </x:c>
      <x:c r="R2265" s="40" t="n">
        <x:v>0.03680203045685279</x:v>
      </x:c>
      <x:c r="S2265" s="40" t="n">
        <x:v>0.004441624365482234</x:v>
      </x:c>
      <x:c r="T2265" s="31" t="n">
        <x:v>42.45776417213605</x:v>
      </x:c>
      <x:c r="U2265" s="31" t="n">
        <x:v>105.18</x:v>
      </x:c>
      <x:c r="V2265" s="31" t="n">
        <x:v>7</x:v>
      </x:c>
      <x:c r="W2265" s="31" t="n">
        <x:v>2.028397565922921</x:v>
      </x:c>
      <x:c r="X2265" s="31" t="n">
        <x:v>1.4625634517766497</x:v>
      </x:c>
      <x:c r="Y2265" s="40" t="n">
        <x:v>0</x:v>
      </x:c>
      <x:c r="Z2265" s="40" t="n">
        <x:v>1</x:v>
      </x:c>
      <x:c r="AA2265" s="40" t="n">
        <x:v>0.9980964467005076</x:v>
      </x:c>
      <x:c r="AB2265" s="31" t="n">
        <x:v>0.3688422479243443</x:v>
      </x:c>
      <x:c r="AC2265" s="31" t="n">
        <x:v>8</x:v>
      </x:c>
      <x:c r="AD2265" s="44" t="b">
        <x:v>1</x:v>
      </x:c>
    </x:row>
    <x:row r="2266">
      <x:c r="A2266" s="31" t="str">
        <x:v>36085015100</x:v>
      </x:c>
      <x:c r="B2266" s="31" t="str">
        <x:v>Staten Island</x:v>
      </x:c>
      <x:c r="C2266" s="31" t="str">
        <x:v>015100</x:v>
      </x:c>
      <x:c r="D2266" s="31" t="str">
        <x:v>SI0105</x:v>
      </x:c>
      <x:c r="E2266" s="31" t="str">
        <x:v>Westerleigh-Castleton Corners</x:v>
      </x:c>
      <x:c r="F2266" s="31" t="n">
        <x:v>0.38834574008551426</x:v>
      </x:c>
      <x:c r="G2266" s="31" t="n">
        <x:v>40.61952505995291</x:v>
      </x:c>
      <x:c r="H2266" s="31" t="n">
        <x:v>-74.12759083292501</x:v>
      </x:c>
      <x:c r="I2266" s="31" t="n">
        <x:v>5449</x:v>
      </x:c>
      <x:c r="J2266" s="31" t="n">
        <x:v>14031.311374241219</x:v>
      </x:c>
      <x:c r="K2266" s="31"/>
      <x:c r="L2266" s="40"/>
      <x:c r="M2266" s="40"/>
      <x:c r="N2266" s="31" t="n">
        <x:v>1562</x:v>
      </x:c>
      <x:c r="O2266" s="31" t="n">
        <x:v>2111</x:v>
      </x:c>
      <x:c r="P2266" s="31" t="n">
        <x:v>2.020611374407583</x:v>
      </x:c>
      <x:c r="Q2266" s="40" t="n">
        <x:v>0</x:v>
      </x:c>
      <x:c r="R2266" s="40" t="n">
        <x:v>0.03694931312174325</x:v>
      </x:c>
      <x:c r="S2266" s="40" t="n">
        <x:v>0.01231643770724775</x:v>
      </x:c>
      <x:c r="T2266" s="31" t="n">
        <x:v>27.00003111307619</x:v>
      </x:c>
      <x:c r="U2266" s="31" t="n">
        <x:v>41.47</x:v>
      </x:c>
      <x:c r="V2266" s="31" t="n">
        <x:v>2</x:v>
      </x:c>
      <x:c r="W2266" s="31" t="n">
        <x:v>0.36703982382088457</x:v>
      </x:c>
      <x:c r="X2266" s="31" t="n">
        <x:v>1.6115585030791095</x:v>
      </x:c>
      <x:c r="Y2266" s="40" t="n">
        <x:v>0.03173851255329228</x:v>
      </x:c>
      <x:c r="Z2266" s="40" t="n">
        <x:v>1</x:v>
      </x:c>
      <x:c r="AA2266" s="40" t="n">
        <x:v>0.994789199431549</x:v>
      </x:c>
      <x:c r="AB2266" s="31" t="n">
        <x:v>0.3069881765856701</x:v>
      </x:c>
      <x:c r="AC2266" s="31" t="n">
        <x:v>7</x:v>
      </x:c>
      <x:c r="AD2266" s="44" t="b">
        <x:v>1</x:v>
      </x:c>
    </x:row>
    <x:row r="2267">
      <x:c r="A2267" s="31" t="str">
        <x:v>36085015400</x:v>
      </x:c>
      <x:c r="B2267" s="31" t="str">
        <x:v>Staten Island</x:v>
      </x:c>
      <x:c r="C2267" s="31" t="str">
        <x:v>015400</x:v>
      </x:c>
      <x:c r="D2267" s="31" t="str">
        <x:v>SI9593</x:v>
      </x:c>
      <x:c r="E2267" s="31" t="str">
        <x:v>Great Kills Park</x:v>
      </x:c>
      <x:c r="F2267" s="31" t="n">
        <x:v>0.8385672844926538</x:v>
      </x:c>
      <x:c r="G2267" s="31" t="n">
        <x:v>40.54577834771282</x:v>
      </x:c>
      <x:c r="H2267" s="31" t="n">
        <x:v>-74.12834453429465</x:v>
      </x:c>
      <x:c r="I2267" s="31" t="n">
        <x:v>5</x:v>
      </x:c>
      <x:c r="J2267" s="31" t="n">
        <x:v>5.962550760640605</x:v>
      </x:c>
      <x:c r="K2267" s="31"/>
      <x:c r="L2267" s="40"/>
      <x:c r="M2267" s="40"/>
      <x:c r="N2267" s="31" t="n">
        <x:v>0</x:v>
      </x:c>
      <x:c r="O2267" s="31"/>
      <x:c r="P2267" s="31"/>
      <x:c r="Q2267" s="40"/>
      <x:c r="R2267" s="40"/>
      <x:c r="S2267" s="40"/>
      <x:c r="T2267" s="31"/>
      <x:c r="U2267" s="31"/>
      <x:c r="V2267" s="31" t="n">
        <x:v>0</x:v>
      </x:c>
      <x:c r="W2267" s="31" t="n">
        <x:v>0</x:v>
      </x:c>
      <x:c r="X2267" s="31"/>
      <x:c r="Y2267" s="40"/>
      <x:c r="Z2267" s="40"/>
      <x:c r="AA2267" s="40"/>
      <x:c r="AB2267" s="31" t="n">
        <x:v>0.6377426879529067</x:v>
      </x:c>
      <x:c r="AC2267" s="31" t="n">
        <x:v>4</x:v>
      </x:c>
      <x:c r="AD2267" s="44" t="b">
        <x:v>0</x:v>
      </x:c>
    </x:row>
    <x:row r="2268">
      <x:c r="A2268" s="31" t="str">
        <x:v>36085015601</x:v>
      </x:c>
      <x:c r="B2268" s="31" t="str">
        <x:v>Staten Island</x:v>
      </x:c>
      <x:c r="C2268" s="31" t="str">
        <x:v>015601</x:v>
      </x:c>
      <x:c r="D2268" s="31" t="str">
        <x:v>SI0302</x:v>
      </x:c>
      <x:c r="E2268" s="31" t="str">
        <x:v>Great Kills-Eltingville</x:v>
      </x:c>
      <x:c r="F2268" s="31" t="n">
        <x:v>0.5523915493679695</x:v>
      </x:c>
      <x:c r="G2268" s="31" t="n">
        <x:v>40.54215297359637</x:v>
      </x:c>
      <x:c r="H2268" s="31" t="n">
        <x:v>-74.15458266034632</x:v>
      </x:c>
      <x:c r="I2268" s="31" t="n">
        <x:v>6663</x:v>
      </x:c>
      <x:c r="J2268" s="31" t="n">
        <x:v>12062.09618453362</x:v>
      </x:c>
      <x:c r="K2268" s="31"/>
      <x:c r="L2268" s="40"/>
      <x:c r="M2268" s="40"/>
      <x:c r="N2268" s="31" t="n">
        <x:v>2081</x:v>
      </x:c>
      <x:c r="O2268" s="31" t="n">
        <x:v>2661</x:v>
      </x:c>
      <x:c r="P2268" s="31" t="n">
        <x:v>1.769347169811321</x:v>
      </x:c>
      <x:c r="Q2268" s="40" t="n">
        <x:v>0</x:v>
      </x:c>
      <x:c r="R2268" s="40" t="n">
        <x:v>0.02893649004133784</x:v>
      </x:c>
      <x:c r="S2268" s="40" t="n">
        <x:v>0.015783540022547914</x:v>
      </x:c>
      <x:c r="T2268" s="31" t="n">
        <x:v>24.852287971976526</x:v>
      </x:c>
      <x:c r="U2268" s="31" t="n">
        <x:v>39.68</x:v>
      </x:c>
      <x:c r="V2268" s="31" t="n">
        <x:v>4</x:v>
      </x:c>
      <x:c r="W2268" s="31" t="n">
        <x:v>0.6003301815998799</x:v>
      </x:c>
      <x:c r="X2268" s="31" t="n">
        <x:v>1.5625704622322436</x:v>
      </x:c>
      <x:c r="Y2268" s="40" t="n">
        <x:v>0</x:v>
      </x:c>
      <x:c r="Z2268" s="40" t="n">
        <x:v>1</x:v>
      </x:c>
      <x:c r="AA2268" s="40" t="n">
        <x:v>0.9924840285606915</x:v>
      </x:c>
      <x:c r="AB2268" s="31" t="n">
        <x:v>0.386430457154832</x:v>
      </x:c>
      <x:c r="AC2268" s="31" t="n">
        <x:v>5</x:v>
      </x:c>
      <x:c r="AD2268" s="44" t="b">
        <x:v>1</x:v>
      </x:c>
    </x:row>
    <x:row r="2269">
      <x:c r="A2269" s="31" t="str">
        <x:v>36085015602</x:v>
      </x:c>
      <x:c r="B2269" s="31" t="str">
        <x:v>Staten Island</x:v>
      </x:c>
      <x:c r="C2269" s="31" t="str">
        <x:v>015602</x:v>
      </x:c>
      <x:c r="D2269" s="31" t="str">
        <x:v>SI0302</x:v>
      </x:c>
      <x:c r="E2269" s="31" t="str">
        <x:v>Great Kills-Eltingville</x:v>
      </x:c>
      <x:c r="F2269" s="31" t="n">
        <x:v>0.34020159451977156</x:v>
      </x:c>
      <x:c r="G2269" s="31" t="n">
        <x:v>40.53602011113368</x:v>
      </x:c>
      <x:c r="H2269" s="31" t="n">
        <x:v>-74.16180309164346</x:v>
      </x:c>
      <x:c r="I2269" s="31" t="n">
        <x:v>3396</x:v>
      </x:c>
      <x:c r="J2269" s="31" t="n">
        <x:v>9982.316528509493</x:v>
      </x:c>
      <x:c r="K2269" s="31"/>
      <x:c r="L2269" s="40"/>
      <x:c r="M2269" s="40"/>
      <x:c r="N2269" s="31" t="n">
        <x:v>1147</x:v>
      </x:c>
      <x:c r="O2269" s="31" t="n">
        <x:v>1200</x:v>
      </x:c>
      <x:c r="P2269" s="31" t="n">
        <x:v>1.5120167364016737</x:v>
      </x:c>
      <x:c r="Q2269" s="40" t="n">
        <x:v>0</x:v>
      </x:c>
      <x:c r="R2269" s="40" t="n">
        <x:v>0.02</x:v>
      </x:c>
      <x:c r="S2269" s="40" t="n">
        <x:v>0</x:v>
      </x:c>
      <x:c r="T2269" s="31" t="n">
        <x:v>21.852983589329984</x:v>
      </x:c>
      <x:c r="U2269" s="31" t="n">
        <x:v>39</x:v>
      </x:c>
      <x:c r="V2269" s="31" t="n">
        <x:v>2</x:v>
      </x:c>
      <x:c r="W2269" s="31" t="n">
        <x:v>0.5889281507656066</x:v>
      </x:c>
      <x:c r="X2269" s="31" t="n">
        <x:v>1</x:v>
      </x:c>
      <x:c r="Y2269" s="40" t="n">
        <x:v>0</x:v>
      </x:c>
      <x:c r="Z2269" s="40" t="n">
        <x:v>1</x:v>
      </x:c>
      <x:c r="AA2269" s="40" t="n">
        <x:v>0.995</x:v>
      </x:c>
      <x:c r="AB2269" s="31" t="n">
        <x:v>0.09367282483126534</x:v>
      </x:c>
      <x:c r="AC2269" s="31" t="n">
        <x:v>6</x:v>
      </x:c>
      <x:c r="AD2269" s="44" t="b">
        <x:v>1</x:v>
      </x:c>
    </x:row>
    <x:row r="2270">
      <x:c r="A2270" s="31" t="str">
        <x:v>36085015603</x:v>
      </x:c>
      <x:c r="B2270" s="31" t="str">
        <x:v>Staten Island</x:v>
      </x:c>
      <x:c r="C2270" s="31" t="str">
        <x:v>015603</x:v>
      </x:c>
      <x:c r="D2270" s="31" t="str">
        <x:v>SI0302</x:v>
      </x:c>
      <x:c r="E2270" s="31" t="str">
        <x:v>Great Kills-Eltingville</x:v>
      </x:c>
      <x:c r="F2270" s="31" t="n">
        <x:v>0.3665917674651343</x:v>
      </x:c>
      <x:c r="G2270" s="31" t="n">
        <x:v>40.53792506638212</x:v>
      </x:c>
      <x:c r="H2270" s="31" t="n">
        <x:v>-74.14759258481168</x:v>
      </x:c>
      <x:c r="I2270" s="31" t="n">
        <x:v>4776</x:v>
      </x:c>
      <x:c r="J2270" s="31" t="n">
        <x:v>13028.115805830896</x:v>
      </x:c>
      <x:c r="K2270" s="31"/>
      <x:c r="L2270" s="40"/>
      <x:c r="M2270" s="40"/>
      <x:c r="N2270" s="31" t="n">
        <x:v>1336</x:v>
      </x:c>
      <x:c r="O2270" s="31" t="n">
        <x:v>1716</x:v>
      </x:c>
      <x:c r="P2270" s="31" t="n">
        <x:v>2.110198830409357</x:v>
      </x:c>
      <x:c r="Q2270" s="40" t="n">
        <x:v>0</x:v>
      </x:c>
      <x:c r="R2270" s="40" t="n">
        <x:v>0.15967365967365968</x:v>
      </x:c>
      <x:c r="S2270" s="40" t="n">
        <x:v>0.08275058275058275</x:v>
      </x:c>
      <x:c r="T2270" s="31" t="n">
        <x:v>28.001299000593768</x:v>
      </x:c>
      <x:c r="U2270" s="31" t="n">
        <x:v>45</x:v>
      </x:c>
      <x:c r="V2270" s="31" t="n">
        <x:v>12</x:v>
      </x:c>
      <x:c r="W2270" s="31" t="n">
        <x:v>2.512562814070352</x:v>
      </x:c>
      <x:c r="X2270" s="31" t="n">
        <x:v>1.6244897959183673</x:v>
      </x:c>
      <x:c r="Y2270" s="40" t="n">
        <x:v>0</x:v>
      </x:c>
      <x:c r="Z2270" s="40" t="n">
        <x:v>0.9994172494172494</x:v>
      </x:c>
      <x:c r="AA2270" s="40" t="n">
        <x:v>0.9912587412587412</x:v>
      </x:c>
      <x:c r="AB2270" s="31" t="n">
        <x:v>0.5508668178498465</x:v>
      </x:c>
      <x:c r="AC2270" s="31" t="n">
        <x:v>5</x:v>
      </x:c>
      <x:c r="AD2270" s="44" t="b">
        <x:v>1</x:v>
      </x:c>
    </x:row>
    <x:row r="2271">
      <x:c r="A2271" s="31" t="str">
        <x:v>36085016901</x:v>
      </x:c>
      <x:c r="B2271" s="31" t="str">
        <x:v>Staten Island</x:v>
      </x:c>
      <x:c r="C2271" s="31" t="str">
        <x:v>016901</x:v>
      </x:c>
      <x:c r="D2271" s="31" t="str">
        <x:v>SI0105</x:v>
      </x:c>
      <x:c r="E2271" s="31" t="str">
        <x:v>Westerleigh-Castleton Corners</x:v>
      </x:c>
      <x:c r="F2271" s="31" t="n">
        <x:v>0.3154183119386335</x:v>
      </x:c>
      <x:c r="G2271" s="31" t="n">
        <x:v>40.61240104164616</x:v>
      </x:c>
      <x:c r="H2271" s="31" t="n">
        <x:v>-74.10942937945967</x:v>
      </x:c>
      <x:c r="I2271" s="31" t="n">
        <x:v>3213</x:v>
      </x:c>
      <x:c r="J2271" s="31" t="n">
        <x:v>10186.472625042481</x:v>
      </x:c>
      <x:c r="K2271" s="31"/>
      <x:c r="L2271" s="40"/>
      <x:c r="M2271" s="40"/>
      <x:c r="N2271" s="31" t="n">
        <x:v>838</x:v>
      </x:c>
      <x:c r="O2271" s="31" t="n">
        <x:v>1159</x:v>
      </x:c>
      <x:c r="P2271" s="31" t="n">
        <x:v>1.915332182916307</x:v>
      </x:c>
      <x:c r="Q2271" s="40" t="n">
        <x:v>0</x:v>
      </x:c>
      <x:c r="R2271" s="40" t="n">
        <x:v>0.0457290767903365</x:v>
      </x:c>
      <x:c r="S2271" s="40" t="n">
        <x:v>0.007765314926660914</x:v>
      </x:c>
      <x:c r="T2271" s="31" t="n">
        <x:v>26.147052411127493</x:v>
      </x:c>
      <x:c r="U2271" s="31" t="n">
        <x:v>44.07</x:v>
      </x:c>
      <x:c r="V2271" s="31" t="n">
        <x:v>1</x:v>
      </x:c>
      <x:c r="W2271" s="31" t="n">
        <x:v>0.31123560535325245</x:v>
      </x:c>
      <x:c r="X2271" s="31" t="n">
        <x:v>1.814495254529767</x:v>
      </x:c>
      <x:c r="Y2271" s="40" t="n">
        <x:v>0</x:v>
      </x:c>
      <x:c r="Z2271" s="40" t="n">
        <x:v>1</x:v>
      </x:c>
      <x:c r="AA2271" s="40" t="n">
        <x:v>0.994823123382226</x:v>
      </x:c>
      <x:c r="AB2271" s="31" t="n">
        <x:v>0.33841048570472887</x:v>
      </x:c>
      <x:c r="AC2271" s="31" t="n">
        <x:v>7</x:v>
      </x:c>
      <x:c r="AD2271" s="44" t="b">
        <x:v>1</x:v>
      </x:c>
    </x:row>
    <x:row r="2272">
      <x:c r="A2272" s="31" t="str">
        <x:v>36085017005</x:v>
      </x:c>
      <x:c r="B2272" s="31" t="str">
        <x:v>Staten Island</x:v>
      </x:c>
      <x:c r="C2272" s="31" t="str">
        <x:v>017005</x:v>
      </x:c>
      <x:c r="D2272" s="31" t="str">
        <x:v>SI0304</x:v>
      </x:c>
      <x:c r="E2272" s="31" t="str">
        <x:v>Annadale-Huguenot-Prince's Bay-Woodrow</x:v>
      </x:c>
      <x:c r="F2272" s="31" t="n">
        <x:v>0.5363186678683138</x:v>
      </x:c>
      <x:c r="G2272" s="31" t="n">
        <x:v>40.53928836981032</x:v>
      </x:c>
      <x:c r="H2272" s="31" t="n">
        <x:v>-74.18095799722202</x:v>
      </x:c>
      <x:c r="I2272" s="31" t="n">
        <x:v>4845</x:v>
      </x:c>
      <x:c r="J2272" s="31" t="n">
        <x:v>9033.808238033638</x:v>
      </x:c>
      <x:c r="K2272" s="31"/>
      <x:c r="L2272" s="40"/>
      <x:c r="M2272" s="40"/>
      <x:c r="N2272" s="31" t="n">
        <x:v>1368</x:v>
      </x:c>
      <x:c r="O2272" s="31" t="n">
        <x:v>1900</x:v>
      </x:c>
      <x:c r="P2272" s="31" t="n">
        <x:v>1.9471413502109707</x:v>
      </x:c>
      <x:c r="Q2272" s="40" t="n">
        <x:v>0</x:v>
      </x:c>
      <x:c r="R2272" s="40" t="n">
        <x:v>0.06473684210526316</x:v>
      </x:c>
      <x:c r="S2272" s="40" t="n">
        <x:v>0.003157894736842105</x:v>
      </x:c>
      <x:c r="T2272" s="31" t="n">
        <x:v>26.74435696187869</x:v>
      </x:c>
      <x:c r="U2272" s="31" t="n">
        <x:v>40</x:v>
      </x:c>
      <x:c r="V2272" s="31" t="n">
        <x:v>1</x:v>
      </x:c>
      <x:c r="W2272" s="31" t="n">
        <x:v>0.20639834881320948</x:v>
      </x:c>
      <x:c r="X2272" s="31" t="n">
        <x:v>1</x:v>
      </x:c>
      <x:c r="Y2272" s="40" t="n">
        <x:v>0</x:v>
      </x:c>
      <x:c r="Z2272" s="40" t="n">
        <x:v>1</x:v>
      </x:c>
      <x:c r="AA2272" s="40" t="n">
        <x:v>0.9805263157894737</x:v>
      </x:c>
      <x:c r="AB2272" s="31" t="n">
        <x:v>0.28076759802268747</x:v>
      </x:c>
      <x:c r="AC2272" s="31" t="n">
        <x:v>8</x:v>
      </x:c>
      <x:c r="AD2272" s="44" t="b">
        <x:v>1</x:v>
      </x:c>
    </x:row>
    <x:row r="2273">
      <x:c r="A2273" s="31" t="str">
        <x:v>36085017007</x:v>
      </x:c>
      <x:c r="B2273" s="31" t="str">
        <x:v>Staten Island</x:v>
      </x:c>
      <x:c r="C2273" s="31" t="str">
        <x:v>017007</x:v>
      </x:c>
      <x:c r="D2273" s="31" t="str">
        <x:v>SI0303</x:v>
      </x:c>
      <x:c r="E2273" s="31" t="str">
        <x:v>Arden Heights-Rossville</x:v>
      </x:c>
      <x:c r="F2273" s="31" t="n">
        <x:v>0.5642919097652662</x:v>
      </x:c>
      <x:c r="G2273" s="31" t="n">
        <x:v>40.55849450695642</x:v>
      </x:c>
      <x:c r="H2273" s="31" t="n">
        <x:v>-74.18794374690141</x:v>
      </x:c>
      <x:c r="I2273" s="31" t="n">
        <x:v>5526</x:v>
      </x:c>
      <x:c r="J2273" s="31" t="n">
        <x:v>9792.803873971367</x:v>
      </x:c>
      <x:c r="K2273" s="31"/>
      <x:c r="L2273" s="40"/>
      <x:c r="M2273" s="40"/>
      <x:c r="N2273" s="31" t="n">
        <x:v>1652</x:v>
      </x:c>
      <x:c r="O2273" s="31" t="n">
        <x:v>1828</x:v>
      </x:c>
      <x:c r="P2273" s="31" t="n">
        <x:v>2.6192649478880967</x:v>
      </x:c>
      <x:c r="Q2273" s="40" t="n">
        <x:v>0</x:v>
      </x:c>
      <x:c r="R2273" s="40" t="n">
        <x:v>0.6301969365426696</x:v>
      </x:c>
      <x:c r="S2273" s="40" t="n">
        <x:v>0.007658643326039387</x:v>
      </x:c>
      <x:c r="T2273" s="31" t="n">
        <x:v>30.550220943752773</x:v>
      </x:c>
      <x:c r="U2273" s="31" t="n">
        <x:v>41</x:v>
      </x:c>
      <x:c r="V2273" s="31" t="n">
        <x:v>0</x:v>
      </x:c>
      <x:c r="W2273" s="31" t="n">
        <x:v>0</x:v>
      </x:c>
      <x:c r="X2273" s="31" t="n">
        <x:v>1</x:v>
      </x:c>
      <x:c r="Y2273" s="40" t="n">
        <x:v>0</x:v>
      </x:c>
      <x:c r="Z2273" s="40" t="n">
        <x:v>1</x:v>
      </x:c>
      <x:c r="AA2273" s="40" t="n">
        <x:v>0.986870897155361</x:v>
      </x:c>
      <x:c r="AB2273" s="31" t="n">
        <x:v>0.5982763749399197</x:v>
      </x:c>
      <x:c r="AC2273" s="31" t="n">
        <x:v>6</x:v>
      </x:c>
      <x:c r="AD2273" s="44" t="b">
        <x:v>1</x:v>
      </x:c>
    </x:row>
    <x:row r="2274">
      <x:c r="A2274" s="31" t="str">
        <x:v>36085017009</x:v>
      </x:c>
      <x:c r="B2274" s="31" t="str">
        <x:v>Staten Island</x:v>
      </x:c>
      <x:c r="C2274" s="31" t="str">
        <x:v>017009</x:v>
      </x:c>
      <x:c r="D2274" s="31" t="str">
        <x:v>SI0304</x:v>
      </x:c>
      <x:c r="E2274" s="31" t="str">
        <x:v>Annadale-Huguenot-Prince's Bay-Woodrow</x:v>
      </x:c>
      <x:c r="F2274" s="31" t="n">
        <x:v>0.45705422214689506</x:v>
      </x:c>
      <x:c r="G2274" s="31" t="n">
        <x:v>40.542925036487055</x:v>
      </x:c>
      <x:c r="H2274" s="31" t="n">
        <x:v>-74.18958591121044</x:v>
      </x:c>
      <x:c r="I2274" s="31" t="n">
        <x:v>4473</x:v>
      </x:c>
      <x:c r="J2274" s="31" t="n">
        <x:v>9786.585011706551</x:v>
      </x:c>
      <x:c r="K2274" s="31"/>
      <x:c r="L2274" s="40"/>
      <x:c r="M2274" s="40"/>
      <x:c r="N2274" s="31" t="n">
        <x:v>1229</x:v>
      </x:c>
      <x:c r="O2274" s="31" t="n">
        <x:v>1805</x:v>
      </x:c>
      <x:c r="P2274" s="31" t="n">
        <x:v>1.790188784008884</x:v>
      </x:c>
      <x:c r="Q2274" s="40" t="n">
        <x:v>0</x:v>
      </x:c>
      <x:c r="R2274" s="40" t="n">
        <x:v>0.021052631578947368</x:v>
      </x:c>
      <x:c r="S2274" s="40" t="n">
        <x:v>0.00110803324099723</x:v>
      </x:c>
      <x:c r="T2274" s="31" t="n">
        <x:v>25.67133352636211</x:v>
      </x:c>
      <x:c r="U2274" s="31" t="n">
        <x:v>51</x:v>
      </x:c>
      <x:c r="V2274" s="31" t="n">
        <x:v>1</x:v>
      </x:c>
      <x:c r="W2274" s="31" t="n">
        <x:v>0.223563603845294</x:v>
      </x:c>
      <x:c r="X2274" s="31" t="n">
        <x:v>1</x:v>
      </x:c>
      <x:c r="Y2274" s="40" t="n">
        <x:v>0</x:v>
      </x:c>
      <x:c r="Z2274" s="40" t="n">
        <x:v>1</x:v>
      </x:c>
      <x:c r="AA2274" s="40" t="n">
        <x:v>0.9883656509695291</x:v>
      </x:c>
      <x:c r="AB2274" s="31" t="n">
        <x:v>0.3600063141423607</x:v>
      </x:c>
      <x:c r="AC2274" s="31" t="n">
        <x:v>7</x:v>
      </x:c>
      <x:c r="AD2274" s="44" t="b">
        <x:v>1</x:v>
      </x:c>
    </x:row>
    <x:row r="2275">
      <x:c r="A2275" s="31" t="str">
        <x:v>36085017011</x:v>
      </x:c>
      <x:c r="B2275" s="31" t="str">
        <x:v>Staten Island</x:v>
      </x:c>
      <x:c r="C2275" s="31" t="str">
        <x:v>017011</x:v>
      </x:c>
      <x:c r="D2275" s="31" t="str">
        <x:v>SI0302</x:v>
      </x:c>
      <x:c r="E2275" s="31" t="str">
        <x:v>Great Kills-Eltingville</x:v>
      </x:c>
      <x:c r="F2275" s="31" t="n">
        <x:v>0.27780592561301937</x:v>
      </x:c>
      <x:c r="G2275" s="31" t="n">
        <x:v>40.545634399926485</x:v>
      </x:c>
      <x:c r="H2275" s="31" t="n">
        <x:v>-74.1702307875343</x:v>
      </x:c>
      <x:c r="I2275" s="31" t="n">
        <x:v>4587</x:v>
      </x:c>
      <x:c r="J2275" s="31" t="n">
        <x:v>16511.526850545444</x:v>
      </x:c>
      <x:c r="K2275" s="31"/>
      <x:c r="L2275" s="40"/>
      <x:c r="M2275" s="40"/>
      <x:c r="N2275" s="31" t="n">
        <x:v>1254</x:v>
      </x:c>
      <x:c r="O2275" s="31" t="n">
        <x:v>1842</x:v>
      </x:c>
      <x:c r="P2275" s="31" t="n">
        <x:v>1.9538382193268187</x:v>
      </x:c>
      <x:c r="Q2275" s="40" t="n">
        <x:v>0</x:v>
      </x:c>
      <x:c r="R2275" s="40" t="n">
        <x:v>0.05266015200868621</x:v>
      </x:c>
      <x:c r="S2275" s="40" t="n">
        <x:v>0.026058631921824105</x:v>
      </x:c>
      <x:c r="T2275" s="31" t="n">
        <x:v>25.841986074833788</x:v>
      </x:c>
      <x:c r="U2275" s="31" t="n">
        <x:v>37</x:v>
      </x:c>
      <x:c r="V2275" s="31" t="n">
        <x:v>0</x:v>
      </x:c>
      <x:c r="W2275" s="31" t="n">
        <x:v>0</x:v>
      </x:c>
      <x:c r="X2275" s="31" t="n">
        <x:v>1</x:v>
      </x:c>
      <x:c r="Y2275" s="40" t="n">
        <x:v>0</x:v>
      </x:c>
      <x:c r="Z2275" s="40" t="n">
        <x:v>1</x:v>
      </x:c>
      <x:c r="AA2275" s="40" t="n">
        <x:v>0.996199782844734</x:v>
      </x:c>
      <x:c r="AB2275" s="31" t="n">
        <x:v>0.3033142684201494</x:v>
      </x:c>
      <x:c r="AC2275" s="31" t="n">
        <x:v>6</x:v>
      </x:c>
      <x:c r="AD2275" s="44" t="b">
        <x:v>1</x:v>
      </x:c>
    </x:row>
    <x:row r="2276">
      <x:c r="A2276" s="31" t="str">
        <x:v>36085017012</x:v>
      </x:c>
      <x:c r="B2276" s="31" t="str">
        <x:v>Staten Island</x:v>
      </x:c>
      <x:c r="C2276" s="31" t="str">
        <x:v>017012</x:v>
      </x:c>
      <x:c r="D2276" s="31" t="str">
        <x:v>SI0302</x:v>
      </x:c>
      <x:c r="E2276" s="31" t="str">
        <x:v>Great Kills-Eltingville</x:v>
      </x:c>
      <x:c r="F2276" s="31" t="n">
        <x:v>0.3550363200198003</x:v>
      </x:c>
      <x:c r="G2276" s="31" t="n">
        <x:v>40.552963035069716</x:v>
      </x:c>
      <x:c r="H2276" s="31" t="n">
        <x:v>-74.17345777324807</x:v>
      </x:c>
      <x:c r="I2276" s="31" t="n">
        <x:v>4473</x:v>
      </x:c>
      <x:c r="J2276" s="31" t="n">
        <x:v>12598.711026946601</x:v>
      </x:c>
      <x:c r="K2276" s="31"/>
      <x:c r="L2276" s="40"/>
      <x:c r="M2276" s="40"/>
      <x:c r="N2276" s="31" t="n">
        <x:v>1297</x:v>
      </x:c>
      <x:c r="O2276" s="31" t="n">
        <x:v>1691</x:v>
      </x:c>
      <x:c r="P2276" s="31" t="n">
        <x:v>1.972301775147929</x:v>
      </x:c>
      <x:c r="Q2276" s="40" t="n">
        <x:v>0</x:v>
      </x:c>
      <x:c r="R2276" s="40" t="n">
        <x:v>0.12596096984033117</x:v>
      </x:c>
      <x:c r="S2276" s="40" t="n">
        <x:v>0.006505026611472502</x:v>
      </x:c>
      <x:c r="T2276" s="31" t="n">
        <x:v>25.465585099893108</x:v>
      </x:c>
      <x:c r="U2276" s="31" t="n">
        <x:v>38.99207643</x:v>
      </x:c>
      <x:c r="V2276" s="31" t="n">
        <x:v>0</x:v>
      </x:c>
      <x:c r="W2276" s="31" t="n">
        <x:v>0</x:v>
      </x:c>
      <x:c r="X2276" s="31" t="n">
        <x:v>1</x:v>
      </x:c>
      <x:c r="Y2276" s="40" t="n">
        <x:v>0</x:v>
      </x:c>
      <x:c r="Z2276" s="40" t="n">
        <x:v>1</x:v>
      </x:c>
      <x:c r="AA2276" s="40" t="n">
        <x:v>0.9958604376108812</x:v>
      </x:c>
      <x:c r="AB2276" s="31" t="n">
        <x:v>0.21429448233530302</x:v>
      </x:c>
      <x:c r="AC2276" s="31" t="n">
        <x:v>9</x:v>
      </x:c>
      <x:c r="AD2276" s="44" t="b">
        <x:v>1</x:v>
      </x:c>
    </x:row>
    <x:row r="2277">
      <x:c r="A2277" s="31" t="str">
        <x:v>36085017013</x:v>
      </x:c>
      <x:c r="B2277" s="31" t="str">
        <x:v>Staten Island</x:v>
      </x:c>
      <x:c r="C2277" s="31" t="str">
        <x:v>017013</x:v>
      </x:c>
      <x:c r="D2277" s="31" t="str">
        <x:v>SI0303</x:v>
      </x:c>
      <x:c r="E2277" s="31" t="str">
        <x:v>Arden Heights-Rossville</x:v>
      </x:c>
      <x:c r="F2277" s="31" t="n">
        <x:v>0.21417729198949725</x:v>
      </x:c>
      <x:c r="G2277" s="31" t="n">
        <x:v>40.55374712239182</x:v>
      </x:c>
      <x:c r="H2277" s="31" t="n">
        <x:v>-74.19784838286571</x:v>
      </x:c>
      <x:c r="I2277" s="31" t="n">
        <x:v>4333</x:v>
      </x:c>
      <x:c r="J2277" s="31" t="n">
        <x:v>20230.902911091434</x:v>
      </x:c>
      <x:c r="K2277" s="31"/>
      <x:c r="L2277" s="40"/>
      <x:c r="M2277" s="40"/>
      <x:c r="N2277" s="31" t="n">
        <x:v>1434</x:v>
      </x:c>
      <x:c r="O2277" s="31" t="n">
        <x:v>1481</x:v>
      </x:c>
      <x:c r="P2277" s="31" t="n">
        <x:v>2.114112086428089</x:v>
      </x:c>
      <x:c r="Q2277" s="40" t="n">
        <x:v>0</x:v>
      </x:c>
      <x:c r="R2277" s="40" t="n">
        <x:v>0.07224848075624578</x:v>
      </x:c>
      <x:c r="S2277" s="40" t="n">
        <x:v>0</x:v>
      </x:c>
      <x:c r="T2277" s="31" t="n">
        <x:v>29.112393944085078</x:v>
      </x:c>
      <x:c r="U2277" s="31" t="n">
        <x:v>41.01</x:v>
      </x:c>
      <x:c r="V2277" s="31" t="n">
        <x:v>0</x:v>
      </x:c>
      <x:c r="W2277" s="31" t="n">
        <x:v>0</x:v>
      </x:c>
      <x:c r="X2277" s="31" t="n">
        <x:v>1</x:v>
      </x:c>
      <x:c r="Y2277" s="40" t="n">
        <x:v>0</x:v>
      </x:c>
      <x:c r="Z2277" s="40" t="n">
        <x:v>1</x:v>
      </x:c>
      <x:c r="AA2277" s="40" t="n">
        <x:v>1</x:v>
      </x:c>
      <x:c r="AB2277" s="31" t="n">
        <x:v>0.17503546333945869</x:v>
      </x:c>
      <x:c r="AC2277" s="31" t="n">
        <x:v>4</x:v>
      </x:c>
      <x:c r="AD2277" s="44" t="b">
        <x:v>1</x:v>
      </x:c>
    </x:row>
    <x:row r="2278">
      <x:c r="A2278" s="31" t="str">
        <x:v>36085017014</x:v>
      </x:c>
      <x:c r="B2278" s="31" t="str">
        <x:v>Staten Island</x:v>
      </x:c>
      <x:c r="C2278" s="31" t="str">
        <x:v>017014</x:v>
      </x:c>
      <x:c r="D2278" s="31" t="str">
        <x:v>SI0303</x:v>
      </x:c>
      <x:c r="E2278" s="31" t="str">
        <x:v>Arden Heights-Rossville</x:v>
      </x:c>
      <x:c r="F2278" s="31" t="n">
        <x:v>0.2147119926373106</x:v>
      </x:c>
      <x:c r="G2278" s="31" t="n">
        <x:v>40.54845766799392</x:v>
      </x:c>
      <x:c r="H2278" s="31" t="n">
        <x:v>-74.1942496342009</x:v>
      </x:c>
      <x:c r="I2278" s="31" t="n">
        <x:v>4327</x:v>
      </x:c>
      <x:c r="J2278" s="31" t="n">
        <x:v>20152.57716558537</x:v>
      </x:c>
      <x:c r="K2278" s="31"/>
      <x:c r="L2278" s="40"/>
      <x:c r="M2278" s="40"/>
      <x:c r="N2278" s="31" t="n">
        <x:v>943</x:v>
      </x:c>
      <x:c r="O2278" s="31" t="n">
        <x:v>1649</x:v>
      </x:c>
      <x:c r="P2278" s="31" t="n">
        <x:v>2.2498483929654336</x:v>
      </x:c>
      <x:c r="Q2278" s="40" t="n">
        <x:v>0</x:v>
      </x:c>
      <x:c r="R2278" s="40" t="n">
        <x:v>0.3020012128562765</x:v>
      </x:c>
      <x:c r="S2278" s="40" t="n">
        <x:v>0.2340812613705276</x:v>
      </x:c>
      <x:c r="T2278" s="31" t="n">
        <x:v>29.763487882804878</x:v>
      </x:c>
      <x:c r="U2278" s="31" t="n">
        <x:v>39.33</x:v>
      </x:c>
      <x:c r="V2278" s="31" t="n">
        <x:v>1</x:v>
      </x:c>
      <x:c r="W2278" s="31" t="n">
        <x:v>0.23110700254217703</x:v>
      </x:c>
      <x:c r="X2278" s="31" t="n">
        <x:v>1</x:v>
      </x:c>
      <x:c r="Y2278" s="40" t="n">
        <x:v>0</x:v>
      </x:c>
      <x:c r="Z2278" s="40" t="n">
        <x:v>1</x:v>
      </x:c>
      <x:c r="AA2278" s="40" t="n">
        <x:v>0.9945421467556095</x:v>
      </x:c>
      <x:c r="AB2278" s="31" t="n">
        <x:v>0.2515899819753879</x:v>
      </x:c>
      <x:c r="AC2278" s="31" t="n">
        <x:v>6</x:v>
      </x:c>
      <x:c r="AD2278" s="44" t="b">
        <x:v>1</x:v>
      </x:c>
    </x:row>
    <x:row r="2279">
      <x:c r="A2279" s="31" t="str">
        <x:v>36085017015</x:v>
      </x:c>
      <x:c r="B2279" s="31" t="str">
        <x:v>Staten Island</x:v>
      </x:c>
      <x:c r="C2279" s="31" t="str">
        <x:v>017015</x:v>
      </x:c>
      <x:c r="D2279" s="31" t="str">
        <x:v>SI0303</x:v>
      </x:c>
      <x:c r="E2279" s="31" t="str">
        <x:v>Arden Heights-Rossville</x:v>
      </x:c>
      <x:c r="F2279" s="31" t="n">
        <x:v>0.1767875805810233</x:v>
      </x:c>
      <x:c r="G2279" s="31" t="n">
        <x:v>40.55128007598071</x:v>
      </x:c>
      <x:c r="H2279" s="31" t="n">
        <x:v>-74.18243021876168</x:v>
      </x:c>
      <x:c r="I2279" s="31" t="n">
        <x:v>2713</x:v>
      </x:c>
      <x:c r="J2279" s="31" t="n">
        <x:v>15346.100620210751</x:v>
      </x:c>
      <x:c r="K2279" s="31"/>
      <x:c r="L2279" s="40"/>
      <x:c r="M2279" s="40"/>
      <x:c r="N2279" s="31" t="n">
        <x:v>745</x:v>
      </x:c>
      <x:c r="O2279" s="31" t="n">
        <x:v>1071</x:v>
      </x:c>
      <x:c r="P2279" s="31" t="n">
        <x:v>1.9439028944911299</x:v>
      </x:c>
      <x:c r="Q2279" s="40" t="n">
        <x:v>0</x:v>
      </x:c>
      <x:c r="R2279" s="40" t="n">
        <x:v>0.04855275443510738</x:v>
      </x:c>
      <x:c r="S2279" s="40" t="n">
        <x:v>0.0009337068160597573</x:v>
      </x:c>
      <x:c r="T2279" s="31" t="n">
        <x:v>26.353490430718953</x:v>
      </x:c>
      <x:c r="U2279" s="31" t="n">
        <x:v>38</x:v>
      </x:c>
      <x:c r="V2279" s="31" t="n">
        <x:v>1</x:v>
      </x:c>
      <x:c r="W2279" s="31" t="n">
        <x:v>0.36859565057132326</x:v>
      </x:c>
      <x:c r="X2279" s="31" t="n">
        <x:v>1</x:v>
      </x:c>
      <x:c r="Y2279" s="40" t="n">
        <x:v>0</x:v>
      </x:c>
      <x:c r="Z2279" s="40" t="n">
        <x:v>1</x:v>
      </x:c>
      <x:c r="AA2279" s="40" t="n">
        <x:v>1</x:v>
      </x:c>
      <x:c r="AB2279" s="31" t="n">
        <x:v>0.5632730039887001</x:v>
      </x:c>
      <x:c r="AC2279" s="31" t="n">
        <x:v>6</x:v>
      </x:c>
      <x:c r="AD2279" s="44" t="b">
        <x:v>1</x:v>
      </x:c>
    </x:row>
    <x:row r="2280">
      <x:c r="A2280" s="31" t="str">
        <x:v>36085017016</x:v>
      </x:c>
      <x:c r="B2280" s="31" t="str">
        <x:v>Staten Island</x:v>
      </x:c>
      <x:c r="C2280" s="31" t="str">
        <x:v>017016</x:v>
      </x:c>
      <x:c r="D2280" s="31" t="str">
        <x:v>SI0303</x:v>
      </x:c>
      <x:c r="E2280" s="31" t="str">
        <x:v>Arden Heights-Rossville</x:v>
      </x:c>
      <x:c r="F2280" s="31" t="n">
        <x:v>0.256166977941704</x:v>
      </x:c>
      <x:c r="G2280" s="31" t="n">
        <x:v>40.55869691923332</x:v>
      </x:c>
      <x:c r="H2280" s="31" t="n">
        <x:v>-74.17759591933657</x:v>
      </x:c>
      <x:c r="I2280" s="31" t="n">
        <x:v>4637</x:v>
      </x:c>
      <x:c r="J2280" s="31" t="n">
        <x:v>18101.47442600991</x:v>
      </x:c>
      <x:c r="K2280" s="31"/>
      <x:c r="L2280" s="40"/>
      <x:c r="M2280" s="40"/>
      <x:c r="N2280" s="31" t="n">
        <x:v>1388</x:v>
      </x:c>
      <x:c r="O2280" s="31" t="n">
        <x:v>1579</x:v>
      </x:c>
      <x:c r="P2280" s="31" t="n">
        <x:v>1.9687143761874604</x:v>
      </x:c>
      <x:c r="Q2280" s="40" t="n">
        <x:v>0</x:v>
      </x:c>
      <x:c r="R2280" s="40" t="n">
        <x:v>0.04623179227359088</x:v>
      </x:c>
      <x:c r="S2280" s="40" t="n">
        <x:v>0</x:v>
      </x:c>
      <x:c r="T2280" s="31" t="n">
        <x:v>25.23360148511097</x:v>
      </x:c>
      <x:c r="U2280" s="31" t="n">
        <x:v>35.7</x:v>
      </x:c>
      <x:c r="V2280" s="31" t="n">
        <x:v>0</x:v>
      </x:c>
      <x:c r="W2280" s="31" t="n">
        <x:v>0</x:v>
      </x:c>
      <x:c r="X2280" s="31" t="n">
        <x:v>1</x:v>
      </x:c>
      <x:c r="Y2280" s="40" t="n">
        <x:v>0</x:v>
      </x:c>
      <x:c r="Z2280" s="40" t="n">
        <x:v>1</x:v>
      </x:c>
      <x:c r="AA2280" s="40" t="n">
        <x:v>0.9987333755541482</x:v>
      </x:c>
      <x:c r="AB2280" s="31" t="n">
        <x:v>0.6192067604296652</x:v>
      </x:c>
      <x:c r="AC2280" s="31" t="n">
        <x:v>5</x:v>
      </x:c>
      <x:c r="AD2280" s="44" t="b">
        <x:v>1</x:v>
      </x:c>
    </x:row>
    <x:row r="2281">
      <x:c r="A2281" s="31" t="str">
        <x:v>36085017300</x:v>
      </x:c>
      <x:c r="B2281" s="31" t="str">
        <x:v>Staten Island</x:v>
      </x:c>
      <x:c r="C2281" s="31" t="str">
        <x:v>017300</x:v>
      </x:c>
      <x:c r="D2281" s="31" t="str">
        <x:v>SI0203</x:v>
      </x:c>
      <x:c r="E2281" s="31" t="str">
        <x:v>Todt Hill-Emerson Hill-Lighthouse Hill-Manor Heights</x:v>
      </x:c>
      <x:c r="F2281" s="31" t="n">
        <x:v>0.13230573073024277</x:v>
      </x:c>
      <x:c r="G2281" s="31" t="n">
        <x:v>40.60527997525024</x:v>
      </x:c>
      <x:c r="H2281" s="31" t="n">
        <x:v>-74.11828193743825</x:v>
      </x:c>
      <x:c r="I2281" s="31" t="n">
        <x:v>2535</x:v>
      </x:c>
      <x:c r="J2281" s="31" t="n">
        <x:v>19160.167787203365</x:v>
      </x:c>
      <x:c r="K2281" s="31"/>
      <x:c r="L2281" s="40"/>
      <x:c r="M2281" s="40"/>
      <x:c r="N2281" s="31" t="n">
        <x:v>406</x:v>
      </x:c>
      <x:c r="O2281" s="31" t="n">
        <x:v>943</x:v>
      </x:c>
      <x:c r="P2281" s="31" t="n">
        <x:v>3.898004246284501</x:v>
      </x:c>
      <x:c r="Q2281" s="40" t="n">
        <x:v>0</x:v>
      </x:c>
      <x:c r="R2281" s="40" t="n">
        <x:v>0.5270413573700954</x:v>
      </x:c>
      <x:c r="S2281" s="40" t="n">
        <x:v>0.5164369034994698</x:v>
      </x:c>
      <x:c r="T2281" s="31" t="n">
        <x:v>43.012764199267515</x:v>
      </x:c>
      <x:c r="U2281" s="31" t="n">
        <x:v>60.18</x:v>
      </x:c>
      <x:c r="V2281" s="31" t="n">
        <x:v>15</x:v>
      </x:c>
      <x:c r="W2281" s="31" t="n">
        <x:v>5.9171597633136095</x:v>
      </x:c>
      <x:c r="X2281" s="31" t="n">
        <x:v>1</x:v>
      </x:c>
      <x:c r="Y2281" s="40" t="n">
        <x:v>0</x:v>
      </x:c>
      <x:c r="Z2281" s="40" t="n">
        <x:v>1</x:v>
      </x:c>
      <x:c r="AA2281" s="40" t="n">
        <x:v>0.9989395546129375</x:v>
      </x:c>
      <x:c r="AB2281" s="31" t="n">
        <x:v>0.12257599015084832</x:v>
      </x:c>
      <x:c r="AC2281" s="31" t="n">
        <x:v>3</x:v>
      </x:c>
      <x:c r="AD2281" s="44" t="b">
        <x:v>1</x:v>
      </x:c>
    </x:row>
    <x:row r="2282">
      <x:c r="A2282" s="31" t="str">
        <x:v>36085017600</x:v>
      </x:c>
      <x:c r="B2282" s="31" t="str">
        <x:v>Staten Island</x:v>
      </x:c>
      <x:c r="C2282" s="31" t="str">
        <x:v>017600</x:v>
      </x:c>
      <x:c r="D2282" s="31" t="str">
        <x:v>SI0304</x:v>
      </x:c>
      <x:c r="E2282" s="31" t="str">
        <x:v>Annadale-Huguenot-Prince's Bay-Woodrow</x:v>
      </x:c>
      <x:c r="F2282" s="31" t="n">
        <x:v>1.2805035823756026</x:v>
      </x:c>
      <x:c r="G2282" s="31" t="n">
        <x:v>40.52965179268397</x:v>
      </x:c>
      <x:c r="H2282" s="31" t="n">
        <x:v>-74.17583967935701</x:v>
      </x:c>
      <x:c r="I2282" s="31" t="n">
        <x:v>4932</x:v>
      </x:c>
      <x:c r="J2282" s="31" t="n">
        <x:v>3851.609685347468</x:v>
      </x:c>
      <x:c r="K2282" s="31"/>
      <x:c r="L2282" s="40"/>
      <x:c r="M2282" s="40"/>
      <x:c r="N2282" s="31" t="n">
        <x:v>1472</x:v>
      </x:c>
      <x:c r="O2282" s="31" t="n">
        <x:v>1891</x:v>
      </x:c>
      <x:c r="P2282" s="31" t="n">
        <x:v>1.9004256465517242</x:v>
      </x:c>
      <x:c r="Q2282" s="40" t="n">
        <x:v>0</x:v>
      </x:c>
      <x:c r="R2282" s="40" t="n">
        <x:v>0.013749338974087784</x:v>
      </x:c>
      <x:c r="S2282" s="40" t="n">
        <x:v>0.009518773135906928</x:v>
      </x:c>
      <x:c r="T2282" s="31" t="n">
        <x:v>27.745786696488672</x:v>
      </x:c>
      <x:c r="U2282" s="31" t="n">
        <x:v>44.35</x:v>
      </x:c>
      <x:c r="V2282" s="31" t="n">
        <x:v>14</x:v>
      </x:c>
      <x:c r="W2282" s="31" t="n">
        <x:v>2.83860502838605</x:v>
      </x:c>
      <x:c r="X2282" s="31" t="n">
        <x:v>1</x:v>
      </x:c>
      <x:c r="Y2282" s="40" t="n">
        <x:v>0</x:v>
      </x:c>
      <x:c r="Z2282" s="40" t="n">
        <x:v>1</x:v>
      </x:c>
      <x:c r="AA2282" s="40" t="n">
        <x:v>0.9804336329984136</x:v>
      </x:c>
      <x:c r="AB2282" s="31" t="n">
        <x:v>0.6027199847673108</x:v>
      </x:c>
      <x:c r="AC2282" s="31" t="n">
        <x:v>6</x:v>
      </x:c>
      <x:c r="AD2282" s="44" t="b">
        <x:v>1</x:v>
      </x:c>
    </x:row>
    <x:row r="2283">
      <x:c r="A2283" s="31" t="str">
        <x:v>36085017701</x:v>
      </x:c>
      <x:c r="B2283" s="31" t="str">
        <x:v>Staten Island</x:v>
      </x:c>
      <x:c r="C2283" s="31" t="str">
        <x:v>017701</x:v>
      </x:c>
      <x:c r="D2283" s="31" t="str">
        <x:v>SI0203</x:v>
      </x:c>
      <x:c r="E2283" s="31" t="str">
        <x:v>Todt Hill-Emerson Hill-Lighthouse Hill-Manor Heights</x:v>
      </x:c>
      <x:c r="F2283" s="31" t="n">
        <x:v>1.139287264423353</x:v>
      </x:c>
      <x:c r="G2283" s="31" t="n">
        <x:v>40.603219001737806</x:v>
      </x:c>
      <x:c r="H2283" s="31" t="n">
        <x:v>-74.10531101162691</x:v>
      </x:c>
      <x:c r="I2283" s="31" t="n">
        <x:v>4724</x:v>
      </x:c>
      <x:c r="J2283" s="31" t="n">
        <x:v>4146.452038495348</x:v>
      </x:c>
      <x:c r="K2283" s="31"/>
      <x:c r="L2283" s="40"/>
      <x:c r="M2283" s="40"/>
      <x:c r="N2283" s="31" t="n">
        <x:v>1492</x:v>
      </x:c>
      <x:c r="O2283" s="31" t="n">
        <x:v>1612</x:v>
      </x:c>
      <x:c r="P2283" s="31" t="n">
        <x:v>1.874336228287841</x:v>
      </x:c>
      <x:c r="Q2283" s="40" t="n">
        <x:v>0</x:v>
      </x:c>
      <x:c r="R2283" s="40" t="n">
        <x:v>0.04032258064516129</x:v>
      </x:c>
      <x:c r="S2283" s="40" t="n">
        <x:v>0.00620347394540943</x:v>
      </x:c>
      <x:c r="T2283" s="31" t="n">
        <x:v>28.610047554772304</x:v>
      </x:c>
      <x:c r="U2283" s="31" t="n">
        <x:v>54.48</x:v>
      </x:c>
      <x:c r="V2283" s="31" t="n">
        <x:v>50</x:v>
      </x:c>
      <x:c r="W2283" s="31" t="n">
        <x:v>10.584250635055039</x:v>
      </x:c>
      <x:c r="X2283" s="31" t="n">
        <x:v>2.389578163771712</x:v>
      </x:c>
      <x:c r="Y2283" s="40" t="n">
        <x:v>0</x:v>
      </x:c>
      <x:c r="Z2283" s="40" t="n">
        <x:v>1</x:v>
      </x:c>
      <x:c r="AA2283" s="40" t="n">
        <x:v>0.9944168734491315</x:v>
      </x:c>
      <x:c r="AB2283" s="31" t="n">
        <x:v>0.3517818395647787</x:v>
      </x:c>
      <x:c r="AC2283" s="31" t="n">
        <x:v>9</x:v>
      </x:c>
      <x:c r="AD2283" s="44" t="b">
        <x:v>1</x:v>
      </x:c>
    </x:row>
    <x:row r="2284">
      <x:c r="A2284" s="31" t="str">
        <x:v>36085017702</x:v>
      </x:c>
      <x:c r="B2284" s="31" t="str">
        <x:v>Staten Island</x:v>
      </x:c>
      <x:c r="C2284" s="31" t="str">
        <x:v>017702</x:v>
      </x:c>
      <x:c r="D2284" s="31" t="str">
        <x:v>SI0203</x:v>
      </x:c>
      <x:c r="E2284" s="31" t="str">
        <x:v>Todt Hill-Emerson Hill-Lighthouse Hill-Manor Heights</x:v>
      </x:c>
      <x:c r="F2284" s="31" t="n">
        <x:v>0.2262082971476125</x:v>
      </x:c>
      <x:c r="G2284" s="31" t="n">
        <x:v>40.59817672051681</x:v>
      </x:c>
      <x:c r="H2284" s="31" t="n">
        <x:v>-74.09727264509227</x:v>
      </x:c>
      <x:c r="I2284" s="31" t="n">
        <x:v>2353</x:v>
      </x:c>
      <x:c r="J2284" s="31" t="n">
        <x:v>10401.917302195803</x:v>
      </x:c>
      <x:c r="K2284" s="31"/>
      <x:c r="L2284" s="40"/>
      <x:c r="M2284" s="40"/>
      <x:c r="N2284" s="31" t="n">
        <x:v>758</x:v>
      </x:c>
      <x:c r="O2284" s="31" t="n">
        <x:v>910</x:v>
      </x:c>
      <x:c r="P2284" s="31" t="n">
        <x:v>1.719010989010989</x:v>
      </x:c>
      <x:c r="Q2284" s="40" t="n">
        <x:v>0</x:v>
      </x:c>
      <x:c r="R2284" s="40" t="n">
        <x:v>0.020879120879120878</x:v>
      </x:c>
      <x:c r="S2284" s="40" t="n">
        <x:v>0.01098901098901099</x:v>
      </x:c>
      <x:c r="T2284" s="31" t="n">
        <x:v>26.234814500674034</x:v>
      </x:c>
      <x:c r="U2284" s="31" t="n">
        <x:v>46.94</x:v>
      </x:c>
      <x:c r="V2284" s="31" t="n">
        <x:v>6</x:v>
      </x:c>
      <x:c r="W2284" s="31" t="n">
        <x:v>2.5499362515937105</x:v>
      </x:c>
      <x:c r="X2284" s="31" t="n">
        <x:v>3</x:v>
      </x:c>
      <x:c r="Y2284" s="40" t="n">
        <x:v>0</x:v>
      </x:c>
      <x:c r="Z2284" s="40" t="n">
        <x:v>1</x:v>
      </x:c>
      <x:c r="AA2284" s="40" t="n">
        <x:v>0.9945054945054945</x:v>
      </x:c>
      <x:c r="AB2284" s="31" t="n">
        <x:v>0.42972904389471883</x:v>
      </x:c>
      <x:c r="AC2284" s="31" t="n">
        <x:v>4</x:v>
      </x:c>
      <x:c r="AD2284" s="44" t="b">
        <x:v>1</x:v>
      </x:c>
    </x:row>
    <x:row r="2285">
      <x:c r="A2285" s="31" t="str">
        <x:v>36085018100</x:v>
      </x:c>
      <x:c r="B2285" s="31" t="str">
        <x:v>Staten Island</x:v>
      </x:c>
      <x:c r="C2285" s="31" t="str">
        <x:v>018100</x:v>
      </x:c>
      <x:c r="D2285" s="31" t="str">
        <x:v>SI0203</x:v>
      </x:c>
      <x:c r="E2285" s="31" t="str">
        <x:v>Todt Hill-Emerson Hill-Lighthouse Hill-Manor Heights</x:v>
      </x:c>
      <x:c r="F2285" s="31" t="n">
        <x:v>2.0184504337192952</x:v>
      </x:c>
      <x:c r="G2285" s="31" t="n">
        <x:v>40.58909146688477</x:v>
      </x:c>
      <x:c r="H2285" s="31" t="n">
        <x:v>-74.12076488563935</x:v>
      </x:c>
      <x:c r="I2285" s="31" t="n">
        <x:v>3569</x:v>
      </x:c>
      <x:c r="J2285" s="31" t="n">
        <x:v>1768.1880814995227</x:v>
      </x:c>
      <x:c r="K2285" s="31"/>
      <x:c r="L2285" s="40"/>
      <x:c r="M2285" s="40"/>
      <x:c r="N2285" s="31" t="n">
        <x:v>893</x:v>
      </x:c>
      <x:c r="O2285" s="31" t="n">
        <x:v>1270</x:v>
      </x:c>
      <x:c r="P2285" s="31" t="n">
        <x:v>2.4571033938437252</x:v>
      </x:c>
      <x:c r="Q2285" s="40" t="n">
        <x:v>0</x:v>
      </x:c>
      <x:c r="R2285" s="40" t="n">
        <x:v>0.26535433070866143</x:v>
      </x:c>
      <x:c r="S2285" s="40" t="n">
        <x:v>0.009448818897637795</x:v>
      </x:c>
      <x:c r="T2285" s="31" t="n">
        <x:v>34.71969728499208</x:v>
      </x:c>
      <x:c r="U2285" s="31" t="n">
        <x:v>72</x:v>
      </x:c>
      <x:c r="V2285" s="31" t="n">
        <x:v>34</x:v>
      </x:c>
      <x:c r="W2285" s="31" t="n">
        <x:v>9.52647800504343</x:v>
      </x:c>
      <x:c r="X2285" s="31" t="n">
        <x:v>1.4818897637795276</x:v>
      </x:c>
      <x:c r="Y2285" s="40" t="n">
        <x:v>0</x:v>
      </x:c>
      <x:c r="Z2285" s="40" t="n">
        <x:v>1</x:v>
      </x:c>
      <x:c r="AA2285" s="40" t="n">
        <x:v>0.9937007874015747</x:v>
      </x:c>
      <x:c r="AB2285" s="31" t="n">
        <x:v>0.615133098455014</x:v>
      </x:c>
      <x:c r="AC2285" s="31" t="n">
        <x:v>11</x:v>
      </x:c>
      <x:c r="AD2285" s="44" t="b">
        <x:v>1</x:v>
      </x:c>
    </x:row>
    <x:row r="2286">
      <x:c r="A2286" s="31" t="str">
        <x:v>36085018701</x:v>
      </x:c>
      <x:c r="B2286" s="31" t="str">
        <x:v>Staten Island</x:v>
      </x:c>
      <x:c r="C2286" s="31" t="str">
        <x:v>018701</x:v>
      </x:c>
      <x:c r="D2286" s="31" t="str">
        <x:v>SI0105</x:v>
      </x:c>
      <x:c r="E2286" s="31" t="str">
        <x:v>Westerleigh-Castleton Corners</x:v>
      </x:c>
      <x:c r="F2286" s="31" t="n">
        <x:v>0.148112953192077</x:v>
      </x:c>
      <x:c r="G2286" s="31" t="n">
        <x:v>40.61074896377799</x:v>
      </x:c>
      <x:c r="H2286" s="31" t="n">
        <x:v>-74.1272642333209</x:v>
      </x:c>
      <x:c r="I2286" s="31" t="n">
        <x:v>1836</x:v>
      </x:c>
      <x:c r="J2286" s="31" t="n">
        <x:v>12395.944854458638</x:v>
      </x:c>
      <x:c r="K2286" s="31"/>
      <x:c r="L2286" s="40"/>
      <x:c r="M2286" s="40"/>
      <x:c r="N2286" s="31" t="n">
        <x:v>540</x:v>
      </x:c>
      <x:c r="O2286" s="31" t="n">
        <x:v>677</x:v>
      </x:c>
      <x:c r="P2286" s="31" t="n">
        <x:v>2.097860326894502</x:v>
      </x:c>
      <x:c r="Q2286" s="40" t="n">
        <x:v>0</x:v>
      </x:c>
      <x:c r="R2286" s="40" t="n">
        <x:v>0.03545051698670606</x:v>
      </x:c>
      <x:c r="S2286" s="40" t="n">
        <x:v>0.0206794682422452</x:v>
      </x:c>
      <x:c r="T2286" s="31" t="n">
        <x:v>28.595094744940297</x:v>
      </x:c>
      <x:c r="U2286" s="31" t="n">
        <x:v>44.62</x:v>
      </x:c>
      <x:c r="V2286" s="31" t="n">
        <x:v>0</x:v>
      </x:c>
      <x:c r="W2286" s="31" t="n">
        <x:v>0</x:v>
      </x:c>
      <x:c r="X2286" s="31" t="n">
        <x:v>1</x:v>
      </x:c>
      <x:c r="Y2286" s="40" t="n">
        <x:v>0</x:v>
      </x:c>
      <x:c r="Z2286" s="40" t="n">
        <x:v>1</x:v>
      </x:c>
      <x:c r="AA2286" s="40" t="n">
        <x:v>0.9896602658788775</x:v>
      </x:c>
      <x:c r="AB2286" s="31" t="n">
        <x:v>0.5007222497470069</x:v>
      </x:c>
      <x:c r="AC2286" s="31" t="n">
        <x:v>7</x:v>
      </x:c>
      <x:c r="AD2286" s="44" t="b">
        <x:v>1</x:v>
      </x:c>
    </x:row>
    <x:row r="2287">
      <x:c r="A2287" s="31" t="str">
        <x:v>36085018703</x:v>
      </x:c>
      <x:c r="B2287" s="31" t="str">
        <x:v>Staten Island</x:v>
      </x:c>
      <x:c r="C2287" s="31" t="str">
        <x:v>018703</x:v>
      </x:c>
      <x:c r="D2287" s="31" t="str">
        <x:v>SI0203</x:v>
      </x:c>
      <x:c r="E2287" s="31" t="str">
        <x:v>Todt Hill-Emerson Hill-Lighthouse Hill-Manor Heights</x:v>
      </x:c>
      <x:c r="F2287" s="31" t="n">
        <x:v>0.18306947644592228</x:v>
      </x:c>
      <x:c r="G2287" s="31" t="n">
        <x:v>40.60335891805468</x:v>
      </x:c>
      <x:c r="H2287" s="31" t="n">
        <x:v>-74.12890696317639</x:v>
      </x:c>
      <x:c r="I2287" s="31" t="n">
        <x:v>3976</x:v>
      </x:c>
      <x:c r="J2287" s="31" t="n">
        <x:v>21718.530457339722</x:v>
      </x:c>
      <x:c r="K2287" s="31"/>
      <x:c r="L2287" s="40"/>
      <x:c r="M2287" s="40"/>
      <x:c r="N2287" s="31" t="n">
        <x:v>861</x:v>
      </x:c>
      <x:c r="O2287" s="31" t="n">
        <x:v>1131</x:v>
      </x:c>
      <x:c r="P2287" s="31" t="n">
        <x:v>1.9373889875666075</x:v>
      </x:c>
      <x:c r="Q2287" s="40" t="n">
        <x:v>0</x:v>
      </x:c>
      <x:c r="R2287" s="40" t="n">
        <x:v>0.08753315649867374</x:v>
      </x:c>
      <x:c r="S2287" s="40" t="n">
        <x:v>0.005305039787798408</x:v>
      </x:c>
      <x:c r="T2287" s="31" t="n">
        <x:v>25.439210676753365</x:v>
      </x:c>
      <x:c r="U2287" s="31" t="n">
        <x:v>38</x:v>
      </x:c>
      <x:c r="V2287" s="31" t="n">
        <x:v>0</x:v>
      </x:c>
      <x:c r="W2287" s="31" t="n">
        <x:v>0</x:v>
      </x:c>
      <x:c r="X2287" s="31" t="n">
        <x:v>1</x:v>
      </x:c>
      <x:c r="Y2287" s="40" t="n">
        <x:v>0</x:v>
      </x:c>
      <x:c r="Z2287" s="40" t="n">
        <x:v>1</x:v>
      </x:c>
      <x:c r="AA2287" s="40" t="n">
        <x:v>0.9858532272325375</x:v>
      </x:c>
      <x:c r="AB2287" s="31" t="n">
        <x:v>0.4590178558031153</x:v>
      </x:c>
      <x:c r="AC2287" s="31" t="n">
        <x:v>6</x:v>
      </x:c>
      <x:c r="AD2287" s="44" t="b">
        <x:v>1</x:v>
      </x:c>
    </x:row>
    <x:row r="2288">
      <x:c r="A2288" s="31" t="str">
        <x:v>36085018704</x:v>
      </x:c>
      <x:c r="B2288" s="31" t="str">
        <x:v>Staten Island</x:v>
      </x:c>
      <x:c r="C2288" s="31" t="str">
        <x:v>018704</x:v>
      </x:c>
      <x:c r="D2288" s="31" t="str">
        <x:v>SI0203</x:v>
      </x:c>
      <x:c r="E2288" s="31" t="str">
        <x:v>Todt Hill-Emerson Hill-Lighthouse Hill-Manor Heights</x:v>
      </x:c>
      <x:c r="F2288" s="31" t="n">
        <x:v>0.2087528162355085</x:v>
      </x:c>
      <x:c r="G2288" s="31" t="n">
        <x:v>40.604390807020444</x:v>
      </x:c>
      <x:c r="H2288" s="31" t="n">
        <x:v>-74.12374452472667</x:v>
      </x:c>
      <x:c r="I2288" s="31" t="n">
        <x:v>3780</x:v>
      </x:c>
      <x:c r="J2288" s="31" t="n">
        <x:v>18107.5401432454</x:v>
      </x:c>
      <x:c r="K2288" s="31"/>
      <x:c r="L2288" s="40"/>
      <x:c r="M2288" s="40"/>
      <x:c r="N2288" s="31" t="n">
        <x:v>827</x:v>
      </x:c>
      <x:c r="O2288" s="31" t="n">
        <x:v>1205</x:v>
      </x:c>
      <x:c r="P2288" s="31" t="n">
        <x:v>2.188243130724396</x:v>
      </x:c>
      <x:c r="Q2288" s="40" t="n">
        <x:v>0</x:v>
      </x:c>
      <x:c r="R2288" s="40" t="n">
        <x:v>0.14605809128630706</x:v>
      </x:c>
      <x:c r="S2288" s="40" t="n">
        <x:v>0.004149377593360996</x:v>
      </x:c>
      <x:c r="T2288" s="31" t="n">
        <x:v>27.7352051426556</x:v>
      </x:c>
      <x:c r="U2288" s="31" t="n">
        <x:v>82.73</x:v>
      </x:c>
      <x:c r="V2288" s="31" t="n">
        <x:v>10</x:v>
      </x:c>
      <x:c r="W2288" s="31" t="n">
        <x:v>2.6455026455026456</x:v>
      </x:c>
      <x:c r="X2288" s="31" t="n">
        <x:v>1</x:v>
      </x:c>
      <x:c r="Y2288" s="40" t="n">
        <x:v>0</x:v>
      </x:c>
      <x:c r="Z2288" s="40" t="n">
        <x:v>1</x:v>
      </x:c>
      <x:c r="AA2288" s="40" t="n">
        <x:v>1</x:v>
      </x:c>
      <x:c r="AB2288" s="31" t="n">
        <x:v>0.2970173498955388</x:v>
      </x:c>
      <x:c r="AC2288" s="31" t="n">
        <x:v>6</x:v>
      </x:c>
      <x:c r="AD2288" s="44" t="b">
        <x:v>1</x:v>
      </x:c>
    </x:row>
    <x:row r="2289">
      <x:c r="A2289" s="31" t="str">
        <x:v>36085018901</x:v>
      </x:c>
      <x:c r="B2289" s="31" t="str">
        <x:v>Staten Island</x:v>
      </x:c>
      <x:c r="C2289" s="31" t="str">
        <x:v>018901</x:v>
      </x:c>
      <x:c r="D2289" s="31" t="str">
        <x:v>SI0105</x:v>
      </x:c>
      <x:c r="E2289" s="31" t="str">
        <x:v>Westerleigh-Castleton Corners</x:v>
      </x:c>
      <x:c r="F2289" s="31" t="n">
        <x:v>0.4385539496635388</x:v>
      </x:c>
      <x:c r="G2289" s="31" t="n">
        <x:v>40.61192353749626</x:v>
      </x:c>
      <x:c r="H2289" s="31" t="n">
        <x:v>-74.14005190729583</x:v>
      </x:c>
      <x:c r="I2289" s="31" t="n">
        <x:v>5725</x:v>
      </x:c>
      <x:c r="J2289" s="31" t="n">
        <x:v>13054.266195509706</x:v>
      </x:c>
      <x:c r="K2289" s="31"/>
      <x:c r="L2289" s="40"/>
      <x:c r="M2289" s="40"/>
      <x:c r="N2289" s="31" t="n">
        <x:v>1671</x:v>
      </x:c>
      <x:c r="O2289" s="31" t="n">
        <x:v>2164</x:v>
      </x:c>
      <x:c r="P2289" s="31" t="n">
        <x:v>1.8108719851576993</x:v>
      </x:c>
      <x:c r="Q2289" s="40" t="n">
        <x:v>0</x:v>
      </x:c>
      <x:c r="R2289" s="40" t="n">
        <x:v>0.04805914972273567</x:v>
      </x:c>
      <x:c r="S2289" s="40" t="n">
        <x:v>0.0046210720887245845</x:v>
      </x:c>
      <x:c r="T2289" s="31" t="n">
        <x:v>25.061338128578065</x:v>
      </x:c>
      <x:c r="U2289" s="31" t="n">
        <x:v>37.92636612</x:v>
      </x:c>
      <x:c r="V2289" s="31" t="n">
        <x:v>4</x:v>
      </x:c>
      <x:c r="W2289" s="31" t="n">
        <x:v>0.6986899563318777</x:v>
      </x:c>
      <x:c r="X2289" s="31" t="n">
        <x:v>1</x:v>
      </x:c>
      <x:c r="Y2289" s="40" t="n">
        <x:v>0</x:v>
      </x:c>
      <x:c r="Z2289" s="40" t="n">
        <x:v>1</x:v>
      </x:c>
      <x:c r="AA2289" s="40" t="n">
        <x:v>0.9944547134935305</x:v>
      </x:c>
      <x:c r="AB2289" s="31" t="n">
        <x:v>0.4726583135195073</x:v>
      </x:c>
      <x:c r="AC2289" s="31" t="n">
        <x:v>8</x:v>
      </x:c>
      <x:c r="AD2289" s="44" t="b">
        <x:v>1</x:v>
      </x:c>
    </x:row>
    <x:row r="2290">
      <x:c r="A2290" s="31" t="str">
        <x:v>36085018902</x:v>
      </x:c>
      <x:c r="B2290" s="31" t="str">
        <x:v>Staten Island</x:v>
      </x:c>
      <x:c r="C2290" s="31" t="str">
        <x:v>018902</x:v>
      </x:c>
      <x:c r="D2290" s="31" t="str">
        <x:v>SI0203</x:v>
      </x:c>
      <x:c r="E2290" s="31" t="str">
        <x:v>Todt Hill-Emerson Hill-Lighthouse Hill-Manor Heights</x:v>
      </x:c>
      <x:c r="F2290" s="31" t="n">
        <x:v>0.29098652105214073</x:v>
      </x:c>
      <x:c r="G2290" s="31" t="n">
        <x:v>40.60508606064733</x:v>
      </x:c>
      <x:c r="H2290" s="31" t="n">
        <x:v>-74.1379625024103</x:v>
      </x:c>
      <x:c r="I2290" s="31" t="n">
        <x:v>5533</x:v>
      </x:c>
      <x:c r="J2290" s="31" t="n">
        <x:v>19014.62645071647</x:v>
      </x:c>
      <x:c r="K2290" s="31"/>
      <x:c r="L2290" s="40"/>
      <x:c r="M2290" s="40"/>
      <x:c r="N2290" s="31" t="n">
        <x:v>1221</x:v>
      </x:c>
      <x:c r="O2290" s="31" t="n">
        <x:v>1775</x:v>
      </x:c>
      <x:c r="P2290" s="31" t="n">
        <x:v>1.8612142440163457</x:v>
      </x:c>
      <x:c r="Q2290" s="40" t="n">
        <x:v>0</x:v>
      </x:c>
      <x:c r="R2290" s="40" t="n">
        <x:v>0.07042253521126761</x:v>
      </x:c>
      <x:c r="S2290" s="40" t="n">
        <x:v>0.0523943661971831</x:v>
      </x:c>
      <x:c r="T2290" s="31" t="n">
        <x:v>25.81872887096591</x:v>
      </x:c>
      <x:c r="U2290" s="31" t="n">
        <x:v>38.23</x:v>
      </x:c>
      <x:c r="V2290" s="31" t="n">
        <x:v>2</x:v>
      </x:c>
      <x:c r="W2290" s="31" t="n">
        <x:v>0.3614675582866438</x:v>
      </x:c>
      <x:c r="X2290" s="31" t="n">
        <x:v>1</x:v>
      </x:c>
      <x:c r="Y2290" s="40" t="n">
        <x:v>0</x:v>
      </x:c>
      <x:c r="Z2290" s="40" t="n">
        <x:v>1</x:v>
      </x:c>
      <x:c r="AA2290" s="40" t="n">
        <x:v>0.9915492957746479</x:v>
      </x:c>
      <x:c r="AB2290" s="31" t="n">
        <x:v>0.15420211219205976</x:v>
      </x:c>
      <x:c r="AC2290" s="31" t="n">
        <x:v>5</x:v>
      </x:c>
      <x:c r="AD2290" s="44" t="b">
        <x:v>1</x:v>
      </x:c>
    </x:row>
    <x:row r="2291">
      <x:c r="A2291" s="31" t="str">
        <x:v>36085019700</x:v>
      </x:c>
      <x:c r="B2291" s="31" t="str">
        <x:v>Staten Island</x:v>
      </x:c>
      <x:c r="C2291" s="31" t="str">
        <x:v>019700</x:v>
      </x:c>
      <x:c r="D2291" s="31" t="str">
        <x:v>SI0105</x:v>
      </x:c>
      <x:c r="E2291" s="31" t="str">
        <x:v>Westerleigh-Castleton Corners</x:v>
      </x:c>
      <x:c r="F2291" s="31" t="n">
        <x:v>0.11592200833871384</x:v>
      </x:c>
      <x:c r="G2291" s="31" t="n">
        <x:v>40.61698333883839</x:v>
      </x:c>
      <x:c r="H2291" s="31" t="n">
        <x:v>-74.13523948188114</x:v>
      </x:c>
      <x:c r="I2291" s="31" t="n">
        <x:v>1958</x:v>
      </x:c>
      <x:c r="J2291" s="31" t="n">
        <x:v>16890.66664786291</x:v>
      </x:c>
      <x:c r="K2291" s="31"/>
      <x:c r="L2291" s="40"/>
      <x:c r="M2291" s="40"/>
      <x:c r="N2291" s="31" t="n">
        <x:v>626</x:v>
      </x:c>
      <x:c r="O2291" s="31" t="n">
        <x:v>744</x:v>
      </x:c>
      <x:c r="P2291" s="31" t="n">
        <x:v>2.1583467741935483</x:v>
      </x:c>
      <x:c r="Q2291" s="40" t="n">
        <x:v>0</x:v>
      </x:c>
      <x:c r="R2291" s="40" t="n">
        <x:v>0.08870967741935484</x:v>
      </x:c>
      <x:c r="S2291" s="40" t="n">
        <x:v>0.005376344086021506</x:v>
      </x:c>
      <x:c r="T2291" s="31" t="n">
        <x:v>28.65596649524899</x:v>
      </x:c>
      <x:c r="U2291" s="31" t="n">
        <x:v>41.12</x:v>
      </x:c>
      <x:c r="V2291" s="31" t="n">
        <x:v>0</x:v>
      </x:c>
      <x:c r="W2291" s="31" t="n">
        <x:v>0</x:v>
      </x:c>
      <x:c r="X2291" s="31" t="n">
        <x:v>1</x:v>
      </x:c>
      <x:c r="Y2291" s="40" t="n">
        <x:v>0</x:v>
      </x:c>
      <x:c r="Z2291" s="40" t="n">
        <x:v>1</x:v>
      </x:c>
      <x:c r="AA2291" s="40" t="n">
        <x:v>0.9986559139784946</x:v>
      </x:c>
      <x:c r="AB2291" s="31" t="n">
        <x:v>0.13368802451687065</x:v>
      </x:c>
      <x:c r="AC2291" s="31" t="n">
        <x:v>4</x:v>
      </x:c>
      <x:c r="AD2291" s="44" t="b">
        <x:v>1</x:v>
      </x:c>
    </x:row>
    <x:row r="2292">
      <x:c r="A2292" s="31" t="str">
        <x:v>36085019800</x:v>
      </x:c>
      <x:c r="B2292" s="31" t="str">
        <x:v>Staten Island</x:v>
      </x:c>
      <x:c r="C2292" s="31" t="str">
        <x:v>019800</x:v>
      </x:c>
      <x:c r="D2292" s="31" t="str">
        <x:v>SI0304</x:v>
      </x:c>
      <x:c r="E2292" s="31" t="str">
        <x:v>Annadale-Huguenot-Prince's Bay-Woodrow</x:v>
      </x:c>
      <x:c r="F2292" s="31" t="n">
        <x:v>2.1997385206288738</x:v>
      </x:c>
      <x:c r="G2292" s="31" t="n">
        <x:v>40.51767002385338</x:v>
      </x:c>
      <x:c r="H2292" s="31" t="n">
        <x:v>-74.20500279501412</x:v>
      </x:c>
      <x:c r="I2292" s="31" t="n">
        <x:v>6627</x:v>
      </x:c>
      <x:c r="J2292" s="31" t="n">
        <x:v>3012.630791274881</x:v>
      </x:c>
      <x:c r="K2292" s="31"/>
      <x:c r="L2292" s="40"/>
      <x:c r="M2292" s="40"/>
      <x:c r="N2292" s="31" t="n">
        <x:v>1888</x:v>
      </x:c>
      <x:c r="O2292" s="31" t="n">
        <x:v>2558</x:v>
      </x:c>
      <x:c r="P2292" s="31" t="n">
        <x:v>2.0912351543942993</x:v>
      </x:c>
      <x:c r="Q2292" s="40" t="n">
        <x:v>0</x:v>
      </x:c>
      <x:c r="R2292" s="40" t="n">
        <x:v>0.11688819390148554</x:v>
      </x:c>
      <x:c r="S2292" s="40" t="n">
        <x:v>0.007818608287724784</x:v>
      </x:c>
      <x:c r="T2292" s="31" t="n">
        <x:v>29.749855855307906</x:v>
      </x:c>
      <x:c r="U2292" s="31" t="n">
        <x:v>48</x:v>
      </x:c>
      <x:c r="V2292" s="31" t="n">
        <x:v>8</x:v>
      </x:c>
      <x:c r="W2292" s="31" t="n">
        <x:v>1.2071827372868569</x:v>
      </x:c>
      <x:c r="X2292" s="31" t="n">
        <x:v>1</x:v>
      </x:c>
      <x:c r="Y2292" s="40" t="n">
        <x:v>0</x:v>
      </x:c>
      <x:c r="Z2292" s="40" t="n">
        <x:v>1</x:v>
      </x:c>
      <x:c r="AA2292" s="40" t="n">
        <x:v>0.9839718530101642</x:v>
      </x:c>
      <x:c r="AB2292" s="31" t="n">
        <x:v>0.40846229143487656</x:v>
      </x:c>
      <x:c r="AC2292" s="31" t="n">
        <x:v>8</x:v>
      </x:c>
      <x:c r="AD2292" s="44" t="b">
        <x:v>1</x:v>
      </x:c>
    </x:row>
    <x:row r="2293">
      <x:c r="A2293" s="31" t="str">
        <x:v>36085020100</x:v>
      </x:c>
      <x:c r="B2293" s="31" t="str">
        <x:v>Staten Island</x:v>
      </x:c>
      <x:c r="C2293" s="31" t="str">
        <x:v>020100</x:v>
      </x:c>
      <x:c r="D2293" s="31" t="str">
        <x:v>SI0105</x:v>
      </x:c>
      <x:c r="E2293" s="31" t="str">
        <x:v>Westerleigh-Castleton Corners</x:v>
      </x:c>
      <x:c r="F2293" s="31" t="n">
        <x:v>0.24238237294249312</x:v>
      </x:c>
      <x:c r="G2293" s="31" t="n">
        <x:v>40.624045278264596</x:v>
      </x:c>
      <x:c r="H2293" s="31" t="n">
        <x:v>-74.13425483582981</x:v>
      </x:c>
      <x:c r="I2293" s="31" t="n">
        <x:v>3796</x:v>
      </x:c>
      <x:c r="J2293" s="31" t="n">
        <x:v>15661.204871942677</x:v>
      </x:c>
      <x:c r="K2293" s="31"/>
      <x:c r="L2293" s="40"/>
      <x:c r="M2293" s="40"/>
      <x:c r="N2293" s="31" t="n">
        <x:v>921</x:v>
      </x:c>
      <x:c r="O2293" s="31" t="n">
        <x:v>1302</x:v>
      </x:c>
      <x:c r="P2293" s="31" t="n">
        <x:v>2.178493466564181</x:v>
      </x:c>
      <x:c r="Q2293" s="40" t="n">
        <x:v>0</x:v>
      </x:c>
      <x:c r="R2293" s="40" t="n">
        <x:v>0.03456221198156682</x:v>
      </x:c>
      <x:c r="S2293" s="40" t="n">
        <x:v>0.02457757296466974</x:v>
      </x:c>
      <x:c r="T2293" s="31" t="n">
        <x:v>28.853348880592307</x:v>
      </x:c>
      <x:c r="U2293" s="31" t="n">
        <x:v>45.7</x:v>
      </x:c>
      <x:c r="V2293" s="31" t="n">
        <x:v>2</x:v>
      </x:c>
      <x:c r="W2293" s="31" t="n">
        <x:v>0.5268703898840885</x:v>
      </x:c>
      <x:c r="X2293" s="31" t="n">
        <x:v>2.813364055299539</x:v>
      </x:c>
      <x:c r="Y2293" s="40" t="n">
        <x:v>0.6044546850998463</x:v>
      </x:c>
      <x:c r="Z2293" s="40" t="n">
        <x:v>1</x:v>
      </x:c>
      <x:c r="AA2293" s="40" t="n">
        <x:v>0.9984639016897081</x:v>
      </x:c>
      <x:c r="AB2293" s="31" t="n">
        <x:v>0.42158902431175693</x:v>
      </x:c>
      <x:c r="AC2293" s="31" t="n">
        <x:v>7</x:v>
      </x:c>
      <x:c r="AD2293" s="44" t="b">
        <x:v>1</x:v>
      </x:c>
    </x:row>
    <x:row r="2294">
      <x:c r="A2294" s="31" t="str">
        <x:v>36085020701</x:v>
      </x:c>
      <x:c r="B2294" s="31" t="str">
        <x:v>Staten Island</x:v>
      </x:c>
      <x:c r="C2294" s="31" t="str">
        <x:v>020701</x:v>
      </x:c>
      <x:c r="D2294" s="31" t="str">
        <x:v>SI0106</x:v>
      </x:c>
      <x:c r="E2294" s="31" t="str">
        <x:v>Port Richmond</x:v>
      </x:c>
      <x:c r="F2294" s="31" t="n">
        <x:v>0.16036300109044996</x:v>
      </x:c>
      <x:c r="G2294" s="31" t="n">
        <x:v>40.638104553949375</x:v>
      </x:c>
      <x:c r="H2294" s="31" t="n">
        <x:v>-74.139222224121</x:v>
      </x:c>
      <x:c r="I2294" s="31" t="n">
        <x:v>3942</x:v>
      </x:c>
      <x:c r="J2294" s="31" t="n">
        <x:v>24581.730032456697</x:v>
      </x:c>
      <x:c r="K2294" s="31"/>
      <x:c r="L2294" s="40"/>
      <x:c r="M2294" s="40"/>
      <x:c r="N2294" s="31" t="n">
        <x:v>592</x:v>
      </x:c>
      <x:c r="O2294" s="31" t="n">
        <x:v>1049</x:v>
      </x:c>
      <x:c r="P2294" s="31" t="n">
        <x:v>2.38465204957102</x:v>
      </x:c>
      <x:c r="Q2294" s="40" t="n">
        <x:v>0</x:v>
      </x:c>
      <x:c r="R2294" s="40" t="n">
        <x:v>0.16491897044804577</x:v>
      </x:c>
      <x:c r="S2294" s="40" t="n">
        <x:v>0.008579599618684462</x:v>
      </x:c>
      <x:c r="T2294" s="31" t="n">
        <x:v>30.213407305375725</x:v>
      </x:c>
      <x:c r="U2294" s="31" t="n">
        <x:v>65</x:v>
      </x:c>
      <x:c r="V2294" s="31" t="n">
        <x:v>0</x:v>
      </x:c>
      <x:c r="W2294" s="31" t="n">
        <x:v>0</x:v>
      </x:c>
      <x:c r="X2294" s="31" t="n">
        <x:v>3.977121067683508</x:v>
      </x:c>
      <x:c r="Y2294" s="40" t="n">
        <x:v>0.9771210676835081</x:v>
      </x:c>
      <x:c r="Z2294" s="40" t="n">
        <x:v>1</x:v>
      </x:c>
      <x:c r="AA2294" s="40" t="n">
        <x:v>0.9895138226882746</x:v>
      </x:c>
      <x:c r="AB2294" s="31" t="n">
        <x:v>0.15758619661503534</x:v>
      </x:c>
      <x:c r="AC2294" s="31" t="n">
        <x:v>4</x:v>
      </x:c>
      <x:c r="AD2294" s="44" t="b">
        <x:v>1</x:v>
      </x:c>
    </x:row>
    <x:row r="2295">
      <x:c r="A2295" s="31" t="str">
        <x:v>36085020702</x:v>
      </x:c>
      <x:c r="B2295" s="31" t="str">
        <x:v>Staten Island</x:v>
      </x:c>
      <x:c r="C2295" s="31" t="str">
        <x:v>020702</x:v>
      </x:c>
      <x:c r="D2295" s="31" t="str">
        <x:v>SI0106</x:v>
      </x:c>
      <x:c r="E2295" s="31" t="str">
        <x:v>Port Richmond</x:v>
      </x:c>
      <x:c r="F2295" s="31" t="n">
        <x:v>0.197525467690757</x:v>
      </x:c>
      <x:c r="G2295" s="31" t="n">
        <x:v>40.63756663703107</x:v>
      </x:c>
      <x:c r="H2295" s="31" t="n">
        <x:v>-74.13167161234465</x:v>
      </x:c>
      <x:c r="I2295" s="31" t="n">
        <x:v>3436</x:v>
      </x:c>
      <x:c r="J2295" s="31" t="n">
        <x:v>17395.225234344725</x:v>
      </x:c>
      <x:c r="K2295" s="31"/>
      <x:c r="L2295" s="40"/>
      <x:c r="M2295" s="40"/>
      <x:c r="N2295" s="31" t="n">
        <x:v>539</x:v>
      </x:c>
      <x:c r="O2295" s="31" t="n">
        <x:v>1138</x:v>
      </x:c>
      <x:c r="P2295" s="31" t="n">
        <x:v>2.875659050966608</x:v>
      </x:c>
      <x:c r="Q2295" s="40" t="n">
        <x:v>0</x:v>
      </x:c>
      <x:c r="R2295" s="40" t="n">
        <x:v>0.36379613356766255</x:v>
      </x:c>
      <x:c r="S2295" s="40" t="n">
        <x:v>0.014059753954305799</x:v>
      </x:c>
      <x:c r="T2295" s="31" t="n">
        <x:v>36.70092374282551</x:v>
      </x:c>
      <x:c r="U2295" s="31" t="n">
        <x:v>98.92</x:v>
      </x:c>
      <x:c r="V2295" s="31" t="n">
        <x:v>8</x:v>
      </x:c>
      <x:c r="W2295" s="31" t="n">
        <x:v>2.328288707799767</x:v>
      </x:c>
      <x:c r="X2295" s="31" t="n">
        <x:v>4</x:v>
      </x:c>
      <x:c r="Y2295" s="40" t="n">
        <x:v>1</x:v>
      </x:c>
      <x:c r="Z2295" s="40" t="n">
        <x:v>1</x:v>
      </x:c>
      <x:c r="AA2295" s="40" t="n">
        <x:v>0.992091388400703</x:v>
      </x:c>
      <x:c r="AB2295" s="31" t="n">
        <x:v>0.029796865579318363</x:v>
      </x:c>
      <x:c r="AC2295" s="31" t="n">
        <x:v>3</x:v>
      </x:c>
      <x:c r="AD2295" s="44" t="b">
        <x:v>1</x:v>
      </x:c>
    </x:row>
    <x:row r="2296">
      <x:c r="A2296" s="31" t="str">
        <x:v>36085020803</x:v>
      </x:c>
      <x:c r="B2296" s="31" t="str">
        <x:v>Staten Island</x:v>
      </x:c>
      <x:c r="C2296" s="31" t="str">
        <x:v>020803</x:v>
      </x:c>
      <x:c r="D2296" s="31" t="str">
        <x:v>SI0304</x:v>
      </x:c>
      <x:c r="E2296" s="31" t="str">
        <x:v>Annadale-Huguenot-Prince's Bay-Woodrow</x:v>
      </x:c>
      <x:c r="F2296" s="31" t="n">
        <x:v>0.8115490792979511</x:v>
      </x:c>
      <x:c r="G2296" s="31" t="n">
        <x:v>40.53282926417279</x:v>
      </x:c>
      <x:c r="H2296" s="31" t="n">
        <x:v>-74.21067578365353</x:v>
      </x:c>
      <x:c r="I2296" s="31" t="n">
        <x:v>7348</x:v>
      </x:c>
      <x:c r="J2296" s="31" t="n">
        <x:v>9054.289121190986</x:v>
      </x:c>
      <x:c r="K2296" s="31"/>
      <x:c r="L2296" s="40"/>
      <x:c r="M2296" s="40"/>
      <x:c r="N2296" s="31" t="n">
        <x:v>1847</x:v>
      </x:c>
      <x:c r="O2296" s="31" t="n">
        <x:v>2714</x:v>
      </x:c>
      <x:c r="P2296" s="31" t="n">
        <x:v>1.8940594795539034</x:v>
      </x:c>
      <x:c r="Q2296" s="40" t="n">
        <x:v>0</x:v>
      </x:c>
      <x:c r="R2296" s="40" t="n">
        <x:v>0.007000736919675755</x:v>
      </x:c>
      <x:c r="S2296" s="40" t="n">
        <x:v>0.002210759027266028</x:v>
      </x:c>
      <x:c r="T2296" s="31" t="n">
        <x:v>26.97680596676584</x:v>
      </x:c>
      <x:c r="U2296" s="31" t="n">
        <x:v>42</x:v>
      </x:c>
      <x:c r="V2296" s="31" t="n">
        <x:v>9</x:v>
      </x:c>
      <x:c r="W2296" s="31" t="n">
        <x:v>1.2248230811105063</x:v>
      </x:c>
      <x:c r="X2296" s="31" t="n">
        <x:v>1</x:v>
      </x:c>
      <x:c r="Y2296" s="40" t="n">
        <x:v>0</x:v>
      </x:c>
      <x:c r="Z2296" s="40" t="n">
        <x:v>1</x:v>
      </x:c>
      <x:c r="AA2296" s="40" t="n">
        <x:v>0.9535740604274134</x:v>
      </x:c>
      <x:c r="AB2296" s="31" t="n">
        <x:v>0.652297996209382</x:v>
      </x:c>
      <x:c r="AC2296" s="31" t="n">
        <x:v>5</x:v>
      </x:c>
      <x:c r="AD2296" s="44" t="b">
        <x:v>1</x:v>
      </x:c>
    </x:row>
    <x:row r="2297">
      <x:c r="A2297" s="31" t="str">
        <x:v>36085020804</x:v>
      </x:c>
      <x:c r="B2297" s="31" t="str">
        <x:v>Staten Island</x:v>
      </x:c>
      <x:c r="C2297" s="31" t="str">
        <x:v>020804</x:v>
      </x:c>
      <x:c r="D2297" s="31" t="str">
        <x:v>SI0304</x:v>
      </x:c>
      <x:c r="E2297" s="31" t="str">
        <x:v>Annadale-Huguenot-Prince's Bay-Woodrow</x:v>
      </x:c>
      <x:c r="F2297" s="31" t="n">
        <x:v>0.5138236046006944</x:v>
      </x:c>
      <x:c r="G2297" s="31" t="n">
        <x:v>40.53580206006503</x:v>
      </x:c>
      <x:c r="H2297" s="31" t="n">
        <x:v>-74.19953548456644</x:v>
      </x:c>
      <x:c r="I2297" s="31" t="n">
        <x:v>5364</x:v>
      </x:c>
      <x:c r="J2297" s="31" t="n">
        <x:v>10439.380269749387</x:v>
      </x:c>
      <x:c r="K2297" s="31"/>
      <x:c r="L2297" s="40"/>
      <x:c r="M2297" s="40"/>
      <x:c r="N2297" s="31" t="n">
        <x:v>1553</x:v>
      </x:c>
      <x:c r="O2297" s="31" t="n">
        <x:v>2149</x:v>
      </x:c>
      <x:c r="P2297" s="31" t="n">
        <x:v>1.7751404494382022</x:v>
      </x:c>
      <x:c r="Q2297" s="40" t="n">
        <x:v>0</x:v>
      </x:c>
      <x:c r="R2297" s="40" t="n">
        <x:v>0.044206607724523034</x:v>
      </x:c>
      <x:c r="S2297" s="40" t="n">
        <x:v>0.0009306654257794323</x:v>
      </x:c>
      <x:c r="T2297" s="31" t="n">
        <x:v>25.841407638606288</x:v>
      </x:c>
      <x:c r="U2297" s="31" t="n">
        <x:v>40</x:v>
      </x:c>
      <x:c r="V2297" s="31" t="n">
        <x:v>4</x:v>
      </x:c>
      <x:c r="W2297" s="31" t="n">
        <x:v>0.7457121551081282</x:v>
      </x:c>
      <x:c r="X2297" s="31" t="n">
        <x:v>1</x:v>
      </x:c>
      <x:c r="Y2297" s="40" t="n">
        <x:v>0</x:v>
      </x:c>
      <x:c r="Z2297" s="40" t="n">
        <x:v>1</x:v>
      </x:c>
      <x:c r="AA2297" s="40" t="n">
        <x:v>0.9916240111679852</x:v>
      </x:c>
      <x:c r="AB2297" s="31" t="n">
        <x:v>0.3525794556666262</x:v>
      </x:c>
      <x:c r="AC2297" s="31" t="n">
        <x:v>7</x:v>
      </x:c>
      <x:c r="AD2297" s="44" t="b">
        <x:v>1</x:v>
      </x:c>
    </x:row>
    <x:row r="2298">
      <x:c r="A2298" s="31" t="str">
        <x:v>36085020805</x:v>
      </x:c>
      <x:c r="B2298" s="31" t="str">
        <x:v>Staten Island</x:v>
      </x:c>
      <x:c r="C2298" s="31" t="str">
        <x:v>020805</x:v>
      </x:c>
      <x:c r="D2298" s="31" t="str">
        <x:v>SI0303</x:v>
      </x:c>
      <x:c r="E2298" s="31" t="str">
        <x:v>Arden Heights-Rossville</x:v>
      </x:c>
      <x:c r="F2298" s="31" t="n">
        <x:v>0.43811186829947196</x:v>
      </x:c>
      <x:c r="G2298" s="31" t="n">
        <x:v>40.547608060620796</x:v>
      </x:c>
      <x:c r="H2298" s="31" t="n">
        <x:v>-74.21491612603577</x:v>
      </x:c>
      <x:c r="I2298" s="31" t="n">
        <x:v>6433</x:v>
      </x:c>
      <x:c r="J2298" s="31" t="n">
        <x:v>14683.464351170496</x:v>
      </x:c>
      <x:c r="K2298" s="31"/>
      <x:c r="L2298" s="40"/>
      <x:c r="M2298" s="40"/>
      <x:c r="N2298" s="31" t="n">
        <x:v>1393</x:v>
      </x:c>
      <x:c r="O2298" s="31" t="n">
        <x:v>2491</x:v>
      </x:c>
      <x:c r="P2298" s="31" t="n">
        <x:v>2.1965536244171258</x:v>
      </x:c>
      <x:c r="Q2298" s="40" t="n">
        <x:v>0</x:v>
      </x:c>
      <x:c r="R2298" s="40" t="n">
        <x:v>0.19148936170212766</x:v>
      </x:c>
      <x:c r="S2298" s="40" t="n">
        <x:v>0.2629466077880369</x:v>
      </x:c>
      <x:c r="T2298" s="31" t="n">
        <x:v>27.985094274358744</x:v>
      </x:c>
      <x:c r="U2298" s="31" t="n">
        <x:v>37.77290988</x:v>
      </x:c>
      <x:c r="V2298" s="31" t="n">
        <x:v>0</x:v>
      </x:c>
      <x:c r="W2298" s="31" t="n">
        <x:v>0</x:v>
      </x:c>
      <x:c r="X2298" s="31" t="n">
        <x:v>1</x:v>
      </x:c>
      <x:c r="Y2298" s="40" t="n">
        <x:v>0</x:v>
      </x:c>
      <x:c r="Z2298" s="40" t="n">
        <x:v>1</x:v>
      </x:c>
      <x:c r="AA2298" s="40" t="n">
        <x:v>0.895222802087515</x:v>
      </x:c>
      <x:c r="AB2298" s="31" t="n">
        <x:v>0.39358694960035656</x:v>
      </x:c>
      <x:c r="AC2298" s="31" t="n">
        <x:v>4</x:v>
      </x:c>
      <x:c r="AD2298" s="44" t="b">
        <x:v>1</x:v>
      </x:c>
    </x:row>
    <x:row r="2299">
      <x:c r="A2299" s="31" t="str">
        <x:v>36085020806</x:v>
      </x:c>
      <x:c r="B2299" s="31" t="str">
        <x:v>Staten Island</x:v>
      </x:c>
      <x:c r="C2299" s="31" t="str">
        <x:v>020806</x:v>
      </x:c>
      <x:c r="D2299" s="31" t="str">
        <x:v>SI0303</x:v>
      </x:c>
      <x:c r="E2299" s="31" t="str">
        <x:v>Arden Heights-Rossville</x:v>
      </x:c>
      <x:c r="F2299" s="31" t="n">
        <x:v>0.5668087314336547</x:v>
      </x:c>
      <x:c r="G2299" s="31" t="n">
        <x:v>40.54955845566707</x:v>
      </x:c>
      <x:c r="H2299" s="31" t="n">
        <x:v>-74.20578667859967</x:v>
      </x:c>
      <x:c r="I2299" s="31" t="n">
        <x:v>2714</x:v>
      </x:c>
      <x:c r="J2299" s="31" t="n">
        <x:v>4788.211348006863</x:v>
      </x:c>
      <x:c r="K2299" s="31"/>
      <x:c r="L2299" s="40"/>
      <x:c r="M2299" s="40"/>
      <x:c r="N2299" s="31" t="n">
        <x:v>629</x:v>
      </x:c>
      <x:c r="O2299" s="31" t="n">
        <x:v>982</x:v>
      </x:c>
      <x:c r="P2299" s="31" t="n">
        <x:v>2.009419551934827</x:v>
      </x:c>
      <x:c r="Q2299" s="40" t="n">
        <x:v>0</x:v>
      </x:c>
      <x:c r="R2299" s="40" t="n">
        <x:v>0.014256619144602852</x:v>
      </x:c>
      <x:c r="S2299" s="40" t="n">
        <x:v>0.004073319755600814</x:v>
      </x:c>
      <x:c r="T2299" s="31" t="n">
        <x:v>28.29712014597725</x:v>
      </x:c>
      <x:c r="U2299" s="31" t="n">
        <x:v>42</x:v>
      </x:c>
      <x:c r="V2299" s="31" t="n">
        <x:v>1</x:v>
      </x:c>
      <x:c r="W2299" s="31" t="n">
        <x:v>0.36845983787767134</x:v>
      </x:c>
      <x:c r="X2299" s="31" t="n">
        <x:v>1</x:v>
      </x:c>
      <x:c r="Y2299" s="40" t="n">
        <x:v>0</x:v>
      </x:c>
      <x:c r="Z2299" s="40" t="n">
        <x:v>1</x:v>
      </x:c>
      <x:c r="AA2299" s="40" t="n">
        <x:v>0.984725050916497</x:v>
      </x:c>
      <x:c r="AB2299" s="31" t="n">
        <x:v>0.5690188916903912</x:v>
      </x:c>
      <x:c r="AC2299" s="31" t="n">
        <x:v>8</x:v>
      </x:c>
      <x:c r="AD2299" s="44" t="b">
        <x:v>1</x:v>
      </x:c>
    </x:row>
    <x:row r="2300">
      <x:c r="A2300" s="31" t="str">
        <x:v>36085021300</x:v>
      </x:c>
      <x:c r="B2300" s="31" t="str">
        <x:v>Staten Island</x:v>
      </x:c>
      <x:c r="C2300" s="31" t="str">
        <x:v>021300</x:v>
      </x:c>
      <x:c r="D2300" s="31" t="str">
        <x:v>SI0106</x:v>
      </x:c>
      <x:c r="E2300" s="31" t="str">
        <x:v>Port Richmond</x:v>
      </x:c>
      <x:c r="F2300" s="31" t="n">
        <x:v>0.3024875751592631</x:v>
      </x:c>
      <x:c r="G2300" s="31" t="n">
        <x:v>40.63261975745189</x:v>
      </x:c>
      <x:c r="H2300" s="31" t="n">
        <x:v>-74.1388841306681</x:v>
      </x:c>
      <x:c r="I2300" s="31" t="n">
        <x:v>5737</x:v>
      </x:c>
      <x:c r="J2300" s="31" t="n">
        <x:v>18966.068265711096</x:v>
      </x:c>
      <x:c r="K2300" s="31"/>
      <x:c r="L2300" s="40"/>
      <x:c r="M2300" s="40"/>
      <x:c r="N2300" s="31" t="n">
        <x:v>1144</x:v>
      </x:c>
      <x:c r="O2300" s="31" t="n">
        <x:v>1724</x:v>
      </x:c>
      <x:c r="P2300" s="31" t="n">
        <x:v>2.3242981438515082</x:v>
      </x:c>
      <x:c r="Q2300" s="40" t="n">
        <x:v>0</x:v>
      </x:c>
      <x:c r="R2300" s="40" t="n">
        <x:v>0.037703016241299306</x:v>
      </x:c>
      <x:c r="S2300" s="40" t="n">
        <x:v>0.027842227378190254</x:v>
      </x:c>
      <x:c r="T2300" s="31" t="n">
        <x:v>30.209835814699357</x:v>
      </x:c>
      <x:c r="U2300" s="31" t="n">
        <x:v>43.15788985</x:v>
      </x:c>
      <x:c r="V2300" s="31" t="n">
        <x:v>0</x:v>
      </x:c>
      <x:c r="W2300" s="31" t="n">
        <x:v>0</x:v>
      </x:c>
      <x:c r="X2300" s="31" t="n">
        <x:v>3.980858468677494</x:v>
      </x:c>
      <x:c r="Y2300" s="40" t="n">
        <x:v>0.9808584686774942</x:v>
      </x:c>
      <x:c r="Z2300" s="40" t="n">
        <x:v>1</x:v>
      </x:c>
      <x:c r="AA2300" s="40" t="n">
        <x:v>0.9936194895591647</x:v>
      </x:c>
      <x:c r="AB2300" s="31" t="n">
        <x:v>0.2303929844484755</x:v>
      </x:c>
      <x:c r="AC2300" s="31" t="n">
        <x:v>8</x:v>
      </x:c>
      <x:c r="AD2300" s="44" t="b">
        <x:v>1</x:v>
      </x:c>
    </x:row>
    <x:row r="2301">
      <x:c r="A2301" s="31" t="str">
        <x:v>36085022300</x:v>
      </x:c>
      <x:c r="B2301" s="31" t="str">
        <x:v>Staten Island</x:v>
      </x:c>
      <x:c r="C2301" s="31" t="str">
        <x:v>022300</x:v>
      </x:c>
      <x:c r="D2301" s="31" t="str">
        <x:v>SI0107</x:v>
      </x:c>
      <x:c r="E2301" s="31" t="str">
        <x:v>Mariner's Harbor-Arlington-Graniteville</x:v>
      </x:c>
      <x:c r="F2301" s="31" t="n">
        <x:v>0.2538965623120409</x:v>
      </x:c>
      <x:c r="G2301" s="31" t="n">
        <x:v>40.63694248584116</x:v>
      </x:c>
      <x:c r="H2301" s="31" t="n">
        <x:v>-74.15316690857682</x:v>
      </x:c>
      <x:c r="I2301" s="31" t="n">
        <x:v>3134</x:v>
      </x:c>
      <x:c r="J2301" s="31" t="n">
        <x:v>12343.609426851117</x:v>
      </x:c>
      <x:c r="K2301" s="31"/>
      <x:c r="L2301" s="40"/>
      <x:c r="M2301" s="40"/>
      <x:c r="N2301" s="31" t="n">
        <x:v>696</x:v>
      </x:c>
      <x:c r="O2301" s="31" t="n">
        <x:v>976</x:v>
      </x:c>
      <x:c r="P2301" s="31" t="n">
        <x:v>2.224573484069887</x:v>
      </x:c>
      <x:c r="Q2301" s="40" t="n">
        <x:v>0</x:v>
      </x:c>
      <x:c r="R2301" s="40" t="n">
        <x:v>0.07172131147540983</x:v>
      </x:c>
      <x:c r="S2301" s="40" t="n">
        <x:v>0.035860655737704916</x:v>
      </x:c>
      <x:c r="T2301" s="31" t="n">
        <x:v>29.20029867324742</x:v>
      </x:c>
      <x:c r="U2301" s="31" t="n">
        <x:v>39.50007695</x:v>
      </x:c>
      <x:c r="V2301" s="31" t="n">
        <x:v>0</x:v>
      </x:c>
      <x:c r="W2301" s="31" t="n">
        <x:v>0</x:v>
      </x:c>
      <x:c r="X2301" s="31" t="n">
        <x:v>3</x:v>
      </x:c>
      <x:c r="Y2301" s="40" t="n">
        <x:v>0</x:v>
      </x:c>
      <x:c r="Z2301" s="40" t="n">
        <x:v>1</x:v>
      </x:c>
      <x:c r="AA2301" s="40" t="n">
        <x:v>0.9938524590163934</x:v>
      </x:c>
      <x:c r="AB2301" s="31" t="n">
        <x:v>0.4276826530433499</x:v>
      </x:c>
      <x:c r="AC2301" s="31" t="n">
        <x:v>5</x:v>
      </x:c>
      <x:c r="AD2301" s="44" t="b">
        <x:v>1</x:v>
      </x:c>
    </x:row>
    <x:row r="2302">
      <x:c r="A2302" s="31" t="str">
        <x:v>36085022601</x:v>
      </x:c>
      <x:c r="B2302" s="31" t="str">
        <x:v>Staten Island</x:v>
      </x:c>
      <x:c r="C2302" s="31" t="str">
        <x:v>022601</x:v>
      </x:c>
      <x:c r="D2302" s="31" t="str">
        <x:v>SI0304</x:v>
      </x:c>
      <x:c r="E2302" s="31" t="str">
        <x:v>Annadale-Huguenot-Prince's Bay-Woodrow</x:v>
      </x:c>
      <x:c r="F2302" s="31" t="n">
        <x:v>0.6729280680024678</x:v>
      </x:c>
      <x:c r="G2302" s="31" t="n">
        <x:v>40.53146532388551</x:v>
      </x:c>
      <x:c r="H2302" s="31" t="n">
        <x:v>-74.22052243020028</x:v>
      </x:c>
      <x:c r="I2302" s="31" t="n">
        <x:v>6945</x:v>
      </x:c>
      <x:c r="J2302" s="31" t="n">
        <x:v>10320.568171001793</x:v>
      </x:c>
      <x:c r="K2302" s="31"/>
      <x:c r="L2302" s="40"/>
      <x:c r="M2302" s="40"/>
      <x:c r="N2302" s="31" t="n">
        <x:v>1881</x:v>
      </x:c>
      <x:c r="O2302" s="31" t="n">
        <x:v>2636</x:v>
      </x:c>
      <x:c r="P2302" s="31" t="n">
        <x:v>2.2535432473444614</x:v>
      </x:c>
      <x:c r="Q2302" s="40" t="n">
        <x:v>0</x:v>
      </x:c>
      <x:c r="R2302" s="40" t="n">
        <x:v>0.26327769347496205</x:v>
      </x:c>
      <x:c r="S2302" s="40" t="n">
        <x:v>0.002276176024279211</x:v>
      </x:c>
      <x:c r="T2302" s="31" t="n">
        <x:v>29.509191205903758</x:v>
      </x:c>
      <x:c r="U2302" s="31" t="n">
        <x:v>50</x:v>
      </x:c>
      <x:c r="V2302" s="31" t="n">
        <x:v>7</x:v>
      </x:c>
      <x:c r="W2302" s="31" t="n">
        <x:v>1.007919366450684</x:v>
      </x:c>
      <x:c r="X2302" s="31" t="n">
        <x:v>1</x:v>
      </x:c>
      <x:c r="Y2302" s="40" t="n">
        <x:v>0</x:v>
      </x:c>
      <x:c r="Z2302" s="40" t="n">
        <x:v>1</x:v>
      </x:c>
      <x:c r="AA2302" s="40" t="n">
        <x:v>0.9696509863429439</x:v>
      </x:c>
      <x:c r="AB2302" s="31" t="n">
        <x:v>0.6203126096425456</x:v>
      </x:c>
      <x:c r="AC2302" s="31" t="n">
        <x:v>4</x:v>
      </x:c>
      <x:c r="AD2302" s="44" t="b">
        <x:v>1</x:v>
      </x:c>
    </x:row>
    <x:row r="2303">
      <x:c r="A2303" s="31" t="str">
        <x:v>36085022602</x:v>
      </x:c>
      <x:c r="B2303" s="31" t="str">
        <x:v>Staten Island</x:v>
      </x:c>
      <x:c r="C2303" s="31" t="str">
        <x:v>022602</x:v>
      </x:c>
      <x:c r="D2303" s="31" t="str">
        <x:v>SI0305</x:v>
      </x:c>
      <x:c r="E2303" s="31" t="str">
        <x:v>Tottenville-Charleston</x:v>
      </x:c>
      <x:c r="F2303" s="31" t="n">
        <x:v>2.42026182347624</x:v>
      </x:c>
      <x:c r="G2303" s="31" t="n">
        <x:v>40.53830374363159</x:v>
      </x:c>
      <x:c r="H2303" s="31" t="n">
        <x:v>-74.23225708487549</x:v>
      </x:c>
      <x:c r="I2303" s="31" t="n">
        <x:v>1223</x:v>
      </x:c>
      <x:c r="J2303" s="31" t="n">
        <x:v>505.3172297877244</x:v>
      </x:c>
      <x:c r="K2303" s="31"/>
      <x:c r="L2303" s="40"/>
      <x:c r="M2303" s="40"/>
      <x:c r="N2303" s="31" t="n">
        <x:v>473</x:v>
      </x:c>
      <x:c r="O2303" s="31" t="n">
        <x:v>585</x:v>
      </x:c>
      <x:c r="P2303" s="31" t="n">
        <x:v>2.0146391752577317</x:v>
      </x:c>
      <x:c r="Q2303" s="40" t="n">
        <x:v>0</x:v>
      </x:c>
      <x:c r="R2303" s="40" t="n">
        <x:v>0.037606837606837605</x:v>
      </x:c>
      <x:c r="S2303" s="40" t="n">
        <x:v>0.037606837606837605</x:v>
      </x:c>
      <x:c r="T2303" s="31" t="n">
        <x:v>29.86116079829044</x:v>
      </x:c>
      <x:c r="U2303" s="31" t="n">
        <x:v>42.07612536</x:v>
      </x:c>
      <x:c r="V2303" s="31" t="n">
        <x:v>7</x:v>
      </x:c>
      <x:c r="W2303" s="31" t="n">
        <x:v>5.723630417007358</x:v>
      </x:c>
      <x:c r="X2303" s="31" t="n">
        <x:v>1</x:v>
      </x:c>
      <x:c r="Y2303" s="40" t="n">
        <x:v>0</x:v>
      </x:c>
      <x:c r="Z2303" s="40" t="n">
        <x:v>1</x:v>
      </x:c>
      <x:c r="AA2303" s="40" t="n">
        <x:v>0.9299145299145299</x:v>
      </x:c>
      <x:c r="AB2303" s="31" t="n">
        <x:v>0.5006673328256201</x:v>
      </x:c>
      <x:c r="AC2303" s="31" t="n">
        <x:v>7</x:v>
      </x:c>
      <x:c r="AD2303" s="44" t="b">
        <x:v>1</x:v>
      </x:c>
    </x:row>
    <x:row r="2304">
      <x:c r="A2304" s="31" t="str">
        <x:v>36085022801</x:v>
      </x:c>
      <x:c r="B2304" s="31" t="str">
        <x:v>Staten Island</x:v>
      </x:c>
      <x:c r="C2304" s="31" t="str">
        <x:v>022801</x:v>
      </x:c>
      <x:c r="D2304" s="31" t="str">
        <x:v>SI0391</x:v>
      </x:c>
      <x:c r="E2304" s="31" t="str">
        <x:v>Freshkills Park (South)</x:v>
      </x:c>
      <x:c r="F2304" s="31" t="n">
        <x:v>1.7131100916695363</x:v>
      </x:c>
      <x:c r="G2304" s="31" t="n">
        <x:v>40.56807476837895</x:v>
      </x:c>
      <x:c r="H2304" s="31" t="n">
        <x:v>-74.19760116596402</x:v>
      </x:c>
      <x:c r="I2304" s="31" t="n">
        <x:v>95</x:v>
      </x:c>
      <x:c r="J2304" s="31" t="n">
        <x:v>55.45469638055565</x:v>
      </x:c>
      <x:c r="K2304" s="31"/>
      <x:c r="L2304" s="40"/>
      <x:c r="M2304" s="40"/>
      <x:c r="N2304" s="31" t="n">
        <x:v>18</x:v>
      </x:c>
      <x:c r="O2304" s="31" t="n">
        <x:v>27</x:v>
      </x:c>
      <x:c r="P2304" s="31" t="n">
        <x:v>2.5</x:v>
      </x:c>
      <x:c r="Q2304" s="40" t="n">
        <x:v>0</x:v>
      </x:c>
      <x:c r="R2304" s="40" t="n">
        <x:v>0.4444444444444444</x:v>
      </x:c>
      <x:c r="S2304" s="40" t="n">
        <x:v>0</x:v>
      </x:c>
      <x:c r="T2304" s="31" t="n">
        <x:v>29.453614814814816</x:v>
      </x:c>
      <x:c r="U2304" s="31" t="n">
        <x:v>37</x:v>
      </x:c>
      <x:c r="V2304" s="31" t="n">
        <x:v>0</x:v>
      </x:c>
      <x:c r="W2304" s="31" t="n">
        <x:v>0</x:v>
      </x:c>
      <x:c r="X2304" s="31" t="n">
        <x:v>1</x:v>
      </x:c>
      <x:c r="Y2304" s="40" t="n">
        <x:v>0</x:v>
      </x:c>
      <x:c r="Z2304" s="40" t="n">
        <x:v>1</x:v>
      </x:c>
      <x:c r="AA2304" s="40" t="n">
        <x:v>1</x:v>
      </x:c>
      <x:c r="AB2304" s="31" t="n">
        <x:v>1.1158636068974266</x:v>
      </x:c>
      <x:c r="AC2304" s="31" t="n">
        <x:v>7</x:v>
      </x:c>
      <x:c r="AD2304" s="44" t="b">
        <x:v>1</x:v>
      </x:c>
    </x:row>
    <x:row r="2305">
      <x:c r="A2305" s="31" t="str">
        <x:v>36085022802</x:v>
      </x:c>
      <x:c r="B2305" s="31" t="str">
        <x:v>Staten Island</x:v>
      </x:c>
      <x:c r="C2305" s="31" t="str">
        <x:v>022802</x:v>
      </x:c>
      <x:c r="D2305" s="31" t="str">
        <x:v>SI0291</x:v>
      </x:c>
      <x:c r="E2305" s="31" t="str">
        <x:v>Freshkills Park (North)</x:v>
      </x:c>
      <x:c r="F2305" s="31" t="n">
        <x:v>2.445549682596562</x:v>
      </x:c>
      <x:c r="G2305" s="31" t="n">
        <x:v>40.58284980171104</x:v>
      </x:c>
      <x:c r="H2305" s="31" t="n">
        <x:v>-74.17854081932282</x:v>
      </x:c>
      <x:c r="I2305" s="31" t="n">
        <x:v>15</x:v>
      </x:c>
      <x:c r="J2305" s="31" t="n">
        <x:v>6.133590377143249</x:v>
      </x:c>
      <x:c r="K2305" s="31"/>
      <x:c r="L2305" s="40"/>
      <x:c r="M2305" s="40"/>
      <x:c r="N2305" s="31" t="n">
        <x:v>0</x:v>
      </x:c>
      <x:c r="O2305" s="31"/>
      <x:c r="P2305" s="31"/>
      <x:c r="Q2305" s="40"/>
      <x:c r="R2305" s="40"/>
      <x:c r="S2305" s="40"/>
      <x:c r="T2305" s="31"/>
      <x:c r="U2305" s="31"/>
      <x:c r="V2305" s="31" t="n">
        <x:v>0</x:v>
      </x:c>
      <x:c r="W2305" s="31" t="n">
        <x:v>0</x:v>
      </x:c>
      <x:c r="X2305" s="31"/>
      <x:c r="Y2305" s="40"/>
      <x:c r="Z2305" s="40"/>
      <x:c r="AA2305" s="40"/>
      <x:c r="AB2305" s="31" t="n">
        <x:v>0.8138793294794998</x:v>
      </x:c>
      <x:c r="AC2305" s="31" t="n">
        <x:v>10</x:v>
      </x:c>
      <x:c r="AD2305" s="44" t="b">
        <x:v>0</x:v>
      </x:c>
    </x:row>
    <x:row r="2306">
      <x:c r="A2306" s="31" t="str">
        <x:v>36085023100</x:v>
      </x:c>
      <x:c r="B2306" s="31" t="str">
        <x:v>Staten Island</x:v>
      </x:c>
      <x:c r="C2306" s="31" t="str">
        <x:v>023100</x:v>
      </x:c>
      <x:c r="D2306" s="31" t="str">
        <x:v>SI0107</x:v>
      </x:c>
      <x:c r="E2306" s="31" t="str">
        <x:v>Mariner's Harbor-Arlington-Graniteville</x:v>
      </x:c>
      <x:c r="F2306" s="31" t="n">
        <x:v>0.22526083695692725</x:v>
      </x:c>
      <x:c r="G2306" s="31" t="n">
        <x:v>40.63006209730546</x:v>
      </x:c>
      <x:c r="H2306" s="31" t="n">
        <x:v>-74.1563350717473</x:v>
      </x:c>
      <x:c r="I2306" s="31" t="n">
        <x:v>4959</x:v>
      </x:c>
      <x:c r="J2306" s="31" t="n">
        <x:v>22014.479156659727</x:v>
      </x:c>
      <x:c r="K2306" s="31"/>
      <x:c r="L2306" s="40"/>
      <x:c r="M2306" s="40"/>
      <x:c r="N2306" s="31" t="n">
        <x:v>966</x:v>
      </x:c>
      <x:c r="O2306" s="31" t="n">
        <x:v>1440</x:v>
      </x:c>
      <x:c r="P2306" s="31" t="n">
        <x:v>2.090478260869565</x:v>
      </x:c>
      <x:c r="Q2306" s="40" t="n">
        <x:v>0</x:v>
      </x:c>
      <x:c r="R2306" s="40" t="n">
        <x:v>0.07152777777777777</x:v>
      </x:c>
      <x:c r="S2306" s="40" t="n">
        <x:v>0.10555555555555556</x:v>
      </x:c>
      <x:c r="T2306" s="31" t="n">
        <x:v>27.504586770843286</x:v>
      </x:c>
      <x:c r="U2306" s="31" t="n">
        <x:v>39</x:v>
      </x:c>
      <x:c r="V2306" s="31" t="n">
        <x:v>1</x:v>
      </x:c>
      <x:c r="W2306" s="31" t="n">
        <x:v>0.20165355918531963</x:v>
      </x:c>
      <x:c r="X2306" s="31" t="n">
        <x:v>3</x:v>
      </x:c>
      <x:c r="Y2306" s="40" t="n">
        <x:v>0</x:v>
      </x:c>
      <x:c r="Z2306" s="40" t="n">
        <x:v>1</x:v>
      </x:c>
      <x:c r="AA2306" s="40" t="n">
        <x:v>0.9881944444444445</x:v>
      </x:c>
      <x:c r="AB2306" s="31" t="n">
        <x:v>0.11193952390167074</x:v>
      </x:c>
      <x:c r="AC2306" s="31" t="n">
        <x:v>4</x:v>
      </x:c>
      <x:c r="AD2306" s="44" t="b">
        <x:v>1</x:v>
      </x:c>
    </x:row>
    <x:row r="2307">
      <x:c r="A2307" s="31" t="str">
        <x:v>36085023900</x:v>
      </x:c>
      <x:c r="B2307" s="31" t="str">
        <x:v>Staten Island</x:v>
      </x:c>
      <x:c r="C2307" s="31" t="str">
        <x:v>023900</x:v>
      </x:c>
      <x:c r="D2307" s="31" t="str">
        <x:v>SI0107</x:v>
      </x:c>
      <x:c r="E2307" s="31" t="str">
        <x:v>Mariner's Harbor-Arlington-Graniteville</x:v>
      </x:c>
      <x:c r="F2307" s="31" t="n">
        <x:v>0.20461740164141415</x:v>
      </x:c>
      <x:c r="G2307" s="31" t="n">
        <x:v>40.62948447152954</x:v>
      </x:c>
      <x:c r="H2307" s="31" t="n">
        <x:v>-74.14929417142127</x:v>
      </x:c>
      <x:c r="I2307" s="31" t="n">
        <x:v>3605</x:v>
      </x:c>
      <x:c r="J2307" s="31" t="n">
        <x:v>17618.247378185624</x:v>
      </x:c>
      <x:c r="K2307" s="31"/>
      <x:c r="L2307" s="40"/>
      <x:c r="M2307" s="40"/>
      <x:c r="N2307" s="31" t="n">
        <x:v>758</x:v>
      </x:c>
      <x:c r="O2307" s="31" t="n">
        <x:v>1098</x:v>
      </x:c>
      <x:c r="P2307" s="31" t="n">
        <x:v>2.0988594890510948</x:v>
      </x:c>
      <x:c r="Q2307" s="40" t="n">
        <x:v>0</x:v>
      </x:c>
      <x:c r="R2307" s="40" t="n">
        <x:v>0.08652094717668488</x:v>
      </x:c>
      <x:c r="S2307" s="40" t="n">
        <x:v>0.015482695810564663</x:v>
      </x:c>
      <x:c r="T2307" s="31" t="n">
        <x:v>26.67388441216266</x:v>
      </x:c>
      <x:c r="U2307" s="31" t="n">
        <x:v>42</x:v>
      </x:c>
      <x:c r="V2307" s="31" t="n">
        <x:v>0</x:v>
      </x:c>
      <x:c r="W2307" s="31" t="n">
        <x:v>0</x:v>
      </x:c>
      <x:c r="X2307" s="31" t="n">
        <x:v>3</x:v>
      </x:c>
      <x:c r="Y2307" s="40" t="n">
        <x:v>0</x:v>
      </x:c>
      <x:c r="Z2307" s="40" t="n">
        <x:v>1</x:v>
      </x:c>
      <x:c r="AA2307" s="40" t="n">
        <x:v>0.9854280510018215</x:v>
      </x:c>
      <x:c r="AB2307" s="31" t="n">
        <x:v>0.25735332859291216</x:v>
      </x:c>
      <x:c r="AC2307" s="31" t="n">
        <x:v>8</x:v>
      </x:c>
      <x:c r="AD2307" s="44" t="b">
        <x:v>1</x:v>
      </x:c>
    </x:row>
    <x:row r="2308">
      <x:c r="A2308" s="31" t="str">
        <x:v>36085024401</x:v>
      </x:c>
      <x:c r="B2308" s="31" t="str">
        <x:v>Staten Island</x:v>
      </x:c>
      <x:c r="C2308" s="31" t="str">
        <x:v>024401</x:v>
      </x:c>
      <x:c r="D2308" s="31" t="str">
        <x:v>SI0305</x:v>
      </x:c>
      <x:c r="E2308" s="31" t="str">
        <x:v>Tottenville-Charleston</x:v>
      </x:c>
      <x:c r="F2308" s="31" t="n">
        <x:v>0.809268648433913</x:v>
      </x:c>
      <x:c r="G2308" s="31" t="n">
        <x:v>40.50974261429818</x:v>
      </x:c>
      <x:c r="H2308" s="31" t="n">
        <x:v>-74.23760344540531</x:v>
      </x:c>
      <x:c r="I2308" s="31" t="n">
        <x:v>5687</x:v>
      </x:c>
      <x:c r="J2308" s="31" t="n">
        <x:v>7027.332655238053</x:v>
      </x:c>
      <x:c r="K2308" s="31"/>
      <x:c r="L2308" s="40"/>
      <x:c r="M2308" s="40"/>
      <x:c r="N2308" s="31" t="n">
        <x:v>1581</x:v>
      </x:c>
      <x:c r="O2308" s="31" t="n">
        <x:v>2251</x:v>
      </x:c>
      <x:c r="P2308" s="31" t="n">
        <x:v>1.9735704757670078</x:v>
      </x:c>
      <x:c r="Q2308" s="40" t="n">
        <x:v>0</x:v>
      </x:c>
      <x:c r="R2308" s="40" t="n">
        <x:v>0.02221235006663705</x:v>
      </x:c>
      <x:c r="S2308" s="40" t="n">
        <x:v>0.004886717014660151</x:v>
      </x:c>
      <x:c r="T2308" s="31" t="n">
        <x:v>27.929915313444997</x:v>
      </x:c>
      <x:c r="U2308" s="31" t="n">
        <x:v>44.30840478</x:v>
      </x:c>
      <x:c r="V2308" s="31" t="n">
        <x:v>5</x:v>
      </x:c>
      <x:c r="W2308" s="31" t="n">
        <x:v>0.8791981712678038</x:v>
      </x:c>
      <x:c r="X2308" s="31" t="n">
        <x:v>1</x:v>
      </x:c>
      <x:c r="Y2308" s="40" t="n">
        <x:v>0</x:v>
      </x:c>
      <x:c r="Z2308" s="40" t="n">
        <x:v>1</x:v>
      </x:c>
      <x:c r="AA2308" s="40" t="n">
        <x:v>0.9813416259440249</x:v>
      </x:c>
      <x:c r="AB2308" s="31" t="n">
        <x:v>0.32275585929275635</x:v>
      </x:c>
      <x:c r="AC2308" s="31" t="n">
        <x:v>4</x:v>
      </x:c>
      <x:c r="AD2308" s="44" t="b">
        <x:v>1</x:v>
      </x:c>
    </x:row>
    <x:row r="2309">
      <x:c r="A2309" s="31" t="str">
        <x:v>36085024402</x:v>
      </x:c>
      <x:c r="B2309" s="31" t="str">
        <x:v>Staten Island</x:v>
      </x:c>
      <x:c r="C2309" s="31" t="str">
        <x:v>024402</x:v>
      </x:c>
      <x:c r="D2309" s="31" t="str">
        <x:v>SI0305</x:v>
      </x:c>
      <x:c r="E2309" s="31" t="str">
        <x:v>Tottenville-Charleston</x:v>
      </x:c>
      <x:c r="F2309" s="31" t="n">
        <x:v>0.6864837703419134</x:v>
      </x:c>
      <x:c r="G2309" s="31" t="n">
        <x:v>40.50252650638078</x:v>
      </x:c>
      <x:c r="H2309" s="31" t="n">
        <x:v>-74.23794857040703</x:v>
      </x:c>
      <x:c r="I2309" s="31" t="n">
        <x:v>4381</x:v>
      </x:c>
      <x:c r="J2309" s="31" t="n">
        <x:v>6381.796903687873</x:v>
      </x:c>
      <x:c r="K2309" s="31"/>
      <x:c r="L2309" s="40"/>
      <x:c r="M2309" s="40"/>
      <x:c r="N2309" s="31" t="n">
        <x:v>1236</x:v>
      </x:c>
      <x:c r="O2309" s="31" t="n">
        <x:v>1786</x:v>
      </x:c>
      <x:c r="P2309" s="31" t="n">
        <x:v>2.0123884810841335</x:v>
      </x:c>
      <x:c r="Q2309" s="40" t="n">
        <x:v>0</x:v>
      </x:c>
      <x:c r="R2309" s="40" t="n">
        <x:v>0.043673012318029114</x:v>
      </x:c>
      <x:c r="S2309" s="40" t="n">
        <x:v>0.06662933930571109</x:v>
      </x:c>
      <x:c r="T2309" s="31" t="n">
        <x:v>28.41265522939308</x:v>
      </x:c>
      <x:c r="U2309" s="31" t="n">
        <x:v>50.3609</x:v>
      </x:c>
      <x:c r="V2309" s="31" t="n">
        <x:v>9</x:v>
      </x:c>
      <x:c r="W2309" s="31" t="n">
        <x:v>2.054325496461995</x:v>
      </x:c>
      <x:c r="X2309" s="31" t="n">
        <x:v>1</x:v>
      </x:c>
      <x:c r="Y2309" s="40" t="n">
        <x:v>0</x:v>
      </x:c>
      <x:c r="Z2309" s="40" t="n">
        <x:v>1</x:v>
      </x:c>
      <x:c r="AA2309" s="40" t="n">
        <x:v>0.9871220604703248</x:v>
      </x:c>
      <x:c r="AB2309" s="31" t="n">
        <x:v>0.4605109770551475</x:v>
      </x:c>
      <x:c r="AC2309" s="31" t="n">
        <x:v>2</x:v>
      </x:c>
      <x:c r="AD2309" s="44" t="b">
        <x:v>1</x:v>
      </x:c>
    </x:row>
    <x:row r="2310">
      <x:c r="A2310" s="31" t="str">
        <x:v>36085024700</x:v>
      </x:c>
      <x:c r="B2310" s="31" t="str">
        <x:v>Staten Island</x:v>
      </x:c>
      <x:c r="C2310" s="31" t="str">
        <x:v>024700</x:v>
      </x:c>
      <x:c r="D2310" s="31" t="str">
        <x:v>SI0106</x:v>
      </x:c>
      <x:c r="E2310" s="31" t="str">
        <x:v>Port Richmond</x:v>
      </x:c>
      <x:c r="F2310" s="31" t="n">
        <x:v>0.18559828723492025</x:v>
      </x:c>
      <x:c r="G2310" s="31" t="n">
        <x:v>40.627513293680735</x:v>
      </x:c>
      <x:c r="H2310" s="31" t="n">
        <x:v>-74.14174389092851</x:v>
      </x:c>
      <x:c r="I2310" s="31" t="n">
        <x:v>2893</x:v>
      </x:c>
      <x:c r="J2310" s="31" t="n">
        <x:v>15587.428327601954</x:v>
      </x:c>
      <x:c r="K2310" s="31"/>
      <x:c r="L2310" s="40"/>
      <x:c r="M2310" s="40"/>
      <x:c r="N2310" s="31" t="n">
        <x:v>559</x:v>
      </x:c>
      <x:c r="O2310" s="31" t="n">
        <x:v>975</x:v>
      </x:c>
      <x:c r="P2310" s="31" t="n">
        <x:v>2.0931589743589742</x:v>
      </x:c>
      <x:c r="Q2310" s="40" t="n">
        <x:v>0</x:v>
      </x:c>
      <x:c r="R2310" s="40" t="n">
        <x:v>0.0758974358974359</x:v>
      </x:c>
      <x:c r="S2310" s="40" t="n">
        <x:v>0.19692307692307692</x:v>
      </x:c>
      <x:c r="T2310" s="31" t="n">
        <x:v>28.83841889097536</x:v>
      </x:c>
      <x:c r="U2310" s="31" t="n">
        <x:v>36.64</x:v>
      </x:c>
      <x:c r="V2310" s="31" t="n">
        <x:v>0</x:v>
      </x:c>
      <x:c r="W2310" s="31" t="n">
        <x:v>0</x:v>
      </x:c>
      <x:c r="X2310" s="31" t="n">
        <x:v>3.9794871794871796</x:v>
      </x:c>
      <x:c r="Y2310" s="40" t="n">
        <x:v>0.9794871794871794</x:v>
      </x:c>
      <x:c r="Z2310" s="40" t="n">
        <x:v>1</x:v>
      </x:c>
      <x:c r="AA2310" s="40" t="n">
        <x:v>0.9989743589743589</x:v>
      </x:c>
      <x:c r="AB2310" s="31" t="n">
        <x:v>0.17757875211782323</x:v>
      </x:c>
      <x:c r="AC2310" s="31" t="n">
        <x:v>5</x:v>
      </x:c>
      <x:c r="AD2310" s="44" t="b">
        <x:v>1</x:v>
      </x:c>
    </x:row>
    <x:row r="2311">
      <x:c r="A2311" s="31" t="str">
        <x:v>36085024800</x:v>
      </x:c>
      <x:c r="B2311" s="31" t="str">
        <x:v>Staten Island</x:v>
      </x:c>
      <x:c r="C2311" s="31" t="str">
        <x:v>024800</x:v>
      </x:c>
      <x:c r="D2311" s="31" t="str">
        <x:v>SI0305</x:v>
      </x:c>
      <x:c r="E2311" s="31" t="str">
        <x:v>Tottenville-Charleston</x:v>
      </x:c>
      <x:c r="F2311" s="31" t="n">
        <x:v>0.6313788619074264</x:v>
      </x:c>
      <x:c r="G2311" s="31" t="n">
        <x:v>40.51543793457358</x:v>
      </x:c>
      <x:c r="H2311" s="31" t="n">
        <x:v>-74.2424533752084</x:v>
      </x:c>
      <x:c r="I2311" s="31" t="n">
        <x:v>4798</x:v>
      </x:c>
      <x:c r="J2311" s="31" t="n">
        <x:v>7599.240787860726</x:v>
      </x:c>
      <x:c r="K2311" s="31"/>
      <x:c r="L2311" s="40"/>
      <x:c r="M2311" s="40"/>
      <x:c r="N2311" s="31" t="n">
        <x:v>1267</x:v>
      </x:c>
      <x:c r="O2311" s="31" t="n">
        <x:v>1907</x:v>
      </x:c>
      <x:c r="P2311" s="31" t="n">
        <x:v>2.1351469045120672</x:v>
      </x:c>
      <x:c r="Q2311" s="40" t="n">
        <x:v>0</x:v>
      </x:c>
      <x:c r="R2311" s="40" t="n">
        <x:v>0.06869428421604615</x:v>
      </x:c>
      <x:c r="S2311" s="40" t="n">
        <x:v>0.03408495018353435</x:v>
      </x:c>
      <x:c r="T2311" s="31" t="n">
        <x:v>29.6357533615873</x:v>
      </x:c>
      <x:c r="U2311" s="31" t="n">
        <x:v>42.06</x:v>
      </x:c>
      <x:c r="V2311" s="31" t="n">
        <x:v>3</x:v>
      </x:c>
      <x:c r="W2311" s="31" t="n">
        <x:v>0.6252605252188411</x:v>
      </x:c>
      <x:c r="X2311" s="31" t="n">
        <x:v>1</x:v>
      </x:c>
      <x:c r="Y2311" s="40" t="n">
        <x:v>0</x:v>
      </x:c>
      <x:c r="Z2311" s="40" t="n">
        <x:v>1</x:v>
      </x:c>
      <x:c r="AA2311" s="40" t="n">
        <x:v>0.9910854745673833</x:v>
      </x:c>
      <x:c r="AB2311" s="31" t="n">
        <x:v>0.4162666040460819</x:v>
      </x:c>
      <x:c r="AC2311" s="31" t="n">
        <x:v>2</x:v>
      </x:c>
      <x:c r="AD2311" s="44" t="b">
        <x:v>1</x:v>
      </x:c>
    </x:row>
    <x:row r="2312">
      <x:c r="A2312" s="31" t="str">
        <x:v>36085025100</x:v>
      </x:c>
      <x:c r="B2312" s="31" t="str">
        <x:v>Staten Island</x:v>
      </x:c>
      <x:c r="C2312" s="31" t="str">
        <x:v>025100</x:v>
      </x:c>
      <x:c r="D2312" s="31" t="str">
        <x:v>SI0105</x:v>
      </x:c>
      <x:c r="E2312" s="31" t="str">
        <x:v>Westerleigh-Castleton Corners</x:v>
      </x:c>
      <x:c r="F2312" s="31" t="n">
        <x:v>0.45149476103721875</x:v>
      </x:c>
      <x:c r="G2312" s="31" t="n">
        <x:v>40.61801244359637</x:v>
      </x:c>
      <x:c r="H2312" s="31" t="n">
        <x:v>-74.1460289054815</x:v>
      </x:c>
      <x:c r="I2312" s="31" t="n">
        <x:v>6030</x:v>
      </x:c>
      <x:c r="J2312" s="31" t="n">
        <x:v>13355.636699188453</x:v>
      </x:c>
      <x:c r="K2312" s="31"/>
      <x:c r="L2312" s="40"/>
      <x:c r="M2312" s="40"/>
      <x:c r="N2312" s="31" t="n">
        <x:v>1516</x:v>
      </x:c>
      <x:c r="O2312" s="31" t="n">
        <x:v>2205</x:v>
      </x:c>
      <x:c r="P2312" s="31" t="n">
        <x:v>1.8346342571558383</x:v>
      </x:c>
      <x:c r="Q2312" s="40" t="n">
        <x:v>0</x:v>
      </x:c>
      <x:c r="R2312" s="40" t="n">
        <x:v>0.020861678004535148</x:v>
      </x:c>
      <x:c r="S2312" s="40" t="n">
        <x:v>0.11882086167800454</x:v>
      </x:c>
      <x:c r="T2312" s="31" t="n">
        <x:v>25.622731105528715</x:v>
      </x:c>
      <x:c r="U2312" s="31" t="n">
        <x:v>64</x:v>
      </x:c>
      <x:c r="V2312" s="31" t="n">
        <x:v>3</x:v>
      </x:c>
      <x:c r="W2312" s="31" t="n">
        <x:v>0.49751243781094523</x:v>
      </x:c>
      <x:c r="X2312" s="31" t="n">
        <x:v>2.0598639455782313</x:v>
      </x:c>
      <x:c r="Y2312" s="40" t="n">
        <x:v>0.3532879818594104</x:v>
      </x:c>
      <x:c r="Z2312" s="40" t="n">
        <x:v>1</x:v>
      </x:c>
      <x:c r="AA2312" s="40" t="n">
        <x:v>0.9950113378684807</x:v>
      </x:c>
      <x:c r="AB2312" s="31" t="n">
        <x:v>0.34649535601899506</x:v>
      </x:c>
      <x:c r="AC2312" s="31" t="n">
        <x:v>8</x:v>
      </x:c>
      <x:c r="AD2312" s="44" t="b">
        <x:v>1</x:v>
      </x:c>
    </x:row>
    <x:row r="2313">
      <x:c r="A2313" s="31" t="str">
        <x:v>36085027301</x:v>
      </x:c>
      <x:c r="B2313" s="31" t="str">
        <x:v>Staten Island</x:v>
      </x:c>
      <x:c r="C2313" s="31" t="str">
        <x:v>027301</x:v>
      </x:c>
      <x:c r="D2313" s="31" t="str">
        <x:v>SI0204</x:v>
      </x:c>
      <x:c r="E2313" s="31" t="str">
        <x:v>New Springville-Willowbrook-Bulls Head-Travis</x:v>
      </x:c>
      <x:c r="F2313" s="31" t="n">
        <x:v>1.1714737610336317</x:v>
      </x:c>
      <x:c r="G2313" s="31" t="n">
        <x:v>40.5997344976969</x:v>
      </x:c>
      <x:c r="H2313" s="31" t="n">
        <x:v>-74.15185039118623</x:v>
      </x:c>
      <x:c r="I2313" s="31" t="n">
        <x:v>4811</x:v>
      </x:c>
      <x:c r="J2313" s="31" t="n">
        <x:v>4106.792793852326</x:v>
      </x:c>
      <x:c r="K2313" s="31"/>
      <x:c r="L2313" s="40"/>
      <x:c r="M2313" s="40"/>
      <x:c r="N2313" s="31" t="n">
        <x:v>848</x:v>
      </x:c>
      <x:c r="O2313" s="31" t="n">
        <x:v>1666</x:v>
      </x:c>
      <x:c r="P2313" s="31" t="n">
        <x:v>2.0788594164456233</x:v>
      </x:c>
      <x:c r="Q2313" s="40" t="n">
        <x:v>0</x:v>
      </x:c>
      <x:c r="R2313" s="40" t="n">
        <x:v>0.09903961584633854</x:v>
      </x:c>
      <x:c r="S2313" s="40" t="n">
        <x:v>0.3397358943577431</x:v>
      </x:c>
      <x:c r="T2313" s="31" t="n">
        <x:v>28.73349363239078</x:v>
      </x:c>
      <x:c r="U2313" s="31" t="n">
        <x:v>38</x:v>
      </x:c>
      <x:c r="V2313" s="31" t="n">
        <x:v>2</x:v>
      </x:c>
      <x:c r="W2313" s="31" t="n">
        <x:v>0.4157139887757223</x:v>
      </x:c>
      <x:c r="X2313" s="31" t="n">
        <x:v>1</x:v>
      </x:c>
      <x:c r="Y2313" s="40" t="n">
        <x:v>0</x:v>
      </x:c>
      <x:c r="Z2313" s="40" t="n">
        <x:v>1</x:v>
      </x:c>
      <x:c r="AA2313" s="40" t="n">
        <x:v>0.9891956782713085</x:v>
      </x:c>
      <x:c r="AB2313" s="31" t="n">
        <x:v>0.36932649754629393</x:v>
      </x:c>
      <x:c r="AC2313" s="31" t="n">
        <x:v>11</x:v>
      </x:c>
      <x:c r="AD2313" s="44" t="b">
        <x:v>1</x:v>
      </x:c>
    </x:row>
    <x:row r="2314">
      <x:c r="A2314" s="31" t="str">
        <x:v>36085027302</x:v>
      </x:c>
      <x:c r="B2314" s="31" t="str">
        <x:v>Staten Island</x:v>
      </x:c>
      <x:c r="C2314" s="31" t="str">
        <x:v>027302</x:v>
      </x:c>
      <x:c r="D2314" s="31" t="str">
        <x:v>SI0203</x:v>
      </x:c>
      <x:c r="E2314" s="31" t="str">
        <x:v>Todt Hill-Emerson Hill-Lighthouse Hill-Manor Heights</x:v>
      </x:c>
      <x:c r="F2314" s="31" t="n">
        <x:v>0.39496133066818756</x:v>
      </x:c>
      <x:c r="G2314" s="31" t="n">
        <x:v>40.59552852791691</x:v>
      </x:c>
      <x:c r="H2314" s="31" t="n">
        <x:v>-74.13871926135833</x:v>
      </x:c>
      <x:c r="I2314" s="31" t="n">
        <x:v>4242</x:v>
      </x:c>
      <x:c r="J2314" s="31" t="n">
        <x:v>10740.2919491472</x:v>
      </x:c>
      <x:c r="K2314" s="31"/>
      <x:c r="L2314" s="40"/>
      <x:c r="M2314" s="40"/>
      <x:c r="N2314" s="31" t="n">
        <x:v>872</x:v>
      </x:c>
      <x:c r="O2314" s="31" t="n">
        <x:v>1346</x:v>
      </x:c>
      <x:c r="P2314" s="31" t="n">
        <x:v>2.091879643387816</x:v>
      </x:c>
      <x:c r="Q2314" s="40" t="n">
        <x:v>0</x:v>
      </x:c>
      <x:c r="R2314" s="40" t="n">
        <x:v>0.12332838038632987</x:v>
      </x:c>
      <x:c r="S2314" s="40" t="n">
        <x:v>0</x:v>
      </x:c>
      <x:c r="T2314" s="31" t="n">
        <x:v>25.747130305810185</x:v>
      </x:c>
      <x:c r="U2314" s="31" t="n">
        <x:v>37.58</x:v>
      </x:c>
      <x:c r="V2314" s="31" t="n">
        <x:v>3</x:v>
      </x:c>
      <x:c r="W2314" s="31" t="n">
        <x:v>0.7072135785007072</x:v>
      </x:c>
      <x:c r="X2314" s="31" t="n">
        <x:v>1</x:v>
      </x:c>
      <x:c r="Y2314" s="40" t="n">
        <x:v>0</x:v>
      </x:c>
      <x:c r="Z2314" s="40" t="n">
        <x:v>1</x:v>
      </x:c>
      <x:c r="AA2314" s="40" t="n">
        <x:v>0.962852897473997</x:v>
      </x:c>
      <x:c r="AB2314" s="31" t="n">
        <x:v>0.33137709096060824</x:v>
      </x:c>
      <x:c r="AC2314" s="31" t="n">
        <x:v>6</x:v>
      </x:c>
      <x:c r="AD2314" s="44" t="b">
        <x:v>1</x:v>
      </x:c>
    </x:row>
    <x:row r="2315">
      <x:c r="A2315" s="31" t="str">
        <x:v>36085027702</x:v>
      </x:c>
      <x:c r="B2315" s="31" t="str">
        <x:v>Staten Island</x:v>
      </x:c>
      <x:c r="C2315" s="31" t="str">
        <x:v>027702</x:v>
      </x:c>
      <x:c r="D2315" s="31" t="str">
        <x:v>SI0204</x:v>
      </x:c>
      <x:c r="E2315" s="31" t="str">
        <x:v>New Springville-Willowbrook-Bulls Head-Travis</x:v>
      </x:c>
      <x:c r="F2315" s="31" t="n">
        <x:v>0.5631843215320822</x:v>
      </x:c>
      <x:c r="G2315" s="31" t="n">
        <x:v>40.58008785022406</x:v>
      </x:c>
      <x:c r="H2315" s="31" t="n">
        <x:v>-74.16366710263567</x:v>
      </x:c>
      <x:c r="I2315" s="31" t="n">
        <x:v>6479</x:v>
      </x:c>
      <x:c r="J2315" s="31" t="n">
        <x:v>11504.226506829202</x:v>
      </x:c>
      <x:c r="K2315" s="31"/>
      <x:c r="L2315" s="40"/>
      <x:c r="M2315" s="40"/>
      <x:c r="N2315" s="31" t="n">
        <x:v>395</x:v>
      </x:c>
      <x:c r="O2315" s="31" t="n">
        <x:v>3045</x:v>
      </x:c>
      <x:c r="P2315" s="31" t="n">
        <x:v>3.424630541871921</x:v>
      </x:c>
      <x:c r="Q2315" s="40" t="n">
        <x:v>0</x:v>
      </x:c>
      <x:c r="R2315" s="40" t="n">
        <x:v>0.6275862068965518</x:v>
      </x:c>
      <x:c r="S2315" s="40" t="n">
        <x:v>0.5839080459770115</x:v>
      </x:c>
      <x:c r="T2315" s="31" t="n">
        <x:v>44.47487545665892</x:v>
      </x:c>
      <x:c r="U2315" s="31" t="n">
        <x:v>72</x:v>
      </x:c>
      <x:c r="V2315" s="31" t="n">
        <x:v>19</x:v>
      </x:c>
      <x:c r="W2315" s="31" t="n">
        <x:v>2.932551319648094</x:v>
      </x:c>
      <x:c r="X2315" s="31" t="n">
        <x:v>1</x:v>
      </x:c>
      <x:c r="Y2315" s="40" t="n">
        <x:v>0</x:v>
      </x:c>
      <x:c r="Z2315" s="40" t="n">
        <x:v>1</x:v>
      </x:c>
      <x:c r="AA2315" s="40" t="n">
        <x:v>0.9888341543513958</x:v>
      </x:c>
      <x:c r="AB2315" s="31" t="n">
        <x:v>0.2603300922725883</x:v>
      </x:c>
      <x:c r="AC2315" s="31" t="n">
        <x:v>5</x:v>
      </x:c>
      <x:c r="AD2315" s="44" t="b">
        <x:v>1</x:v>
      </x:c>
    </x:row>
    <x:row r="2316">
      <x:c r="A2316" s="31" t="str">
        <x:v>36085027704</x:v>
      </x:c>
      <x:c r="B2316" s="31" t="str">
        <x:v>Staten Island</x:v>
      </x:c>
      <x:c r="C2316" s="31" t="str">
        <x:v>027704</x:v>
      </x:c>
      <x:c r="D2316" s="31" t="str">
        <x:v>SI0204</x:v>
      </x:c>
      <x:c r="E2316" s="31" t="str">
        <x:v>New Springville-Willowbrook-Bulls Head-Travis</x:v>
      </x:c>
      <x:c r="F2316" s="31" t="n">
        <x:v>0.20767289476297063</x:v>
      </x:c>
      <x:c r="G2316" s="31" t="n">
        <x:v>40.585382472182914</x:v>
      </x:c>
      <x:c r="H2316" s="31" t="n">
        <x:v>-74.1514749845321</x:v>
      </x:c>
      <x:c r="I2316" s="31" t="n">
        <x:v>4612</x:v>
      </x:c>
      <x:c r="J2316" s="31" t="n">
        <x:v>22208.001700289045</x:v>
      </x:c>
      <x:c r="K2316" s="31"/>
      <x:c r="L2316" s="40"/>
      <x:c r="M2316" s="40"/>
      <x:c r="N2316" s="31" t="n">
        <x:v>1013</x:v>
      </x:c>
      <x:c r="O2316" s="31" t="n">
        <x:v>1474</x:v>
      </x:c>
      <x:c r="P2316" s="31" t="n">
        <x:v>2.1062925170068025</x:v>
      </x:c>
      <x:c r="Q2316" s="40" t="n">
        <x:v>0</x:v>
      </x:c>
      <x:c r="R2316" s="40" t="n">
        <x:v>0.11804613297150611</x:v>
      </x:c>
      <x:c r="S2316" s="40" t="n">
        <x:v>0.016282225237449117</x:v>
      </x:c>
      <x:c r="T2316" s="31" t="n">
        <x:v>26.63625618926846</x:v>
      </x:c>
      <x:c r="U2316" s="31" t="n">
        <x:v>41.5971</x:v>
      </x:c>
      <x:c r="V2316" s="31" t="n">
        <x:v>0</x:v>
      </x:c>
      <x:c r="W2316" s="31" t="n">
        <x:v>0</x:v>
      </x:c>
      <x:c r="X2316" s="31" t="n">
        <x:v>1</x:v>
      </x:c>
      <x:c r="Y2316" s="40" t="n">
        <x:v>0</x:v>
      </x:c>
      <x:c r="Z2316" s="40" t="n">
        <x:v>1</x:v>
      </x:c>
      <x:c r="AA2316" s="40" t="n">
        <x:v>0.9830393487109905</x:v>
      </x:c>
      <x:c r="AB2316" s="31" t="n">
        <x:v>0.4639374271606377</x:v>
      </x:c>
      <x:c r="AC2316" s="31" t="n">
        <x:v>4</x:v>
      </x:c>
      <x:c r="AD2316" s="44" t="b">
        <x:v>1</x:v>
      </x:c>
    </x:row>
    <x:row r="2317">
      <x:c r="A2317" s="31" t="str">
        <x:v>36085027705</x:v>
      </x:c>
      <x:c r="B2317" s="31" t="str">
        <x:v>Staten Island</x:v>
      </x:c>
      <x:c r="C2317" s="31" t="str">
        <x:v>027705</x:v>
      </x:c>
      <x:c r="D2317" s="31" t="str">
        <x:v>SI0204</x:v>
      </x:c>
      <x:c r="E2317" s="31" t="str">
        <x:v>New Springville-Willowbrook-Bulls Head-Travis</x:v>
      </x:c>
      <x:c r="F2317" s="31" t="n">
        <x:v>0.2052157458652577</x:v>
      </x:c>
      <x:c r="G2317" s="31" t="n">
        <x:v>40.58824748546302</x:v>
      </x:c>
      <x:c r="H2317" s="31" t="n">
        <x:v>-74.15698249575676</x:v>
      </x:c>
      <x:c r="I2317" s="31" t="n">
        <x:v>5866</x:v>
      </x:c>
      <x:c r="J2317" s="31" t="n">
        <x:v>28584.551225672265</x:v>
      </x:c>
      <x:c r="K2317" s="31"/>
      <x:c r="L2317" s="40"/>
      <x:c r="M2317" s="40"/>
      <x:c r="N2317" s="31" t="n">
        <x:v>1224</x:v>
      </x:c>
      <x:c r="O2317" s="31" t="n">
        <x:v>1775</x:v>
      </x:c>
      <x:c r="P2317" s="31" t="n">
        <x:v>2.2416901408450705</x:v>
      </x:c>
      <x:c r="Q2317" s="40" t="n">
        <x:v>0</x:v>
      </x:c>
      <x:c r="R2317" s="40" t="n">
        <x:v>0.2540845070422535</x:v>
      </x:c>
      <x:c r="S2317" s="40" t="n">
        <x:v>0</x:v>
      </x:c>
      <x:c r="T2317" s="31" t="n">
        <x:v>27.556088207830985</x:v>
      </x:c>
      <x:c r="U2317" s="31" t="n">
        <x:v>38.1</x:v>
      </x:c>
      <x:c r="V2317" s="31" t="n">
        <x:v>0</x:v>
      </x:c>
      <x:c r="W2317" s="31" t="n">
        <x:v>0</x:v>
      </x:c>
      <x:c r="X2317" s="31" t="n">
        <x:v>1</x:v>
      </x:c>
      <x:c r="Y2317" s="40" t="n">
        <x:v>0</x:v>
      </x:c>
      <x:c r="Z2317" s="40" t="n">
        <x:v>1</x:v>
      </x:c>
      <x:c r="AA2317" s="40" t="n">
        <x:v>1</x:v>
      </x:c>
      <x:c r="AB2317" s="31" t="n">
        <x:v>0.20845334287609865</x:v>
      </x:c>
      <x:c r="AC2317" s="31" t="n">
        <x:v>4</x:v>
      </x:c>
      <x:c r="AD2317" s="44" t="b">
        <x:v>1</x:v>
      </x:c>
    </x:row>
    <x:row r="2318">
      <x:c r="A2318" s="31" t="str">
        <x:v>36085027706</x:v>
      </x:c>
      <x:c r="B2318" s="31" t="str">
        <x:v>Staten Island</x:v>
      </x:c>
      <x:c r="C2318" s="31" t="str">
        <x:v>027706</x:v>
      </x:c>
      <x:c r="D2318" s="31" t="str">
        <x:v>SI0204</x:v>
      </x:c>
      <x:c r="E2318" s="31" t="str">
        <x:v>New Springville-Willowbrook-Bulls Head-Travis</x:v>
      </x:c>
      <x:c r="F2318" s="31" t="n">
        <x:v>0.1692368798058712</x:v>
      </x:c>
      <x:c r="G2318" s="31" t="n">
        <x:v>40.59094203829182</x:v>
      </x:c>
      <x:c r="H2318" s="31" t="n">
        <x:v>-74.16189525238482</x:v>
      </x:c>
      <x:c r="I2318" s="31" t="n">
        <x:v>3043</x:v>
      </x:c>
      <x:c r="J2318" s="31" t="n">
        <x:v>17980.71438973925</x:v>
      </x:c>
      <x:c r="K2318" s="31"/>
      <x:c r="L2318" s="40"/>
      <x:c r="M2318" s="40"/>
      <x:c r="N2318" s="31" t="n">
        <x:v>488</x:v>
      </x:c>
      <x:c r="O2318" s="31" t="n">
        <x:v>1069</x:v>
      </x:c>
      <x:c r="P2318" s="31" t="n">
        <x:v>2.1858216970998927</x:v>
      </x:c>
      <x:c r="Q2318" s="40" t="n">
        <x:v>0</x:v>
      </x:c>
      <x:c r="R2318" s="40" t="n">
        <x:v>0.17492984097287184</x:v>
      </x:c>
      <x:c r="S2318" s="40" t="n">
        <x:v>0.3666978484565014</x:v>
      </x:c>
      <x:c r="T2318" s="31" t="n">
        <x:v>27.618026021478016</x:v>
      </x:c>
      <x:c r="U2318" s="31" t="n">
        <x:v>37.93</x:v>
      </x:c>
      <x:c r="V2318" s="31" t="n">
        <x:v>3</x:v>
      </x:c>
      <x:c r="W2318" s="31" t="n">
        <x:v>0.9858692080184029</x:v>
      </x:c>
      <x:c r="X2318" s="31" t="n">
        <x:v>1</x:v>
      </x:c>
      <x:c r="Y2318" s="40" t="n">
        <x:v>0</x:v>
      </x:c>
      <x:c r="Z2318" s="40" t="n">
        <x:v>1</x:v>
      </x:c>
      <x:c r="AA2318" s="40" t="n">
        <x:v>1</x:v>
      </x:c>
      <x:c r="AB2318" s="31" t="n">
        <x:v>0.20125117371843648</x:v>
      </x:c>
      <x:c r="AC2318" s="31" t="n">
        <x:v>5</x:v>
      </x:c>
      <x:c r="AD2318" s="44" t="b">
        <x:v>1</x:v>
      </x:c>
    </x:row>
    <x:row r="2319">
      <x:c r="A2319" s="31" t="str">
        <x:v>36085027900</x:v>
      </x:c>
      <x:c r="B2319" s="31" t="str">
        <x:v>Staten Island</x:v>
      </x:c>
      <x:c r="C2319" s="31" t="str">
        <x:v>027900</x:v>
      </x:c>
      <x:c r="D2319" s="31" t="str">
        <x:v>SI0203</x:v>
      </x:c>
      <x:c r="E2319" s="31" t="str">
        <x:v>Todt Hill-Emerson Hill-Lighthouse Hill-Manor Heights</x:v>
      </x:c>
      <x:c r="F2319" s="31" t="n">
        <x:v>2.0889749193067035</x:v>
      </x:c>
      <x:c r="G2319" s="31" t="n">
        <x:v>40.57494729827817</x:v>
      </x:c>
      <x:c r="H2319" s="31" t="n">
        <x:v>-74.14909846062905</x:v>
      </x:c>
      <x:c r="I2319" s="31" t="n">
        <x:v>2110</x:v>
      </x:c>
      <x:c r="J2319" s="31" t="n">
        <x:v>1010.0647836883912</x:v>
      </x:c>
      <x:c r="K2319" s="31"/>
      <x:c r="L2319" s="40"/>
      <x:c r="M2319" s="40"/>
      <x:c r="N2319" s="31" t="n">
        <x:v>645</x:v>
      </x:c>
      <x:c r="O2319" s="31" t="n">
        <x:v>693</x:v>
      </x:c>
      <x:c r="P2319" s="31" t="n">
        <x:v>1.8997113997113997</x:v>
      </x:c>
      <x:c r="Q2319" s="40" t="n">
        <x:v>0</x:v>
      </x:c>
      <x:c r="R2319" s="40" t="n">
        <x:v>0.030303030303030304</x:v>
      </x:c>
      <x:c r="S2319" s="40" t="n">
        <x:v>0.008658008658008658</x:v>
      </x:c>
      <x:c r="T2319" s="31" t="n">
        <x:v>27.437001689476745</x:v>
      </x:c>
      <x:c r="U2319" s="31" t="n">
        <x:v>52.46479124</x:v>
      </x:c>
      <x:c r="V2319" s="31" t="n">
        <x:v>6</x:v>
      </x:c>
      <x:c r="W2319" s="31" t="n">
        <x:v>2.843601895734597</x:v>
      </x:c>
      <x:c r="X2319" s="31" t="n">
        <x:v>1.0014430014430014</x:v>
      </x:c>
      <x:c r="Y2319" s="40" t="n">
        <x:v>0</x:v>
      </x:c>
      <x:c r="Z2319" s="40" t="n">
        <x:v>1</x:v>
      </x:c>
      <x:c r="AA2319" s="40" t="n">
        <x:v>0.9927849927849928</x:v>
      </x:c>
      <x:c r="AB2319" s="31" t="n">
        <x:v>0.7015205658735942</x:v>
      </x:c>
      <x:c r="AC2319" s="31" t="n">
        <x:v>10</x:v>
      </x:c>
      <x:c r="AD2319" s="44" t="b">
        <x:v>1</x:v>
      </x:c>
    </x:row>
    <x:row r="2320">
      <x:c r="A2320" s="31" t="str">
        <x:v>36085029102</x:v>
      </x:c>
      <x:c r="B2320" s="31" t="str">
        <x:v>Staten Island</x:v>
      </x:c>
      <x:c r="C2320" s="31" t="str">
        <x:v>029102</x:v>
      </x:c>
      <x:c r="D2320" s="31" t="str">
        <x:v>SI0204</x:v>
      </x:c>
      <x:c r="E2320" s="31" t="str">
        <x:v>New Springville-Willowbrook-Bulls Head-Travis</x:v>
      </x:c>
      <x:c r="F2320" s="31" t="n">
        <x:v>3.8099026226038797</x:v>
      </x:c>
      <x:c r="G2320" s="31" t="n">
        <x:v>40.60916189790357</x:v>
      </x:c>
      <x:c r="H2320" s="31" t="n">
        <x:v>-74.19024645494463</x:v>
      </x:c>
      <x:c r="I2320" s="31" t="n">
        <x:v>3394</x:v>
      </x:c>
      <x:c r="J2320" s="31" t="n">
        <x:v>890.83641662221</x:v>
      </x:c>
      <x:c r="K2320" s="31"/>
      <x:c r="L2320" s="40"/>
      <x:c r="M2320" s="40"/>
      <x:c r="N2320" s="31" t="n">
        <x:v>966</x:v>
      </x:c>
      <x:c r="O2320" s="31" t="n">
        <x:v>1121</x:v>
      </x:c>
      <x:c r="P2320" s="31" t="n">
        <x:v>2.1610169491525424</x:v>
      </x:c>
      <x:c r="Q2320" s="40" t="n">
        <x:v>0</x:v>
      </x:c>
      <x:c r="R2320" s="40" t="n">
        <x:v>0.17127564674397858</x:v>
      </x:c>
      <x:c r="S2320" s="40" t="n">
        <x:v>0.019625334522747548</x:v>
      </x:c>
      <x:c r="T2320" s="31" t="n">
        <x:v>27.40525488741848</x:v>
      </x:c>
      <x:c r="U2320" s="31" t="n">
        <x:v>65</x:v>
      </x:c>
      <x:c r="V2320" s="31" t="n">
        <x:v>3</x:v>
      </x:c>
      <x:c r="W2320" s="31" t="n">
        <x:v>0.8839127872716559</x:v>
      </x:c>
      <x:c r="X2320" s="31" t="n">
        <x:v>1</x:v>
      </x:c>
      <x:c r="Y2320" s="40" t="n">
        <x:v>0</x:v>
      </x:c>
      <x:c r="Z2320" s="40" t="n">
        <x:v>1</x:v>
      </x:c>
      <x:c r="AA2320" s="40" t="n">
        <x:v>0.9848349687778769</x:v>
      </x:c>
      <x:c r="AB2320" s="31" t="n">
        <x:v>0.5982355266260667</x:v>
      </x:c>
      <x:c r="AC2320" s="31" t="n">
        <x:v>5</x:v>
      </x:c>
      <x:c r="AD2320" s="44" t="b">
        <x:v>1</x:v>
      </x:c>
    </x:row>
    <x:row r="2321">
      <x:c r="A2321" s="31" t="str">
        <x:v>36085029104</x:v>
      </x:c>
      <x:c r="B2321" s="31" t="str">
        <x:v>Staten Island</x:v>
      </x:c>
      <x:c r="C2321" s="31" t="str">
        <x:v>029104</x:v>
      </x:c>
      <x:c r="D2321" s="31" t="str">
        <x:v>SI0204</x:v>
      </x:c>
      <x:c r="E2321" s="31" t="str">
        <x:v>New Springville-Willowbrook-Bulls Head-Travis</x:v>
      </x:c>
      <x:c r="F2321" s="31" t="n">
        <x:v>0.5955636632446626</x:v>
      </x:c>
      <x:c r="G2321" s="31" t="n">
        <x:v>40.61371893146398</x:v>
      </x:c>
      <x:c r="H2321" s="31" t="n">
        <x:v>-74.16351934356571</x:v>
      </x:c>
      <x:c r="I2321" s="31" t="n">
        <x:v>7178</x:v>
      </x:c>
      <x:c r="J2321" s="31" t="n">
        <x:v>12052.447862406301</x:v>
      </x:c>
      <x:c r="K2321" s="31"/>
      <x:c r="L2321" s="40"/>
      <x:c r="M2321" s="40"/>
      <x:c r="N2321" s="31" t="n">
        <x:v>1577</x:v>
      </x:c>
      <x:c r="O2321" s="31" t="n">
        <x:v>2447</x:v>
      </x:c>
      <x:c r="P2321" s="31" t="n">
        <x:v>2.0723875715453803</x:v>
      </x:c>
      <x:c r="Q2321" s="40" t="n">
        <x:v>0</x:v>
      </x:c>
      <x:c r="R2321" s="40" t="n">
        <x:v>0.13976297507151614</x:v>
      </x:c>
      <x:c r="S2321" s="40" t="n">
        <x:v>0.12014711892112791</x:v>
      </x:c>
      <x:c r="T2321" s="31" t="n">
        <x:v>27.372038597317175</x:v>
      </x:c>
      <x:c r="U2321" s="31" t="n">
        <x:v>44</x:v>
      </x:c>
      <x:c r="V2321" s="31" t="n">
        <x:v>0</x:v>
      </x:c>
      <x:c r="W2321" s="31" t="n">
        <x:v>0</x:v>
      </x:c>
      <x:c r="X2321" s="31" t="n">
        <x:v>1</x:v>
      </x:c>
      <x:c r="Y2321" s="40" t="n">
        <x:v>0</x:v>
      </x:c>
      <x:c r="Z2321" s="40" t="n">
        <x:v>1</x:v>
      </x:c>
      <x:c r="AA2321" s="40" t="n">
        <x:v>0.9946873722926032</x:v>
      </x:c>
      <x:c r="AB2321" s="31" t="n">
        <x:v>0.22564100359842085</x:v>
      </x:c>
      <x:c r="AC2321" s="31" t="n">
        <x:v>7</x:v>
      </x:c>
      <x:c r="AD2321" s="44" t="b">
        <x:v>1</x:v>
      </x:c>
    </x:row>
    <x:row r="2322">
      <x:c r="A2322" s="31" t="str">
        <x:v>36085029105</x:v>
      </x:c>
      <x:c r="B2322" s="31" t="str">
        <x:v>Staten Island</x:v>
      </x:c>
      <x:c r="C2322" s="31" t="str">
        <x:v>029105</x:v>
      </x:c>
      <x:c r="D2322" s="31" t="str">
        <x:v>SI0204</x:v>
      </x:c>
      <x:c r="E2322" s="31" t="str">
        <x:v>New Springville-Willowbrook-Bulls Head-Travis</x:v>
      </x:c>
      <x:c r="F2322" s="31" t="n">
        <x:v>0.6217285117295109</x:v>
      </x:c>
      <x:c r="G2322" s="31" t="n">
        <x:v>40.60615125408595</x:v>
      </x:c>
      <x:c r="H2322" s="31" t="n">
        <x:v>-74.17193210772352</x:v>
      </x:c>
      <x:c r="I2322" s="31" t="n">
        <x:v>4257</x:v>
      </x:c>
      <x:c r="J2322" s="31" t="n">
        <x:v>6847.040017769122</x:v>
      </x:c>
      <x:c r="K2322" s="31"/>
      <x:c r="L2322" s="40"/>
      <x:c r="M2322" s="40"/>
      <x:c r="N2322" s="31" t="n">
        <x:v>800</x:v>
      </x:c>
      <x:c r="O2322" s="31" t="n">
        <x:v>1659</x:v>
      </x:c>
      <x:c r="P2322" s="31" t="n">
        <x:v>1.9936330718165358</x:v>
      </x:c>
      <x:c r="Q2322" s="40" t="n">
        <x:v>0</x:v>
      </x:c>
      <x:c r="R2322" s="40" t="n">
        <x:v>0.02591922845087402</x:v>
      </x:c>
      <x:c r="S2322" s="40" t="n">
        <x:v>0.18022905364677516</x:v>
      </x:c>
      <x:c r="T2322" s="31" t="n">
        <x:v>26.08939229261212</x:v>
      </x:c>
      <x:c r="U2322" s="31" t="n">
        <x:v>41</x:v>
      </x:c>
      <x:c r="V2322" s="31" t="n">
        <x:v>0</x:v>
      </x:c>
      <x:c r="W2322" s="31" t="n">
        <x:v>0</x:v>
      </x:c>
      <x:c r="X2322" s="31" t="n">
        <x:v>1</x:v>
      </x:c>
      <x:c r="Y2322" s="40" t="n">
        <x:v>0</x:v>
      </x:c>
      <x:c r="Z2322" s="40" t="n">
        <x:v>1</x:v>
      </x:c>
      <x:c r="AA2322" s="40" t="n">
        <x:v>0.9945750452079566</x:v>
      </x:c>
      <x:c r="AB2322" s="31" t="n">
        <x:v>0.09973875772783794</x:v>
      </x:c>
      <x:c r="AC2322" s="31" t="n">
        <x:v>5</x:v>
      </x:c>
      <x:c r="AD2322" s="44" t="b">
        <x:v>1</x:v>
      </x:c>
    </x:row>
    <x:row r="2323">
      <x:c r="A2323" s="31" t="str">
        <x:v>36085029106</x:v>
      </x:c>
      <x:c r="B2323" s="31" t="str">
        <x:v>Staten Island</x:v>
      </x:c>
      <x:c r="C2323" s="31" t="str">
        <x:v>029106</x:v>
      </x:c>
      <x:c r="D2323" s="31" t="str">
        <x:v>SI0204</x:v>
      </x:c>
      <x:c r="E2323" s="31" t="str">
        <x:v>New Springville-Willowbrook-Bulls Head-Travis</x:v>
      </x:c>
      <x:c r="F2323" s="31" t="n">
        <x:v>0.16675700959022038</x:v>
      </x:c>
      <x:c r="G2323" s="31" t="n">
        <x:v>40.59735819958717</x:v>
      </x:c>
      <x:c r="H2323" s="31" t="n">
        <x:v>-74.16516603195166</x:v>
      </x:c>
      <x:c r="I2323" s="31" t="n">
        <x:v>3231</x:v>
      </x:c>
      <x:c r="J2323" s="31" t="n">
        <x:v>19375.49736553614</x:v>
      </x:c>
      <x:c r="K2323" s="31"/>
      <x:c r="L2323" s="40"/>
      <x:c r="M2323" s="40"/>
      <x:c r="N2323" s="31" t="n">
        <x:v>723</x:v>
      </x:c>
      <x:c r="O2323" s="31" t="n">
        <x:v>1154</x:v>
      </x:c>
      <x:c r="P2323" s="31" t="n">
        <x:v>1.990901213171577</x:v>
      </x:c>
      <x:c r="Q2323" s="40" t="n">
        <x:v>0</x:v>
      </x:c>
      <x:c r="R2323" s="40" t="n">
        <x:v>0.036395147313691506</x:v>
      </x:c>
      <x:c r="S2323" s="40" t="n">
        <x:v>0.07972270363951472</x:v>
      </x:c>
      <x:c r="T2323" s="31" t="n">
        <x:v>24.719547824921467</x:v>
      </x:c>
      <x:c r="U2323" s="31" t="n">
        <x:v>34.77</x:v>
      </x:c>
      <x:c r="V2323" s="31" t="n">
        <x:v>0</x:v>
      </x:c>
      <x:c r="W2323" s="31" t="n">
        <x:v>0</x:v>
      </x:c>
      <x:c r="X2323" s="31" t="n">
        <x:v>1</x:v>
      </x:c>
      <x:c r="Y2323" s="40" t="n">
        <x:v>0</x:v>
      </x:c>
      <x:c r="Z2323" s="40" t="n">
        <x:v>1</x:v>
      </x:c>
      <x:c r="AA2323" s="40" t="n">
        <x:v>0.9930675909878682</x:v>
      </x:c>
      <x:c r="AB2323" s="31" t="n">
        <x:v>0.48416361194976915</x:v>
      </x:c>
      <x:c r="AC2323" s="31" t="n">
        <x:v>4</x:v>
      </x:c>
      <x:c r="AD2323" s="44" t="b">
        <x:v>1</x:v>
      </x:c>
    </x:row>
    <x:row r="2324">
      <x:c r="A2324" s="31" t="str">
        <x:v>36085030301</x:v>
      </x:c>
      <x:c r="B2324" s="31" t="str">
        <x:v>Staten Island</x:v>
      </x:c>
      <x:c r="C2324" s="31" t="str">
        <x:v>030301</x:v>
      </x:c>
      <x:c r="D2324" s="31" t="str">
        <x:v>SI0107</x:v>
      </x:c>
      <x:c r="E2324" s="31" t="str">
        <x:v>Mariner's Harbor-Arlington-Graniteville</x:v>
      </x:c>
      <x:c r="F2324" s="31" t="n">
        <x:v>0.2785905844058483</x:v>
      </x:c>
      <x:c r="G2324" s="31" t="n">
        <x:v>40.61891801747841</x:v>
      </x:c>
      <x:c r="H2324" s="31" t="n">
        <x:v>-74.15610268208943</x:v>
      </x:c>
      <x:c r="I2324" s="31" t="n">
        <x:v>5130</x:v>
      </x:c>
      <x:c r="J2324" s="31" t="n">
        <x:v>18414.11837711881</x:v>
      </x:c>
      <x:c r="K2324" s="31"/>
      <x:c r="L2324" s="40"/>
      <x:c r="M2324" s="40"/>
      <x:c r="N2324" s="31" t="n">
        <x:v>709</x:v>
      </x:c>
      <x:c r="O2324" s="31" t="n">
        <x:v>1694</x:v>
      </x:c>
      <x:c r="P2324" s="31" t="n">
        <x:v>2.023939393939394</x:v>
      </x:c>
      <x:c r="Q2324" s="40" t="n">
        <x:v>0</x:v>
      </x:c>
      <x:c r="R2324" s="40" t="n">
        <x:v>0.028925619834710745</x:v>
      </x:c>
      <x:c r="S2324" s="40" t="n">
        <x:v>0.32408500590318773</x:v>
      </x:c>
      <x:c r="T2324" s="31" t="n">
        <x:v>25.982990551386198</x:v>
      </x:c>
      <x:c r="U2324" s="31" t="n">
        <x:v>37</x:v>
      </x:c>
      <x:c r="V2324" s="31" t="n">
        <x:v>0</x:v>
      </x:c>
      <x:c r="W2324" s="31" t="n">
        <x:v>0</x:v>
      </x:c>
      <x:c r="X2324" s="31" t="n">
        <x:v>1.0153482880755609</x:v>
      </x:c>
      <x:c r="Y2324" s="40" t="n">
        <x:v>0</x:v>
      </x:c>
      <x:c r="Z2324" s="40" t="n">
        <x:v>1</x:v>
      </x:c>
      <x:c r="AA2324" s="40" t="n">
        <x:v>0.9752066115702479</x:v>
      </x:c>
      <x:c r="AB2324" s="31" t="n">
        <x:v>0.41722765237955967</x:v>
      </x:c>
      <x:c r="AC2324" s="31" t="n">
        <x:v>7</x:v>
      </x:c>
      <x:c r="AD2324" s="44" t="b">
        <x:v>1</x:v>
      </x:c>
    </x:row>
    <x:row r="2325">
      <x:c r="A2325" s="31" t="str">
        <x:v>36085030302</x:v>
      </x:c>
      <x:c r="B2325" s="31" t="str">
        <x:v>Staten Island</x:v>
      </x:c>
      <x:c r="C2325" s="31" t="str">
        <x:v>030302</x:v>
      </x:c>
      <x:c r="D2325" s="31" t="str">
        <x:v>SI0107</x:v>
      </x:c>
      <x:c r="E2325" s="31" t="str">
        <x:v>Mariner's Harbor-Arlington-Graniteville</x:v>
      </x:c>
      <x:c r="F2325" s="31" t="n">
        <x:v>0.35110266799780476</x:v>
      </x:c>
      <x:c r="G2325" s="31" t="n">
        <x:v>40.62352830789403</x:v>
      </x:c>
      <x:c r="H2325" s="31" t="n">
        <x:v>-74.15873791930228</x:v>
      </x:c>
      <x:c r="I2325" s="31" t="n">
        <x:v>6669</x:v>
      </x:c>
      <x:c r="J2325" s="31" t="n">
        <x:v>18994.444098162472</x:v>
      </x:c>
      <x:c r="K2325" s="31"/>
      <x:c r="L2325" s="40"/>
      <x:c r="M2325" s="40"/>
      <x:c r="N2325" s="31" t="n">
        <x:v>1190</x:v>
      </x:c>
      <x:c r="O2325" s="31" t="n">
        <x:v>2081</x:v>
      </x:c>
      <x:c r="P2325" s="31" t="n">
        <x:v>2.1417128205128204</x:v>
      </x:c>
      <x:c r="Q2325" s="40" t="n">
        <x:v>0</x:v>
      </x:c>
      <x:c r="R2325" s="40" t="n">
        <x:v>0.15185007208073042</x:v>
      </x:c>
      <x:c r="S2325" s="40" t="n">
        <x:v>0.2469966362325805</x:v>
      </x:c>
      <x:c r="T2325" s="31" t="n">
        <x:v>29.231363803826504</x:v>
      </x:c>
      <x:c r="U2325" s="31" t="n">
        <x:v>37.77</x:v>
      </x:c>
      <x:c r="V2325" s="31" t="n">
        <x:v>1</x:v>
      </x:c>
      <x:c r="W2325" s="31" t="n">
        <x:v>0.14994751836857098</x:v>
      </x:c>
      <x:c r="X2325" s="31" t="n">
        <x:v>2.561749159058145</x:v>
      </x:c>
      <x:c r="Y2325" s="40" t="n">
        <x:v>0</x:v>
      </x:c>
      <x:c r="Z2325" s="40" t="n">
        <x:v>1</x:v>
      </x:c>
      <x:c r="AA2325" s="40" t="n">
        <x:v>0.9971167707832773</x:v>
      </x:c>
      <x:c r="AB2325" s="31" t="n">
        <x:v>0.13499691775057</x:v>
      </x:c>
      <x:c r="AC2325" s="31" t="n">
        <x:v>4</x:v>
      </x:c>
      <x:c r="AD2325" s="44" t="b">
        <x:v>1</x:v>
      </x:c>
    </x:row>
    <x:row r="2326">
      <x:c r="A2326" s="31" t="str">
        <x:v>36085031901</x:v>
      </x:c>
      <x:c r="B2326" s="31" t="str">
        <x:v>Staten Island</x:v>
      </x:c>
      <x:c r="C2326" s="31" t="str">
        <x:v>031901</x:v>
      </x:c>
      <x:c r="D2326" s="31" t="str">
        <x:v>SI0107</x:v>
      </x:c>
      <x:c r="E2326" s="31" t="str">
        <x:v>Mariner's Harbor-Arlington-Graniteville</x:v>
      </x:c>
      <x:c r="F2326" s="31" t="n">
        <x:v>0.14807772827637167</x:v>
      </x:c>
      <x:c r="G2326" s="31" t="n">
        <x:v>40.63025958904973</x:v>
      </x:c>
      <x:c r="H2326" s="31" t="n">
        <x:v>-74.16332706757785</x:v>
      </x:c>
      <x:c r="I2326" s="31" t="n">
        <x:v>3262</x:v>
      </x:c>
      <x:c r="J2326" s="31" t="n">
        <x:v>22028.97112192197</x:v>
      </x:c>
      <x:c r="K2326" s="31"/>
      <x:c r="L2326" s="40"/>
      <x:c r="M2326" s="40"/>
      <x:c r="N2326" s="31" t="n">
        <x:v>333</x:v>
      </x:c>
      <x:c r="O2326" s="31" t="n">
        <x:v>1093</x:v>
      </x:c>
      <x:c r="P2326" s="31" t="n">
        <x:v>4.2021225983531565</x:v>
      </x:c>
      <x:c r="Q2326" s="40" t="n">
        <x:v>0</x:v>
      </x:c>
      <x:c r="R2326" s="40" t="n">
        <x:v>0.565416285452882</x:v>
      </x:c>
      <x:c r="S2326" s="40" t="n">
        <x:v>0.6395242451967064</x:v>
      </x:c>
      <x:c r="T2326" s="31" t="n">
        <x:v>45.56657914006422</x:v>
      </x:c>
      <x:c r="U2326" s="31" t="n">
        <x:v>63.52821499</x:v>
      </x:c>
      <x:c r="V2326" s="31" t="n">
        <x:v>12</x:v>
      </x:c>
      <x:c r="W2326" s="31" t="n">
        <x:v>3.678724708767627</x:v>
      </x:c>
      <x:c r="X2326" s="31" t="n">
        <x:v>3</x:v>
      </x:c>
      <x:c r="Y2326" s="40" t="n">
        <x:v>0</x:v>
      </x:c>
      <x:c r="Z2326" s="40" t="n">
        <x:v>1</x:v>
      </x:c>
      <x:c r="AA2326" s="40" t="n">
        <x:v>0.9972552607502287</x:v>
      </x:c>
      <x:c r="AB2326" s="31" t="n">
        <x:v>0.15712061140571462</x:v>
      </x:c>
      <x:c r="AC2326" s="31" t="n">
        <x:v>4</x:v>
      </x:c>
      <x:c r="AD2326" s="44" t="b">
        <x:v>1</x:v>
      </x:c>
    </x:row>
    <x:row r="2327">
      <x:c r="A2327" s="31" t="str">
        <x:v>36085031902</x:v>
      </x:c>
      <x:c r="B2327" s="31" t="str">
        <x:v>Staten Island</x:v>
      </x:c>
      <x:c r="C2327" s="31" t="str">
        <x:v>031902</x:v>
      </x:c>
      <x:c r="D2327" s="31" t="str">
        <x:v>SI0107</x:v>
      </x:c>
      <x:c r="E2327" s="31" t="str">
        <x:v>Mariner's Harbor-Arlington-Graniteville</x:v>
      </x:c>
      <x:c r="F2327" s="31" t="n">
        <x:v>0.2517882920619548</x:v>
      </x:c>
      <x:c r="G2327" s="31" t="n">
        <x:v>40.63785142062061</x:v>
      </x:c>
      <x:c r="H2327" s="31" t="n">
        <x:v>-74.1657312462228</x:v>
      </x:c>
      <x:c r="I2327" s="31" t="n">
        <x:v>5500</x:v>
      </x:c>
      <x:c r="J2327" s="31" t="n">
        <x:v>21843.747995425758</x:v>
      </x:c>
      <x:c r="K2327" s="31"/>
      <x:c r="L2327" s="40"/>
      <x:c r="M2327" s="40"/>
      <x:c r="N2327" s="31" t="n">
        <x:v>813</x:v>
      </x:c>
      <x:c r="O2327" s="31" t="n">
        <x:v>1761</x:v>
      </x:c>
      <x:c r="P2327" s="31" t="n">
        <x:v>5.412636674259681</x:v>
      </x:c>
      <x:c r="Q2327" s="40" t="n">
        <x:v>0.3043725156161272</x:v>
      </x:c>
      <x:c r="R2327" s="40" t="n">
        <x:v>0.03747870528109029</x:v>
      </x:c>
      <x:c r="S2327" s="40" t="n">
        <x:v>0.3435547984099943</x:v>
      </x:c>
      <x:c r="T2327" s="31" t="n">
        <x:v>55.332786769919814</x:v>
      </x:c>
      <x:c r="U2327" s="31" t="n">
        <x:v>118.82</x:v>
      </x:c>
      <x:c r="V2327" s="31" t="n">
        <x:v>8</x:v>
      </x:c>
      <x:c r="W2327" s="31" t="n">
        <x:v>1.4545454545454544</x:v>
      </x:c>
      <x:c r="X2327" s="31" t="n">
        <x:v>3</x:v>
      </x:c>
      <x:c r="Y2327" s="40" t="n">
        <x:v>0</x:v>
      </x:c>
      <x:c r="Z2327" s="40" t="n">
        <x:v>1</x:v>
      </x:c>
      <x:c r="AA2327" s="40" t="n">
        <x:v>0.9914821124361158</x:v>
      </x:c>
      <x:c r="AB2327" s="31" t="n">
        <x:v>0.22312402629039477</x:v>
      </x:c>
      <x:c r="AC2327" s="31" t="n">
        <x:v>2</x:v>
      </x:c>
      <x:c r="AD2327" s="44" t="b">
        <x:v>1</x:v>
      </x:c>
    </x:row>
    <x:row r="2328">
      <x:c r="A2328" s="31" t="str">
        <x:v>36085032300</x:v>
      </x:c>
      <x:c r="B2328" s="31" t="str">
        <x:v>Staten Island</x:v>
      </x:c>
      <x:c r="C2328" s="31" t="str">
        <x:v>032300</x:v>
      </x:c>
      <x:c r="D2328" s="31" t="str">
        <x:v>SI0107</x:v>
      </x:c>
      <x:c r="E2328" s="31" t="str">
        <x:v>Mariner's Harbor-Arlington-Graniteville</x:v>
      </x:c>
      <x:c r="F2328" s="31" t="n">
        <x:v>1.493069698634068</x:v>
      </x:c>
      <x:c r="G2328" s="31" t="n">
        <x:v>40.633980455573145</x:v>
      </x:c>
      <x:c r="H2328" s="31" t="n">
        <x:v>-74.17872892095961</x:v>
      </x:c>
      <x:c r="I2328" s="31" t="n">
        <x:v>1233</x:v>
      </x:c>
      <x:c r="J2328" s="31" t="n">
        <x:v>825.8154332165523</x:v>
      </x:c>
      <x:c r="K2328" s="31"/>
      <x:c r="L2328" s="40"/>
      <x:c r="M2328" s="40"/>
      <x:c r="N2328" s="31" t="n">
        <x:v>142</x:v>
      </x:c>
      <x:c r="O2328" s="31" t="n">
        <x:v>468</x:v>
      </x:c>
      <x:c r="P2328" s="31" t="n">
        <x:v>1.6287425149700598</x:v>
      </x:c>
      <x:c r="Q2328" s="40" t="n">
        <x:v>0</x:v>
      </x:c>
      <x:c r="R2328" s="40" t="n">
        <x:v>0.002136752136752137</x:v>
      </x:c>
      <x:c r="S2328" s="40" t="n">
        <x:v>0.5641025641025641</x:v>
      </x:c>
      <x:c r="T2328" s="31" t="n">
        <x:v>26.368926337456138</x:v>
      </x:c>
      <x:c r="U2328" s="31" t="n">
        <x:v>35</x:v>
      </x:c>
      <x:c r="V2328" s="31" t="n">
        <x:v>0</x:v>
      </x:c>
      <x:c r="W2328" s="31" t="n">
        <x:v>0</x:v>
      </x:c>
      <x:c r="X2328" s="31" t="n">
        <x:v>3</x:v>
      </x:c>
      <x:c r="Y2328" s="40" t="n">
        <x:v>0</x:v>
      </x:c>
      <x:c r="Z2328" s="40" t="n">
        <x:v>1</x:v>
      </x:c>
      <x:c r="AA2328" s="40" t="n">
        <x:v>0.9743589743589743</x:v>
      </x:c>
      <x:c r="AB2328" s="31" t="n">
        <x:v>0.6389016422422168</x:v>
      </x:c>
      <x:c r="AC2328" s="31" t="n">
        <x:v>3</x:v>
      </x:c>
      <x:c r="AD2328" s="44" t="b">
        <x:v>1</x:v>
      </x:c>
    </x:row>
    <x:row r="2329">
      <x:c r="A2329" s="31" t="str">
        <x:v>36085990100</x:v>
      </x:c>
      <x:c r="B2329" s="31" t="str">
        <x:v>Staten Island</x:v>
      </x:c>
      <x:c r="C2329" s="31" t="str">
        <x:v>990100</x:v>
      </x:c>
      <x:c r="D2329" s="31" t="str">
        <x:v>SI9591</x:v>
      </x:c>
      <x:c r="E2329" s="31" t="str">
        <x:v>Hoffman &amp; Swinburne Islands</x:v>
      </x:c>
      <x:c r="F2329" s="31" t="n">
        <x:v>0.022802670439587638</x:v>
      </x:c>
      <x:c r="G2329" s="31" t="n">
        <x:v>40.576239743758876</x:v>
      </x:c>
      <x:c r="H2329" s="31" t="n">
        <x:v>-74.05314061806087</x:v>
      </x:c>
      <x:c r="I2329" s="31" t="n">
        <x:v>0</x:v>
      </x:c>
      <x:c r="J2329" s="31" t="n">
        <x:v>0</x:v>
      </x:c>
      <x:c r="K2329" s="31"/>
      <x:c r="L2329" s="40"/>
      <x:c r="M2329" s="40"/>
      <x:c r="N2329" s="31" t="n">
        <x:v>0</x:v>
      </x:c>
      <x:c r="O2329" s="31"/>
      <x:c r="P2329" s="31"/>
      <x:c r="Q2329" s="40"/>
      <x:c r="R2329" s="40"/>
      <x:c r="S2329" s="40"/>
      <x:c r="T2329" s="31"/>
      <x:c r="U2329" s="31"/>
      <x:c r="V2329" s="31" t="n">
        <x:v>0</x:v>
      </x:c>
      <x:c r="W2329" s="31"/>
      <x:c r="X2329" s="31"/>
      <x:c r="Y2329" s="40"/>
      <x:c r="Z2329" s="40"/>
      <x:c r="AA2329" s="40"/>
      <x:c r="AB2329" s="31" t="n">
        <x:v>1.4134321725117405</x:v>
      </x:c>
      <x:c r="AC2329" s="31" t="n">
        <x:v>0</x:v>
      </x:c>
      <x:c r="AD2329" s="44" t="b"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bdc5337f3624e4c"/>
  </x:tableParts>
</x:worksheet>
</file>

<file path=xl/worksheets/sheet11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23.889999389648438" hidden="0" customWidth="1"/>
    <x:col min="3" max="3" width="17.440000534057617" hidden="0" customWidth="1"/>
    <x:col min="4" max="4" width="33.33000183105469" hidden="0" customWidth="1"/>
  </x:cols>
  <x:sheetData>
    <x:row r="1" ht="30" customHeight="1">
      <x:c r="A1" s="45" t="str">
        <x:v>10 Sensitivity</x:v>
      </x:c>
    </x:row>
    <x:row r="2" ht="34" customHeight="1">
      <x:c r="A2" s="21" t="str">
        <x:v>Pre-outcome threshold sensitivity only. These alternatives cannot replace the frozen selection after A2/S3 outcomes are observed.</x:v>
      </x:c>
    </x:row>
    <x:row r="4" ht="34" customHeight="1">
      <x:c r="A4" s="24" t="str">
        <x:v>Archetype</x:v>
      </x:c>
      <x:c r="B4" s="24" t="str">
        <x:v>Alternative setting</x:v>
      </x:c>
      <x:c r="C4" s="24" t="str">
        <x:v>Eligible candidates</x:v>
      </x:c>
      <x:c r="D4" s="24" t="str">
        <x:v>Frozen references satisfying alternative</x:v>
      </x:c>
    </x:row>
    <x:row r="5">
      <x:c r="A5" s="32" t="str">
        <x:v>V1</x:v>
      </x:c>
      <x:c r="B5" s="32" t="str">
        <x:v>floor/elevator P70; density P75</x:v>
      </x:c>
      <x:c r="C5" s="32" t="n">
        <x:v>104</x:v>
      </x:c>
      <x:c r="D5" s="32" t="n">
        <x:v>4</x:v>
      </x:c>
    </x:row>
    <x:row r="6">
      <x:c r="A6" s="32" t="str">
        <x:v>V1</x:v>
      </x:c>
      <x:c r="B6" s="32" t="str">
        <x:v>floor/elevator P75; density P75</x:v>
      </x:c>
      <x:c r="C6" s="32" t="n">
        <x:v>91</x:v>
      </x:c>
      <x:c r="D6" s="32" t="n">
        <x:v>4</x:v>
      </x:c>
    </x:row>
    <x:row r="7">
      <x:c r="A7" s="32" t="str">
        <x:v>V1</x:v>
      </x:c>
      <x:c r="B7" s="32" t="str">
        <x:v>floor/elevator P80; density P75</x:v>
      </x:c>
      <x:c r="C7" s="32" t="n">
        <x:v>80</x:v>
      </x:c>
      <x:c r="D7" s="32" t="n">
        <x:v>4</x:v>
      </x:c>
    </x:row>
    <x:row r="8">
      <x:c r="A8" s="32" t="str">
        <x:v>V1</x:v>
      </x:c>
      <x:c r="B8" s="32" t="str">
        <x:v>floor/elevator P85; density P75</x:v>
      </x:c>
      <x:c r="C8" s="32" t="n">
        <x:v>65</x:v>
      </x:c>
      <x:c r="D8" s="32" t="n">
        <x:v>2</x:v>
      </x:c>
    </x:row>
    <x:row r="9">
      <x:c r="A9" s="32" t="str">
        <x:v>V1</x:v>
      </x:c>
      <x:c r="B9" s="32" t="str">
        <x:v>floor/elevator P90; density P75</x:v>
      </x:c>
      <x:c r="C9" s="32" t="n">
        <x:v>41</x:v>
      </x:c>
      <x:c r="D9" s="32" t="n">
        <x:v>2</x:v>
      </x:c>
    </x:row>
    <x:row r="10">
      <x:c r="A10" s="32" t="str">
        <x:v>V2</x:v>
      </x:c>
      <x:c r="B10" s="32" t="str">
        <x:v>HVI P65; mid-rise share ≥40%</x:v>
      </x:c>
      <x:c r="C10" s="32" t="n">
        <x:v>219</x:v>
      </x:c>
      <x:c r="D10" s="32" t="n">
        <x:v>4</x:v>
      </x:c>
    </x:row>
    <x:row r="11">
      <x:c r="A11" s="32" t="str">
        <x:v>V2</x:v>
      </x:c>
      <x:c r="B11" s="32" t="str">
        <x:v>HVI P70; mid-rise share ≥45%</x:v>
      </x:c>
      <x:c r="C11" s="32" t="n">
        <x:v>192</x:v>
      </x:c>
      <x:c r="D11" s="32" t="n">
        <x:v>4</x:v>
      </x:c>
    </x:row>
    <x:row r="12">
      <x:c r="A12" s="32" t="str">
        <x:v>V2</x:v>
      </x:c>
      <x:c r="B12" s="32" t="str">
        <x:v>HVI P75; mid-rise share ≥50%</x:v>
      </x:c>
      <x:c r="C12" s="32" t="n">
        <x:v>170</x:v>
      </x:c>
      <x:c r="D12" s="32" t="n">
        <x:v>4</x:v>
      </x:c>
    </x:row>
    <x:row r="13">
      <x:c r="A13" s="32" t="str">
        <x:v>V2</x:v>
      </x:c>
      <x:c r="B13" s="32" t="str">
        <x:v>HVI P80; mid-rise share ≥55%</x:v>
      </x:c>
      <x:c r="C13" s="32" t="n">
        <x:v>146</x:v>
      </x:c>
      <x:c r="D13" s="32" t="n">
        <x:v>3</x:v>
      </x:c>
    </x:row>
    <x:row r="14">
      <x:c r="A14" s="32" t="str">
        <x:v>V2</x:v>
      </x:c>
      <x:c r="B14" s="32" t="str">
        <x:v>HVI P85; mid-rise share ≥60%</x:v>
      </x:c>
      <x:c r="C14" s="32" t="n">
        <x:v>126</x:v>
      </x:c>
      <x:c r="D14" s="32" t="n">
        <x:v>3</x:v>
      </x:c>
    </x:row>
    <x:row r="15">
      <x:c r="A15" s="32" t="str">
        <x:v>V3</x:v>
      </x:c>
      <x:c r="B15" s="32" t="str">
        <x:v>campus P65; elevator P50; access P50</x:v>
      </x:c>
      <x:c r="C15" s="32" t="n">
        <x:v>43</x:v>
      </x:c>
      <x:c r="D15" s="32" t="n">
        <x:v>4</x:v>
      </x:c>
    </x:row>
    <x:row r="16">
      <x:c r="A16" s="32" t="str">
        <x:v>V3</x:v>
      </x:c>
      <x:c r="B16" s="32" t="str">
        <x:v>campus P70; elevator P55; access P50</x:v>
      </x:c>
      <x:c r="C16" s="32" t="n">
        <x:v>34</x:v>
      </x:c>
      <x:c r="D16" s="32" t="n">
        <x:v>4</x:v>
      </x:c>
    </x:row>
    <x:row r="17">
      <x:c r="A17" s="32" t="str">
        <x:v>V3</x:v>
      </x:c>
      <x:c r="B17" s="32" t="str">
        <x:v>campus P75; elevator P60; access P50</x:v>
      </x:c>
      <x:c r="C17" s="32" t="n">
        <x:v>25</x:v>
      </x:c>
      <x:c r="D17" s="32" t="n">
        <x:v>4</x:v>
      </x:c>
    </x:row>
    <x:row r="18">
      <x:c r="A18" s="32" t="str">
        <x:v>V3</x:v>
      </x:c>
      <x:c r="B18" s="32" t="str">
        <x:v>campus P80; elevator P65; access P50</x:v>
      </x:c>
      <x:c r="C18" s="32" t="n">
        <x:v>18</x:v>
      </x:c>
      <x:c r="D18" s="32" t="n">
        <x:v>4</x:v>
      </x:c>
    </x:row>
    <x:row r="19">
      <x:c r="A19" s="32" t="str">
        <x:v>V3</x:v>
      </x:c>
      <x:c r="B19" s="32" t="str">
        <x:v>campus P85; elevator P70; access P50</x:v>
      </x:c>
      <x:c r="C19" s="32" t="n">
        <x:v>11</x:v>
      </x:c>
      <x:c r="D19" s="32" t="n">
        <x:v>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274ee39c1474c3c"/>
  </x:tableParts>
</x:worksheet>
</file>

<file path=xl/worksheets/sheet12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48" hidden="0" customWidth="1"/>
  </x:cols>
  <x:sheetData>
    <x:row r="1" ht="30" customHeight="1">
      <x:c r="A1" s="18" t="str">
        <x:v>11 QA</x:v>
      </x:c>
    </x:row>
    <x:row r="2" ht="34" customHeight="1">
      <x:c r="A2" s="21" t="str">
        <x:v>Formula-backed reconciliation and boundary checks. PASS means the workbook is internally consistent, not that L0 or the NCAC mission gates are closed.</x:v>
      </x:c>
    </x:row>
    <x:row r="4" ht="30" customHeight="1">
      <x:c r="A4" s="24" t="str">
        <x:v>Check</x:v>
      </x:c>
      <x:c r="B4" s="24" t="str">
        <x:v>Actual</x:v>
      </x:c>
      <x:c r="C4" s="24" t="str">
        <x:v>Expected</x:v>
      </x:c>
      <x:c r="D4" s="24" t="str">
        <x:v>Result</x:v>
      </x:c>
      <x:c r="E4" s="24" t="str">
        <x:v>Meaning</x:v>
      </x:c>
    </x:row>
    <x:row r="5">
      <x:c r="A5" s="25" t="str">
        <x:v>Q01 sources</x:v>
      </x:c>
      <x:c r="B5" s="25" t="n">
        <x:f>'01 Control'!B5</x:f>
        <x:v>7</x:v>
      </x:c>
      <x:c r="C5" s="25" t="n">
        <x:f>'01 Control'!C5</x:f>
        <x:v>7</x:v>
      </x:c>
      <x:c r="D5" s="25" t="str">
        <x:f>IF(B5=C5,"PASS","FAIL")</x:f>
        <x:v>PASS</x:v>
      </x:c>
      <x:c r="E5" s="25" t="str">
        <x:v>Frozen source snapshot count</x:v>
      </x:c>
    </x:row>
    <x:row r="6">
      <x:c r="A6" s="25" t="str">
        <x:v>Q02 candidates</x:v>
      </x:c>
      <x:c r="B6" s="25" t="n">
        <x:f>'01 Control'!B6</x:f>
        <x:v>844</x:v>
      </x:c>
      <x:c r="C6" s="25" t="n">
        <x:f>'01 Control'!C6</x:f>
        <x:v>844</x:v>
      </x:c>
      <x:c r="D6" s="25" t="str">
        <x:f>IF(B6=C6,"PASS","FAIL")</x:f>
        <x:v>PASS</x:v>
      </x:c>
      <x:c r="E6" s="25" t="str">
        <x:v>Candidate universe count</x:v>
      </x:c>
    </x:row>
    <x:row r="7">
      <x:c r="A7" s="25" t="str">
        <x:v>Q03 V1 pool</x:v>
      </x:c>
      <x:c r="B7" s="25" t="n">
        <x:f>'01 Control'!B7</x:f>
        <x:v>80</x:v>
      </x:c>
      <x:c r="C7" s="25" t="n">
        <x:f>'01 Control'!C7</x:f>
        <x:v>80</x:v>
      </x:c>
      <x:c r="D7" s="25" t="str">
        <x:f>IF(B7=C7,"PASS","FAIL")</x:f>
        <x:v>PASS</x:v>
      </x:c>
      <x:c r="E7" s="25" t="str">
        <x:v>V1 rule count</x:v>
      </x:c>
    </x:row>
    <x:row r="8">
      <x:c r="A8" s="25" t="str">
        <x:v>Q04 V2 pool</x:v>
      </x:c>
      <x:c r="B8" s="25" t="n">
        <x:f>'01 Control'!B8</x:f>
        <x:v>170</x:v>
      </x:c>
      <x:c r="C8" s="25" t="n">
        <x:f>'01 Control'!C8</x:f>
        <x:v>170</x:v>
      </x:c>
      <x:c r="D8" s="25" t="str">
        <x:f>IF(B8=C8,"PASS","FAIL")</x:f>
        <x:v>PASS</x:v>
      </x:c>
      <x:c r="E8" s="25" t="str">
        <x:v>V2 rule count</x:v>
      </x:c>
    </x:row>
    <x:row r="9">
      <x:c r="A9" s="25" t="str">
        <x:v>Q05 V3 pool</x:v>
      </x:c>
      <x:c r="B9" s="25" t="n">
        <x:f>'01 Control'!B9</x:f>
        <x:v>25</x:v>
      </x:c>
      <x:c r="C9" s="25" t="n">
        <x:f>'01 Control'!C9</x:f>
        <x:v>25</x:v>
      </x:c>
      <x:c r="D9" s="25" t="str">
        <x:f>IF(B9=C9,"PASS","FAIL")</x:f>
        <x:v>PASS</x:v>
      </x:c>
      <x:c r="E9" s="25" t="str">
        <x:v>V3 rule count</x:v>
      </x:c>
    </x:row>
    <x:row r="10">
      <x:c r="A10" s="25" t="str">
        <x:v>Q06 references</x:v>
      </x:c>
      <x:c r="B10" s="25" t="n">
        <x:f>'01 Control'!B10</x:f>
        <x:v>12</x:v>
      </x:c>
      <x:c r="C10" s="25" t="n">
        <x:f>'01 Control'!C10</x:f>
        <x:v>12</x:v>
      </x:c>
      <x:c r="D10" s="25" t="str">
        <x:f>IF(B10=C10,"PASS","FAIL")</x:f>
        <x:v>PASS</x:v>
      </x:c>
      <x:c r="E10" s="25" t="str">
        <x:v>Twelve disclosed references</x:v>
      </x:c>
    </x:row>
    <x:row r="11">
      <x:c r="A11" s="25" t="str">
        <x:v>Q07 reference tracts</x:v>
      </x:c>
      <x:c r="B11" s="25" t="n">
        <x:f>'01 Control'!B11</x:f>
        <x:v>87</x:v>
      </x:c>
      <x:c r="C11" s="25" t="n">
        <x:f>'01 Control'!C11</x:f>
        <x:v>87</x:v>
      </x:c>
      <x:c r="D11" s="25" t="str">
        <x:f>IF(B11=C11,"PASS","FAIL")</x:f>
        <x:v>PASS</x:v>
      </x:c>
      <x:c r="E11" s="25" t="str">
        <x:v>Composition ledger rows</x:v>
      </x:c>
    </x:row>
    <x:row r="12">
      <x:c r="A12" s="25" t="str">
        <x:v>Q08 holdouts</x:v>
      </x:c>
      <x:c r="B12" s="25" t="n">
        <x:f>'01 Control'!B12</x:f>
        <x:v>3</x:v>
      </x:c>
      <x:c r="C12" s="25" t="n">
        <x:f>'01 Control'!C12</x:f>
        <x:v>3</x:v>
      </x:c>
      <x:c r="D12" s="25" t="str">
        <x:f>IF(B12=C12,"PASS","FAIL")</x:f>
        <x:v>PASS</x:v>
      </x:c>
      <x:c r="E12" s="25" t="str">
        <x:v>Three commitment hashes</x:v>
      </x:c>
    </x:row>
    <x:row r="13">
      <x:c r="A13" s="25" t="str">
        <x:v>Q09 outcome columns</x:v>
      </x:c>
      <x:c r="B13" s="25" t="n">
        <x:f>'01 Control'!B13</x:f>
        <x:v>0</x:v>
      </x:c>
      <x:c r="C13" s="25" t="n">
        <x:f>'01 Control'!C13</x:f>
        <x:v>0</x:v>
      </x:c>
      <x:c r="D13" s="25" t="str">
        <x:f>IF(B13=C13,"PASS","FAIL")</x:f>
        <x:v>PASS</x:v>
      </x:c>
      <x:c r="E13" s="25" t="str">
        <x:v>No outcome contamination</x:v>
      </x:c>
    </x:row>
    <x:row r="14">
      <x:c r="A14" s="25" t="str">
        <x:v>Q10 rendering authorization</x:v>
      </x:c>
      <x:c r="B14" s="25" t="n">
        <x:f>'01 Control'!B14</x:f>
        <x:v>0</x:v>
      </x:c>
      <x:c r="C14" s="25" t="n">
        <x:f>'01 Control'!C14</x:f>
        <x:v>0</x:v>
      </x:c>
      <x:c r="D14" s="25" t="str">
        <x:f>IF(B14=C14,"PASS","FAIL")</x:f>
        <x:v>PASS</x:v>
      </x:c>
      <x:c r="E14" s="25" t="str">
        <x:v>No rendering authorization</x:v>
      </x:c>
    </x:row>
    <x:row r="15">
      <x:c r="A15" s="25" t="str">
        <x:v>Q11 salted custody</x:v>
      </x:c>
      <x:c r="B15" s="25" t="n">
        <x:f>'01 Control'!B15</x:f>
        <x:v>0</x:v>
      </x:c>
      <x:c r="C15" s="25" t="n">
        <x:f>'01 Control'!C15</x:f>
        <x:v>0</x:v>
      </x:c>
      <x:c r="D15" s="25" t="str">
        <x:f>IF(B15=C15,"PASS","FAIL")</x:f>
        <x:v>PASS</x:v>
      </x:c>
      <x:c r="E15" s="25" t="str">
        <x:v>Open requirement is expected</x:v>
      </x:c>
    </x:row>
    <x:row r="16">
      <x:c r="A16" s="25" t="str">
        <x:v>Q12 references below 32k</x:v>
      </x:c>
      <x:c r="B16" s="25" t="n">
        <x:f>COUNTIF('05 References'!G5:G16,"&lt;32000")</x:f>
        <x:v>0</x:v>
      </x:c>
      <x:c r="C16" s="25" t="n">
        <x:f>0</x:f>
        <x:v>0</x:v>
      </x:c>
      <x:c r="D16" s="25" t="str">
        <x:f>IF(B16=C16,"PASS","FAIL")</x:f>
        <x:v>PASS</x:v>
      </x:c>
      <x:c r="E16" s="25" t="str">
        <x:v>Population lower bound</x:v>
      </x:c>
    </x:row>
    <x:row r="17">
      <x:c r="A17" s="25" t="str">
        <x:v>Q13 references above 38k</x:v>
      </x:c>
      <x:c r="B17" s="25" t="n">
        <x:f>COUNTIF('05 References'!G5:G16,"&gt;38000")</x:f>
        <x:v>0</x:v>
      </x:c>
      <x:c r="C17" s="25" t="n">
        <x:f>0</x:f>
        <x:v>0</x:v>
      </x:c>
      <x:c r="D17" s="25" t="str">
        <x:f>IF(B17=C17,"PASS","FAIL")</x:f>
        <x:v>PASS</x:v>
      </x:c>
      <x:c r="E17" s="25" t="str">
        <x:v>Population upper bound</x:v>
      </x:c>
    </x:row>
    <x:row r="18">
      <x:c r="A18" s="25" t="str">
        <x:v>Q14 disclosed holdout GEOIDs</x:v>
      </x:c>
      <x:c r="B18" s="25" t="n">
        <x:f>COUNTIF('07 Holdouts'!G5:G7,"*360*")</x:f>
        <x:v>0</x:v>
      </x:c>
      <x:c r="C18" s="25" t="n">
        <x:f>0</x:f>
        <x:v>0</x:v>
      </x:c>
      <x:c r="D18" s="25" t="str">
        <x:f>IF(B18=C18,"PASS","FAIL")</x:f>
        <x:v>PASS</x:v>
      </x:c>
      <x:c r="E18" s="25" t="str">
        <x:v>Workbook does not disclose compositions</x:v>
      </x:c>
    </x:row>
  </x:sheetData>
  <x:mergeCells>
    <x:mergeCell ref="A1:F1"/>
    <x:mergeCell ref="A2:F2"/>
  </x:mergeCells>
  <x:conditionalFormatting sqref="D5:D18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