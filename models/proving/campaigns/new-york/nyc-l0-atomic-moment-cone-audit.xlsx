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f9d3b8afb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1c527eedf94448df"/>
    <x:sheet xmlns:r="http://schemas.openxmlformats.org/officeDocument/2006/relationships" name="01 Registration" sheetId="2" r:id="R62e634ca7f0446c4"/>
    <x:sheet xmlns:r="http://schemas.openxmlformats.org/officeDocument/2006/relationships" name="02 Moment Semantics" sheetId="3" r:id="Rfef212f184c240da"/>
    <x:sheet xmlns:r="http://schemas.openxmlformats.org/officeDocument/2006/relationships" name="03 Metric Authority" sheetId="4" r:id="Re960410eee184002"/>
    <x:sheet xmlns:r="http://schemas.openxmlformats.org/officeDocument/2006/relationships" name="04 Under Five" sheetId="5" r:id="Rc06128671b524592"/>
    <x:sheet xmlns:r="http://schemas.openxmlformats.org/officeDocument/2006/relationships" name="05 Source Validation" sheetId="6" r:id="Rb4c86e03cd904283"/>
    <x:sheet xmlns:r="http://schemas.openxmlformats.org/officeDocument/2006/relationships" name="06 Official Covariance" sheetId="7" r:id="Re03e5f36484d4fad"/>
    <x:sheet xmlns:r="http://schemas.openxmlformats.org/officeDocument/2006/relationships" name="07 Point Support" sheetId="8" r:id="Rd06f89afb3c540c2"/>
    <x:sheet xmlns:r="http://schemas.openxmlformats.org/officeDocument/2006/relationships" name="08 Reconstruction" sheetId="9" r:id="R8172e04759664696"/>
    <x:sheet xmlns:r="http://schemas.openxmlformats.org/officeDocument/2006/relationships" name="09 Identification" sheetId="10" r:id="R0ff00079572c4628"/>
    <x:sheet xmlns:r="http://schemas.openxmlformats.org/officeDocument/2006/relationships" name="10 Moment Boundary" sheetId="11" r:id="Ra97689b76be14f09"/>
    <x:sheet xmlns:r="http://schemas.openxmlformats.org/officeDocument/2006/relationships" name="11 Exact Conflicts" sheetId="12" r:id="R3608f4424315448f"/>
    <x:sheet xmlns:r="http://schemas.openxmlformats.org/officeDocument/2006/relationships" name="12 Successor" sheetId="13" r:id="R5a5e6b73d61546f9"/>
    <x:sheet xmlns:r="http://schemas.openxmlformats.org/officeDocument/2006/relationships" name="13 Sources and Hashes" sheetId="14" r:id="R4a3ba1b3d7dc4b2b"/>
    <x:sheet xmlns:r="http://schemas.openxmlformats.org/officeDocument/2006/relationships" name="14 Empty Outputs" sheetId="15" r:id="R713b18fd0f334102"/>
    <x:sheet xmlns:r="http://schemas.openxmlformats.org/officeDocument/2006/relationships" name="15 Integrity" sheetId="16" r:id="R0cb8d86f9355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#,##0.0"/>
    <x:numFmt numFmtId="202" formatCode="0.000000"/>
    <x:numFmt numFmtId="203" formatCode="#,##0.000"/>
    <x:numFmt numFmtId="204" formatCode="0.0000"/>
    <x:numFmt numFmtId="205" formatCode="#,##0.000000"/>
    <x:numFmt numFmtId="206" formatCode="0.000"/>
  </x:numFmts>
  <x:fonts count="9">
    <x:font>
      <x:sz val="11"/>
      <x:name val="Carlito"/>
    </x:font>
    <x:font>
      <x:b/>
      <x:sz val="16"/>
      <x:color rgb="FF1F2933"/>
      <x:name val="Arial"/>
    </x:font>
    <x:font>
      <x:i/>
      <x:sz val="9"/>
      <x:color rgb="FF65737E"/>
      <x:name val="Arial"/>
    </x:font>
    <x:font>
      <x:b/>
      <x:sz val="9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3"/>
      <x:name val="Arial"/>
    </x:font>
    <x:font>
      <x:sz val="11"/>
      <x:name val="Arial"/>
    </x:font>
    <x:font>
      <x:b/>
      <x:sz val="11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CE8E6"/>
      </x:patternFill>
    </x:fill>
    <x:fill>
      <x:patternFill patternType="solid">
        <x:fgColor rgb="FFE2F0D9"/>
      </x:patternFill>
    </x:fill>
  </x:fills>
  <x:borders count="8">
    <x:border/>
    <x:border>
      <x:bottom style="thin">
        <x:color rgb="FFB8C6D1"/>
      </x:bottom>
    </x:border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0" fontId="6" fillId="0" borderId="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/>
    </x:xf>
    <x:xf numFmtId="201" fontId="6" fillId="0" borderId="6" xfId="0" applyNumberFormat="1" applyFont="1" applyFill="1" applyBorder="1" applyAlignment="1">
      <x:alignment vertical="top"/>
    </x:xf>
    <x:xf numFmtId="201" fontId="6" fillId="0" borderId="7" xfId="0" applyNumberFormat="1" applyFont="1" applyFill="1" applyBorder="1" applyAlignment="1">
      <x:alignment vertical="top"/>
    </x:xf>
    <x:xf numFmtId="202" fontId="6" fillId="0" borderId="5" xfId="0" applyNumberFormat="1" applyFont="1" applyFill="1" applyBorder="1" applyAlignment="1">
      <x:alignment vertical="top"/>
    </x:xf>
    <x:xf numFmtId="202" fontId="6" fillId="0" borderId="6" xfId="0" applyNumberFormat="1" applyFont="1" applyFill="1" applyBorder="1" applyAlignment="1">
      <x:alignment vertical="top"/>
    </x:xf>
    <x:xf numFmtId="202" fontId="6" fillId="0" borderId="7" xfId="0" applyNumberFormat="1" applyFont="1" applyFill="1" applyBorder="1" applyAlignment="1">
      <x:alignment vertical="top"/>
    </x:xf>
    <x:xf numFmtId="203" fontId="6" fillId="0" borderId="5" xfId="0" applyNumberFormat="1" applyFont="1" applyFill="1" applyBorder="1" applyAlignment="1">
      <x:alignment vertical="top"/>
    </x:xf>
    <x:xf numFmtId="203" fontId="6" fillId="0" borderId="6" xfId="0" applyNumberFormat="1" applyFont="1" applyFill="1" applyBorder="1" applyAlignment="1">
      <x:alignment vertical="top"/>
    </x:xf>
    <x:xf numFmtId="203" fontId="6" fillId="0" borderId="7" xfId="0" applyNumberFormat="1" applyFont="1" applyFill="1" applyBorder="1" applyAlignment="1">
      <x:alignment vertical="top"/>
    </x:xf>
    <x:xf numFmtId="204" fontId="6" fillId="0" borderId="5" xfId="0" applyNumberFormat="1" applyFont="1" applyFill="1" applyBorder="1" applyAlignment="1">
      <x:alignment vertical="top"/>
    </x:xf>
    <x:xf numFmtId="204" fontId="6" fillId="0" borderId="6" xfId="0" applyNumberFormat="1" applyFont="1" applyFill="1" applyBorder="1" applyAlignment="1">
      <x:alignment vertical="top"/>
    </x:xf>
    <x:xf numFmtId="204" fontId="6" fillId="0" borderId="7" xfId="0" applyNumberFormat="1" applyFont="1" applyFill="1" applyBorder="1" applyAlignment="1">
      <x:alignment vertical="top"/>
    </x:xf>
    <x:xf numFmtId="205" fontId="6" fillId="0" borderId="5" xfId="0" applyNumberFormat="1" applyFont="1" applyFill="1" applyBorder="1" applyAlignment="1">
      <x:alignment vertical="top"/>
    </x:xf>
    <x:xf numFmtId="205" fontId="6" fillId="0" borderId="6" xfId="0" applyNumberFormat="1" applyFont="1" applyFill="1" applyBorder="1" applyAlignment="1">
      <x:alignment vertical="top"/>
    </x:xf>
    <x:xf numFmtId="205" fontId="6" fillId="0" borderId="7" xfId="0" applyNumberFormat="1" applyFont="1" applyFill="1" applyBorder="1" applyAlignment="1">
      <x:alignment vertical="top"/>
    </x:xf>
    <x:xf numFmtId="206" fontId="6" fillId="0" borderId="5" xfId="0" applyNumberFormat="1" applyFont="1" applyFill="1" applyBorder="1" applyAlignment="1">
      <x:alignment vertical="top"/>
    </x:xf>
    <x:xf numFmtId="206" fontId="6" fillId="0" borderId="6" xfId="0" applyNumberFormat="1" applyFont="1" applyFill="1" applyBorder="1" applyAlignment="1">
      <x:alignment vertical="top"/>
    </x:xf>
    <x:xf numFmtId="206" fontId="6" fillId="0" borderId="7" xfId="0" applyNumberFormat="1" applyFont="1" applyFill="1" applyBorder="1" applyAlignment="1">
      <x:alignment vertical="top"/>
    </x:xf>
    <x:xf numFmtId="0" fontId="6" fillId="5" borderId="5" xfId="0" applyNumberFormat="1" applyFont="1" applyFill="1" applyBorder="1" applyAlignment="1">
      <x:alignment vertical="top"/>
    </x:xf>
    <x:xf numFmtId="200" fontId="6" fillId="5" borderId="5" xfId="0" applyNumberFormat="1" applyFont="1" applyFill="1" applyBorder="1" applyAlignment="1">
      <x:alignment vertical="top"/>
    </x:xf>
    <x:xf numFmtId="203" fontId="6" fillId="5" borderId="5" xfId="0" applyNumberFormat="1" applyFont="1" applyFill="1" applyBorder="1" applyAlignment="1">
      <x:alignment vertical="top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/>
    </x:xf>
    <x:xf numFmtId="200" fontId="6" fillId="5" borderId="6" xfId="0" applyNumberFormat="1" applyFont="1" applyFill="1" applyBorder="1" applyAlignment="1">
      <x:alignment vertical="top"/>
    </x:xf>
    <x:xf numFmtId="203" fontId="6" fillId="5" borderId="6" xfId="0" applyNumberFormat="1" applyFont="1" applyFill="1" applyBorder="1" applyAlignment="1">
      <x:alignment vertical="top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/>
    </x:xf>
    <x:xf numFmtId="200" fontId="6" fillId="5" borderId="7" xfId="0" applyNumberFormat="1" applyFont="1" applyFill="1" applyBorder="1" applyAlignment="1">
      <x:alignment vertical="top"/>
    </x:xf>
    <x:xf numFmtId="203" fontId="6" fillId="5" borderId="7" xfId="0" applyNumberFormat="1" applyFont="1" applyFill="1" applyBorder="1" applyAlignment="1">
      <x:alignment vertical="top"/>
    </x:xf>
    <x:xf numFmtId="0" fontId="6" fillId="5" borderId="7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/>
    </x:xf>
    <x:xf numFmtId="0" fontId="6" fillId="6" borderId="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1005a7b8a4bc8" /><Relationship Type="http://schemas.openxmlformats.org/officeDocument/2006/relationships/theme" Target="/xl/theme/theme1.xml" Id="R26ca01b8585543c6" /><Relationship Type="http://schemas.openxmlformats.org/officeDocument/2006/relationships/sharedStrings" Target="/xl/sharedStrings.xml" Id="R69c2897ef7b342a1" /><Relationship Type="http://schemas.openxmlformats.org/officeDocument/2006/relationships/worksheet" Target="/xl/worksheets/sheet1.xml" Id="R1c527eedf94448df" /><Relationship Type="http://schemas.openxmlformats.org/officeDocument/2006/relationships/worksheet" Target="/xl/worksheets/sheet2.xml" Id="R62e634ca7f0446c4" /><Relationship Type="http://schemas.openxmlformats.org/officeDocument/2006/relationships/worksheet" Target="/xl/worksheets/sheet3.xml" Id="Rfef212f184c240da" /><Relationship Type="http://schemas.openxmlformats.org/officeDocument/2006/relationships/worksheet" Target="/xl/worksheets/sheet4.xml" Id="Re960410eee184002" /><Relationship Type="http://schemas.openxmlformats.org/officeDocument/2006/relationships/worksheet" Target="/xl/worksheets/sheet5.xml" Id="Rc06128671b524592" /><Relationship Type="http://schemas.openxmlformats.org/officeDocument/2006/relationships/worksheet" Target="/xl/worksheets/sheet6.xml" Id="Rb4c86e03cd904283" /><Relationship Type="http://schemas.openxmlformats.org/officeDocument/2006/relationships/worksheet" Target="/xl/worksheets/sheet7.xml" Id="Re03e5f36484d4fad" /><Relationship Type="http://schemas.openxmlformats.org/officeDocument/2006/relationships/worksheet" Target="/xl/worksheets/sheet8.xml" Id="Rd06f89afb3c540c2" /><Relationship Type="http://schemas.openxmlformats.org/officeDocument/2006/relationships/worksheet" Target="/xl/worksheets/sheet9.xml" Id="R8172e04759664696" /><Relationship Type="http://schemas.openxmlformats.org/officeDocument/2006/relationships/worksheet" Target="/xl/worksheets/sheet10.xml" Id="R0ff00079572c4628" /><Relationship Type="http://schemas.openxmlformats.org/officeDocument/2006/relationships/worksheet" Target="/xl/worksheets/sheet11.xml" Id="Ra97689b76be14f09" /><Relationship Type="http://schemas.openxmlformats.org/officeDocument/2006/relationships/worksheet" Target="/xl/worksheets/sheet12.xml" Id="R3608f4424315448f" /><Relationship Type="http://schemas.openxmlformats.org/officeDocument/2006/relationships/worksheet" Target="/xl/worksheets/sheet13.xml" Id="R5a5e6b73d61546f9" /><Relationship Type="http://schemas.openxmlformats.org/officeDocument/2006/relationships/worksheet" Target="/xl/worksheets/sheet14.xml" Id="R4a3ba1b3d7dc4b2b" /><Relationship Type="http://schemas.openxmlformats.org/officeDocument/2006/relationships/worksheet" Target="/xl/worksheets/sheet15.xml" Id="R713b18fd0f334102" /><Relationship Type="http://schemas.openxmlformats.org/officeDocument/2006/relationships/worksheet" Target="/xl/worksheets/sheet16.xml" Id="R0cb8d86f935542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8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 t="str">
        <x:v>Decision</x:v>
      </x:c>
      <x:c r="B1" s="29"/>
      <x:c r="C1" s="29"/>
      <x:c r="D1" s="29"/>
      <x:c r="E1" s="29"/>
      <x:c r="F1" s="29"/>
      <x:c r="G1" s="29"/>
      <x:c r="H1" s="29"/>
    </x:row>
    <x:row r="2">
      <x:c r="A2" s="2" t="str">
        <x:v>Atomic moment-cone audit v3B1A; no target ensemble or downstream civil-state output is admitted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"/>
    </x:row>
    <x:row r="5">
      <x:c r="A5" s="6" t="str">
        <x:v>Decision</x:v>
      </x:c>
      <x:c r="B5" s="7"/>
      <x:c r="C5" s="7"/>
      <x:c r="D5" s="7"/>
      <x:c r="E5" s="7"/>
      <x:c r="F5" s="7"/>
      <x:c r="G5" s="7"/>
      <x:c r="H5" s="8"/>
    </x:row>
    <x:row r="6">
      <x:c r="A6" s="9" t="str">
        <x:v>Exact moment cloning is mathematically inadmissible.</x:v>
      </x:c>
      <x:c r="B6" s="29"/>
      <x:c r="C6" s="29"/>
      <x:c r="D6" s="29"/>
      <x:c r="E6" s="29"/>
      <x:c r="F6" s="29"/>
      <x:c r="G6" s="29"/>
      <x:c r="H6" s="29"/>
    </x:row>
    <x:row r="7">
      <x:c r="A7" s="29"/>
      <x:c r="B7" s="29"/>
      <x:c r="C7" s="29"/>
      <x:c r="D7" s="29"/>
      <x:c r="E7" s="29"/>
      <x:c r="F7" s="29"/>
      <x:c r="G7" s="29"/>
      <x:c r="H7" s="29"/>
    </x:row>
    <x:row r="8">
      <x:c r="A8" s="31" t="str">
        <x:v>Finding</x:v>
      </x:c>
      <x:c r="B8" s="31" t="str">
        <x:v>Seven official margins have a published point estimate of zero and a positive sampling standard error. For any nonnegative state quantity X, E[X] = 0 requires X = 0 almost surely and therefore Var[X] = 0. The ACS variance-replicate covariance describes estimator uncertainty, not variation among true civil states. It must enter a measurement likelihood rather than be cloned as state covariance.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31"/>
      <x:c r="B10" s="31"/>
      <x:c r="C10" s="31"/>
      <x:c r="D10" s="31"/>
      <x:c r="E10" s="31"/>
      <x:c r="F10" s="31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>
      <x:c r="A13" s="29"/>
      <x:c r="B13" s="29"/>
      <x:c r="C13" s="29"/>
      <x:c r="D13" s="29"/>
      <x:c r="E13" s="29"/>
      <x:c r="F13" s="29"/>
      <x:c r="G13" s="29"/>
      <x:c r="H13" s="29"/>
    </x:row>
    <x:row r="14">
      <x:c r="A14" s="29"/>
      <x:c r="B14" s="29"/>
      <x:c r="C14" s="29"/>
      <x:c r="D14" s="29"/>
      <x:c r="E14" s="29"/>
      <x:c r="F14" s="29"/>
      <x:c r="G14" s="29"/>
      <x:c r="H14" s="29"/>
    </x:row>
    <x:row r="15">
      <x:c r="A15" s="6" t="str">
        <x:v>Registered evidence</x:v>
      </x:c>
      <x:c r="B15" s="7"/>
      <x:c r="C15" s="7"/>
      <x:c r="D15" s="7"/>
      <x:c r="E15" s="7"/>
      <x:c r="F15" s="7"/>
      <x:c r="G15" s="7"/>
      <x:c r="H15" s="8"/>
    </x:row>
    <x:row r="16" ht="34" customHeight="1">
      <x:c r="A16" s="17" t="str">
        <x:v>Measure</x:v>
      </x:c>
      <x:c r="B16" s="17" t="str">
        <x:v>Result</x:v>
      </x:c>
      <x:c r="C16" s="17" t="str">
        <x:v>Meaning</x:v>
      </x:c>
      <x:c r="D16" s="29"/>
      <x:c r="E16" s="29"/>
      <x:c r="F16" s="29"/>
      <x:c r="G16" s="29"/>
      <x:c r="H16" s="29"/>
    </x:row>
    <x:row r="17">
      <x:c r="A17" s="20" t="str">
        <x:v>Registered target metrics</x:v>
      </x:c>
      <x:c r="B17" s="23" t="n">
        <x:v>39</x:v>
      </x:c>
      <x:c r="C17" s="20" t="str">
        <x:v>Adds authoritative under-five age detail</x:v>
      </x:c>
      <x:c r="D17" s="29"/>
      <x:c r="E17" s="29"/>
      <x:c r="F17" s="29"/>
      <x:c r="G17" s="29"/>
      <x:c r="H17" s="29"/>
    </x:row>
    <x:row r="18">
      <x:c r="A18" s="21" t="str">
        <x:v>Atomic cells per catchment</x:v>
      </x:c>
      <x:c r="B18" s="24" t="n">
        <x:v>1557</x:v>
      </x:c>
      <x:c r="C18" s="21" t="str">
        <x:v>Lawful nonnegative support</x:v>
      </x:c>
      <x:c r="D18" s="29"/>
      <x:c r="E18" s="29"/>
      <x:c r="F18" s="29"/>
      <x:c r="G18" s="29"/>
      <x:c r="H18" s="29"/>
    </x:row>
    <x:row r="19">
      <x:c r="A19" s="21" t="str">
        <x:v>Aggregation rank</x:v>
      </x:c>
      <x:c r="B19" s="24" t="n">
        <x:v>33</x:v>
      </x:c>
      <x:c r="C19" s="21" t="str">
        <x:v>Independent published directions</x:v>
      </x:c>
      <x:c r="D19" s="29"/>
      <x:c r="E19" s="29"/>
      <x:c r="F19" s="29"/>
      <x:c r="G19" s="29"/>
      <x:c r="H19" s="29"/>
    </x:row>
    <x:row r="20">
      <x:c r="A20" s="21" t="str">
        <x:v>Aggregation nullity</x:v>
      </x:c>
      <x:c r="B20" s="24" t="n">
        <x:v>1524</x:v>
      </x:c>
      <x:c r="C20" s="21" t="str">
        <x:v>Latent directions remain after under-five authority</x:v>
      </x:c>
      <x:c r="D20" s="29"/>
      <x:c r="E20" s="29"/>
      <x:c r="F20" s="29"/>
      <x:c r="G20" s="29"/>
      <x:c r="H20" s="29"/>
    </x:row>
    <x:row r="21">
      <x:c r="A21" s="21" t="str">
        <x:v>Exact point-feasible catchments</x:v>
      </x:c>
      <x:c r="B21" s="24" t="n">
        <x:v>12</x:v>
      </x:c>
      <x:c r="C21" s="21" t="str">
        <x:v>All published point vectors have integer witnesses</x:v>
      </x:c>
      <x:c r="D21" s="29"/>
      <x:c r="E21" s="29"/>
      <x:c r="F21" s="29"/>
      <x:c r="G21" s="29"/>
      <x:c r="H21" s="29"/>
    </x:row>
    <x:row r="22">
      <x:c r="A22" s="21" t="str">
        <x:v>Exact moment conflicts</x:v>
      </x:c>
      <x:c r="B22" s="24" t="n">
        <x:v>7</x:v>
      </x:c>
      <x:c r="C22" s="21" t="str">
        <x:v>Pairs outside the nonnegative moment cone</x:v>
      </x:c>
      <x:c r="D22" s="29"/>
      <x:c r="E22" s="29"/>
      <x:c r="F22" s="29"/>
      <x:c r="G22" s="29"/>
      <x:c r="H22" s="29"/>
    </x:row>
    <x:row r="23">
      <x:c r="A23" s="22" t="str">
        <x:v>Admitted ensemble members</x:v>
      </x:c>
      <x:c r="B23" s="25" t="n">
        <x:v>0</x:v>
      </x:c>
      <x:c r="C23" s="22" t="str">
        <x:v>No stochastic state distribution was generated</x:v>
      </x:c>
      <x:c r="D23" s="29"/>
      <x:c r="E23" s="29"/>
      <x:c r="F23" s="29"/>
      <x:c r="G23" s="29"/>
      <x:c r="H23" s="29"/>
    </x:row>
    <x:row r="24">
      <x:c r="A24" s="29"/>
      <x:c r="B24" s="29"/>
      <x:c r="C24" s="29"/>
      <x:c r="D24" s="29"/>
      <x:c r="E24" s="29"/>
      <x:c r="F24" s="29"/>
      <x:c r="G24" s="29"/>
      <x:c r="H24" s="29"/>
    </x:row>
    <x:row r="25">
      <x:c r="A25" s="29"/>
      <x:c r="B25" s="29"/>
      <x:c r="C25" s="29"/>
      <x:c r="D25" s="29"/>
      <x:c r="E25" s="29"/>
      <x:c r="F25" s="29"/>
      <x:c r="G25" s="29"/>
      <x:c r="H25" s="29"/>
    </x:row>
    <x:row r="26">
      <x:c r="A26" s="6" t="str">
        <x:v>Successor</x:v>
      </x:c>
      <x:c r="B26" s="7"/>
      <x:c r="C26" s="7"/>
      <x:c r="D26" s="7"/>
      <x:c r="E26" s="7"/>
      <x:c r="F26" s="7"/>
      <x:c r="G26" s="7"/>
      <x:c r="H26" s="8"/>
    </x:row>
    <x:row r="27">
      <x:c r="A27" s="32" t="str">
        <x:v>v3C0 must preregister an atomic measurement-error posterior: p(x | ŷ) ∝ p(ŷ | A x, V) p₀(x), with x restricted to lawful nonnegative integer support. Prior sensitivity, boundary treatment, posterior-predictive coverage and nested-tail admission must be frozen before sampling.</x:v>
      </x:c>
      <x:c r="B27" s="32"/>
      <x:c r="C27" s="32"/>
      <x:c r="D27" s="32"/>
      <x:c r="E27" s="32"/>
      <x:c r="F27" s="32"/>
      <x:c r="G27" s="32"/>
      <x:c r="H27" s="32"/>
    </x:row>
    <x:row r="28">
      <x:c r="A28" s="32"/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</x:sheetData>
  <x:mergeCells>
    <x:mergeCell ref="A8:A12"/>
    <x:mergeCell ref="B8:H12"/>
    <x:mergeCell ref="A27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18" hidden="0" customWidth="1"/>
    <x:col min="3" max="3" width="18" hidden="0" customWidth="1"/>
  </x:cols>
  <x:sheetData>
    <x:row r="1">
      <x:c r="A1" s="1" t="str">
        <x:v>Registration</x:v>
      </x:c>
      <x:c r="B1" s="29"/>
      <x:c r="C1" s="29"/>
    </x:row>
    <x:row r="2">
      <x:c r="A2" s="2" t="str">
        <x:v>Identity, parent authorities, stop state and next method</x:v>
      </x:c>
      <x:c r="B2" s="29"/>
      <x:c r="C2" s="29"/>
    </x:row>
    <x:row r="3">
      <x:c r="A3" s="29"/>
      <x:c r="B3" s="29"/>
      <x:c r="C3" s="29"/>
    </x:row>
    <x:row r="4">
      <x:c r="A4" s="30"/>
      <x:c r="B4" s="30"/>
      <x:c r="C4" s="30"/>
      <x:c r="D4" s="3"/>
      <x:c r="E4" s="3"/>
      <x:c r="F4" s="3"/>
      <x:c r="G4" s="3"/>
      <x:c r="H4" s="3"/>
      <x:c r="I4" s="3"/>
    </x:row>
    <x:row r="5">
      <x:c r="A5" s="29"/>
      <x:c r="B5" s="29"/>
      <x:c r="C5" s="29"/>
    </x:row>
    <x:row r="6" ht="34" customHeight="1">
      <x:c r="A6" s="17" t="str">
        <x:v>Field</x:v>
      </x:c>
      <x:c r="B6" s="17" t="str">
        <x:v>Value</x:v>
      </x:c>
      <x:c r="C6" s="29"/>
    </x:row>
    <x:row r="7">
      <x:c r="A7" s="20" t="str">
        <x:v>registration_id</x:v>
      </x:c>
      <x:c r="B7" s="33" t="str">
        <x:v>DF-NYC-L0-PR53-ATOMIC-MOMENT-CONE-v3B1A</x:v>
      </x:c>
      <x:c r="C7" s="29"/>
    </x:row>
    <x:row r="8">
      <x:c r="A8" s="21" t="str">
        <x:v>parent_atomic_basis</x:v>
      </x:c>
      <x:c r="B8" s="34" t="str">
        <x:v>DF-NYC-L0-PR52-ATOMIC-BASIS-v3B0</x:v>
      </x:c>
      <x:c r="C8" s="29"/>
    </x:row>
    <x:row r="9">
      <x:c r="A9" s="21" t="str">
        <x:v>parent_moment_engine</x:v>
      </x:c>
      <x:c r="B9" s="34" t="str">
        <x:v>DF-NYC-L0-PR51-MOMENT-RECONCILIATION-v3A</x:v>
      </x:c>
      <x:c r="C9" s="29"/>
    </x:row>
    <x:row r="10">
      <x:c r="A10" s="21" t="str">
        <x:v>state</x:v>
      </x:c>
      <x:c r="B10" s="34" t="str">
        <x:v>ATOMIC_SUPPORT_EXTENDED_EXACT_MOMENT_CLONING_REJECTED_NO_ENSEMBLE_NO_DONOR_FIT</x:v>
      </x:c>
      <x:c r="C10" s="29"/>
    </x:row>
    <x:row r="11">
      <x:c r="A11" s="21" t="str">
        <x:v>access_date</x:v>
      </x:c>
      <x:c r="B11" s="34" t="str">
        <x:v>2026-09-07</x:v>
      </x:c>
      <x:c r="C11" s="29"/>
    </x:row>
    <x:row r="12">
      <x:c r="A12" s="21" t="str">
        <x:v>catchments</x:v>
      </x:c>
      <x:c r="B12" s="34" t="n">
        <x:v>12</x:v>
      </x:c>
      <x:c r="C12" s="29"/>
    </x:row>
    <x:row r="13">
      <x:c r="A13" s="21" t="str">
        <x:v>target_metrics</x:v>
      </x:c>
      <x:c r="B13" s="34" t="n">
        <x:v>39</x:v>
      </x:c>
      <x:c r="C13" s="29"/>
    </x:row>
    <x:row r="14">
      <x:c r="A14" s="21" t="str">
        <x:v>person_cells_per_catchment</x:v>
      </x:c>
      <x:c r="B14" s="34" t="n">
        <x:v>596</x:v>
      </x:c>
      <x:c r="C14" s="29"/>
    </x:row>
    <x:row r="15">
      <x:c r="A15" s="21" t="str">
        <x:v>household_and_vacant_cells_per_catchment</x:v>
      </x:c>
      <x:c r="B15" s="34" t="n">
        <x:v>961</x:v>
      </x:c>
      <x:c r="C15" s="29"/>
    </x:row>
    <x:row r="16">
      <x:c r="A16" s="21" t="str">
        <x:v>total_atomic_cells_per_catchment</x:v>
      </x:c>
      <x:c r="B16" s="34" t="n">
        <x:v>1557</x:v>
      </x:c>
      <x:c r="C16" s="29"/>
    </x:row>
    <x:row r="17">
      <x:c r="A17" s="21" t="str">
        <x:v>aggregation_rank</x:v>
      </x:c>
      <x:c r="B17" s="34" t="n">
        <x:v>33</x:v>
      </x:c>
      <x:c r="C17" s="29"/>
    </x:row>
    <x:row r="18">
      <x:c r="A18" s="21" t="str">
        <x:v>aggregation_nullity</x:v>
      </x:c>
      <x:c r="B18" s="34" t="n">
        <x:v>1524</x:v>
      </x:c>
      <x:c r="C18" s="29"/>
    </x:row>
    <x:row r="19">
      <x:c r="A19" s="21" t="str">
        <x:v>point_feasible_catchments</x:v>
      </x:c>
      <x:c r="B19" s="34" t="n">
        <x:v>12</x:v>
      </x:c>
      <x:c r="C19" s="29"/>
    </x:row>
    <x:row r="20">
      <x:c r="A20" s="21" t="str">
        <x:v>published_margin_reconstructions</x:v>
      </x:c>
      <x:c r="B20" s="34" t="n">
        <x:v>468</x:v>
      </x:c>
      <x:c r="C20" s="29"/>
    </x:row>
    <x:row r="21">
      <x:c r="A21" s="21" t="str">
        <x:v>exact_moment_conflicts</x:v>
      </x:c>
      <x:c r="B21" s="34" t="n">
        <x:v>7</x:v>
      </x:c>
      <x:c r="C21" s="29"/>
    </x:row>
    <x:row r="22">
      <x:c r="A22" s="21" t="str">
        <x:v>admitted_target_ensemble</x:v>
      </x:c>
      <x:c r="B22" s="34" t="str">
        <x:v>No</x:v>
      </x:c>
      <x:c r="C22" s="29"/>
    </x:row>
    <x:row r="23">
      <x:c r="A23" s="21" t="str">
        <x:v>candidate_target_rows</x:v>
      </x:c>
      <x:c r="B23" s="34" t="n">
        <x:v>0</x:v>
      </x:c>
      <x:c r="C23" s="29"/>
    </x:row>
    <x:row r="24">
      <x:c r="A24" s="21" t="str">
        <x:v>decision</x:v>
      </x:c>
      <x:c r="B24" s="34" t="str">
        <x:v>Exact cloning of published point estimates and estimator covariance as civil-state moments is outside the nonnegative moment cone. Preserve VRE covariance in a measurement likelihood instead.</x:v>
      </x:c>
      <x:c r="C24" s="29"/>
    </x:row>
    <x:row r="25">
      <x:c r="A25" s="22" t="str">
        <x:v>next_method</x:v>
      </x:c>
      <x:c r="B25" s="35" t="str">
        <x:v>v3C0 must preregister an atomic measurement-error posterior, frozen prior sensitivity cases and posterior-predictive admission gates before sampling.</x:v>
      </x:c>
      <x:c r="C25" s="29"/>
    </x:row>
    <x:row r="26">
      <x:c r="A26" s="29"/>
      <x:c r="B26" s="29"/>
      <x:c r="C26" s="29"/>
    </x:row>
    <x:row r="27">
      <x:c r="A27" s="29"/>
      <x:c r="B27" s="29"/>
      <x:c r="C27" s="29"/>
    </x:row>
    <x:row r="28">
      <x:c r="A28" s="6" t="str">
        <x:v>Method register</x:v>
      </x:c>
      <x:c r="B28" s="7"/>
      <x:c r="C28" s="8"/>
    </x:row>
    <x:row r="29" ht="34" customHeight="1">
      <x:c r="A29" s="17" t="str">
        <x:v>Stage</x:v>
      </x:c>
      <x:c r="B29" s="17" t="str">
        <x:v>Registered rule</x:v>
      </x:c>
      <x:c r="C29" s="17" t="str">
        <x:v>Status</x:v>
      </x:c>
    </x:row>
    <x:row r="30">
      <x:c r="A30" s="20" t="str">
        <x:v>source extension</x:v>
      </x:c>
      <x:c r="B30" s="33" t="str">
        <x:v>Add age_under_5 from B01001 orders 003 and 027 and preserve its complete official VRE covariance with every registered B01001 margin.</x:v>
      </x:c>
      <x:c r="C30" s="20" t="str">
        <x:v>executed</x:v>
      </x:c>
    </x:row>
    <x:row r="31">
      <x:c r="A31" s="21" t="str">
        <x:v>support extension</x:v>
      </x:c>
      <x:c r="B31" s="34" t="str">
        <x:v>Map every A0_4 person atom to age_under_5; retain all Pass 52 structural zeros and bridges.</x:v>
      </x:c>
      <x:c r="C31" s="21" t="str">
        <x:v>executed</x:v>
      </x:c>
    </x:row>
    <x:row r="32">
      <x:c r="A32" s="21" t="str">
        <x:v>point feasibility</x:v>
      </x:c>
      <x:c r="B32" s="34" t="str">
        <x:v>Require exact nonnegative integer reconstruction of all 39 points in every catchment.</x:v>
      </x:c>
      <x:c r="C32" s="21" t="str">
        <x:v>executed</x:v>
      </x:c>
    </x:row>
    <x:row r="33">
      <x:c r="A33" s="21" t="str">
        <x:v>identification</x:v>
      </x:c>
      <x:c r="B33" s="34" t="str">
        <x:v>Recompute all nine registered bounds and disclose which uncertainty the added margin actually closes.</x:v>
      </x:c>
      <x:c r="C33" s="21" t="str">
        <x:v>executed</x:v>
      </x:c>
    </x:row>
    <x:row r="34">
      <x:c r="A34" s="21" t="str">
        <x:v>moment-cone audit</x:v>
      </x:c>
      <x:c r="B34" s="34" t="str">
        <x:v>Reject exact moment cloning if any nonnegative metric has point mean zero and positive required variance.</x:v>
      </x:c>
      <x:c r="C34" s="21" t="str">
        <x:v>executed</x:v>
      </x:c>
    </x:row>
    <x:row r="35">
      <x:c r="A35" s="21" t="str">
        <x:v>semantic correction</x:v>
      </x:c>
      <x:c r="B35" s="34" t="str">
        <x:v>Treat official VRE covariance as estimator error in a likelihood, not as ontic cross-world state covariance.</x:v>
      </x:c>
      <x:c r="C35" s="21" t="str">
        <x:v>registered successor</x:v>
      </x:c>
    </x:row>
    <x:row r="36">
      <x:c r="A36" s="21" t="str">
        <x:v>posterior support</x:v>
      </x:c>
      <x:c r="B36" s="34" t="str">
        <x:v>Future v3C0 must place all prior and posterior mass on the factorized atomic support.</x:v>
      </x:c>
      <x:c r="C36" s="21" t="str">
        <x:v>registered successor</x:v>
      </x:c>
    </x:row>
    <x:row r="37">
      <x:c r="A37" s="21" t="str">
        <x:v>dependence</x:v>
      </x:c>
      <x:c r="B37" s="34" t="str">
        <x:v>Future priors must expose max-entropy, weak loglinear and bounded association cases without architecture-result tuning.</x:v>
      </x:c>
      <x:c r="C37" s="21" t="str">
        <x:v>registered successor</x:v>
      </x:c>
    </x:row>
    <x:row r="38">
      <x:c r="A38" s="21" t="str">
        <x:v>ceiling</x:v>
      </x:c>
      <x:c r="B38" s="34" t="str">
        <x:v>Future posterior predictive checks retain source reconstruction, support, center, interval coverage, tail, integrity and deliberate-failure gates.</x:v>
      </x:c>
      <x:c r="C38" s="21" t="str">
        <x:v>registered successor</x:v>
      </x:c>
    </x:row>
    <x:row r="39">
      <x:c r="A39" s="22" t="str">
        <x:v>stop</x:v>
      </x:c>
      <x:c r="B39" s="35" t="str">
        <x:v>No ensemble, donor fit, synthetic record, building assignment or architecture output is created in this audit.</x:v>
      </x:c>
      <x:c r="C39" s="22" t="str">
        <x:v>enforced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70" hidden="0" customWidth="1"/>
    <x:col min="4" max="4" width="52" hidden="0" customWidth="1"/>
    <x:col min="5" max="5" width="72" hidden="0" customWidth="1"/>
  </x:cols>
  <x:sheetData>
    <x:row r="1">
      <x:c r="A1" s="1" t="str">
        <x:v>Moment Semantics</x:v>
      </x:c>
      <x:c r="B1" s="29"/>
      <x:c r="C1" s="29"/>
      <x:c r="D1" s="29"/>
      <x:c r="E1" s="29"/>
    </x:row>
    <x:row r="2">
      <x:c r="A2" s="2" t="str">
        <x:v>The measurement process and the latent civil state are separate statistical objects</x:v>
      </x:c>
      <x:c r="B2" s="29"/>
      <x:c r="C2" s="29"/>
      <x:c r="D2" s="29"/>
      <x:c r="E2" s="29"/>
    </x:row>
    <x:row r="3">
      <x:c r="A3" s="29"/>
      <x:c r="B3" s="29"/>
      <x:c r="C3" s="29"/>
      <x:c r="D3" s="29"/>
      <x:c r="E3" s="29"/>
    </x:row>
    <x:row r="4">
      <x:c r="A4" s="30"/>
      <x:c r="B4" s="30"/>
      <x:c r="C4" s="30"/>
      <x:c r="D4" s="30"/>
      <x:c r="E4" s="30"/>
      <x:c r="F4" s="3"/>
      <x:c r="G4" s="3"/>
      <x:c r="H4" s="3"/>
      <x:c r="I4" s="3"/>
    </x:row>
    <x:row r="5">
      <x:c r="A5" s="29"/>
      <x:c r="B5" s="29"/>
      <x:c r="C5" s="29"/>
      <x:c r="D5" s="29"/>
      <x:c r="E5" s="29"/>
    </x:row>
    <x:row r="6" ht="34" customHeight="1">
      <x:c r="A6" s="17" t="str">
        <x:v>Object</x:v>
      </x:c>
      <x:c r="B6" s="17" t="str">
        <x:v>Symbol</x:v>
      </x:c>
      <x:c r="C6" s="17" t="str">
        <x:v>Meaning</x:v>
      </x:c>
      <x:c r="D6" s="17" t="str">
        <x:v>Authority</x:v>
      </x:c>
      <x:c r="E6" s="17" t="str">
        <x:v>Must not become</x:v>
      </x:c>
    </x:row>
    <x:row r="7" ht="44" customHeight="1">
      <x:c r="A7" s="20" t="str">
        <x:v>Published estimate</x:v>
      </x:c>
      <x:c r="B7" s="20" t="str">
        <x:v>ŷ</x:v>
      </x:c>
      <x:c r="C7" s="33" t="str">
        <x:v>Observed ACS estimator for an unknown finite-population margin</x:v>
      </x:c>
      <x:c r="D7" s="33" t="str">
        <x:v>official point estimate</x:v>
      </x:c>
      <x:c r="E7" s="33" t="str">
        <x:v>A forced posterior mean at a nonnegative boundary</x:v>
      </x:c>
    </x:row>
    <x:row r="8" ht="44" customHeight="1">
      <x:c r="A8" s="21" t="str">
        <x:v>Estimator covariance</x:v>
      </x:c>
      <x:c r="B8" s="21" t="str">
        <x:v>V</x:v>
      </x:c>
      <x:c r="C8" s="34" t="str">
        <x:v>Repeated-sample uncertainty of the published estimator</x:v>
      </x:c>
      <x:c r="D8" s="34" t="str">
        <x:v>official VRE block or registered RSS approximation</x:v>
      </x:c>
      <x:c r="E8" s="34" t="str">
        <x:v>Cross-world covariance of true civil states</x:v>
      </x:c>
    </x:row>
    <x:row r="9" ht="44" customHeight="1">
      <x:c r="A9" s="21" t="str">
        <x:v>Atomic civil state</x:v>
      </x:c>
      <x:c r="B9" s="21" t="str">
        <x:v>x</x:v>
      </x:c>
      <x:c r="C9" s="34" t="str">
        <x:v>Nonnegative person and household-unit cell counts</x:v>
      </x:c>
      <x:c r="D9" s="34" t="str">
        <x:v>semantic support plus later evidence</x:v>
      </x:c>
      <x:c r="E9" s="34" t="str">
        <x:v>A sparse feasibility witness treated as population truth</x:v>
      </x:c>
    </x:row>
    <x:row r="10" ht="44" customHeight="1">
      <x:c r="A10" s="21" t="str">
        <x:v>Aggregate true state</x:v>
      </x:c>
      <x:c r="B10" s="21" t="str">
        <x:v>y = A x</x:v>
      </x:c>
      <x:c r="C10" s="34" t="str">
        <x:v>Margins implied by one lawful atomic state</x:v>
      </x:c>
      <x:c r="D10" s="34" t="str">
        <x:v>fixed aggregation operator</x:v>
      </x:c>
      <x:c r="E10" s="34" t="str">
        <x:v>Independently repaired totals</x:v>
      </x:c>
    </x:row>
    <x:row r="11" ht="44" customHeight="1">
      <x:c r="A11" s="21" t="str">
        <x:v>Measurement likelihood</x:v>
      </x:c>
      <x:c r="B11" s="21" t="str">
        <x:v>p(ŷ | A x, V)</x:v>
      </x:c>
      <x:c r="C11" s="34" t="str">
        <x:v>How official estimates inform feasible states</x:v>
      </x:c>
      <x:c r="D11" s="34" t="str">
        <x:v>registered estimator model</x:v>
      </x:c>
      <x:c r="E11" s="34" t="str">
        <x:v>An unbounded state generator</x:v>
      </x:c>
    </x:row>
    <x:row r="12" ht="44" customHeight="1">
      <x:c r="A12" s="21" t="str">
        <x:v>State prior / regularizer</x:v>
      </x:c>
      <x:c r="B12" s="21" t="str">
        <x:v>p₀(x)</x:v>
      </x:c>
      <x:c r="C12" s="34" t="str">
        <x:v>Disclosed treatment of unidentified dependence on lawful support</x:v>
      </x:c>
      <x:c r="D12" s="34" t="str">
        <x:v>sensitivity case pending evidence</x:v>
      </x:c>
      <x:c r="E12" s="34" t="str">
        <x:v>Hidden donor or architecture tuning</x:v>
      </x:c>
    </x:row>
    <x:row r="13" ht="44" customHeight="1">
      <x:c r="A13" s="22" t="str">
        <x:v>Posterior ensemble</x:v>
      </x:c>
      <x:c r="B13" s="22" t="str">
        <x:v>p(x | ŷ)</x:v>
      </x:c>
      <x:c r="C13" s="35" t="str">
        <x:v>Support-feasible uncertainty after likelihood and prior</x:v>
      </x:c>
      <x:c r="D13" s="35" t="str">
        <x:v>future v3C0 only after calibration</x:v>
      </x:c>
      <x:c r="E13" s="35" t="str">
        <x:v>Admitted before ceiling, privacy and reproduction gates</x:v>
      </x:c>
    </x:row>
    <x:row r="14">
      <x:c r="A14" s="29"/>
      <x:c r="B14" s="29"/>
      <x:c r="C14" s="29"/>
      <x:c r="D14" s="29"/>
      <x:c r="E14" s="29"/>
    </x:row>
    <x:row r="15">
      <x:c r="A15" s="29"/>
      <x:c r="B15" s="29"/>
      <x:c r="C15" s="29"/>
      <x:c r="D15" s="29"/>
      <x:c r="E15" s="29"/>
    </x:row>
    <x:row r="16">
      <x:c r="A16" s="29"/>
      <x:c r="B16" s="29"/>
      <x:c r="C16" s="29"/>
      <x:c r="D16" s="29"/>
      <x:c r="E16" s="29"/>
    </x:row>
    <x:row r="17">
      <x:c r="A17" s="6" t="str">
        <x:v>Core distinction</x:v>
      </x:c>
      <x:c r="B17" s="7"/>
      <x:c r="C17" s="7"/>
      <x:c r="D17" s="7"/>
      <x:c r="E17" s="8"/>
    </x:row>
    <x:row r="18">
      <x:c r="A18" s="31" t="str">
        <x:v>V answers: how would the published estimator vary under repeated samples? It does not answer: how should uncertainty over the unknown true population be distributed after observing the estimate? Conflating those questions produced the impossible moment target audited here.</x:v>
      </x:c>
      <x:c r="B18" s="31"/>
      <x:c r="C18" s="31"/>
      <x:c r="D18" s="31"/>
      <x:c r="E18" s="31"/>
    </x:row>
    <x:row r="19">
      <x:c r="A19" s="31"/>
      <x:c r="B19" s="31"/>
      <x:c r="C19" s="31"/>
      <x:c r="D19" s="31"/>
      <x:c r="E19" s="31"/>
    </x:row>
    <x:row r="20">
      <x:c r="A20" s="31"/>
      <x:c r="B20" s="31"/>
      <x:c r="C20" s="31"/>
      <x:c r="D20" s="31"/>
      <x:c r="E20" s="31"/>
    </x:row>
    <x:row r="21">
      <x:c r="A21" s="31"/>
      <x:c r="B21" s="31"/>
      <x:c r="C21" s="31"/>
      <x:c r="D21" s="31"/>
      <x:c r="E21" s="31"/>
    </x:row>
  </x:sheetData>
  <x:mergeCells>
    <x:mergeCell ref="A18:E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0" hidden="0" customWidth="1"/>
    <x:col min="2" max="2" width="18" hidden="0" customWidth="1"/>
    <x:col min="3" max="3" width="46" hidden="0" customWidth="1"/>
    <x:col min="4" max="4" width="16" hidden="0" customWidth="1"/>
    <x:col min="5" max="5" width="90" hidden="0" customWidth="1"/>
    <x:col min="6" max="6" width="34" hidden="0" customWidth="1"/>
    <x:col min="7" max="7" width="74" hidden="0" customWidth="1"/>
  </x:cols>
  <x:sheetData>
    <x:row r="1">
      <x:c r="A1" s="1" t="str">
        <x:v>Metric Authority</x:v>
      </x:c>
      <x:c r="B1" s="29"/>
      <x:c r="C1" s="29"/>
      <x:c r="D1" s="29"/>
      <x:c r="E1" s="29"/>
      <x:c r="F1" s="29"/>
      <x:c r="G1" s="29"/>
    </x:row>
    <x:row r="2">
      <x:c r="A2" s="2" t="str">
        <x:v>Thirty-nine registered aggregate targets and their statistical universes</x:v>
      </x:c>
      <x:c r="B2" s="29"/>
      <x:c r="C2" s="29"/>
      <x:c r="D2" s="29"/>
      <x:c r="E2" s="29"/>
      <x:c r="F2" s="29"/>
      <x:c r="G2" s="29"/>
    </x:row>
    <x:row r="3">
      <x:c r="A3" s="29"/>
      <x:c r="B3" s="29"/>
      <x:c r="C3" s="29"/>
      <x:c r="D3" s="29"/>
      <x:c r="E3" s="29"/>
      <x:c r="F3" s="29"/>
      <x:c r="G3" s="29"/>
    </x:row>
    <x:row r="4">
      <x:c r="A4" s="30"/>
      <x:c r="B4" s="30"/>
      <x:c r="C4" s="30"/>
      <x:c r="D4" s="30"/>
      <x:c r="E4" s="30"/>
      <x:c r="F4" s="30"/>
      <x:c r="G4" s="30"/>
      <x:c r="H4" s="3"/>
      <x:c r="I4" s="3"/>
    </x:row>
    <x:row r="5">
      <x:c r="A5" s="29"/>
      <x:c r="B5" s="29"/>
      <x:c r="C5" s="29"/>
      <x:c r="D5" s="29"/>
      <x:c r="E5" s="29"/>
      <x:c r="F5" s="29"/>
      <x:c r="G5" s="29"/>
    </x:row>
    <x:row r="6" ht="34" customHeight="1">
      <x:c r="A6" s="17" t="str">
        <x:v>Metric ID</x:v>
      </x:c>
      <x:c r="B6" s="17" t="str">
        <x:v>Domain</x:v>
      </x:c>
      <x:c r="C6" s="17" t="str">
        <x:v>Label</x:v>
      </x:c>
      <x:c r="D6" s="17" t="str">
        <x:v>ACS table</x:v>
      </x:c>
      <x:c r="E6" s="17" t="str">
        <x:v>Components</x:v>
      </x:c>
      <x:c r="F6" s="17" t="str">
        <x:v>Denominator</x:v>
      </x:c>
      <x:c r="G6" s="17" t="str">
        <x:v>Interpretation</x:v>
      </x:c>
    </x:row>
    <x:row r="7">
      <x:c r="A7" s="20" t="str">
        <x:v>acs_population</x:v>
      </x:c>
      <x:c r="B7" s="20" t="str">
        <x:v>population</x:v>
      </x:c>
      <x:c r="C7" s="33" t="str">
        <x:v>ACS population</x:v>
      </x:c>
      <x:c r="D7" s="33" t="str">
        <x:v>B01001</x:v>
      </x:c>
      <x:c r="E7" s="33" t="str">
        <x:v>B01001_001</x:v>
      </x:c>
      <x:c r="F7" s="33" t="str">
        <x:v>None</x:v>
      </x:c>
      <x:c r="G7" s="33" t="str"/>
    </x:row>
    <x:row r="8">
      <x:c r="A8" s="21" t="str">
        <x:v>age_under_18</x:v>
      </x:c>
      <x:c r="B8" s="21" t="str">
        <x:v>population</x:v>
      </x:c>
      <x:c r="C8" s="34" t="str">
        <x:v>People under age 18</x:v>
      </x:c>
      <x:c r="D8" s="34" t="str">
        <x:v>B01001</x:v>
      </x:c>
      <x:c r="E8" s="34" t="str">
        <x:v>B01001_003, B01001_004, B01001_005, B01001_006, B01001_027, B01001_028, B01001_029, B01001_030</x:v>
      </x:c>
      <x:c r="F8" s="34" t="str">
        <x:v>acs_population</x:v>
      </x:c>
      <x:c r="G8" s="34" t="str"/>
    </x:row>
    <x:row r="9">
      <x:c r="A9" s="21" t="str">
        <x:v>age_under_5</x:v>
      </x:c>
      <x:c r="B9" s="21" t="str">
        <x:v>population</x:v>
      </x:c>
      <x:c r="C9" s="34" t="str">
        <x:v>People under age 5</x:v>
      </x:c>
      <x:c r="D9" s="34" t="str">
        <x:v>B01001</x:v>
      </x:c>
      <x:c r="E9" s="34" t="str">
        <x:v>B01001_003, B01001_027</x:v>
      </x:c>
      <x:c r="F9" s="34" t="str">
        <x:v>acs_population</x:v>
      </x:c>
      <x:c r="G9" s="34" t="str">
        <x:v>Authoritative partition required because valid disability patterns change at age five.</x:v>
      </x:c>
    </x:row>
    <x:row r="10">
      <x:c r="A10" s="21" t="str">
        <x:v>age_65_plus</x:v>
      </x:c>
      <x:c r="B10" s="21" t="str">
        <x:v>population</x:v>
      </x:c>
      <x:c r="C10" s="34" t="str">
        <x:v>People age 65 and over</x:v>
      </x:c>
      <x:c r="D10" s="34" t="str">
        <x:v>B01001</x:v>
      </x:c>
      <x:c r="E10" s="34" t="str">
        <x:v>B01001_020, B01001_021, B01001_022, B01001_023, B01001_024, B01001_025, B01001_044, B01001_045, B01001_046, B01001_047, B01001_048, B01001_049</x:v>
      </x:c>
      <x:c r="F10" s="34" t="str">
        <x:v>acs_population</x:v>
      </x:c>
      <x:c r="G10" s="34" t="str"/>
    </x:row>
    <x:row r="11">
      <x:c r="A11" s="21" t="str">
        <x:v>age_75_plus</x:v>
      </x:c>
      <x:c r="B11" s="21" t="str">
        <x:v>population</x:v>
      </x:c>
      <x:c r="C11" s="34" t="str">
        <x:v>People age 75 and over</x:v>
      </x:c>
      <x:c r="D11" s="34" t="str">
        <x:v>B01001</x:v>
      </x:c>
      <x:c r="E11" s="34" t="str">
        <x:v>B01001_023, B01001_024, B01001_025, B01001_047, B01001_048, B01001_049</x:v>
      </x:c>
      <x:c r="F11" s="34" t="str">
        <x:v>acs_population</x:v>
      </x:c>
      <x:c r="G11" s="34" t="str"/>
    </x:row>
    <x:row r="12">
      <x:c r="A12" s="21" t="str">
        <x:v>age_85_plus</x:v>
      </x:c>
      <x:c r="B12" s="21" t="str">
        <x:v>population</x:v>
      </x:c>
      <x:c r="C12" s="34" t="str">
        <x:v>People age 85 and over</x:v>
      </x:c>
      <x:c r="D12" s="34" t="str">
        <x:v>B01001</x:v>
      </x:c>
      <x:c r="E12" s="34" t="str">
        <x:v>B01001_025, B01001_049</x:v>
      </x:c>
      <x:c r="F12" s="34" t="str">
        <x:v>acs_population</x:v>
      </x:c>
      <x:c r="G12" s="34" t="str"/>
    </x:row>
    <x:row r="13">
      <x:c r="A13" s="21" t="str">
        <x:v>civilian_noninstitutionalized</x:v>
      </x:c>
      <x:c r="B13" s="21" t="str">
        <x:v>disability</x:v>
      </x:c>
      <x:c r="C13" s="34" t="str">
        <x:v>Civilian noninstitutionalized population</x:v>
      </x:c>
      <x:c r="D13" s="34" t="str">
        <x:v>B18101</x:v>
      </x:c>
      <x:c r="E13" s="34" t="str">
        <x:v>B18101_001</x:v>
      </x:c>
      <x:c r="F13" s="34" t="str">
        <x:v>None</x:v>
      </x:c>
      <x:c r="G13" s="34" t="str"/>
    </x:row>
    <x:row r="14">
      <x:c r="A14" s="21" t="str">
        <x:v>any_disability</x:v>
      </x:c>
      <x:c r="B14" s="21" t="str">
        <x:v>disability</x:v>
      </x:c>
      <x:c r="C14" s="34" t="str">
        <x:v>People with any disability</x:v>
      </x:c>
      <x:c r="D14" s="34" t="str">
        <x:v>B18101</x:v>
      </x:c>
      <x:c r="E14" s="34" t="str">
        <x:v>B18101_004, B18101_007, B18101_010, B18101_013, B18101_016, B18101_019, B18101_023, B18101_026, B18101_029, B18101_032, B18101_035, B18101_038</x:v>
      </x:c>
      <x:c r="F14" s="34" t="str">
        <x:v>civilian_noninstitutionalized</x:v>
      </x:c>
      <x:c r="G14" s="34" t="str"/>
    </x:row>
    <x:row r="15">
      <x:c r="A15" s="21" t="str">
        <x:v>disability_under_18</x:v>
      </x:c>
      <x:c r="B15" s="21" t="str">
        <x:v>disability</x:v>
      </x:c>
      <x:c r="C15" s="34" t="str">
        <x:v>People under 18 with a disability</x:v>
      </x:c>
      <x:c r="D15" s="34" t="str">
        <x:v>B18101</x:v>
      </x:c>
      <x:c r="E15" s="34" t="str">
        <x:v>B18101_004, B18101_007, B18101_023, B18101_026</x:v>
      </x:c>
      <x:c r="F15" s="34" t="str">
        <x:v>civilian_noninstitutionalized</x:v>
      </x:c>
      <x:c r="G15" s="34" t="str"/>
    </x:row>
    <x:row r="16">
      <x:c r="A16" s="21" t="str">
        <x:v>disability_18_64</x:v>
      </x:c>
      <x:c r="B16" s="21" t="str">
        <x:v>disability</x:v>
      </x:c>
      <x:c r="C16" s="34" t="str">
        <x:v>People age 18–64 with a disability</x:v>
      </x:c>
      <x:c r="D16" s="34" t="str">
        <x:v>B18101</x:v>
      </x:c>
      <x:c r="E16" s="34" t="str">
        <x:v>B18101_010, B18101_013, B18101_029, B18101_032</x:v>
      </x:c>
      <x:c r="F16" s="34" t="str">
        <x:v>civilian_noninstitutionalized</x:v>
      </x:c>
      <x:c r="G16" s="34" t="str"/>
    </x:row>
    <x:row r="17">
      <x:c r="A17" s="21" t="str">
        <x:v>disability_65_plus</x:v>
      </x:c>
      <x:c r="B17" s="21" t="str">
        <x:v>disability</x:v>
      </x:c>
      <x:c r="C17" s="34" t="str">
        <x:v>People age 65+ with a disability</x:v>
      </x:c>
      <x:c r="D17" s="34" t="str">
        <x:v>B18101</x:v>
      </x:c>
      <x:c r="E17" s="34" t="str">
        <x:v>B18101_016, B18101_019, B18101_035, B18101_038</x:v>
      </x:c>
      <x:c r="F17" s="34" t="str">
        <x:v>civilian_noninstitutionalized</x:v>
      </x:c>
      <x:c r="G17" s="34" t="str"/>
    </x:row>
    <x:row r="18">
      <x:c r="A18" s="21" t="str">
        <x:v>hearing_difficulty</x:v>
      </x:c>
      <x:c r="B18" s="21" t="str">
        <x:v>disability</x:v>
      </x:c>
      <x:c r="C18" s="34" t="str">
        <x:v>People with hearing difficulty</x:v>
      </x:c>
      <x:c r="D18" s="34" t="str">
        <x:v>B18102</x:v>
      </x:c>
      <x:c r="E18" s="34" t="str">
        <x:v>B18102_004, B18102_007, B18102_010, B18102_013, B18102_016, B18102_019, B18102_023, B18102_026, B18102_029, B18102_032, B18102_035, B18102_038</x:v>
      </x:c>
      <x:c r="F18" s="34" t="str">
        <x:v>civilian_noninstitutionalized</x:v>
      </x:c>
      <x:c r="G18" s="34" t="str"/>
    </x:row>
    <x:row r="19">
      <x:c r="A19" s="21" t="str">
        <x:v>vision_difficulty</x:v>
      </x:c>
      <x:c r="B19" s="21" t="str">
        <x:v>disability</x:v>
      </x:c>
      <x:c r="C19" s="34" t="str">
        <x:v>People with vision difficulty</x:v>
      </x:c>
      <x:c r="D19" s="34" t="str">
        <x:v>B18103</x:v>
      </x:c>
      <x:c r="E19" s="34" t="str">
        <x:v>B18103_004, B18103_007, B18103_010, B18103_013, B18103_016, B18103_019, B18103_023, B18103_026, B18103_029, B18103_032, B18103_035, B18103_038</x:v>
      </x:c>
      <x:c r="F19" s="34" t="str">
        <x:v>civilian_noninstitutionalized</x:v>
      </x:c>
      <x:c r="G19" s="34" t="str"/>
    </x:row>
    <x:row r="20">
      <x:c r="A20" s="21" t="str">
        <x:v>cognitive_difficulty</x:v>
      </x:c>
      <x:c r="B20" s="21" t="str">
        <x:v>disability</x:v>
      </x:c>
      <x:c r="C20" s="34" t="str">
        <x:v>People with cognitive difficulty</x:v>
      </x:c>
      <x:c r="D20" s="34" t="str">
        <x:v>B18104</x:v>
      </x:c>
      <x:c r="E20" s="34" t="str">
        <x:v>B18104_004, B18104_007, B18104_010, B18104_013, B18104_016, B18104_020, B18104_023, B18104_026, B18104_029, B18104_032</x:v>
      </x:c>
      <x:c r="F20" s="34" t="str">
        <x:v>civilian_noninstitutionalized</x:v>
      </x:c>
      <x:c r="G20" s="34" t="str"/>
    </x:row>
    <x:row r="21">
      <x:c r="A21" s="21" t="str">
        <x:v>ambulatory_difficulty</x:v>
      </x:c>
      <x:c r="B21" s="21" t="str">
        <x:v>disability</x:v>
      </x:c>
      <x:c r="C21" s="34" t="str">
        <x:v>People with ambulatory difficulty</x:v>
      </x:c>
      <x:c r="D21" s="34" t="str">
        <x:v>B18105</x:v>
      </x:c>
      <x:c r="E21" s="34" t="str">
        <x:v>B18105_004, B18105_007, B18105_010, B18105_013, B18105_016, B18105_020, B18105_023, B18105_026, B18105_029, B18105_032</x:v>
      </x:c>
      <x:c r="F21" s="34" t="str">
        <x:v>civilian_noninstitutionalized</x:v>
      </x:c>
      <x:c r="G21" s="34" t="str"/>
    </x:row>
    <x:row r="22">
      <x:c r="A22" s="21" t="str">
        <x:v>self_care_difficulty</x:v>
      </x:c>
      <x:c r="B22" s="21" t="str">
        <x:v>disability</x:v>
      </x:c>
      <x:c r="C22" s="34" t="str">
        <x:v>People with self-care difficulty</x:v>
      </x:c>
      <x:c r="D22" s="34" t="str">
        <x:v>B18106</x:v>
      </x:c>
      <x:c r="E22" s="34" t="str">
        <x:v>B18106_004, B18106_007, B18106_010, B18106_013, B18106_016, B18106_020, B18106_023, B18106_026, B18106_029, B18106_032</x:v>
      </x:c>
      <x:c r="F22" s="34" t="str">
        <x:v>civilian_noninstitutionalized</x:v>
      </x:c>
      <x:c r="G22" s="34" t="str"/>
    </x:row>
    <x:row r="23">
      <x:c r="A23" s="21" t="str">
        <x:v>independent_living_difficulty</x:v>
      </x:c>
      <x:c r="B23" s="21" t="str">
        <x:v>disability</x:v>
      </x:c>
      <x:c r="C23" s="34" t="str">
        <x:v>People with independent-living difficulty</x:v>
      </x:c>
      <x:c r="D23" s="34" t="str">
        <x:v>B18107</x:v>
      </x:c>
      <x:c r="E23" s="34" t="str">
        <x:v>B18107_004, B18107_007, B18107_010, B18107_013, B18107_017, B18107_020, B18107_023, B18107_026</x:v>
      </x:c>
      <x:c r="F23" s="34" t="str">
        <x:v>civilian_noninstitutionalized</x:v>
      </x:c>
      <x:c r="G23" s="34" t="str"/>
    </x:row>
    <x:row r="24">
      <x:c r="A24" s="21" t="str">
        <x:v>households</x:v>
      </x:c>
      <x:c r="B24" s="21" t="str">
        <x:v>household</x:v>
      </x:c>
      <x:c r="C24" s="34" t="str">
        <x:v>Households</x:v>
      </x:c>
      <x:c r="D24" s="34" t="str">
        <x:v>B11001</x:v>
      </x:c>
      <x:c r="E24" s="34" t="str">
        <x:v>B11001_001</x:v>
      </x:c>
      <x:c r="F24" s="34" t="str">
        <x:v>None</x:v>
      </x:c>
      <x:c r="G24" s="34" t="str"/>
    </x:row>
    <x:row r="25">
      <x:c r="A25" s="21" t="str">
        <x:v>family_households</x:v>
      </x:c>
      <x:c r="B25" s="21" t="str">
        <x:v>household</x:v>
      </x:c>
      <x:c r="C25" s="34" t="str">
        <x:v>Family households</x:v>
      </x:c>
      <x:c r="D25" s="34" t="str">
        <x:v>B11001</x:v>
      </x:c>
      <x:c r="E25" s="34" t="str">
        <x:v>B11001_002</x:v>
      </x:c>
      <x:c r="F25" s="34" t="str">
        <x:v>households</x:v>
      </x:c>
      <x:c r="G25" s="34" t="str"/>
    </x:row>
    <x:row r="26">
      <x:c r="A26" s="21" t="str">
        <x:v>nonfamily_households</x:v>
      </x:c>
      <x:c r="B26" s="21" t="str">
        <x:v>household</x:v>
      </x:c>
      <x:c r="C26" s="34" t="str">
        <x:v>Nonfamily households</x:v>
      </x:c>
      <x:c r="D26" s="34" t="str">
        <x:v>B11001</x:v>
      </x:c>
      <x:c r="E26" s="34" t="str">
        <x:v>B11001_007</x:v>
      </x:c>
      <x:c r="F26" s="34" t="str">
        <x:v>households</x:v>
      </x:c>
      <x:c r="G26" s="34" t="str"/>
    </x:row>
    <x:row r="27">
      <x:c r="A27" s="21" t="str">
        <x:v>living_alone_households</x:v>
      </x:c>
      <x:c r="B27" s="21" t="str">
        <x:v>household</x:v>
      </x:c>
      <x:c r="C27" s="34" t="str">
        <x:v>One-person households</x:v>
      </x:c>
      <x:c r="D27" s="34" t="str">
        <x:v>B11001</x:v>
      </x:c>
      <x:c r="E27" s="34" t="str">
        <x:v>B11001_008</x:v>
      </x:c>
      <x:c r="F27" s="34" t="str">
        <x:v>households</x:v>
      </x:c>
      <x:c r="G27" s="34" t="str"/>
    </x:row>
    <x:row r="28">
      <x:c r="A28" s="21" t="str">
        <x:v>households_with_children</x:v>
      </x:c>
      <x:c r="B28" s="21" t="str">
        <x:v>household</x:v>
      </x:c>
      <x:c r="C28" s="34" t="str">
        <x:v>Households with one or more people under 18</x:v>
      </x:c>
      <x:c r="D28" s="34" t="str">
        <x:v>B11005</x:v>
      </x:c>
      <x:c r="E28" s="34" t="str">
        <x:v>B11005_002</x:v>
      </x:c>
      <x:c r="F28" s="34" t="str">
        <x:v>households</x:v>
      </x:c>
      <x:c r="G28" s="34" t="str"/>
    </x:row>
    <x:row r="29">
      <x:c r="A29" s="21" t="str">
        <x:v>households_with_age65</x:v>
      </x:c>
      <x:c r="B29" s="21" t="str">
        <x:v>household</x:v>
      </x:c>
      <x:c r="C29" s="34" t="str">
        <x:v>Households with one or more people age 65+</x:v>
      </x:c>
      <x:c r="D29" s="34" t="str">
        <x:v>B11007</x:v>
      </x:c>
      <x:c r="E29" s="34" t="str">
        <x:v>B11007_002</x:v>
      </x:c>
      <x:c r="F29" s="34" t="str">
        <x:v>households</x:v>
      </x:c>
      <x:c r="G29" s="34" t="str"/>
    </x:row>
    <x:row r="30">
      <x:c r="A30" s="21" t="str">
        <x:v>age65_one_person_households</x:v>
      </x:c>
      <x:c r="B30" s="21" t="str">
        <x:v>household</x:v>
      </x:c>
      <x:c r="C30" s="34" t="str">
        <x:v>One-person households age 65+</x:v>
      </x:c>
      <x:c r="D30" s="34" t="str">
        <x:v>B11007</x:v>
      </x:c>
      <x:c r="E30" s="34" t="str">
        <x:v>B11007_003</x:v>
      </x:c>
      <x:c r="F30" s="34" t="str">
        <x:v>households</x:v>
      </x:c>
      <x:c r="G30" s="34" t="str"/>
    </x:row>
    <x:row r="31">
      <x:c r="A31" s="21" t="str">
        <x:v>no_vehicle_households</x:v>
      </x:c>
      <x:c r="B31" s="21" t="str">
        <x:v>household</x:v>
      </x:c>
      <x:c r="C31" s="34" t="str">
        <x:v>Households with no vehicle available</x:v>
      </x:c>
      <x:c r="D31" s="34" t="str">
        <x:v>B08201</x:v>
      </x:c>
      <x:c r="E31" s="34" t="str">
        <x:v>B08201_002</x:v>
      </x:c>
      <x:c r="F31" s="34" t="str">
        <x:v>households</x:v>
      </x:c>
      <x:c r="G31" s="34" t="str"/>
    </x:row>
    <x:row r="32">
      <x:c r="A32" s="21" t="str">
        <x:v>limited_english_households</x:v>
      </x:c>
      <x:c r="B32" s="21" t="str">
        <x:v>household</x:v>
      </x:c>
      <x:c r="C32" s="34" t="str">
        <x:v>Limited-English-speaking households</x:v>
      </x:c>
      <x:c r="D32" s="34" t="str">
        <x:v>C16002</x:v>
      </x:c>
      <x:c r="E32" s="34" t="str">
        <x:v>C16002_004, C16002_007, C16002_010, C16002_013</x:v>
      </x:c>
      <x:c r="F32" s="34" t="str">
        <x:v>households</x:v>
      </x:c>
      <x:c r="G32" s="34" t="str"/>
    </x:row>
    <x:row r="33">
      <x:c r="A33" s="21" t="str">
        <x:v>housing_units</x:v>
      </x:c>
      <x:c r="B33" s="21" t="str">
        <x:v>housing</x:v>
      </x:c>
      <x:c r="C33" s="34" t="str">
        <x:v>Housing units</x:v>
      </x:c>
      <x:c r="D33" s="34" t="str">
        <x:v>B25002</x:v>
      </x:c>
      <x:c r="E33" s="34" t="str">
        <x:v>B25002_001</x:v>
      </x:c>
      <x:c r="F33" s="34" t="str">
        <x:v>None</x:v>
      </x:c>
      <x:c r="G33" s="34" t="str"/>
    </x:row>
    <x:row r="34">
      <x:c r="A34" s="21" t="str">
        <x:v>occupied_housing_units</x:v>
      </x:c>
      <x:c r="B34" s="21" t="str">
        <x:v>housing</x:v>
      </x:c>
      <x:c r="C34" s="34" t="str">
        <x:v>Occupied housing units</x:v>
      </x:c>
      <x:c r="D34" s="34" t="str">
        <x:v>B25002</x:v>
      </x:c>
      <x:c r="E34" s="34" t="str">
        <x:v>B25002_002</x:v>
      </x:c>
      <x:c r="F34" s="34" t="str">
        <x:v>housing_units</x:v>
      </x:c>
      <x:c r="G34" s="34" t="str"/>
    </x:row>
    <x:row r="35">
      <x:c r="A35" s="21" t="str">
        <x:v>vacant_housing_units</x:v>
      </x:c>
      <x:c r="B35" s="21" t="str">
        <x:v>housing</x:v>
      </x:c>
      <x:c r="C35" s="34" t="str">
        <x:v>Vacant housing units</x:v>
      </x:c>
      <x:c r="D35" s="34" t="str">
        <x:v>B25002</x:v>
      </x:c>
      <x:c r="E35" s="34" t="str">
        <x:v>B25002_003</x:v>
      </x:c>
      <x:c r="F35" s="34" t="str">
        <x:v>housing_units</x:v>
      </x:c>
      <x:c r="G35" s="34" t="str"/>
    </x:row>
    <x:row r="36">
      <x:c r="A36" s="21" t="str">
        <x:v>owner_occupied_units</x:v>
      </x:c>
      <x:c r="B36" s="21" t="str">
        <x:v>housing</x:v>
      </x:c>
      <x:c r="C36" s="34" t="str">
        <x:v>Owner-occupied housing units</x:v>
      </x:c>
      <x:c r="D36" s="34" t="str">
        <x:v>B25032</x:v>
      </x:c>
      <x:c r="E36" s="34" t="str">
        <x:v>B25032_002</x:v>
      </x:c>
      <x:c r="F36" s="34" t="str">
        <x:v>occupied_housing_units</x:v>
      </x:c>
      <x:c r="G36" s="34" t="str"/>
    </x:row>
    <x:row r="37">
      <x:c r="A37" s="21" t="str">
        <x:v>renter_occupied_units</x:v>
      </x:c>
      <x:c r="B37" s="21" t="str">
        <x:v>housing</x:v>
      </x:c>
      <x:c r="C37" s="34" t="str">
        <x:v>Renter-occupied housing units</x:v>
      </x:c>
      <x:c r="D37" s="34" t="str">
        <x:v>B25032</x:v>
      </x:c>
      <x:c r="E37" s="34" t="str">
        <x:v>B25032_013</x:v>
      </x:c>
      <x:c r="F37" s="34" t="str">
        <x:v>occupied_housing_units</x:v>
      </x:c>
      <x:c r="G37" s="34" t="str"/>
    </x:row>
    <x:row r="38">
      <x:c r="A38" s="21" t="str">
        <x:v>one_unit_structures</x:v>
      </x:c>
      <x:c r="B38" s="21" t="str">
        <x:v>housing</x:v>
      </x:c>
      <x:c r="C38" s="34" t="str">
        <x:v>Occupied units in 1-unit structures</x:v>
      </x:c>
      <x:c r="D38" s="34" t="str">
        <x:v>B25032</x:v>
      </x:c>
      <x:c r="E38" s="34" t="str">
        <x:v>B25032_003, B25032_004, B25032_014, B25032_015</x:v>
      </x:c>
      <x:c r="F38" s="34" t="str">
        <x:v>occupied_housing_units</x:v>
      </x:c>
      <x:c r="G38" s="34" t="str"/>
    </x:row>
    <x:row r="39">
      <x:c r="A39" s="21" t="str">
        <x:v>two_to_four_unit_structures</x:v>
      </x:c>
      <x:c r="B39" s="21" t="str">
        <x:v>housing</x:v>
      </x:c>
      <x:c r="C39" s="34" t="str">
        <x:v>Occupied units in 2–4-unit structures</x:v>
      </x:c>
      <x:c r="D39" s="34" t="str">
        <x:v>B25032</x:v>
      </x:c>
      <x:c r="E39" s="34" t="str">
        <x:v>B25032_005, B25032_006, B25032_016, B25032_017</x:v>
      </x:c>
      <x:c r="F39" s="34" t="str">
        <x:v>occupied_housing_units</x:v>
      </x:c>
      <x:c r="G39" s="34" t="str"/>
    </x:row>
    <x:row r="40">
      <x:c r="A40" s="21" t="str">
        <x:v>five_to_nineteen_unit_structures</x:v>
      </x:c>
      <x:c r="B40" s="21" t="str">
        <x:v>housing</x:v>
      </x:c>
      <x:c r="C40" s="34" t="str">
        <x:v>Occupied units in 5–19-unit structures</x:v>
      </x:c>
      <x:c r="D40" s="34" t="str">
        <x:v>B25032</x:v>
      </x:c>
      <x:c r="E40" s="34" t="str">
        <x:v>B25032_007, B25032_008, B25032_018, B25032_019</x:v>
      </x:c>
      <x:c r="F40" s="34" t="str">
        <x:v>occupied_housing_units</x:v>
      </x:c>
      <x:c r="G40" s="34" t="str"/>
    </x:row>
    <x:row r="41">
      <x:c r="A41" s="21" t="str">
        <x:v>twenty_to_forty_nine_unit_structures</x:v>
      </x:c>
      <x:c r="B41" s="21" t="str">
        <x:v>housing</x:v>
      </x:c>
      <x:c r="C41" s="34" t="str">
        <x:v>Occupied units in 20–49-unit structures</x:v>
      </x:c>
      <x:c r="D41" s="34" t="str">
        <x:v>B25032</x:v>
      </x:c>
      <x:c r="E41" s="34" t="str">
        <x:v>B25032_009, B25032_020</x:v>
      </x:c>
      <x:c r="F41" s="34" t="str">
        <x:v>occupied_housing_units</x:v>
      </x:c>
      <x:c r="G41" s="34" t="str"/>
    </x:row>
    <x:row r="42">
      <x:c r="A42" s="21" t="str">
        <x:v>fifty_plus_unit_structures</x:v>
      </x:c>
      <x:c r="B42" s="21" t="str">
        <x:v>housing</x:v>
      </x:c>
      <x:c r="C42" s="34" t="str">
        <x:v>Occupied units in 50+-unit structures</x:v>
      </x:c>
      <x:c r="D42" s="34" t="str">
        <x:v>B25032</x:v>
      </x:c>
      <x:c r="E42" s="34" t="str">
        <x:v>B25032_010, B25032_021</x:v>
      </x:c>
      <x:c r="F42" s="34" t="str">
        <x:v>occupied_housing_units</x:v>
      </x:c>
      <x:c r="G42" s="34" t="str"/>
    </x:row>
    <x:row r="43">
      <x:c r="A43" s="21" t="str">
        <x:v>mobile_or_other_units</x:v>
      </x:c>
      <x:c r="B43" s="21" t="str">
        <x:v>housing</x:v>
      </x:c>
      <x:c r="C43" s="34" t="str">
        <x:v>Occupied mobile-home or other units</x:v>
      </x:c>
      <x:c r="D43" s="34" t="str">
        <x:v>B25032</x:v>
      </x:c>
      <x:c r="E43" s="34" t="str">
        <x:v>B25032_011, B25032_012, B25032_022, B25032_023</x:v>
      </x:c>
      <x:c r="F43" s="34" t="str">
        <x:v>occupied_housing_units</x:v>
      </x:c>
      <x:c r="G43" s="34" t="str"/>
    </x:row>
    <x:row r="44">
      <x:c r="A44" s="21" t="str">
        <x:v>electric_heat_households</x:v>
      </x:c>
      <x:c r="B44" s="21" t="str">
        <x:v>housing</x:v>
      </x:c>
      <x:c r="C44" s="34" t="str">
        <x:v>Occupied housing units using electricity as heating fuel</x:v>
      </x:c>
      <x:c r="D44" s="34" t="str">
        <x:v>B25040</x:v>
      </x:c>
      <x:c r="E44" s="34" t="str">
        <x:v>B25040_004</x:v>
      </x:c>
      <x:c r="F44" s="34" t="str">
        <x:v>households</x:v>
      </x:c>
      <x:c r="G44" s="34" t="str">
        <x:v>Heating fuel is not backup-power, cooling, pump, or outage-operability evidence.</x:v>
      </x:c>
    </x:row>
    <x:row r="45">
      <x:c r="A45" s="22" t="str">
        <x:v>group_quarters_population</x:v>
      </x:c>
      <x:c r="B45" s="22" t="str">
        <x:v>population</x:v>
      </x:c>
      <x:c r="C45" s="35" t="str">
        <x:v>Group-quarters population</x:v>
      </x:c>
      <x:c r="D45" s="35" t="str">
        <x:v>B26001</x:v>
      </x:c>
      <x:c r="E45" s="35" t="str">
        <x:v>B26001_001</x:v>
      </x:c>
      <x:c r="F45" s="35" t="str">
        <x:v>acs_population</x:v>
      </x:c>
      <x:c r="G45" s="3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20" hidden="0" customWidth="1"/>
    <x:col min="7" max="7" width="20" hidden="0" customWidth="1"/>
    <x:col min="8" max="8" width="34" hidden="0" customWidth="1"/>
  </x:cols>
  <x:sheetData>
    <x:row r="1">
      <x:c r="A1" s="1" t="str">
        <x:v>Under Five</x:v>
      </x:c>
      <x:c r="B1" s="29"/>
      <x:c r="C1" s="29"/>
      <x:c r="D1" s="29"/>
      <x:c r="E1" s="29"/>
      <x:c r="F1" s="29"/>
      <x:c r="G1" s="29"/>
      <x:c r="H1" s="29"/>
    </x:row>
    <x:row r="2">
      <x:c r="A2" s="2" t="str">
        <x:v>Official B01001 variance-replicate authority for the age 0–4 partition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"/>
    </x:row>
    <x:row r="5">
      <x:c r="A5" s="29"/>
      <x:c r="B5" s="29"/>
      <x:c r="C5" s="29"/>
      <x:c r="D5" s="29"/>
      <x:c r="E5" s="29"/>
      <x:c r="F5" s="29"/>
      <x:c r="G5" s="29"/>
      <x:c r="H5" s="29"/>
    </x:row>
    <x:row r="6" ht="34" customHeight="1">
      <x:c r="A6" s="17" t="str">
        <x:v>Catchment</x:v>
      </x:c>
      <x:c r="B6" s="17" t="str">
        <x:v>Archetype</x:v>
      </x:c>
      <x:c r="C6" s="17" t="str">
        <x:v>Estimate</x:v>
      </x:c>
      <x:c r="D6" s="17" t="str">
        <x:v>Standard error</x:v>
      </x:c>
      <x:c r="E6" s="17" t="str">
        <x:v>90% MOE</x:v>
      </x:c>
      <x:c r="F6" s="17" t="str">
        <x:v>Minimum replicate</x:v>
      </x:c>
      <x:c r="G6" s="17" t="str">
        <x:v>Maximum replicate</x:v>
      </x:c>
      <x:c r="H6" s="17" t="str">
        <x:v>Components</x:v>
      </x:c>
    </x:row>
    <x:row r="7">
      <x:c r="A7" s="20" t="str">
        <x:v>NYC-V1-R01</x:v>
      </x:c>
      <x:c r="B7" s="20" t="str">
        <x:v>V1</x:v>
      </x:c>
      <x:c r="C7" s="23" t="n">
        <x:v>1125</x:v>
      </x:c>
      <x:c r="D7" s="36" t="n">
        <x:v>280.0496384571849</x:v>
      </x:c>
      <x:c r="E7" s="36" t="n">
        <x:v>460.6816552620692</x:v>
      </x:c>
      <x:c r="F7" s="23" t="n">
        <x:v>742</x:v>
      </x:c>
      <x:c r="G7" s="23" t="n">
        <x:v>1446</x:v>
      </x:c>
      <x:c r="H7" s="20" t="str">
        <x:v>B01001_003, B01001_027</x:v>
      </x:c>
    </x:row>
    <x:row r="8">
      <x:c r="A8" s="21" t="str">
        <x:v>NYC-V1-R02</x:v>
      </x:c>
      <x:c r="B8" s="21" t="str">
        <x:v>V1</x:v>
      </x:c>
      <x:c r="C8" s="24" t="n">
        <x:v>1588</x:v>
      </x:c>
      <x:c r="D8" s="37" t="n">
        <x:v>282.2957668828918</x:v>
      </x:c>
      <x:c r="E8" s="37" t="n">
        <x:v>464.37653652235707</x:v>
      </x:c>
      <x:c r="F8" s="24" t="n">
        <x:v>1211</x:v>
      </x:c>
      <x:c r="G8" s="24" t="n">
        <x:v>1883</x:v>
      </x:c>
      <x:c r="H8" s="21" t="str">
        <x:v>B01001_003, B01001_027</x:v>
      </x:c>
    </x:row>
    <x:row r="9">
      <x:c r="A9" s="21" t="str">
        <x:v>NYC-V1-R03</x:v>
      </x:c>
      <x:c r="B9" s="21" t="str">
        <x:v>V1</x:v>
      </x:c>
      <x:c r="C9" s="24" t="n">
        <x:v>964</x:v>
      </x:c>
      <x:c r="D9" s="37" t="n">
        <x:v>224.47316097921373</x:v>
      </x:c>
      <x:c r="E9" s="37" t="n">
        <x:v>369.2583498108066</x:v>
      </x:c>
      <x:c r="F9" s="24" t="n">
        <x:v>702</x:v>
      </x:c>
      <x:c r="G9" s="24" t="n">
        <x:v>1190</x:v>
      </x:c>
      <x:c r="H9" s="21" t="str">
        <x:v>B01001_003, B01001_027</x:v>
      </x:c>
    </x:row>
    <x:row r="10">
      <x:c r="A10" s="21" t="str">
        <x:v>NYC-V1-R04</x:v>
      </x:c>
      <x:c r="B10" s="21" t="str">
        <x:v>V1</x:v>
      </x:c>
      <x:c r="C10" s="24" t="n">
        <x:v>2355</x:v>
      </x:c>
      <x:c r="D10" s="37" t="n">
        <x:v>349.6462498011383</x:v>
      </x:c>
      <x:c r="E10" s="37" t="n">
        <x:v>575.1680809228725</x:v>
      </x:c>
      <x:c r="F10" s="24" t="n">
        <x:v>2014</x:v>
      </x:c>
      <x:c r="G10" s="24" t="n">
        <x:v>2697</x:v>
      </x:c>
      <x:c r="H10" s="21" t="str">
        <x:v>B01001_003, B01001_027</x:v>
      </x:c>
    </x:row>
    <x:row r="11">
      <x:c r="A11" s="21" t="str">
        <x:v>NYC-V2-R01</x:v>
      </x:c>
      <x:c r="B11" s="21" t="str">
        <x:v>V2</x:v>
      </x:c>
      <x:c r="C11" s="24" t="n">
        <x:v>2306</x:v>
      </x:c>
      <x:c r="D11" s="37" t="n">
        <x:v>425.9800464810529</x:v>
      </x:c>
      <x:c r="E11" s="37" t="n">
        <x:v>700.7371764613321</x:v>
      </x:c>
      <x:c r="F11" s="24" t="n">
        <x:v>1783</x:v>
      </x:c>
      <x:c r="G11" s="24" t="n">
        <x:v>2751</x:v>
      </x:c>
      <x:c r="H11" s="21" t="str">
        <x:v>B01001_003, B01001_027</x:v>
      </x:c>
    </x:row>
    <x:row r="12">
      <x:c r="A12" s="21" t="str">
        <x:v>NYC-V2-R02</x:v>
      </x:c>
      <x:c r="B12" s="21" t="str">
        <x:v>V2</x:v>
      </x:c>
      <x:c r="C12" s="24" t="n">
        <x:v>1038</x:v>
      </x:c>
      <x:c r="D12" s="37" t="n">
        <x:v>185.59135216922152</x:v>
      </x:c>
      <x:c r="E12" s="37" t="n">
        <x:v>305.2977743183694</x:v>
      </x:c>
      <x:c r="F12" s="24" t="n">
        <x:v>793</x:v>
      </x:c>
      <x:c r="G12" s="24" t="n">
        <x:v>1345</x:v>
      </x:c>
      <x:c r="H12" s="21" t="str">
        <x:v>B01001_003, B01001_027</x:v>
      </x:c>
    </x:row>
    <x:row r="13">
      <x:c r="A13" s="21" t="str">
        <x:v>NYC-V2-R03</x:v>
      </x:c>
      <x:c r="B13" s="21" t="str">
        <x:v>V2</x:v>
      </x:c>
      <x:c r="C13" s="24" t="n">
        <x:v>2261</x:v>
      </x:c>
      <x:c r="D13" s="37" t="n">
        <x:v>305.1477510977264</x:v>
      </x:c>
      <x:c r="E13" s="37" t="n">
        <x:v>501.96805055576</x:v>
      </x:c>
      <x:c r="F13" s="24" t="n">
        <x:v>1869</x:v>
      </x:c>
      <x:c r="G13" s="24" t="n">
        <x:v>2738</x:v>
      </x:c>
      <x:c r="H13" s="21" t="str">
        <x:v>B01001_003, B01001_027</x:v>
      </x:c>
    </x:row>
    <x:row r="14">
      <x:c r="A14" s="21" t="str">
        <x:v>NYC-V2-R04</x:v>
      </x:c>
      <x:c r="B14" s="21" t="str">
        <x:v>V2</x:v>
      </x:c>
      <x:c r="C14" s="24" t="n">
        <x:v>2621</x:v>
      </x:c>
      <x:c r="D14" s="37" t="n">
        <x:v>500.12618407757856</x:v>
      </x:c>
      <x:c r="E14" s="37" t="n">
        <x:v>822.7075728076168</x:v>
      </x:c>
      <x:c r="F14" s="24" t="n">
        <x:v>1949</x:v>
      </x:c>
      <x:c r="G14" s="24" t="n">
        <x:v>3181</x:v>
      </x:c>
      <x:c r="H14" s="21" t="str">
        <x:v>B01001_003, B01001_027</x:v>
      </x:c>
    </x:row>
    <x:row r="15">
      <x:c r="A15" s="21" t="str">
        <x:v>NYC-V3-R01</x:v>
      </x:c>
      <x:c r="B15" s="21" t="str">
        <x:v>V3</x:v>
      </x:c>
      <x:c r="C15" s="24" t="n">
        <x:v>1548</x:v>
      </x:c>
      <x:c r="D15" s="37" t="n">
        <x:v>297.0982160835033</x:v>
      </x:c>
      <x:c r="E15" s="37" t="n">
        <x:v>488.72656545736294</x:v>
      </x:c>
      <x:c r="F15" s="24" t="n">
        <x:v>1195</x:v>
      </x:c>
      <x:c r="G15" s="24" t="n">
        <x:v>1889</x:v>
      </x:c>
      <x:c r="H15" s="21" t="str">
        <x:v>B01001_003, B01001_027</x:v>
      </x:c>
    </x:row>
    <x:row r="16">
      <x:c r="A16" s="21" t="str">
        <x:v>NYC-V3-R02</x:v>
      </x:c>
      <x:c r="B16" s="21" t="str">
        <x:v>V3</x:v>
      </x:c>
      <x:c r="C16" s="24" t="n">
        <x:v>2331</x:v>
      </x:c>
      <x:c r="D16" s="37" t="n">
        <x:v>279.1636616753692</x:v>
      </x:c>
      <x:c r="E16" s="37" t="n">
        <x:v>459.2242234559824</x:v>
      </x:c>
      <x:c r="F16" s="24" t="n">
        <x:v>2013</x:v>
      </x:c>
      <x:c r="G16" s="24" t="n">
        <x:v>2653</x:v>
      </x:c>
      <x:c r="H16" s="21" t="str">
        <x:v>B01001_003, B01001_027</x:v>
      </x:c>
    </x:row>
    <x:row r="17">
      <x:c r="A17" s="21" t="str">
        <x:v>NYC-V3-R03</x:v>
      </x:c>
      <x:c r="B17" s="21" t="str">
        <x:v>V3</x:v>
      </x:c>
      <x:c r="C17" s="24" t="n">
        <x:v>2491</x:v>
      </x:c>
      <x:c r="D17" s="37" t="n">
        <x:v>316.96734847614823</x:v>
      </x:c>
      <x:c r="E17" s="37" t="n">
        <x:v>521.4112882432638</x:v>
      </x:c>
      <x:c r="F17" s="24" t="n">
        <x:v>2139</x:v>
      </x:c>
      <x:c r="G17" s="24" t="n">
        <x:v>2886</x:v>
      </x:c>
      <x:c r="H17" s="21" t="str">
        <x:v>B01001_003, B01001_027</x:v>
      </x:c>
    </x:row>
    <x:row r="18">
      <x:c r="A18" s="22" t="str">
        <x:v>NYC-V3-R04</x:v>
      </x:c>
      <x:c r="B18" s="22" t="str">
        <x:v>V3</x:v>
      </x:c>
      <x:c r="C18" s="25" t="n">
        <x:v>1685</x:v>
      </x:c>
      <x:c r="D18" s="38" t="n">
        <x:v>227.03733173203037</x:v>
      </x:c>
      <x:c r="E18" s="38" t="n">
        <x:v>373.47641069918996</x:v>
      </x:c>
      <x:c r="F18" s="25" t="n">
        <x:v>1371</x:v>
      </x:c>
      <x:c r="G18" s="25" t="n">
        <x:v>1993</x:v>
      </x:c>
      <x:c r="H18" s="22" t="str">
        <x:v>B01001_003, B01001_027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38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</x:cols>
  <x:sheetData>
    <x:row r="1">
      <x:c r="A1" s="1" t="str">
        <x:v>Source Validation</x:v>
      </x:c>
      <x:c r="B1" s="29"/>
      <x:c r="C1" s="29"/>
      <x:c r="D1" s="29"/>
      <x:c r="E1" s="29"/>
      <x:c r="F1" s="29"/>
      <x:c r="G1" s="29"/>
    </x:row>
    <x:row r="2">
      <x:c r="A2" s="2" t="str">
        <x:v>Independent reconstruction of six B01001 margins from official variance replicates</x:v>
      </x:c>
      <x:c r="B2" s="29"/>
      <x:c r="C2" s="29"/>
      <x:c r="D2" s="29"/>
      <x:c r="E2" s="29"/>
      <x:c r="F2" s="29"/>
      <x:c r="G2" s="29"/>
    </x:row>
    <x:row r="3">
      <x:c r="A3" s="29"/>
      <x:c r="B3" s="29"/>
      <x:c r="C3" s="29"/>
      <x:c r="D3" s="29"/>
      <x:c r="E3" s="29"/>
      <x:c r="F3" s="29"/>
      <x:c r="G3" s="29"/>
    </x:row>
    <x:row r="4">
      <x:c r="A4" s="30"/>
      <x:c r="B4" s="30"/>
      <x:c r="C4" s="30"/>
      <x:c r="D4" s="30"/>
      <x:c r="E4" s="30"/>
      <x:c r="F4" s="30"/>
      <x:c r="G4" s="30"/>
      <x:c r="H4" s="3"/>
      <x:c r="I4" s="3"/>
    </x:row>
    <x:row r="5">
      <x:c r="A5" s="29"/>
      <x:c r="B5" s="29"/>
      <x:c r="C5" s="29"/>
      <x:c r="D5" s="29"/>
      <x:c r="E5" s="29"/>
      <x:c r="F5" s="29"/>
      <x:c r="G5" s="29"/>
    </x:row>
    <x:row r="6" ht="34" customHeight="1">
      <x:c r="A6" s="17" t="str">
        <x:v>Catchment</x:v>
      </x:c>
      <x:c r="B6" s="17" t="str">
        <x:v>Metric</x:v>
      </x:c>
      <x:c r="C6" s="17" t="str">
        <x:v>Estimate</x:v>
      </x:c>
      <x:c r="D6" s="17" t="str">
        <x:v>Standard error</x:v>
      </x:c>
      <x:c r="E6" s="17" t="str">
        <x:v>Point difference</x:v>
      </x:c>
      <x:c r="F6" s="17" t="str">
        <x:v>SE difference</x:v>
      </x:c>
      <x:c r="G6" s="17" t="str">
        <x:v>Check</x:v>
      </x:c>
    </x:row>
    <x:row r="7">
      <x:c r="A7" s="20" t="str">
        <x:v>NYC-V1-R01</x:v>
      </x:c>
      <x:c r="B7" s="20" t="str">
        <x:v>acs_population</x:v>
      </x:c>
      <x:c r="C7" s="23" t="n">
        <x:v>30607</x:v>
      </x:c>
      <x:c r="D7" s="39" t="n">
        <x:v>1414.3697713115903</x:v>
      </x:c>
      <x:c r="E7" s="39" t="n">
        <x:v>0</x:v>
      </x:c>
      <x:c r="F7" s="39" t="n">
        <x:v>2.2737367544323206e-13</x:v>
      </x:c>
      <x:c r="G7" s="20" t="str">
        <x:v>Exact</x:v>
      </x:c>
    </x:row>
    <x:row r="8">
      <x:c r="A8" s="21" t="str">
        <x:v>NYC-V1-R01</x:v>
      </x:c>
      <x:c r="B8" s="21" t="str">
        <x:v>age_under_18</x:v>
      </x:c>
      <x:c r="C8" s="24" t="n">
        <x:v>3951</x:v>
      </x:c>
      <x:c r="D8" s="40" t="n">
        <x:v>484.098388759971</x:v>
      </x:c>
      <x:c r="E8" s="40" t="n">
        <x:v>0</x:v>
      </x:c>
      <x:c r="F8" s="40" t="n">
        <x:v>0</x:v>
      </x:c>
      <x:c r="G8" s="21" t="str">
        <x:v>Exact</x:v>
      </x:c>
    </x:row>
    <x:row r="9">
      <x:c r="A9" s="21" t="str">
        <x:v>NYC-V1-R01</x:v>
      </x:c>
      <x:c r="B9" s="21" t="str">
        <x:v>age_under_5</x:v>
      </x:c>
      <x:c r="C9" s="24" t="n">
        <x:v>1125</x:v>
      </x:c>
      <x:c r="D9" s="40" t="n">
        <x:v>280.0496384571849</x:v>
      </x:c>
      <x:c r="E9" s="40" t="n">
        <x:v>0</x:v>
      </x:c>
      <x:c r="F9" s="40" t="n">
        <x:v>0</x:v>
      </x:c>
      <x:c r="G9" s="21" t="str">
        <x:v>Exact</x:v>
      </x:c>
    </x:row>
    <x:row r="10">
      <x:c r="A10" s="21" t="str">
        <x:v>NYC-V1-R01</x:v>
      </x:c>
      <x:c r="B10" s="21" t="str">
        <x:v>age_65_plus</x:v>
      </x:c>
      <x:c r="C10" s="24" t="n">
        <x:v>8039</x:v>
      </x:c>
      <x:c r="D10" s="40" t="n">
        <x:v>572.8060753867752</x:v>
      </x:c>
      <x:c r="E10" s="40" t="n">
        <x:v>0</x:v>
      </x:c>
      <x:c r="F10" s="40" t="n">
        <x:v>0</x:v>
      </x:c>
      <x:c r="G10" s="21" t="str">
        <x:v>Exact</x:v>
      </x:c>
    </x:row>
    <x:row r="11">
      <x:c r="A11" s="21" t="str">
        <x:v>NYC-V1-R01</x:v>
      </x:c>
      <x:c r="B11" s="21" t="str">
        <x:v>age_75_plus</x:v>
      </x:c>
      <x:c r="C11" s="24" t="n">
        <x:v>3848</x:v>
      </x:c>
      <x:c r="D11" s="40" t="n">
        <x:v>513.4498028045195</x:v>
      </x:c>
      <x:c r="E11" s="40" t="n">
        <x:v>0</x:v>
      </x:c>
      <x:c r="F11" s="40" t="n">
        <x:v>0</x:v>
      </x:c>
      <x:c r="G11" s="21" t="str">
        <x:v>Exact</x:v>
      </x:c>
    </x:row>
    <x:row r="12">
      <x:c r="A12" s="21" t="str">
        <x:v>NYC-V1-R01</x:v>
      </x:c>
      <x:c r="B12" s="21" t="str">
        <x:v>age_85_plus</x:v>
      </x:c>
      <x:c r="C12" s="24" t="n">
        <x:v>1452</x:v>
      </x:c>
      <x:c r="D12" s="40" t="n">
        <x:v>371.14572609690657</x:v>
      </x:c>
      <x:c r="E12" s="40" t="n">
        <x:v>0</x:v>
      </x:c>
      <x:c r="F12" s="40" t="n">
        <x:v>0</x:v>
      </x:c>
      <x:c r="G12" s="21" t="str">
        <x:v>Exact</x:v>
      </x:c>
    </x:row>
    <x:row r="13">
      <x:c r="A13" s="21" t="str">
        <x:v>NYC-V1-R02</x:v>
      </x:c>
      <x:c r="B13" s="21" t="str">
        <x:v>acs_population</x:v>
      </x:c>
      <x:c r="C13" s="24" t="n">
        <x:v>31462</x:v>
      </x:c>
      <x:c r="D13" s="40" t="n">
        <x:v>1902.066323764763</x:v>
      </x:c>
      <x:c r="E13" s="40" t="n">
        <x:v>0</x:v>
      </x:c>
      <x:c r="F13" s="40" t="n">
        <x:v>0</x:v>
      </x:c>
      <x:c r="G13" s="21" t="str">
        <x:v>Exact</x:v>
      </x:c>
    </x:row>
    <x:row r="14">
      <x:c r="A14" s="21" t="str">
        <x:v>NYC-V1-R02</x:v>
      </x:c>
      <x:c r="B14" s="21" t="str">
        <x:v>age_under_18</x:v>
      </x:c>
      <x:c r="C14" s="24" t="n">
        <x:v>4335</x:v>
      </x:c>
      <x:c r="D14" s="40" t="n">
        <x:v>583.8060465599856</x:v>
      </x:c>
      <x:c r="E14" s="40" t="n">
        <x:v>0</x:v>
      </x:c>
      <x:c r="F14" s="40" t="n">
        <x:v>0</x:v>
      </x:c>
      <x:c r="G14" s="21" t="str">
        <x:v>Exact</x:v>
      </x:c>
    </x:row>
    <x:row r="15">
      <x:c r="A15" s="21" t="str">
        <x:v>NYC-V1-R02</x:v>
      </x:c>
      <x:c r="B15" s="21" t="str">
        <x:v>age_under_5</x:v>
      </x:c>
      <x:c r="C15" s="24" t="n">
        <x:v>1588</x:v>
      </x:c>
      <x:c r="D15" s="40" t="n">
        <x:v>282.2957668828918</x:v>
      </x:c>
      <x:c r="E15" s="40" t="n">
        <x:v>0</x:v>
      </x:c>
      <x:c r="F15" s="40" t="n">
        <x:v>0</x:v>
      </x:c>
      <x:c r="G15" s="21" t="str">
        <x:v>Exact</x:v>
      </x:c>
    </x:row>
    <x:row r="16">
      <x:c r="A16" s="21" t="str">
        <x:v>NYC-V1-R02</x:v>
      </x:c>
      <x:c r="B16" s="21" t="str">
        <x:v>age_65_plus</x:v>
      </x:c>
      <x:c r="C16" s="24" t="n">
        <x:v>7247</x:v>
      </x:c>
      <x:c r="D16" s="40" t="n">
        <x:v>528.4720427799374</x:v>
      </x:c>
      <x:c r="E16" s="40" t="n">
        <x:v>0</x:v>
      </x:c>
      <x:c r="F16" s="40" t="n">
        <x:v>0</x:v>
      </x:c>
      <x:c r="G16" s="21" t="str">
        <x:v>Exact</x:v>
      </x:c>
    </x:row>
    <x:row r="17">
      <x:c r="A17" s="21" t="str">
        <x:v>NYC-V1-R02</x:v>
      </x:c>
      <x:c r="B17" s="21" t="str">
        <x:v>age_75_plus</x:v>
      </x:c>
      <x:c r="C17" s="24" t="n">
        <x:v>3662</x:v>
      </x:c>
      <x:c r="D17" s="40" t="n">
        <x:v>421.7290599425181</x:v>
      </x:c>
      <x:c r="E17" s="40" t="n">
        <x:v>0</x:v>
      </x:c>
      <x:c r="F17" s="40" t="n">
        <x:v>0</x:v>
      </x:c>
      <x:c r="G17" s="21" t="str">
        <x:v>Exact</x:v>
      </x:c>
    </x:row>
    <x:row r="18">
      <x:c r="A18" s="21" t="str">
        <x:v>NYC-V1-R02</x:v>
      </x:c>
      <x:c r="B18" s="21" t="str">
        <x:v>age_85_plus</x:v>
      </x:c>
      <x:c r="C18" s="24" t="n">
        <x:v>1218</x:v>
      </x:c>
      <x:c r="D18" s="40" t="n">
        <x:v>296.73860550996733</x:v>
      </x:c>
      <x:c r="E18" s="40" t="n">
        <x:v>0</x:v>
      </x:c>
      <x:c r="F18" s="40" t="n">
        <x:v>0</x:v>
      </x:c>
      <x:c r="G18" s="21" t="str">
        <x:v>Exact</x:v>
      </x:c>
    </x:row>
    <x:row r="19">
      <x:c r="A19" s="21" t="str">
        <x:v>NYC-V1-R03</x:v>
      </x:c>
      <x:c r="B19" s="21" t="str">
        <x:v>acs_population</x:v>
      </x:c>
      <x:c r="C19" s="24" t="n">
        <x:v>27923</x:v>
      </x:c>
      <x:c r="D19" s="40" t="n">
        <x:v>1294.5028196184046</x:v>
      </x:c>
      <x:c r="E19" s="40" t="n">
        <x:v>0</x:v>
      </x:c>
      <x:c r="F19" s="40" t="n">
        <x:v>0</x:v>
      </x:c>
      <x:c r="G19" s="21" t="str">
        <x:v>Exact</x:v>
      </x:c>
    </x:row>
    <x:row r="20">
      <x:c r="A20" s="21" t="str">
        <x:v>NYC-V1-R03</x:v>
      </x:c>
      <x:c r="B20" s="21" t="str">
        <x:v>age_under_18</x:v>
      </x:c>
      <x:c r="C20" s="24" t="n">
        <x:v>2587</x:v>
      </x:c>
      <x:c r="D20" s="40" t="n">
        <x:v>385.9863339549731</x:v>
      </x:c>
      <x:c r="E20" s="40" t="n">
        <x:v>0</x:v>
      </x:c>
      <x:c r="F20" s="40" t="n">
        <x:v>0</x:v>
      </x:c>
      <x:c r="G20" s="21" t="str">
        <x:v>Exact</x:v>
      </x:c>
    </x:row>
    <x:row r="21">
      <x:c r="A21" s="21" t="str">
        <x:v>NYC-V1-R03</x:v>
      </x:c>
      <x:c r="B21" s="21" t="str">
        <x:v>age_under_5</x:v>
      </x:c>
      <x:c r="C21" s="24" t="n">
        <x:v>964</x:v>
      </x:c>
      <x:c r="D21" s="40" t="n">
        <x:v>224.47316097921373</x:v>
      </x:c>
      <x:c r="E21" s="40" t="n">
        <x:v>0</x:v>
      </x:c>
      <x:c r="F21" s="40" t="n">
        <x:v>0</x:v>
      </x:c>
      <x:c r="G21" s="21" t="str">
        <x:v>Exact</x:v>
      </x:c>
    </x:row>
    <x:row r="22">
      <x:c r="A22" s="21" t="str">
        <x:v>NYC-V1-R03</x:v>
      </x:c>
      <x:c r="B22" s="21" t="str">
        <x:v>age_65_plus</x:v>
      </x:c>
      <x:c r="C22" s="24" t="n">
        <x:v>3991</x:v>
      </x:c>
      <x:c r="D22" s="40" t="n">
        <x:v>482.6947793378337</x:v>
      </x:c>
      <x:c r="E22" s="40" t="n">
        <x:v>0</x:v>
      </x:c>
      <x:c r="F22" s="40" t="n">
        <x:v>0</x:v>
      </x:c>
      <x:c r="G22" s="21" t="str">
        <x:v>Exact</x:v>
      </x:c>
    </x:row>
    <x:row r="23">
      <x:c r="A23" s="21" t="str">
        <x:v>NYC-V1-R03</x:v>
      </x:c>
      <x:c r="B23" s="21" t="str">
        <x:v>age_75_plus</x:v>
      </x:c>
      <x:c r="C23" s="24" t="n">
        <x:v>2191</x:v>
      </x:c>
      <x:c r="D23" s="40" t="n">
        <x:v>397.9192129063386</x:v>
      </x:c>
      <x:c r="E23" s="40" t="n">
        <x:v>0</x:v>
      </x:c>
      <x:c r="F23" s="40" t="n">
        <x:v>0</x:v>
      </x:c>
      <x:c r="G23" s="21" t="str">
        <x:v>Exact</x:v>
      </x:c>
    </x:row>
    <x:row r="24">
      <x:c r="A24" s="21" t="str">
        <x:v>NYC-V1-R03</x:v>
      </x:c>
      <x:c r="B24" s="21" t="str">
        <x:v>age_85_plus</x:v>
      </x:c>
      <x:c r="C24" s="24" t="n">
        <x:v>1125</x:v>
      </x:c>
      <x:c r="D24" s="40" t="n">
        <x:v>331.8523014836571</x:v>
      </x:c>
      <x:c r="E24" s="40" t="n">
        <x:v>0</x:v>
      </x:c>
      <x:c r="F24" s="40" t="n">
        <x:v>0</x:v>
      </x:c>
      <x:c r="G24" s="21" t="str">
        <x:v>Exact</x:v>
      </x:c>
    </x:row>
    <x:row r="25">
      <x:c r="A25" s="21" t="str">
        <x:v>NYC-V1-R04</x:v>
      </x:c>
      <x:c r="B25" s="21" t="str">
        <x:v>acs_population</x:v>
      </x:c>
      <x:c r="C25" s="24" t="n">
        <x:v>35433</x:v>
      </x:c>
      <x:c r="D25" s="40" t="n">
        <x:v>1407.7052248251407</x:v>
      </x:c>
      <x:c r="E25" s="40" t="n">
        <x:v>0</x:v>
      </x:c>
      <x:c r="F25" s="40" t="n">
        <x:v>0</x:v>
      </x:c>
      <x:c r="G25" s="21" t="str">
        <x:v>Exact</x:v>
      </x:c>
    </x:row>
    <x:row r="26">
      <x:c r="A26" s="21" t="str">
        <x:v>NYC-V1-R04</x:v>
      </x:c>
      <x:c r="B26" s="21" t="str">
        <x:v>age_under_18</x:v>
      </x:c>
      <x:c r="C26" s="24" t="n">
        <x:v>8026</x:v>
      </x:c>
      <x:c r="D26" s="40" t="n">
        <x:v>803.9552537299573</x:v>
      </x:c>
      <x:c r="E26" s="40" t="n">
        <x:v>0</x:v>
      </x:c>
      <x:c r="F26" s="40" t="n">
        <x:v>0</x:v>
      </x:c>
      <x:c r="G26" s="21" t="str">
        <x:v>Exact</x:v>
      </x:c>
    </x:row>
    <x:row r="27">
      <x:c r="A27" s="21" t="str">
        <x:v>NYC-V1-R04</x:v>
      </x:c>
      <x:c r="B27" s="21" t="str">
        <x:v>age_under_5</x:v>
      </x:c>
      <x:c r="C27" s="24" t="n">
        <x:v>2355</x:v>
      </x:c>
      <x:c r="D27" s="40" t="n">
        <x:v>349.6462498011383</x:v>
      </x:c>
      <x:c r="E27" s="40" t="n">
        <x:v>0</x:v>
      </x:c>
      <x:c r="F27" s="40" t="n">
        <x:v>0</x:v>
      </x:c>
      <x:c r="G27" s="21" t="str">
        <x:v>Exact</x:v>
      </x:c>
    </x:row>
    <x:row r="28">
      <x:c r="A28" s="21" t="str">
        <x:v>NYC-V1-R04</x:v>
      </x:c>
      <x:c r="B28" s="21" t="str">
        <x:v>age_65_plus</x:v>
      </x:c>
      <x:c r="C28" s="24" t="n">
        <x:v>4213</x:v>
      </x:c>
      <x:c r="D28" s="40" t="n">
        <x:v>293.967004951236</x:v>
      </x:c>
      <x:c r="E28" s="40" t="n">
        <x:v>0</x:v>
      </x:c>
      <x:c r="F28" s="40" t="n">
        <x:v>0</x:v>
      </x:c>
      <x:c r="G28" s="21" t="str">
        <x:v>Exact</x:v>
      </x:c>
    </x:row>
    <x:row r="29">
      <x:c r="A29" s="21" t="str">
        <x:v>NYC-V1-R04</x:v>
      </x:c>
      <x:c r="B29" s="21" t="str">
        <x:v>age_75_plus</x:v>
      </x:c>
      <x:c r="C29" s="24" t="n">
        <x:v>1891</x:v>
      </x:c>
      <x:c r="D29" s="40" t="n">
        <x:v>275.36793567879323</x:v>
      </x:c>
      <x:c r="E29" s="40" t="n">
        <x:v>0</x:v>
      </x:c>
      <x:c r="F29" s="40" t="n">
        <x:v>0</x:v>
      </x:c>
      <x:c r="G29" s="21" t="str">
        <x:v>Exact</x:v>
      </x:c>
    </x:row>
    <x:row r="30">
      <x:c r="A30" s="21" t="str">
        <x:v>NYC-V1-R04</x:v>
      </x:c>
      <x:c r="B30" s="21" t="str">
        <x:v>age_85_plus</x:v>
      </x:c>
      <x:c r="C30" s="24" t="n">
        <x:v>629</x:v>
      </x:c>
      <x:c r="D30" s="40" t="n">
        <x:v>141.50371019870823</x:v>
      </x:c>
      <x:c r="E30" s="40" t="n">
        <x:v>0</x:v>
      </x:c>
      <x:c r="F30" s="40" t="n">
        <x:v>0</x:v>
      </x:c>
      <x:c r="G30" s="21" t="str">
        <x:v>Exact</x:v>
      </x:c>
    </x:row>
    <x:row r="31">
      <x:c r="A31" s="21" t="str">
        <x:v>NYC-V2-R01</x:v>
      </x:c>
      <x:c r="B31" s="21" t="str">
        <x:v>acs_population</x:v>
      </x:c>
      <x:c r="C31" s="24" t="n">
        <x:v>30574</x:v>
      </x:c>
      <x:c r="D31" s="40" t="n">
        <x:v>1614.1890688516014</x:v>
      </x:c>
      <x:c r="E31" s="40" t="n">
        <x:v>0</x:v>
      </x:c>
      <x:c r="F31" s="40" t="n">
        <x:v>-2.2737367544323206e-13</x:v>
      </x:c>
      <x:c r="G31" s="21" t="str">
        <x:v>Exact</x:v>
      </x:c>
    </x:row>
    <x:row r="32">
      <x:c r="A32" s="21" t="str">
        <x:v>NYC-V2-R01</x:v>
      </x:c>
      <x:c r="B32" s="21" t="str">
        <x:v>age_under_18</x:v>
      </x:c>
      <x:c r="C32" s="24" t="n">
        <x:v>7722</x:v>
      </x:c>
      <x:c r="D32" s="40" t="n">
        <x:v>870.5698995485659</x:v>
      </x:c>
      <x:c r="E32" s="40" t="n">
        <x:v>0</x:v>
      </x:c>
      <x:c r="F32" s="40" t="n">
        <x:v>0</x:v>
      </x:c>
      <x:c r="G32" s="21" t="str">
        <x:v>Exact</x:v>
      </x:c>
    </x:row>
    <x:row r="33">
      <x:c r="A33" s="21" t="str">
        <x:v>NYC-V2-R01</x:v>
      </x:c>
      <x:c r="B33" s="21" t="str">
        <x:v>age_under_5</x:v>
      </x:c>
      <x:c r="C33" s="24" t="n">
        <x:v>2306</x:v>
      </x:c>
      <x:c r="D33" s="40" t="n">
        <x:v>425.9800464810529</x:v>
      </x:c>
      <x:c r="E33" s="40" t="n">
        <x:v>0</x:v>
      </x:c>
      <x:c r="F33" s="40" t="n">
        <x:v>0</x:v>
      </x:c>
      <x:c r="G33" s="21" t="str">
        <x:v>Exact</x:v>
      </x:c>
    </x:row>
    <x:row r="34">
      <x:c r="A34" s="21" t="str">
        <x:v>NYC-V2-R01</x:v>
      </x:c>
      <x:c r="B34" s="21" t="str">
        <x:v>age_65_plus</x:v>
      </x:c>
      <x:c r="C34" s="24" t="n">
        <x:v>3199</x:v>
      </x:c>
      <x:c r="D34" s="40" t="n">
        <x:v>337.42169461965545</x:v>
      </x:c>
      <x:c r="E34" s="40" t="n">
        <x:v>0</x:v>
      </x:c>
      <x:c r="F34" s="40" t="n">
        <x:v>0</x:v>
      </x:c>
      <x:c r="G34" s="21" t="str">
        <x:v>Exact</x:v>
      </x:c>
    </x:row>
    <x:row r="35">
      <x:c r="A35" s="21" t="str">
        <x:v>NYC-V2-R01</x:v>
      </x:c>
      <x:c r="B35" s="21" t="str">
        <x:v>age_75_plus</x:v>
      </x:c>
      <x:c r="C35" s="24" t="n">
        <x:v>1273</x:v>
      </x:c>
      <x:c r="D35" s="40" t="n">
        <x:v>285.10594522036894</x:v>
      </x:c>
      <x:c r="E35" s="40" t="n">
        <x:v>0</x:v>
      </x:c>
      <x:c r="F35" s="40" t="n">
        <x:v>0</x:v>
      </x:c>
      <x:c r="G35" s="21" t="str">
        <x:v>Exact</x:v>
      </x:c>
    </x:row>
    <x:row r="36">
      <x:c r="A36" s="21" t="str">
        <x:v>NYC-V2-R01</x:v>
      </x:c>
      <x:c r="B36" s="21" t="str">
        <x:v>age_85_plus</x:v>
      </x:c>
      <x:c r="C36" s="24" t="n">
        <x:v>217</x:v>
      </x:c>
      <x:c r="D36" s="40" t="n">
        <x:v>120.80956087992374</x:v>
      </x:c>
      <x:c r="E36" s="40" t="n">
        <x:v>0</x:v>
      </x:c>
      <x:c r="F36" s="40" t="n">
        <x:v>0</x:v>
      </x:c>
      <x:c r="G36" s="21" t="str">
        <x:v>Exact</x:v>
      </x:c>
    </x:row>
    <x:row r="37">
      <x:c r="A37" s="21" t="str">
        <x:v>NYC-V2-R02</x:v>
      </x:c>
      <x:c r="B37" s="21" t="str">
        <x:v>acs_population</x:v>
      </x:c>
      <x:c r="C37" s="24" t="n">
        <x:v>29733</x:v>
      </x:c>
      <x:c r="D37" s="40" t="n">
        <x:v>1298.049844959738</x:v>
      </x:c>
      <x:c r="E37" s="40" t="n">
        <x:v>0</x:v>
      </x:c>
      <x:c r="F37" s="40" t="n">
        <x:v>0</x:v>
      </x:c>
      <x:c r="G37" s="21" t="str">
        <x:v>Exact</x:v>
      </x:c>
    </x:row>
    <x:row r="38">
      <x:c r="A38" s="21" t="str">
        <x:v>NYC-V2-R02</x:v>
      </x:c>
      <x:c r="B38" s="21" t="str">
        <x:v>age_under_18</x:v>
      </x:c>
      <x:c r="C38" s="24" t="n">
        <x:v>5104</x:v>
      </x:c>
      <x:c r="D38" s="40" t="n">
        <x:v>531.2096102293332</x:v>
      </x:c>
      <x:c r="E38" s="40" t="n">
        <x:v>0</x:v>
      </x:c>
      <x:c r="F38" s="40" t="n">
        <x:v>0</x:v>
      </x:c>
      <x:c r="G38" s="21" t="str">
        <x:v>Exact</x:v>
      </x:c>
    </x:row>
    <x:row r="39">
      <x:c r="A39" s="21" t="str">
        <x:v>NYC-V2-R02</x:v>
      </x:c>
      <x:c r="B39" s="21" t="str">
        <x:v>age_under_5</x:v>
      </x:c>
      <x:c r="C39" s="24" t="n">
        <x:v>1038</x:v>
      </x:c>
      <x:c r="D39" s="40" t="n">
        <x:v>185.59135216922152</x:v>
      </x:c>
      <x:c r="E39" s="40" t="n">
        <x:v>0</x:v>
      </x:c>
      <x:c r="F39" s="40" t="n">
        <x:v>0</x:v>
      </x:c>
      <x:c r="G39" s="21" t="str">
        <x:v>Exact</x:v>
      </x:c>
    </x:row>
    <x:row r="40">
      <x:c r="A40" s="21" t="str">
        <x:v>NYC-V2-R02</x:v>
      </x:c>
      <x:c r="B40" s="21" t="str">
        <x:v>age_65_plus</x:v>
      </x:c>
      <x:c r="C40" s="24" t="n">
        <x:v>5759</x:v>
      </x:c>
      <x:c r="D40" s="40" t="n">
        <x:v>343.9414194306932</x:v>
      </x:c>
      <x:c r="E40" s="40" t="n">
        <x:v>0</x:v>
      </x:c>
      <x:c r="F40" s="40" t="n">
        <x:v>5.684341886080802e-14</x:v>
      </x:c>
      <x:c r="G40" s="21" t="str">
        <x:v>Exact</x:v>
      </x:c>
    </x:row>
    <x:row r="41">
      <x:c r="A41" s="21" t="str">
        <x:v>NYC-V2-R02</x:v>
      </x:c>
      <x:c r="B41" s="21" t="str">
        <x:v>age_75_plus</x:v>
      </x:c>
      <x:c r="C41" s="24" t="n">
        <x:v>2055</x:v>
      </x:c>
      <x:c r="D41" s="40" t="n">
        <x:v>195.34418343017023</x:v>
      </x:c>
      <x:c r="E41" s="40" t="n">
        <x:v>0</x:v>
      </x:c>
      <x:c r="F41" s="40" t="n">
        <x:v>0</x:v>
      </x:c>
      <x:c r="G41" s="21" t="str">
        <x:v>Exact</x:v>
      </x:c>
    </x:row>
    <x:row r="42">
      <x:c r="A42" s="21" t="str">
        <x:v>NYC-V2-R02</x:v>
      </x:c>
      <x:c r="B42" s="21" t="str">
        <x:v>age_85_plus</x:v>
      </x:c>
      <x:c r="C42" s="24" t="n">
        <x:v>552</x:v>
      </x:c>
      <x:c r="D42" s="40" t="n">
        <x:v>105.49099487634004</x:v>
      </x:c>
      <x:c r="E42" s="40" t="n">
        <x:v>0</x:v>
      </x:c>
      <x:c r="F42" s="40" t="n">
        <x:v>0</x:v>
      </x:c>
      <x:c r="G42" s="21" t="str">
        <x:v>Exact</x:v>
      </x:c>
    </x:row>
    <x:row r="43">
      <x:c r="A43" s="21" t="str">
        <x:v>NYC-V2-R03</x:v>
      </x:c>
      <x:c r="B43" s="21" t="str">
        <x:v>acs_population</x:v>
      </x:c>
      <x:c r="C43" s="24" t="n">
        <x:v>38764</x:v>
      </x:c>
      <x:c r="D43" s="40" t="n">
        <x:v>1372.3163629425978</x:v>
      </x:c>
      <x:c r="E43" s="40" t="n">
        <x:v>0</x:v>
      </x:c>
      <x:c r="F43" s="40" t="n">
        <x:v>2.2737367544323206e-13</x:v>
      </x:c>
      <x:c r="G43" s="21" t="str">
        <x:v>Exact</x:v>
      </x:c>
    </x:row>
    <x:row r="44">
      <x:c r="A44" s="21" t="str">
        <x:v>NYC-V2-R03</x:v>
      </x:c>
      <x:c r="B44" s="21" t="str">
        <x:v>age_under_18</x:v>
      </x:c>
      <x:c r="C44" s="24" t="n">
        <x:v>7977</x:v>
      </x:c>
      <x:c r="D44" s="40" t="n">
        <x:v>702.6615116825454</x:v>
      </x:c>
      <x:c r="E44" s="40" t="n">
        <x:v>0</x:v>
      </x:c>
      <x:c r="F44" s="40" t="n">
        <x:v>0</x:v>
      </x:c>
      <x:c r="G44" s="21" t="str">
        <x:v>Exact</x:v>
      </x:c>
    </x:row>
    <x:row r="45">
      <x:c r="A45" s="21" t="str">
        <x:v>NYC-V2-R03</x:v>
      </x:c>
      <x:c r="B45" s="21" t="str">
        <x:v>age_under_5</x:v>
      </x:c>
      <x:c r="C45" s="24" t="n">
        <x:v>2261</x:v>
      </x:c>
      <x:c r="D45" s="40" t="n">
        <x:v>305.1477510977264</x:v>
      </x:c>
      <x:c r="E45" s="40" t="n">
        <x:v>0</x:v>
      </x:c>
      <x:c r="F45" s="40" t="n">
        <x:v>0</x:v>
      </x:c>
      <x:c r="G45" s="21" t="str">
        <x:v>Exact</x:v>
      </x:c>
    </x:row>
    <x:row r="46">
      <x:c r="A46" s="21" t="str">
        <x:v>NYC-V2-R03</x:v>
      </x:c>
      <x:c r="B46" s="21" t="str">
        <x:v>age_65_plus</x:v>
      </x:c>
      <x:c r="C46" s="24" t="n">
        <x:v>4703</x:v>
      </x:c>
      <x:c r="D46" s="40" t="n">
        <x:v>311.46685216889455</x:v>
      </x:c>
      <x:c r="E46" s="40" t="n">
        <x:v>0</x:v>
      </x:c>
      <x:c r="F46" s="40" t="n">
        <x:v>0</x:v>
      </x:c>
      <x:c r="G46" s="21" t="str">
        <x:v>Exact</x:v>
      </x:c>
    </x:row>
    <x:row r="47">
      <x:c r="A47" s="21" t="str">
        <x:v>NYC-V2-R03</x:v>
      </x:c>
      <x:c r="B47" s="21" t="str">
        <x:v>age_75_plus</x:v>
      </x:c>
      <x:c r="C47" s="24" t="n">
        <x:v>1719</x:v>
      </x:c>
      <x:c r="D47" s="40" t="n">
        <x:v>207.76501149134808</x:v>
      </x:c>
      <x:c r="E47" s="40" t="n">
        <x:v>0</x:v>
      </x:c>
      <x:c r="F47" s="40" t="n">
        <x:v>0</x:v>
      </x:c>
      <x:c r="G47" s="21" t="str">
        <x:v>Exact</x:v>
      </x:c>
    </x:row>
    <x:row r="48">
      <x:c r="A48" s="21" t="str">
        <x:v>NYC-V2-R03</x:v>
      </x:c>
      <x:c r="B48" s="21" t="str">
        <x:v>age_85_plus</x:v>
      </x:c>
      <x:c r="C48" s="24" t="n">
        <x:v>558</x:v>
      </x:c>
      <x:c r="D48" s="40" t="n">
        <x:v>119.77645845490675</x:v>
      </x:c>
      <x:c r="E48" s="40" t="n">
        <x:v>0</x:v>
      </x:c>
      <x:c r="F48" s="40" t="n">
        <x:v>0</x:v>
      </x:c>
      <x:c r="G48" s="21" t="str">
        <x:v>Exact</x:v>
      </x:c>
    </x:row>
    <x:row r="49">
      <x:c r="A49" s="21" t="str">
        <x:v>NYC-V2-R04</x:v>
      </x:c>
      <x:c r="B49" s="21" t="str">
        <x:v>acs_population</x:v>
      </x:c>
      <x:c r="C49" s="24" t="n">
        <x:v>35397</x:v>
      </x:c>
      <x:c r="D49" s="40" t="n">
        <x:v>1482.3410538739051</x:v>
      </x:c>
      <x:c r="E49" s="40" t="n">
        <x:v>0</x:v>
      </x:c>
      <x:c r="F49" s="40" t="n">
        <x:v>0</x:v>
      </x:c>
      <x:c r="G49" s="21" t="str">
        <x:v>Exact</x:v>
      </x:c>
    </x:row>
    <x:row r="50">
      <x:c r="A50" s="21" t="str">
        <x:v>NYC-V2-R04</x:v>
      </x:c>
      <x:c r="B50" s="21" t="str">
        <x:v>age_under_18</x:v>
      </x:c>
      <x:c r="C50" s="24" t="n">
        <x:v>9778</x:v>
      </x:c>
      <x:c r="D50" s="40" t="n">
        <x:v>867.2309092738797</x:v>
      </x:c>
      <x:c r="E50" s="40" t="n">
        <x:v>0</x:v>
      </x:c>
      <x:c r="F50" s="40" t="n">
        <x:v>0</x:v>
      </x:c>
      <x:c r="G50" s="21" t="str">
        <x:v>Exact</x:v>
      </x:c>
    </x:row>
    <x:row r="51">
      <x:c r="A51" s="21" t="str">
        <x:v>NYC-V2-R04</x:v>
      </x:c>
      <x:c r="B51" s="21" t="str">
        <x:v>age_under_5</x:v>
      </x:c>
      <x:c r="C51" s="24" t="n">
        <x:v>2621</x:v>
      </x:c>
      <x:c r="D51" s="40" t="n">
        <x:v>500.12618407757856</x:v>
      </x:c>
      <x:c r="E51" s="40" t="n">
        <x:v>0</x:v>
      </x:c>
      <x:c r="F51" s="40" t="n">
        <x:v>0</x:v>
      </x:c>
      <x:c r="G51" s="21" t="str">
        <x:v>Exact</x:v>
      </x:c>
    </x:row>
    <x:row r="52">
      <x:c r="A52" s="21" t="str">
        <x:v>NYC-V2-R04</x:v>
      </x:c>
      <x:c r="B52" s="21" t="str">
        <x:v>age_65_plus</x:v>
      </x:c>
      <x:c r="C52" s="24" t="n">
        <x:v>4484</x:v>
      </x:c>
      <x:c r="D52" s="40" t="n">
        <x:v>520.930753555595</x:v>
      </x:c>
      <x:c r="E52" s="40" t="n">
        <x:v>0</x:v>
      </x:c>
      <x:c r="F52" s="40" t="n">
        <x:v>0</x:v>
      </x:c>
      <x:c r="G52" s="21" t="str">
        <x:v>Exact</x:v>
      </x:c>
    </x:row>
    <x:row r="53">
      <x:c r="A53" s="21" t="str">
        <x:v>NYC-V2-R04</x:v>
      </x:c>
      <x:c r="B53" s="21" t="str">
        <x:v>age_75_plus</x:v>
      </x:c>
      <x:c r="C53" s="24" t="n">
        <x:v>1499</x:v>
      </x:c>
      <x:c r="D53" s="40" t="n">
        <x:v>258.93020295052486</x:v>
      </x:c>
      <x:c r="E53" s="40" t="n">
        <x:v>0</x:v>
      </x:c>
      <x:c r="F53" s="40" t="n">
        <x:v>0</x:v>
      </x:c>
      <x:c r="G53" s="21" t="str">
        <x:v>Exact</x:v>
      </x:c>
    </x:row>
    <x:row r="54">
      <x:c r="A54" s="21" t="str">
        <x:v>NYC-V2-R04</x:v>
      </x:c>
      <x:c r="B54" s="21" t="str">
        <x:v>age_85_plus</x:v>
      </x:c>
      <x:c r="C54" s="24" t="n">
        <x:v>436</x:v>
      </x:c>
      <x:c r="D54" s="40" t="n">
        <x:v>121.58392163440034</x:v>
      </x:c>
      <x:c r="E54" s="40" t="n">
        <x:v>0</x:v>
      </x:c>
      <x:c r="F54" s="40" t="n">
        <x:v>0</x:v>
      </x:c>
      <x:c r="G54" s="21" t="str">
        <x:v>Exact</x:v>
      </x:c>
    </x:row>
    <x:row r="55">
      <x:c r="A55" s="21" t="str">
        <x:v>NYC-V3-R01</x:v>
      </x:c>
      <x:c r="B55" s="21" t="str">
        <x:v>acs_population</x:v>
      </x:c>
      <x:c r="C55" s="24" t="n">
        <x:v>34085</x:v>
      </x:c>
      <x:c r="D55" s="40" t="n">
        <x:v>1244.7103277469823</x:v>
      </x:c>
      <x:c r="E55" s="40" t="n">
        <x:v>0</x:v>
      </x:c>
      <x:c r="F55" s="40" t="n">
        <x:v>0</x:v>
      </x:c>
      <x:c r="G55" s="21" t="str">
        <x:v>Exact</x:v>
      </x:c>
    </x:row>
    <x:row r="56">
      <x:c r="A56" s="21" t="str">
        <x:v>NYC-V3-R01</x:v>
      </x:c>
      <x:c r="B56" s="21" t="str">
        <x:v>age_under_18</x:v>
      </x:c>
      <x:c r="C56" s="24" t="n">
        <x:v>4833</x:v>
      </x:c>
      <x:c r="D56" s="40" t="n">
        <x:v>567.5816681324371</x:v>
      </x:c>
      <x:c r="E56" s="40" t="n">
        <x:v>0</x:v>
      </x:c>
      <x:c r="F56" s="40" t="n">
        <x:v>0</x:v>
      </x:c>
      <x:c r="G56" s="21" t="str">
        <x:v>Exact</x:v>
      </x:c>
    </x:row>
    <x:row r="57">
      <x:c r="A57" s="21" t="str">
        <x:v>NYC-V3-R01</x:v>
      </x:c>
      <x:c r="B57" s="21" t="str">
        <x:v>age_under_5</x:v>
      </x:c>
      <x:c r="C57" s="24" t="n">
        <x:v>1548</x:v>
      </x:c>
      <x:c r="D57" s="40" t="n">
        <x:v>297.0982160835033</x:v>
      </x:c>
      <x:c r="E57" s="40" t="n">
        <x:v>0</x:v>
      </x:c>
      <x:c r="F57" s="40" t="n">
        <x:v>0</x:v>
      </x:c>
      <x:c r="G57" s="21" t="str">
        <x:v>Exact</x:v>
      </x:c>
    </x:row>
    <x:row r="58">
      <x:c r="A58" s="21" t="str">
        <x:v>NYC-V3-R01</x:v>
      </x:c>
      <x:c r="B58" s="21" t="str">
        <x:v>age_65_plus</x:v>
      </x:c>
      <x:c r="C58" s="24" t="n">
        <x:v>5397</x:v>
      </x:c>
      <x:c r="D58" s="40" t="n">
        <x:v>396.21010840209516</x:v>
      </x:c>
      <x:c r="E58" s="40" t="n">
        <x:v>0</x:v>
      </x:c>
      <x:c r="F58" s="40" t="n">
        <x:v>0</x:v>
      </x:c>
      <x:c r="G58" s="21" t="str">
        <x:v>Exact</x:v>
      </x:c>
    </x:row>
    <x:row r="59">
      <x:c r="A59" s="21" t="str">
        <x:v>NYC-V3-R01</x:v>
      </x:c>
      <x:c r="B59" s="21" t="str">
        <x:v>age_75_plus</x:v>
      </x:c>
      <x:c r="C59" s="24" t="n">
        <x:v>2200</x:v>
      </x:c>
      <x:c r="D59" s="40" t="n">
        <x:v>257.18087020616446</x:v>
      </x:c>
      <x:c r="E59" s="40" t="n">
        <x:v>0</x:v>
      </x:c>
      <x:c r="F59" s="40" t="n">
        <x:v>0</x:v>
      </x:c>
      <x:c r="G59" s="21" t="str">
        <x:v>Exact</x:v>
      </x:c>
    </x:row>
    <x:row r="60">
      <x:c r="A60" s="21" t="str">
        <x:v>NYC-V3-R01</x:v>
      </x:c>
      <x:c r="B60" s="21" t="str">
        <x:v>age_85_plus</x:v>
      </x:c>
      <x:c r="C60" s="24" t="n">
        <x:v>678</x:v>
      </x:c>
      <x:c r="D60" s="40" t="n">
        <x:v>108.72810124342281</x:v>
      </x:c>
      <x:c r="E60" s="40" t="n">
        <x:v>0</x:v>
      </x:c>
      <x:c r="F60" s="40" t="n">
        <x:v>0</x:v>
      </x:c>
      <x:c r="G60" s="21" t="str">
        <x:v>Exact</x:v>
      </x:c>
    </x:row>
    <x:row r="61">
      <x:c r="A61" s="21" t="str">
        <x:v>NYC-V3-R02</x:v>
      </x:c>
      <x:c r="B61" s="21" t="str">
        <x:v>acs_population</x:v>
      </x:c>
      <x:c r="C61" s="24" t="n">
        <x:v>31716</x:v>
      </x:c>
      <x:c r="D61" s="40" t="n">
        <x:v>1402.858153912932</x:v>
      </x:c>
      <x:c r="E61" s="40" t="n">
        <x:v>0</x:v>
      </x:c>
      <x:c r="F61" s="40" t="n">
        <x:v>0</x:v>
      </x:c>
      <x:c r="G61" s="21" t="str">
        <x:v>Exact</x:v>
      </x:c>
    </x:row>
    <x:row r="62">
      <x:c r="A62" s="21" t="str">
        <x:v>NYC-V3-R02</x:v>
      </x:c>
      <x:c r="B62" s="21" t="str">
        <x:v>age_under_18</x:v>
      </x:c>
      <x:c r="C62" s="24" t="n">
        <x:v>7492</x:v>
      </x:c>
      <x:c r="D62" s="40" t="n">
        <x:v>746.476824824455</x:v>
      </x:c>
      <x:c r="E62" s="40" t="n">
        <x:v>0</x:v>
      </x:c>
      <x:c r="F62" s="40" t="n">
        <x:v>0</x:v>
      </x:c>
      <x:c r="G62" s="21" t="str">
        <x:v>Exact</x:v>
      </x:c>
    </x:row>
    <x:row r="63">
      <x:c r="A63" s="21" t="str">
        <x:v>NYC-V3-R02</x:v>
      </x:c>
      <x:c r="B63" s="21" t="str">
        <x:v>age_under_5</x:v>
      </x:c>
      <x:c r="C63" s="24" t="n">
        <x:v>2331</x:v>
      </x:c>
      <x:c r="D63" s="40" t="n">
        <x:v>279.1636616753692</x:v>
      </x:c>
      <x:c r="E63" s="40" t="n">
        <x:v>0</x:v>
      </x:c>
      <x:c r="F63" s="40" t="n">
        <x:v>0</x:v>
      </x:c>
      <x:c r="G63" s="21" t="str">
        <x:v>Exact</x:v>
      </x:c>
    </x:row>
    <x:row r="64">
      <x:c r="A64" s="21" t="str">
        <x:v>NYC-V3-R02</x:v>
      </x:c>
      <x:c r="B64" s="21" t="str">
        <x:v>age_65_plus</x:v>
      </x:c>
      <x:c r="C64" s="24" t="n">
        <x:v>4736</x:v>
      </x:c>
      <x:c r="D64" s="40" t="n">
        <x:v>375.0183328852071</x:v>
      </x:c>
      <x:c r="E64" s="40" t="n">
        <x:v>0</x:v>
      </x:c>
      <x:c r="F64" s="40" t="n">
        <x:v>0</x:v>
      </x:c>
      <x:c r="G64" s="21" t="str">
        <x:v>Exact</x:v>
      </x:c>
    </x:row>
    <x:row r="65">
      <x:c r="A65" s="21" t="str">
        <x:v>NYC-V3-R02</x:v>
      </x:c>
      <x:c r="B65" s="21" t="str">
        <x:v>age_75_plus</x:v>
      </x:c>
      <x:c r="C65" s="24" t="n">
        <x:v>1977</x:v>
      </x:c>
      <x:c r="D65" s="40" t="n">
        <x:v>255.81497219670314</x:v>
      </x:c>
      <x:c r="E65" s="40" t="n">
        <x:v>0</x:v>
      </x:c>
      <x:c r="F65" s="40" t="n">
        <x:v>0</x:v>
      </x:c>
      <x:c r="G65" s="21" t="str">
        <x:v>Exact</x:v>
      </x:c>
    </x:row>
    <x:row r="66">
      <x:c r="A66" s="21" t="str">
        <x:v>NYC-V3-R02</x:v>
      </x:c>
      <x:c r="B66" s="21" t="str">
        <x:v>age_85_plus</x:v>
      </x:c>
      <x:c r="C66" s="24" t="n">
        <x:v>655</x:v>
      </x:c>
      <x:c r="D66" s="40" t="n">
        <x:v>156.26099961282725</x:v>
      </x:c>
      <x:c r="E66" s="40" t="n">
        <x:v>0</x:v>
      </x:c>
      <x:c r="F66" s="40" t="n">
        <x:v>0</x:v>
      </x:c>
      <x:c r="G66" s="21" t="str">
        <x:v>Exact</x:v>
      </x:c>
    </x:row>
    <x:row r="67">
      <x:c r="A67" s="21" t="str">
        <x:v>NYC-V3-R03</x:v>
      </x:c>
      <x:c r="B67" s="21" t="str">
        <x:v>acs_population</x:v>
      </x:c>
      <x:c r="C67" s="24" t="n">
        <x:v>41146</x:v>
      </x:c>
      <x:c r="D67" s="40" t="n">
        <x:v>1454.1482214684995</x:v>
      </x:c>
      <x:c r="E67" s="40" t="n">
        <x:v>0</x:v>
      </x:c>
      <x:c r="F67" s="40" t="n">
        <x:v>0</x:v>
      </x:c>
      <x:c r="G67" s="21" t="str">
        <x:v>Exact</x:v>
      </x:c>
    </x:row>
    <x:row r="68">
      <x:c r="A68" s="21" t="str">
        <x:v>NYC-V3-R03</x:v>
      </x:c>
      <x:c r="B68" s="21" t="str">
        <x:v>age_under_18</x:v>
      </x:c>
      <x:c r="C68" s="24" t="n">
        <x:v>10108</x:v>
      </x:c>
      <x:c r="D68" s="40" t="n">
        <x:v>813.3160517289697</x:v>
      </x:c>
      <x:c r="E68" s="40" t="n">
        <x:v>0</x:v>
      </x:c>
      <x:c r="F68" s="40" t="n">
        <x:v>0</x:v>
      </x:c>
      <x:c r="G68" s="21" t="str">
        <x:v>Exact</x:v>
      </x:c>
    </x:row>
    <x:row r="69">
      <x:c r="A69" s="21" t="str">
        <x:v>NYC-V3-R03</x:v>
      </x:c>
      <x:c r="B69" s="21" t="str">
        <x:v>age_under_5</x:v>
      </x:c>
      <x:c r="C69" s="24" t="n">
        <x:v>2491</x:v>
      </x:c>
      <x:c r="D69" s="40" t="n">
        <x:v>316.96734847614823</x:v>
      </x:c>
      <x:c r="E69" s="40" t="n">
        <x:v>0</x:v>
      </x:c>
      <x:c r="F69" s="40" t="n">
        <x:v>0</x:v>
      </x:c>
      <x:c r="G69" s="21" t="str">
        <x:v>Exact</x:v>
      </x:c>
    </x:row>
    <x:row r="70">
      <x:c r="A70" s="21" t="str">
        <x:v>NYC-V3-R03</x:v>
      </x:c>
      <x:c r="B70" s="21" t="str">
        <x:v>age_65_plus</x:v>
      </x:c>
      <x:c r="C70" s="24" t="n">
        <x:v>8067</x:v>
      </x:c>
      <x:c r="D70" s="40" t="n">
        <x:v>446.3000112032264</x:v>
      </x:c>
      <x:c r="E70" s="40" t="n">
        <x:v>0</x:v>
      </x:c>
      <x:c r="F70" s="40" t="n">
        <x:v>0</x:v>
      </x:c>
      <x:c r="G70" s="21" t="str">
        <x:v>Exact</x:v>
      </x:c>
    </x:row>
    <x:row r="71">
      <x:c r="A71" s="21" t="str">
        <x:v>NYC-V3-R03</x:v>
      </x:c>
      <x:c r="B71" s="21" t="str">
        <x:v>age_75_plus</x:v>
      </x:c>
      <x:c r="C71" s="24" t="n">
        <x:v>3343</x:v>
      </x:c>
      <x:c r="D71" s="40" t="n">
        <x:v>319.74177080888256</x:v>
      </x:c>
      <x:c r="E71" s="40" t="n">
        <x:v>0</x:v>
      </x:c>
      <x:c r="F71" s="40" t="n">
        <x:v>0</x:v>
      </x:c>
      <x:c r="G71" s="21" t="str">
        <x:v>Exact</x:v>
      </x:c>
    </x:row>
    <x:row r="72">
      <x:c r="A72" s="21" t="str">
        <x:v>NYC-V3-R03</x:v>
      </x:c>
      <x:c r="B72" s="21" t="str">
        <x:v>age_85_plus</x:v>
      </x:c>
      <x:c r="C72" s="24" t="n">
        <x:v>943</x:v>
      </x:c>
      <x:c r="D72" s="40" t="n">
        <x:v>179.3863149741362</x:v>
      </x:c>
      <x:c r="E72" s="40" t="n">
        <x:v>0</x:v>
      </x:c>
      <x:c r="F72" s="40" t="n">
        <x:v>0</x:v>
      </x:c>
      <x:c r="G72" s="21" t="str">
        <x:v>Exact</x:v>
      </x:c>
    </x:row>
    <x:row r="73">
      <x:c r="A73" s="21" t="str">
        <x:v>NYC-V3-R04</x:v>
      </x:c>
      <x:c r="B73" s="21" t="str">
        <x:v>acs_population</x:v>
      </x:c>
      <x:c r="C73" s="24" t="n">
        <x:v>36480</x:v>
      </x:c>
      <x:c r="D73" s="40" t="n">
        <x:v>1357.054402004577</x:v>
      </x:c>
      <x:c r="E73" s="40" t="n">
        <x:v>0</x:v>
      </x:c>
      <x:c r="F73" s="40" t="n">
        <x:v>-2.2737367544323206e-13</x:v>
      </x:c>
      <x:c r="G73" s="21" t="str">
        <x:v>Exact</x:v>
      </x:c>
    </x:row>
    <x:row r="74">
      <x:c r="A74" s="21" t="str">
        <x:v>NYC-V3-R04</x:v>
      </x:c>
      <x:c r="B74" s="21" t="str">
        <x:v>age_under_18</x:v>
      </x:c>
      <x:c r="C74" s="24" t="n">
        <x:v>6688</x:v>
      </x:c>
      <x:c r="D74" s="40" t="n">
        <x:v>689.4024223920308</x:v>
      </x:c>
      <x:c r="E74" s="40" t="n">
        <x:v>0</x:v>
      </x:c>
      <x:c r="F74" s="40" t="n">
        <x:v>-1.1368683772161603e-13</x:v>
      </x:c>
      <x:c r="G74" s="21" t="str">
        <x:v>Exact</x:v>
      </x:c>
    </x:row>
    <x:row r="75">
      <x:c r="A75" s="21" t="str">
        <x:v>NYC-V3-R04</x:v>
      </x:c>
      <x:c r="B75" s="21" t="str">
        <x:v>age_under_5</x:v>
      </x:c>
      <x:c r="C75" s="24" t="n">
        <x:v>1685</x:v>
      </x:c>
      <x:c r="D75" s="40" t="n">
        <x:v>227.03733173203037</x:v>
      </x:c>
      <x:c r="E75" s="40" t="n">
        <x:v>0</x:v>
      </x:c>
      <x:c r="F75" s="40" t="n">
        <x:v>0</x:v>
      </x:c>
      <x:c r="G75" s="21" t="str">
        <x:v>Exact</x:v>
      </x:c>
    </x:row>
    <x:row r="76">
      <x:c r="A76" s="21" t="str">
        <x:v>NYC-V3-R04</x:v>
      </x:c>
      <x:c r="B76" s="21" t="str">
        <x:v>age_65_plus</x:v>
      </x:c>
      <x:c r="C76" s="24" t="n">
        <x:v>7404</x:v>
      </x:c>
      <x:c r="D76" s="40" t="n">
        <x:v>387.11800526454465</x:v>
      </x:c>
      <x:c r="E76" s="40" t="n">
        <x:v>0</x:v>
      </x:c>
      <x:c r="F76" s="40" t="n">
        <x:v>0</x:v>
      </x:c>
      <x:c r="G76" s="21" t="str">
        <x:v>Exact</x:v>
      </x:c>
    </x:row>
    <x:row r="77">
      <x:c r="A77" s="21" t="str">
        <x:v>NYC-V3-R04</x:v>
      </x:c>
      <x:c r="B77" s="21" t="str">
        <x:v>age_75_plus</x:v>
      </x:c>
      <x:c r="C77" s="24" t="n">
        <x:v>3209</x:v>
      </x:c>
      <x:c r="D77" s="40" t="n">
        <x:v>327.7373948758365</x:v>
      </x:c>
      <x:c r="E77" s="40" t="n">
        <x:v>0</x:v>
      </x:c>
      <x:c r="F77" s="40" t="n">
        <x:v>5.684341886080802e-14</x:v>
      </x:c>
      <x:c r="G77" s="21" t="str">
        <x:v>Exact</x:v>
      </x:c>
    </x:row>
    <x:row r="78">
      <x:c r="A78" s="22" t="str">
        <x:v>NYC-V3-R04</x:v>
      </x:c>
      <x:c r="B78" s="22" t="str">
        <x:v>age_85_plus</x:v>
      </x:c>
      <x:c r="C78" s="25" t="n">
        <x:v>1038</x:v>
      </x:c>
      <x:c r="D78" s="41" t="n">
        <x:v>193.0237032076631</x:v>
      </x:c>
      <x:c r="E78" s="41" t="n">
        <x:v>0</x:v>
      </x:c>
      <x:c r="F78" s="41" t="n">
        <x:v>0</x:v>
      </x:c>
      <x:c r="G78" s="22" t="str">
        <x:v>Exact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22" hidden="0" customWidth="1"/>
    <x:col min="5" max="5" width="16" hidden="0" customWidth="1"/>
    <x:col min="6" max="6" width="48" hidden="0" customWidth="1"/>
  </x:cols>
  <x:sheetData>
    <x:row r="1">
      <x:c r="A1" s="1" t="str">
        <x:v>Official Covariance</x:v>
      </x:c>
      <x:c r="B1" s="29"/>
      <x:c r="C1" s="29"/>
      <x:c r="D1" s="29"/>
      <x:c r="E1" s="29"/>
      <x:c r="F1" s="29"/>
    </x:row>
    <x:row r="2">
      <x:c r="A2" s="2" t="str">
        <x:v>B01001 covariance authority retained for the measurement likelihood</x:v>
      </x:c>
      <x:c r="B2" s="29"/>
      <x:c r="C2" s="29"/>
      <x:c r="D2" s="29"/>
      <x:c r="E2" s="29"/>
      <x:c r="F2" s="29"/>
    </x:row>
    <x:row r="3">
      <x:c r="A3" s="29"/>
      <x:c r="B3" s="29"/>
      <x:c r="C3" s="29"/>
      <x:c r="D3" s="29"/>
      <x:c r="E3" s="29"/>
      <x:c r="F3" s="29"/>
    </x:row>
    <x:row r="4">
      <x:c r="A4" s="30"/>
      <x:c r="B4" s="30"/>
      <x:c r="C4" s="30"/>
      <x:c r="D4" s="30"/>
      <x:c r="E4" s="30"/>
      <x:c r="F4" s="30"/>
      <x:c r="G4" s="3"/>
      <x:c r="H4" s="3"/>
      <x:c r="I4" s="3"/>
    </x:row>
    <x:row r="5">
      <x:c r="A5" s="29"/>
      <x:c r="B5" s="29"/>
      <x:c r="C5" s="29"/>
      <x:c r="D5" s="29"/>
      <x:c r="E5" s="29"/>
      <x:c r="F5" s="29"/>
    </x:row>
    <x:row r="6" ht="34" customHeight="1">
      <x:c r="A6" s="17" t="str">
        <x:v>Catchment</x:v>
      </x:c>
      <x:c r="B6" s="17" t="str">
        <x:v>Left metric</x:v>
      </x:c>
      <x:c r="C6" s="17" t="str">
        <x:v>Right metric</x:v>
      </x:c>
      <x:c r="D6" s="17" t="str">
        <x:v>Covariance</x:v>
      </x:c>
      <x:c r="E6" s="17" t="str">
        <x:v>Correlation</x:v>
      </x:c>
      <x:c r="F6" s="17" t="str">
        <x:v>Authority</x:v>
      </x:c>
    </x:row>
    <x:row r="7">
      <x:c r="A7" s="20" t="str">
        <x:v>NYC-V1-R01</x:v>
      </x:c>
      <x:c r="B7" s="20" t="str">
        <x:v>acs_population</x:v>
      </x:c>
      <x:c r="C7" s="20" t="str">
        <x:v>acs_population</x:v>
      </x:c>
      <x:c r="D7" s="42" t="n">
        <x:v>2000441.85</x:v>
      </x:c>
      <x:c r="E7" s="45" t="n">
        <x:v>1.0000000000000002</x:v>
      </x:c>
      <x:c r="F7" s="20" t="str">
        <x:v>official B01001 variance replicates</x:v>
      </x:c>
    </x:row>
    <x:row r="8">
      <x:c r="A8" s="21" t="str">
        <x:v>NYC-V1-R01</x:v>
      </x:c>
      <x:c r="B8" s="21" t="str">
        <x:v>acs_population</x:v>
      </x:c>
      <x:c r="C8" s="21" t="str">
        <x:v>age_under_18</x:v>
      </x:c>
      <x:c r="D8" s="43" t="n">
        <x:v>393498.95</x:v>
      </x:c>
      <x:c r="E8" s="46" t="n">
        <x:v>0.574707645723003</x:v>
      </x:c>
      <x:c r="F8" s="21" t="str">
        <x:v>official B01001 variance replicates</x:v>
      </x:c>
    </x:row>
    <x:row r="9">
      <x:c r="A9" s="21" t="str">
        <x:v>NYC-V1-R01</x:v>
      </x:c>
      <x:c r="B9" s="21" t="str">
        <x:v>acs_population</x:v>
      </x:c>
      <x:c r="C9" s="21" t="str">
        <x:v>age_under_5</x:v>
      </x:c>
      <x:c r="D9" s="43" t="n">
        <x:v>169266.90000000002</x:v>
      </x:c>
      <x:c r="E9" s="46" t="n">
        <x:v>0.42734050448511435</x:v>
      </x:c>
      <x:c r="F9" s="21" t="str">
        <x:v>official B01001 variance replicates</x:v>
      </x:c>
    </x:row>
    <x:row r="10">
      <x:c r="A10" s="21" t="str">
        <x:v>NYC-V1-R01</x:v>
      </x:c>
      <x:c r="B10" s="21" t="str">
        <x:v>acs_population</x:v>
      </x:c>
      <x:c r="C10" s="21" t="str">
        <x:v>age_65_plus</x:v>
      </x:c>
      <x:c r="D10" s="43" t="n">
        <x:v>302702.95</x:v>
      </x:c>
      <x:c r="E10" s="46" t="n">
        <x:v>0.3736337269879385</x:v>
      </x:c>
      <x:c r="F10" s="21" t="str">
        <x:v>official B01001 variance replicates</x:v>
      </x:c>
    </x:row>
    <x:row r="11">
      <x:c r="A11" s="21" t="str">
        <x:v>NYC-V1-R01</x:v>
      </x:c>
      <x:c r="B11" s="21" t="str">
        <x:v>acs_population</x:v>
      </x:c>
      <x:c r="C11" s="21" t="str">
        <x:v>age_75_plus</x:v>
      </x:c>
      <x:c r="D11" s="43" t="n">
        <x:v>203031.05000000002</x:v>
      </x:c>
      <x:c r="E11" s="46" t="n">
        <x:v>0.2795770406012978</x:v>
      </x:c>
      <x:c r="F11" s="21" t="str">
        <x:v>official B01001 variance replicates</x:v>
      </x:c>
    </x:row>
    <x:row r="12">
      <x:c r="A12" s="21" t="str">
        <x:v>NYC-V1-R01</x:v>
      </x:c>
      <x:c r="B12" s="21" t="str">
        <x:v>acs_population</x:v>
      </x:c>
      <x:c r="C12" s="21" t="str">
        <x:v>age_85_plus</x:v>
      </x:c>
      <x:c r="D12" s="43" t="n">
        <x:v>128074.55</x:v>
      </x:c>
      <x:c r="E12" s="46" t="n">
        <x:v>0.2439806640500427</x:v>
      </x:c>
      <x:c r="F12" s="21" t="str">
        <x:v>official B01001 variance replicates</x:v>
      </x:c>
    </x:row>
    <x:row r="13">
      <x:c r="A13" s="21" t="str">
        <x:v>NYC-V1-R01</x:v>
      </x:c>
      <x:c r="B13" s="21" t="str">
        <x:v>age_under_18</x:v>
      </x:c>
      <x:c r="C13" s="21" t="str">
        <x:v>age_under_18</x:v>
      </x:c>
      <x:c r="D13" s="43" t="n">
        <x:v>234351.25</x:v>
      </x:c>
      <x:c r="E13" s="46" t="n">
        <x:v>1</x:v>
      </x:c>
      <x:c r="F13" s="21" t="str">
        <x:v>official B01001 variance replicates</x:v>
      </x:c>
    </x:row>
    <x:row r="14">
      <x:c r="A14" s="21" t="str">
        <x:v>NYC-V1-R01</x:v>
      </x:c>
      <x:c r="B14" s="21" t="str">
        <x:v>age_under_18</x:v>
      </x:c>
      <x:c r="C14" s="21" t="str">
        <x:v>age_under_5</x:v>
      </x:c>
      <x:c r="D14" s="43" t="n">
        <x:v>91961.65000000001</x:v>
      </x:c>
      <x:c r="E14" s="46" t="n">
        <x:v>0.678325434047095</x:v>
      </x:c>
      <x:c r="F14" s="21" t="str">
        <x:v>official B01001 variance replicates</x:v>
      </x:c>
    </x:row>
    <x:row r="15">
      <x:c r="A15" s="21" t="str">
        <x:v>NYC-V1-R01</x:v>
      </x:c>
      <x:c r="B15" s="21" t="str">
        <x:v>age_under_18</x:v>
      </x:c>
      <x:c r="C15" s="21" t="str">
        <x:v>age_65_plus</x:v>
      </x:c>
      <x:c r="D15" s="43" t="n">
        <x:v>38503.05</x:v>
      </x:c>
      <x:c r="E15" s="46" t="n">
        <x:v>0.13885255659439297</x:v>
      </x:c>
      <x:c r="F15" s="21" t="str">
        <x:v>official B01001 variance replicates</x:v>
      </x:c>
    </x:row>
    <x:row r="16">
      <x:c r="A16" s="21" t="str">
        <x:v>NYC-V1-R01</x:v>
      </x:c>
      <x:c r="B16" s="21" t="str">
        <x:v>age_under_18</x:v>
      </x:c>
      <x:c r="C16" s="21" t="str">
        <x:v>age_75_plus</x:v>
      </x:c>
      <x:c r="D16" s="43" t="n">
        <x:v>-6154.85</x:v>
      </x:c>
      <x:c r="E16" s="46" t="n">
        <x:v>-0.02476200714806618</x:v>
      </x:c>
      <x:c r="F16" s="21" t="str">
        <x:v>official B01001 variance replicates</x:v>
      </x:c>
    </x:row>
    <x:row r="17">
      <x:c r="A17" s="21" t="str">
        <x:v>NYC-V1-R01</x:v>
      </x:c>
      <x:c r="B17" s="21" t="str">
        <x:v>age_under_18</x:v>
      </x:c>
      <x:c r="C17" s="21" t="str">
        <x:v>age_85_plus</x:v>
      </x:c>
      <x:c r="D17" s="43" t="n">
        <x:v>3833.75</x:v>
      </x:c>
      <x:c r="E17" s="46" t="n">
        <x:v>0.021337605822995757</x:v>
      </x:c>
      <x:c r="F17" s="21" t="str">
        <x:v>official B01001 variance replicates</x:v>
      </x:c>
    </x:row>
    <x:row r="18">
      <x:c r="A18" s="21" t="str">
        <x:v>NYC-V1-R01</x:v>
      </x:c>
      <x:c r="B18" s="21" t="str">
        <x:v>age_under_5</x:v>
      </x:c>
      <x:c r="C18" s="21" t="str">
        <x:v>age_under_5</x:v>
      </x:c>
      <x:c r="D18" s="43" t="n">
        <x:v>78427.8</x:v>
      </x:c>
      <x:c r="E18" s="46" t="n">
        <x:v>1.0000000000000002</x:v>
      </x:c>
      <x:c r="F18" s="21" t="str">
        <x:v>official B01001 variance replicates</x:v>
      </x:c>
    </x:row>
    <x:row r="19">
      <x:c r="A19" s="21" t="str">
        <x:v>NYC-V1-R01</x:v>
      </x:c>
      <x:c r="B19" s="21" t="str">
        <x:v>age_under_5</x:v>
      </x:c>
      <x:c r="C19" s="21" t="str">
        <x:v>age_65_plus</x:v>
      </x:c>
      <x:c r="D19" s="43" t="n">
        <x:v>27896.15</x:v>
      </x:c>
      <x:c r="E19" s="46" t="n">
        <x:v>0.17390082313241959</x:v>
      </x:c>
      <x:c r="F19" s="21" t="str">
        <x:v>official B01001 variance replicates</x:v>
      </x:c>
    </x:row>
    <x:row r="20">
      <x:c r="A20" s="21" t="str">
        <x:v>NYC-V1-R01</x:v>
      </x:c>
      <x:c r="B20" s="21" t="str">
        <x:v>age_under_5</x:v>
      </x:c>
      <x:c r="C20" s="21" t="str">
        <x:v>age_75_plus</x:v>
      </x:c>
      <x:c r="D20" s="43" t="n">
        <x:v>5740.8</x:v>
      </x:c>
      <x:c r="E20" s="46" t="n">
        <x:v>0.039924492958107356</x:v>
      </x:c>
      <x:c r="F20" s="21" t="str">
        <x:v>official B01001 variance replicates</x:v>
      </x:c>
    </x:row>
    <x:row r="21">
      <x:c r="A21" s="21" t="str">
        <x:v>NYC-V1-R01</x:v>
      </x:c>
      <x:c r="B21" s="21" t="str">
        <x:v>age_under_5</x:v>
      </x:c>
      <x:c r="C21" s="21" t="str">
        <x:v>age_85_plus</x:v>
      </x:c>
      <x:c r="D21" s="43" t="n">
        <x:v>1146</x:v>
      </x:c>
      <x:c r="E21" s="46" t="n">
        <x:v>0.011025673748017587</x:v>
      </x:c>
      <x:c r="F21" s="21" t="str">
        <x:v>official B01001 variance replicates</x:v>
      </x:c>
    </x:row>
    <x:row r="22">
      <x:c r="A22" s="21" t="str">
        <x:v>NYC-V1-R01</x:v>
      </x:c>
      <x:c r="B22" s="21" t="str">
        <x:v>age_65_plus</x:v>
      </x:c>
      <x:c r="C22" s="21" t="str">
        <x:v>age_65_plus</x:v>
      </x:c>
      <x:c r="D22" s="43" t="n">
        <x:v>328106.80000000005</x:v>
      </x:c>
      <x:c r="E22" s="46" t="n">
        <x:v>1.0000000000000002</x:v>
      </x:c>
      <x:c r="F22" s="21" t="str">
        <x:v>official B01001 variance replicates</x:v>
      </x:c>
    </x:row>
    <x:row r="23">
      <x:c r="A23" s="21" t="str">
        <x:v>NYC-V1-R01</x:v>
      </x:c>
      <x:c r="B23" s="21" t="str">
        <x:v>age_65_plus</x:v>
      </x:c>
      <x:c r="C23" s="21" t="str">
        <x:v>age_75_plus</x:v>
      </x:c>
      <x:c r="D23" s="43" t="n">
        <x:v>231769.95</x:v>
      </x:c>
      <x:c r="E23" s="46" t="n">
        <x:v>0.7880459112762784</x:v>
      </x:c>
      <x:c r="F23" s="21" t="str">
        <x:v>official B01001 variance replicates</x:v>
      </x:c>
    </x:row>
    <x:row r="24">
      <x:c r="A24" s="21" t="str">
        <x:v>NYC-V1-R01</x:v>
      </x:c>
      <x:c r="B24" s="21" t="str">
        <x:v>age_65_plus</x:v>
      </x:c>
      <x:c r="C24" s="21" t="str">
        <x:v>age_85_plus</x:v>
      </x:c>
      <x:c r="D24" s="43" t="n">
        <x:v>133210.2</x:v>
      </x:c>
      <x:c r="E24" s="46" t="n">
        <x:v>0.6265928009945374</x:v>
      </x:c>
      <x:c r="F24" s="21" t="str">
        <x:v>official B01001 variance replicates</x:v>
      </x:c>
    </x:row>
    <x:row r="25">
      <x:c r="A25" s="21" t="str">
        <x:v>NYC-V1-R01</x:v>
      </x:c>
      <x:c r="B25" s="21" t="str">
        <x:v>age_75_plus</x:v>
      </x:c>
      <x:c r="C25" s="21" t="str">
        <x:v>age_75_plus</x:v>
      </x:c>
      <x:c r="D25" s="43" t="n">
        <x:v>263630.7</x:v>
      </x:c>
      <x:c r="E25" s="46" t="n">
        <x:v>1</x:v>
      </x:c>
      <x:c r="F25" s="21" t="str">
        <x:v>official B01001 variance replicates</x:v>
      </x:c>
    </x:row>
    <x:row r="26">
      <x:c r="A26" s="21" t="str">
        <x:v>NYC-V1-R01</x:v>
      </x:c>
      <x:c r="B26" s="21" t="str">
        <x:v>age_75_plus</x:v>
      </x:c>
      <x:c r="C26" s="21" t="str">
        <x:v>age_85_plus</x:v>
      </x:c>
      <x:c r="D26" s="43" t="n">
        <x:v>140197.65</x:v>
      </x:c>
      <x:c r="E26" s="46" t="n">
        <x:v>0.7356958035306718</x:v>
      </x:c>
      <x:c r="F26" s="21" t="str">
        <x:v>official B01001 variance replicates</x:v>
      </x:c>
    </x:row>
    <x:row r="27">
      <x:c r="A27" s="21" t="str">
        <x:v>NYC-V1-R01</x:v>
      </x:c>
      <x:c r="B27" s="21" t="str">
        <x:v>age_85_plus</x:v>
      </x:c>
      <x:c r="C27" s="21" t="str">
        <x:v>age_85_plus</x:v>
      </x:c>
      <x:c r="D27" s="43" t="n">
        <x:v>137749.15</x:v>
      </x:c>
      <x:c r="E27" s="46" t="n">
        <x:v>1</x:v>
      </x:c>
      <x:c r="F27" s="21" t="str">
        <x:v>official B01001 variance replicates</x:v>
      </x:c>
    </x:row>
    <x:row r="28">
      <x:c r="A28" s="21" t="str">
        <x:v>NYC-V1-R02</x:v>
      </x:c>
      <x:c r="B28" s="21" t="str">
        <x:v>acs_population</x:v>
      </x:c>
      <x:c r="C28" s="21" t="str">
        <x:v>acs_population</x:v>
      </x:c>
      <x:c r="D28" s="43" t="n">
        <x:v>3617856.3000000003</x:v>
      </x:c>
      <x:c r="E28" s="46" t="n">
        <x:v>1</x:v>
      </x:c>
      <x:c r="F28" s="21" t="str">
        <x:v>official B01001 variance replicates</x:v>
      </x:c>
    </x:row>
    <x:row r="29">
      <x:c r="A29" s="21" t="str">
        <x:v>NYC-V1-R02</x:v>
      </x:c>
      <x:c r="B29" s="21" t="str">
        <x:v>acs_population</x:v>
      </x:c>
      <x:c r="C29" s="21" t="str">
        <x:v>age_under_18</x:v>
      </x:c>
      <x:c r="D29" s="43" t="n">
        <x:v>718189.25</x:v>
      </x:c>
      <x:c r="E29" s="46" t="n">
        <x:v>0.6467622378898306</x:v>
      </x:c>
      <x:c r="F29" s="21" t="str">
        <x:v>official B01001 variance replicates</x:v>
      </x:c>
    </x:row>
    <x:row r="30">
      <x:c r="A30" s="21" t="str">
        <x:v>NYC-V1-R02</x:v>
      </x:c>
      <x:c r="B30" s="21" t="str">
        <x:v>acs_population</x:v>
      </x:c>
      <x:c r="C30" s="21" t="str">
        <x:v>age_under_5</x:v>
      </x:c>
      <x:c r="D30" s="43" t="n">
        <x:v>113353.8</x:v>
      </x:c>
      <x:c r="E30" s="46" t="n">
        <x:v>0.21110866602317263</x:v>
      </x:c>
      <x:c r="F30" s="21" t="str">
        <x:v>official B01001 variance replicates</x:v>
      </x:c>
    </x:row>
    <x:row r="31">
      <x:c r="A31" s="21" t="str">
        <x:v>NYC-V1-R02</x:v>
      </x:c>
      <x:c r="B31" s="21" t="str">
        <x:v>acs_population</x:v>
      </x:c>
      <x:c r="C31" s="21" t="str">
        <x:v>age_65_plus</x:v>
      </x:c>
      <x:c r="D31" s="43" t="n">
        <x:v>180495.25</x:v>
      </x:c>
      <x:c r="E31" s="46" t="n">
        <x:v>0.17956351724261937</x:v>
      </x:c>
      <x:c r="F31" s="21" t="str">
        <x:v>official B01001 variance replicates</x:v>
      </x:c>
    </x:row>
    <x:row r="32">
      <x:c r="A32" s="21" t="str">
        <x:v>NYC-V1-R02</x:v>
      </x:c>
      <x:c r="B32" s="21" t="str">
        <x:v>acs_population</x:v>
      </x:c>
      <x:c r="C32" s="21" t="str">
        <x:v>age_75_plus</x:v>
      </x:c>
      <x:c r="D32" s="43" t="n">
        <x:v>157747.2</x:v>
      </x:c>
      <x:c r="E32" s="46" t="n">
        <x:v>0.1966538598683245</x:v>
      </x:c>
      <x:c r="F32" s="21" t="str">
        <x:v>official B01001 variance replicates</x:v>
      </x:c>
    </x:row>
    <x:row r="33">
      <x:c r="A33" s="21" t="str">
        <x:v>NYC-V1-R02</x:v>
      </x:c>
      <x:c r="B33" s="21" t="str">
        <x:v>acs_population</x:v>
      </x:c>
      <x:c r="C33" s="21" t="str">
        <x:v>age_85_plus</x:v>
      </x:c>
      <x:c r="D33" s="43" t="n">
        <x:v>60640.9</x:v>
      </x:c>
      <x:c r="E33" s="46" t="n">
        <x:v>0.10743998286125045</x:v>
      </x:c>
      <x:c r="F33" s="21" t="str">
        <x:v>official B01001 variance replicates</x:v>
      </x:c>
    </x:row>
    <x:row r="34">
      <x:c r="A34" s="21" t="str">
        <x:v>NYC-V1-R02</x:v>
      </x:c>
      <x:c r="B34" s="21" t="str">
        <x:v>age_under_18</x:v>
      </x:c>
      <x:c r="C34" s="21" t="str">
        <x:v>age_under_18</x:v>
      </x:c>
      <x:c r="D34" s="43" t="n">
        <x:v>340829.5</x:v>
      </x:c>
      <x:c r="E34" s="46" t="n">
        <x:v>0.9999999999999998</x:v>
      </x:c>
      <x:c r="F34" s="21" t="str">
        <x:v>official B01001 variance replicates</x:v>
      </x:c>
    </x:row>
    <x:row r="35">
      <x:c r="A35" s="21" t="str">
        <x:v>NYC-V1-R02</x:v>
      </x:c>
      <x:c r="B35" s="21" t="str">
        <x:v>age_under_18</x:v>
      </x:c>
      <x:c r="C35" s="21" t="str">
        <x:v>age_under_5</x:v>
      </x:c>
      <x:c r="D35" s="43" t="n">
        <x:v>81141.8</x:v>
      </x:c>
      <x:c r="E35" s="46" t="n">
        <x:v>0.49234743881415094</x:v>
      </x:c>
      <x:c r="F35" s="21" t="str">
        <x:v>official B01001 variance replicates</x:v>
      </x:c>
    </x:row>
    <x:row r="36">
      <x:c r="A36" s="21" t="str">
        <x:v>NYC-V1-R02</x:v>
      </x:c>
      <x:c r="B36" s="21" t="str">
        <x:v>age_under_18</x:v>
      </x:c>
      <x:c r="C36" s="21" t="str">
        <x:v>age_65_plus</x:v>
      </x:c>
      <x:c r="D36" s="43" t="n">
        <x:v>-71033.25</x:v>
      </x:c>
      <x:c r="E36" s="46" t="n">
        <x:v>-0.23023485920486012</x:v>
      </x:c>
      <x:c r="F36" s="21" t="str">
        <x:v>official B01001 variance replicates</x:v>
      </x:c>
    </x:row>
    <x:row r="37">
      <x:c r="A37" s="21" t="str">
        <x:v>NYC-V1-R02</x:v>
      </x:c>
      <x:c r="B37" s="21" t="str">
        <x:v>age_under_18</x:v>
      </x:c>
      <x:c r="C37" s="21" t="str">
        <x:v>age_75_plus</x:v>
      </x:c>
      <x:c r="D37" s="43" t="n">
        <x:v>-5616.35</x:v>
      </x:c>
      <x:c r="E37" s="46" t="n">
        <x:v>-0.022811405663586047</x:v>
      </x:c>
      <x:c r="F37" s="21" t="str">
        <x:v>official B01001 variance replicates</x:v>
      </x:c>
    </x:row>
    <x:row r="38">
      <x:c r="A38" s="21" t="str">
        <x:v>NYC-V1-R02</x:v>
      </x:c>
      <x:c r="B38" s="21" t="str">
        <x:v>age_under_18</x:v>
      </x:c>
      <x:c r="C38" s="21" t="str">
        <x:v>age_85_plus</x:v>
      </x:c>
      <x:c r="D38" s="43" t="n">
        <x:v>-23770.9</x:v>
      </x:c>
      <x:c r="E38" s="46" t="n">
        <x:v>-0.1372154407288495</x:v>
      </x:c>
      <x:c r="F38" s="21" t="str">
        <x:v>official B01001 variance replicates</x:v>
      </x:c>
    </x:row>
    <x:row r="39">
      <x:c r="A39" s="21" t="str">
        <x:v>NYC-V1-R02</x:v>
      </x:c>
      <x:c r="B39" s="21" t="str">
        <x:v>age_under_5</x:v>
      </x:c>
      <x:c r="C39" s="21" t="str">
        <x:v>age_under_5</x:v>
      </x:c>
      <x:c r="D39" s="43" t="n">
        <x:v>79690.90000000001</x:v>
      </x:c>
      <x:c r="E39" s="46" t="n">
        <x:v>1</x:v>
      </x:c>
      <x:c r="F39" s="21" t="str">
        <x:v>official B01001 variance replicates</x:v>
      </x:c>
    </x:row>
    <x:row r="40">
      <x:c r="A40" s="21" t="str">
        <x:v>NYC-V1-R02</x:v>
      </x:c>
      <x:c r="B40" s="21" t="str">
        <x:v>age_under_5</x:v>
      </x:c>
      <x:c r="C40" s="21" t="str">
        <x:v>age_65_plus</x:v>
      </x:c>
      <x:c r="D40" s="43" t="n">
        <x:v>-17710.850000000002</x:v>
      </x:c>
      <x:c r="E40" s="46" t="n">
        <x:v>-0.11871702965097232</x:v>
      </x:c>
      <x:c r="F40" s="21" t="str">
        <x:v>official B01001 variance replicates</x:v>
      </x:c>
    </x:row>
    <x:row r="41">
      <x:c r="A41" s="21" t="str">
        <x:v>NYC-V1-R02</x:v>
      </x:c>
      <x:c r="B41" s="21" t="str">
        <x:v>age_under_5</x:v>
      </x:c>
      <x:c r="C41" s="21" t="str">
        <x:v>age_75_plus</x:v>
      </x:c>
      <x:c r="D41" s="43" t="n">
        <x:v>16797.45</x:v>
      </x:c>
      <x:c r="E41" s="46" t="n">
        <x:v>0.1410929985721217</x:v>
      </x:c>
      <x:c r="F41" s="21" t="str">
        <x:v>official B01001 variance replicates</x:v>
      </x:c>
    </x:row>
    <x:row r="42">
      <x:c r="A42" s="21" t="str">
        <x:v>NYC-V1-R02</x:v>
      </x:c>
      <x:c r="B42" s="21" t="str">
        <x:v>age_under_5</x:v>
      </x:c>
      <x:c r="C42" s="21" t="str">
        <x:v>age_85_plus</x:v>
      </x:c>
      <x:c r="D42" s="43" t="n">
        <x:v>3632.7000000000003</x:v>
      </x:c>
      <x:c r="E42" s="46" t="n">
        <x:v>0.04336617486411242</x:v>
      </x:c>
      <x:c r="F42" s="21" t="str">
        <x:v>official B01001 variance replicates</x:v>
      </x:c>
    </x:row>
    <x:row r="43">
      <x:c r="A43" s="21" t="str">
        <x:v>NYC-V1-R02</x:v>
      </x:c>
      <x:c r="B43" s="21" t="str">
        <x:v>age_65_plus</x:v>
      </x:c>
      <x:c r="C43" s="21" t="str">
        <x:v>age_65_plus</x:v>
      </x:c>
      <x:c r="D43" s="43" t="n">
        <x:v>279282.7</x:v>
      </x:c>
      <x:c r="E43" s="46" t="n">
        <x:v>1.0000000000000002</x:v>
      </x:c>
      <x:c r="F43" s="21" t="str">
        <x:v>official B01001 variance replicates</x:v>
      </x:c>
    </x:row>
    <x:row r="44">
      <x:c r="A44" s="21" t="str">
        <x:v>NYC-V1-R02</x:v>
      </x:c>
      <x:c r="B44" s="21" t="str">
        <x:v>age_65_plus</x:v>
      </x:c>
      <x:c r="C44" s="21" t="str">
        <x:v>age_75_plus</x:v>
      </x:c>
      <x:c r="D44" s="43" t="n">
        <x:v>140664.1</x:v>
      </x:c>
      <x:c r="E44" s="46" t="n">
        <x:v>0.6311429374750147</x:v>
      </x:c>
      <x:c r="F44" s="21" t="str">
        <x:v>official B01001 variance replicates</x:v>
      </x:c>
    </x:row>
    <x:row r="45">
      <x:c r="A45" s="21" t="str">
        <x:v>NYC-V1-R02</x:v>
      </x:c>
      <x:c r="B45" s="21" t="str">
        <x:v>age_65_plus</x:v>
      </x:c>
      <x:c r="C45" s="21" t="str">
        <x:v>age_85_plus</x:v>
      </x:c>
      <x:c r="D45" s="43" t="n">
        <x:v>74200.65000000001</x:v>
      </x:c>
      <x:c r="E45" s="46" t="n">
        <x:v>0.47316394175145093</x:v>
      </x:c>
      <x:c r="F45" s="21" t="str">
        <x:v>official B01001 variance replicates</x:v>
      </x:c>
    </x:row>
    <x:row r="46">
      <x:c r="A46" s="21" t="str">
        <x:v>NYC-V1-R02</x:v>
      </x:c>
      <x:c r="B46" s="21" t="str">
        <x:v>age_75_plus</x:v>
      </x:c>
      <x:c r="C46" s="21" t="str">
        <x:v>age_75_plus</x:v>
      </x:c>
      <x:c r="D46" s="43" t="n">
        <x:v>177855.40000000002</x:v>
      </x:c>
      <x:c r="E46" s="46" t="n">
        <x:v>0.9999999999999999</x:v>
      </x:c>
      <x:c r="F46" s="21" t="str">
        <x:v>official B01001 variance replicates</x:v>
      </x:c>
    </x:row>
    <x:row r="47">
      <x:c r="A47" s="21" t="str">
        <x:v>NYC-V1-R02</x:v>
      </x:c>
      <x:c r="B47" s="21" t="str">
        <x:v>age_75_plus</x:v>
      </x:c>
      <x:c r="C47" s="21" t="str">
        <x:v>age_85_plus</x:v>
      </x:c>
      <x:c r="D47" s="43" t="n">
        <x:v>86440</x:v>
      </x:c>
      <x:c r="E47" s="46" t="n">
        <x:v>0.6907281870562064</x:v>
      </x:c>
      <x:c r="F47" s="21" t="str">
        <x:v>official B01001 variance replicates</x:v>
      </x:c>
    </x:row>
    <x:row r="48">
      <x:c r="A48" s="21" t="str">
        <x:v>NYC-V1-R02</x:v>
      </x:c>
      <x:c r="B48" s="21" t="str">
        <x:v>age_85_plus</x:v>
      </x:c>
      <x:c r="C48" s="21" t="str">
        <x:v>age_85_plus</x:v>
      </x:c>
      <x:c r="D48" s="43" t="n">
        <x:v>88053.8</x:v>
      </x:c>
      <x:c r="E48" s="46" t="n">
        <x:v>0.9999999999999999</x:v>
      </x:c>
      <x:c r="F48" s="21" t="str">
        <x:v>official B01001 variance replicates</x:v>
      </x:c>
    </x:row>
    <x:row r="49">
      <x:c r="A49" s="21" t="str">
        <x:v>NYC-V1-R03</x:v>
      </x:c>
      <x:c r="B49" s="21" t="str">
        <x:v>acs_population</x:v>
      </x:c>
      <x:c r="C49" s="21" t="str">
        <x:v>acs_population</x:v>
      </x:c>
      <x:c r="D49" s="43" t="n">
        <x:v>1675737.55</x:v>
      </x:c>
      <x:c r="E49" s="46" t="n">
        <x:v>1.0000000000000002</x:v>
      </x:c>
      <x:c r="F49" s="21" t="str">
        <x:v>official B01001 variance replicates</x:v>
      </x:c>
    </x:row>
    <x:row r="50">
      <x:c r="A50" s="21" t="str">
        <x:v>NYC-V1-R03</x:v>
      </x:c>
      <x:c r="B50" s="21" t="str">
        <x:v>acs_population</x:v>
      </x:c>
      <x:c r="C50" s="21" t="str">
        <x:v>age_under_18</x:v>
      </x:c>
      <x:c r="D50" s="43" t="n">
        <x:v>336593.30000000005</x:v>
      </x:c>
      <x:c r="E50" s="46" t="n">
        <x:v>0.6736441422825427</x:v>
      </x:c>
      <x:c r="F50" s="21" t="str">
        <x:v>official B01001 variance replicates</x:v>
      </x:c>
    </x:row>
    <x:row r="51">
      <x:c r="A51" s="21" t="str">
        <x:v>NYC-V1-R03</x:v>
      </x:c>
      <x:c r="B51" s="21" t="str">
        <x:v>acs_population</x:v>
      </x:c>
      <x:c r="C51" s="21" t="str">
        <x:v>age_under_5</x:v>
      </x:c>
      <x:c r="D51" s="43" t="n">
        <x:v>69919.40000000001</x:v>
      </x:c>
      <x:c r="E51" s="46" t="n">
        <x:v>0.240619195190074</x:v>
      </x:c>
      <x:c r="F51" s="21" t="str">
        <x:v>official B01001 variance replicates</x:v>
      </x:c>
    </x:row>
    <x:row r="52">
      <x:c r="A52" s="21" t="str">
        <x:v>NYC-V1-R03</x:v>
      </x:c>
      <x:c r="B52" s="21" t="str">
        <x:v>acs_population</x:v>
      </x:c>
      <x:c r="C52" s="21" t="str">
        <x:v>age_65_plus</x:v>
      </x:c>
      <x:c r="D52" s="43" t="n">
        <x:v>333884.35000000003</x:v>
      </x:c>
      <x:c r="E52" s="46" t="n">
        <x:v>0.5343434137047371</x:v>
      </x:c>
      <x:c r="F52" s="21" t="str">
        <x:v>official B01001 variance replicates</x:v>
      </x:c>
    </x:row>
    <x:row r="53">
      <x:c r="A53" s="21" t="str">
        <x:v>NYC-V1-R03</x:v>
      </x:c>
      <x:c r="B53" s="21" t="str">
        <x:v>acs_population</x:v>
      </x:c>
      <x:c r="C53" s="21" t="str">
        <x:v>age_75_plus</x:v>
      </x:c>
      <x:c r="D53" s="43" t="n">
        <x:v>243395.45</x:v>
      </x:c>
      <x:c r="E53" s="46" t="n">
        <x:v>0.47251385320640077</x:v>
      </x:c>
      <x:c r="F53" s="21" t="str">
        <x:v>official B01001 variance replicates</x:v>
      </x:c>
    </x:row>
    <x:row r="54">
      <x:c r="A54" s="21" t="str">
        <x:v>NYC-V1-R03</x:v>
      </x:c>
      <x:c r="B54" s="21" t="str">
        <x:v>acs_population</x:v>
      </x:c>
      <x:c r="C54" s="21" t="str">
        <x:v>age_85_plus</x:v>
      </x:c>
      <x:c r="D54" s="43" t="n">
        <x:v>155364.95</x:v>
      </x:c>
      <x:c r="E54" s="46" t="n">
        <x:v>0.36166394475678204</x:v>
      </x:c>
      <x:c r="F54" s="21" t="str">
        <x:v>official B01001 variance replicates</x:v>
      </x:c>
    </x:row>
    <x:row r="55">
      <x:c r="A55" s="21" t="str">
        <x:v>NYC-V1-R03</x:v>
      </x:c>
      <x:c r="B55" s="21" t="str">
        <x:v>age_under_18</x:v>
      </x:c>
      <x:c r="C55" s="21" t="str">
        <x:v>age_under_18</x:v>
      </x:c>
      <x:c r="D55" s="43" t="n">
        <x:v>148985.45</x:v>
      </x:c>
      <x:c r="E55" s="46" t="n">
        <x:v>1</x:v>
      </x:c>
      <x:c r="F55" s="21" t="str">
        <x:v>official B01001 variance replicates</x:v>
      </x:c>
    </x:row>
    <x:row r="56">
      <x:c r="A56" s="21" t="str">
        <x:v>NYC-V1-R03</x:v>
      </x:c>
      <x:c r="B56" s="21" t="str">
        <x:v>age_under_18</x:v>
      </x:c>
      <x:c r="C56" s="21" t="str">
        <x:v>age_under_5</x:v>
      </x:c>
      <x:c r="D56" s="43" t="n">
        <x:v>32521.5</x:v>
      </x:c>
      <x:c r="E56" s="46" t="n">
        <x:v>0.3753480964602258</x:v>
      </x:c>
      <x:c r="F56" s="21" t="str">
        <x:v>official B01001 variance replicates</x:v>
      </x:c>
    </x:row>
    <x:row r="57">
      <x:c r="A57" s="21" t="str">
        <x:v>NYC-V1-R03</x:v>
      </x:c>
      <x:c r="B57" s="21" t="str">
        <x:v>age_under_18</x:v>
      </x:c>
      <x:c r="C57" s="21" t="str">
        <x:v>age_65_plus</x:v>
      </x:c>
      <x:c r="D57" s="43" t="n">
        <x:v>25966.050000000003</x:v>
      </x:c>
      <x:c r="E57" s="46" t="n">
        <x:v>0.1393674516040827</x:v>
      </x:c>
      <x:c r="F57" s="21" t="str">
        <x:v>official B01001 variance replicates</x:v>
      </x:c>
    </x:row>
    <x:row r="58">
      <x:c r="A58" s="21" t="str">
        <x:v>NYC-V1-R03</x:v>
      </x:c>
      <x:c r="B58" s="21" t="str">
        <x:v>age_under_18</x:v>
      </x:c>
      <x:c r="C58" s="21" t="str">
        <x:v>age_75_plus</x:v>
      </x:c>
      <x:c r="D58" s="43" t="n">
        <x:v>12164.2</x:v>
      </x:c>
      <x:c r="E58" s="46" t="n">
        <x:v>0.07919845594563908</x:v>
      </x:c>
      <x:c r="F58" s="21" t="str">
        <x:v>official B01001 variance replicates</x:v>
      </x:c>
    </x:row>
    <x:row r="59">
      <x:c r="A59" s="21" t="str">
        <x:v>NYC-V1-R03</x:v>
      </x:c>
      <x:c r="B59" s="21" t="str">
        <x:v>age_under_18</x:v>
      </x:c>
      <x:c r="C59" s="21" t="str">
        <x:v>age_85_plus</x:v>
      </x:c>
      <x:c r="D59" s="43" t="n">
        <x:v>7424.25</x:v>
      </x:c>
      <x:c r="E59" s="46" t="n">
        <x:v>0.0579609940538415</x:v>
      </x:c>
      <x:c r="F59" s="21" t="str">
        <x:v>official B01001 variance replicates</x:v>
      </x:c>
    </x:row>
    <x:row r="60">
      <x:c r="A60" s="21" t="str">
        <x:v>NYC-V1-R03</x:v>
      </x:c>
      <x:c r="B60" s="21" t="str">
        <x:v>age_under_5</x:v>
      </x:c>
      <x:c r="C60" s="21" t="str">
        <x:v>age_under_5</x:v>
      </x:c>
      <x:c r="D60" s="43" t="n">
        <x:v>50388.200000000004</x:v>
      </x:c>
      <x:c r="E60" s="46" t="n">
        <x:v>1</x:v>
      </x:c>
      <x:c r="F60" s="21" t="str">
        <x:v>official B01001 variance replicates</x:v>
      </x:c>
    </x:row>
    <x:row r="61">
      <x:c r="A61" s="21" t="str">
        <x:v>NYC-V1-R03</x:v>
      </x:c>
      <x:c r="B61" s="21" t="str">
        <x:v>age_under_5</x:v>
      </x:c>
      <x:c r="C61" s="21" t="str">
        <x:v>age_65_plus</x:v>
      </x:c>
      <x:c r="D61" s="43" t="n">
        <x:v>8981.300000000001</x:v>
      </x:c>
      <x:c r="E61" s="46" t="n">
        <x:v>0.08289000758002539</x:v>
      </x:c>
      <x:c r="F61" s="21" t="str">
        <x:v>official B01001 variance replicates</x:v>
      </x:c>
    </x:row>
    <x:row r="62">
      <x:c r="A62" s="21" t="str">
        <x:v>NYC-V1-R03</x:v>
      </x:c>
      <x:c r="B62" s="21" t="str">
        <x:v>age_under_5</x:v>
      </x:c>
      <x:c r="C62" s="21" t="str">
        <x:v>age_75_plus</x:v>
      </x:c>
      <x:c r="D62" s="43" t="n">
        <x:v>4815.650000000001</x:v>
      </x:c>
      <x:c r="E62" s="46" t="n">
        <x:v>0.05391325882767924</x:v>
      </x:c>
      <x:c r="F62" s="21" t="str">
        <x:v>official B01001 variance replicates</x:v>
      </x:c>
    </x:row>
    <x:row r="63">
      <x:c r="A63" s="21" t="str">
        <x:v>NYC-V1-R03</x:v>
      </x:c>
      <x:c r="B63" s="21" t="str">
        <x:v>age_under_5</x:v>
      </x:c>
      <x:c r="C63" s="21" t="str">
        <x:v>age_85_plus</x:v>
      </x:c>
      <x:c r="D63" s="43" t="n">
        <x:v>13047.25</x:v>
      </x:c>
      <x:c r="E63" s="46" t="n">
        <x:v>0.17514983311737117</x:v>
      </x:c>
      <x:c r="F63" s="21" t="str">
        <x:v>official B01001 variance replicates</x:v>
      </x:c>
    </x:row>
    <x:row r="64">
      <x:c r="A64" s="21" t="str">
        <x:v>NYC-V1-R03</x:v>
      </x:c>
      <x:c r="B64" s="21" t="str">
        <x:v>age_65_plus</x:v>
      </x:c>
      <x:c r="C64" s="21" t="str">
        <x:v>age_65_plus</x:v>
      </x:c>
      <x:c r="D64" s="43" t="n">
        <x:v>232994.25</x:v>
      </x:c>
      <x:c r="E64" s="46" t="n">
        <x:v>1</x:v>
      </x:c>
      <x:c r="F64" s="21" t="str">
        <x:v>official B01001 variance replicates</x:v>
      </x:c>
    </x:row>
    <x:row r="65">
      <x:c r="A65" s="21" t="str">
        <x:v>NYC-V1-R03</x:v>
      </x:c>
      <x:c r="B65" s="21" t="str">
        <x:v>age_65_plus</x:v>
      </x:c>
      <x:c r="C65" s="21" t="str">
        <x:v>age_75_plus</x:v>
      </x:c>
      <x:c r="D65" s="43" t="n">
        <x:v>161832.35</x:v>
      </x:c>
      <x:c r="E65" s="46" t="n">
        <x:v>0.8425541656223955</x:v>
      </x:c>
      <x:c r="F65" s="21" t="str">
        <x:v>official B01001 variance replicates</x:v>
      </x:c>
    </x:row>
    <x:row r="66">
      <x:c r="A66" s="21" t="str">
        <x:v>NYC-V1-R03</x:v>
      </x:c>
      <x:c r="B66" s="21" t="str">
        <x:v>age_65_plus</x:v>
      </x:c>
      <x:c r="C66" s="21" t="str">
        <x:v>age_85_plus</x:v>
      </x:c>
      <x:c r="D66" s="43" t="n">
        <x:v>125500.90000000001</x:v>
      </x:c>
      <x:c r="E66" s="46" t="n">
        <x:v>0.7834826880396625</x:v>
      </x:c>
      <x:c r="F66" s="21" t="str">
        <x:v>official B01001 variance replicates</x:v>
      </x:c>
    </x:row>
    <x:row r="67">
      <x:c r="A67" s="21" t="str">
        <x:v>NYC-V1-R03</x:v>
      </x:c>
      <x:c r="B67" s="21" t="str">
        <x:v>age_75_plus</x:v>
      </x:c>
      <x:c r="C67" s="21" t="str">
        <x:v>age_75_plus</x:v>
      </x:c>
      <x:c r="D67" s="43" t="n">
        <x:v>158339.7</x:v>
      </x:c>
      <x:c r="E67" s="46" t="n">
        <x:v>0.9999999999999998</x:v>
      </x:c>
      <x:c r="F67" s="21" t="str">
        <x:v>official B01001 variance replicates</x:v>
      </x:c>
    </x:row>
    <x:row r="68">
      <x:c r="A68" s="21" t="str">
        <x:v>NYC-V1-R03</x:v>
      </x:c>
      <x:c r="B68" s="21" t="str">
        <x:v>age_75_plus</x:v>
      </x:c>
      <x:c r="C68" s="21" t="str">
        <x:v>age_85_plus</x:v>
      </x:c>
      <x:c r="D68" s="43" t="n">
        <x:v>112009.35</x:v>
      </x:c>
      <x:c r="E68" s="46" t="n">
        <x:v>0.8482317690463634</x:v>
      </x:c>
      <x:c r="F68" s="21" t="str">
        <x:v>official B01001 variance replicates</x:v>
      </x:c>
    </x:row>
    <x:row r="69">
      <x:c r="A69" s="21" t="str">
        <x:v>NYC-V1-R03</x:v>
      </x:c>
      <x:c r="B69" s="21" t="str">
        <x:v>age_85_plus</x:v>
      </x:c>
      <x:c r="C69" s="21" t="str">
        <x:v>age_85_plus</x:v>
      </x:c>
      <x:c r="D69" s="43" t="n">
        <x:v>110125.95000000001</x:v>
      </x:c>
      <x:c r="E69" s="46" t="n">
        <x:v>0.9999999999999999</x:v>
      </x:c>
      <x:c r="F69" s="21" t="str">
        <x:v>official B01001 variance replicates</x:v>
      </x:c>
    </x:row>
    <x:row r="70">
      <x:c r="A70" s="21" t="str">
        <x:v>NYC-V1-R04</x:v>
      </x:c>
      <x:c r="B70" s="21" t="str">
        <x:v>acs_population</x:v>
      </x:c>
      <x:c r="C70" s="21" t="str">
        <x:v>acs_population</x:v>
      </x:c>
      <x:c r="D70" s="43" t="n">
        <x:v>1981634</x:v>
      </x:c>
      <x:c r="E70" s="46" t="n">
        <x:v>1</x:v>
      </x:c>
      <x:c r="F70" s="21" t="str">
        <x:v>official B01001 variance replicates</x:v>
      </x:c>
    </x:row>
    <x:row r="71">
      <x:c r="A71" s="21" t="str">
        <x:v>NYC-V1-R04</x:v>
      </x:c>
      <x:c r="B71" s="21" t="str">
        <x:v>acs_population</x:v>
      </x:c>
      <x:c r="C71" s="21" t="str">
        <x:v>age_under_18</x:v>
      </x:c>
      <x:c r="D71" s="43" t="n">
        <x:v>875538.9</x:v>
      </x:c>
      <x:c r="E71" s="46" t="n">
        <x:v>0.7736274059003198</x:v>
      </x:c>
      <x:c r="F71" s="21" t="str">
        <x:v>official B01001 variance replicates</x:v>
      </x:c>
    </x:row>
    <x:row r="72">
      <x:c r="A72" s="21" t="str">
        <x:v>NYC-V1-R04</x:v>
      </x:c>
      <x:c r="B72" s="21" t="str">
        <x:v>acs_population</x:v>
      </x:c>
      <x:c r="C72" s="21" t="str">
        <x:v>age_under_5</x:v>
      </x:c>
      <x:c r="D72" s="43" t="n">
        <x:v>220700.85</x:v>
      </x:c>
      <x:c r="E72" s="46" t="n">
        <x:v>0.44839773354974843</x:v>
      </x:c>
      <x:c r="F72" s="21" t="str">
        <x:v>official B01001 variance replicates</x:v>
      </x:c>
    </x:row>
    <x:row r="73">
      <x:c r="A73" s="21" t="str">
        <x:v>NYC-V1-R04</x:v>
      </x:c>
      <x:c r="B73" s="21" t="str">
        <x:v>acs_population</x:v>
      </x:c>
      <x:c r="C73" s="21" t="str">
        <x:v>age_65_plus</x:v>
      </x:c>
      <x:c r="D73" s="43" t="n">
        <x:v>-27506.2</x:v>
      </x:c>
      <x:c r="E73" s="46" t="n">
        <x:v>-0.06646917466726898</x:v>
      </x:c>
      <x:c r="F73" s="21" t="str">
        <x:v>official B01001 variance replicates</x:v>
      </x:c>
    </x:row>
    <x:row r="74">
      <x:c r="A74" s="21" t="str">
        <x:v>NYC-V1-R04</x:v>
      </x:c>
      <x:c r="B74" s="21" t="str">
        <x:v>acs_population</x:v>
      </x:c>
      <x:c r="C74" s="21" t="str">
        <x:v>age_75_plus</x:v>
      </x:c>
      <x:c r="D74" s="43" t="n">
        <x:v>6506.5</x:v>
      </x:c>
      <x:c r="E74" s="46" t="n">
        <x:v>0.016785038538422625</x:v>
      </x:c>
      <x:c r="F74" s="21" t="str">
        <x:v>official B01001 variance replicates</x:v>
      </x:c>
    </x:row>
    <x:row r="75">
      <x:c r="A75" s="21" t="str">
        <x:v>NYC-V1-R04</x:v>
      </x:c>
      <x:c r="B75" s="21" t="str">
        <x:v>acs_population</x:v>
      </x:c>
      <x:c r="C75" s="21" t="str">
        <x:v>age_85_plus</x:v>
      </x:c>
      <x:c r="D75" s="43" t="n">
        <x:v>4751.7</x:v>
      </x:c>
      <x:c r="E75" s="46" t="n">
        <x:v>0.02385445308493343</x:v>
      </x:c>
      <x:c r="F75" s="21" t="str">
        <x:v>official B01001 variance replicates</x:v>
      </x:c>
    </x:row>
    <x:row r="76">
      <x:c r="A76" s="21" t="str">
        <x:v>NYC-V1-R04</x:v>
      </x:c>
      <x:c r="B76" s="21" t="str">
        <x:v>age_under_18</x:v>
      </x:c>
      <x:c r="C76" s="21" t="str">
        <x:v>age_under_18</x:v>
      </x:c>
      <x:c r="D76" s="43" t="n">
        <x:v>646344.05</x:v>
      </x:c>
      <x:c r="E76" s="46" t="n">
        <x:v>1</x:v>
      </x:c>
      <x:c r="F76" s="21" t="str">
        <x:v>official B01001 variance replicates</x:v>
      </x:c>
    </x:row>
    <x:row r="77">
      <x:c r="A77" s="21" t="str">
        <x:v>NYC-V1-R04</x:v>
      </x:c>
      <x:c r="B77" s="21" t="str">
        <x:v>age_under_18</x:v>
      </x:c>
      <x:c r="C77" s="21" t="str">
        <x:v>age_under_5</x:v>
      </x:c>
      <x:c r="D77" s="43" t="n">
        <x:v>189749.55000000002</x:v>
      </x:c>
      <x:c r="E77" s="46" t="n">
        <x:v>0.6750252253865896</x:v>
      </x:c>
      <x:c r="F77" s="21" t="str">
        <x:v>official B01001 variance replicates</x:v>
      </x:c>
    </x:row>
    <x:row r="78">
      <x:c r="A78" s="21" t="str">
        <x:v>NYC-V1-R04</x:v>
      </x:c>
      <x:c r="B78" s="21" t="str">
        <x:v>age_under_18</x:v>
      </x:c>
      <x:c r="C78" s="21" t="str">
        <x:v>age_65_plus</x:v>
      </x:c>
      <x:c r="D78" s="43" t="n">
        <x:v>-49435.950000000004</x:v>
      </x:c>
      <x:c r="E78" s="46" t="n">
        <x:v>-0.209176272217057</x:v>
      </x:c>
      <x:c r="F78" s="21" t="str">
        <x:v>official B01001 variance replicates</x:v>
      </x:c>
    </x:row>
    <x:row r="79">
      <x:c r="A79" s="21" t="str">
        <x:v>NYC-V1-R04</x:v>
      </x:c>
      <x:c r="B79" s="21" t="str">
        <x:v>age_under_18</x:v>
      </x:c>
      <x:c r="C79" s="21" t="str">
        <x:v>age_75_plus</x:v>
      </x:c>
      <x:c r="D79" s="43" t="n">
        <x:v>-43810</x:v>
      </x:c>
      <x:c r="E79" s="46" t="n">
        <x:v>-0.19789189473242644</x:v>
      </x:c>
      <x:c r="F79" s="21" t="str">
        <x:v>official B01001 variance replicates</x:v>
      </x:c>
    </x:row>
    <x:row r="80">
      <x:c r="A80" s="21" t="str">
        <x:v>NYC-V1-R04</x:v>
      </x:c>
      <x:c r="B80" s="21" t="str">
        <x:v>age_under_18</x:v>
      </x:c>
      <x:c r="C80" s="21" t="str">
        <x:v>age_85_plus</x:v>
      </x:c>
      <x:c r="D80" s="43" t="n">
        <x:v>-8168.450000000001</x:v>
      </x:c>
      <x:c r="E80" s="46" t="n">
        <x:v>-0.07180256359370825</x:v>
      </x:c>
      <x:c r="F80" s="21" t="str">
        <x:v>official B01001 variance replicates</x:v>
      </x:c>
    </x:row>
    <x:row r="81">
      <x:c r="A81" s="21" t="str">
        <x:v>NYC-V1-R04</x:v>
      </x:c>
      <x:c r="B81" s="21" t="str">
        <x:v>age_under_5</x:v>
      </x:c>
      <x:c r="C81" s="21" t="str">
        <x:v>age_under_5</x:v>
      </x:c>
      <x:c r="D81" s="43" t="n">
        <x:v>122252.5</x:v>
      </x:c>
      <x:c r="E81" s="46" t="n">
        <x:v>0.9999999999999999</x:v>
      </x:c>
      <x:c r="F81" s="21" t="str">
        <x:v>official B01001 variance replicates</x:v>
      </x:c>
    </x:row>
    <x:row r="82">
      <x:c r="A82" s="21" t="str">
        <x:v>NYC-V1-R04</x:v>
      </x:c>
      <x:c r="B82" s="21" t="str">
        <x:v>age_under_5</x:v>
      </x:c>
      <x:c r="C82" s="21" t="str">
        <x:v>age_65_plus</x:v>
      </x:c>
      <x:c r="D82" s="43" t="n">
        <x:v>-14969.900000000001</x:v>
      </x:c>
      <x:c r="E82" s="46" t="n">
        <x:v>-0.14564361068508522</x:v>
      </x:c>
      <x:c r="F82" s="21" t="str">
        <x:v>official B01001 variance replicates</x:v>
      </x:c>
    </x:row>
    <x:row r="83">
      <x:c r="A83" s="21" t="str">
        <x:v>NYC-V1-R04</x:v>
      </x:c>
      <x:c r="B83" s="21" t="str">
        <x:v>age_under_5</x:v>
      </x:c>
      <x:c r="C83" s="21" t="str">
        <x:v>age_75_plus</x:v>
      </x:c>
      <x:c r="D83" s="43" t="n">
        <x:v>-24434.2</x:v>
      </x:c>
      <x:c r="E83" s="46" t="n">
        <x:v>-0.25377911644409556</x:v>
      </x:c>
      <x:c r="F83" s="21" t="str">
        <x:v>official B01001 variance replicates</x:v>
      </x:c>
    </x:row>
    <x:row r="84">
      <x:c r="A84" s="21" t="str">
        <x:v>NYC-V1-R04</x:v>
      </x:c>
      <x:c r="B84" s="21" t="str">
        <x:v>age_under_5</x:v>
      </x:c>
      <x:c r="C84" s="21" t="str">
        <x:v>age_85_plus</x:v>
      </x:c>
      <x:c r="D84" s="43" t="n">
        <x:v>-8625.85</x:v>
      </x:c>
      <x:c r="E84" s="46" t="n">
        <x:v>-0.1743432750824717</x:v>
      </x:c>
      <x:c r="F84" s="21" t="str">
        <x:v>official B01001 variance replicates</x:v>
      </x:c>
    </x:row>
    <x:row r="85">
      <x:c r="A85" s="21" t="str">
        <x:v>NYC-V1-R04</x:v>
      </x:c>
      <x:c r="B85" s="21" t="str">
        <x:v>age_65_plus</x:v>
      </x:c>
      <x:c r="C85" s="21" t="str">
        <x:v>age_65_plus</x:v>
      </x:c>
      <x:c r="D85" s="43" t="n">
        <x:v>86416.6</x:v>
      </x:c>
      <x:c r="E85" s="46" t="n">
        <x:v>1</x:v>
      </x:c>
      <x:c r="F85" s="21" t="str">
        <x:v>official B01001 variance replicates</x:v>
      </x:c>
    </x:row>
    <x:row r="86">
      <x:c r="A86" s="21" t="str">
        <x:v>NYC-V1-R04</x:v>
      </x:c>
      <x:c r="B86" s="21" t="str">
        <x:v>age_65_plus</x:v>
      </x:c>
      <x:c r="C86" s="21" t="str">
        <x:v>age_75_plus</x:v>
      </x:c>
      <x:c r="D86" s="43" t="n">
        <x:v>50549.75</x:v>
      </x:c>
      <x:c r="E86" s="46" t="n">
        <x:v>0.6244634952551071</x:v>
      </x:c>
      <x:c r="F86" s="21" t="str">
        <x:v>official B01001 variance replicates</x:v>
      </x:c>
    </x:row>
    <x:row r="87">
      <x:c r="A87" s="21" t="str">
        <x:v>NYC-V1-R04</x:v>
      </x:c>
      <x:c r="B87" s="21" t="str">
        <x:v>age_65_plus</x:v>
      </x:c>
      <x:c r="C87" s="21" t="str">
        <x:v>age_85_plus</x:v>
      </x:c>
      <x:c r="D87" s="43" t="n">
        <x:v>16231</x:v>
      </x:c>
      <x:c r="E87" s="46" t="n">
        <x:v>0.3901924510646116</x:v>
      </x:c>
      <x:c r="F87" s="21" t="str">
        <x:v>official B01001 variance replicates</x:v>
      </x:c>
    </x:row>
    <x:row r="88">
      <x:c r="A88" s="21" t="str">
        <x:v>NYC-V1-R04</x:v>
      </x:c>
      <x:c r="B88" s="21" t="str">
        <x:v>age_75_plus</x:v>
      </x:c>
      <x:c r="C88" s="21" t="str">
        <x:v>age_75_plus</x:v>
      </x:c>
      <x:c r="D88" s="43" t="n">
        <x:v>75827.5</x:v>
      </x:c>
      <x:c r="E88" s="46" t="n">
        <x:v>1</x:v>
      </x:c>
      <x:c r="F88" s="21" t="str">
        <x:v>official B01001 variance replicates</x:v>
      </x:c>
    </x:row>
    <x:row r="89">
      <x:c r="A89" s="21" t="str">
        <x:v>NYC-V1-R04</x:v>
      </x:c>
      <x:c r="B89" s="21" t="str">
        <x:v>age_75_plus</x:v>
      </x:c>
      <x:c r="C89" s="21" t="str">
        <x:v>age_85_plus</x:v>
      </x:c>
      <x:c r="D89" s="43" t="n">
        <x:v>22685.2</x:v>
      </x:c>
      <x:c r="E89" s="46" t="n">
        <x:v>0.5821855427378945</x:v>
      </x:c>
      <x:c r="F89" s="21" t="str">
        <x:v>official B01001 variance replicates</x:v>
      </x:c>
    </x:row>
    <x:row r="90">
      <x:c r="A90" s="21" t="str">
        <x:v>NYC-V1-R04</x:v>
      </x:c>
      <x:c r="B90" s="21" t="str">
        <x:v>age_85_plus</x:v>
      </x:c>
      <x:c r="C90" s="21" t="str">
        <x:v>age_85_plus</x:v>
      </x:c>
      <x:c r="D90" s="43" t="n">
        <x:v>20023.300000000003</x:v>
      </x:c>
      <x:c r="E90" s="46" t="n">
        <x:v>1</x:v>
      </x:c>
      <x:c r="F90" s="21" t="str">
        <x:v>official B01001 variance replicates</x:v>
      </x:c>
    </x:row>
    <x:row r="91">
      <x:c r="A91" s="21" t="str">
        <x:v>NYC-V2-R01</x:v>
      </x:c>
      <x:c r="B91" s="21" t="str">
        <x:v>acs_population</x:v>
      </x:c>
      <x:c r="C91" s="21" t="str">
        <x:v>acs_population</x:v>
      </x:c>
      <x:c r="D91" s="43" t="n">
        <x:v>2605606.35</x:v>
      </x:c>
      <x:c r="E91" s="46" t="n">
        <x:v>0.9999999999999998</x:v>
      </x:c>
      <x:c r="F91" s="21" t="str">
        <x:v>official B01001 variance replicates</x:v>
      </x:c>
    </x:row>
    <x:row r="92">
      <x:c r="A92" s="21" t="str">
        <x:v>NYC-V2-R01</x:v>
      </x:c>
      <x:c r="B92" s="21" t="str">
        <x:v>acs_population</x:v>
      </x:c>
      <x:c r="C92" s="21" t="str">
        <x:v>age_under_18</x:v>
      </x:c>
      <x:c r="D92" s="43" t="n">
        <x:v>1011185.8</x:v>
      </x:c>
      <x:c r="E92" s="46" t="n">
        <x:v>0.7195697755030691</x:v>
      </x:c>
      <x:c r="F92" s="21" t="str">
        <x:v>official B01001 variance replicates</x:v>
      </x:c>
    </x:row>
    <x:row r="93">
      <x:c r="A93" s="21" t="str">
        <x:v>NYC-V2-R01</x:v>
      </x:c>
      <x:c r="B93" s="21" t="str">
        <x:v>acs_population</x:v>
      </x:c>
      <x:c r="C93" s="21" t="str">
        <x:v>age_under_5</x:v>
      </x:c>
      <x:c r="D93" s="43" t="n">
        <x:v>420596.80000000005</x:v>
      </x:c>
      <x:c r="E93" s="46" t="n">
        <x:v>0.6116772181781076</x:v>
      </x:c>
      <x:c r="F93" s="21" t="str">
        <x:v>official B01001 variance replicates</x:v>
      </x:c>
    </x:row>
    <x:row r="94">
      <x:c r="A94" s="21" t="str">
        <x:v>NYC-V2-R01</x:v>
      </x:c>
      <x:c r="B94" s="21" t="str">
        <x:v>acs_population</x:v>
      </x:c>
      <x:c r="C94" s="21" t="str">
        <x:v>age_65_plus</x:v>
      </x:c>
      <x:c r="D94" s="43" t="n">
        <x:v>61836.55</x:v>
      </x:c>
      <x:c r="E94" s="46" t="n">
        <x:v>0.11353188460530927</x:v>
      </x:c>
      <x:c r="F94" s="21" t="str">
        <x:v>official B01001 variance replicates</x:v>
      </x:c>
    </x:row>
    <x:row r="95">
      <x:c r="A95" s="21" t="str">
        <x:v>NYC-V2-R01</x:v>
      </x:c>
      <x:c r="B95" s="21" t="str">
        <x:v>acs_population</x:v>
      </x:c>
      <x:c r="C95" s="21" t="str">
        <x:v>age_75_plus</x:v>
      </x:c>
      <x:c r="D95" s="43" t="n">
        <x:v>-10144.1</x:v>
      </x:c>
      <x:c r="E95" s="46" t="n">
        <x:v>-0.022042093801667044</x:v>
      </x:c>
      <x:c r="F95" s="21" t="str">
        <x:v>official B01001 variance replicates</x:v>
      </x:c>
    </x:row>
    <x:row r="96">
      <x:c r="A96" s="21" t="str">
        <x:v>NYC-V2-R01</x:v>
      </x:c>
      <x:c r="B96" s="21" t="str">
        <x:v>acs_population</x:v>
      </x:c>
      <x:c r="C96" s="21" t="str">
        <x:v>age_85_plus</x:v>
      </x:c>
      <x:c r="D96" s="43" t="n">
        <x:v>18318.2</x:v>
      </x:c>
      <x:c r="E96" s="46" t="n">
        <x:v>0.09393492406889545</x:v>
      </x:c>
      <x:c r="F96" s="21" t="str">
        <x:v>official B01001 variance replicates</x:v>
      </x:c>
    </x:row>
    <x:row r="97">
      <x:c r="A97" s="21" t="str">
        <x:v>NYC-V2-R01</x:v>
      </x:c>
      <x:c r="B97" s="21" t="str">
        <x:v>age_under_18</x:v>
      </x:c>
      <x:c r="C97" s="21" t="str">
        <x:v>age_under_18</x:v>
      </x:c>
      <x:c r="D97" s="43" t="n">
        <x:v>757891.9500000001</x:v>
      </x:c>
      <x:c r="E97" s="46" t="n">
        <x:v>1</x:v>
      </x:c>
      <x:c r="F97" s="21" t="str">
        <x:v>official B01001 variance replicates</x:v>
      </x:c>
    </x:row>
    <x:row r="98">
      <x:c r="A98" s="21" t="str">
        <x:v>NYC-V2-R01</x:v>
      </x:c>
      <x:c r="B98" s="21" t="str">
        <x:v>age_under_18</x:v>
      </x:c>
      <x:c r="C98" s="21" t="str">
        <x:v>age_under_5</x:v>
      </x:c>
      <x:c r="D98" s="43" t="n">
        <x:v>193200.35</x:v>
      </x:c>
      <x:c r="E98" s="46" t="n">
        <x:v>0.5209727469480554</x:v>
      </x:c>
      <x:c r="F98" s="21" t="str">
        <x:v>official B01001 variance replicates</x:v>
      </x:c>
    </x:row>
    <x:row r="99">
      <x:c r="A99" s="21" t="str">
        <x:v>NYC-V2-R01</x:v>
      </x:c>
      <x:c r="B99" s="21" t="str">
        <x:v>age_under_18</x:v>
      </x:c>
      <x:c r="C99" s="21" t="str">
        <x:v>age_65_plus</x:v>
      </x:c>
      <x:c r="D99" s="43" t="n">
        <x:v>-63559.4</x:v>
      </x:c>
      <x:c r="E99" s="46" t="n">
        <x:v>-0.21637303631853116</x:v>
      </x:c>
      <x:c r="F99" s="21" t="str">
        <x:v>official B01001 variance replicates</x:v>
      </x:c>
    </x:row>
    <x:row r="100">
      <x:c r="A100" s="21" t="str">
        <x:v>NYC-V2-R01</x:v>
      </x:c>
      <x:c r="B100" s="21" t="str">
        <x:v>age_under_18</x:v>
      </x:c>
      <x:c r="C100" s="21" t="str">
        <x:v>age_75_plus</x:v>
      </x:c>
      <x:c r="D100" s="43" t="n">
        <x:v>-58925.850000000006</x:v>
      </x:c>
      <x:c r="E100" s="46" t="n">
        <x:v>-0.2374083202257337</x:v>
      </x:c>
      <x:c r="F100" s="21" t="str">
        <x:v>official B01001 variance replicates</x:v>
      </x:c>
    </x:row>
    <x:row r="101">
      <x:c r="A101" s="21" t="str">
        <x:v>NYC-V2-R01</x:v>
      </x:c>
      <x:c r="B101" s="21" t="str">
        <x:v>age_under_18</x:v>
      </x:c>
      <x:c r="C101" s="21" t="str">
        <x:v>age_85_plus</x:v>
      </x:c>
      <x:c r="D101" s="43" t="n">
        <x:v>-10924.300000000001</x:v>
      </x:c>
      <x:c r="E101" s="46" t="n">
        <x:v>-0.10386964928937951</x:v>
      </x:c>
      <x:c r="F101" s="21" t="str">
        <x:v>official B01001 variance replicates</x:v>
      </x:c>
    </x:row>
    <x:row r="102">
      <x:c r="A102" s="21" t="str">
        <x:v>NYC-V2-R01</x:v>
      </x:c>
      <x:c r="B102" s="21" t="str">
        <x:v>age_under_5</x:v>
      </x:c>
      <x:c r="C102" s="21" t="str">
        <x:v>age_under_5</x:v>
      </x:c>
      <x:c r="D102" s="43" t="n">
        <x:v>181459</x:v>
      </x:c>
      <x:c r="E102" s="46" t="n">
        <x:v>1</x:v>
      </x:c>
      <x:c r="F102" s="21" t="str">
        <x:v>official B01001 variance replicates</x:v>
      </x:c>
    </x:row>
    <x:row r="103">
      <x:c r="A103" s="21" t="str">
        <x:v>NYC-V2-R01</x:v>
      </x:c>
      <x:c r="B103" s="21" t="str">
        <x:v>age_under_5</x:v>
      </x:c>
      <x:c r="C103" s="21" t="str">
        <x:v>age_65_plus</x:v>
      </x:c>
      <x:c r="D103" s="43" t="n">
        <x:v>596.25</x:v>
      </x:c>
      <x:c r="E103" s="46" t="n">
        <x:v>0.004148261570509771</x:v>
      </x:c>
      <x:c r="F103" s="21" t="str">
        <x:v>official B01001 variance replicates</x:v>
      </x:c>
    </x:row>
    <x:row r="104">
      <x:c r="A104" s="21" t="str">
        <x:v>NYC-V2-R01</x:v>
      </x:c>
      <x:c r="B104" s="21" t="str">
        <x:v>age_under_5</x:v>
      </x:c>
      <x:c r="C104" s="21" t="str">
        <x:v>age_75_plus</x:v>
      </x:c>
      <x:c r="D104" s="43" t="n">
        <x:v>8398.6</x:v>
      </x:c>
      <x:c r="E104" s="46" t="n">
        <x:v>0.0691530544515153</x:v>
      </x:c>
      <x:c r="F104" s="21" t="str">
        <x:v>official B01001 variance replicates</x:v>
      </x:c>
    </x:row>
    <x:row r="105">
      <x:c r="A105" s="21" t="str">
        <x:v>NYC-V2-R01</x:v>
      </x:c>
      <x:c r="B105" s="21" t="str">
        <x:v>age_under_5</x:v>
      </x:c>
      <x:c r="C105" s="21" t="str">
        <x:v>age_85_plus</x:v>
      </x:c>
      <x:c r="D105" s="43" t="n">
        <x:v>-739</x:v>
      </x:c>
      <x:c r="E105" s="46" t="n">
        <x:v>-0.014359981355827377</x:v>
      </x:c>
      <x:c r="F105" s="21" t="str">
        <x:v>official B01001 variance replicates</x:v>
      </x:c>
    </x:row>
    <x:row r="106">
      <x:c r="A106" s="21" t="str">
        <x:v>NYC-V2-R01</x:v>
      </x:c>
      <x:c r="B106" s="21" t="str">
        <x:v>age_65_plus</x:v>
      </x:c>
      <x:c r="C106" s="21" t="str">
        <x:v>age_65_plus</x:v>
      </x:c>
      <x:c r="D106" s="43" t="n">
        <x:v>113853.40000000001</x:v>
      </x:c>
      <x:c r="E106" s="46" t="n">
        <x:v>0.9999999999999999</x:v>
      </x:c>
      <x:c r="F106" s="21" t="str">
        <x:v>official B01001 variance replicates</x:v>
      </x:c>
    </x:row>
    <x:row r="107">
      <x:c r="A107" s="21" t="str">
        <x:v>NYC-V2-R01</x:v>
      </x:c>
      <x:c r="B107" s="21" t="str">
        <x:v>age_65_plus</x:v>
      </x:c>
      <x:c r="C107" s="21" t="str">
        <x:v>age_75_plus</x:v>
      </x:c>
      <x:c r="D107" s="43" t="n">
        <x:v>61951.100000000006</x:v>
      </x:c>
      <x:c r="E107" s="46" t="n">
        <x:v>0.6439760950186816</x:v>
      </x:c>
      <x:c r="F107" s="21" t="str">
        <x:v>official B01001 variance replicates</x:v>
      </x:c>
    </x:row>
    <x:row r="108">
      <x:c r="A108" s="21" t="str">
        <x:v>NYC-V2-R01</x:v>
      </x:c>
      <x:c r="B108" s="21" t="str">
        <x:v>age_65_plus</x:v>
      </x:c>
      <x:c r="C108" s="21" t="str">
        <x:v>age_85_plus</x:v>
      </x:c>
      <x:c r="D108" s="43" t="n">
        <x:v>18774.3</x:v>
      </x:c>
      <x:c r="E108" s="46" t="n">
        <x:v>0.46056342416269835</x:v>
      </x:c>
      <x:c r="F108" s="21" t="str">
        <x:v>official B01001 variance replicates</x:v>
      </x:c>
    </x:row>
    <x:row r="109">
      <x:c r="A109" s="21" t="str">
        <x:v>NYC-V2-R01</x:v>
      </x:c>
      <x:c r="B109" s="21" t="str">
        <x:v>age_75_plus</x:v>
      </x:c>
      <x:c r="C109" s="21" t="str">
        <x:v>age_75_plus</x:v>
      </x:c>
      <x:c r="D109" s="43" t="n">
        <x:v>81285.40000000001</x:v>
      </x:c>
      <x:c r="E109" s="46" t="n">
        <x:v>1</x:v>
      </x:c>
      <x:c r="F109" s="21" t="str">
        <x:v>official B01001 variance replicates</x:v>
      </x:c>
    </x:row>
    <x:row r="110">
      <x:c r="A110" s="21" t="str">
        <x:v>NYC-V2-R01</x:v>
      </x:c>
      <x:c r="B110" s="21" t="str">
        <x:v>age_75_plus</x:v>
      </x:c>
      <x:c r="C110" s="21" t="str">
        <x:v>age_85_plus</x:v>
      </x:c>
      <x:c r="D110" s="43" t="n">
        <x:v>15837</x:v>
      </x:c>
      <x:c r="E110" s="46" t="n">
        <x:v>0.4597961572892018</x:v>
      </x:c>
      <x:c r="F110" s="21" t="str">
        <x:v>official B01001 variance replicates</x:v>
      </x:c>
    </x:row>
    <x:row r="111">
      <x:c r="A111" s="21" t="str">
        <x:v>NYC-V2-R01</x:v>
      </x:c>
      <x:c r="B111" s="21" t="str">
        <x:v>age_85_plus</x:v>
      </x:c>
      <x:c r="C111" s="21" t="str">
        <x:v>age_85_plus</x:v>
      </x:c>
      <x:c r="D111" s="43" t="n">
        <x:v>14594.95</x:v>
      </x:c>
      <x:c r="E111" s="46" t="n">
        <x:v>1.0000000000000002</x:v>
      </x:c>
      <x:c r="F111" s="21" t="str">
        <x:v>official B01001 variance replicates</x:v>
      </x:c>
    </x:row>
    <x:row r="112">
      <x:c r="A112" s="21" t="str">
        <x:v>NYC-V2-R02</x:v>
      </x:c>
      <x:c r="B112" s="21" t="str">
        <x:v>acs_population</x:v>
      </x:c>
      <x:c r="C112" s="21" t="str">
        <x:v>acs_population</x:v>
      </x:c>
      <x:c r="D112" s="43" t="n">
        <x:v>1684933.4000000001</x:v>
      </x:c>
      <x:c r="E112" s="46" t="n">
        <x:v>1.0000000000000002</x:v>
      </x:c>
      <x:c r="F112" s="21" t="str">
        <x:v>official B01001 variance replicates</x:v>
      </x:c>
    </x:row>
    <x:row r="113">
      <x:c r="A113" s="21" t="str">
        <x:v>NYC-V2-R02</x:v>
      </x:c>
      <x:c r="B113" s="21" t="str">
        <x:v>acs_population</x:v>
      </x:c>
      <x:c r="C113" s="21" t="str">
        <x:v>age_under_18</x:v>
      </x:c>
      <x:c r="D113" s="43" t="n">
        <x:v>524944.65</x:v>
      </x:c>
      <x:c r="E113" s="46" t="n">
        <x:v>0.7613006856934049</x:v>
      </x:c>
      <x:c r="F113" s="21" t="str">
        <x:v>official B01001 variance replicates</x:v>
      </x:c>
    </x:row>
    <x:row r="114">
      <x:c r="A114" s="21" t="str">
        <x:v>NYC-V2-R02</x:v>
      </x:c>
      <x:c r="B114" s="21" t="str">
        <x:v>acs_population</x:v>
      </x:c>
      <x:c r="C114" s="21" t="str">
        <x:v>age_under_5</x:v>
      </x:c>
      <x:c r="D114" s="43" t="n">
        <x:v>87966.25</x:v>
      </x:c>
      <x:c r="E114" s="46" t="n">
        <x:v>0.36514635759296526</x:v>
      </x:c>
      <x:c r="F114" s="21" t="str">
        <x:v>official B01001 variance replicates</x:v>
      </x:c>
    </x:row>
    <x:row r="115">
      <x:c r="A115" s="21" t="str">
        <x:v>NYC-V2-R02</x:v>
      </x:c>
      <x:c r="B115" s="21" t="str">
        <x:v>acs_population</x:v>
      </x:c>
      <x:c r="C115" s="21" t="str">
        <x:v>age_65_plus</x:v>
      </x:c>
      <x:c r="D115" s="43" t="n">
        <x:v>127471.65000000001</x:v>
      </x:c>
      <x:c r="E115" s="46" t="n">
        <x:v>0.2855208044005601</x:v>
      </x:c>
      <x:c r="F115" s="21" t="str">
        <x:v>official B01001 variance replicates</x:v>
      </x:c>
    </x:row>
    <x:row r="116">
      <x:c r="A116" s="21" t="str">
        <x:v>NYC-V2-R02</x:v>
      </x:c>
      <x:c r="B116" s="21" t="str">
        <x:v>acs_population</x:v>
      </x:c>
      <x:c r="C116" s="21" t="str">
        <x:v>age_75_plus</x:v>
      </x:c>
      <x:c r="D116" s="43" t="n">
        <x:v>32151.800000000003</x:v>
      </x:c>
      <x:c r="E116" s="46" t="n">
        <x:v>0.12679830200927764</x:v>
      </x:c>
      <x:c r="F116" s="21" t="str">
        <x:v>official B01001 variance replicates</x:v>
      </x:c>
    </x:row>
    <x:row r="117">
      <x:c r="A117" s="21" t="str">
        <x:v>NYC-V2-R02</x:v>
      </x:c>
      <x:c r="B117" s="21" t="str">
        <x:v>acs_population</x:v>
      </x:c>
      <x:c r="C117" s="21" t="str">
        <x:v>age_85_plus</x:v>
      </x:c>
      <x:c r="D117" s="43" t="n">
        <x:v>14855.7</x:v>
      </x:c>
      <x:c r="E117" s="46" t="n">
        <x:v>0.10848916404244725</x:v>
      </x:c>
      <x:c r="F117" s="21" t="str">
        <x:v>official B01001 variance replicates</x:v>
      </x:c>
    </x:row>
    <x:row r="118">
      <x:c r="A118" s="21" t="str">
        <x:v>NYC-V2-R02</x:v>
      </x:c>
      <x:c r="B118" s="21" t="str">
        <x:v>age_under_18</x:v>
      </x:c>
      <x:c r="C118" s="21" t="str">
        <x:v>age_under_18</x:v>
      </x:c>
      <x:c r="D118" s="43" t="n">
        <x:v>282183.65</x:v>
      </x:c>
      <x:c r="E118" s="46" t="n">
        <x:v>0.9999999999999998</x:v>
      </x:c>
      <x:c r="F118" s="21" t="str">
        <x:v>official B01001 variance replicates</x:v>
      </x:c>
    </x:row>
    <x:row r="119">
      <x:c r="A119" s="21" t="str">
        <x:v>NYC-V2-R02</x:v>
      </x:c>
      <x:c r="B119" s="21" t="str">
        <x:v>age_under_18</x:v>
      </x:c>
      <x:c r="C119" s="21" t="str">
        <x:v>age_under_5</x:v>
      </x:c>
      <x:c r="D119" s="43" t="n">
        <x:v>43438</x:v>
      </x:c>
      <x:c r="E119" s="46" t="n">
        <x:v>0.44060169311919584</x:v>
      </x:c>
      <x:c r="F119" s="21" t="str">
        <x:v>official B01001 variance replicates</x:v>
      </x:c>
    </x:row>
    <x:row r="120">
      <x:c r="A120" s="21" t="str">
        <x:v>NYC-V2-R02</x:v>
      </x:c>
      <x:c r="B120" s="21" t="str">
        <x:v>age_under_18</x:v>
      </x:c>
      <x:c r="C120" s="21" t="str">
        <x:v>age_65_plus</x:v>
      </x:c>
      <x:c r="D120" s="43" t="n">
        <x:v>15600.45</x:v>
      </x:c>
      <x:c r="E120" s="46" t="n">
        <x:v>0.08538601067016481</x:v>
      </x:c>
      <x:c r="F120" s="21" t="str">
        <x:v>official B01001 variance replicates</x:v>
      </x:c>
    </x:row>
    <x:row r="121">
      <x:c r="A121" s="21" t="str">
        <x:v>NYC-V2-R02</x:v>
      </x:c>
      <x:c r="B121" s="21" t="str">
        <x:v>age_under_18</x:v>
      </x:c>
      <x:c r="C121" s="21" t="str">
        <x:v>age_75_plus</x:v>
      </x:c>
      <x:c r="D121" s="43" t="n">
        <x:v>11777.85</x:v>
      </x:c>
      <x:c r="E121" s="46" t="n">
        <x:v>0.113500980007892</x:v>
      </x:c>
      <x:c r="F121" s="21" t="str">
        <x:v>official B01001 variance replicates</x:v>
      </x:c>
    </x:row>
    <x:row r="122">
      <x:c r="A122" s="21" t="str">
        <x:v>NYC-V2-R02</x:v>
      </x:c>
      <x:c r="B122" s="21" t="str">
        <x:v>age_under_18</x:v>
      </x:c>
      <x:c r="C122" s="21" t="str">
        <x:v>age_85_plus</x:v>
      </x:c>
      <x:c r="D122" s="43" t="n">
        <x:v>6256.900000000001</x:v>
      </x:c>
      <x:c r="E122" s="46" t="n">
        <x:v>0.11165492970990137</x:v>
      </x:c>
      <x:c r="F122" s="21" t="str">
        <x:v>official B01001 variance replicates</x:v>
      </x:c>
    </x:row>
    <x:row r="123">
      <x:c r="A123" s="21" t="str">
        <x:v>NYC-V2-R02</x:v>
      </x:c>
      <x:c r="B123" s="21" t="str">
        <x:v>age_under_5</x:v>
      </x:c>
      <x:c r="C123" s="21" t="str">
        <x:v>age_under_5</x:v>
      </x:c>
      <x:c r="D123" s="43" t="n">
        <x:v>34444.15</x:v>
      </x:c>
      <x:c r="E123" s="46" t="n">
        <x:v>0.9999999999999998</x:v>
      </x:c>
      <x:c r="F123" s="21" t="str">
        <x:v>official B01001 variance replicates</x:v>
      </x:c>
    </x:row>
    <x:row r="124">
      <x:c r="A124" s="21" t="str">
        <x:v>NYC-V2-R02</x:v>
      </x:c>
      <x:c r="B124" s="21" t="str">
        <x:v>age_under_5</x:v>
      </x:c>
      <x:c r="C124" s="21" t="str">
        <x:v>age_65_plus</x:v>
      </x:c>
      <x:c r="D124" s="43" t="n">
        <x:v>3397.05</x:v>
      </x:c>
      <x:c r="E124" s="46" t="n">
        <x:v>0.05321814395742179</x:v>
      </x:c>
      <x:c r="F124" s="21" t="str">
        <x:v>official B01001 variance replicates</x:v>
      </x:c>
    </x:row>
    <x:row r="125">
      <x:c r="A125" s="21" t="str">
        <x:v>NYC-V2-R02</x:v>
      </x:c>
      <x:c r="B125" s="21" t="str">
        <x:v>age_under_5</x:v>
      </x:c>
      <x:c r="C125" s="21" t="str">
        <x:v>age_75_plus</x:v>
      </x:c>
      <x:c r="D125" s="43" t="n">
        <x:v>6483.900000000001</x:v>
      </x:c>
      <x:c r="E125" s="46" t="n">
        <x:v>0.1788455291899195</x:v>
      </x:c>
      <x:c r="F125" s="21" t="str">
        <x:v>official B01001 variance replicates</x:v>
      </x:c>
    </x:row>
    <x:row r="126">
      <x:c r="A126" s="21" t="str">
        <x:v>NYC-V2-R02</x:v>
      </x:c>
      <x:c r="B126" s="21" t="str">
        <x:v>age_under_5</x:v>
      </x:c>
      <x:c r="C126" s="21" t="str">
        <x:v>age_85_plus</x:v>
      </x:c>
      <x:c r="D126" s="43" t="n">
        <x:v>2925.65</x:v>
      </x:c>
      <x:c r="E126" s="46" t="n">
        <x:v>0.149433939389528</x:v>
      </x:c>
      <x:c r="F126" s="21" t="str">
        <x:v>official B01001 variance replicates</x:v>
      </x:c>
    </x:row>
    <x:row r="127">
      <x:c r="A127" s="21" t="str">
        <x:v>NYC-V2-R02</x:v>
      </x:c>
      <x:c r="B127" s="21" t="str">
        <x:v>age_65_plus</x:v>
      </x:c>
      <x:c r="C127" s="21" t="str">
        <x:v>age_65_plus</x:v>
      </x:c>
      <x:c r="D127" s="43" t="n">
        <x:v>118295.70000000001</x:v>
      </x:c>
      <x:c r="E127" s="46" t="n">
        <x:v>1.0000000000000002</x:v>
      </x:c>
      <x:c r="F127" s="21" t="str">
        <x:v>official B01001 variance replicates</x:v>
      </x:c>
    </x:row>
    <x:row r="128">
      <x:c r="A128" s="21" t="str">
        <x:v>NYC-V2-R02</x:v>
      </x:c>
      <x:c r="B128" s="21" t="str">
        <x:v>age_65_plus</x:v>
      </x:c>
      <x:c r="C128" s="21" t="str">
        <x:v>age_75_plus</x:v>
      </x:c>
      <x:c r="D128" s="43" t="n">
        <x:v>27548.75</x:v>
      </x:c>
      <x:c r="E128" s="46" t="n">
        <x:v>0.41003122856380847</x:v>
      </x:c>
      <x:c r="F128" s="21" t="str">
        <x:v>official B01001 variance replicates</x:v>
      </x:c>
    </x:row>
    <x:row r="129">
      <x:c r="A129" s="21" t="str">
        <x:v>NYC-V2-R02</x:v>
      </x:c>
      <x:c r="B129" s="21" t="str">
        <x:v>age_65_plus</x:v>
      </x:c>
      <x:c r="C129" s="21" t="str">
        <x:v>age_85_plus</x:v>
      </x:c>
      <x:c r="D129" s="43" t="n">
        <x:v>7371.8</x:v>
      </x:c>
      <x:c r="E129" s="46" t="n">
        <x:v>0.20317659450631684</x:v>
      </x:c>
      <x:c r="F129" s="21" t="str">
        <x:v>official B01001 variance replicates</x:v>
      </x:c>
    </x:row>
    <x:row r="130">
      <x:c r="A130" s="21" t="str">
        <x:v>NYC-V2-R02</x:v>
      </x:c>
      <x:c r="B130" s="21" t="str">
        <x:v>age_75_plus</x:v>
      </x:c>
      <x:c r="C130" s="21" t="str">
        <x:v>age_75_plus</x:v>
      </x:c>
      <x:c r="D130" s="43" t="n">
        <x:v>38159.35</x:v>
      </x:c>
      <x:c r="E130" s="46" t="n">
        <x:v>1.0000000000000002</x:v>
      </x:c>
      <x:c r="F130" s="21" t="str">
        <x:v>official B01001 variance replicates</x:v>
      </x:c>
    </x:row>
    <x:row r="131">
      <x:c r="A131" s="21" t="str">
        <x:v>NYC-V2-R02</x:v>
      </x:c>
      <x:c r="B131" s="21" t="str">
        <x:v>age_75_plus</x:v>
      </x:c>
      <x:c r="C131" s="21" t="str">
        <x:v>age_85_plus</x:v>
      </x:c>
      <x:c r="D131" s="43" t="n">
        <x:v>10095.900000000001</x:v>
      </x:c>
      <x:c r="E131" s="46" t="n">
        <x:v>0.4899245110787908</x:v>
      </x:c>
      <x:c r="F131" s="21" t="str">
        <x:v>official B01001 variance replicates</x:v>
      </x:c>
    </x:row>
    <x:row r="132">
      <x:c r="A132" s="21" t="str">
        <x:v>NYC-V2-R02</x:v>
      </x:c>
      <x:c r="B132" s="21" t="str">
        <x:v>age_85_plus</x:v>
      </x:c>
      <x:c r="C132" s="21" t="str">
        <x:v>age_85_plus</x:v>
      </x:c>
      <x:c r="D132" s="43" t="n">
        <x:v>11128.35</x:v>
      </x:c>
      <x:c r="E132" s="46" t="n">
        <x:v>1</x:v>
      </x:c>
      <x:c r="F132" s="21" t="str">
        <x:v>official B01001 variance replicates</x:v>
      </x:c>
    </x:row>
    <x:row r="133">
      <x:c r="A133" s="21" t="str">
        <x:v>NYC-V2-R03</x:v>
      </x:c>
      <x:c r="B133" s="21" t="str">
        <x:v>acs_population</x:v>
      </x:c>
      <x:c r="C133" s="21" t="str">
        <x:v>acs_population</x:v>
      </x:c>
      <x:c r="D133" s="43" t="n">
        <x:v>1883252.2000000002</x:v>
      </x:c>
      <x:c r="E133" s="46" t="n">
        <x:v>1.0000000000000004</x:v>
      </x:c>
      <x:c r="F133" s="21" t="str">
        <x:v>official B01001 variance replicates</x:v>
      </x:c>
    </x:row>
    <x:row r="134">
      <x:c r="A134" s="21" t="str">
        <x:v>NYC-V2-R03</x:v>
      </x:c>
      <x:c r="B134" s="21" t="str">
        <x:v>acs_population</x:v>
      </x:c>
      <x:c r="C134" s="21" t="str">
        <x:v>age_under_18</x:v>
      </x:c>
      <x:c r="D134" s="43" t="n">
        <x:v>724357.65</x:v>
      </x:c>
      <x:c r="E134" s="46" t="n">
        <x:v>0.7511949223585598</x:v>
      </x:c>
      <x:c r="F134" s="21" t="str">
        <x:v>official B01001 variance replicates</x:v>
      </x:c>
    </x:row>
    <x:row r="135">
      <x:c r="A135" s="21" t="str">
        <x:v>NYC-V2-R03</x:v>
      </x:c>
      <x:c r="B135" s="21" t="str">
        <x:v>acs_population</x:v>
      </x:c>
      <x:c r="C135" s="21" t="str">
        <x:v>age_under_5</x:v>
      </x:c>
      <x:c r="D135" s="43" t="n">
        <x:v>202710.1</x:v>
      </x:c>
      <x:c r="E135" s="46" t="n">
        <x:v>0.4840731256867279</x:v>
      </x:c>
      <x:c r="F135" s="21" t="str">
        <x:v>official B01001 variance replicates</x:v>
      </x:c>
    </x:row>
    <x:row r="136">
      <x:c r="A136" s="21" t="str">
        <x:v>NYC-V2-R03</x:v>
      </x:c>
      <x:c r="B136" s="21" t="str">
        <x:v>acs_population</x:v>
      </x:c>
      <x:c r="C136" s="21" t="str">
        <x:v>age_65_plus</x:v>
      </x:c>
      <x:c r="D136" s="43" t="n">
        <x:v>95199.5</x:v>
      </x:c>
      <x:c r="E136" s="46" t="n">
        <x:v>0.22272480736919645</x:v>
      </x:c>
      <x:c r="F136" s="21" t="str">
        <x:v>official B01001 variance replicates</x:v>
      </x:c>
    </x:row>
    <x:row r="137">
      <x:c r="A137" s="21" t="str">
        <x:v>NYC-V2-R03</x:v>
      </x:c>
      <x:c r="B137" s="21" t="str">
        <x:v>acs_population</x:v>
      </x:c>
      <x:c r="C137" s="21" t="str">
        <x:v>age_75_plus</x:v>
      </x:c>
      <x:c r="D137" s="43" t="n">
        <x:v>43430.4</x:v>
      </x:c>
      <x:c r="E137" s="46" t="n">
        <x:v>0.15232359298239037</x:v>
      </x:c>
      <x:c r="F137" s="21" t="str">
        <x:v>official B01001 variance replicates</x:v>
      </x:c>
    </x:row>
    <x:row r="138">
      <x:c r="A138" s="21" t="str">
        <x:v>NYC-V2-R03</x:v>
      </x:c>
      <x:c r="B138" s="21" t="str">
        <x:v>acs_population</x:v>
      </x:c>
      <x:c r="C138" s="21" t="str">
        <x:v>age_85_plus</x:v>
      </x:c>
      <x:c r="D138" s="43" t="n">
        <x:v>9121.65</x:v>
      </x:c>
      <x:c r="E138" s="46" t="n">
        <x:v>0.05549421274672063</x:v>
      </x:c>
      <x:c r="F138" s="21" t="str">
        <x:v>official B01001 variance replicates</x:v>
      </x:c>
    </x:row>
    <x:row r="139">
      <x:c r="A139" s="21" t="str">
        <x:v>NYC-V2-R03</x:v>
      </x:c>
      <x:c r="B139" s="21" t="str">
        <x:v>age_under_18</x:v>
      </x:c>
      <x:c r="C139" s="21" t="str">
        <x:v>age_under_18</x:v>
      </x:c>
      <x:c r="D139" s="43" t="n">
        <x:v>493733.2</x:v>
      </x:c>
      <x:c r="E139" s="46" t="n">
        <x:v>1.0000000000000002</x:v>
      </x:c>
      <x:c r="F139" s="21" t="str">
        <x:v>official B01001 variance replicates</x:v>
      </x:c>
    </x:row>
    <x:row r="140">
      <x:c r="A140" s="21" t="str">
        <x:v>NYC-V2-R03</x:v>
      </x:c>
      <x:c r="B140" s="21" t="str">
        <x:v>age_under_18</x:v>
      </x:c>
      <x:c r="C140" s="21" t="str">
        <x:v>age_under_5</x:v>
      </x:c>
      <x:c r="D140" s="43" t="n">
        <x:v>132474.65</x:v>
      </x:c>
      <x:c r="E140" s="46" t="n">
        <x:v>0.6178405970078557</x:v>
      </x:c>
      <x:c r="F140" s="21" t="str">
        <x:v>official B01001 variance replicates</x:v>
      </x:c>
    </x:row>
    <x:row r="141">
      <x:c r="A141" s="21" t="str">
        <x:v>NYC-V2-R03</x:v>
      </x:c>
      <x:c r="B141" s="21" t="str">
        <x:v>age_under_18</x:v>
      </x:c>
      <x:c r="C141" s="21" t="str">
        <x:v>age_65_plus</x:v>
      </x:c>
      <x:c r="D141" s="43" t="n">
        <x:v>11573.300000000001</x:v>
      </x:c>
      <x:c r="E141" s="46" t="n">
        <x:v>0.052880945488213024</x:v>
      </x:c>
      <x:c r="F141" s="21" t="str">
        <x:v>official B01001 variance replicates</x:v>
      </x:c>
    </x:row>
    <x:row r="142">
      <x:c r="A142" s="21" t="str">
        <x:v>NYC-V2-R03</x:v>
      </x:c>
      <x:c r="B142" s="21" t="str">
        <x:v>age_under_18</x:v>
      </x:c>
      <x:c r="C142" s="21" t="str">
        <x:v>age_75_plus</x:v>
      </x:c>
      <x:c r="D142" s="43" t="n">
        <x:v>7291.25</x:v>
      </x:c>
      <x:c r="E142" s="46" t="n">
        <x:v>0.049944010290210464</x:v>
      </x:c>
      <x:c r="F142" s="21" t="str">
        <x:v>official B01001 variance replicates</x:v>
      </x:c>
    </x:row>
    <x:row r="143">
      <x:c r="A143" s="21" t="str">
        <x:v>NYC-V2-R03</x:v>
      </x:c>
      <x:c r="B143" s="21" t="str">
        <x:v>age_under_18</x:v>
      </x:c>
      <x:c r="C143" s="21" t="str">
        <x:v>age_85_plus</x:v>
      </x:c>
      <x:c r="D143" s="43" t="n">
        <x:v>-4602.95</x:v>
      </x:c>
      <x:c r="E143" s="46" t="n">
        <x:v>-0.05469134751982087</x:v>
      </x:c>
      <x:c r="F143" s="21" t="str">
        <x:v>official B01001 variance replicates</x:v>
      </x:c>
    </x:row>
    <x:row r="144">
      <x:c r="A144" s="21" t="str">
        <x:v>NYC-V2-R03</x:v>
      </x:c>
      <x:c r="B144" s="21" t="str">
        <x:v>age_under_5</x:v>
      </x:c>
      <x:c r="C144" s="21" t="str">
        <x:v>age_under_5</x:v>
      </x:c>
      <x:c r="D144" s="43" t="n">
        <x:v>93115.15000000001</x:v>
      </x:c>
      <x:c r="E144" s="46" t="n">
        <x:v>1.0000000000000002</x:v>
      </x:c>
      <x:c r="F144" s="21" t="str">
        <x:v>official B01001 variance replicates</x:v>
      </x:c>
    </x:row>
    <x:row r="145">
      <x:c r="A145" s="21" t="str">
        <x:v>NYC-V2-R03</x:v>
      </x:c>
      <x:c r="B145" s="21" t="str">
        <x:v>age_under_5</x:v>
      </x:c>
      <x:c r="C145" s="21" t="str">
        <x:v>age_65_plus</x:v>
      </x:c>
      <x:c r="D145" s="43" t="n">
        <x:v>-977.85</x:v>
      </x:c>
      <x:c r="E145" s="46" t="n">
        <x:v>-0.01028845666776368</x:v>
      </x:c>
      <x:c r="F145" s="21" t="str">
        <x:v>official B01001 variance replicates</x:v>
      </x:c>
    </x:row>
    <x:row r="146">
      <x:c r="A146" s="21" t="str">
        <x:v>NYC-V2-R03</x:v>
      </x:c>
      <x:c r="B146" s="21" t="str">
        <x:v>age_under_5</x:v>
      </x:c>
      <x:c r="C146" s="21" t="str">
        <x:v>age_75_plus</x:v>
      </x:c>
      <x:c r="D146" s="43" t="n">
        <x:v>2356.05</x:v>
      </x:c>
      <x:c r="E146" s="46" t="n">
        <x:v>0.037162242831661765</x:v>
      </x:c>
      <x:c r="F146" s="21" t="str">
        <x:v>official B01001 variance replicates</x:v>
      </x:c>
    </x:row>
    <x:row r="147">
      <x:c r="A147" s="21" t="str">
        <x:v>NYC-V2-R03</x:v>
      </x:c>
      <x:c r="B147" s="21" t="str">
        <x:v>age_under_5</x:v>
      </x:c>
      <x:c r="C147" s="21" t="str">
        <x:v>age_85_plus</x:v>
      </x:c>
      <x:c r="D147" s="43" t="n">
        <x:v>-1077.45</x:v>
      </x:c>
      <x:c r="E147" s="46" t="n">
        <x:v>-0.02947918578528999</x:v>
      </x:c>
      <x:c r="F147" s="21" t="str">
        <x:v>official B01001 variance replicates</x:v>
      </x:c>
    </x:row>
    <x:row r="148">
      <x:c r="A148" s="21" t="str">
        <x:v>NYC-V2-R03</x:v>
      </x:c>
      <x:c r="B148" s="21" t="str">
        <x:v>age_65_plus</x:v>
      </x:c>
      <x:c r="C148" s="21" t="str">
        <x:v>age_65_plus</x:v>
      </x:c>
      <x:c r="D148" s="43" t="n">
        <x:v>97011.6</x:v>
      </x:c>
      <x:c r="E148" s="46" t="n">
        <x:v>1</x:v>
      </x:c>
      <x:c r="F148" s="21" t="str">
        <x:v>official B01001 variance replicates</x:v>
      </x:c>
    </x:row>
    <x:row r="149">
      <x:c r="A149" s="21" t="str">
        <x:v>NYC-V2-R03</x:v>
      </x:c>
      <x:c r="B149" s="21" t="str">
        <x:v>age_65_plus</x:v>
      </x:c>
      <x:c r="C149" s="21" t="str">
        <x:v>age_75_plus</x:v>
      </x:c>
      <x:c r="D149" s="43" t="n">
        <x:v>42043.850000000006</x:v>
      </x:c>
      <x:c r="E149" s="46" t="n">
        <x:v>0.6497080262840967</x:v>
      </x:c>
      <x:c r="F149" s="21" t="str">
        <x:v>official B01001 variance replicates</x:v>
      </x:c>
    </x:row>
    <x:row r="150">
      <x:c r="A150" s="21" t="str">
        <x:v>NYC-V2-R03</x:v>
      </x:c>
      <x:c r="B150" s="21" t="str">
        <x:v>age_65_plus</x:v>
      </x:c>
      <x:c r="C150" s="21" t="str">
        <x:v>age_85_plus</x:v>
      </x:c>
      <x:c r="D150" s="43" t="n">
        <x:v>16252.75</x:v>
      </x:c>
      <x:c r="E150" s="46" t="n">
        <x:v>0.4356558535262844</x:v>
      </x:c>
      <x:c r="F150" s="21" t="str">
        <x:v>official B01001 variance replicates</x:v>
      </x:c>
    </x:row>
    <x:row r="151">
      <x:c r="A151" s="21" t="str">
        <x:v>NYC-V2-R03</x:v>
      </x:c>
      <x:c r="B151" s="21" t="str">
        <x:v>age_75_plus</x:v>
      </x:c>
      <x:c r="C151" s="21" t="str">
        <x:v>age_75_plus</x:v>
      </x:c>
      <x:c r="D151" s="43" t="n">
        <x:v>43166.3</x:v>
      </x:c>
      <x:c r="E151" s="46" t="n">
        <x:v>1.0000000000000002</x:v>
      </x:c>
      <x:c r="F151" s="21" t="str">
        <x:v>official B01001 variance replicates</x:v>
      </x:c>
    </x:row>
    <x:row r="152">
      <x:c r="A152" s="21" t="str">
        <x:v>NYC-V2-R03</x:v>
      </x:c>
      <x:c r="B152" s="21" t="str">
        <x:v>age_75_plus</x:v>
      </x:c>
      <x:c r="C152" s="21" t="str">
        <x:v>age_85_plus</x:v>
      </x:c>
      <x:c r="D152" s="43" t="n">
        <x:v>12454.650000000001</x:v>
      </x:c>
      <x:c r="E152" s="46" t="n">
        <x:v>0.5004810606588078</x:v>
      </x:c>
      <x:c r="F152" s="21" t="str">
        <x:v>official B01001 variance replicates</x:v>
      </x:c>
    </x:row>
    <x:row r="153">
      <x:c r="A153" s="21" t="str">
        <x:v>NYC-V2-R03</x:v>
      </x:c>
      <x:c r="B153" s="21" t="str">
        <x:v>age_85_plus</x:v>
      </x:c>
      <x:c r="C153" s="21" t="str">
        <x:v>age_85_plus</x:v>
      </x:c>
      <x:c r="D153" s="43" t="n">
        <x:v>14346.400000000001</x:v>
      </x:c>
      <x:c r="E153" s="46" t="n">
        <x:v>1</x:v>
      </x:c>
      <x:c r="F153" s="21" t="str">
        <x:v>official B01001 variance replicates</x:v>
      </x:c>
    </x:row>
    <x:row r="154">
      <x:c r="A154" s="21" t="str">
        <x:v>NYC-V2-R04</x:v>
      </x:c>
      <x:c r="B154" s="21" t="str">
        <x:v>acs_population</x:v>
      </x:c>
      <x:c r="C154" s="21" t="str">
        <x:v>acs_population</x:v>
      </x:c>
      <x:c r="D154" s="43" t="n">
        <x:v>2197335</x:v>
      </x:c>
      <x:c r="E154" s="46" t="n">
        <x:v>1.0000000000000002</x:v>
      </x:c>
      <x:c r="F154" s="21" t="str">
        <x:v>official B01001 variance replicates</x:v>
      </x:c>
    </x:row>
    <x:row r="155">
      <x:c r="A155" s="21" t="str">
        <x:v>NYC-V2-R04</x:v>
      </x:c>
      <x:c r="B155" s="21" t="str">
        <x:v>acs_population</x:v>
      </x:c>
      <x:c r="C155" s="21" t="str">
        <x:v>age_under_18</x:v>
      </x:c>
      <x:c r="D155" s="43" t="n">
        <x:v>957878.9</x:v>
      </x:c>
      <x:c r="E155" s="46" t="n">
        <x:v>0.7451225756330262</x:v>
      </x:c>
      <x:c r="F155" s="21" t="str">
        <x:v>official B01001 variance replicates</x:v>
      </x:c>
    </x:row>
    <x:row r="156">
      <x:c r="A156" s="21" t="str">
        <x:v>NYC-V2-R04</x:v>
      </x:c>
      <x:c r="B156" s="21" t="str">
        <x:v>acs_population</x:v>
      </x:c>
      <x:c r="C156" s="21" t="str">
        <x:v>age_under_5</x:v>
      </x:c>
      <x:c r="D156" s="43" t="n">
        <x:v>376774.45</x:v>
      </x:c>
      <x:c r="E156" s="46" t="n">
        <x:v>0.5082222976059829</x:v>
      </x:c>
      <x:c r="F156" s="21" t="str">
        <x:v>official B01001 variance replicates</x:v>
      </x:c>
    </x:row>
    <x:row r="157">
      <x:c r="A157" s="21" t="str">
        <x:v>NYC-V2-R04</x:v>
      </x:c>
      <x:c r="B157" s="21" t="str">
        <x:v>acs_population</x:v>
      </x:c>
      <x:c r="C157" s="21" t="str">
        <x:v>age_65_plus</x:v>
      </x:c>
      <x:c r="D157" s="43" t="n">
        <x:v>219895.6</x:v>
      </x:c>
      <x:c r="E157" s="46" t="n">
        <x:v>0.2847661775128726</x:v>
      </x:c>
      <x:c r="F157" s="21" t="str">
        <x:v>official B01001 variance replicates</x:v>
      </x:c>
    </x:row>
    <x:row r="158">
      <x:c r="A158" s="21" t="str">
        <x:v>NYC-V2-R04</x:v>
      </x:c>
      <x:c r="B158" s="21" t="str">
        <x:v>acs_population</x:v>
      </x:c>
      <x:c r="C158" s="21" t="str">
        <x:v>age_75_plus</x:v>
      </x:c>
      <x:c r="D158" s="43" t="n">
        <x:v>-7050.5</x:v>
      </x:c>
      <x:c r="E158" s="46" t="n">
        <x:v>-0.018369150336045942</x:v>
      </x:c>
      <x:c r="F158" s="21" t="str">
        <x:v>official B01001 variance replicates</x:v>
      </x:c>
    </x:row>
    <x:row r="159">
      <x:c r="A159" s="21" t="str">
        <x:v>NYC-V2-R04</x:v>
      </x:c>
      <x:c r="B159" s="21" t="str">
        <x:v>acs_population</x:v>
      </x:c>
      <x:c r="C159" s="21" t="str">
        <x:v>age_85_plus</x:v>
      </x:c>
      <x:c r="D159" s="43" t="n">
        <x:v>1491.7</x:v>
      </x:c>
      <x:c r="E159" s="46" t="n">
        <x:v>0.00827669984542745</x:v>
      </x:c>
      <x:c r="F159" s="21" t="str">
        <x:v>official B01001 variance replicates</x:v>
      </x:c>
    </x:row>
    <x:row r="160">
      <x:c r="A160" s="21" t="str">
        <x:v>NYC-V2-R04</x:v>
      </x:c>
      <x:c r="B160" s="21" t="str">
        <x:v>age_under_18</x:v>
      </x:c>
      <x:c r="C160" s="21" t="str">
        <x:v>age_under_18</x:v>
      </x:c>
      <x:c r="D160" s="43" t="n">
        <x:v>752089.4500000001</x:v>
      </x:c>
      <x:c r="E160" s="46" t="n">
        <x:v>1</x:v>
      </x:c>
      <x:c r="F160" s="21" t="str">
        <x:v>official B01001 variance replicates</x:v>
      </x:c>
    </x:row>
    <x:row r="161">
      <x:c r="A161" s="21" t="str">
        <x:v>NYC-V2-R04</x:v>
      </x:c>
      <x:c r="B161" s="21" t="str">
        <x:v>age_under_18</x:v>
      </x:c>
      <x:c r="C161" s="21" t="str">
        <x:v>age_under_5</x:v>
      </x:c>
      <x:c r="D161" s="43" t="n">
        <x:v>336955.25</x:v>
      </x:c>
      <x:c r="E161" s="46" t="n">
        <x:v>0.7768870575943911</x:v>
      </x:c>
      <x:c r="F161" s="21" t="str">
        <x:v>official B01001 variance replicates</x:v>
      </x:c>
    </x:row>
    <x:row r="162">
      <x:c r="A162" s="21" t="str">
        <x:v>NYC-V2-R04</x:v>
      </x:c>
      <x:c r="B162" s="21" t="str">
        <x:v>age_under_18</x:v>
      </x:c>
      <x:c r="C162" s="21" t="str">
        <x:v>age_65_plus</x:v>
      </x:c>
      <x:c r="D162" s="43" t="n">
        <x:v>8478.25</x:v>
      </x:c>
      <x:c r="E162" s="46" t="n">
        <x:v>0.018766853905037163</x:v>
      </x:c>
      <x:c r="F162" s="21" t="str">
        <x:v>official B01001 variance replicates</x:v>
      </x:c>
    </x:row>
    <x:row r="163">
      <x:c r="A163" s="21" t="str">
        <x:v>NYC-V2-R04</x:v>
      </x:c>
      <x:c r="B163" s="21" t="str">
        <x:v>age_under_18</x:v>
      </x:c>
      <x:c r="C163" s="21" t="str">
        <x:v>age_75_plus</x:v>
      </x:c>
      <x:c r="D163" s="43" t="n">
        <x:v>-32169.550000000003</x:v>
      </x:c>
      <x:c r="E163" s="46" t="n">
        <x:v>-0.1432608507343119</x:v>
      </x:c>
      <x:c r="F163" s="21" t="str">
        <x:v>official B01001 variance replicates</x:v>
      </x:c>
    </x:row>
    <x:row r="164">
      <x:c r="A164" s="21" t="str">
        <x:v>NYC-V2-R04</x:v>
      </x:c>
      <x:c r="B164" s="21" t="str">
        <x:v>age_under_18</x:v>
      </x:c>
      <x:c r="C164" s="21" t="str">
        <x:v>age_85_plus</x:v>
      </x:c>
      <x:c r="D164" s="43" t="n">
        <x:v>-5249.700000000001</x:v>
      </x:c>
      <x:c r="E164" s="46" t="n">
        <x:v>-0.04978787497689682</x:v>
      </x:c>
      <x:c r="F164" s="21" t="str">
        <x:v>official B01001 variance replicates</x:v>
      </x:c>
    </x:row>
    <x:row r="165">
      <x:c r="A165" s="21" t="str">
        <x:v>NYC-V2-R04</x:v>
      </x:c>
      <x:c r="B165" s="21" t="str">
        <x:v>age_under_5</x:v>
      </x:c>
      <x:c r="C165" s="21" t="str">
        <x:v>age_under_5</x:v>
      </x:c>
      <x:c r="D165" s="43" t="n">
        <x:v>250126.2</x:v>
      </x:c>
      <x:c r="E165" s="46" t="n">
        <x:v>1.0000000000000002</x:v>
      </x:c>
      <x:c r="F165" s="21" t="str">
        <x:v>official B01001 variance replicates</x:v>
      </x:c>
    </x:row>
    <x:row r="166">
      <x:c r="A166" s="21" t="str">
        <x:v>NYC-V2-R04</x:v>
      </x:c>
      <x:c r="B166" s="21" t="str">
        <x:v>age_under_5</x:v>
      </x:c>
      <x:c r="C166" s="21" t="str">
        <x:v>age_65_plus</x:v>
      </x:c>
      <x:c r="D166" s="43" t="n">
        <x:v>-20267.2</x:v>
      </x:c>
      <x:c r="E166" s="46" t="n">
        <x:v>-0.0777918614184843</x:v>
      </x:c>
      <x:c r="F166" s="21" t="str">
        <x:v>official B01001 variance replicates</x:v>
      </x:c>
    </x:row>
    <x:row r="167">
      <x:c r="A167" s="21" t="str">
        <x:v>NYC-V2-R04</x:v>
      </x:c>
      <x:c r="B167" s="21" t="str">
        <x:v>age_under_5</x:v>
      </x:c>
      <x:c r="C167" s="21" t="str">
        <x:v>age_75_plus</x:v>
      </x:c>
      <x:c r="D167" s="43" t="n">
        <x:v>-11704.2</x:v>
      </x:c>
      <x:c r="E167" s="46" t="n">
        <x:v>-0.09038147612407327</x:v>
      </x:c>
      <x:c r="F167" s="21" t="str">
        <x:v>official B01001 variance replicates</x:v>
      </x:c>
    </x:row>
    <x:row r="168">
      <x:c r="A168" s="21" t="str">
        <x:v>NYC-V2-R04</x:v>
      </x:c>
      <x:c r="B168" s="21" t="str">
        <x:v>age_under_5</x:v>
      </x:c>
      <x:c r="C168" s="21" t="str">
        <x:v>age_85_plus</x:v>
      </x:c>
      <x:c r="D168" s="43" t="n">
        <x:v>1869.3000000000002</x:v>
      </x:c>
      <x:c r="E168" s="46" t="n">
        <x:v>0.030741373400541797</x:v>
      </x:c>
      <x:c r="F168" s="21" t="str">
        <x:v>official B01001 variance replicates</x:v>
      </x:c>
    </x:row>
    <x:row r="169">
      <x:c r="A169" s="21" t="str">
        <x:v>NYC-V2-R04</x:v>
      </x:c>
      <x:c r="B169" s="21" t="str">
        <x:v>age_65_plus</x:v>
      </x:c>
      <x:c r="C169" s="21" t="str">
        <x:v>age_65_plus</x:v>
      </x:c>
      <x:c r="D169" s="43" t="n">
        <x:v>271368.85000000003</x:v>
      </x:c>
      <x:c r="E169" s="46" t="n">
        <x:v>1.0000000000000002</x:v>
      </x:c>
      <x:c r="F169" s="21" t="str">
        <x:v>official B01001 variance replicates</x:v>
      </x:c>
    </x:row>
    <x:row r="170">
      <x:c r="A170" s="21" t="str">
        <x:v>NYC-V2-R04</x:v>
      </x:c>
      <x:c r="B170" s="21" t="str">
        <x:v>age_65_plus</x:v>
      </x:c>
      <x:c r="C170" s="21" t="str">
        <x:v>age_75_plus</x:v>
      </x:c>
      <x:c r="D170" s="43" t="n">
        <x:v>74846.40000000001</x:v>
      </x:c>
      <x:c r="E170" s="46" t="n">
        <x:v>0.5548916727708133</x:v>
      </x:c>
      <x:c r="F170" s="21" t="str">
        <x:v>official B01001 variance replicates</x:v>
      </x:c>
    </x:row>
    <x:row r="171">
      <x:c r="A171" s="21" t="str">
        <x:v>NYC-V2-R04</x:v>
      </x:c>
      <x:c r="B171" s="21" t="str">
        <x:v>age_65_plus</x:v>
      </x:c>
      <x:c r="C171" s="21" t="str">
        <x:v>age_85_plus</x:v>
      </x:c>
      <x:c r="D171" s="43" t="n">
        <x:v>25162.350000000002</x:v>
      </x:c>
      <x:c r="E171" s="46" t="n">
        <x:v>0.39727849281554806</x:v>
      </x:c>
      <x:c r="F171" s="21" t="str">
        <x:v>official B01001 variance replicates</x:v>
      </x:c>
    </x:row>
    <x:row r="172">
      <x:c r="A172" s="21" t="str">
        <x:v>NYC-V2-R04</x:v>
      </x:c>
      <x:c r="B172" s="21" t="str">
        <x:v>age_75_plus</x:v>
      </x:c>
      <x:c r="C172" s="21" t="str">
        <x:v>age_75_plus</x:v>
      </x:c>
      <x:c r="D172" s="43" t="n">
        <x:v>67044.85</x:v>
      </x:c>
      <x:c r="E172" s="46" t="n">
        <x:v>1.0000000000000002</x:v>
      </x:c>
      <x:c r="F172" s="21" t="str">
        <x:v>official B01001 variance replicates</x:v>
      </x:c>
    </x:row>
    <x:row r="173">
      <x:c r="A173" s="21" t="str">
        <x:v>NYC-V2-R04</x:v>
      </x:c>
      <x:c r="B173" s="21" t="str">
        <x:v>age_75_plus</x:v>
      </x:c>
      <x:c r="C173" s="21" t="str">
        <x:v>age_85_plus</x:v>
      </x:c>
      <x:c r="D173" s="43" t="n">
        <x:v>20323.5</x:v>
      </x:c>
      <x:c r="E173" s="46" t="n">
        <x:v>0.6455645038791046</x:v>
      </x:c>
      <x:c r="F173" s="21" t="str">
        <x:v>official B01001 variance replicates</x:v>
      </x:c>
    </x:row>
    <x:row r="174">
      <x:c r="A174" s="21" t="str">
        <x:v>NYC-V2-R04</x:v>
      </x:c>
      <x:c r="B174" s="21" t="str">
        <x:v>age_85_plus</x:v>
      </x:c>
      <x:c r="C174" s="21" t="str">
        <x:v>age_85_plus</x:v>
      </x:c>
      <x:c r="D174" s="43" t="n">
        <x:v>14782.650000000001</x:v>
      </x:c>
      <x:c r="E174" s="46" t="n">
        <x:v>0.9999999999999999</x:v>
      </x:c>
      <x:c r="F174" s="21" t="str">
        <x:v>official B01001 variance replicates</x:v>
      </x:c>
    </x:row>
    <x:row r="175">
      <x:c r="A175" s="21" t="str">
        <x:v>NYC-V3-R01</x:v>
      </x:c>
      <x:c r="B175" s="21" t="str">
        <x:v>acs_population</x:v>
      </x:c>
      <x:c r="C175" s="21" t="str">
        <x:v>acs_population</x:v>
      </x:c>
      <x:c r="D175" s="43" t="n">
        <x:v>1549303.8</x:v>
      </x:c>
      <x:c r="E175" s="46" t="n">
        <x:v>0.9999999999999999</x:v>
      </x:c>
      <x:c r="F175" s="21" t="str">
        <x:v>official B01001 variance replicates</x:v>
      </x:c>
    </x:row>
    <x:row r="176">
      <x:c r="A176" s="21" t="str">
        <x:v>NYC-V3-R01</x:v>
      </x:c>
      <x:c r="B176" s="21" t="str">
        <x:v>acs_population</x:v>
      </x:c>
      <x:c r="C176" s="21" t="str">
        <x:v>age_under_18</x:v>
      </x:c>
      <x:c r="D176" s="43" t="n">
        <x:v>476239.35000000003</x:v>
      </x:c>
      <x:c r="E176" s="46" t="n">
        <x:v>0.6741066689952439</x:v>
      </x:c>
      <x:c r="F176" s="21" t="str">
        <x:v>official B01001 variance replicates</x:v>
      </x:c>
    </x:row>
    <x:row r="177">
      <x:c r="A177" s="21" t="str">
        <x:v>NYC-V3-R01</x:v>
      </x:c>
      <x:c r="B177" s="21" t="str">
        <x:v>acs_population</x:v>
      </x:c>
      <x:c r="C177" s="21" t="str">
        <x:v>age_under_5</x:v>
      </x:c>
      <x:c r="D177" s="43" t="n">
        <x:v>207357.35</x:v>
      </x:c>
      <x:c r="E177" s="46" t="n">
        <x:v>0.560726519965197</x:v>
      </x:c>
      <x:c r="F177" s="21" t="str">
        <x:v>official B01001 variance replicates</x:v>
      </x:c>
    </x:row>
    <x:row r="178">
      <x:c r="A178" s="21" t="str">
        <x:v>NYC-V3-R01</x:v>
      </x:c>
      <x:c r="B178" s="21" t="str">
        <x:v>acs_population</x:v>
      </x:c>
      <x:c r="C178" s="21" t="str">
        <x:v>age_65_plus</x:v>
      </x:c>
      <x:c r="D178" s="43" t="n">
        <x:v>95022.3</x:v>
      </x:c>
      <x:c r="E178" s="46" t="n">
        <x:v>0.19267780662548037</x:v>
      </x:c>
      <x:c r="F178" s="21" t="str">
        <x:v>official B01001 variance replicates</x:v>
      </x:c>
    </x:row>
    <x:row r="179">
      <x:c r="A179" s="21" t="str">
        <x:v>NYC-V3-R01</x:v>
      </x:c>
      <x:c r="B179" s="21" t="str">
        <x:v>acs_population</x:v>
      </x:c>
      <x:c r="C179" s="21" t="str">
        <x:v>age_75_plus</x:v>
      </x:c>
      <x:c r="D179" s="43" t="n">
        <x:v>65682.45</x:v>
      </x:c>
      <x:c r="E179" s="46" t="n">
        <x:v>0.20518347905951081</x:v>
      </x:c>
      <x:c r="F179" s="21" t="str">
        <x:v>official B01001 variance replicates</x:v>
      </x:c>
    </x:row>
    <x:row r="180">
      <x:c r="A180" s="21" t="str">
        <x:v>NYC-V3-R01</x:v>
      </x:c>
      <x:c r="B180" s="21" t="str">
        <x:v>acs_population</x:v>
      </x:c>
      <x:c r="C180" s="21" t="str">
        <x:v>age_85_plus</x:v>
      </x:c>
      <x:c r="D180" s="43" t="n">
        <x:v>10301.2</x:v>
      </x:c>
      <x:c r="E180" s="46" t="n">
        <x:v>0.07611630931035122</x:v>
      </x:c>
      <x:c r="F180" s="21" t="str">
        <x:v>official B01001 variance replicates</x:v>
      </x:c>
    </x:row>
    <x:row r="181">
      <x:c r="A181" s="21" t="str">
        <x:v>NYC-V3-R01</x:v>
      </x:c>
      <x:c r="B181" s="21" t="str">
        <x:v>age_under_18</x:v>
      </x:c>
      <x:c r="C181" s="21" t="str">
        <x:v>age_under_18</x:v>
      </x:c>
      <x:c r="D181" s="43" t="n">
        <x:v>322148.95</x:v>
      </x:c>
      <x:c r="E181" s="46" t="n">
        <x:v>1</x:v>
      </x:c>
      <x:c r="F181" s="21" t="str">
        <x:v>official B01001 variance replicates</x:v>
      </x:c>
    </x:row>
    <x:row r="182">
      <x:c r="A182" s="21" t="str">
        <x:v>NYC-V3-R01</x:v>
      </x:c>
      <x:c r="B182" s="21" t="str">
        <x:v>age_under_18</x:v>
      </x:c>
      <x:c r="C182" s="21" t="str">
        <x:v>age_under_5</x:v>
      </x:c>
      <x:c r="D182" s="43" t="n">
        <x:v>120567.55</x:v>
      </x:c>
      <x:c r="E182" s="46" t="n">
        <x:v>0.7149933980226074</x:v>
      </x:c>
      <x:c r="F182" s="21" t="str">
        <x:v>official B01001 variance replicates</x:v>
      </x:c>
    </x:row>
    <x:row r="183">
      <x:c r="A183" s="21" t="str">
        <x:v>NYC-V3-R01</x:v>
      </x:c>
      <x:c r="B183" s="21" t="str">
        <x:v>age_under_18</x:v>
      </x:c>
      <x:c r="C183" s="21" t="str">
        <x:v>age_65_plus</x:v>
      </x:c>
      <x:c r="D183" s="43" t="n">
        <x:v>-28771.800000000003</x:v>
      </x:c>
      <x:c r="E183" s="46" t="n">
        <x:v>-0.12794199585323648</x:v>
      </x:c>
      <x:c r="F183" s="21" t="str">
        <x:v>official B01001 variance replicates</x:v>
      </x:c>
    </x:row>
    <x:row r="184">
      <x:c r="A184" s="21" t="str">
        <x:v>NYC-V3-R01</x:v>
      </x:c>
      <x:c r="B184" s="21" t="str">
        <x:v>age_under_18</x:v>
      </x:c>
      <x:c r="C184" s="21" t="str">
        <x:v>age_75_plus</x:v>
      </x:c>
      <x:c r="D184" s="43" t="n">
        <x:v>-622.3000000000001</x:v>
      </x:c>
      <x:c r="E184" s="46" t="n">
        <x:v>-0.004263171259601274</x:v>
      </x:c>
      <x:c r="F184" s="21" t="str">
        <x:v>official B01001 variance replicates</x:v>
      </x:c>
    </x:row>
    <x:row r="185">
      <x:c r="A185" s="21" t="str">
        <x:v>NYC-V3-R01</x:v>
      </x:c>
      <x:c r="B185" s="21" t="str">
        <x:v>age_under_18</x:v>
      </x:c>
      <x:c r="C185" s="21" t="str">
        <x:v>age_85_plus</x:v>
      </x:c>
      <x:c r="D185" s="43" t="n">
        <x:v>-7703.35</x:v>
      </x:c>
      <x:c r="E185" s="46" t="n">
        <x:v>-0.12482726825798506</x:v>
      </x:c>
      <x:c r="F185" s="21" t="str">
        <x:v>official B01001 variance replicates</x:v>
      </x:c>
    </x:row>
    <x:row r="186">
      <x:c r="A186" s="21" t="str">
        <x:v>NYC-V3-R01</x:v>
      </x:c>
      <x:c r="B186" s="21" t="str">
        <x:v>age_under_5</x:v>
      </x:c>
      <x:c r="C186" s="21" t="str">
        <x:v>age_under_5</x:v>
      </x:c>
      <x:c r="D186" s="43" t="n">
        <x:v>88267.35</x:v>
      </x:c>
      <x:c r="E186" s="46" t="n">
        <x:v>0.9999999999999999</x:v>
      </x:c>
      <x:c r="F186" s="21" t="str">
        <x:v>official B01001 variance replicates</x:v>
      </x:c>
    </x:row>
    <x:row r="187">
      <x:c r="A187" s="21" t="str">
        <x:v>NYC-V3-R01</x:v>
      </x:c>
      <x:c r="B187" s="21" t="str">
        <x:v>age_under_5</x:v>
      </x:c>
      <x:c r="C187" s="21" t="str">
        <x:v>age_65_plus</x:v>
      </x:c>
      <x:c r="D187" s="43" t="n">
        <x:v>-17756.3</x:v>
      </x:c>
      <x:c r="E187" s="46" t="n">
        <x:v>-0.15084359648474294</x:v>
      </x:c>
      <x:c r="F187" s="21" t="str">
        <x:v>official B01001 variance replicates</x:v>
      </x:c>
    </x:row>
    <x:row r="188">
      <x:c r="A188" s="21" t="str">
        <x:v>NYC-V3-R01</x:v>
      </x:c>
      <x:c r="B188" s="21" t="str">
        <x:v>age_under_5</x:v>
      </x:c>
      <x:c r="C188" s="21" t="str">
        <x:v>age_75_plus</x:v>
      </x:c>
      <x:c r="D188" s="43" t="n">
        <x:v>-7188.35</x:v>
      </x:c>
      <x:c r="E188" s="46" t="n">
        <x:v>-0.09407852703036569</x:v>
      </x:c>
      <x:c r="F188" s="21" t="str">
        <x:v>official B01001 variance replicates</x:v>
      </x:c>
    </x:row>
    <x:row r="189">
      <x:c r="A189" s="21" t="str">
        <x:v>NYC-V3-R01</x:v>
      </x:c>
      <x:c r="B189" s="21" t="str">
        <x:v>age_under_5</x:v>
      </x:c>
      <x:c r="C189" s="21" t="str">
        <x:v>age_85_plus</x:v>
      </x:c>
      <x:c r="D189" s="43" t="n">
        <x:v>-5518.900000000001</x:v>
      </x:c>
      <x:c r="E189" s="46" t="n">
        <x:v>-0.1708483059686843</x:v>
      </x:c>
      <x:c r="F189" s="21" t="str">
        <x:v>official B01001 variance replicates</x:v>
      </x:c>
    </x:row>
    <x:row r="190">
      <x:c r="A190" s="21" t="str">
        <x:v>NYC-V3-R01</x:v>
      </x:c>
      <x:c r="B190" s="21" t="str">
        <x:v>age_65_plus</x:v>
      </x:c>
      <x:c r="C190" s="21" t="str">
        <x:v>age_65_plus</x:v>
      </x:c>
      <x:c r="D190" s="43" t="n">
        <x:v>156982.45</x:v>
      </x:c>
      <x:c r="E190" s="46" t="n">
        <x:v>1.0000000000000002</x:v>
      </x:c>
      <x:c r="F190" s="21" t="str">
        <x:v>official B01001 variance replicates</x:v>
      </x:c>
    </x:row>
    <x:row r="191">
      <x:c r="A191" s="21" t="str">
        <x:v>NYC-V3-R01</x:v>
      </x:c>
      <x:c r="B191" s="21" t="str">
        <x:v>age_65_plus</x:v>
      </x:c>
      <x:c r="C191" s="21" t="str">
        <x:v>age_75_plus</x:v>
      </x:c>
      <x:c r="D191" s="43" t="n">
        <x:v>59688.100000000006</x:v>
      </x:c>
      <x:c r="E191" s="46" t="n">
        <x:v>0.5857651660361747</x:v>
      </x:c>
      <x:c r="F191" s="21" t="str">
        <x:v>official B01001 variance replicates</x:v>
      </x:c>
    </x:row>
    <x:row r="192">
      <x:c r="A192" s="21" t="str">
        <x:v>NYC-V3-R01</x:v>
      </x:c>
      <x:c r="B192" s="21" t="str">
        <x:v>age_65_plus</x:v>
      </x:c>
      <x:c r="C192" s="21" t="str">
        <x:v>age_85_plus</x:v>
      </x:c>
      <x:c r="D192" s="43" t="n">
        <x:v>18039.4</x:v>
      </x:c>
      <x:c r="E192" s="46" t="n">
        <x:v>0.41874991639511217</x:v>
      </x:c>
      <x:c r="F192" s="21" t="str">
        <x:v>official B01001 variance replicates</x:v>
      </x:c>
    </x:row>
    <x:row r="193">
      <x:c r="A193" s="21" t="str">
        <x:v>NYC-V3-R01</x:v>
      </x:c>
      <x:c r="B193" s="21" t="str">
        <x:v>age_75_plus</x:v>
      </x:c>
      <x:c r="C193" s="21" t="str">
        <x:v>age_75_plus</x:v>
      </x:c>
      <x:c r="D193" s="43" t="n">
        <x:v>66142</x:v>
      </x:c>
      <x:c r="E193" s="46" t="n">
        <x:v>0.9999999999999998</x:v>
      </x:c>
      <x:c r="F193" s="21" t="str">
        <x:v>official B01001 variance replicates</x:v>
      </x:c>
    </x:row>
    <x:row r="194">
      <x:c r="A194" s="21" t="str">
        <x:v>NYC-V3-R01</x:v>
      </x:c>
      <x:c r="B194" s="21" t="str">
        <x:v>age_75_plus</x:v>
      </x:c>
      <x:c r="C194" s="21" t="str">
        <x:v>age_85_plus</x:v>
      </x:c>
      <x:c r="D194" s="43" t="n">
        <x:v>16410.600000000002</x:v>
      </x:c>
      <x:c r="E194" s="46" t="n">
        <x:v>0.586872817538437</x:v>
      </x:c>
      <x:c r="F194" s="21" t="str">
        <x:v>official B01001 variance replicates</x:v>
      </x:c>
    </x:row>
    <x:row r="195">
      <x:c r="A195" s="21" t="str">
        <x:v>NYC-V3-R01</x:v>
      </x:c>
      <x:c r="B195" s="21" t="str">
        <x:v>age_85_plus</x:v>
      </x:c>
      <x:c r="C195" s="21" t="str">
        <x:v>age_85_plus</x:v>
      </x:c>
      <x:c r="D195" s="43" t="n">
        <x:v>11821.800000000001</x:v>
      </x:c>
      <x:c r="E195" s="46" t="n">
        <x:v>1</x:v>
      </x:c>
      <x:c r="F195" s="21" t="str">
        <x:v>official B01001 variance replicates</x:v>
      </x:c>
    </x:row>
    <x:row r="196">
      <x:c r="A196" s="21" t="str">
        <x:v>NYC-V3-R02</x:v>
      </x:c>
      <x:c r="B196" s="21" t="str">
        <x:v>acs_population</x:v>
      </x:c>
      <x:c r="C196" s="21" t="str">
        <x:v>acs_population</x:v>
      </x:c>
      <x:c r="D196" s="43" t="n">
        <x:v>1968011</x:v>
      </x:c>
      <x:c r="E196" s="46" t="n">
        <x:v>1.0000000000000002</x:v>
      </x:c>
      <x:c r="F196" s="21" t="str">
        <x:v>official B01001 variance replicates</x:v>
      </x:c>
    </x:row>
    <x:row r="197">
      <x:c r="A197" s="21" t="str">
        <x:v>NYC-V3-R02</x:v>
      </x:c>
      <x:c r="B197" s="21" t="str">
        <x:v>acs_population</x:v>
      </x:c>
      <x:c r="C197" s="21" t="str">
        <x:v>age_under_18</x:v>
      </x:c>
      <x:c r="D197" s="43" t="n">
        <x:v>813686.1000000001</x:v>
      </x:c>
      <x:c r="E197" s="46" t="n">
        <x:v>0.7770103561578141</x:v>
      </x:c>
      <x:c r="F197" s="21" t="str">
        <x:v>official B01001 variance replicates</x:v>
      </x:c>
    </x:row>
    <x:row r="198">
      <x:c r="A198" s="21" t="str">
        <x:v>NYC-V3-R02</x:v>
      </x:c>
      <x:c r="B198" s="21" t="str">
        <x:v>acs_population</x:v>
      </x:c>
      <x:c r="C198" s="21" t="str">
        <x:v>age_under_5</x:v>
      </x:c>
      <x:c r="D198" s="43" t="n">
        <x:v>227803.95</x:v>
      </x:c>
      <x:c r="E198" s="46" t="n">
        <x:v>0.5816859892564336</x:v>
      </x:c>
      <x:c r="F198" s="21" t="str">
        <x:v>official B01001 variance replicates</x:v>
      </x:c>
    </x:row>
    <x:row r="199">
      <x:c r="A199" s="21" t="str">
        <x:v>NYC-V3-R02</x:v>
      </x:c>
      <x:c r="B199" s="21" t="str">
        <x:v>acs_population</x:v>
      </x:c>
      <x:c r="C199" s="21" t="str">
        <x:v>age_65_plus</x:v>
      </x:c>
      <x:c r="D199" s="43" t="n">
        <x:v>114871.6</x:v>
      </x:c>
      <x:c r="E199" s="46" t="n">
        <x:v>0.2183465883969766</x:v>
      </x:c>
      <x:c r="F199" s="21" t="str">
        <x:v>official B01001 variance replicates</x:v>
      </x:c>
    </x:row>
    <x:row r="200">
      <x:c r="A200" s="21" t="str">
        <x:v>NYC-V3-R02</x:v>
      </x:c>
      <x:c r="B200" s="21" t="str">
        <x:v>acs_population</x:v>
      </x:c>
      <x:c r="C200" s="21" t="str">
        <x:v>age_75_plus</x:v>
      </x:c>
      <x:c r="D200" s="43" t="n">
        <x:v>-999.1500000000001</x:v>
      </x:c>
      <x:c r="E200" s="46" t="n">
        <x:v>-0.0027841393781290196</x:v>
      </x:c>
      <x:c r="F200" s="21" t="str">
        <x:v>official B01001 variance replicates</x:v>
      </x:c>
    </x:row>
    <x:row r="201">
      <x:c r="A201" s="21" t="str">
        <x:v>NYC-V3-R02</x:v>
      </x:c>
      <x:c r="B201" s="21" t="str">
        <x:v>acs_population</x:v>
      </x:c>
      <x:c r="C201" s="21" t="str">
        <x:v>age_85_plus</x:v>
      </x:c>
      <x:c r="D201" s="43" t="n">
        <x:v>19792.4</x:v>
      </x:c>
      <x:c r="E201" s="46" t="n">
        <x:v>0.09028884561461664</x:v>
      </x:c>
      <x:c r="F201" s="21" t="str">
        <x:v>official B01001 variance replicates</x:v>
      </x:c>
    </x:row>
    <x:row r="202">
      <x:c r="A202" s="21" t="str">
        <x:v>NYC-V3-R02</x:v>
      </x:c>
      <x:c r="B202" s="21" t="str">
        <x:v>age_under_18</x:v>
      </x:c>
      <x:c r="C202" s="21" t="str">
        <x:v>age_under_18</x:v>
      </x:c>
      <x:c r="D202" s="43" t="n">
        <x:v>557227.65</x:v>
      </x:c>
      <x:c r="E202" s="46" t="n">
        <x:v>1</x:v>
      </x:c>
      <x:c r="F202" s="21" t="str">
        <x:v>official B01001 variance replicates</x:v>
      </x:c>
    </x:row>
    <x:row r="203">
      <x:c r="A203" s="21" t="str">
        <x:v>NYC-V3-R02</x:v>
      </x:c>
      <x:c r="B203" s="21" t="str">
        <x:v>age_under_18</x:v>
      </x:c>
      <x:c r="C203" s="21" t="str">
        <x:v>age_under_5</x:v>
      </x:c>
      <x:c r="D203" s="43" t="n">
        <x:v>133515.30000000002</x:v>
      </x:c>
      <x:c r="E203" s="46" t="n">
        <x:v>0.6407016178483411</x:v>
      </x:c>
      <x:c r="F203" s="21" t="str">
        <x:v>official B01001 variance replicates</x:v>
      </x:c>
    </x:row>
    <x:row r="204">
      <x:c r="A204" s="21" t="str">
        <x:v>NYC-V3-R02</x:v>
      </x:c>
      <x:c r="B204" s="21" t="str">
        <x:v>age_under_18</x:v>
      </x:c>
      <x:c r="C204" s="21" t="str">
        <x:v>age_65_plus</x:v>
      </x:c>
      <x:c r="D204" s="43" t="n">
        <x:v>-35456.4</x:v>
      </x:c>
      <x:c r="E204" s="46" t="n">
        <x:v>-0.1266560122575633</x:v>
      </x:c>
      <x:c r="F204" s="21" t="str">
        <x:v>official B01001 variance replicates</x:v>
      </x:c>
    </x:row>
    <x:row r="205">
      <x:c r="A205" s="21" t="str">
        <x:v>NYC-V3-R02</x:v>
      </x:c>
      <x:c r="B205" s="21" t="str">
        <x:v>age_under_18</x:v>
      </x:c>
      <x:c r="C205" s="21" t="str">
        <x:v>age_75_plus</x:v>
      </x:c>
      <x:c r="D205" s="43" t="n">
        <x:v>-56671.350000000006</x:v>
      </x:c>
      <x:c r="E205" s="46" t="n">
        <x:v>-0.296770870215264</x:v>
      </x:c>
      <x:c r="F205" s="21" t="str">
        <x:v>official B01001 variance replicates</x:v>
      </x:c>
    </x:row>
    <x:row r="206">
      <x:c r="A206" s="21" t="str">
        <x:v>NYC-V3-R02</x:v>
      </x:c>
      <x:c r="B206" s="21" t="str">
        <x:v>age_under_18</x:v>
      </x:c>
      <x:c r="C206" s="21" t="str">
        <x:v>age_85_plus</x:v>
      </x:c>
      <x:c r="D206" s="43" t="n">
        <x:v>-19540.15</x:v>
      </x:c>
      <x:c r="E206" s="46" t="n">
        <x:v>-0.1675178019746525</x:v>
      </x:c>
      <x:c r="F206" s="21" t="str">
        <x:v>official B01001 variance replicates</x:v>
      </x:c>
    </x:row>
    <x:row r="207">
      <x:c r="A207" s="21" t="str">
        <x:v>NYC-V3-R02</x:v>
      </x:c>
      <x:c r="B207" s="21" t="str">
        <x:v>age_under_5</x:v>
      </x:c>
      <x:c r="C207" s="21" t="str">
        <x:v>age_under_5</x:v>
      </x:c>
      <x:c r="D207" s="43" t="n">
        <x:v>77932.35</x:v>
      </x:c>
      <x:c r="E207" s="46" t="n">
        <x:v>1</x:v>
      </x:c>
      <x:c r="F207" s="21" t="str">
        <x:v>official B01001 variance replicates</x:v>
      </x:c>
    </x:row>
    <x:row r="208">
      <x:c r="A208" s="21" t="str">
        <x:v>NYC-V3-R02</x:v>
      </x:c>
      <x:c r="B208" s="21" t="str">
        <x:v>age_under_5</x:v>
      </x:c>
      <x:c r="C208" s="21" t="str">
        <x:v>age_65_plus</x:v>
      </x:c>
      <x:c r="D208" s="43" t="n">
        <x:v>3744.7000000000003</x:v>
      </x:c>
      <x:c r="E208" s="46" t="n">
        <x:v>0.035768905038044294</x:v>
      </x:c>
      <x:c r="F208" s="21" t="str">
        <x:v>official B01001 variance replicates</x:v>
      </x:c>
    </x:row>
    <x:row r="209">
      <x:c r="A209" s="21" t="str">
        <x:v>NYC-V3-R02</x:v>
      </x:c>
      <x:c r="B209" s="21" t="str">
        <x:v>age_under_5</x:v>
      </x:c>
      <x:c r="C209" s="21" t="str">
        <x:v>age_75_plus</x:v>
      </x:c>
      <x:c r="D209" s="43" t="n">
        <x:v>-7277.900000000001</x:v>
      </x:c>
      <x:c r="E209" s="46" t="n">
        <x:v>-0.1019110412251938</x:v>
      </x:c>
      <x:c r="F209" s="21" t="str">
        <x:v>official B01001 variance replicates</x:v>
      </x:c>
    </x:row>
    <x:row r="210">
      <x:c r="A210" s="21" t="str">
        <x:v>NYC-V3-R02</x:v>
      </x:c>
      <x:c r="B210" s="21" t="str">
        <x:v>age_under_5</x:v>
      </x:c>
      <x:c r="C210" s="21" t="str">
        <x:v>age_85_plus</x:v>
      </x:c>
      <x:c r="D210" s="43" t="n">
        <x:v>-1880.4</x:v>
      </x:c>
      <x:c r="E210" s="46" t="n">
        <x:v>-0.04310630110027338</x:v>
      </x:c>
      <x:c r="F210" s="21" t="str">
        <x:v>official B01001 variance replicates</x:v>
      </x:c>
    </x:row>
    <x:row r="211">
      <x:c r="A211" s="21" t="str">
        <x:v>NYC-V3-R02</x:v>
      </x:c>
      <x:c r="B211" s="21" t="str">
        <x:v>age_65_plus</x:v>
      </x:c>
      <x:c r="C211" s="21" t="str">
        <x:v>age_65_plus</x:v>
      </x:c>
      <x:c r="D211" s="43" t="n">
        <x:v>140638.75</x:v>
      </x:c>
      <x:c r="E211" s="46" t="n">
        <x:v>1</x:v>
      </x:c>
      <x:c r="F211" s="21" t="str">
        <x:v>official B01001 variance replicates</x:v>
      </x:c>
    </x:row>
    <x:row r="212">
      <x:c r="A212" s="21" t="str">
        <x:v>NYC-V3-R02</x:v>
      </x:c>
      <x:c r="B212" s="21" t="str">
        <x:v>age_65_plus</x:v>
      </x:c>
      <x:c r="C212" s="21" t="str">
        <x:v>age_75_plus</x:v>
      </x:c>
      <x:c r="D212" s="43" t="n">
        <x:v>56889.05</x:v>
      </x:c>
      <x:c r="E212" s="46" t="n">
        <x:v>0.5929938968310821</x:v>
      </x:c>
      <x:c r="F212" s="21" t="str">
        <x:v>official B01001 variance replicates</x:v>
      </x:c>
    </x:row>
    <x:row r="213">
      <x:c r="A213" s="21" t="str">
        <x:v>NYC-V3-R02</x:v>
      </x:c>
      <x:c r="B213" s="21" t="str">
        <x:v>age_65_plus</x:v>
      </x:c>
      <x:c r="C213" s="21" t="str">
        <x:v>age_85_plus</x:v>
      </x:c>
      <x:c r="D213" s="43" t="n">
        <x:v>28204.5</x:v>
      </x:c>
      <x:c r="E213" s="46" t="n">
        <x:v>0.48129938644231046</x:v>
      </x:c>
      <x:c r="F213" s="21" t="str">
        <x:v>official B01001 variance replicates</x:v>
      </x:c>
    </x:row>
    <x:row r="214">
      <x:c r="A214" s="21" t="str">
        <x:v>NYC-V3-R02</x:v>
      </x:c>
      <x:c r="B214" s="21" t="str">
        <x:v>age_75_plus</x:v>
      </x:c>
      <x:c r="C214" s="21" t="str">
        <x:v>age_75_plus</x:v>
      </x:c>
      <x:c r="D214" s="43" t="n">
        <x:v>65441.3</x:v>
      </x:c>
      <x:c r="E214" s="46" t="n">
        <x:v>1</x:v>
      </x:c>
      <x:c r="F214" s="21" t="str">
        <x:v>official B01001 variance replicates</x:v>
      </x:c>
    </x:row>
    <x:row r="215">
      <x:c r="A215" s="21" t="str">
        <x:v>NYC-V3-R02</x:v>
      </x:c>
      <x:c r="B215" s="21" t="str">
        <x:v>age_75_plus</x:v>
      </x:c>
      <x:c r="C215" s="21" t="str">
        <x:v>age_85_plus</x:v>
      </x:c>
      <x:c r="D215" s="43" t="n">
        <x:v>28634.5</x:v>
      </x:c>
      <x:c r="E215" s="46" t="n">
        <x:v>0.7163298466401748</x:v>
      </x:c>
      <x:c r="F215" s="21" t="str">
        <x:v>official B01001 variance replicates</x:v>
      </x:c>
    </x:row>
    <x:row r="216">
      <x:c r="A216" s="21" t="str">
        <x:v>NYC-V3-R02</x:v>
      </x:c>
      <x:c r="B216" s="21" t="str">
        <x:v>age_85_plus</x:v>
      </x:c>
      <x:c r="C216" s="21" t="str">
        <x:v>age_85_plus</x:v>
      </x:c>
      <x:c r="D216" s="43" t="n">
        <x:v>24417.5</x:v>
      </x:c>
      <x:c r="E216" s="46" t="n">
        <x:v>1.0000000000000002</x:v>
      </x:c>
      <x:c r="F216" s="21" t="str">
        <x:v>official B01001 variance replicates</x:v>
      </x:c>
    </x:row>
    <x:row r="217">
      <x:c r="A217" s="21" t="str">
        <x:v>NYC-V3-R03</x:v>
      </x:c>
      <x:c r="B217" s="21" t="str">
        <x:v>acs_population</x:v>
      </x:c>
      <x:c r="C217" s="21" t="str">
        <x:v>acs_population</x:v>
      </x:c>
      <x:c r="D217" s="43" t="n">
        <x:v>2114547.0500000003</x:v>
      </x:c>
      <x:c r="E217" s="46" t="n">
        <x:v>1</x:v>
      </x:c>
      <x:c r="F217" s="21" t="str">
        <x:v>official B01001 variance replicates</x:v>
      </x:c>
    </x:row>
    <x:row r="218">
      <x:c r="A218" s="21" t="str">
        <x:v>NYC-V3-R03</x:v>
      </x:c>
      <x:c r="B218" s="21" t="str">
        <x:v>acs_population</x:v>
      </x:c>
      <x:c r="C218" s="21" t="str">
        <x:v>age_under_18</x:v>
      </x:c>
      <x:c r="D218" s="43" t="n">
        <x:v>948594.55</x:v>
      </x:c>
      <x:c r="E218" s="46" t="n">
        <x:v>0.8020706138443294</x:v>
      </x:c>
      <x:c r="F218" s="21" t="str">
        <x:v>official B01001 variance replicates</x:v>
      </x:c>
    </x:row>
    <x:row r="219">
      <x:c r="A219" s="21" t="str">
        <x:v>NYC-V3-R03</x:v>
      </x:c>
      <x:c r="B219" s="21" t="str">
        <x:v>acs_population</x:v>
      </x:c>
      <x:c r="C219" s="21" t="str">
        <x:v>age_under_5</x:v>
      </x:c>
      <x:c r="D219" s="43" t="n">
        <x:v>239344.85</x:v>
      </x:c>
      <x:c r="E219" s="46" t="n">
        <x:v>0.5192791483470887</x:v>
      </x:c>
      <x:c r="F219" s="21" t="str">
        <x:v>official B01001 variance replicates</x:v>
      </x:c>
    </x:row>
    <x:row r="220">
      <x:c r="A220" s="21" t="str">
        <x:v>NYC-V3-R03</x:v>
      </x:c>
      <x:c r="B220" s="21" t="str">
        <x:v>acs_population</x:v>
      </x:c>
      <x:c r="C220" s="21" t="str">
        <x:v>age_65_plus</x:v>
      </x:c>
      <x:c r="D220" s="43" t="n">
        <x:v>17697.75</x:v>
      </x:c>
      <x:c r="E220" s="46" t="n">
        <x:v>0.02726983321281021</x:v>
      </x:c>
      <x:c r="F220" s="21" t="str">
        <x:v>official B01001 variance replicates</x:v>
      </x:c>
    </x:row>
    <x:row r="221">
      <x:c r="A221" s="21" t="str">
        <x:v>NYC-V3-R03</x:v>
      </x:c>
      <x:c r="B221" s="21" t="str">
        <x:v>acs_population</x:v>
      </x:c>
      <x:c r="C221" s="21" t="str">
        <x:v>age_75_plus</x:v>
      </x:c>
      <x:c r="D221" s="43" t="n">
        <x:v>30371.7</x:v>
      </x:c>
      <x:c r="E221" s="46" t="n">
        <x:v>0.06532223701715464</x:v>
      </x:c>
      <x:c r="F221" s="21" t="str">
        <x:v>official B01001 variance replicates</x:v>
      </x:c>
    </x:row>
    <x:row r="222">
      <x:c r="A222" s="21" t="str">
        <x:v>NYC-V3-R03</x:v>
      </x:c>
      <x:c r="B222" s="21" t="str">
        <x:v>acs_population</x:v>
      </x:c>
      <x:c r="C222" s="21" t="str">
        <x:v>age_85_plus</x:v>
      </x:c>
      <x:c r="D222" s="43" t="n">
        <x:v>37752.25</x:v>
      </x:c>
      <x:c r="E222" s="46" t="n">
        <x:v>0.14472543224534765</x:v>
      </x:c>
      <x:c r="F222" s="21" t="str">
        <x:v>official B01001 variance replicates</x:v>
      </x:c>
    </x:row>
    <x:row r="223">
      <x:c r="A223" s="21" t="str">
        <x:v>NYC-V3-R03</x:v>
      </x:c>
      <x:c r="B223" s="21" t="str">
        <x:v>age_under_18</x:v>
      </x:c>
      <x:c r="C223" s="21" t="str">
        <x:v>age_under_18</x:v>
      </x:c>
      <x:c r="D223" s="43" t="n">
        <x:v>661483</x:v>
      </x:c>
      <x:c r="E223" s="46" t="n">
        <x:v>0.9999999999999998</x:v>
      </x:c>
      <x:c r="F223" s="21" t="str">
        <x:v>official B01001 variance replicates</x:v>
      </x:c>
    </x:row>
    <x:row r="224">
      <x:c r="A224" s="21" t="str">
        <x:v>NYC-V3-R03</x:v>
      </x:c>
      <x:c r="B224" s="21" t="str">
        <x:v>age_under_18</x:v>
      </x:c>
      <x:c r="C224" s="21" t="str">
        <x:v>age_under_5</x:v>
      </x:c>
      <x:c r="D224" s="43" t="n">
        <x:v>166504.75</x:v>
      </x:c>
      <x:c r="E224" s="46" t="n">
        <x:v>0.6458813686560814</x:v>
      </x:c>
      <x:c r="F224" s="21" t="str">
        <x:v>official B01001 variance replicates</x:v>
      </x:c>
    </x:row>
    <x:row r="225">
      <x:c r="A225" s="21" t="str">
        <x:v>NYC-V3-R03</x:v>
      </x:c>
      <x:c r="B225" s="21" t="str">
        <x:v>age_under_18</x:v>
      </x:c>
      <x:c r="C225" s="21" t="str">
        <x:v>age_65_plus</x:v>
      </x:c>
      <x:c r="D225" s="43" t="n">
        <x:v>-65789.45</x:v>
      </x:c>
      <x:c r="E225" s="46" t="n">
        <x:v>-0.1812466608805809</x:v>
      </x:c>
      <x:c r="F225" s="21" t="str">
        <x:v>official B01001 variance replicates</x:v>
      </x:c>
    </x:row>
    <x:row r="226">
      <x:c r="A226" s="21" t="str">
        <x:v>NYC-V3-R03</x:v>
      </x:c>
      <x:c r="B226" s="21" t="str">
        <x:v>age_under_18</x:v>
      </x:c>
      <x:c r="C226" s="21" t="str">
        <x:v>age_75_plus</x:v>
      </x:c>
      <x:c r="D226" s="43" t="n">
        <x:v>-39257.25</x:v>
      </x:c>
      <x:c r="E226" s="46" t="n">
        <x:v>-0.15095974519974908</x:v>
      </x:c>
      <x:c r="F226" s="21" t="str">
        <x:v>official B01001 variance replicates</x:v>
      </x:c>
    </x:row>
    <x:row r="227">
      <x:c r="A227" s="21" t="str">
        <x:v>NYC-V3-R03</x:v>
      </x:c>
      <x:c r="B227" s="21" t="str">
        <x:v>age_under_18</x:v>
      </x:c>
      <x:c r="C227" s="21" t="str">
        <x:v>age_85_plus</x:v>
      </x:c>
      <x:c r="D227" s="43" t="n">
        <x:v>-4595.400000000001</x:v>
      </x:c>
      <x:c r="E227" s="46" t="n">
        <x:v>-0.031497397239079385</x:v>
      </x:c>
      <x:c r="F227" s="21" t="str">
        <x:v>official B01001 variance replicates</x:v>
      </x:c>
    </x:row>
    <x:row r="228">
      <x:c r="A228" s="21" t="str">
        <x:v>NYC-V3-R03</x:v>
      </x:c>
      <x:c r="B228" s="21" t="str">
        <x:v>age_under_5</x:v>
      </x:c>
      <x:c r="C228" s="21" t="str">
        <x:v>age_under_5</x:v>
      </x:c>
      <x:c r="D228" s="43" t="n">
        <x:v>100468.3</x:v>
      </x:c>
      <x:c r="E228" s="46" t="n">
        <x:v>1.0000000000000002</x:v>
      </x:c>
      <x:c r="F228" s="21" t="str">
        <x:v>official B01001 variance replicates</x:v>
      </x:c>
    </x:row>
    <x:row r="229">
      <x:c r="A229" s="21" t="str">
        <x:v>NYC-V3-R03</x:v>
      </x:c>
      <x:c r="B229" s="21" t="str">
        <x:v>age_under_5</x:v>
      </x:c>
      <x:c r="C229" s="21" t="str">
        <x:v>age_65_plus</x:v>
      </x:c>
      <x:c r="D229" s="43" t="n">
        <x:v>-24232.300000000003</x:v>
      </x:c>
      <x:c r="E229" s="46" t="n">
        <x:v>-0.17129836288492545</x:v>
      </x:c>
      <x:c r="F229" s="21" t="str">
        <x:v>official B01001 variance replicates</x:v>
      </x:c>
    </x:row>
    <x:row r="230">
      <x:c r="A230" s="21" t="str">
        <x:v>NYC-V3-R03</x:v>
      </x:c>
      <x:c r="B230" s="21" t="str">
        <x:v>age_under_5</x:v>
      </x:c>
      <x:c r="C230" s="21" t="str">
        <x:v>age_75_plus</x:v>
      </x:c>
      <x:c r="D230" s="43" t="n">
        <x:v>-28372.15</x:v>
      </x:c>
      <x:c r="E230" s="46" t="n">
        <x:v>-0.27994862871841736</x:v>
      </x:c>
      <x:c r="F230" s="21" t="str">
        <x:v>official B01001 variance replicates</x:v>
      </x:c>
    </x:row>
    <x:row r="231">
      <x:c r="A231" s="21" t="str">
        <x:v>NYC-V3-R03</x:v>
      </x:c>
      <x:c r="B231" s="21" t="str">
        <x:v>age_under_5</x:v>
      </x:c>
      <x:c r="C231" s="21" t="str">
        <x:v>age_85_plus</x:v>
      </x:c>
      <x:c r="D231" s="43" t="n">
        <x:v>-7346.8</x:v>
      </x:c>
      <x:c r="E231" s="46" t="n">
        <x:v>-0.1292094809726205</x:v>
      </x:c>
      <x:c r="F231" s="21" t="str">
        <x:v>official B01001 variance replicates</x:v>
      </x:c>
    </x:row>
    <x:row r="232">
      <x:c r="A232" s="21" t="str">
        <x:v>NYC-V3-R03</x:v>
      </x:c>
      <x:c r="B232" s="21" t="str">
        <x:v>age_65_plus</x:v>
      </x:c>
      <x:c r="C232" s="21" t="str">
        <x:v>age_65_plus</x:v>
      </x:c>
      <x:c r="D232" s="43" t="n">
        <x:v>199183.7</x:v>
      </x:c>
      <x:c r="E232" s="46" t="n">
        <x:v>1</x:v>
      </x:c>
      <x:c r="F232" s="21" t="str">
        <x:v>official B01001 variance replicates</x:v>
      </x:c>
    </x:row>
    <x:row r="233">
      <x:c r="A233" s="21" t="str">
        <x:v>NYC-V3-R03</x:v>
      </x:c>
      <x:c r="B233" s="21" t="str">
        <x:v>age_65_plus</x:v>
      </x:c>
      <x:c r="C233" s="21" t="str">
        <x:v>age_75_plus</x:v>
      </x:c>
      <x:c r="D233" s="43" t="n">
        <x:v>90223.3</x:v>
      </x:c>
      <x:c r="E233" s="46" t="n">
        <x:v>0.6322552353326577</x:v>
      </x:c>
      <x:c r="F233" s="21" t="str">
        <x:v>official B01001 variance replicates</x:v>
      </x:c>
    </x:row>
    <x:row r="234">
      <x:c r="A234" s="21" t="str">
        <x:v>NYC-V3-R03</x:v>
      </x:c>
      <x:c r="B234" s="21" t="str">
        <x:v>age_65_plus</x:v>
      </x:c>
      <x:c r="C234" s="21" t="str">
        <x:v>age_85_plus</x:v>
      </x:c>
      <x:c r="D234" s="43" t="n">
        <x:v>31585.45</x:v>
      </x:c>
      <x:c r="E234" s="46" t="n">
        <x:v>0.3945216696672622</x:v>
      </x:c>
      <x:c r="F234" s="21" t="str">
        <x:v>official B01001 variance replicates</x:v>
      </x:c>
    </x:row>
    <x:row r="235">
      <x:c r="A235" s="21" t="str">
        <x:v>NYC-V3-R03</x:v>
      </x:c>
      <x:c r="B235" s="21" t="str">
        <x:v>age_75_plus</x:v>
      </x:c>
      <x:c r="C235" s="21" t="str">
        <x:v>age_75_plus</x:v>
      </x:c>
      <x:c r="D235" s="43" t="n">
        <x:v>102234.8</x:v>
      </x:c>
      <x:c r="E235" s="46" t="n">
        <x:v>1.0000000000000002</x:v>
      </x:c>
      <x:c r="F235" s="21" t="str">
        <x:v>official B01001 variance replicates</x:v>
      </x:c>
    </x:row>
    <x:row r="236">
      <x:c r="A236" s="21" t="str">
        <x:v>NYC-V3-R03</x:v>
      </x:c>
      <x:c r="B236" s="21" t="str">
        <x:v>age_75_plus</x:v>
      </x:c>
      <x:c r="C236" s="21" t="str">
        <x:v>age_85_plus</x:v>
      </x:c>
      <x:c r="D236" s="43" t="n">
        <x:v>31914.100000000002</x:v>
      </x:c>
      <x:c r="E236" s="46" t="n">
        <x:v>0.5564087066157393</x:v>
      </x:c>
      <x:c r="F236" s="21" t="str">
        <x:v>official B01001 variance replicates</x:v>
      </x:c>
    </x:row>
    <x:row r="237">
      <x:c r="A237" s="21" t="str">
        <x:v>NYC-V3-R03</x:v>
      </x:c>
      <x:c r="B237" s="21" t="str">
        <x:v>age_85_plus</x:v>
      </x:c>
      <x:c r="C237" s="21" t="str">
        <x:v>age_85_plus</x:v>
      </x:c>
      <x:c r="D237" s="43" t="n">
        <x:v>32179.45</x:v>
      </x:c>
      <x:c r="E237" s="46" t="n">
        <x:v>0.9999999999999999</x:v>
      </x:c>
      <x:c r="F237" s="21" t="str">
        <x:v>official B01001 variance replicates</x:v>
      </x:c>
    </x:row>
    <x:row r="238">
      <x:c r="A238" s="21" t="str">
        <x:v>NYC-V3-R04</x:v>
      </x:c>
      <x:c r="B238" s="21" t="str">
        <x:v>acs_population</x:v>
      </x:c>
      <x:c r="C238" s="21" t="str">
        <x:v>acs_population</x:v>
      </x:c>
      <x:c r="D238" s="43" t="n">
        <x:v>1841596.6500000001</x:v>
      </x:c>
      <x:c r="E238" s="46" t="n">
        <x:v>0.9999999999999997</x:v>
      </x:c>
      <x:c r="F238" s="21" t="str">
        <x:v>official B01001 variance replicates</x:v>
      </x:c>
    </x:row>
    <x:row r="239">
      <x:c r="A239" s="21" t="str">
        <x:v>NYC-V3-R04</x:v>
      </x:c>
      <x:c r="B239" s="21" t="str">
        <x:v>acs_population</x:v>
      </x:c>
      <x:c r="C239" s="21" t="str">
        <x:v>age_under_18</x:v>
      </x:c>
      <x:c r="D239" s="43" t="n">
        <x:v>714804.15</x:v>
      </x:c>
      <x:c r="E239" s="46" t="n">
        <x:v>0.7640415941341239</x:v>
      </x:c>
      <x:c r="F239" s="21" t="str">
        <x:v>official B01001 variance replicates</x:v>
      </x:c>
    </x:row>
    <x:row r="240">
      <x:c r="A240" s="21" t="str">
        <x:v>NYC-V3-R04</x:v>
      </x:c>
      <x:c r="B240" s="21" t="str">
        <x:v>acs_population</x:v>
      </x:c>
      <x:c r="C240" s="21" t="str">
        <x:v>age_under_5</x:v>
      </x:c>
      <x:c r="D240" s="43" t="n">
        <x:v>45749.200000000004</x:v>
      </x:c>
      <x:c r="E240" s="46" t="n">
        <x:v>0.148487184272918</x:v>
      </x:c>
      <x:c r="F240" s="21" t="str">
        <x:v>official B01001 variance replicates</x:v>
      </x:c>
    </x:row>
    <x:row r="241">
      <x:c r="A241" s="21" t="str">
        <x:v>NYC-V3-R04</x:v>
      </x:c>
      <x:c r="B241" s="21" t="str">
        <x:v>acs_population</x:v>
      </x:c>
      <x:c r="C241" s="21" t="str">
        <x:v>age_65_plus</x:v>
      </x:c>
      <x:c r="D241" s="43" t="n">
        <x:v>9542.15</x:v>
      </x:c>
      <x:c r="E241" s="46" t="n">
        <x:v>0.01816375393433202</x:v>
      </x:c>
      <x:c r="F241" s="21" t="str">
        <x:v>official B01001 variance replicates</x:v>
      </x:c>
    </x:row>
    <x:row r="242">
      <x:c r="A242" s="21" t="str">
        <x:v>NYC-V3-R04</x:v>
      </x:c>
      <x:c r="B242" s="21" t="str">
        <x:v>acs_population</x:v>
      </x:c>
      <x:c r="C242" s="21" t="str">
        <x:v>age_75_plus</x:v>
      </x:c>
      <x:c r="D242" s="43" t="n">
        <x:v>19834.050000000003</x:v>
      </x:c>
      <x:c r="E242" s="46" t="n">
        <x:v>0.044595203320562146</x:v>
      </x:c>
      <x:c r="F242" s="21" t="str">
        <x:v>official B01001 variance replicates</x:v>
      </x:c>
    </x:row>
    <x:row r="243">
      <x:c r="A243" s="21" t="str">
        <x:v>NYC-V3-R04</x:v>
      </x:c>
      <x:c r="B243" s="21" t="str">
        <x:v>acs_population</x:v>
      </x:c>
      <x:c r="C243" s="21" t="str">
        <x:v>age_85_plus</x:v>
      </x:c>
      <x:c r="D243" s="43" t="n">
        <x:v>-17655.45</x:v>
      </x:c>
      <x:c r="E243" s="46" t="n">
        <x:v>-0.06740170610307013</x:v>
      </x:c>
      <x:c r="F243" s="21" t="str">
        <x:v>official B01001 variance replicates</x:v>
      </x:c>
    </x:row>
    <x:row r="244">
      <x:c r="A244" s="21" t="str">
        <x:v>NYC-V3-R04</x:v>
      </x:c>
      <x:c r="B244" s="21" t="str">
        <x:v>age_under_18</x:v>
      </x:c>
      <x:c r="C244" s="21" t="str">
        <x:v>age_under_18</x:v>
      </x:c>
      <x:c r="D244" s="43" t="n">
        <x:v>475275.7</x:v>
      </x:c>
      <x:c r="E244" s="46" t="n">
        <x:v>0.9999999999999998</x:v>
      </x:c>
      <x:c r="F244" s="21" t="str">
        <x:v>official B01001 variance replicates</x:v>
      </x:c>
    </x:row>
    <x:row r="245">
      <x:c r="A245" s="21" t="str">
        <x:v>NYC-V3-R04</x:v>
      </x:c>
      <x:c r="B245" s="21" t="str">
        <x:v>age_under_18</x:v>
      </x:c>
      <x:c r="C245" s="21" t="str">
        <x:v>age_under_5</x:v>
      </x:c>
      <x:c r="D245" s="43" t="n">
        <x:v>58402.25</x:v>
      </x:c>
      <x:c r="E245" s="46" t="n">
        <x:v>0.3731294258605339</x:v>
      </x:c>
      <x:c r="F245" s="21" t="str">
        <x:v>official B01001 variance replicates</x:v>
      </x:c>
    </x:row>
    <x:row r="246">
      <x:c r="A246" s="21" t="str">
        <x:v>NYC-V3-R04</x:v>
      </x:c>
      <x:c r="B246" s="21" t="str">
        <x:v>age_under_18</x:v>
      </x:c>
      <x:c r="C246" s="21" t="str">
        <x:v>age_65_plus</x:v>
      </x:c>
      <x:c r="D246" s="43" t="n">
        <x:v>-68330.7</x:v>
      </x:c>
      <x:c r="E246" s="46" t="n">
        <x:v>-0.2560352098624399</x:v>
      </x:c>
      <x:c r="F246" s="21" t="str">
        <x:v>official B01001 variance replicates</x:v>
      </x:c>
    </x:row>
    <x:row r="247">
      <x:c r="A247" s="21" t="str">
        <x:v>NYC-V3-R04</x:v>
      </x:c>
      <x:c r="B247" s="21" t="str">
        <x:v>age_under_18</x:v>
      </x:c>
      <x:c r="C247" s="21" t="str">
        <x:v>age_75_plus</x:v>
      </x:c>
      <x:c r="D247" s="43" t="n">
        <x:v>-12164.400000000001</x:v>
      </x:c>
      <x:c r="E247" s="46" t="n">
        <x:v>-0.05383836843813882</x:v>
      </x:c>
      <x:c r="F247" s="21" t="str">
        <x:v>official B01001 variance replicates</x:v>
      </x:c>
    </x:row>
    <x:row r="248">
      <x:c r="A248" s="21" t="str">
        <x:v>NYC-V3-R04</x:v>
      </x:c>
      <x:c r="B248" s="21" t="str">
        <x:v>age_under_18</x:v>
      </x:c>
      <x:c r="C248" s="21" t="str">
        <x:v>age_85_plus</x:v>
      </x:c>
      <x:c r="D248" s="43" t="n">
        <x:v>-14044.25</x:v>
      </x:c>
      <x:c r="E248" s="46" t="n">
        <x:v>-0.10553951721621951</x:v>
      </x:c>
      <x:c r="F248" s="21" t="str">
        <x:v>official B01001 variance replicates</x:v>
      </x:c>
    </x:row>
    <x:row r="249">
      <x:c r="A249" s="21" t="str">
        <x:v>NYC-V3-R04</x:v>
      </x:c>
      <x:c r="B249" s="21" t="str">
        <x:v>age_under_5</x:v>
      </x:c>
      <x:c r="C249" s="21" t="str">
        <x:v>age_under_5</x:v>
      </x:c>
      <x:c r="D249" s="43" t="n">
        <x:v>51545.950000000004</x:v>
      </x:c>
      <x:c r="E249" s="46" t="n">
        <x:v>1</x:v>
      </x:c>
      <x:c r="F249" s="21" t="str">
        <x:v>official B01001 variance replicates</x:v>
      </x:c>
    </x:row>
    <x:row r="250">
      <x:c r="A250" s="21" t="str">
        <x:v>NYC-V3-R04</x:v>
      </x:c>
      <x:c r="B250" s="21" t="str">
        <x:v>age_under_5</x:v>
      </x:c>
      <x:c r="C250" s="21" t="str">
        <x:v>age_65_plus</x:v>
      </x:c>
      <x:c r="D250" s="43" t="n">
        <x:v>-30962</x:v>
      </x:c>
      <x:c r="E250" s="46" t="n">
        <x:v>-0.3522803027854223</x:v>
      </x:c>
      <x:c r="F250" s="21" t="str">
        <x:v>official B01001 variance replicates</x:v>
      </x:c>
    </x:row>
    <x:row r="251">
      <x:c r="A251" s="21" t="str">
        <x:v>NYC-V3-R04</x:v>
      </x:c>
      <x:c r="B251" s="21" t="str">
        <x:v>age_under_5</x:v>
      </x:c>
      <x:c r="C251" s="21" t="str">
        <x:v>age_75_plus</x:v>
      </x:c>
      <x:c r="D251" s="43" t="n">
        <x:v>-17354.100000000002</x:v>
      </x:c>
      <x:c r="E251" s="46" t="n">
        <x:v>-0.23322699911278172</x:v>
      </x:c>
      <x:c r="F251" s="21" t="str">
        <x:v>official B01001 variance replicates</x:v>
      </x:c>
    </x:row>
    <x:row r="252">
      <x:c r="A252" s="21" t="str">
        <x:v>NYC-V3-R04</x:v>
      </x:c>
      <x:c r="B252" s="21" t="str">
        <x:v>age_under_5</x:v>
      </x:c>
      <x:c r="C252" s="21" t="str">
        <x:v>age_85_plus</x:v>
      </x:c>
      <x:c r="D252" s="43" t="n">
        <x:v>1752</x:v>
      </x:c>
      <x:c r="E252" s="46" t="n">
        <x:v>0.03997847137656513</x:v>
      </x:c>
      <x:c r="F252" s="21" t="str">
        <x:v>official B01001 variance replicates</x:v>
      </x:c>
    </x:row>
    <x:row r="253">
      <x:c r="A253" s="21" t="str">
        <x:v>NYC-V3-R04</x:v>
      </x:c>
      <x:c r="B253" s="21" t="str">
        <x:v>age_65_plus</x:v>
      </x:c>
      <x:c r="C253" s="21" t="str">
        <x:v>age_65_plus</x:v>
      </x:c>
      <x:c r="D253" s="43" t="n">
        <x:v>149860.35</x:v>
      </x:c>
      <x:c r="E253" s="46" t="n">
        <x:v>1</x:v>
      </x:c>
      <x:c r="F253" s="21" t="str">
        <x:v>official B01001 variance replicates</x:v>
      </x:c>
    </x:row>
    <x:row r="254">
      <x:c r="A254" s="21" t="str">
        <x:v>NYC-V3-R04</x:v>
      </x:c>
      <x:c r="B254" s="21" t="str">
        <x:v>age_65_plus</x:v>
      </x:c>
      <x:c r="C254" s="21" t="str">
        <x:v>age_75_plus</x:v>
      </x:c>
      <x:c r="D254" s="43" t="n">
        <x:v>63639.4</x:v>
      </x:c>
      <x:c r="E254" s="46" t="n">
        <x:v>0.5015990529749442</x:v>
      </x:c>
      <x:c r="F254" s="21" t="str">
        <x:v>official B01001 variance replicates</x:v>
      </x:c>
    </x:row>
    <x:row r="255">
      <x:c r="A255" s="21" t="str">
        <x:v>NYC-V3-R04</x:v>
      </x:c>
      <x:c r="B255" s="21" t="str">
        <x:v>age_65_plus</x:v>
      </x:c>
      <x:c r="C255" s="21" t="str">
        <x:v>age_85_plus</x:v>
      </x:c>
      <x:c r="D255" s="43" t="n">
        <x:v>15189.550000000001</x:v>
      </x:c>
      <x:c r="E255" s="46" t="n">
        <x:v>0.2032782405668624</x:v>
      </x:c>
      <x:c r="F255" s="21" t="str">
        <x:v>official B01001 variance replicates</x:v>
      </x:c>
    </x:row>
    <x:row r="256">
      <x:c r="A256" s="21" t="str">
        <x:v>NYC-V3-R04</x:v>
      </x:c>
      <x:c r="B256" s="21" t="str">
        <x:v>age_75_plus</x:v>
      </x:c>
      <x:c r="C256" s="21" t="str">
        <x:v>age_75_plus</x:v>
      </x:c>
      <x:c r="D256" s="43" t="n">
        <x:v>107411.8</x:v>
      </x:c>
      <x:c r="E256" s="46" t="n">
        <x:v>1.0000000000000004</x:v>
      </x:c>
      <x:c r="F256" s="21" t="str">
        <x:v>official B01001 variance replicates</x:v>
      </x:c>
    </x:row>
    <x:row r="257">
      <x:c r="A257" s="21" t="str">
        <x:v>NYC-V3-R04</x:v>
      </x:c>
      <x:c r="B257" s="21" t="str">
        <x:v>age_75_plus</x:v>
      </x:c>
      <x:c r="C257" s="21" t="str">
        <x:v>age_85_plus</x:v>
      </x:c>
      <x:c r="D257" s="43" t="n">
        <x:v>31463.850000000002</x:v>
      </x:c>
      <x:c r="E257" s="46" t="n">
        <x:v>0.49736500223477914</x:v>
      </x:c>
      <x:c r="F257" s="21" t="str">
        <x:v>official B01001 variance replicates</x:v>
      </x:c>
    </x:row>
    <x:row r="258">
      <x:c r="A258" s="22" t="str">
        <x:v>NYC-V3-R04</x:v>
      </x:c>
      <x:c r="B258" s="22" t="str">
        <x:v>age_85_plus</x:v>
      </x:c>
      <x:c r="C258" s="22" t="str">
        <x:v>age_85_plus</x:v>
      </x:c>
      <x:c r="D258" s="44" t="n">
        <x:v>37258.15</x:v>
      </x:c>
      <x:c r="E258" s="47" t="n">
        <x:v>0.9999999999999998</x:v>
      </x:c>
      <x:c r="F258" s="22" t="str">
        <x:v>official B01001 variance replicates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6" hidden="0" customWidth="1"/>
    <x:col min="8" max="8" width="14" hidden="0" customWidth="1"/>
  </x:cols>
  <x:sheetData>
    <x:row r="1">
      <x:c r="A1" s="1" t="str">
        <x:v>Point Support</x:v>
      </x:c>
      <x:c r="B1" s="29"/>
      <x:c r="C1" s="29"/>
      <x:c r="D1" s="29"/>
      <x:c r="E1" s="29"/>
      <x:c r="F1" s="29"/>
      <x:c r="G1" s="29"/>
      <x:c r="H1" s="29"/>
    </x:row>
    <x:row r="2">
      <x:c r="A2" s="2" t="str">
        <x:v>Under-five authority extends the basis without breaking exact integer point feasibility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"/>
    </x:row>
    <x:row r="5">
      <x:c r="A5" s="29"/>
      <x:c r="B5" s="29"/>
      <x:c r="C5" s="29"/>
      <x:c r="D5" s="29"/>
      <x:c r="E5" s="29"/>
      <x:c r="F5" s="29"/>
      <x:c r="G5" s="29"/>
      <x:c r="H5" s="29"/>
    </x:row>
    <x:row r="6" ht="34" customHeight="1">
      <x:c r="A6" s="17" t="str">
        <x:v>Catchment</x:v>
      </x:c>
      <x:c r="B6" s="17" t="str">
        <x:v>Archetype</x:v>
      </x:c>
      <x:c r="C6" s="17" t="str">
        <x:v>Integer witness</x:v>
      </x:c>
      <x:c r="D6" s="17" t="str">
        <x:v>Maximum residual</x:v>
      </x:c>
      <x:c r="E6" s="17" t="str">
        <x:v>Minimum bridge slack</x:v>
      </x:c>
      <x:c r="F6" s="17" t="str">
        <x:v>Nonzero person cells</x:v>
      </x:c>
      <x:c r="G6" s="17" t="str">
        <x:v>Nonzero household cells</x:v>
      </x:c>
      <x:c r="H6" s="17" t="str">
        <x:v>Check</x:v>
      </x:c>
    </x:row>
    <x:row r="7">
      <x:c r="A7" s="20" t="str">
        <x:v>NYC-V1-R01</x:v>
      </x:c>
      <x:c r="B7" s="20" t="str">
        <x:v>V1</x:v>
      </x:c>
      <x:c r="C7" s="20" t="str">
        <x:v>Yes</x:v>
      </x:c>
      <x:c r="D7" s="39" t="n">
        <x:v>0</x:v>
      </x:c>
      <x:c r="E7" s="23" t="n">
        <x:v>1529</x:v>
      </x:c>
      <x:c r="F7" s="23" t="n">
        <x:v>18</x:v>
      </x:c>
      <x:c r="G7" s="23" t="n">
        <x:v>19</x:v>
      </x:c>
      <x:c r="H7" s="20" t="str">
        <x:v>Met</x:v>
      </x:c>
    </x:row>
    <x:row r="8">
      <x:c r="A8" s="21" t="str">
        <x:v>NYC-V1-R02</x:v>
      </x:c>
      <x:c r="B8" s="21" t="str">
        <x:v>V1</x:v>
      </x:c>
      <x:c r="C8" s="21" t="str">
        <x:v>Yes</x:v>
      </x:c>
      <x:c r="D8" s="40" t="n">
        <x:v>0</x:v>
      </x:c>
      <x:c r="E8" s="24" t="n">
        <x:v>524</x:v>
      </x:c>
      <x:c r="F8" s="24" t="n">
        <x:v>217</x:v>
      </x:c>
      <x:c r="G8" s="24" t="n">
        <x:v>195</x:v>
      </x:c>
      <x:c r="H8" s="21" t="str">
        <x:v>Met</x:v>
      </x:c>
    </x:row>
    <x:row r="9">
      <x:c r="A9" s="21" t="str">
        <x:v>NYC-V1-R03</x:v>
      </x:c>
      <x:c r="B9" s="21" t="str">
        <x:v>V1</x:v>
      </x:c>
      <x:c r="C9" s="21" t="str">
        <x:v>Yes</x:v>
      </x:c>
      <x:c r="D9" s="40" t="n">
        <x:v>0</x:v>
      </x:c>
      <x:c r="E9" s="24" t="n">
        <x:v>62</x:v>
      </x:c>
      <x:c r="F9" s="24" t="n">
        <x:v>17</x:v>
      </x:c>
      <x:c r="G9" s="24" t="n">
        <x:v>16</x:v>
      </x:c>
      <x:c r="H9" s="21" t="str">
        <x:v>Met</x:v>
      </x:c>
    </x:row>
    <x:row r="10">
      <x:c r="A10" s="21" t="str">
        <x:v>NYC-V1-R04</x:v>
      </x:c>
      <x:c r="B10" s="21" t="str">
        <x:v>V1</x:v>
      </x:c>
      <x:c r="C10" s="21" t="str">
        <x:v>Yes</x:v>
      </x:c>
      <x:c r="D10" s="40" t="n">
        <x:v>0</x:v>
      </x:c>
      <x:c r="E10" s="24" t="n">
        <x:v>289</x:v>
      </x:c>
      <x:c r="F10" s="24" t="n">
        <x:v>171</x:v>
      </x:c>
      <x:c r="G10" s="24" t="n">
        <x:v>213</x:v>
      </x:c>
      <x:c r="H10" s="21" t="str">
        <x:v>Met</x:v>
      </x:c>
    </x:row>
    <x:row r="11">
      <x:c r="A11" s="21" t="str">
        <x:v>NYC-V2-R01</x:v>
      </x:c>
      <x:c r="B11" s="21" t="str">
        <x:v>V2</x:v>
      </x:c>
      <x:c r="C11" s="21" t="str">
        <x:v>Yes</x:v>
      </x:c>
      <x:c r="D11" s="40" t="n">
        <x:v>0</x:v>
      </x:c>
      <x:c r="E11" s="24" t="n">
        <x:v>0</x:v>
      </x:c>
      <x:c r="F11" s="24" t="n">
        <x:v>19</x:v>
      </x:c>
      <x:c r="G11" s="24" t="n">
        <x:v>18</x:v>
      </x:c>
      <x:c r="H11" s="21" t="str">
        <x:v>Met</x:v>
      </x:c>
    </x:row>
    <x:row r="12">
      <x:c r="A12" s="21" t="str">
        <x:v>NYC-V2-R02</x:v>
      </x:c>
      <x:c r="B12" s="21" t="str">
        <x:v>V2</x:v>
      </x:c>
      <x:c r="C12" s="21" t="str">
        <x:v>Yes</x:v>
      </x:c>
      <x:c r="D12" s="40" t="n">
        <x:v>0</x:v>
      </x:c>
      <x:c r="E12" s="24" t="n">
        <x:v>1061</x:v>
      </x:c>
      <x:c r="F12" s="24" t="n">
        <x:v>18</x:v>
      </x:c>
      <x:c r="G12" s="24" t="n">
        <x:v>17</x:v>
      </x:c>
      <x:c r="H12" s="21" t="str">
        <x:v>Met</x:v>
      </x:c>
    </x:row>
    <x:row r="13">
      <x:c r="A13" s="21" t="str">
        <x:v>NYC-V2-R03</x:v>
      </x:c>
      <x:c r="B13" s="21" t="str">
        <x:v>V2</x:v>
      </x:c>
      <x:c r="C13" s="21" t="str">
        <x:v>Yes</x:v>
      </x:c>
      <x:c r="D13" s="40" t="n">
        <x:v>0</x:v>
      </x:c>
      <x:c r="E13" s="24" t="n">
        <x:v>516</x:v>
      </x:c>
      <x:c r="F13" s="24" t="n">
        <x:v>18</x:v>
      </x:c>
      <x:c r="G13" s="24" t="n">
        <x:v>16</x:v>
      </x:c>
      <x:c r="H13" s="21" t="str">
        <x:v>Met</x:v>
      </x:c>
    </x:row>
    <x:row r="14">
      <x:c r="A14" s="21" t="str">
        <x:v>NYC-V2-R04</x:v>
      </x:c>
      <x:c r="B14" s="21" t="str">
        <x:v>V2</x:v>
      </x:c>
      <x:c r="C14" s="21" t="str">
        <x:v>Yes</x:v>
      </x:c>
      <x:c r="D14" s="40" t="n">
        <x:v>0</x:v>
      </x:c>
      <x:c r="E14" s="24" t="n">
        <x:v>762</x:v>
      </x:c>
      <x:c r="F14" s="24" t="n">
        <x:v>17</x:v>
      </x:c>
      <x:c r="G14" s="24" t="n">
        <x:v>18</x:v>
      </x:c>
      <x:c r="H14" s="21" t="str">
        <x:v>Met</x:v>
      </x:c>
    </x:row>
    <x:row r="15">
      <x:c r="A15" s="21" t="str">
        <x:v>NYC-V3-R01</x:v>
      </x:c>
      <x:c r="B15" s="21" t="str">
        <x:v>V3</x:v>
      </x:c>
      <x:c r="C15" s="21" t="str">
        <x:v>Yes</x:v>
      </x:c>
      <x:c r="D15" s="40" t="n">
        <x:v>0</x:v>
      </x:c>
      <x:c r="E15" s="24" t="n">
        <x:v>1171</x:v>
      </x:c>
      <x:c r="F15" s="24" t="n">
        <x:v>18</x:v>
      </x:c>
      <x:c r="G15" s="24" t="n">
        <x:v>17</x:v>
      </x:c>
      <x:c r="H15" s="21" t="str">
        <x:v>Met</x:v>
      </x:c>
    </x:row>
    <x:row r="16">
      <x:c r="A16" s="21" t="str">
        <x:v>NYC-V3-R02</x:v>
      </x:c>
      <x:c r="B16" s="21" t="str">
        <x:v>V3</x:v>
      </x:c>
      <x:c r="C16" s="21" t="str">
        <x:v>Yes</x:v>
      </x:c>
      <x:c r="D16" s="40" t="n">
        <x:v>0</x:v>
      </x:c>
      <x:c r="E16" s="24" t="n">
        <x:v>555</x:v>
      </x:c>
      <x:c r="F16" s="24" t="n">
        <x:v>18</x:v>
      </x:c>
      <x:c r="G16" s="24" t="n">
        <x:v>19</x:v>
      </x:c>
      <x:c r="H16" s="21" t="str">
        <x:v>Met</x:v>
      </x:c>
    </x:row>
    <x:row r="17">
      <x:c r="A17" s="21" t="str">
        <x:v>NYC-V3-R03</x:v>
      </x:c>
      <x:c r="B17" s="21" t="str">
        <x:v>V3</x:v>
      </x:c>
      <x:c r="C17" s="21" t="str">
        <x:v>Yes</x:v>
      </x:c>
      <x:c r="D17" s="40" t="n">
        <x:v>0</x:v>
      </x:c>
      <x:c r="E17" s="24" t="n">
        <x:v>1221</x:v>
      </x:c>
      <x:c r="F17" s="24" t="n">
        <x:v>596</x:v>
      </x:c>
      <x:c r="G17" s="24" t="n">
        <x:v>931</x:v>
      </x:c>
      <x:c r="H17" s="21" t="str">
        <x:v>Met</x:v>
      </x:c>
    </x:row>
    <x:row r="18">
      <x:c r="A18" s="22" t="str">
        <x:v>NYC-V3-R04</x:v>
      </x:c>
      <x:c r="B18" s="22" t="str">
        <x:v>V3</x:v>
      </x:c>
      <x:c r="C18" s="22" t="str">
        <x:v>Yes</x:v>
      </x:c>
      <x:c r="D18" s="41" t="n">
        <x:v>0</x:v>
      </x:c>
      <x:c r="E18" s="25" t="n">
        <x:v>1407</x:v>
      </x:c>
      <x:c r="F18" s="25" t="n">
        <x:v>18</x:v>
      </x:c>
      <x:c r="G18" s="25" t="n">
        <x:v>19</x:v>
      </x:c>
      <x:c r="H18" s="22" t="str">
        <x:v>Met</x:v>
      </x:c>
    </x:row>
    <x:row r="19">
      <x:c r="A19" s="29"/>
      <x:c r="B19" s="29"/>
      <x:c r="C19" s="29"/>
      <x:c r="D19" s="29"/>
      <x:c r="E19" s="29"/>
      <x:c r="F19" s="29"/>
      <x:c r="G19" s="29"/>
      <x:c r="H19" s="29"/>
    </x:row>
    <x:row r="20">
      <x:c r="A20" s="29"/>
      <x:c r="B20" s="29"/>
      <x:c r="C20" s="29"/>
      <x:c r="D20" s="29"/>
      <x:c r="E20" s="29"/>
      <x:c r="F20" s="29"/>
      <x:c r="G20" s="29"/>
      <x:c r="H20" s="29"/>
    </x:row>
    <x:row r="21">
      <x:c r="A21" s="6" t="str">
        <x:v>Geometry</x:v>
      </x:c>
      <x:c r="B21" s="7"/>
      <x:c r="C21" s="7"/>
      <x:c r="D21" s="7"/>
      <x:c r="E21" s="7"/>
      <x:c r="F21" s="7"/>
      <x:c r="G21" s="7"/>
      <x:c r="H21" s="8"/>
    </x:row>
    <x:row r="22" ht="34" customHeight="1">
      <x:c r="A22" s="17" t="str">
        <x:v>Measure</x:v>
      </x:c>
      <x:c r="B22" s="17" t="str">
        <x:v>Value</x:v>
      </x:c>
      <x:c r="C22" s="17" t="str">
        <x:v>Interpretation</x:v>
      </x:c>
      <x:c r="D22" s="29"/>
      <x:c r="E22" s="29"/>
      <x:c r="F22" s="29"/>
      <x:c r="G22" s="29"/>
      <x:c r="H22" s="29"/>
    </x:row>
    <x:row r="23">
      <x:c r="A23" s="20" t="str">
        <x:v>Person cells</x:v>
      </x:c>
      <x:c r="B23" s="20" t="n">
        <x:v>596</x:v>
      </x:c>
      <x:c r="C23" s="20" t="str">
        <x:v>Lawful person-state coordinates</x:v>
      </x:c>
      <x:c r="D23" s="29"/>
      <x:c r="E23" s="29"/>
      <x:c r="F23" s="29"/>
      <x:c r="G23" s="29"/>
      <x:c r="H23" s="29"/>
    </x:row>
    <x:row r="24">
      <x:c r="A24" s="21" t="str">
        <x:v>Household and vacant cells</x:v>
      </x:c>
      <x:c r="B24" s="21" t="n">
        <x:v>961</x:v>
      </x:c>
      <x:c r="C24" s="21" t="str">
        <x:v>Occupied household-unit and vacancy coordinates</x:v>
      </x:c>
      <x:c r="D24" s="29"/>
      <x:c r="E24" s="29"/>
      <x:c r="F24" s="29"/>
      <x:c r="G24" s="29"/>
      <x:c r="H24" s="29"/>
    </x:row>
    <x:row r="25">
      <x:c r="A25" s="21" t="str">
        <x:v>Published aggregate rows</x:v>
      </x:c>
      <x:c r="B25" s="21" t="n">
        <x:v>39</x:v>
      </x:c>
      <x:c r="C25" s="21" t="str">
        <x:v>Registered points after under-five extension</x:v>
      </x:c>
      <x:c r="D25" s="29"/>
      <x:c r="E25" s="29"/>
      <x:c r="F25" s="29"/>
      <x:c r="G25" s="29"/>
      <x:c r="H25" s="29"/>
    </x:row>
    <x:row r="26">
      <x:c r="A26" s="21" t="str">
        <x:v>Aggregation rank</x:v>
      </x:c>
      <x:c r="B26" s="21" t="n">
        <x:v>33</x:v>
      </x:c>
      <x:c r="C26" s="21" t="str">
        <x:v>Independent directions</x:v>
      </x:c>
      <x:c r="D26" s="29"/>
      <x:c r="E26" s="29"/>
      <x:c r="F26" s="29"/>
      <x:c r="G26" s="29"/>
      <x:c r="H26" s="29"/>
    </x:row>
    <x:row r="27">
      <x:c r="A27" s="22" t="str">
        <x:v>Aggregation nullity</x:v>
      </x:c>
      <x:c r="B27" s="22" t="n">
        <x:v>1524</x:v>
      </x:c>
      <x:c r="C27" s="22" t="str">
        <x:v>Unidentified directions</x:v>
      </x:c>
      <x:c r="D27" s="29"/>
      <x:c r="E27" s="29"/>
      <x:c r="F27" s="29"/>
      <x:c r="G27" s="29"/>
      <x:c r="H27" s="2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40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14" hidden="0" customWidth="1"/>
  </x:cols>
  <x:sheetData>
    <x:row r="1">
      <x:c r="A1" s="1" t="str">
        <x:v>Reconstruction</x:v>
      </x:c>
      <x:c r="B1" s="29"/>
      <x:c r="C1" s="29"/>
      <x:c r="D1" s="29"/>
      <x:c r="E1" s="29"/>
      <x:c r="F1" s="29"/>
      <x:c r="G1" s="29"/>
      <x:c r="H1" s="29"/>
    </x:row>
    <x:row r="2">
      <x:c r="A2" s="2" t="str">
        <x:v>All 468 published point margins reconstructed from nonnegative integer atomic witnesses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"/>
    </x:row>
    <x:row r="5">
      <x:c r="A5" s="29"/>
      <x:c r="B5" s="29"/>
      <x:c r="C5" s="29"/>
      <x:c r="D5" s="29"/>
      <x:c r="E5" s="29"/>
      <x:c r="F5" s="29"/>
      <x:c r="G5" s="29"/>
      <x:c r="H5" s="29"/>
    </x:row>
    <x:row r="6" ht="34" customHeight="1">
      <x:c r="A6" s="17" t="str">
        <x:v>Catchment</x:v>
      </x:c>
      <x:c r="B6" s="17" t="str">
        <x:v>Archetype</x:v>
      </x:c>
      <x:c r="C6" s="17" t="str">
        <x:v>Metric</x:v>
      </x:c>
      <x:c r="D6" s="17" t="str">
        <x:v>Published point</x:v>
      </x:c>
      <x:c r="E6" s="17" t="str">
        <x:v>Input SE</x:v>
      </x:c>
      <x:c r="F6" s="17" t="str">
        <x:v>Atomic reconstruction</x:v>
      </x:c>
      <x:c r="G6" s="17" t="str">
        <x:v>Difference</x:v>
      </x:c>
      <x:c r="H6" s="17" t="str">
        <x:v>Check</x:v>
      </x:c>
    </x:row>
    <x:row r="7">
      <x:c r="A7" s="20" t="str">
        <x:v>NYC-V1-R01</x:v>
      </x:c>
      <x:c r="B7" s="20" t="str">
        <x:v>V1</x:v>
      </x:c>
      <x:c r="C7" s="20" t="str">
        <x:v>acs_population</x:v>
      </x:c>
      <x:c r="D7" s="23" t="n">
        <x:v>30607</x:v>
      </x:c>
      <x:c r="E7" s="42" t="n">
        <x:v>1414.36977131159</x:v>
      </x:c>
      <x:c r="F7" s="48" t="n">
        <x:v>30607</x:v>
      </x:c>
      <x:c r="G7" s="48" t="n">
        <x:v>0</x:v>
      </x:c>
      <x:c r="H7" s="20" t="str">
        <x:v>Exact</x:v>
      </x:c>
    </x:row>
    <x:row r="8">
      <x:c r="A8" s="21" t="str">
        <x:v>NYC-V1-R01</x:v>
      </x:c>
      <x:c r="B8" s="21" t="str">
        <x:v>V1</x:v>
      </x:c>
      <x:c r="C8" s="21" t="str">
        <x:v>age_under_18</x:v>
      </x:c>
      <x:c r="D8" s="24" t="n">
        <x:v>3951</x:v>
      </x:c>
      <x:c r="E8" s="43" t="n">
        <x:v>484.098388759971</x:v>
      </x:c>
      <x:c r="F8" s="49" t="n">
        <x:v>3951</x:v>
      </x:c>
      <x:c r="G8" s="49" t="n">
        <x:v>0</x:v>
      </x:c>
      <x:c r="H8" s="21" t="str">
        <x:v>Exact</x:v>
      </x:c>
    </x:row>
    <x:row r="9">
      <x:c r="A9" s="21" t="str">
        <x:v>NYC-V1-R01</x:v>
      </x:c>
      <x:c r="B9" s="21" t="str">
        <x:v>V1</x:v>
      </x:c>
      <x:c r="C9" s="21" t="str">
        <x:v>age_under_5</x:v>
      </x:c>
      <x:c r="D9" s="24" t="n">
        <x:v>1125</x:v>
      </x:c>
      <x:c r="E9" s="43" t="n">
        <x:v>280.0496384571849</x:v>
      </x:c>
      <x:c r="F9" s="49" t="n">
        <x:v>1125</x:v>
      </x:c>
      <x:c r="G9" s="49" t="n">
        <x:v>0</x:v>
      </x:c>
      <x:c r="H9" s="21" t="str">
        <x:v>Exact</x:v>
      </x:c>
    </x:row>
    <x:row r="10">
      <x:c r="A10" s="21" t="str">
        <x:v>NYC-V1-R01</x:v>
      </x:c>
      <x:c r="B10" s="21" t="str">
        <x:v>V1</x:v>
      </x:c>
      <x:c r="C10" s="21" t="str">
        <x:v>age_65_plus</x:v>
      </x:c>
      <x:c r="D10" s="24" t="n">
        <x:v>8039</x:v>
      </x:c>
      <x:c r="E10" s="43" t="n">
        <x:v>572.8060753867752</x:v>
      </x:c>
      <x:c r="F10" s="49" t="n">
        <x:v>8039</x:v>
      </x:c>
      <x:c r="G10" s="49" t="n">
        <x:v>0</x:v>
      </x:c>
      <x:c r="H10" s="21" t="str">
        <x:v>Exact</x:v>
      </x:c>
    </x:row>
    <x:row r="11">
      <x:c r="A11" s="21" t="str">
        <x:v>NYC-V1-R01</x:v>
      </x:c>
      <x:c r="B11" s="21" t="str">
        <x:v>V1</x:v>
      </x:c>
      <x:c r="C11" s="21" t="str">
        <x:v>age_75_plus</x:v>
      </x:c>
      <x:c r="D11" s="24" t="n">
        <x:v>3848</x:v>
      </x:c>
      <x:c r="E11" s="43" t="n">
        <x:v>513.4498028045195</x:v>
      </x:c>
      <x:c r="F11" s="49" t="n">
        <x:v>3848</x:v>
      </x:c>
      <x:c r="G11" s="49" t="n">
        <x:v>0</x:v>
      </x:c>
      <x:c r="H11" s="21" t="str">
        <x:v>Exact</x:v>
      </x:c>
    </x:row>
    <x:row r="12">
      <x:c r="A12" s="21" t="str">
        <x:v>NYC-V1-R01</x:v>
      </x:c>
      <x:c r="B12" s="21" t="str">
        <x:v>V1</x:v>
      </x:c>
      <x:c r="C12" s="21" t="str">
        <x:v>age_85_plus</x:v>
      </x:c>
      <x:c r="D12" s="24" t="n">
        <x:v>1452</x:v>
      </x:c>
      <x:c r="E12" s="43" t="n">
        <x:v>371.14572609690657</x:v>
      </x:c>
      <x:c r="F12" s="49" t="n">
        <x:v>1452</x:v>
      </x:c>
      <x:c r="G12" s="49" t="n">
        <x:v>0</x:v>
      </x:c>
      <x:c r="H12" s="21" t="str">
        <x:v>Exact</x:v>
      </x:c>
    </x:row>
    <x:row r="13">
      <x:c r="A13" s="21" t="str">
        <x:v>NYC-V1-R01</x:v>
      </x:c>
      <x:c r="B13" s="21" t="str">
        <x:v>V1</x:v>
      </x:c>
      <x:c r="C13" s="21" t="str">
        <x:v>civilian_noninstitutionalized</x:v>
      </x:c>
      <x:c r="D13" s="24" t="n">
        <x:v>30295</x:v>
      </x:c>
      <x:c r="E13" s="43" t="n">
        <x:v>1412.1072905413384</x:v>
      </x:c>
      <x:c r="F13" s="49" t="n">
        <x:v>30295</x:v>
      </x:c>
      <x:c r="G13" s="49" t="n">
        <x:v>0</x:v>
      </x:c>
      <x:c r="H13" s="21" t="str">
        <x:v>Exact</x:v>
      </x:c>
    </x:row>
    <x:row r="14">
      <x:c r="A14" s="21" t="str">
        <x:v>NYC-V1-R01</x:v>
      </x:c>
      <x:c r="B14" s="21" t="str">
        <x:v>V1</x:v>
      </x:c>
      <x:c r="C14" s="21" t="str">
        <x:v>any_disability</x:v>
      </x:c>
      <x:c r="D14" s="24" t="n">
        <x:v>4872</x:v>
      </x:c>
      <x:c r="E14" s="43" t="n">
        <x:v>511.8813339046463</x:v>
      </x:c>
      <x:c r="F14" s="49" t="n">
        <x:v>4872</x:v>
      </x:c>
      <x:c r="G14" s="49" t="n">
        <x:v>0</x:v>
      </x:c>
      <x:c r="H14" s="21" t="str">
        <x:v>Exact</x:v>
      </x:c>
    </x:row>
    <x:row r="15">
      <x:c r="A15" s="21" t="str">
        <x:v>NYC-V1-R01</x:v>
      </x:c>
      <x:c r="B15" s="21" t="str">
        <x:v>V1</x:v>
      </x:c>
      <x:c r="C15" s="21" t="str">
        <x:v>disability_under_18</x:v>
      </x:c>
      <x:c r="D15" s="24" t="n">
        <x:v>120</x:v>
      </x:c>
      <x:c r="E15" s="43" t="n">
        <x:v>62.30690170438585</x:v>
      </x:c>
      <x:c r="F15" s="49" t="n">
        <x:v>120</x:v>
      </x:c>
      <x:c r="G15" s="49" t="n">
        <x:v>0</x:v>
      </x:c>
      <x:c r="H15" s="21" t="str">
        <x:v>Exact</x:v>
      </x:c>
    </x:row>
    <x:row r="16">
      <x:c r="A16" s="21" t="str">
        <x:v>NYC-V1-R01</x:v>
      </x:c>
      <x:c r="B16" s="21" t="str">
        <x:v>V1</x:v>
      </x:c>
      <x:c r="C16" s="21" t="str">
        <x:v>disability_18_64</x:v>
      </x:c>
      <x:c r="D16" s="24" t="n">
        <x:v>1591</x:v>
      </x:c>
      <x:c r="E16" s="43" t="n">
        <x:v>335.43889160322476</x:v>
      </x:c>
      <x:c r="F16" s="49" t="n">
        <x:v>1591</x:v>
      </x:c>
      <x:c r="G16" s="49" t="n">
        <x:v>0</x:v>
      </x:c>
      <x:c r="H16" s="21" t="str">
        <x:v>Exact</x:v>
      </x:c>
    </x:row>
    <x:row r="17">
      <x:c r="A17" s="21" t="str">
        <x:v>NYC-V1-R01</x:v>
      </x:c>
      <x:c r="B17" s="21" t="str">
        <x:v>V1</x:v>
      </x:c>
      <x:c r="C17" s="21" t="str">
        <x:v>disability_65_plus</x:v>
      </x:c>
      <x:c r="D17" s="24" t="n">
        <x:v>3161</x:v>
      </x:c>
      <x:c r="E17" s="43" t="n">
        <x:v>373.59724303051274</x:v>
      </x:c>
      <x:c r="F17" s="49" t="n">
        <x:v>3161</x:v>
      </x:c>
      <x:c r="G17" s="49" t="n">
        <x:v>0</x:v>
      </x:c>
      <x:c r="H17" s="21" t="str">
        <x:v>Exact</x:v>
      </x:c>
    </x:row>
    <x:row r="18">
      <x:c r="A18" s="21" t="str">
        <x:v>NYC-V1-R01</x:v>
      </x:c>
      <x:c r="B18" s="21" t="str">
        <x:v>V1</x:v>
      </x:c>
      <x:c r="C18" s="21" t="str">
        <x:v>hearing_difficulty</x:v>
      </x:c>
      <x:c r="D18" s="24" t="n">
        <x:v>830</x:v>
      </x:c>
      <x:c r="E18" s="43" t="n">
        <x:v>174.05668322462455</x:v>
      </x:c>
      <x:c r="F18" s="49" t="n">
        <x:v>830</x:v>
      </x:c>
      <x:c r="G18" s="49" t="n">
        <x:v>0</x:v>
      </x:c>
      <x:c r="H18" s="21" t="str">
        <x:v>Exact</x:v>
      </x:c>
    </x:row>
    <x:row r="19">
      <x:c r="A19" s="21" t="str">
        <x:v>NYC-V1-R01</x:v>
      </x:c>
      <x:c r="B19" s="21" t="str">
        <x:v>V1</x:v>
      </x:c>
      <x:c r="C19" s="21" t="str">
        <x:v>vision_difficulty</x:v>
      </x:c>
      <x:c r="D19" s="24" t="n">
        <x:v>1215</x:v>
      </x:c>
      <x:c r="E19" s="43" t="n">
        <x:v>318.444148703849</x:v>
      </x:c>
      <x:c r="F19" s="49" t="n">
        <x:v>1215</x:v>
      </x:c>
      <x:c r="G19" s="49" t="n">
        <x:v>0</x:v>
      </x:c>
      <x:c r="H19" s="21" t="str">
        <x:v>Exact</x:v>
      </x:c>
    </x:row>
    <x:row r="20">
      <x:c r="A20" s="21" t="str">
        <x:v>NYC-V1-R01</x:v>
      </x:c>
      <x:c r="B20" s="21" t="str">
        <x:v>V1</x:v>
      </x:c>
      <x:c r="C20" s="21" t="str">
        <x:v>cognitive_difficulty</x:v>
      </x:c>
      <x:c r="D20" s="24" t="n">
        <x:v>2325</x:v>
      </x:c>
      <x:c r="E20" s="43" t="n">
        <x:v>378.09057864089414</x:v>
      </x:c>
      <x:c r="F20" s="49" t="n">
        <x:v>2325</x:v>
      </x:c>
      <x:c r="G20" s="49" t="n">
        <x:v>0</x:v>
      </x:c>
      <x:c r="H20" s="21" t="str">
        <x:v>Exact</x:v>
      </x:c>
    </x:row>
    <x:row r="21">
      <x:c r="A21" s="21" t="str">
        <x:v>NYC-V1-R01</x:v>
      </x:c>
      <x:c r="B21" s="21" t="str">
        <x:v>V1</x:v>
      </x:c>
      <x:c r="C21" s="21" t="str">
        <x:v>ambulatory_difficulty</x:v>
      </x:c>
      <x:c r="D21" s="24" t="n">
        <x:v>3212</x:v>
      </x:c>
      <x:c r="E21" s="43" t="n">
        <x:v>451.9236596300989</x:v>
      </x:c>
      <x:c r="F21" s="49" t="n">
        <x:v>3212</x:v>
      </x:c>
      <x:c r="G21" s="49" t="n">
        <x:v>0</x:v>
      </x:c>
      <x:c r="H21" s="21" t="str">
        <x:v>Exact</x:v>
      </x:c>
    </x:row>
    <x:row r="22">
      <x:c r="A22" s="21" t="str">
        <x:v>NYC-V1-R01</x:v>
      </x:c>
      <x:c r="B22" s="21" t="str">
        <x:v>V1</x:v>
      </x:c>
      <x:c r="C22" s="21" t="str">
        <x:v>self_care_difficulty</x:v>
      </x:c>
      <x:c r="D22" s="24" t="n">
        <x:v>1877</x:v>
      </x:c>
      <x:c r="E22" s="43" t="n">
        <x:v>418.90674105005246</x:v>
      </x:c>
      <x:c r="F22" s="49" t="n">
        <x:v>1877</x:v>
      </x:c>
      <x:c r="G22" s="49" t="n">
        <x:v>0</x:v>
      </x:c>
      <x:c r="H22" s="21" t="str">
        <x:v>Exact</x:v>
      </x:c>
    </x:row>
    <x:row r="23">
      <x:c r="A23" s="21" t="str">
        <x:v>NYC-V1-R01</x:v>
      </x:c>
      <x:c r="B23" s="21" t="str">
        <x:v>V1</x:v>
      </x:c>
      <x:c r="C23" s="21" t="str">
        <x:v>independent_living_difficulty</x:v>
      </x:c>
      <x:c r="D23" s="24" t="n">
        <x:v>2673</x:v>
      </x:c>
      <x:c r="E23" s="43" t="n">
        <x:v>439.57000820352414</x:v>
      </x:c>
      <x:c r="F23" s="49" t="n">
        <x:v>2673</x:v>
      </x:c>
      <x:c r="G23" s="49" t="n">
        <x:v>0</x:v>
      </x:c>
      <x:c r="H23" s="21" t="str">
        <x:v>Exact</x:v>
      </x:c>
    </x:row>
    <x:row r="24">
      <x:c r="A24" s="21" t="str">
        <x:v>NYC-V1-R01</x:v>
      </x:c>
      <x:c r="B24" s="21" t="str">
        <x:v>V1</x:v>
      </x:c>
      <x:c r="C24" s="21" t="str">
        <x:v>households</x:v>
      </x:c>
      <x:c r="D24" s="24" t="n">
        <x:v>13224</x:v>
      </x:c>
      <x:c r="E24" s="43" t="n">
        <x:v>575.0797770744508</x:v>
      </x:c>
      <x:c r="F24" s="49" t="n">
        <x:v>13224</x:v>
      </x:c>
      <x:c r="G24" s="49" t="n">
        <x:v>0</x:v>
      </x:c>
      <x:c r="H24" s="21" t="str">
        <x:v>Exact</x:v>
      </x:c>
    </x:row>
    <x:row r="25">
      <x:c r="A25" s="21" t="str">
        <x:v>NYC-V1-R01</x:v>
      </x:c>
      <x:c r="B25" s="21" t="str">
        <x:v>V1</x:v>
      </x:c>
      <x:c r="C25" s="21" t="str">
        <x:v>family_households</x:v>
      </x:c>
      <x:c r="D25" s="24" t="n">
        <x:v>8588</x:v>
      </x:c>
      <x:c r="E25" s="43" t="n">
        <x:v>525.5356315227351</x:v>
      </x:c>
      <x:c r="F25" s="49" t="n">
        <x:v>8588</x:v>
      </x:c>
      <x:c r="G25" s="49" t="n">
        <x:v>0</x:v>
      </x:c>
      <x:c r="H25" s="21" t="str">
        <x:v>Exact</x:v>
      </x:c>
    </x:row>
    <x:row r="26">
      <x:c r="A26" s="21" t="str">
        <x:v>NYC-V1-R01</x:v>
      </x:c>
      <x:c r="B26" s="21" t="str">
        <x:v>V1</x:v>
      </x:c>
      <x:c r="C26" s="21" t="str">
        <x:v>nonfamily_households</x:v>
      </x:c>
      <x:c r="D26" s="24" t="n">
        <x:v>4636</x:v>
      </x:c>
      <x:c r="E26" s="43" t="n">
        <x:v>351.178942990607</x:v>
      </x:c>
      <x:c r="F26" s="49" t="n">
        <x:v>4636</x:v>
      </x:c>
      <x:c r="G26" s="49" t="n">
        <x:v>0</x:v>
      </x:c>
      <x:c r="H26" s="21" t="str">
        <x:v>Exact</x:v>
      </x:c>
    </x:row>
    <x:row r="27">
      <x:c r="A27" s="21" t="str">
        <x:v>NYC-V1-R01</x:v>
      </x:c>
      <x:c r="B27" s="21" t="str">
        <x:v>V1</x:v>
      </x:c>
      <x:c r="C27" s="21" t="str">
        <x:v>living_alone_households</x:v>
      </x:c>
      <x:c r="D27" s="24" t="n">
        <x:v>4174</x:v>
      </x:c>
      <x:c r="E27" s="43" t="n">
        <x:v>368.5016282189266</x:v>
      </x:c>
      <x:c r="F27" s="49" t="n">
        <x:v>4174</x:v>
      </x:c>
      <x:c r="G27" s="49" t="n">
        <x:v>0</x:v>
      </x:c>
      <x:c r="H27" s="21" t="str">
        <x:v>Exact</x:v>
      </x:c>
    </x:row>
    <x:row r="28">
      <x:c r="A28" s="21" t="str">
        <x:v>NYC-V1-R01</x:v>
      </x:c>
      <x:c r="B28" s="21" t="str">
        <x:v>V1</x:v>
      </x:c>
      <x:c r="C28" s="21" t="str">
        <x:v>households_with_children</x:v>
      </x:c>
      <x:c r="D28" s="24" t="n">
        <x:v>2422</x:v>
      </x:c>
      <x:c r="E28" s="43" t="n">
        <x:v>313.107649219881</x:v>
      </x:c>
      <x:c r="F28" s="49" t="n">
        <x:v>2422</x:v>
      </x:c>
      <x:c r="G28" s="49" t="n">
        <x:v>0</x:v>
      </x:c>
      <x:c r="H28" s="21" t="str">
        <x:v>Exact</x:v>
      </x:c>
    </x:row>
    <x:row r="29">
      <x:c r="A29" s="21" t="str">
        <x:v>NYC-V1-R01</x:v>
      </x:c>
      <x:c r="B29" s="21" t="str">
        <x:v>V1</x:v>
      </x:c>
      <x:c r="C29" s="21" t="str">
        <x:v>households_with_age65</x:v>
      </x:c>
      <x:c r="D29" s="24" t="n">
        <x:v>5563</x:v>
      </x:c>
      <x:c r="E29" s="43" t="n">
        <x:v>419.9719038221486</x:v>
      </x:c>
      <x:c r="F29" s="49" t="n">
        <x:v>5563</x:v>
      </x:c>
      <x:c r="G29" s="49" t="n">
        <x:v>0</x:v>
      </x:c>
      <x:c r="H29" s="21" t="str">
        <x:v>Exact</x:v>
      </x:c>
    </x:row>
    <x:row r="30">
      <x:c r="A30" s="21" t="str">
        <x:v>NYC-V1-R01</x:v>
      </x:c>
      <x:c r="B30" s="21" t="str">
        <x:v>V1</x:v>
      </x:c>
      <x:c r="C30" s="21" t="str">
        <x:v>age65_one_person_households</x:v>
      </x:c>
      <x:c r="D30" s="24" t="n">
        <x:v>1388</x:v>
      </x:c>
      <x:c r="E30" s="43" t="n">
        <x:v>197.14905528558842</x:v>
      </x:c>
      <x:c r="F30" s="49" t="n">
        <x:v>1388</x:v>
      </x:c>
      <x:c r="G30" s="49" t="n">
        <x:v>0</x:v>
      </x:c>
      <x:c r="H30" s="21" t="str">
        <x:v>Exact</x:v>
      </x:c>
    </x:row>
    <x:row r="31">
      <x:c r="A31" s="21" t="str">
        <x:v>NYC-V1-R01</x:v>
      </x:c>
      <x:c r="B31" s="21" t="str">
        <x:v>V1</x:v>
      </x:c>
      <x:c r="C31" s="21" t="str">
        <x:v>no_vehicle_households</x:v>
      </x:c>
      <x:c r="D31" s="24" t="n">
        <x:v>8128</x:v>
      </x:c>
      <x:c r="E31" s="43" t="n">
        <x:v>566.0619102478963</x:v>
      </x:c>
      <x:c r="F31" s="49" t="n">
        <x:v>8128</x:v>
      </x:c>
      <x:c r="G31" s="49" t="n">
        <x:v>0</x:v>
      </x:c>
      <x:c r="H31" s="21" t="str">
        <x:v>Exact</x:v>
      </x:c>
    </x:row>
    <x:row r="32">
      <x:c r="A32" s="21" t="str">
        <x:v>NYC-V1-R01</x:v>
      </x:c>
      <x:c r="B32" s="21" t="str">
        <x:v>V1</x:v>
      </x:c>
      <x:c r="C32" s="21" t="str">
        <x:v>limited_english_households</x:v>
      </x:c>
      <x:c r="D32" s="24" t="n">
        <x:v>6661</x:v>
      </x:c>
      <x:c r="E32" s="43" t="n">
        <x:v>530.6008954584992</x:v>
      </x:c>
      <x:c r="F32" s="49" t="n">
        <x:v>6661</x:v>
      </x:c>
      <x:c r="G32" s="49" t="n">
        <x:v>0</x:v>
      </x:c>
      <x:c r="H32" s="21" t="str">
        <x:v>Exact</x:v>
      </x:c>
    </x:row>
    <x:row r="33">
      <x:c r="A33" s="21" t="str">
        <x:v>NYC-V1-R01</x:v>
      </x:c>
      <x:c r="B33" s="21" t="str">
        <x:v>V1</x:v>
      </x:c>
      <x:c r="C33" s="21" t="str">
        <x:v>housing_units</x:v>
      </x:c>
      <x:c r="D33" s="24" t="n">
        <x:v>13683</x:v>
      </x:c>
      <x:c r="E33" s="43" t="n">
        <x:v>568.4572543296462</x:v>
      </x:c>
      <x:c r="F33" s="49" t="n">
        <x:v>13683</x:v>
      </x:c>
      <x:c r="G33" s="49" t="n">
        <x:v>0</x:v>
      </x:c>
      <x:c r="H33" s="21" t="str">
        <x:v>Exact</x:v>
      </x:c>
    </x:row>
    <x:row r="34">
      <x:c r="A34" s="21" t="str">
        <x:v>NYC-V1-R01</x:v>
      </x:c>
      <x:c r="B34" s="21" t="str">
        <x:v>V1</x:v>
      </x:c>
      <x:c r="C34" s="21" t="str">
        <x:v>occupied_housing_units</x:v>
      </x:c>
      <x:c r="D34" s="24" t="n">
        <x:v>13224</x:v>
      </x:c>
      <x:c r="E34" s="43" t="n">
        <x:v>575.0797770744508</x:v>
      </x:c>
      <x:c r="F34" s="49" t="n">
        <x:v>13224</x:v>
      </x:c>
      <x:c r="G34" s="49" t="n">
        <x:v>0</x:v>
      </x:c>
      <x:c r="H34" s="21" t="str">
        <x:v>Exact</x:v>
      </x:c>
    </x:row>
    <x:row r="35">
      <x:c r="A35" s="21" t="str">
        <x:v>NYC-V1-R01</x:v>
      </x:c>
      <x:c r="B35" s="21" t="str">
        <x:v>V1</x:v>
      </x:c>
      <x:c r="C35" s="21" t="str">
        <x:v>vacant_housing_units</x:v>
      </x:c>
      <x:c r="D35" s="24" t="n">
        <x:v>459</x:v>
      </x:c>
      <x:c r="E35" s="43" t="n">
        <x:v>115.48246620158405</x:v>
      </x:c>
      <x:c r="F35" s="49" t="n">
        <x:v>459</x:v>
      </x:c>
      <x:c r="G35" s="49" t="n">
        <x:v>0</x:v>
      </x:c>
      <x:c r="H35" s="21" t="str">
        <x:v>Exact</x:v>
      </x:c>
    </x:row>
    <x:row r="36">
      <x:c r="A36" s="21" t="str">
        <x:v>NYC-V1-R01</x:v>
      </x:c>
      <x:c r="B36" s="21" t="str">
        <x:v>V1</x:v>
      </x:c>
      <x:c r="C36" s="21" t="str">
        <x:v>owner_occupied_units</x:v>
      </x:c>
      <x:c r="D36" s="24" t="n">
        <x:v>4525</x:v>
      </x:c>
      <x:c r="E36" s="43" t="n">
        <x:v>418.4473211601426</x:v>
      </x:c>
      <x:c r="F36" s="49" t="n">
        <x:v>4525</x:v>
      </x:c>
      <x:c r="G36" s="49" t="n">
        <x:v>0</x:v>
      </x:c>
      <x:c r="H36" s="21" t="str">
        <x:v>Exact</x:v>
      </x:c>
    </x:row>
    <x:row r="37">
      <x:c r="A37" s="21" t="str">
        <x:v>NYC-V1-R01</x:v>
      </x:c>
      <x:c r="B37" s="21" t="str">
        <x:v>V1</x:v>
      </x:c>
      <x:c r="C37" s="21" t="str">
        <x:v>renter_occupied_units</x:v>
      </x:c>
      <x:c r="D37" s="24" t="n">
        <x:v>8699</x:v>
      </x:c>
      <x:c r="E37" s="43" t="n">
        <x:v>522.1969420174196</x:v>
      </x:c>
      <x:c r="F37" s="49" t="n">
        <x:v>8699</x:v>
      </x:c>
      <x:c r="G37" s="49" t="n">
        <x:v>0</x:v>
      </x:c>
      <x:c r="H37" s="21" t="str">
        <x:v>Exact</x:v>
      </x:c>
    </x:row>
    <x:row r="38">
      <x:c r="A38" s="21" t="str">
        <x:v>NYC-V1-R01</x:v>
      </x:c>
      <x:c r="B38" s="21" t="str">
        <x:v>V1</x:v>
      </x:c>
      <x:c r="C38" s="21" t="str">
        <x:v>one_unit_structures</x:v>
      </x:c>
      <x:c r="D38" s="24" t="n">
        <x:v>471</x:v>
      </x:c>
      <x:c r="E38" s="43" t="n">
        <x:v>121.7809897861934</x:v>
      </x:c>
      <x:c r="F38" s="49" t="n">
        <x:v>471</x:v>
      </x:c>
      <x:c r="G38" s="49" t="n">
        <x:v>0</x:v>
      </x:c>
      <x:c r="H38" s="21" t="str">
        <x:v>Exact</x:v>
      </x:c>
    </x:row>
    <x:row r="39">
      <x:c r="A39" s="21" t="str">
        <x:v>NYC-V1-R01</x:v>
      </x:c>
      <x:c r="B39" s="21" t="str">
        <x:v>V1</x:v>
      </x:c>
      <x:c r="C39" s="21" t="str">
        <x:v>two_to_four_unit_structures</x:v>
      </x:c>
      <x:c r="D39" s="24" t="n">
        <x:v>685</x:v>
      </x:c>
      <x:c r="E39" s="43" t="n">
        <x:v>178.5599815253613</x:v>
      </x:c>
      <x:c r="F39" s="49" t="n">
        <x:v>685</x:v>
      </x:c>
      <x:c r="G39" s="49" t="n">
        <x:v>0</x:v>
      </x:c>
      <x:c r="H39" s="21" t="str">
        <x:v>Exact</x:v>
      </x:c>
    </x:row>
    <x:row r="40">
      <x:c r="A40" s="21" t="str">
        <x:v>NYC-V1-R01</x:v>
      </x:c>
      <x:c r="B40" s="21" t="str">
        <x:v>V1</x:v>
      </x:c>
      <x:c r="C40" s="21" t="str">
        <x:v>five_to_nineteen_unit_structures</x:v>
      </x:c>
      <x:c r="D40" s="24" t="n">
        <x:v>418</x:v>
      </x:c>
      <x:c r="E40" s="43" t="n">
        <x:v>142.3453290404149</x:v>
      </x:c>
      <x:c r="F40" s="49" t="n">
        <x:v>418</x:v>
      </x:c>
      <x:c r="G40" s="49" t="n">
        <x:v>0</x:v>
      </x:c>
      <x:c r="H40" s="21" t="str">
        <x:v>Exact</x:v>
      </x:c>
    </x:row>
    <x:row r="41">
      <x:c r="A41" s="21" t="str">
        <x:v>NYC-V1-R01</x:v>
      </x:c>
      <x:c r="B41" s="21" t="str">
        <x:v>V1</x:v>
      </x:c>
      <x:c r="C41" s="21" t="str">
        <x:v>twenty_to_forty_nine_unit_structures</x:v>
      </x:c>
      <x:c r="D41" s="24" t="n">
        <x:v>2661</x:v>
      </x:c>
      <x:c r="E41" s="43" t="n">
        <x:v>338.91272635885014</x:v>
      </x:c>
      <x:c r="F41" s="49" t="n">
        <x:v>2661</x:v>
      </x:c>
      <x:c r="G41" s="49" t="n">
        <x:v>0</x:v>
      </x:c>
      <x:c r="H41" s="21" t="str">
        <x:v>Exact</x:v>
      </x:c>
    </x:row>
    <x:row r="42">
      <x:c r="A42" s="21" t="str">
        <x:v>NYC-V1-R01</x:v>
      </x:c>
      <x:c r="B42" s="21" t="str">
        <x:v>V1</x:v>
      </x:c>
      <x:c r="C42" s="21" t="str">
        <x:v>fifty_plus_unit_structures</x:v>
      </x:c>
      <x:c r="D42" s="24" t="n">
        <x:v>8970</x:v>
      </x:c>
      <x:c r="E42" s="43" t="n">
        <x:v>612.9121864407799</x:v>
      </x:c>
      <x:c r="F42" s="49" t="n">
        <x:v>8970</x:v>
      </x:c>
      <x:c r="G42" s="49" t="n">
        <x:v>0</x:v>
      </x:c>
      <x:c r="H42" s="21" t="str">
        <x:v>Exact</x:v>
      </x:c>
    </x:row>
    <x:row r="43">
      <x:c r="A43" s="21" t="str">
        <x:v>NYC-V1-R01</x:v>
      </x:c>
      <x:c r="B43" s="21" t="str">
        <x:v>V1</x:v>
      </x:c>
      <x:c r="C43" s="21" t="str">
        <x:v>mobile_or_other_units</x:v>
      </x:c>
      <x:c r="D43" s="24" t="n">
        <x:v>19</x:v>
      </x:c>
      <x:c r="E43" s="43" t="n">
        <x:v>53.97341045489283</x:v>
      </x:c>
      <x:c r="F43" s="49" t="n">
        <x:v>19</x:v>
      </x:c>
      <x:c r="G43" s="49" t="n">
        <x:v>0</x:v>
      </x:c>
      <x:c r="H43" s="21" t="str">
        <x:v>Exact</x:v>
      </x:c>
    </x:row>
    <x:row r="44">
      <x:c r="A44" s="21" t="str">
        <x:v>NYC-V1-R01</x:v>
      </x:c>
      <x:c r="B44" s="21" t="str">
        <x:v>V1</x:v>
      </x:c>
      <x:c r="C44" s="21" t="str">
        <x:v>electric_heat_households</x:v>
      </x:c>
      <x:c r="D44" s="24" t="n">
        <x:v>1721</x:v>
      </x:c>
      <x:c r="E44" s="43" t="n">
        <x:v>229.36270403010164</x:v>
      </x:c>
      <x:c r="F44" s="49" t="n">
        <x:v>1721</x:v>
      </x:c>
      <x:c r="G44" s="49" t="n">
        <x:v>0</x:v>
      </x:c>
      <x:c r="H44" s="21" t="str">
        <x:v>Exact</x:v>
      </x:c>
    </x:row>
    <x:row r="45">
      <x:c r="A45" s="21" t="str">
        <x:v>NYC-V1-R01</x:v>
      </x:c>
      <x:c r="B45" s="21" t="str">
        <x:v>V1</x:v>
      </x:c>
      <x:c r="C45" s="21" t="str">
        <x:v>group_quarters_population</x:v>
      </x:c>
      <x:c r="D45" s="24" t="n">
        <x:v>441</x:v>
      </x:c>
      <x:c r="E45" s="43" t="n">
        <x:v>6.1359595826569775</x:v>
      </x:c>
      <x:c r="F45" s="49" t="n">
        <x:v>441</x:v>
      </x:c>
      <x:c r="G45" s="49" t="n">
        <x:v>0</x:v>
      </x:c>
      <x:c r="H45" s="21" t="str">
        <x:v>Exact</x:v>
      </x:c>
    </x:row>
    <x:row r="46">
      <x:c r="A46" s="21" t="str">
        <x:v>NYC-V1-R02</x:v>
      </x:c>
      <x:c r="B46" s="21" t="str">
        <x:v>V1</x:v>
      </x:c>
      <x:c r="C46" s="21" t="str">
        <x:v>acs_population</x:v>
      </x:c>
      <x:c r="D46" s="24" t="n">
        <x:v>31462</x:v>
      </x:c>
      <x:c r="E46" s="43" t="n">
        <x:v>1902.066323764763</x:v>
      </x:c>
      <x:c r="F46" s="49" t="n">
        <x:v>31462</x:v>
      </x:c>
      <x:c r="G46" s="49" t="n">
        <x:v>0</x:v>
      </x:c>
      <x:c r="H46" s="21" t="str">
        <x:v>Exact</x:v>
      </x:c>
    </x:row>
    <x:row r="47">
      <x:c r="A47" s="21" t="str">
        <x:v>NYC-V1-R02</x:v>
      </x:c>
      <x:c r="B47" s="21" t="str">
        <x:v>V1</x:v>
      </x:c>
      <x:c r="C47" s="21" t="str">
        <x:v>age_under_18</x:v>
      </x:c>
      <x:c r="D47" s="24" t="n">
        <x:v>4335</x:v>
      </x:c>
      <x:c r="E47" s="43" t="n">
        <x:v>583.8060465599856</x:v>
      </x:c>
      <x:c r="F47" s="49" t="n">
        <x:v>4335</x:v>
      </x:c>
      <x:c r="G47" s="49" t="n">
        <x:v>0</x:v>
      </x:c>
      <x:c r="H47" s="21" t="str">
        <x:v>Exact</x:v>
      </x:c>
    </x:row>
    <x:row r="48">
      <x:c r="A48" s="21" t="str">
        <x:v>NYC-V1-R02</x:v>
      </x:c>
      <x:c r="B48" s="21" t="str">
        <x:v>V1</x:v>
      </x:c>
      <x:c r="C48" s="21" t="str">
        <x:v>age_under_5</x:v>
      </x:c>
      <x:c r="D48" s="24" t="n">
        <x:v>1588</x:v>
      </x:c>
      <x:c r="E48" s="43" t="n">
        <x:v>282.2957668828918</x:v>
      </x:c>
      <x:c r="F48" s="49" t="n">
        <x:v>1588</x:v>
      </x:c>
      <x:c r="G48" s="49" t="n">
        <x:v>0</x:v>
      </x:c>
      <x:c r="H48" s="21" t="str">
        <x:v>Exact</x:v>
      </x:c>
    </x:row>
    <x:row r="49">
      <x:c r="A49" s="21" t="str">
        <x:v>NYC-V1-R02</x:v>
      </x:c>
      <x:c r="B49" s="21" t="str">
        <x:v>V1</x:v>
      </x:c>
      <x:c r="C49" s="21" t="str">
        <x:v>age_65_plus</x:v>
      </x:c>
      <x:c r="D49" s="24" t="n">
        <x:v>7247</x:v>
      </x:c>
      <x:c r="E49" s="43" t="n">
        <x:v>528.4720427799374</x:v>
      </x:c>
      <x:c r="F49" s="49" t="n">
        <x:v>7247</x:v>
      </x:c>
      <x:c r="G49" s="49" t="n">
        <x:v>0</x:v>
      </x:c>
      <x:c r="H49" s="21" t="str">
        <x:v>Exact</x:v>
      </x:c>
    </x:row>
    <x:row r="50">
      <x:c r="A50" s="21" t="str">
        <x:v>NYC-V1-R02</x:v>
      </x:c>
      <x:c r="B50" s="21" t="str">
        <x:v>V1</x:v>
      </x:c>
      <x:c r="C50" s="21" t="str">
        <x:v>age_75_plus</x:v>
      </x:c>
      <x:c r="D50" s="24" t="n">
        <x:v>3662</x:v>
      </x:c>
      <x:c r="E50" s="43" t="n">
        <x:v>421.7290599425181</x:v>
      </x:c>
      <x:c r="F50" s="49" t="n">
        <x:v>3662</x:v>
      </x:c>
      <x:c r="G50" s="49" t="n">
        <x:v>0</x:v>
      </x:c>
      <x:c r="H50" s="21" t="str">
        <x:v>Exact</x:v>
      </x:c>
    </x:row>
    <x:row r="51">
      <x:c r="A51" s="21" t="str">
        <x:v>NYC-V1-R02</x:v>
      </x:c>
      <x:c r="B51" s="21" t="str">
        <x:v>V1</x:v>
      </x:c>
      <x:c r="C51" s="21" t="str">
        <x:v>age_85_plus</x:v>
      </x:c>
      <x:c r="D51" s="24" t="n">
        <x:v>1218</x:v>
      </x:c>
      <x:c r="E51" s="43" t="n">
        <x:v>296.73860550996733</x:v>
      </x:c>
      <x:c r="F51" s="49" t="n">
        <x:v>1218</x:v>
      </x:c>
      <x:c r="G51" s="49" t="n">
        <x:v>0</x:v>
      </x:c>
      <x:c r="H51" s="21" t="str">
        <x:v>Exact</x:v>
      </x:c>
    </x:row>
    <x:row r="52">
      <x:c r="A52" s="21" t="str">
        <x:v>NYC-V1-R02</x:v>
      </x:c>
      <x:c r="B52" s="21" t="str">
        <x:v>V1</x:v>
      </x:c>
      <x:c r="C52" s="21" t="str">
        <x:v>civilian_noninstitutionalized</x:v>
      </x:c>
      <x:c r="D52" s="24" t="n">
        <x:v>31415</x:v>
      </x:c>
      <x:c r="E52" s="43" t="n">
        <x:v>1901.7794693391766</x:v>
      </x:c>
      <x:c r="F52" s="49" t="n">
        <x:v>31415</x:v>
      </x:c>
      <x:c r="G52" s="49" t="n">
        <x:v>0</x:v>
      </x:c>
      <x:c r="H52" s="21" t="str">
        <x:v>Exact</x:v>
      </x:c>
    </x:row>
    <x:row r="53">
      <x:c r="A53" s="21" t="str">
        <x:v>NYC-V1-R02</x:v>
      </x:c>
      <x:c r="B53" s="21" t="str">
        <x:v>V1</x:v>
      </x:c>
      <x:c r="C53" s="21" t="str">
        <x:v>any_disability</x:v>
      </x:c>
      <x:c r="D53" s="24" t="n">
        <x:v>3619</x:v>
      </x:c>
      <x:c r="E53" s="43" t="n">
        <x:v>391.2781619257584</x:v>
      </x:c>
      <x:c r="F53" s="49" t="n">
        <x:v>3619</x:v>
      </x:c>
      <x:c r="G53" s="49" t="n">
        <x:v>0</x:v>
      </x:c>
      <x:c r="H53" s="21" t="str">
        <x:v>Exact</x:v>
      </x:c>
    </x:row>
    <x:row r="54">
      <x:c r="A54" s="21" t="str">
        <x:v>NYC-V1-R02</x:v>
      </x:c>
      <x:c r="B54" s="21" t="str">
        <x:v>V1</x:v>
      </x:c>
      <x:c r="C54" s="21" t="str">
        <x:v>disability_under_18</x:v>
      </x:c>
      <x:c r="D54" s="24" t="n">
        <x:v>61</x:v>
      </x:c>
      <x:c r="E54" s="43" t="n">
        <x:v>36.54449342924321</x:v>
      </x:c>
      <x:c r="F54" s="49" t="n">
        <x:v>61</x:v>
      </x:c>
      <x:c r="G54" s="49" t="n">
        <x:v>0</x:v>
      </x:c>
      <x:c r="H54" s="21" t="str">
        <x:v>Exact</x:v>
      </x:c>
    </x:row>
    <x:row r="55">
      <x:c r="A55" s="21" t="str">
        <x:v>NYC-V1-R02</x:v>
      </x:c>
      <x:c r="B55" s="21" t="str">
        <x:v>V1</x:v>
      </x:c>
      <x:c r="C55" s="21" t="str">
        <x:v>disability_18_64</x:v>
      </x:c>
      <x:c r="D55" s="24" t="n">
        <x:v>1399</x:v>
      </x:c>
      <x:c r="E55" s="43" t="n">
        <x:v>259.8615977785098</x:v>
      </x:c>
      <x:c r="F55" s="49" t="n">
        <x:v>1399</x:v>
      </x:c>
      <x:c r="G55" s="49" t="n">
        <x:v>0</x:v>
      </x:c>
      <x:c r="H55" s="21" t="str">
        <x:v>Exact</x:v>
      </x:c>
    </x:row>
    <x:row r="56">
      <x:c r="A56" s="21" t="str">
        <x:v>NYC-V1-R02</x:v>
      </x:c>
      <x:c r="B56" s="21" t="str">
        <x:v>V1</x:v>
      </x:c>
      <x:c r="C56" s="21" t="str">
        <x:v>disability_65_plus</x:v>
      </x:c>
      <x:c r="D56" s="24" t="n">
        <x:v>2159</x:v>
      </x:c>
      <x:c r="E56" s="43" t="n">
        <x:v>254.18034935848212</x:v>
      </x:c>
      <x:c r="F56" s="49" t="n">
        <x:v>2159</x:v>
      </x:c>
      <x:c r="G56" s="49" t="n">
        <x:v>0</x:v>
      </x:c>
      <x:c r="H56" s="21" t="str">
        <x:v>Exact</x:v>
      </x:c>
    </x:row>
    <x:row r="57">
      <x:c r="A57" s="21" t="str">
        <x:v>NYC-V1-R02</x:v>
      </x:c>
      <x:c r="B57" s="21" t="str">
        <x:v>V1</x:v>
      </x:c>
      <x:c r="C57" s="21" t="str">
        <x:v>hearing_difficulty</x:v>
      </x:c>
      <x:c r="D57" s="24" t="n">
        <x:v>610</x:v>
      </x:c>
      <x:c r="E57" s="43" t="n">
        <x:v>159.3261927327932</x:v>
      </x:c>
      <x:c r="F57" s="49" t="n">
        <x:v>610</x:v>
      </x:c>
      <x:c r="G57" s="49" t="n">
        <x:v>0</x:v>
      </x:c>
      <x:c r="H57" s="21" t="str">
        <x:v>Exact</x:v>
      </x:c>
    </x:row>
    <x:row r="58">
      <x:c r="A58" s="21" t="str">
        <x:v>NYC-V1-R02</x:v>
      </x:c>
      <x:c r="B58" s="21" t="str">
        <x:v>V1</x:v>
      </x:c>
      <x:c r="C58" s="21" t="str">
        <x:v>vision_difficulty</x:v>
      </x:c>
      <x:c r="D58" s="24" t="n">
        <x:v>531</x:v>
      </x:c>
      <x:c r="E58" s="43" t="n">
        <x:v>160.76240414410304</x:v>
      </x:c>
      <x:c r="F58" s="49" t="n">
        <x:v>531</x:v>
      </x:c>
      <x:c r="G58" s="49" t="n">
        <x:v>0</x:v>
      </x:c>
      <x:c r="H58" s="21" t="str">
        <x:v>Exact</x:v>
      </x:c>
    </x:row>
    <x:row r="59">
      <x:c r="A59" s="21" t="str">
        <x:v>NYC-V1-R02</x:v>
      </x:c>
      <x:c r="B59" s="21" t="str">
        <x:v>V1</x:v>
      </x:c>
      <x:c r="C59" s="21" t="str">
        <x:v>cognitive_difficulty</x:v>
      </x:c>
      <x:c r="D59" s="24" t="n">
        <x:v>1429</x:v>
      </x:c>
      <x:c r="E59" s="43" t="n">
        <x:v>243.67953849735702</x:v>
      </x:c>
      <x:c r="F59" s="49" t="n">
        <x:v>1429</x:v>
      </x:c>
      <x:c r="G59" s="49" t="n">
        <x:v>0</x:v>
      </x:c>
      <x:c r="H59" s="21" t="str">
        <x:v>Exact</x:v>
      </x:c>
    </x:row>
    <x:row r="60">
      <x:c r="A60" s="21" t="str">
        <x:v>NYC-V1-R02</x:v>
      </x:c>
      <x:c r="B60" s="21" t="str">
        <x:v>V1</x:v>
      </x:c>
      <x:c r="C60" s="21" t="str">
        <x:v>ambulatory_difficulty</x:v>
      </x:c>
      <x:c r="D60" s="24" t="n">
        <x:v>1588</x:v>
      </x:c>
      <x:c r="E60" s="43" t="n">
        <x:v>252.55414076402417</x:v>
      </x:c>
      <x:c r="F60" s="49" t="n">
        <x:v>1588</x:v>
      </x:c>
      <x:c r="G60" s="49" t="n">
        <x:v>0</x:v>
      </x:c>
      <x:c r="H60" s="21" t="str">
        <x:v>Exact</x:v>
      </x:c>
    </x:row>
    <x:row r="61">
      <x:c r="A61" s="21" t="str">
        <x:v>NYC-V1-R02</x:v>
      </x:c>
      <x:c r="B61" s="21" t="str">
        <x:v>V1</x:v>
      </x:c>
      <x:c r="C61" s="21" t="str">
        <x:v>self_care_difficulty</x:v>
      </x:c>
      <x:c r="D61" s="24" t="n">
        <x:v>962</x:v>
      </x:c>
      <x:c r="E61" s="43" t="n">
        <x:v>226.3644013415805</x:v>
      </x:c>
      <x:c r="F61" s="49" t="n">
        <x:v>962</x:v>
      </x:c>
      <x:c r="G61" s="49" t="n">
        <x:v>0</x:v>
      </x:c>
      <x:c r="H61" s="21" t="str">
        <x:v>Exact</x:v>
      </x:c>
    </x:row>
    <x:row r="62">
      <x:c r="A62" s="21" t="str">
        <x:v>NYC-V1-R02</x:v>
      </x:c>
      <x:c r="B62" s="21" t="str">
        <x:v>V1</x:v>
      </x:c>
      <x:c r="C62" s="21" t="str">
        <x:v>independent_living_difficulty</x:v>
      </x:c>
      <x:c r="D62" s="24" t="n">
        <x:v>1341</x:v>
      </x:c>
      <x:c r="E62" s="43" t="n">
        <x:v>248.67383217578617</x:v>
      </x:c>
      <x:c r="F62" s="49" t="n">
        <x:v>1341</x:v>
      </x:c>
      <x:c r="G62" s="49" t="n">
        <x:v>0</x:v>
      </x:c>
      <x:c r="H62" s="21" t="str">
        <x:v>Exact</x:v>
      </x:c>
    </x:row>
    <x:row r="63">
      <x:c r="A63" s="21" t="str">
        <x:v>NYC-V1-R02</x:v>
      </x:c>
      <x:c r="B63" s="21" t="str">
        <x:v>V1</x:v>
      </x:c>
      <x:c r="C63" s="21" t="str">
        <x:v>households</x:v>
      </x:c>
      <x:c r="D63" s="24" t="n">
        <x:v>14621</x:v>
      </x:c>
      <x:c r="E63" s="43" t="n">
        <x:v>510.4494098341186</x:v>
      </x:c>
      <x:c r="F63" s="49" t="n">
        <x:v>14621</x:v>
      </x:c>
      <x:c r="G63" s="49" t="n">
        <x:v>0</x:v>
      </x:c>
      <x:c r="H63" s="21" t="str">
        <x:v>Exact</x:v>
      </x:c>
    </x:row>
    <x:row r="64">
      <x:c r="A64" s="21" t="str">
        <x:v>NYC-V1-R02</x:v>
      </x:c>
      <x:c r="B64" s="21" t="str">
        <x:v>V1</x:v>
      </x:c>
      <x:c r="C64" s="21" t="str">
        <x:v>family_households</x:v>
      </x:c>
      <x:c r="D64" s="24" t="n">
        <x:v>6590</x:v>
      </x:c>
      <x:c r="E64" s="43" t="n">
        <x:v>458.1431544833995</x:v>
      </x:c>
      <x:c r="F64" s="49" t="n">
        <x:v>6590</x:v>
      </x:c>
      <x:c r="G64" s="49" t="n">
        <x:v>0</x:v>
      </x:c>
      <x:c r="H64" s="21" t="str">
        <x:v>Exact</x:v>
      </x:c>
    </x:row>
    <x:row r="65">
      <x:c r="A65" s="21" t="str">
        <x:v>NYC-V1-R02</x:v>
      </x:c>
      <x:c r="B65" s="21" t="str">
        <x:v>V1</x:v>
      </x:c>
      <x:c r="C65" s="21" t="str">
        <x:v>nonfamily_households</x:v>
      </x:c>
      <x:c r="D65" s="24" t="n">
        <x:v>8031</x:v>
      </x:c>
      <x:c r="E65" s="43" t="n">
        <x:v>538.7815420000949</x:v>
      </x:c>
      <x:c r="F65" s="49" t="n">
        <x:v>8031</x:v>
      </x:c>
      <x:c r="G65" s="49" t="n">
        <x:v>0</x:v>
      </x:c>
      <x:c r="H65" s="21" t="str">
        <x:v>Exact</x:v>
      </x:c>
    </x:row>
    <x:row r="66">
      <x:c r="A66" s="21" t="str">
        <x:v>NYC-V1-R02</x:v>
      </x:c>
      <x:c r="B66" s="21" t="str">
        <x:v>V1</x:v>
      </x:c>
      <x:c r="C66" s="21" t="str">
        <x:v>living_alone_households</x:v>
      </x:c>
      <x:c r="D66" s="24" t="n">
        <x:v>6602</x:v>
      </x:c>
      <x:c r="E66" s="43" t="n">
        <x:v>512.4839021862052</x:v>
      </x:c>
      <x:c r="F66" s="49" t="n">
        <x:v>6602</x:v>
      </x:c>
      <x:c r="G66" s="49" t="n">
        <x:v>0</x:v>
      </x:c>
      <x:c r="H66" s="21" t="str">
        <x:v>Exact</x:v>
      </x:c>
    </x:row>
    <x:row r="67">
      <x:c r="A67" s="21" t="str">
        <x:v>NYC-V1-R02</x:v>
      </x:c>
      <x:c r="B67" s="21" t="str">
        <x:v>V1</x:v>
      </x:c>
      <x:c r="C67" s="21" t="str">
        <x:v>households_with_children</x:v>
      </x:c>
      <x:c r="D67" s="24" t="n">
        <x:v>2617</x:v>
      </x:c>
      <x:c r="E67" s="43" t="n">
        <x:v>342.0109647365125</x:v>
      </x:c>
      <x:c r="F67" s="49" t="n">
        <x:v>2617</x:v>
      </x:c>
      <x:c r="G67" s="49" t="n">
        <x:v>0</x:v>
      </x:c>
      <x:c r="H67" s="21" t="str">
        <x:v>Exact</x:v>
      </x:c>
    </x:row>
    <x:row r="68">
      <x:c r="A68" s="21" t="str">
        <x:v>NYC-V1-R02</x:v>
      </x:c>
      <x:c r="B68" s="21" t="str">
        <x:v>V1</x:v>
      </x:c>
      <x:c r="C68" s="21" t="str">
        <x:v>households_with_age65</x:v>
      </x:c>
      <x:c r="D68" s="24" t="n">
        <x:v>5726</x:v>
      </x:c>
      <x:c r="E68" s="43" t="n">
        <x:v>463.8448016308903</x:v>
      </x:c>
      <x:c r="F68" s="49" t="n">
        <x:v>5726</x:v>
      </x:c>
      <x:c r="G68" s="49" t="n">
        <x:v>0</x:v>
      </x:c>
      <x:c r="H68" s="21" t="str">
        <x:v>Exact</x:v>
      </x:c>
    </x:row>
    <x:row r="69">
      <x:c r="A69" s="21" t="str">
        <x:v>NYC-V1-R02</x:v>
      </x:c>
      <x:c r="B69" s="21" t="str">
        <x:v>V1</x:v>
      </x:c>
      <x:c r="C69" s="21" t="str">
        <x:v>age65_one_person_households</x:v>
      </x:c>
      <x:c r="D69" s="24" t="n">
        <x:v>3253</x:v>
      </x:c>
      <x:c r="E69" s="43" t="n">
        <x:v>408.5268045061426</x:v>
      </x:c>
      <x:c r="F69" s="49" t="n">
        <x:v>3253</x:v>
      </x:c>
      <x:c r="G69" s="49" t="n">
        <x:v>0</x:v>
      </x:c>
      <x:c r="H69" s="21" t="str">
        <x:v>Exact</x:v>
      </x:c>
    </x:row>
    <x:row r="70">
      <x:c r="A70" s="21" t="str">
        <x:v>NYC-V1-R02</x:v>
      </x:c>
      <x:c r="B70" s="21" t="str">
        <x:v>V1</x:v>
      </x:c>
      <x:c r="C70" s="21" t="str">
        <x:v>no_vehicle_households</x:v>
      </x:c>
      <x:c r="D70" s="24" t="n">
        <x:v>10894</x:v>
      </x:c>
      <x:c r="E70" s="43" t="n">
        <x:v>556.9533735095523</x:v>
      </x:c>
      <x:c r="F70" s="49" t="n">
        <x:v>10894</x:v>
      </x:c>
      <x:c r="G70" s="49" t="n">
        <x:v>0</x:v>
      </x:c>
      <x:c r="H70" s="21" t="str">
        <x:v>Exact</x:v>
      </x:c>
    </x:row>
    <x:row r="71">
      <x:c r="A71" s="21" t="str">
        <x:v>NYC-V1-R02</x:v>
      </x:c>
      <x:c r="B71" s="21" t="str">
        <x:v>V1</x:v>
      </x:c>
      <x:c r="C71" s="21" t="str">
        <x:v>limited_english_households</x:v>
      </x:c>
      <x:c r="D71" s="24" t="n">
        <x:v>820</x:v>
      </x:c>
      <x:c r="E71" s="43" t="n">
        <x:v>204.64032321155315</x:v>
      </x:c>
      <x:c r="F71" s="49" t="n">
        <x:v>820</x:v>
      </x:c>
      <x:c r="G71" s="49" t="n">
        <x:v>0</x:v>
      </x:c>
      <x:c r="H71" s="21" t="str">
        <x:v>Exact</x:v>
      </x:c>
    </x:row>
    <x:row r="72">
      <x:c r="A72" s="21" t="str">
        <x:v>NYC-V1-R02</x:v>
      </x:c>
      <x:c r="B72" s="21" t="str">
        <x:v>V1</x:v>
      </x:c>
      <x:c r="C72" s="21" t="str">
        <x:v>housing_units</x:v>
      </x:c>
      <x:c r="D72" s="24" t="n">
        <x:v>17007</x:v>
      </x:c>
      <x:c r="E72" s="43" t="n">
        <x:v>460.6189857137893</x:v>
      </x:c>
      <x:c r="F72" s="49" t="n">
        <x:v>17007</x:v>
      </x:c>
      <x:c r="G72" s="49" t="n">
        <x:v>0</x:v>
      </x:c>
      <x:c r="H72" s="21" t="str">
        <x:v>Exact</x:v>
      </x:c>
    </x:row>
    <x:row r="73">
      <x:c r="A73" s="21" t="str">
        <x:v>NYC-V1-R02</x:v>
      </x:c>
      <x:c r="B73" s="21" t="str">
        <x:v>V1</x:v>
      </x:c>
      <x:c r="C73" s="21" t="str">
        <x:v>occupied_housing_units</x:v>
      </x:c>
      <x:c r="D73" s="24" t="n">
        <x:v>14621</x:v>
      </x:c>
      <x:c r="E73" s="43" t="n">
        <x:v>510.4494098341186</x:v>
      </x:c>
      <x:c r="F73" s="49" t="n">
        <x:v>14621</x:v>
      </x:c>
      <x:c r="G73" s="49" t="n">
        <x:v>0</x:v>
      </x:c>
      <x:c r="H73" s="21" t="str">
        <x:v>Exact</x:v>
      </x:c>
    </x:row>
    <x:row r="74">
      <x:c r="A74" s="21" t="str">
        <x:v>NYC-V1-R02</x:v>
      </x:c>
      <x:c r="B74" s="21" t="str">
        <x:v>V1</x:v>
      </x:c>
      <x:c r="C74" s="21" t="str">
        <x:v>vacant_housing_units</x:v>
      </x:c>
      <x:c r="D74" s="24" t="n">
        <x:v>2386</x:v>
      </x:c>
      <x:c r="E74" s="43" t="n">
        <x:v>387.47148282163937</x:v>
      </x:c>
      <x:c r="F74" s="49" t="n">
        <x:v>2386</x:v>
      </x:c>
      <x:c r="G74" s="49" t="n">
        <x:v>0</x:v>
      </x:c>
      <x:c r="H74" s="21" t="str">
        <x:v>Exact</x:v>
      </x:c>
    </x:row>
    <x:row r="75">
      <x:c r="A75" s="21" t="str">
        <x:v>NYC-V1-R02</x:v>
      </x:c>
      <x:c r="B75" s="21" t="str">
        <x:v>V1</x:v>
      </x:c>
      <x:c r="C75" s="21" t="str">
        <x:v>owner_occupied_units</x:v>
      </x:c>
      <x:c r="D75" s="24" t="n">
        <x:v>5055</x:v>
      </x:c>
      <x:c r="E75" s="43" t="n">
        <x:v>490.0913965399911</x:v>
      </x:c>
      <x:c r="F75" s="49" t="n">
        <x:v>5055</x:v>
      </x:c>
      <x:c r="G75" s="49" t="n">
        <x:v>0</x:v>
      </x:c>
      <x:c r="H75" s="21" t="str">
        <x:v>Exact</x:v>
      </x:c>
    </x:row>
    <x:row r="76">
      <x:c r="A76" s="21" t="str">
        <x:v>NYC-V1-R02</x:v>
      </x:c>
      <x:c r="B76" s="21" t="str">
        <x:v>V1</x:v>
      </x:c>
      <x:c r="C76" s="21" t="str">
        <x:v>renter_occupied_units</x:v>
      </x:c>
      <x:c r="D76" s="24" t="n">
        <x:v>9566</x:v>
      </x:c>
      <x:c r="E76" s="43" t="n">
        <x:v>447.24747372158976</x:v>
      </x:c>
      <x:c r="F76" s="49" t="n">
        <x:v>9566</x:v>
      </x:c>
      <x:c r="G76" s="49" t="n">
        <x:v>0</x:v>
      </x:c>
      <x:c r="H76" s="21" t="str">
        <x:v>Exact</x:v>
      </x:c>
    </x:row>
    <x:row r="77">
      <x:c r="A77" s="21" t="str">
        <x:v>NYC-V1-R02</x:v>
      </x:c>
      <x:c r="B77" s="21" t="str">
        <x:v>V1</x:v>
      </x:c>
      <x:c r="C77" s="21" t="str">
        <x:v>one_unit_structures</x:v>
      </x:c>
      <x:c r="D77" s="24" t="n">
        <x:v>322</x:v>
      </x:c>
      <x:c r="E77" s="43" t="n">
        <x:v>168.4329439261361</x:v>
      </x:c>
      <x:c r="F77" s="49" t="n">
        <x:v>322</x:v>
      </x:c>
      <x:c r="G77" s="49" t="n">
        <x:v>0</x:v>
      </x:c>
      <x:c r="H77" s="21" t="str">
        <x:v>Exact</x:v>
      </x:c>
    </x:row>
    <x:row r="78">
      <x:c r="A78" s="21" t="str">
        <x:v>NYC-V1-R02</x:v>
      </x:c>
      <x:c r="B78" s="21" t="str">
        <x:v>V1</x:v>
      </x:c>
      <x:c r="C78" s="21" t="str">
        <x:v>two_to_four_unit_structures</x:v>
      </x:c>
      <x:c r="D78" s="24" t="n">
        <x:v>112</x:v>
      </x:c>
      <x:c r="E78" s="43" t="n">
        <x:v>64.85498875229969</x:v>
      </x:c>
      <x:c r="F78" s="49" t="n">
        <x:v>112</x:v>
      </x:c>
      <x:c r="G78" s="49" t="n">
        <x:v>0</x:v>
      </x:c>
      <x:c r="H78" s="21" t="str">
        <x:v>Exact</x:v>
      </x:c>
    </x:row>
    <x:row r="79">
      <x:c r="A79" s="21" t="str">
        <x:v>NYC-V1-R02</x:v>
      </x:c>
      <x:c r="B79" s="21" t="str">
        <x:v>V1</x:v>
      </x:c>
      <x:c r="C79" s="21" t="str">
        <x:v>five_to_nineteen_unit_structures</x:v>
      </x:c>
      <x:c r="D79" s="24" t="n">
        <x:v>1335</x:v>
      </x:c>
      <x:c r="E79" s="43" t="n">
        <x:v>217.7564960151678</x:v>
      </x:c>
      <x:c r="F79" s="49" t="n">
        <x:v>1335</x:v>
      </x:c>
      <x:c r="G79" s="49" t="n">
        <x:v>0</x:v>
      </x:c>
      <x:c r="H79" s="21" t="str">
        <x:v>Exact</x:v>
      </x:c>
    </x:row>
    <x:row r="80">
      <x:c r="A80" s="21" t="str">
        <x:v>NYC-V1-R02</x:v>
      </x:c>
      <x:c r="B80" s="21" t="str">
        <x:v>V1</x:v>
      </x:c>
      <x:c r="C80" s="21" t="str">
        <x:v>twenty_to_forty_nine_unit_structures</x:v>
      </x:c>
      <x:c r="D80" s="24" t="n">
        <x:v>2999</x:v>
      </x:c>
      <x:c r="E80" s="43" t="n">
        <x:v>370.76834550384757</x:v>
      </x:c>
      <x:c r="F80" s="49" t="n">
        <x:v>2999</x:v>
      </x:c>
      <x:c r="G80" s="49" t="n">
        <x:v>0</x:v>
      </x:c>
      <x:c r="H80" s="21" t="str">
        <x:v>Exact</x:v>
      </x:c>
    </x:row>
    <x:row r="81">
      <x:c r="A81" s="21" t="str">
        <x:v>NYC-V1-R02</x:v>
      </x:c>
      <x:c r="B81" s="21" t="str">
        <x:v>V1</x:v>
      </x:c>
      <x:c r="C81" s="21" t="str">
        <x:v>fifty_plus_unit_structures</x:v>
      </x:c>
      <x:c r="D81" s="24" t="n">
        <x:v>9853</x:v>
      </x:c>
      <x:c r="E81" s="43" t="n">
        <x:v>577.9262600209345</x:v>
      </x:c>
      <x:c r="F81" s="49" t="n">
        <x:v>9853</x:v>
      </x:c>
      <x:c r="G81" s="49" t="n">
        <x:v>0</x:v>
      </x:c>
      <x:c r="H81" s="21" t="str">
        <x:v>Exact</x:v>
      </x:c>
    </x:row>
    <x:row r="82">
      <x:c r="A82" s="21" t="str">
        <x:v>NYC-V1-R02</x:v>
      </x:c>
      <x:c r="B82" s="21" t="str">
        <x:v>V1</x:v>
      </x:c>
      <x:c r="C82" s="21" t="str">
        <x:v>mobile_or_other_units</x:v>
      </x:c>
      <x:c r="D82" s="24" t="n">
        <x:v>0</x:v>
      </x:c>
      <x:c r="E82" s="43" t="n">
        <x:v>46.20060790273556</x:v>
      </x:c>
      <x:c r="F82" s="49" t="n">
        <x:v>0</x:v>
      </x:c>
      <x:c r="G82" s="49" t="n">
        <x:v>0</x:v>
      </x:c>
      <x:c r="H82" s="21" t="str">
        <x:v>Exact</x:v>
      </x:c>
    </x:row>
    <x:row r="83">
      <x:c r="A83" s="21" t="str">
        <x:v>NYC-V1-R02</x:v>
      </x:c>
      <x:c r="B83" s="21" t="str">
        <x:v>V1</x:v>
      </x:c>
      <x:c r="C83" s="21" t="str">
        <x:v>electric_heat_households</x:v>
      </x:c>
      <x:c r="D83" s="24" t="n">
        <x:v>1670</x:v>
      </x:c>
      <x:c r="E83" s="43" t="n">
        <x:v>249.15707896826854</x:v>
      </x:c>
      <x:c r="F83" s="49" t="n">
        <x:v>1670</x:v>
      </x:c>
      <x:c r="G83" s="49" t="n">
        <x:v>0</x:v>
      </x:c>
      <x:c r="H83" s="21" t="str">
        <x:v>Exact</x:v>
      </x:c>
    </x:row>
    <x:row r="84">
      <x:c r="A84" s="21" t="str">
        <x:v>NYC-V1-R02</x:v>
      </x:c>
      <x:c r="B84" s="21" t="str">
        <x:v>V1</x:v>
      </x:c>
      <x:c r="C84" s="21" t="str">
        <x:v>group_quarters_population</x:v>
      </x:c>
      <x:c r="D84" s="24" t="n">
        <x:v>1123</x:v>
      </x:c>
      <x:c r="E84" s="43" t="n">
        <x:v>24.761865842460256</x:v>
      </x:c>
      <x:c r="F84" s="49" t="n">
        <x:v>1123</x:v>
      </x:c>
      <x:c r="G84" s="49" t="n">
        <x:v>0</x:v>
      </x:c>
      <x:c r="H84" s="21" t="str">
        <x:v>Exact</x:v>
      </x:c>
    </x:row>
    <x:row r="85">
      <x:c r="A85" s="21" t="str">
        <x:v>NYC-V1-R03</x:v>
      </x:c>
      <x:c r="B85" s="21" t="str">
        <x:v>V1</x:v>
      </x:c>
      <x:c r="C85" s="21" t="str">
        <x:v>acs_population</x:v>
      </x:c>
      <x:c r="D85" s="24" t="n">
        <x:v>27923</x:v>
      </x:c>
      <x:c r="E85" s="43" t="n">
        <x:v>1294.5028196184046</x:v>
      </x:c>
      <x:c r="F85" s="49" t="n">
        <x:v>27923</x:v>
      </x:c>
      <x:c r="G85" s="49" t="n">
        <x:v>0</x:v>
      </x:c>
      <x:c r="H85" s="21" t="str">
        <x:v>Exact</x:v>
      </x:c>
    </x:row>
    <x:row r="86">
      <x:c r="A86" s="21" t="str">
        <x:v>NYC-V1-R03</x:v>
      </x:c>
      <x:c r="B86" s="21" t="str">
        <x:v>V1</x:v>
      </x:c>
      <x:c r="C86" s="21" t="str">
        <x:v>age_under_18</x:v>
      </x:c>
      <x:c r="D86" s="24" t="n">
        <x:v>2587</x:v>
      </x:c>
      <x:c r="E86" s="43" t="n">
        <x:v>385.9863339549731</x:v>
      </x:c>
      <x:c r="F86" s="49" t="n">
        <x:v>2587</x:v>
      </x:c>
      <x:c r="G86" s="49" t="n">
        <x:v>0</x:v>
      </x:c>
      <x:c r="H86" s="21" t="str">
        <x:v>Exact</x:v>
      </x:c>
    </x:row>
    <x:row r="87">
      <x:c r="A87" s="21" t="str">
        <x:v>NYC-V1-R03</x:v>
      </x:c>
      <x:c r="B87" s="21" t="str">
        <x:v>V1</x:v>
      </x:c>
      <x:c r="C87" s="21" t="str">
        <x:v>age_under_5</x:v>
      </x:c>
      <x:c r="D87" s="24" t="n">
        <x:v>964</x:v>
      </x:c>
      <x:c r="E87" s="43" t="n">
        <x:v>224.47316097921373</x:v>
      </x:c>
      <x:c r="F87" s="49" t="n">
        <x:v>964</x:v>
      </x:c>
      <x:c r="G87" s="49" t="n">
        <x:v>0</x:v>
      </x:c>
      <x:c r="H87" s="21" t="str">
        <x:v>Exact</x:v>
      </x:c>
    </x:row>
    <x:row r="88">
      <x:c r="A88" s="21" t="str">
        <x:v>NYC-V1-R03</x:v>
      </x:c>
      <x:c r="B88" s="21" t="str">
        <x:v>V1</x:v>
      </x:c>
      <x:c r="C88" s="21" t="str">
        <x:v>age_65_plus</x:v>
      </x:c>
      <x:c r="D88" s="24" t="n">
        <x:v>3991</x:v>
      </x:c>
      <x:c r="E88" s="43" t="n">
        <x:v>482.6947793378337</x:v>
      </x:c>
      <x:c r="F88" s="49" t="n">
        <x:v>3991</x:v>
      </x:c>
      <x:c r="G88" s="49" t="n">
        <x:v>0</x:v>
      </x:c>
      <x:c r="H88" s="21" t="str">
        <x:v>Exact</x:v>
      </x:c>
    </x:row>
    <x:row r="89">
      <x:c r="A89" s="21" t="str">
        <x:v>NYC-V1-R03</x:v>
      </x:c>
      <x:c r="B89" s="21" t="str">
        <x:v>V1</x:v>
      </x:c>
      <x:c r="C89" s="21" t="str">
        <x:v>age_75_plus</x:v>
      </x:c>
      <x:c r="D89" s="24" t="n">
        <x:v>2191</x:v>
      </x:c>
      <x:c r="E89" s="43" t="n">
        <x:v>397.9192129063386</x:v>
      </x:c>
      <x:c r="F89" s="49" t="n">
        <x:v>2191</x:v>
      </x:c>
      <x:c r="G89" s="49" t="n">
        <x:v>0</x:v>
      </x:c>
      <x:c r="H89" s="21" t="str">
        <x:v>Exact</x:v>
      </x:c>
    </x:row>
    <x:row r="90">
      <x:c r="A90" s="21" t="str">
        <x:v>NYC-V1-R03</x:v>
      </x:c>
      <x:c r="B90" s="21" t="str">
        <x:v>V1</x:v>
      </x:c>
      <x:c r="C90" s="21" t="str">
        <x:v>age_85_plus</x:v>
      </x:c>
      <x:c r="D90" s="24" t="n">
        <x:v>1125</x:v>
      </x:c>
      <x:c r="E90" s="43" t="n">
        <x:v>331.8523014836571</x:v>
      </x:c>
      <x:c r="F90" s="49" t="n">
        <x:v>1125</x:v>
      </x:c>
      <x:c r="G90" s="49" t="n">
        <x:v>0</x:v>
      </x:c>
      <x:c r="H90" s="21" t="str">
        <x:v>Exact</x:v>
      </x:c>
    </x:row>
    <x:row r="91">
      <x:c r="A91" s="21" t="str">
        <x:v>NYC-V1-R03</x:v>
      </x:c>
      <x:c r="B91" s="21" t="str">
        <x:v>V1</x:v>
      </x:c>
      <x:c r="C91" s="21" t="str">
        <x:v>civilian_noninstitutionalized</x:v>
      </x:c>
      <x:c r="D91" s="24" t="n">
        <x:v>27908</x:v>
      </x:c>
      <x:c r="E91" s="43" t="n">
        <x:v>1294.6642614979376</x:v>
      </x:c>
      <x:c r="F91" s="49" t="n">
        <x:v>27908</x:v>
      </x:c>
      <x:c r="G91" s="49" t="n">
        <x:v>0</x:v>
      </x:c>
      <x:c r="H91" s="21" t="str">
        <x:v>Exact</x:v>
      </x:c>
    </x:row>
    <x:row r="92">
      <x:c r="A92" s="21" t="str">
        <x:v>NYC-V1-R03</x:v>
      </x:c>
      <x:c r="B92" s="21" t="str">
        <x:v>V1</x:v>
      </x:c>
      <x:c r="C92" s="21" t="str">
        <x:v>any_disability</x:v>
      </x:c>
      <x:c r="D92" s="24" t="n">
        <x:v>1575</x:v>
      </x:c>
      <x:c r="E92" s="43" t="n">
        <x:v>268.2469011936578</x:v>
      </x:c>
      <x:c r="F92" s="49" t="n">
        <x:v>1575</x:v>
      </x:c>
      <x:c r="G92" s="49" t="n">
        <x:v>0</x:v>
      </x:c>
      <x:c r="H92" s="21" t="str">
        <x:v>Exact</x:v>
      </x:c>
    </x:row>
    <x:row r="93">
      <x:c r="A93" s="21" t="str">
        <x:v>NYC-V1-R03</x:v>
      </x:c>
      <x:c r="B93" s="21" t="str">
        <x:v>V1</x:v>
      </x:c>
      <x:c r="C93" s="21" t="str">
        <x:v>disability_under_18</x:v>
      </x:c>
      <x:c r="D93" s="24" t="n">
        <x:v>81</x:v>
      </x:c>
      <x:c r="E93" s="43" t="n">
        <x:v>56.507079202521176</x:v>
      </x:c>
      <x:c r="F93" s="49" t="n">
        <x:v>81</x:v>
      </x:c>
      <x:c r="G93" s="49" t="n">
        <x:v>0</x:v>
      </x:c>
      <x:c r="H93" s="21" t="str">
        <x:v>Exact</x:v>
      </x:c>
    </x:row>
    <x:row r="94">
      <x:c r="A94" s="21" t="str">
        <x:v>NYC-V1-R03</x:v>
      </x:c>
      <x:c r="B94" s="21" t="str">
        <x:v>V1</x:v>
      </x:c>
      <x:c r="C94" s="21" t="str">
        <x:v>disability_18_64</x:v>
      </x:c>
      <x:c r="D94" s="24" t="n">
        <x:v>641</x:v>
      </x:c>
      <x:c r="E94" s="43" t="n">
        <x:v>148.07616283521128</x:v>
      </x:c>
      <x:c r="F94" s="49" t="n">
        <x:v>641</x:v>
      </x:c>
      <x:c r="G94" s="49" t="n">
        <x:v>0</x:v>
      </x:c>
      <x:c r="H94" s="21" t="str">
        <x:v>Exact</x:v>
      </x:c>
    </x:row>
    <x:row r="95">
      <x:c r="A95" s="21" t="str">
        <x:v>NYC-V1-R03</x:v>
      </x:c>
      <x:c r="B95" s="21" t="str">
        <x:v>V1</x:v>
      </x:c>
      <x:c r="C95" s="21" t="str">
        <x:v>disability_65_plus</x:v>
      </x:c>
      <x:c r="D95" s="24" t="n">
        <x:v>853</x:v>
      </x:c>
      <x:c r="E95" s="43" t="n">
        <x:v>202.96255812341352</x:v>
      </x:c>
      <x:c r="F95" s="49" t="n">
        <x:v>853</x:v>
      </x:c>
      <x:c r="G95" s="49" t="n">
        <x:v>0</x:v>
      </x:c>
      <x:c r="H95" s="21" t="str">
        <x:v>Exact</x:v>
      </x:c>
    </x:row>
    <x:row r="96">
      <x:c r="A96" s="21" t="str">
        <x:v>NYC-V1-R03</x:v>
      </x:c>
      <x:c r="B96" s="21" t="str">
        <x:v>V1</x:v>
      </x:c>
      <x:c r="C96" s="21" t="str">
        <x:v>hearing_difficulty</x:v>
      </x:c>
      <x:c r="D96" s="24" t="n">
        <x:v>386</x:v>
      </x:c>
      <x:c r="E96" s="43" t="n">
        <x:v>172.27474451061414</x:v>
      </x:c>
      <x:c r="F96" s="49" t="n">
        <x:v>386</x:v>
      </x:c>
      <x:c r="G96" s="49" t="n">
        <x:v>0</x:v>
      </x:c>
      <x:c r="H96" s="21" t="str">
        <x:v>Exact</x:v>
      </x:c>
    </x:row>
    <x:row r="97">
      <x:c r="A97" s="21" t="str">
        <x:v>NYC-V1-R03</x:v>
      </x:c>
      <x:c r="B97" s="21" t="str">
        <x:v>V1</x:v>
      </x:c>
      <x:c r="C97" s="21" t="str">
        <x:v>vision_difficulty</x:v>
      </x:c>
      <x:c r="D97" s="24" t="n">
        <x:v>255</x:v>
      </x:c>
      <x:c r="E97" s="43" t="n">
        <x:v>112.55069205055119</x:v>
      </x:c>
      <x:c r="F97" s="49" t="n">
        <x:v>255</x:v>
      </x:c>
      <x:c r="G97" s="49" t="n">
        <x:v>0</x:v>
      </x:c>
      <x:c r="H97" s="21" t="str">
        <x:v>Exact</x:v>
      </x:c>
    </x:row>
    <x:row r="98">
      <x:c r="A98" s="21" t="str">
        <x:v>NYC-V1-R03</x:v>
      </x:c>
      <x:c r="B98" s="21" t="str">
        <x:v>V1</x:v>
      </x:c>
      <x:c r="C98" s="21" t="str">
        <x:v>cognitive_difficulty</x:v>
      </x:c>
      <x:c r="D98" s="24" t="n">
        <x:v>575</x:v>
      </x:c>
      <x:c r="E98" s="43" t="n">
        <x:v>140.34261160538108</x:v>
      </x:c>
      <x:c r="F98" s="49" t="n">
        <x:v>575</x:v>
      </x:c>
      <x:c r="G98" s="49" t="n">
        <x:v>0</x:v>
      </x:c>
      <x:c r="H98" s="21" t="str">
        <x:v>Exact</x:v>
      </x:c>
    </x:row>
    <x:row r="99">
      <x:c r="A99" s="21" t="str">
        <x:v>NYC-V1-R03</x:v>
      </x:c>
      <x:c r="B99" s="21" t="str">
        <x:v>V1</x:v>
      </x:c>
      <x:c r="C99" s="21" t="str">
        <x:v>ambulatory_difficulty</x:v>
      </x:c>
      <x:c r="D99" s="24" t="n">
        <x:v>786</x:v>
      </x:c>
      <x:c r="E99" s="43" t="n">
        <x:v>208.07863299724175</x:v>
      </x:c>
      <x:c r="F99" s="49" t="n">
        <x:v>786</x:v>
      </x:c>
      <x:c r="G99" s="49" t="n">
        <x:v>0</x:v>
      </x:c>
      <x:c r="H99" s="21" t="str">
        <x:v>Exact</x:v>
      </x:c>
    </x:row>
    <x:row r="100">
      <x:c r="A100" s="21" t="str">
        <x:v>NYC-V1-R03</x:v>
      </x:c>
      <x:c r="B100" s="21" t="str">
        <x:v>V1</x:v>
      </x:c>
      <x:c r="C100" s="21" t="str">
        <x:v>self_care_difficulty</x:v>
      </x:c>
      <x:c r="D100" s="24" t="n">
        <x:v>505</x:v>
      </x:c>
      <x:c r="E100" s="43" t="n">
        <x:v>184.7024205464741</x:v>
      </x:c>
      <x:c r="F100" s="49" t="n">
        <x:v>505</x:v>
      </x:c>
      <x:c r="G100" s="49" t="n">
        <x:v>0</x:v>
      </x:c>
      <x:c r="H100" s="21" t="str">
        <x:v>Exact</x:v>
      </x:c>
    </x:row>
    <x:row r="101">
      <x:c r="A101" s="21" t="str">
        <x:v>NYC-V1-R03</x:v>
      </x:c>
      <x:c r="B101" s="21" t="str">
        <x:v>V1</x:v>
      </x:c>
      <x:c r="C101" s="21" t="str">
        <x:v>independent_living_difficulty</x:v>
      </x:c>
      <x:c r="D101" s="24" t="n">
        <x:v>574</x:v>
      </x:c>
      <x:c r="E101" s="43" t="n">
        <x:v>158.44469073753095</x:v>
      </x:c>
      <x:c r="F101" s="49" t="n">
        <x:v>574</x:v>
      </x:c>
      <x:c r="G101" s="49" t="n">
        <x:v>0</x:v>
      </x:c>
      <x:c r="H101" s="21" t="str">
        <x:v>Exact</x:v>
      </x:c>
    </x:row>
    <x:row r="102">
      <x:c r="A102" s="21" t="str">
        <x:v>NYC-V1-R03</x:v>
      </x:c>
      <x:c r="B102" s="21" t="str">
        <x:v>V1</x:v>
      </x:c>
      <x:c r="C102" s="21" t="str">
        <x:v>households</x:v>
      </x:c>
      <x:c r="D102" s="24" t="n">
        <x:v>15988</x:v>
      </x:c>
      <x:c r="E102" s="43" t="n">
        <x:v>623.0899614020435</x:v>
      </x:c>
      <x:c r="F102" s="49" t="n">
        <x:v>15988</x:v>
      </x:c>
      <x:c r="G102" s="49" t="n">
        <x:v>0</x:v>
      </x:c>
      <x:c r="H102" s="21" t="str">
        <x:v>Exact</x:v>
      </x:c>
    </x:row>
    <x:row r="103">
      <x:c r="A103" s="21" t="str">
        <x:v>NYC-V1-R03</x:v>
      </x:c>
      <x:c r="B103" s="21" t="str">
        <x:v>V1</x:v>
      </x:c>
      <x:c r="C103" s="21" t="str">
        <x:v>family_households</x:v>
      </x:c>
      <x:c r="D103" s="24" t="n">
        <x:v>4357</x:v>
      </x:c>
      <x:c r="E103" s="43" t="n">
        <x:v>388.86167206347295</x:v>
      </x:c>
      <x:c r="F103" s="49" t="n">
        <x:v>4357</x:v>
      </x:c>
      <x:c r="G103" s="49" t="n">
        <x:v>0</x:v>
      </x:c>
      <x:c r="H103" s="21" t="str">
        <x:v>Exact</x:v>
      </x:c>
    </x:row>
    <x:row r="104">
      <x:c r="A104" s="21" t="str">
        <x:v>NYC-V1-R03</x:v>
      </x:c>
      <x:c r="B104" s="21" t="str">
        <x:v>V1</x:v>
      </x:c>
      <x:c r="C104" s="21" t="str">
        <x:v>nonfamily_households</x:v>
      </x:c>
      <x:c r="D104" s="24" t="n">
        <x:v>11631</x:v>
      </x:c>
      <x:c r="E104" s="43" t="n">
        <x:v>609.3476019481819</x:v>
      </x:c>
      <x:c r="F104" s="49" t="n">
        <x:v>11631</x:v>
      </x:c>
      <x:c r="G104" s="49" t="n">
        <x:v>0</x:v>
      </x:c>
      <x:c r="H104" s="21" t="str">
        <x:v>Exact</x:v>
      </x:c>
    </x:row>
    <x:row r="105">
      <x:c r="A105" s="21" t="str">
        <x:v>NYC-V1-R03</x:v>
      </x:c>
      <x:c r="B105" s="21" t="str">
        <x:v>V1</x:v>
      </x:c>
      <x:c r="C105" s="21" t="str">
        <x:v>living_alone_households</x:v>
      </x:c>
      <x:c r="D105" s="24" t="n">
        <x:v>9147</x:v>
      </x:c>
      <x:c r="E105" s="43" t="n">
        <x:v>621.7712601913987</x:v>
      </x:c>
      <x:c r="F105" s="49" t="n">
        <x:v>9147</x:v>
      </x:c>
      <x:c r="G105" s="49" t="n">
        <x:v>0</x:v>
      </x:c>
      <x:c r="H105" s="21" t="str">
        <x:v>Exact</x:v>
      </x:c>
    </x:row>
    <x:row r="106">
      <x:c r="A106" s="21" t="str">
        <x:v>NYC-V1-R03</x:v>
      </x:c>
      <x:c r="B106" s="21" t="str">
        <x:v>V1</x:v>
      </x:c>
      <x:c r="C106" s="21" t="str">
        <x:v>households_with_children</x:v>
      </x:c>
      <x:c r="D106" s="24" t="n">
        <x:v>1635</x:v>
      </x:c>
      <x:c r="E106" s="43" t="n">
        <x:v>202.8717575218394</x:v>
      </x:c>
      <x:c r="F106" s="49" t="n">
        <x:v>1635</x:v>
      </x:c>
      <x:c r="G106" s="49" t="n">
        <x:v>0</x:v>
      </x:c>
      <x:c r="H106" s="21" t="str">
        <x:v>Exact</x:v>
      </x:c>
    </x:row>
    <x:row r="107">
      <x:c r="A107" s="21" t="str">
        <x:v>NYC-V1-R03</x:v>
      </x:c>
      <x:c r="B107" s="21" t="str">
        <x:v>V1</x:v>
      </x:c>
      <x:c r="C107" s="21" t="str">
        <x:v>households_with_age65</x:v>
      </x:c>
      <x:c r="D107" s="24" t="n">
        <x:v>3281</x:v>
      </x:c>
      <x:c r="E107" s="43" t="n">
        <x:v>439.7300308143623</x:v>
      </x:c>
      <x:c r="F107" s="49" t="n">
        <x:v>3281</x:v>
      </x:c>
      <x:c r="G107" s="49" t="n">
        <x:v>0</x:v>
      </x:c>
      <x:c r="H107" s="21" t="str">
        <x:v>Exact</x:v>
      </x:c>
    </x:row>
    <x:row r="108">
      <x:c r="A108" s="21" t="str">
        <x:v>NYC-V1-R03</x:v>
      </x:c>
      <x:c r="B108" s="21" t="str">
        <x:v>V1</x:v>
      </x:c>
      <x:c r="C108" s="21" t="str">
        <x:v>age65_one_person_households</x:v>
      </x:c>
      <x:c r="D108" s="24" t="n">
        <x:v>2208</x:v>
      </x:c>
      <x:c r="E108" s="43" t="n">
        <x:v>385.16801528683555</x:v>
      </x:c>
      <x:c r="F108" s="49" t="n">
        <x:v>2208</x:v>
      </x:c>
      <x:c r="G108" s="49" t="n">
        <x:v>0</x:v>
      </x:c>
      <x:c r="H108" s="21" t="str">
        <x:v>Exact</x:v>
      </x:c>
    </x:row>
    <x:row r="109">
      <x:c r="A109" s="21" t="str">
        <x:v>NYC-V1-R03</x:v>
      </x:c>
      <x:c r="B109" s="21" t="str">
        <x:v>V1</x:v>
      </x:c>
      <x:c r="C109" s="21" t="str">
        <x:v>no_vehicle_households</x:v>
      </x:c>
      <x:c r="D109" s="24" t="n">
        <x:v>13735</x:v>
      </x:c>
      <x:c r="E109" s="43" t="n">
        <x:v>592.8713039700183</x:v>
      </x:c>
      <x:c r="F109" s="49" t="n">
        <x:v>13735</x:v>
      </x:c>
      <x:c r="G109" s="49" t="n">
        <x:v>0</x:v>
      </x:c>
      <x:c r="H109" s="21" t="str">
        <x:v>Exact</x:v>
      </x:c>
    </x:row>
    <x:row r="110">
      <x:c r="A110" s="21" t="str">
        <x:v>NYC-V1-R03</x:v>
      </x:c>
      <x:c r="B110" s="21" t="str">
        <x:v>V1</x:v>
      </x:c>
      <x:c r="C110" s="21" t="str">
        <x:v>limited_english_households</x:v>
      </x:c>
      <x:c r="D110" s="24" t="n">
        <x:v>645</x:v>
      </x:c>
      <x:c r="E110" s="43" t="n">
        <x:v>218.718301732596</x:v>
      </x:c>
      <x:c r="F110" s="49" t="n">
        <x:v>645</x:v>
      </x:c>
      <x:c r="G110" s="49" t="n">
        <x:v>0</x:v>
      </x:c>
      <x:c r="H110" s="21" t="str">
        <x:v>Exact</x:v>
      </x:c>
    </x:row>
    <x:row r="111">
      <x:c r="A111" s="21" t="str">
        <x:v>NYC-V1-R03</x:v>
      </x:c>
      <x:c r="B111" s="21" t="str">
        <x:v>V1</x:v>
      </x:c>
      <x:c r="C111" s="21" t="str">
        <x:v>housing_units</x:v>
      </x:c>
      <x:c r="D111" s="24" t="n">
        <x:v>19433</x:v>
      </x:c>
      <x:c r="E111" s="43" t="n">
        <x:v>530.0162733350742</x:v>
      </x:c>
      <x:c r="F111" s="49" t="n">
        <x:v>19433</x:v>
      </x:c>
      <x:c r="G111" s="49" t="n">
        <x:v>0</x:v>
      </x:c>
      <x:c r="H111" s="21" t="str">
        <x:v>Exact</x:v>
      </x:c>
    </x:row>
    <x:row r="112">
      <x:c r="A112" s="21" t="str">
        <x:v>NYC-V1-R03</x:v>
      </x:c>
      <x:c r="B112" s="21" t="str">
        <x:v>V1</x:v>
      </x:c>
      <x:c r="C112" s="21" t="str">
        <x:v>occupied_housing_units</x:v>
      </x:c>
      <x:c r="D112" s="24" t="n">
        <x:v>15988</x:v>
      </x:c>
      <x:c r="E112" s="43" t="n">
        <x:v>623.0899614020435</x:v>
      </x:c>
      <x:c r="F112" s="49" t="n">
        <x:v>15988</x:v>
      </x:c>
      <x:c r="G112" s="49" t="n">
        <x:v>0</x:v>
      </x:c>
      <x:c r="H112" s="21" t="str">
        <x:v>Exact</x:v>
      </x:c>
    </x:row>
    <x:row r="113">
      <x:c r="A113" s="21" t="str">
        <x:v>NYC-V1-R03</x:v>
      </x:c>
      <x:c r="B113" s="21" t="str">
        <x:v>V1</x:v>
      </x:c>
      <x:c r="C113" s="21" t="str">
        <x:v>vacant_housing_units</x:v>
      </x:c>
      <x:c r="D113" s="24" t="n">
        <x:v>3445</x:v>
      </x:c>
      <x:c r="E113" s="43" t="n">
        <x:v>386.74545892615214</x:v>
      </x:c>
      <x:c r="F113" s="49" t="n">
        <x:v>3445</x:v>
      </x:c>
      <x:c r="G113" s="49" t="n">
        <x:v>0</x:v>
      </x:c>
      <x:c r="H113" s="21" t="str">
        <x:v>Exact</x:v>
      </x:c>
    </x:row>
    <x:row r="114">
      <x:c r="A114" s="21" t="str">
        <x:v>NYC-V1-R03</x:v>
      </x:c>
      <x:c r="B114" s="21" t="str">
        <x:v>V1</x:v>
      </x:c>
      <x:c r="C114" s="21" t="str">
        <x:v>owner_occupied_units</x:v>
      </x:c>
      <x:c r="D114" s="24" t="n">
        <x:v>4099</x:v>
      </x:c>
      <x:c r="E114" s="43" t="n">
        <x:v>395.09843162072275</x:v>
      </x:c>
      <x:c r="F114" s="49" t="n">
        <x:v>4099</x:v>
      </x:c>
      <x:c r="G114" s="49" t="n">
        <x:v>0</x:v>
      </x:c>
      <x:c r="H114" s="21" t="str">
        <x:v>Exact</x:v>
      </x:c>
    </x:row>
    <x:row r="115">
      <x:c r="A115" s="21" t="str">
        <x:v>NYC-V1-R03</x:v>
      </x:c>
      <x:c r="B115" s="21" t="str">
        <x:v>V1</x:v>
      </x:c>
      <x:c r="C115" s="21" t="str">
        <x:v>renter_occupied_units</x:v>
      </x:c>
      <x:c r="D115" s="24" t="n">
        <x:v>11889</x:v>
      </x:c>
      <x:c r="E115" s="43" t="n">
        <x:v>570.3235775439423</x:v>
      </x:c>
      <x:c r="F115" s="49" t="n">
        <x:v>11889</x:v>
      </x:c>
      <x:c r="G115" s="49" t="n">
        <x:v>0</x:v>
      </x:c>
      <x:c r="H115" s="21" t="str">
        <x:v>Exact</x:v>
      </x:c>
    </x:row>
    <x:row r="116">
      <x:c r="A116" s="21" t="str">
        <x:v>NYC-V1-R03</x:v>
      </x:c>
      <x:c r="B116" s="21" t="str">
        <x:v>V1</x:v>
      </x:c>
      <x:c r="C116" s="21" t="str">
        <x:v>one_unit_structures</x:v>
      </x:c>
      <x:c r="D116" s="24" t="n">
        <x:v>275</x:v>
      </x:c>
      <x:c r="E116" s="43" t="n">
        <x:v>123.75860604532915</x:v>
      </x:c>
      <x:c r="F116" s="49" t="n">
        <x:v>275</x:v>
      </x:c>
      <x:c r="G116" s="49" t="n">
        <x:v>0</x:v>
      </x:c>
      <x:c r="H116" s="21" t="str">
        <x:v>Exact</x:v>
      </x:c>
    </x:row>
    <x:row r="117">
      <x:c r="A117" s="21" t="str">
        <x:v>NYC-V1-R03</x:v>
      </x:c>
      <x:c r="B117" s="21" t="str">
        <x:v>V1</x:v>
      </x:c>
      <x:c r="C117" s="21" t="str">
        <x:v>two_to_four_unit_structures</x:v>
      </x:c>
      <x:c r="D117" s="24" t="n">
        <x:v>374</x:v>
      </x:c>
      <x:c r="E117" s="43" t="n">
        <x:v>129.11029802135823</x:v>
      </x:c>
      <x:c r="F117" s="49" t="n">
        <x:v>374</x:v>
      </x:c>
      <x:c r="G117" s="49" t="n">
        <x:v>0</x:v>
      </x:c>
      <x:c r="H117" s="21" t="str">
        <x:v>Exact</x:v>
      </x:c>
    </x:row>
    <x:row r="118">
      <x:c r="A118" s="21" t="str">
        <x:v>NYC-V1-R03</x:v>
      </x:c>
      <x:c r="B118" s="21" t="str">
        <x:v>V1</x:v>
      </x:c>
      <x:c r="C118" s="21" t="str">
        <x:v>five_to_nineteen_unit_structures</x:v>
      </x:c>
      <x:c r="D118" s="24" t="n">
        <x:v>1745</x:v>
      </x:c>
      <x:c r="E118" s="43" t="n">
        <x:v>252.14996484400996</x:v>
      </x:c>
      <x:c r="F118" s="49" t="n">
        <x:v>1745</x:v>
      </x:c>
      <x:c r="G118" s="49" t="n">
        <x:v>0</x:v>
      </x:c>
      <x:c r="H118" s="21" t="str">
        <x:v>Exact</x:v>
      </x:c>
    </x:row>
    <x:row r="119">
      <x:c r="A119" s="21" t="str">
        <x:v>NYC-V1-R03</x:v>
      </x:c>
      <x:c r="B119" s="21" t="str">
        <x:v>V1</x:v>
      </x:c>
      <x:c r="C119" s="21" t="str">
        <x:v>twenty_to_forty_nine_unit_structures</x:v>
      </x:c>
      <x:c r="D119" s="24" t="n">
        <x:v>2909</x:v>
      </x:c>
      <x:c r="E119" s="43" t="n">
        <x:v>338.54070050158253</x:v>
      </x:c>
      <x:c r="F119" s="49" t="n">
        <x:v>2909</x:v>
      </x:c>
      <x:c r="G119" s="49" t="n">
        <x:v>0</x:v>
      </x:c>
      <x:c r="H119" s="21" t="str">
        <x:v>Exact</x:v>
      </x:c>
    </x:row>
    <x:row r="120">
      <x:c r="A120" s="21" t="str">
        <x:v>NYC-V1-R03</x:v>
      </x:c>
      <x:c r="B120" s="21" t="str">
        <x:v>V1</x:v>
      </x:c>
      <x:c r="C120" s="21" t="str">
        <x:v>fifty_plus_unit_structures</x:v>
      </x:c>
      <x:c r="D120" s="24" t="n">
        <x:v>10685</x:v>
      </x:c>
      <x:c r="E120" s="43" t="n">
        <x:v>629.7957422762645</x:v>
      </x:c>
      <x:c r="F120" s="49" t="n">
        <x:v>10685</x:v>
      </x:c>
      <x:c r="G120" s="49" t="n">
        <x:v>0</x:v>
      </x:c>
      <x:c r="H120" s="21" t="str">
        <x:v>Exact</x:v>
      </x:c>
    </x:row>
    <x:row r="121">
      <x:c r="A121" s="21" t="str">
        <x:v>NYC-V1-R03</x:v>
      </x:c>
      <x:c r="B121" s="21" t="str">
        <x:v>V1</x:v>
      </x:c>
      <x:c r="C121" s="21" t="str">
        <x:v>mobile_or_other_units</x:v>
      </x:c>
      <x:c r="D121" s="24" t="n">
        <x:v>0</x:v>
      </x:c>
      <x:c r="E121" s="43" t="n">
        <x:v>46.69389512382133</x:v>
      </x:c>
      <x:c r="F121" s="49" t="n">
        <x:v>0</x:v>
      </x:c>
      <x:c r="G121" s="49" t="n">
        <x:v>0</x:v>
      </x:c>
      <x:c r="H121" s="21" t="str">
        <x:v>Exact</x:v>
      </x:c>
    </x:row>
    <x:row r="122">
      <x:c r="A122" s="21" t="str">
        <x:v>NYC-V1-R03</x:v>
      </x:c>
      <x:c r="B122" s="21" t="str">
        <x:v>V1</x:v>
      </x:c>
      <x:c r="C122" s="21" t="str">
        <x:v>electric_heat_households</x:v>
      </x:c>
      <x:c r="D122" s="24" t="n">
        <x:v>5818</x:v>
      </x:c>
      <x:c r="E122" s="43" t="n">
        <x:v>537.7573802375938</x:v>
      </x:c>
      <x:c r="F122" s="49" t="n">
        <x:v>5818</x:v>
      </x:c>
      <x:c r="G122" s="49" t="n">
        <x:v>0</x:v>
      </x:c>
      <x:c r="H122" s="21" t="str">
        <x:v>Exact</x:v>
      </x:c>
    </x:row>
    <x:row r="123">
      <x:c r="A123" s="21" t="str">
        <x:v>NYC-V1-R03</x:v>
      </x:c>
      <x:c r="B123" s="21" t="str">
        <x:v>V1</x:v>
      </x:c>
      <x:c r="C123" s="21" t="str">
        <x:v>group_quarters_population</x:v>
      </x:c>
      <x:c r="D123" s="24" t="n">
        <x:v>837</x:v>
      </x:c>
      <x:c r="E123" s="43" t="n">
        <x:v>13.796738745080301</x:v>
      </x:c>
      <x:c r="F123" s="49" t="n">
        <x:v>837</x:v>
      </x:c>
      <x:c r="G123" s="49" t="n">
        <x:v>0</x:v>
      </x:c>
      <x:c r="H123" s="21" t="str">
        <x:v>Exact</x:v>
      </x:c>
    </x:row>
    <x:row r="124">
      <x:c r="A124" s="21" t="str">
        <x:v>NYC-V1-R04</x:v>
      </x:c>
      <x:c r="B124" s="21" t="str">
        <x:v>V1</x:v>
      </x:c>
      <x:c r="C124" s="21" t="str">
        <x:v>acs_population</x:v>
      </x:c>
      <x:c r="D124" s="24" t="n">
        <x:v>35433</x:v>
      </x:c>
      <x:c r="E124" s="43" t="n">
        <x:v>1407.7052248251407</x:v>
      </x:c>
      <x:c r="F124" s="49" t="n">
        <x:v>35433</x:v>
      </x:c>
      <x:c r="G124" s="49" t="n">
        <x:v>0</x:v>
      </x:c>
      <x:c r="H124" s="21" t="str">
        <x:v>Exact</x:v>
      </x:c>
    </x:row>
    <x:row r="125">
      <x:c r="A125" s="21" t="str">
        <x:v>NYC-V1-R04</x:v>
      </x:c>
      <x:c r="B125" s="21" t="str">
        <x:v>V1</x:v>
      </x:c>
      <x:c r="C125" s="21" t="str">
        <x:v>age_under_18</x:v>
      </x:c>
      <x:c r="D125" s="24" t="n">
        <x:v>8026</x:v>
      </x:c>
      <x:c r="E125" s="43" t="n">
        <x:v>803.9552537299573</x:v>
      </x:c>
      <x:c r="F125" s="49" t="n">
        <x:v>8026</x:v>
      </x:c>
      <x:c r="G125" s="49" t="n">
        <x:v>0</x:v>
      </x:c>
      <x:c r="H125" s="21" t="str">
        <x:v>Exact</x:v>
      </x:c>
    </x:row>
    <x:row r="126">
      <x:c r="A126" s="21" t="str">
        <x:v>NYC-V1-R04</x:v>
      </x:c>
      <x:c r="B126" s="21" t="str">
        <x:v>V1</x:v>
      </x:c>
      <x:c r="C126" s="21" t="str">
        <x:v>age_under_5</x:v>
      </x:c>
      <x:c r="D126" s="24" t="n">
        <x:v>2355</x:v>
      </x:c>
      <x:c r="E126" s="43" t="n">
        <x:v>349.6462498011383</x:v>
      </x:c>
      <x:c r="F126" s="49" t="n">
        <x:v>2355</x:v>
      </x:c>
      <x:c r="G126" s="49" t="n">
        <x:v>0</x:v>
      </x:c>
      <x:c r="H126" s="21" t="str">
        <x:v>Exact</x:v>
      </x:c>
    </x:row>
    <x:row r="127">
      <x:c r="A127" s="21" t="str">
        <x:v>NYC-V1-R04</x:v>
      </x:c>
      <x:c r="B127" s="21" t="str">
        <x:v>V1</x:v>
      </x:c>
      <x:c r="C127" s="21" t="str">
        <x:v>age_65_plus</x:v>
      </x:c>
      <x:c r="D127" s="24" t="n">
        <x:v>4213</x:v>
      </x:c>
      <x:c r="E127" s="43" t="n">
        <x:v>293.967004951236</x:v>
      </x:c>
      <x:c r="F127" s="49" t="n">
        <x:v>4213</x:v>
      </x:c>
      <x:c r="G127" s="49" t="n">
        <x:v>0</x:v>
      </x:c>
      <x:c r="H127" s="21" t="str">
        <x:v>Exact</x:v>
      </x:c>
    </x:row>
    <x:row r="128">
      <x:c r="A128" s="21" t="str">
        <x:v>NYC-V1-R04</x:v>
      </x:c>
      <x:c r="B128" s="21" t="str">
        <x:v>V1</x:v>
      </x:c>
      <x:c r="C128" s="21" t="str">
        <x:v>age_75_plus</x:v>
      </x:c>
      <x:c r="D128" s="24" t="n">
        <x:v>1891</x:v>
      </x:c>
      <x:c r="E128" s="43" t="n">
        <x:v>275.36793567879323</x:v>
      </x:c>
      <x:c r="F128" s="49" t="n">
        <x:v>1891</x:v>
      </x:c>
      <x:c r="G128" s="49" t="n">
        <x:v>0</x:v>
      </x:c>
      <x:c r="H128" s="21" t="str">
        <x:v>Exact</x:v>
      </x:c>
    </x:row>
    <x:row r="129">
      <x:c r="A129" s="21" t="str">
        <x:v>NYC-V1-R04</x:v>
      </x:c>
      <x:c r="B129" s="21" t="str">
        <x:v>V1</x:v>
      </x:c>
      <x:c r="C129" s="21" t="str">
        <x:v>age_85_plus</x:v>
      </x:c>
      <x:c r="D129" s="24" t="n">
        <x:v>629</x:v>
      </x:c>
      <x:c r="E129" s="43" t="n">
        <x:v>141.50371019870823</x:v>
      </x:c>
      <x:c r="F129" s="49" t="n">
        <x:v>629</x:v>
      </x:c>
      <x:c r="G129" s="49" t="n">
        <x:v>0</x:v>
      </x:c>
      <x:c r="H129" s="21" t="str">
        <x:v>Exact</x:v>
      </x:c>
    </x:row>
    <x:row r="130">
      <x:c r="A130" s="21" t="str">
        <x:v>NYC-V1-R04</x:v>
      </x:c>
      <x:c r="B130" s="21" t="str">
        <x:v>V1</x:v>
      </x:c>
      <x:c r="C130" s="21" t="str">
        <x:v>civilian_noninstitutionalized</x:v>
      </x:c>
      <x:c r="D130" s="24" t="n">
        <x:v>35387</x:v>
      </x:c>
      <x:c r="E130" s="43" t="n">
        <x:v>1408.0104403022017</x:v>
      </x:c>
      <x:c r="F130" s="49" t="n">
        <x:v>35387</x:v>
      </x:c>
      <x:c r="G130" s="49" t="n">
        <x:v>0</x:v>
      </x:c>
      <x:c r="H130" s="21" t="str">
        <x:v>Exact</x:v>
      </x:c>
    </x:row>
    <x:row r="131">
      <x:c r="A131" s="21" t="str">
        <x:v>NYC-V1-R04</x:v>
      </x:c>
      <x:c r="B131" s="21" t="str">
        <x:v>V1</x:v>
      </x:c>
      <x:c r="C131" s="21" t="str">
        <x:v>any_disability</x:v>
      </x:c>
      <x:c r="D131" s="24" t="n">
        <x:v>6981</x:v>
      </x:c>
      <x:c r="E131" s="43" t="n">
        <x:v>442.7134513429652</x:v>
      </x:c>
      <x:c r="F131" s="49" t="n">
        <x:v>6981</x:v>
      </x:c>
      <x:c r="G131" s="49" t="n">
        <x:v>0</x:v>
      </x:c>
      <x:c r="H131" s="21" t="str">
        <x:v>Exact</x:v>
      </x:c>
    </x:row>
    <x:row r="132">
      <x:c r="A132" s="21" t="str">
        <x:v>NYC-V1-R04</x:v>
      </x:c>
      <x:c r="B132" s="21" t="str">
        <x:v>V1</x:v>
      </x:c>
      <x:c r="C132" s="21" t="str">
        <x:v>disability_under_18</x:v>
      </x:c>
      <x:c r="D132" s="24" t="n">
        <x:v>946</x:v>
      </x:c>
      <x:c r="E132" s="43" t="n">
        <x:v>210.22000380553703</x:v>
      </x:c>
      <x:c r="F132" s="49" t="n">
        <x:v>946</x:v>
      </x:c>
      <x:c r="G132" s="49" t="n">
        <x:v>0</x:v>
      </x:c>
      <x:c r="H132" s="21" t="str">
        <x:v>Exact</x:v>
      </x:c>
    </x:row>
    <x:row r="133">
      <x:c r="A133" s="21" t="str">
        <x:v>NYC-V1-R04</x:v>
      </x:c>
      <x:c r="B133" s="21" t="str">
        <x:v>V1</x:v>
      </x:c>
      <x:c r="C133" s="21" t="str">
        <x:v>disability_18_64</x:v>
      </x:c>
      <x:c r="D133" s="24" t="n">
        <x:v>3675</x:v>
      </x:c>
      <x:c r="E133" s="43" t="n">
        <x:v>309.68524343274737</x:v>
      </x:c>
      <x:c r="F133" s="49" t="n">
        <x:v>3675</x:v>
      </x:c>
      <x:c r="G133" s="49" t="n">
        <x:v>0</x:v>
      </x:c>
      <x:c r="H133" s="21" t="str">
        <x:v>Exact</x:v>
      </x:c>
    </x:row>
    <x:row r="134">
      <x:c r="A134" s="21" t="str">
        <x:v>NYC-V1-R04</x:v>
      </x:c>
      <x:c r="B134" s="21" t="str">
        <x:v>V1</x:v>
      </x:c>
      <x:c r="C134" s="21" t="str">
        <x:v>disability_65_plus</x:v>
      </x:c>
      <x:c r="D134" s="24" t="n">
        <x:v>2360</x:v>
      </x:c>
      <x:c r="E134" s="43" t="n">
        <x:v>248.4854120466632</x:v>
      </x:c>
      <x:c r="F134" s="49" t="n">
        <x:v>2360</x:v>
      </x:c>
      <x:c r="G134" s="49" t="n">
        <x:v>0</x:v>
      </x:c>
      <x:c r="H134" s="21" t="str">
        <x:v>Exact</x:v>
      </x:c>
    </x:row>
    <x:row r="135">
      <x:c r="A135" s="21" t="str">
        <x:v>NYC-V1-R04</x:v>
      </x:c>
      <x:c r="B135" s="21" t="str">
        <x:v>V1</x:v>
      </x:c>
      <x:c r="C135" s="21" t="str">
        <x:v>hearing_difficulty</x:v>
      </x:c>
      <x:c r="D135" s="24" t="n">
        <x:v>738</x:v>
      </x:c>
      <x:c r="E135" s="43" t="n">
        <x:v>202.9175324754149</x:v>
      </x:c>
      <x:c r="F135" s="49" t="n">
        <x:v>738</x:v>
      </x:c>
      <x:c r="G135" s="49" t="n">
        <x:v>0</x:v>
      </x:c>
      <x:c r="H135" s="21" t="str">
        <x:v>Exact</x:v>
      </x:c>
    </x:row>
    <x:row r="136">
      <x:c r="A136" s="21" t="str">
        <x:v>NYC-V1-R04</x:v>
      </x:c>
      <x:c r="B136" s="21" t="str">
        <x:v>V1</x:v>
      </x:c>
      <x:c r="C136" s="21" t="str">
        <x:v>vision_difficulty</x:v>
      </x:c>
      <x:c r="D136" s="24" t="n">
        <x:v>1336</x:v>
      </x:c>
      <x:c r="E136" s="43" t="n">
        <x:v>226.7917197790649</x:v>
      </x:c>
      <x:c r="F136" s="49" t="n">
        <x:v>1336</x:v>
      </x:c>
      <x:c r="G136" s="49" t="n">
        <x:v>0</x:v>
      </x:c>
      <x:c r="H136" s="21" t="str">
        <x:v>Exact</x:v>
      </x:c>
    </x:row>
    <x:row r="137">
      <x:c r="A137" s="21" t="str">
        <x:v>NYC-V1-R04</x:v>
      </x:c>
      <x:c r="B137" s="21" t="str">
        <x:v>V1</x:v>
      </x:c>
      <x:c r="C137" s="21" t="str">
        <x:v>cognitive_difficulty</x:v>
      </x:c>
      <x:c r="D137" s="24" t="n">
        <x:v>3322</x:v>
      </x:c>
      <x:c r="E137" s="43" t="n">
        <x:v>378.91655683297336</x:v>
      </x:c>
      <x:c r="F137" s="49" t="n">
        <x:v>3322</x:v>
      </x:c>
      <x:c r="G137" s="49" t="n">
        <x:v>0</x:v>
      </x:c>
      <x:c r="H137" s="21" t="str">
        <x:v>Exact</x:v>
      </x:c>
    </x:row>
    <x:row r="138">
      <x:c r="A138" s="21" t="str">
        <x:v>NYC-V1-R04</x:v>
      </x:c>
      <x:c r="B138" s="21" t="str">
        <x:v>V1</x:v>
      </x:c>
      <x:c r="C138" s="21" t="str">
        <x:v>ambulatory_difficulty</x:v>
      </x:c>
      <x:c r="D138" s="24" t="n">
        <x:v>4250</x:v>
      </x:c>
      <x:c r="E138" s="43" t="n">
        <x:v>417.4229547066256</x:v>
      </x:c>
      <x:c r="F138" s="49" t="n">
        <x:v>4250</x:v>
      </x:c>
      <x:c r="G138" s="49" t="n">
        <x:v>0</x:v>
      </x:c>
      <x:c r="H138" s="21" t="str">
        <x:v>Exact</x:v>
      </x:c>
    </x:row>
    <x:row r="139">
      <x:c r="A139" s="21" t="str">
        <x:v>NYC-V1-R04</x:v>
      </x:c>
      <x:c r="B139" s="21" t="str">
        <x:v>V1</x:v>
      </x:c>
      <x:c r="C139" s="21" t="str">
        <x:v>self_care_difficulty</x:v>
      </x:c>
      <x:c r="D139" s="24" t="n">
        <x:v>1897</x:v>
      </x:c>
      <x:c r="E139" s="43" t="n">
        <x:v>294.5362466572979</x:v>
      </x:c>
      <x:c r="F139" s="49" t="n">
        <x:v>1897</x:v>
      </x:c>
      <x:c r="G139" s="49" t="n">
        <x:v>0</x:v>
      </x:c>
      <x:c r="H139" s="21" t="str">
        <x:v>Exact</x:v>
      </x:c>
    </x:row>
    <x:row r="140">
      <x:c r="A140" s="21" t="str">
        <x:v>NYC-V1-R04</x:v>
      </x:c>
      <x:c r="B140" s="21" t="str">
        <x:v>V1</x:v>
      </x:c>
      <x:c r="C140" s="21" t="str">
        <x:v>independent_living_difficulty</x:v>
      </x:c>
      <x:c r="D140" s="24" t="n">
        <x:v>2693</x:v>
      </x:c>
      <x:c r="E140" s="43" t="n">
        <x:v>337.84847409557983</x:v>
      </x:c>
      <x:c r="F140" s="49" t="n">
        <x:v>2693</x:v>
      </x:c>
      <x:c r="G140" s="49" t="n">
        <x:v>0</x:v>
      </x:c>
      <x:c r="H140" s="21" t="str">
        <x:v>Exact</x:v>
      </x:c>
    </x:row>
    <x:row r="141">
      <x:c r="A141" s="21" t="str">
        <x:v>NYC-V1-R04</x:v>
      </x:c>
      <x:c r="B141" s="21" t="str">
        <x:v>V1</x:v>
      </x:c>
      <x:c r="C141" s="21" t="str">
        <x:v>households</x:v>
      </x:c>
      <x:c r="D141" s="24" t="n">
        <x:v>14422</x:v>
      </x:c>
      <x:c r="E141" s="43" t="n">
        <x:v>406.926344686603</x:v>
      </x:c>
      <x:c r="F141" s="49" t="n">
        <x:v>14422</x:v>
      </x:c>
      <x:c r="G141" s="49" t="n">
        <x:v>0</x:v>
      </x:c>
      <x:c r="H141" s="21" t="str">
        <x:v>Exact</x:v>
      </x:c>
    </x:row>
    <x:row r="142">
      <x:c r="A142" s="21" t="str">
        <x:v>NYC-V1-R04</x:v>
      </x:c>
      <x:c r="B142" s="21" t="str">
        <x:v>V1</x:v>
      </x:c>
      <x:c r="C142" s="21" t="str">
        <x:v>family_households</x:v>
      </x:c>
      <x:c r="D142" s="24" t="n">
        <x:v>7709</x:v>
      </x:c>
      <x:c r="E142" s="43" t="n">
        <x:v>401.6298669172899</x:v>
      </x:c>
      <x:c r="F142" s="49" t="n">
        <x:v>7709</x:v>
      </x:c>
      <x:c r="G142" s="49" t="n">
        <x:v>0</x:v>
      </x:c>
      <x:c r="H142" s="21" t="str">
        <x:v>Exact</x:v>
      </x:c>
    </x:row>
    <x:row r="143">
      <x:c r="A143" s="21" t="str">
        <x:v>NYC-V1-R04</x:v>
      </x:c>
      <x:c r="B143" s="21" t="str">
        <x:v>V1</x:v>
      </x:c>
      <x:c r="C143" s="21" t="str">
        <x:v>nonfamily_households</x:v>
      </x:c>
      <x:c r="D143" s="24" t="n">
        <x:v>6713</x:v>
      </x:c>
      <x:c r="E143" s="43" t="n">
        <x:v>377.83792821790666</x:v>
      </x:c>
      <x:c r="F143" s="49" t="n">
        <x:v>6713</x:v>
      </x:c>
      <x:c r="G143" s="49" t="n">
        <x:v>0</x:v>
      </x:c>
      <x:c r="H143" s="21" t="str">
        <x:v>Exact</x:v>
      </x:c>
    </x:row>
    <x:row r="144">
      <x:c r="A144" s="21" t="str">
        <x:v>NYC-V1-R04</x:v>
      </x:c>
      <x:c r="B144" s="21" t="str">
        <x:v>V1</x:v>
      </x:c>
      <x:c r="C144" s="21" t="str">
        <x:v>living_alone_households</x:v>
      </x:c>
      <x:c r="D144" s="24" t="n">
        <x:v>5992</x:v>
      </x:c>
      <x:c r="E144" s="43" t="n">
        <x:v>351.0147432801078</x:v>
      </x:c>
      <x:c r="F144" s="49" t="n">
        <x:v>5992</x:v>
      </x:c>
      <x:c r="G144" s="49" t="n">
        <x:v>0</x:v>
      </x:c>
      <x:c r="H144" s="21" t="str">
        <x:v>Exact</x:v>
      </x:c>
    </x:row>
    <x:row r="145">
      <x:c r="A145" s="21" t="str">
        <x:v>NYC-V1-R04</x:v>
      </x:c>
      <x:c r="B145" s="21" t="str">
        <x:v>V1</x:v>
      </x:c>
      <x:c r="C145" s="21" t="str">
        <x:v>households_with_children</x:v>
      </x:c>
      <x:c r="D145" s="24" t="n">
        <x:v>4521</x:v>
      </x:c>
      <x:c r="E145" s="43" t="n">
        <x:v>457.9813314972566</x:v>
      </x:c>
      <x:c r="F145" s="49" t="n">
        <x:v>4521</x:v>
      </x:c>
      <x:c r="G145" s="49" t="n">
        <x:v>0</x:v>
      </x:c>
      <x:c r="H145" s="21" t="str">
        <x:v>Exact</x:v>
      </x:c>
    </x:row>
    <x:row r="146">
      <x:c r="A146" s="21" t="str">
        <x:v>NYC-V1-R04</x:v>
      </x:c>
      <x:c r="B146" s="21" t="str">
        <x:v>V1</x:v>
      </x:c>
      <x:c r="C146" s="21" t="str">
        <x:v>households_with_age65</x:v>
      </x:c>
      <x:c r="D146" s="24" t="n">
        <x:v>3740</x:v>
      </x:c>
      <x:c r="E146" s="43" t="n">
        <x:v>266.7009561287698</x:v>
      </x:c>
      <x:c r="F146" s="49" t="n">
        <x:v>3740</x:v>
      </x:c>
      <x:c r="G146" s="49" t="n">
        <x:v>0</x:v>
      </x:c>
      <x:c r="H146" s="21" t="str">
        <x:v>Exact</x:v>
      </x:c>
    </x:row>
    <x:row r="147">
      <x:c r="A147" s="21" t="str">
        <x:v>NYC-V1-R04</x:v>
      </x:c>
      <x:c r="B147" s="21" t="str">
        <x:v>V1</x:v>
      </x:c>
      <x:c r="C147" s="21" t="str">
        <x:v>age65_one_person_households</x:v>
      </x:c>
      <x:c r="D147" s="24" t="n">
        <x:v>2144</x:v>
      </x:c>
      <x:c r="E147" s="43" t="n">
        <x:v>246.10323037294737</x:v>
      </x:c>
      <x:c r="F147" s="49" t="n">
        <x:v>2144</x:v>
      </x:c>
      <x:c r="G147" s="49" t="n">
        <x:v>0</x:v>
      </x:c>
      <x:c r="H147" s="21" t="str">
        <x:v>Exact</x:v>
      </x:c>
    </x:row>
    <x:row r="148">
      <x:c r="A148" s="21" t="str">
        <x:v>NYC-V1-R04</x:v>
      </x:c>
      <x:c r="B148" s="21" t="str">
        <x:v>V1</x:v>
      </x:c>
      <x:c r="C148" s="21" t="str">
        <x:v>no_vehicle_households</x:v>
      </x:c>
      <x:c r="D148" s="24" t="n">
        <x:v>11951</x:v>
      </x:c>
      <x:c r="E148" s="43" t="n">
        <x:v>449.7506671942774</x:v>
      </x:c>
      <x:c r="F148" s="49" t="n">
        <x:v>11951</x:v>
      </x:c>
      <x:c r="G148" s="49" t="n">
        <x:v>0</x:v>
      </x:c>
      <x:c r="H148" s="21" t="str">
        <x:v>Exact</x:v>
      </x:c>
    </x:row>
    <x:row r="149">
      <x:c r="A149" s="21" t="str">
        <x:v>NYC-V1-R04</x:v>
      </x:c>
      <x:c r="B149" s="21" t="str">
        <x:v>V1</x:v>
      </x:c>
      <x:c r="C149" s="21" t="str">
        <x:v>limited_english_households</x:v>
      </x:c>
      <x:c r="D149" s="24" t="n">
        <x:v>1754</x:v>
      </x:c>
      <x:c r="E149" s="43" t="n">
        <x:v>262.8263803913474</x:v>
      </x:c>
      <x:c r="F149" s="49" t="n">
        <x:v>1754</x:v>
      </x:c>
      <x:c r="G149" s="49" t="n">
        <x:v>0</x:v>
      </x:c>
      <x:c r="H149" s="21" t="str">
        <x:v>Exact</x:v>
      </x:c>
    </x:row>
    <x:row r="150">
      <x:c r="A150" s="21" t="str">
        <x:v>NYC-V1-R04</x:v>
      </x:c>
      <x:c r="B150" s="21" t="str">
        <x:v>V1</x:v>
      </x:c>
      <x:c r="C150" s="21" t="str">
        <x:v>housing_units</x:v>
      </x:c>
      <x:c r="D150" s="24" t="n">
        <x:v>15534</x:v>
      </x:c>
      <x:c r="E150" s="43" t="n">
        <x:v>395.74170869394095</x:v>
      </x:c>
      <x:c r="F150" s="49" t="n">
        <x:v>15534</x:v>
      </x:c>
      <x:c r="G150" s="49" t="n">
        <x:v>0</x:v>
      </x:c>
      <x:c r="H150" s="21" t="str">
        <x:v>Exact</x:v>
      </x:c>
    </x:row>
    <x:row r="151">
      <x:c r="A151" s="21" t="str">
        <x:v>NYC-V1-R04</x:v>
      </x:c>
      <x:c r="B151" s="21" t="str">
        <x:v>V1</x:v>
      </x:c>
      <x:c r="C151" s="21" t="str">
        <x:v>occupied_housing_units</x:v>
      </x:c>
      <x:c r="D151" s="24" t="n">
        <x:v>14422</x:v>
      </x:c>
      <x:c r="E151" s="43" t="n">
        <x:v>406.926344686603</x:v>
      </x:c>
      <x:c r="F151" s="49" t="n">
        <x:v>14422</x:v>
      </x:c>
      <x:c r="G151" s="49" t="n">
        <x:v>0</x:v>
      </x:c>
      <x:c r="H151" s="21" t="str">
        <x:v>Exact</x:v>
      </x:c>
    </x:row>
    <x:row r="152">
      <x:c r="A152" s="21" t="str">
        <x:v>NYC-V1-R04</x:v>
      </x:c>
      <x:c r="B152" s="21" t="str">
        <x:v>V1</x:v>
      </x:c>
      <x:c r="C152" s="21" t="str">
        <x:v>vacant_housing_units</x:v>
      </x:c>
      <x:c r="D152" s="24" t="n">
        <x:v>1112</x:v>
      </x:c>
      <x:c r="E152" s="43" t="n">
        <x:v>204.29892314938914</x:v>
      </x:c>
      <x:c r="F152" s="49" t="n">
        <x:v>1112</x:v>
      </x:c>
      <x:c r="G152" s="49" t="n">
        <x:v>0</x:v>
      </x:c>
      <x:c r="H152" s="21" t="str">
        <x:v>Exact</x:v>
      </x:c>
    </x:row>
    <x:row r="153">
      <x:c r="A153" s="21" t="str">
        <x:v>NYC-V1-R04</x:v>
      </x:c>
      <x:c r="B153" s="21" t="str">
        <x:v>V1</x:v>
      </x:c>
      <x:c r="C153" s="21" t="str">
        <x:v>owner_occupied_units</x:v>
      </x:c>
      <x:c r="D153" s="24" t="n">
        <x:v>1357</x:v>
      </x:c>
      <x:c r="E153" s="43" t="n">
        <x:v>195.72296883493016</x:v>
      </x:c>
      <x:c r="F153" s="49" t="n">
        <x:v>1357</x:v>
      </x:c>
      <x:c r="G153" s="49" t="n">
        <x:v>0</x:v>
      </x:c>
      <x:c r="H153" s="21" t="str">
        <x:v>Exact</x:v>
      </x:c>
    </x:row>
    <x:row r="154">
      <x:c r="A154" s="21" t="str">
        <x:v>NYC-V1-R04</x:v>
      </x:c>
      <x:c r="B154" s="21" t="str">
        <x:v>V1</x:v>
      </x:c>
      <x:c r="C154" s="21" t="str">
        <x:v>renter_occupied_units</x:v>
      </x:c>
      <x:c r="D154" s="24" t="n">
        <x:v>13065</x:v>
      </x:c>
      <x:c r="E154" s="43" t="n">
        <x:v>417.4154295644799</x:v>
      </x:c>
      <x:c r="F154" s="49" t="n">
        <x:v>13065</x:v>
      </x:c>
      <x:c r="G154" s="49" t="n">
        <x:v>0</x:v>
      </x:c>
      <x:c r="H154" s="21" t="str">
        <x:v>Exact</x:v>
      </x:c>
    </x:row>
    <x:row r="155">
      <x:c r="A155" s="21" t="str">
        <x:v>NYC-V1-R04</x:v>
      </x:c>
      <x:c r="B155" s="21" t="str">
        <x:v>V1</x:v>
      </x:c>
      <x:c r="C155" s="21" t="str">
        <x:v>one_unit_structures</x:v>
      </x:c>
      <x:c r="D155" s="24" t="n">
        <x:v>123</x:v>
      </x:c>
      <x:c r="E155" s="43" t="n">
        <x:v>90.86671765451966</x:v>
      </x:c>
      <x:c r="F155" s="49" t="n">
        <x:v>123</x:v>
      </x:c>
      <x:c r="G155" s="49" t="n">
        <x:v>0</x:v>
      </x:c>
      <x:c r="H155" s="21" t="str">
        <x:v>Exact</x:v>
      </x:c>
    </x:row>
    <x:row r="156">
      <x:c r="A156" s="21" t="str">
        <x:v>NYC-V1-R04</x:v>
      </x:c>
      <x:c r="B156" s="21" t="str">
        <x:v>V1</x:v>
      </x:c>
      <x:c r="C156" s="21" t="str">
        <x:v>two_to_four_unit_structures</x:v>
      </x:c>
      <x:c r="D156" s="24" t="n">
        <x:v>521</x:v>
      </x:c>
      <x:c r="E156" s="43" t="n">
        <x:v>158.51697656256852</x:v>
      </x:c>
      <x:c r="F156" s="49" t="n">
        <x:v>521</x:v>
      </x:c>
      <x:c r="G156" s="49" t="n">
        <x:v>0</x:v>
      </x:c>
      <x:c r="H156" s="21" t="str">
        <x:v>Exact</x:v>
      </x:c>
    </x:row>
    <x:row r="157">
      <x:c r="A157" s="21" t="str">
        <x:v>NYC-V1-R04</x:v>
      </x:c>
      <x:c r="B157" s="21" t="str">
        <x:v>V1</x:v>
      </x:c>
      <x:c r="C157" s="21" t="str">
        <x:v>five_to_nineteen_unit_structures</x:v>
      </x:c>
      <x:c r="D157" s="24" t="n">
        <x:v>2270</x:v>
      </x:c>
      <x:c r="E157" s="43" t="n">
        <x:v>286.8231731145651</x:v>
      </x:c>
      <x:c r="F157" s="49" t="n">
        <x:v>2270</x:v>
      </x:c>
      <x:c r="G157" s="49" t="n">
        <x:v>0</x:v>
      </x:c>
      <x:c r="H157" s="21" t="str">
        <x:v>Exact</x:v>
      </x:c>
    </x:row>
    <x:row r="158">
      <x:c r="A158" s="21" t="str">
        <x:v>NYC-V1-R04</x:v>
      </x:c>
      <x:c r="B158" s="21" t="str">
        <x:v>V1</x:v>
      </x:c>
      <x:c r="C158" s="21" t="str">
        <x:v>twenty_to_forty_nine_unit_structures</x:v>
      </x:c>
      <x:c r="D158" s="24" t="n">
        <x:v>2860</x:v>
      </x:c>
      <x:c r="E158" s="43" t="n">
        <x:v>331.33208683289763</x:v>
      </x:c>
      <x:c r="F158" s="49" t="n">
        <x:v>2860</x:v>
      </x:c>
      <x:c r="G158" s="49" t="n">
        <x:v>0</x:v>
      </x:c>
      <x:c r="H158" s="21" t="str">
        <x:v>Exact</x:v>
      </x:c>
    </x:row>
    <x:row r="159">
      <x:c r="A159" s="21" t="str">
        <x:v>NYC-V1-R04</x:v>
      </x:c>
      <x:c r="B159" s="21" t="str">
        <x:v>V1</x:v>
      </x:c>
      <x:c r="C159" s="21" t="str">
        <x:v>fifty_plus_unit_structures</x:v>
      </x:c>
      <x:c r="D159" s="24" t="n">
        <x:v>8648</x:v>
      </x:c>
      <x:c r="E159" s="43" t="n">
        <x:v>471.44728630894997</x:v>
      </x:c>
      <x:c r="F159" s="49" t="n">
        <x:v>8648</x:v>
      </x:c>
      <x:c r="G159" s="49" t="n">
        <x:v>0</x:v>
      </x:c>
      <x:c r="H159" s="21" t="str">
        <x:v>Exact</x:v>
      </x:c>
    </x:row>
    <x:row r="160">
      <x:c r="A160" s="21" t="str">
        <x:v>NYC-V1-R04</x:v>
      </x:c>
      <x:c r="B160" s="21" t="str">
        <x:v>V1</x:v>
      </x:c>
      <x:c r="C160" s="21" t="str">
        <x:v>mobile_or_other_units</x:v>
      </x:c>
      <x:c r="D160" s="24" t="n">
        <x:v>0</x:v>
      </x:c>
      <x:c r="E160" s="43" t="n">
        <x:v>54.38606503670527</x:v>
      </x:c>
      <x:c r="F160" s="49" t="n">
        <x:v>0</x:v>
      </x:c>
      <x:c r="G160" s="49" t="n">
        <x:v>0</x:v>
      </x:c>
      <x:c r="H160" s="21" t="str">
        <x:v>Exact</x:v>
      </x:c>
    </x:row>
    <x:row r="161">
      <x:c r="A161" s="21" t="str">
        <x:v>NYC-V1-R04</x:v>
      </x:c>
      <x:c r="B161" s="21" t="str">
        <x:v>V1</x:v>
      </x:c>
      <x:c r="C161" s="21" t="str">
        <x:v>electric_heat_households</x:v>
      </x:c>
      <x:c r="D161" s="24" t="n">
        <x:v>2858</x:v>
      </x:c>
      <x:c r="E161" s="43" t="n">
        <x:v>252.70684596979166</x:v>
      </x:c>
      <x:c r="F161" s="49" t="n">
        <x:v>2858</x:v>
      </x:c>
      <x:c r="G161" s="49" t="n">
        <x:v>0</x:v>
      </x:c>
      <x:c r="H161" s="21" t="str">
        <x:v>Exact</x:v>
      </x:c>
    </x:row>
    <x:row r="162">
      <x:c r="A162" s="21" t="str">
        <x:v>NYC-V1-R04</x:v>
      </x:c>
      <x:c r="B162" s="21" t="str">
        <x:v>V1</x:v>
      </x:c>
      <x:c r="C162" s="21" t="str">
        <x:v>group_quarters_population</x:v>
      </x:c>
      <x:c r="D162" s="24" t="n">
        <x:v>1116</x:v>
      </x:c>
      <x:c r="E162" s="43" t="n">
        <x:v>26.646763405712147</x:v>
      </x:c>
      <x:c r="F162" s="49" t="n">
        <x:v>1116</x:v>
      </x:c>
      <x:c r="G162" s="49" t="n">
        <x:v>0</x:v>
      </x:c>
      <x:c r="H162" s="21" t="str">
        <x:v>Exact</x:v>
      </x:c>
    </x:row>
    <x:row r="163">
      <x:c r="A163" s="21" t="str">
        <x:v>NYC-V2-R01</x:v>
      </x:c>
      <x:c r="B163" s="21" t="str">
        <x:v>V2</x:v>
      </x:c>
      <x:c r="C163" s="21" t="str">
        <x:v>acs_population</x:v>
      </x:c>
      <x:c r="D163" s="24" t="n">
        <x:v>30574</x:v>
      </x:c>
      <x:c r="E163" s="43" t="n">
        <x:v>1614.1890688516016</x:v>
      </x:c>
      <x:c r="F163" s="49" t="n">
        <x:v>30574</x:v>
      </x:c>
      <x:c r="G163" s="49" t="n">
        <x:v>0</x:v>
      </x:c>
      <x:c r="H163" s="21" t="str">
        <x:v>Exact</x:v>
      </x:c>
    </x:row>
    <x:row r="164">
      <x:c r="A164" s="21" t="str">
        <x:v>NYC-V2-R01</x:v>
      </x:c>
      <x:c r="B164" s="21" t="str">
        <x:v>V2</x:v>
      </x:c>
      <x:c r="C164" s="21" t="str">
        <x:v>age_under_18</x:v>
      </x:c>
      <x:c r="D164" s="24" t="n">
        <x:v>7722</x:v>
      </x:c>
      <x:c r="E164" s="43" t="n">
        <x:v>870.5698995485659</x:v>
      </x:c>
      <x:c r="F164" s="49" t="n">
        <x:v>7722</x:v>
      </x:c>
      <x:c r="G164" s="49" t="n">
        <x:v>0</x:v>
      </x:c>
      <x:c r="H164" s="21" t="str">
        <x:v>Exact</x:v>
      </x:c>
    </x:row>
    <x:row r="165">
      <x:c r="A165" s="21" t="str">
        <x:v>NYC-V2-R01</x:v>
      </x:c>
      <x:c r="B165" s="21" t="str">
        <x:v>V2</x:v>
      </x:c>
      <x:c r="C165" s="21" t="str">
        <x:v>age_under_5</x:v>
      </x:c>
      <x:c r="D165" s="24" t="n">
        <x:v>2306</x:v>
      </x:c>
      <x:c r="E165" s="43" t="n">
        <x:v>425.9800464810529</x:v>
      </x:c>
      <x:c r="F165" s="49" t="n">
        <x:v>2306</x:v>
      </x:c>
      <x:c r="G165" s="49" t="n">
        <x:v>0</x:v>
      </x:c>
      <x:c r="H165" s="21" t="str">
        <x:v>Exact</x:v>
      </x:c>
    </x:row>
    <x:row r="166">
      <x:c r="A166" s="21" t="str">
        <x:v>NYC-V2-R01</x:v>
      </x:c>
      <x:c r="B166" s="21" t="str">
        <x:v>V2</x:v>
      </x:c>
      <x:c r="C166" s="21" t="str">
        <x:v>age_65_plus</x:v>
      </x:c>
      <x:c r="D166" s="24" t="n">
        <x:v>3199</x:v>
      </x:c>
      <x:c r="E166" s="43" t="n">
        <x:v>337.42169461965545</x:v>
      </x:c>
      <x:c r="F166" s="49" t="n">
        <x:v>3199</x:v>
      </x:c>
      <x:c r="G166" s="49" t="n">
        <x:v>0</x:v>
      </x:c>
      <x:c r="H166" s="21" t="str">
        <x:v>Exact</x:v>
      </x:c>
    </x:row>
    <x:row r="167">
      <x:c r="A167" s="21" t="str">
        <x:v>NYC-V2-R01</x:v>
      </x:c>
      <x:c r="B167" s="21" t="str">
        <x:v>V2</x:v>
      </x:c>
      <x:c r="C167" s="21" t="str">
        <x:v>age_75_plus</x:v>
      </x:c>
      <x:c r="D167" s="24" t="n">
        <x:v>1273</x:v>
      </x:c>
      <x:c r="E167" s="43" t="n">
        <x:v>285.10594522036894</x:v>
      </x:c>
      <x:c r="F167" s="49" t="n">
        <x:v>1273</x:v>
      </x:c>
      <x:c r="G167" s="49" t="n">
        <x:v>0</x:v>
      </x:c>
      <x:c r="H167" s="21" t="str">
        <x:v>Exact</x:v>
      </x:c>
    </x:row>
    <x:row r="168">
      <x:c r="A168" s="21" t="str">
        <x:v>NYC-V2-R01</x:v>
      </x:c>
      <x:c r="B168" s="21" t="str">
        <x:v>V2</x:v>
      </x:c>
      <x:c r="C168" s="21" t="str">
        <x:v>age_85_plus</x:v>
      </x:c>
      <x:c r="D168" s="24" t="n">
        <x:v>217</x:v>
      </x:c>
      <x:c r="E168" s="43" t="n">
        <x:v>120.80956087992374</x:v>
      </x:c>
      <x:c r="F168" s="49" t="n">
        <x:v>217</x:v>
      </x:c>
      <x:c r="G168" s="49" t="n">
        <x:v>0</x:v>
      </x:c>
      <x:c r="H168" s="21" t="str">
        <x:v>Exact</x:v>
      </x:c>
    </x:row>
    <x:row r="169">
      <x:c r="A169" s="21" t="str">
        <x:v>NYC-V2-R01</x:v>
      </x:c>
      <x:c r="B169" s="21" t="str">
        <x:v>V2</x:v>
      </x:c>
      <x:c r="C169" s="21" t="str">
        <x:v>civilian_noninstitutionalized</x:v>
      </x:c>
      <x:c r="D169" s="24" t="n">
        <x:v>30571</x:v>
      </x:c>
      <x:c r="E169" s="43" t="n">
        <x:v>1613.9651018531968</x:v>
      </x:c>
      <x:c r="F169" s="49" t="n">
        <x:v>30571</x:v>
      </x:c>
      <x:c r="G169" s="49" t="n">
        <x:v>0</x:v>
      </x:c>
      <x:c r="H169" s="21" t="str">
        <x:v>Exact</x:v>
      </x:c>
    </x:row>
    <x:row r="170">
      <x:c r="A170" s="21" t="str">
        <x:v>NYC-V2-R01</x:v>
      </x:c>
      <x:c r="B170" s="21" t="str">
        <x:v>V2</x:v>
      </x:c>
      <x:c r="C170" s="21" t="str">
        <x:v>any_disability</x:v>
      </x:c>
      <x:c r="D170" s="24" t="n">
        <x:v>5709</x:v>
      </x:c>
      <x:c r="E170" s="43" t="n">
        <x:v>804.5654417137241</x:v>
      </x:c>
      <x:c r="F170" s="49" t="n">
        <x:v>5709</x:v>
      </x:c>
      <x:c r="G170" s="49" t="n">
        <x:v>0</x:v>
      </x:c>
      <x:c r="H170" s="21" t="str">
        <x:v>Exact</x:v>
      </x:c>
    </x:row>
    <x:row r="171">
      <x:c r="A171" s="21" t="str">
        <x:v>NYC-V2-R01</x:v>
      </x:c>
      <x:c r="B171" s="21" t="str">
        <x:v>V2</x:v>
      </x:c>
      <x:c r="C171" s="21" t="str">
        <x:v>disability_under_18</x:v>
      </x:c>
      <x:c r="D171" s="24" t="n">
        <x:v>1281</x:v>
      </x:c>
      <x:c r="E171" s="43" t="n">
        <x:v>683.9411158864482</x:v>
      </x:c>
      <x:c r="F171" s="49" t="n">
        <x:v>1281</x:v>
      </x:c>
      <x:c r="G171" s="49" t="n">
        <x:v>0</x:v>
      </x:c>
      <x:c r="H171" s="21" t="str">
        <x:v>Exact</x:v>
      </x:c>
    </x:row>
    <x:row r="172">
      <x:c r="A172" s="21" t="str">
        <x:v>NYC-V2-R01</x:v>
      </x:c>
      <x:c r="B172" s="21" t="str">
        <x:v>V2</x:v>
      </x:c>
      <x:c r="C172" s="21" t="str">
        <x:v>disability_18_64</x:v>
      </x:c>
      <x:c r="D172" s="24" t="n">
        <x:v>2681</x:v>
      </x:c>
      <x:c r="E172" s="43" t="n">
        <x:v>386.61654129123866</x:v>
      </x:c>
      <x:c r="F172" s="49" t="n">
        <x:v>2681</x:v>
      </x:c>
      <x:c r="G172" s="49" t="n">
        <x:v>0</x:v>
      </x:c>
      <x:c r="H172" s="21" t="str">
        <x:v>Exact</x:v>
      </x:c>
    </x:row>
    <x:row r="173">
      <x:c r="A173" s="21" t="str">
        <x:v>NYC-V2-R01</x:v>
      </x:c>
      <x:c r="B173" s="21" t="str">
        <x:v>V2</x:v>
      </x:c>
      <x:c r="C173" s="21" t="str">
        <x:v>disability_65_plus</x:v>
      </x:c>
      <x:c r="D173" s="24" t="n">
        <x:v>1747</x:v>
      </x:c>
      <x:c r="E173" s="43" t="n">
        <x:v>287.791330654695</x:v>
      </x:c>
      <x:c r="F173" s="49" t="n">
        <x:v>1747</x:v>
      </x:c>
      <x:c r="G173" s="49" t="n">
        <x:v>0</x:v>
      </x:c>
      <x:c r="H173" s="21" t="str">
        <x:v>Exact</x:v>
      </x:c>
    </x:row>
    <x:row r="174">
      <x:c r="A174" s="21" t="str">
        <x:v>NYC-V2-R01</x:v>
      </x:c>
      <x:c r="B174" s="21" t="str">
        <x:v>V2</x:v>
      </x:c>
      <x:c r="C174" s="21" t="str">
        <x:v>hearing_difficulty</x:v>
      </x:c>
      <x:c r="D174" s="24" t="n">
        <x:v>811</x:v>
      </x:c>
      <x:c r="E174" s="43" t="n">
        <x:v>243.67726370155503</x:v>
      </x:c>
      <x:c r="F174" s="49" t="n">
        <x:v>811</x:v>
      </x:c>
      <x:c r="G174" s="49" t="n">
        <x:v>0</x:v>
      </x:c>
      <x:c r="H174" s="21" t="str">
        <x:v>Exact</x:v>
      </x:c>
    </x:row>
    <x:row r="175">
      <x:c r="A175" s="21" t="str">
        <x:v>NYC-V2-R01</x:v>
      </x:c>
      <x:c r="B175" s="21" t="str">
        <x:v>V2</x:v>
      </x:c>
      <x:c r="C175" s="21" t="str">
        <x:v>vision_difficulty</x:v>
      </x:c>
      <x:c r="D175" s="24" t="n">
        <x:v>2372</x:v>
      </x:c>
      <x:c r="E175" s="43" t="n">
        <x:v>554.3336350576411</x:v>
      </x:c>
      <x:c r="F175" s="49" t="n">
        <x:v>2372</x:v>
      </x:c>
      <x:c r="G175" s="49" t="n">
        <x:v>0</x:v>
      </x:c>
      <x:c r="H175" s="21" t="str">
        <x:v>Exact</x:v>
      </x:c>
    </x:row>
    <x:row r="176">
      <x:c r="A176" s="21" t="str">
        <x:v>NYC-V2-R01</x:v>
      </x:c>
      <x:c r="B176" s="21" t="str">
        <x:v>V2</x:v>
      </x:c>
      <x:c r="C176" s="21" t="str">
        <x:v>cognitive_difficulty</x:v>
      </x:c>
      <x:c r="D176" s="24" t="n">
        <x:v>1877</x:v>
      </x:c>
      <x:c r="E176" s="43" t="n">
        <x:v>313.48218493970666</x:v>
      </x:c>
      <x:c r="F176" s="49" t="n">
        <x:v>1877</x:v>
      </x:c>
      <x:c r="G176" s="49" t="n">
        <x:v>0</x:v>
      </x:c>
      <x:c r="H176" s="21" t="str">
        <x:v>Exact</x:v>
      </x:c>
    </x:row>
    <x:row r="177">
      <x:c r="A177" s="21" t="str">
        <x:v>NYC-V2-R01</x:v>
      </x:c>
      <x:c r="B177" s="21" t="str">
        <x:v>V2</x:v>
      </x:c>
      <x:c r="C177" s="21" t="str">
        <x:v>ambulatory_difficulty</x:v>
      </x:c>
      <x:c r="D177" s="24" t="n">
        <x:v>2757</x:v>
      </x:c>
      <x:c r="E177" s="43" t="n">
        <x:v>406.09358763915225</x:v>
      </x:c>
      <x:c r="F177" s="49" t="n">
        <x:v>2757</x:v>
      </x:c>
      <x:c r="G177" s="49" t="n">
        <x:v>0</x:v>
      </x:c>
      <x:c r="H177" s="21" t="str">
        <x:v>Exact</x:v>
      </x:c>
    </x:row>
    <x:row r="178">
      <x:c r="A178" s="21" t="str">
        <x:v>NYC-V2-R01</x:v>
      </x:c>
      <x:c r="B178" s="21" t="str">
        <x:v>V2</x:v>
      </x:c>
      <x:c r="C178" s="21" t="str">
        <x:v>self_care_difficulty</x:v>
      </x:c>
      <x:c r="D178" s="24" t="n">
        <x:v>1217</x:v>
      </x:c>
      <x:c r="E178" s="43" t="n">
        <x:v>268.5403023678302</x:v>
      </x:c>
      <x:c r="F178" s="49" t="n">
        <x:v>1217</x:v>
      </x:c>
      <x:c r="G178" s="49" t="n">
        <x:v>0</x:v>
      </x:c>
      <x:c r="H178" s="21" t="str">
        <x:v>Exact</x:v>
      </x:c>
    </x:row>
    <x:row r="179">
      <x:c r="A179" s="21" t="str">
        <x:v>NYC-V2-R01</x:v>
      </x:c>
      <x:c r="B179" s="21" t="str">
        <x:v>V2</x:v>
      </x:c>
      <x:c r="C179" s="21" t="str">
        <x:v>independent_living_difficulty</x:v>
      </x:c>
      <x:c r="D179" s="24" t="n">
        <x:v>2028</x:v>
      </x:c>
      <x:c r="E179" s="43" t="n">
        <x:v>351.46978462815844</x:v>
      </x:c>
      <x:c r="F179" s="49" t="n">
        <x:v>2028</x:v>
      </x:c>
      <x:c r="G179" s="49" t="n">
        <x:v>0</x:v>
      </x:c>
      <x:c r="H179" s="21" t="str">
        <x:v>Exact</x:v>
      </x:c>
    </x:row>
    <x:row r="180">
      <x:c r="A180" s="21" t="str">
        <x:v>NYC-V2-R01</x:v>
      </x:c>
      <x:c r="B180" s="21" t="str">
        <x:v>V2</x:v>
      </x:c>
      <x:c r="C180" s="21" t="str">
        <x:v>households</x:v>
      </x:c>
      <x:c r="D180" s="24" t="n">
        <x:v>10462</x:v>
      </x:c>
      <x:c r="E180" s="43" t="n">
        <x:v>410.5093177992431</x:v>
      </x:c>
      <x:c r="F180" s="49" t="n">
        <x:v>10462</x:v>
      </x:c>
      <x:c r="G180" s="49" t="n">
        <x:v>0</x:v>
      </x:c>
      <x:c r="H180" s="21" t="str">
        <x:v>Exact</x:v>
      </x:c>
    </x:row>
    <x:row r="181">
      <x:c r="A181" s="21" t="str">
        <x:v>NYC-V2-R01</x:v>
      </x:c>
      <x:c r="B181" s="21" t="str">
        <x:v>V2</x:v>
      </x:c>
      <x:c r="C181" s="21" t="str">
        <x:v>family_households</x:v>
      </x:c>
      <x:c r="D181" s="24" t="n">
        <x:v>7409</x:v>
      </x:c>
      <x:c r="E181" s="43" t="n">
        <x:v>460.35513465149927</x:v>
      </x:c>
      <x:c r="F181" s="49" t="n">
        <x:v>7409</x:v>
      </x:c>
      <x:c r="G181" s="49" t="n">
        <x:v>0</x:v>
      </x:c>
      <x:c r="H181" s="21" t="str">
        <x:v>Exact</x:v>
      </x:c>
    </x:row>
    <x:row r="182">
      <x:c r="A182" s="21" t="str">
        <x:v>NYC-V2-R01</x:v>
      </x:c>
      <x:c r="B182" s="21" t="str">
        <x:v>V2</x:v>
      </x:c>
      <x:c r="C182" s="21" t="str">
        <x:v>nonfamily_households</x:v>
      </x:c>
      <x:c r="D182" s="24" t="n">
        <x:v>3053</x:v>
      </x:c>
      <x:c r="E182" s="43" t="n">
        <x:v>273.25821122154775</x:v>
      </x:c>
      <x:c r="F182" s="49" t="n">
        <x:v>3053</x:v>
      </x:c>
      <x:c r="G182" s="49" t="n">
        <x:v>0</x:v>
      </x:c>
      <x:c r="H182" s="21" t="str">
        <x:v>Exact</x:v>
      </x:c>
    </x:row>
    <x:row r="183">
      <x:c r="A183" s="21" t="str">
        <x:v>NYC-V2-R01</x:v>
      </x:c>
      <x:c r="B183" s="21" t="str">
        <x:v>V2</x:v>
      </x:c>
      <x:c r="C183" s="21" t="str">
        <x:v>living_alone_households</x:v>
      </x:c>
      <x:c r="D183" s="24" t="n">
        <x:v>2641</x:v>
      </x:c>
      <x:c r="E183" s="43" t="n">
        <x:v>273.2109990465245</x:v>
      </x:c>
      <x:c r="F183" s="49" t="n">
        <x:v>2641</x:v>
      </x:c>
      <x:c r="G183" s="49" t="n">
        <x:v>0</x:v>
      </x:c>
      <x:c r="H183" s="21" t="str">
        <x:v>Exact</x:v>
      </x:c>
    </x:row>
    <x:row r="184">
      <x:c r="A184" s="21" t="str">
        <x:v>NYC-V2-R01</x:v>
      </x:c>
      <x:c r="B184" s="21" t="str">
        <x:v>V2</x:v>
      </x:c>
      <x:c r="C184" s="21" t="str">
        <x:v>households_with_children</x:v>
      </x:c>
      <x:c r="D184" s="24" t="n">
        <x:v>3714</x:v>
      </x:c>
      <x:c r="E184" s="43" t="n">
        <x:v>328.80875900742063</x:v>
      </x:c>
      <x:c r="F184" s="49" t="n">
        <x:v>3714</x:v>
      </x:c>
      <x:c r="G184" s="49" t="n">
        <x:v>0</x:v>
      </x:c>
      <x:c r="H184" s="21" t="str">
        <x:v>Exact</x:v>
      </x:c>
    </x:row>
    <x:row r="185">
      <x:c r="A185" s="21" t="str">
        <x:v>NYC-V2-R01</x:v>
      </x:c>
      <x:c r="B185" s="21" t="str">
        <x:v>V2</x:v>
      </x:c>
      <x:c r="C185" s="21" t="str">
        <x:v>households_with_age65</x:v>
      </x:c>
      <x:c r="D185" s="24" t="n">
        <x:v>3079</x:v>
      </x:c>
      <x:c r="E185" s="43" t="n">
        <x:v>334.2229794613171</x:v>
      </x:c>
      <x:c r="F185" s="49" t="n">
        <x:v>3079</x:v>
      </x:c>
      <x:c r="G185" s="49" t="n">
        <x:v>0</x:v>
      </x:c>
      <x:c r="H185" s="21" t="str">
        <x:v>Exact</x:v>
      </x:c>
    </x:row>
    <x:row r="186">
      <x:c r="A186" s="21" t="str">
        <x:v>NYC-V2-R01</x:v>
      </x:c>
      <x:c r="B186" s="21" t="str">
        <x:v>V2</x:v>
      </x:c>
      <x:c r="C186" s="21" t="str">
        <x:v>age65_one_person_households</x:v>
      </x:c>
      <x:c r="D186" s="24" t="n">
        <x:v>1092</x:v>
      </x:c>
      <x:c r="E186" s="43" t="n">
        <x:v>218.41451416973186</x:v>
      </x:c>
      <x:c r="F186" s="49" t="n">
        <x:v>1092</x:v>
      </x:c>
      <x:c r="G186" s="49" t="n">
        <x:v>0</x:v>
      </x:c>
      <x:c r="H186" s="21" t="str">
        <x:v>Exact</x:v>
      </x:c>
    </x:row>
    <x:row r="187">
      <x:c r="A187" s="21" t="str">
        <x:v>NYC-V2-R01</x:v>
      </x:c>
      <x:c r="B187" s="21" t="str">
        <x:v>V2</x:v>
      </x:c>
      <x:c r="C187" s="21" t="str">
        <x:v>no_vehicle_households</x:v>
      </x:c>
      <x:c r="D187" s="24" t="n">
        <x:v>8040</x:v>
      </x:c>
      <x:c r="E187" s="43" t="n">
        <x:v>371.7507892531437</x:v>
      </x:c>
      <x:c r="F187" s="49" t="n">
        <x:v>8040</x:v>
      </x:c>
      <x:c r="G187" s="49" t="n">
        <x:v>0</x:v>
      </x:c>
      <x:c r="H187" s="21" t="str">
        <x:v>Exact</x:v>
      </x:c>
    </x:row>
    <x:row r="188">
      <x:c r="A188" s="21" t="str">
        <x:v>NYC-V2-R01</x:v>
      </x:c>
      <x:c r="B188" s="21" t="str">
        <x:v>V2</x:v>
      </x:c>
      <x:c r="C188" s="21" t="str">
        <x:v>limited_english_households</x:v>
      </x:c>
      <x:c r="D188" s="24" t="n">
        <x:v>2896</x:v>
      </x:c>
      <x:c r="E188" s="43" t="n">
        <x:v>377.7273000131568</x:v>
      </x:c>
      <x:c r="F188" s="49" t="n">
        <x:v>2896</x:v>
      </x:c>
      <x:c r="G188" s="49" t="n">
        <x:v>0</x:v>
      </x:c>
      <x:c r="H188" s="21" t="str">
        <x:v>Exact</x:v>
      </x:c>
    </x:row>
    <x:row r="189">
      <x:c r="A189" s="21" t="str">
        <x:v>NYC-V2-R01</x:v>
      </x:c>
      <x:c r="B189" s="21" t="str">
        <x:v>V2</x:v>
      </x:c>
      <x:c r="C189" s="21" t="str">
        <x:v>housing_units</x:v>
      </x:c>
      <x:c r="D189" s="24" t="n">
        <x:v>10547</x:v>
      </x:c>
      <x:c r="E189" s="43" t="n">
        <x:v>402.9718972831728</x:v>
      </x:c>
      <x:c r="F189" s="49" t="n">
        <x:v>10547</x:v>
      </x:c>
      <x:c r="G189" s="49" t="n">
        <x:v>0</x:v>
      </x:c>
      <x:c r="H189" s="21" t="str">
        <x:v>Exact</x:v>
      </x:c>
    </x:row>
    <x:row r="190">
      <x:c r="A190" s="21" t="str">
        <x:v>NYC-V2-R01</x:v>
      </x:c>
      <x:c r="B190" s="21" t="str">
        <x:v>V2</x:v>
      </x:c>
      <x:c r="C190" s="21" t="str">
        <x:v>occupied_housing_units</x:v>
      </x:c>
      <x:c r="D190" s="24" t="n">
        <x:v>10462</x:v>
      </x:c>
      <x:c r="E190" s="43" t="n">
        <x:v>410.5093177992431</x:v>
      </x:c>
      <x:c r="F190" s="49" t="n">
        <x:v>10462</x:v>
      </x:c>
      <x:c r="G190" s="49" t="n">
        <x:v>0</x:v>
      </x:c>
      <x:c r="H190" s="21" t="str">
        <x:v>Exact</x:v>
      </x:c>
    </x:row>
    <x:row r="191">
      <x:c r="A191" s="21" t="str">
        <x:v>NYC-V2-R01</x:v>
      </x:c>
      <x:c r="B191" s="21" t="str">
        <x:v>V2</x:v>
      </x:c>
      <x:c r="C191" s="21" t="str">
        <x:v>vacant_housing_units</x:v>
      </x:c>
      <x:c r="D191" s="24" t="n">
        <x:v>85</x:v>
      </x:c>
      <x:c r="E191" s="43" t="n">
        <x:v>47.14074670600797</x:v>
      </x:c>
      <x:c r="F191" s="49" t="n">
        <x:v>85</x:v>
      </x:c>
      <x:c r="G191" s="49" t="n">
        <x:v>0</x:v>
      </x:c>
      <x:c r="H191" s="21" t="str">
        <x:v>Exact</x:v>
      </x:c>
    </x:row>
    <x:row r="192">
      <x:c r="A192" s="21" t="str">
        <x:v>NYC-V2-R01</x:v>
      </x:c>
      <x:c r="B192" s="21" t="str">
        <x:v>V2</x:v>
      </x:c>
      <x:c r="C192" s="21" t="str">
        <x:v>owner_occupied_units</x:v>
      </x:c>
      <x:c r="D192" s="24" t="n">
        <x:v>429</x:v>
      </x:c>
      <x:c r="E192" s="43" t="n">
        <x:v>140.9941251160037</x:v>
      </x:c>
      <x:c r="F192" s="49" t="n">
        <x:v>429</x:v>
      </x:c>
      <x:c r="G192" s="49" t="n">
        <x:v>0</x:v>
      </x:c>
      <x:c r="H192" s="21" t="str">
        <x:v>Exact</x:v>
      </x:c>
    </x:row>
    <x:row r="193">
      <x:c r="A193" s="21" t="str">
        <x:v>NYC-V2-R01</x:v>
      </x:c>
      <x:c r="B193" s="21" t="str">
        <x:v>V2</x:v>
      </x:c>
      <x:c r="C193" s="21" t="str">
        <x:v>renter_occupied_units</x:v>
      </x:c>
      <x:c r="D193" s="24" t="n">
        <x:v>10033</x:v>
      </x:c>
      <x:c r="E193" s="43" t="n">
        <x:v>386.38232835492084</x:v>
      </x:c>
      <x:c r="F193" s="49" t="n">
        <x:v>10033</x:v>
      </x:c>
      <x:c r="G193" s="49" t="n">
        <x:v>0</x:v>
      </x:c>
      <x:c r="H193" s="21" t="str">
        <x:v>Exact</x:v>
      </x:c>
    </x:row>
    <x:row r="194">
      <x:c r="A194" s="21" t="str">
        <x:v>NYC-V2-R01</x:v>
      </x:c>
      <x:c r="B194" s="21" t="str">
        <x:v>V2</x:v>
      </x:c>
      <x:c r="C194" s="21" t="str">
        <x:v>one_unit_structures</x:v>
      </x:c>
      <x:c r="D194" s="24" t="n">
        <x:v>330</x:v>
      </x:c>
      <x:c r="E194" s="43" t="n">
        <x:v>113.64204693968678</x:v>
      </x:c>
      <x:c r="F194" s="49" t="n">
        <x:v>330</x:v>
      </x:c>
      <x:c r="G194" s="49" t="n">
        <x:v>0</x:v>
      </x:c>
      <x:c r="H194" s="21" t="str">
        <x:v>Exact</x:v>
      </x:c>
    </x:row>
    <x:row r="195">
      <x:c r="A195" s="21" t="str">
        <x:v>NYC-V2-R01</x:v>
      </x:c>
      <x:c r="B195" s="21" t="str">
        <x:v>V2</x:v>
      </x:c>
      <x:c r="C195" s="21" t="str">
        <x:v>two_to_four_unit_structures</x:v>
      </x:c>
      <x:c r="D195" s="24" t="n">
        <x:v>995</x:v>
      </x:c>
      <x:c r="E195" s="43" t="n">
        <x:v>220.3075075029853</x:v>
      </x:c>
      <x:c r="F195" s="49" t="n">
        <x:v>995</x:v>
      </x:c>
      <x:c r="G195" s="49" t="n">
        <x:v>0</x:v>
      </x:c>
      <x:c r="H195" s="21" t="str">
        <x:v>Exact</x:v>
      </x:c>
    </x:row>
    <x:row r="196">
      <x:c r="A196" s="21" t="str">
        <x:v>NYC-V2-R01</x:v>
      </x:c>
      <x:c r="B196" s="21" t="str">
        <x:v>V2</x:v>
      </x:c>
      <x:c r="C196" s="21" t="str">
        <x:v>five_to_nineteen_unit_structures</x:v>
      </x:c>
      <x:c r="D196" s="24" t="n">
        <x:v>1569</x:v>
      </x:c>
      <x:c r="E196" s="43" t="n">
        <x:v>291.96993135018386</x:v>
      </x:c>
      <x:c r="F196" s="49" t="n">
        <x:v>1569</x:v>
      </x:c>
      <x:c r="G196" s="49" t="n">
        <x:v>0</x:v>
      </x:c>
      <x:c r="H196" s="21" t="str">
        <x:v>Exact</x:v>
      </x:c>
    </x:row>
    <x:row r="197">
      <x:c r="A197" s="21" t="str">
        <x:v>NYC-V2-R01</x:v>
      </x:c>
      <x:c r="B197" s="21" t="str">
        <x:v>V2</x:v>
      </x:c>
      <x:c r="C197" s="21" t="str">
        <x:v>twenty_to_forty_nine_unit_structures</x:v>
      </x:c>
      <x:c r="D197" s="24" t="n">
        <x:v>4903</x:v>
      </x:c>
      <x:c r="E197" s="43" t="n">
        <x:v>404.0765653653645</x:v>
      </x:c>
      <x:c r="F197" s="49" t="n">
        <x:v>4903</x:v>
      </x:c>
      <x:c r="G197" s="49" t="n">
        <x:v>0</x:v>
      </x:c>
      <x:c r="H197" s="21" t="str">
        <x:v>Exact</x:v>
      </x:c>
    </x:row>
    <x:row r="198">
      <x:c r="A198" s="21" t="str">
        <x:v>NYC-V2-R01</x:v>
      </x:c>
      <x:c r="B198" s="21" t="str">
        <x:v>V2</x:v>
      </x:c>
      <x:c r="C198" s="21" t="str">
        <x:v>fifty_plus_unit_structures</x:v>
      </x:c>
      <x:c r="D198" s="24" t="n">
        <x:v>2654</x:v>
      </x:c>
      <x:c r="E198" s="43" t="n">
        <x:v>383.03516735601954</x:v>
      </x:c>
      <x:c r="F198" s="49" t="n">
        <x:v>2654</x:v>
      </x:c>
      <x:c r="G198" s="49" t="n">
        <x:v>0</x:v>
      </x:c>
      <x:c r="H198" s="21" t="str">
        <x:v>Exact</x:v>
      </x:c>
    </x:row>
    <x:row r="199">
      <x:c r="A199" s="21" t="str">
        <x:v>NYC-V2-R01</x:v>
      </x:c>
      <x:c r="B199" s="21" t="str">
        <x:v>V2</x:v>
      </x:c>
      <x:c r="C199" s="21" t="str">
        <x:v>mobile_or_other_units</x:v>
      </x:c>
      <x:c r="D199" s="24" t="n">
        <x:v>11</x:v>
      </x:c>
      <x:c r="E199" s="43" t="n">
        <x:v>51.005901430767246</x:v>
      </x:c>
      <x:c r="F199" s="49" t="n">
        <x:v>11</x:v>
      </x:c>
      <x:c r="G199" s="49" t="n">
        <x:v>0</x:v>
      </x:c>
      <x:c r="H199" s="21" t="str">
        <x:v>Exact</x:v>
      </x:c>
    </x:row>
    <x:row r="200">
      <x:c r="A200" s="21" t="str">
        <x:v>NYC-V2-R01</x:v>
      </x:c>
      <x:c r="B200" s="21" t="str">
        <x:v>V2</x:v>
      </x:c>
      <x:c r="C200" s="21" t="str">
        <x:v>electric_heat_households</x:v>
      </x:c>
      <x:c r="D200" s="24" t="n">
        <x:v>2354</x:v>
      </x:c>
      <x:c r="E200" s="43" t="n">
        <x:v>278.36298245276794</x:v>
      </x:c>
      <x:c r="F200" s="49" t="n">
        <x:v>2354</x:v>
      </x:c>
      <x:c r="G200" s="49" t="n">
        <x:v>0</x:v>
      </x:c>
      <x:c r="H200" s="21" t="str">
        <x:v>Exact</x:v>
      </x:c>
    </x:row>
    <x:row r="201">
      <x:c r="A201" s="21" t="str">
        <x:v>NYC-V2-R01</x:v>
      </x:c>
      <x:c r="B201" s="21" t="str">
        <x:v>V2</x:v>
      </x:c>
      <x:c r="C201" s="21" t="str">
        <x:v>group_quarters_population</x:v>
      </x:c>
      <x:c r="D201" s="24" t="n">
        <x:v>958</x:v>
      </x:c>
      <x:c r="E201" s="43" t="n">
        <x:v>28.324018076537094</x:v>
      </x:c>
      <x:c r="F201" s="49" t="n">
        <x:v>958</x:v>
      </x:c>
      <x:c r="G201" s="49" t="n">
        <x:v>0</x:v>
      </x:c>
      <x:c r="H201" s="21" t="str">
        <x:v>Exact</x:v>
      </x:c>
    </x:row>
    <x:row r="202">
      <x:c r="A202" s="21" t="str">
        <x:v>NYC-V2-R02</x:v>
      </x:c>
      <x:c r="B202" s="21" t="str">
        <x:v>V2</x:v>
      </x:c>
      <x:c r="C202" s="21" t="str">
        <x:v>acs_population</x:v>
      </x:c>
      <x:c r="D202" s="24" t="n">
        <x:v>29733</x:v>
      </x:c>
      <x:c r="E202" s="43" t="n">
        <x:v>1298.049844959738</x:v>
      </x:c>
      <x:c r="F202" s="49" t="n">
        <x:v>29733</x:v>
      </x:c>
      <x:c r="G202" s="49" t="n">
        <x:v>0</x:v>
      </x:c>
      <x:c r="H202" s="21" t="str">
        <x:v>Exact</x:v>
      </x:c>
    </x:row>
    <x:row r="203">
      <x:c r="A203" s="21" t="str">
        <x:v>NYC-V2-R02</x:v>
      </x:c>
      <x:c r="B203" s="21" t="str">
        <x:v>V2</x:v>
      </x:c>
      <x:c r="C203" s="21" t="str">
        <x:v>age_under_18</x:v>
      </x:c>
      <x:c r="D203" s="24" t="n">
        <x:v>5104</x:v>
      </x:c>
      <x:c r="E203" s="43" t="n">
        <x:v>531.2096102293332</x:v>
      </x:c>
      <x:c r="F203" s="49" t="n">
        <x:v>5104</x:v>
      </x:c>
      <x:c r="G203" s="49" t="n">
        <x:v>0</x:v>
      </x:c>
      <x:c r="H203" s="21" t="str">
        <x:v>Exact</x:v>
      </x:c>
    </x:row>
    <x:row r="204">
      <x:c r="A204" s="21" t="str">
        <x:v>NYC-V2-R02</x:v>
      </x:c>
      <x:c r="B204" s="21" t="str">
        <x:v>V2</x:v>
      </x:c>
      <x:c r="C204" s="21" t="str">
        <x:v>age_under_5</x:v>
      </x:c>
      <x:c r="D204" s="24" t="n">
        <x:v>1038</x:v>
      </x:c>
      <x:c r="E204" s="43" t="n">
        <x:v>185.59135216922152</x:v>
      </x:c>
      <x:c r="F204" s="49" t="n">
        <x:v>1038</x:v>
      </x:c>
      <x:c r="G204" s="49" t="n">
        <x:v>0</x:v>
      </x:c>
      <x:c r="H204" s="21" t="str">
        <x:v>Exact</x:v>
      </x:c>
    </x:row>
    <x:row r="205">
      <x:c r="A205" s="21" t="str">
        <x:v>NYC-V2-R02</x:v>
      </x:c>
      <x:c r="B205" s="21" t="str">
        <x:v>V2</x:v>
      </x:c>
      <x:c r="C205" s="21" t="str">
        <x:v>age_65_plus</x:v>
      </x:c>
      <x:c r="D205" s="24" t="n">
        <x:v>5759</x:v>
      </x:c>
      <x:c r="E205" s="43" t="n">
        <x:v>343.94141943069314</x:v>
      </x:c>
      <x:c r="F205" s="49" t="n">
        <x:v>5759</x:v>
      </x:c>
      <x:c r="G205" s="49" t="n">
        <x:v>0</x:v>
      </x:c>
      <x:c r="H205" s="21" t="str">
        <x:v>Exact</x:v>
      </x:c>
    </x:row>
    <x:row r="206">
      <x:c r="A206" s="21" t="str">
        <x:v>NYC-V2-R02</x:v>
      </x:c>
      <x:c r="B206" s="21" t="str">
        <x:v>V2</x:v>
      </x:c>
      <x:c r="C206" s="21" t="str">
        <x:v>age_75_plus</x:v>
      </x:c>
      <x:c r="D206" s="24" t="n">
        <x:v>2055</x:v>
      </x:c>
      <x:c r="E206" s="43" t="n">
        <x:v>195.34418343017023</x:v>
      </x:c>
      <x:c r="F206" s="49" t="n">
        <x:v>2055</x:v>
      </x:c>
      <x:c r="G206" s="49" t="n">
        <x:v>0</x:v>
      </x:c>
      <x:c r="H206" s="21" t="str">
        <x:v>Exact</x:v>
      </x:c>
    </x:row>
    <x:row r="207">
      <x:c r="A207" s="21" t="str">
        <x:v>NYC-V2-R02</x:v>
      </x:c>
      <x:c r="B207" s="21" t="str">
        <x:v>V2</x:v>
      </x:c>
      <x:c r="C207" s="21" t="str">
        <x:v>age_85_plus</x:v>
      </x:c>
      <x:c r="D207" s="24" t="n">
        <x:v>552</x:v>
      </x:c>
      <x:c r="E207" s="43" t="n">
        <x:v>105.49099487634004</x:v>
      </x:c>
      <x:c r="F207" s="49" t="n">
        <x:v>552</x:v>
      </x:c>
      <x:c r="G207" s="49" t="n">
        <x:v>0</x:v>
      </x:c>
      <x:c r="H207" s="21" t="str">
        <x:v>Exact</x:v>
      </x:c>
    </x:row>
    <x:row r="208">
      <x:c r="A208" s="21" t="str">
        <x:v>NYC-V2-R02</x:v>
      </x:c>
      <x:c r="B208" s="21" t="str">
        <x:v>V2</x:v>
      </x:c>
      <x:c r="C208" s="21" t="str">
        <x:v>civilian_noninstitutionalized</x:v>
      </x:c>
      <x:c r="D208" s="24" t="n">
        <x:v>29472</x:v>
      </x:c>
      <x:c r="E208" s="43" t="n">
        <x:v>1298.8511654535325</x:v>
      </x:c>
      <x:c r="F208" s="49" t="n">
        <x:v>29472</x:v>
      </x:c>
      <x:c r="G208" s="49" t="n">
        <x:v>0</x:v>
      </x:c>
      <x:c r="H208" s="21" t="str">
        <x:v>Exact</x:v>
      </x:c>
    </x:row>
    <x:row r="209">
      <x:c r="A209" s="21" t="str">
        <x:v>NYC-V2-R02</x:v>
      </x:c>
      <x:c r="B209" s="21" t="str">
        <x:v>V2</x:v>
      </x:c>
      <x:c r="C209" s="21" t="str">
        <x:v>any_disability</x:v>
      </x:c>
      <x:c r="D209" s="24" t="n">
        <x:v>3715</x:v>
      </x:c>
      <x:c r="E209" s="43" t="n">
        <x:v>295.7860713421104</x:v>
      </x:c>
      <x:c r="F209" s="49" t="n">
        <x:v>3715</x:v>
      </x:c>
      <x:c r="G209" s="49" t="n">
        <x:v>0</x:v>
      </x:c>
      <x:c r="H209" s="21" t="str">
        <x:v>Exact</x:v>
      </x:c>
    </x:row>
    <x:row r="210">
      <x:c r="A210" s="21" t="str">
        <x:v>NYC-V2-R02</x:v>
      </x:c>
      <x:c r="B210" s="21" t="str">
        <x:v>V2</x:v>
      </x:c>
      <x:c r="C210" s="21" t="str">
        <x:v>disability_under_18</x:v>
      </x:c>
      <x:c r="D210" s="24" t="n">
        <x:v>387</x:v>
      </x:c>
      <x:c r="E210" s="43" t="n">
        <x:v>114.48537024441158</x:v>
      </x:c>
      <x:c r="F210" s="49" t="n">
        <x:v>387</x:v>
      </x:c>
      <x:c r="G210" s="49" t="n">
        <x:v>0</x:v>
      </x:c>
      <x:c r="H210" s="21" t="str">
        <x:v>Exact</x:v>
      </x:c>
    </x:row>
    <x:row r="211">
      <x:c r="A211" s="21" t="str">
        <x:v>NYC-V2-R02</x:v>
      </x:c>
      <x:c r="B211" s="21" t="str">
        <x:v>V2</x:v>
      </x:c>
      <x:c r="C211" s="21" t="str">
        <x:v>disability_18_64</x:v>
      </x:c>
      <x:c r="D211" s="24" t="n">
        <x:v>1482</x:v>
      </x:c>
      <x:c r="E211" s="43" t="n">
        <x:v>195.66246446367785</x:v>
      </x:c>
      <x:c r="F211" s="49" t="n">
        <x:v>1482</x:v>
      </x:c>
      <x:c r="G211" s="49" t="n">
        <x:v>0</x:v>
      </x:c>
      <x:c r="H211" s="21" t="str">
        <x:v>Exact</x:v>
      </x:c>
    </x:row>
    <x:row r="212">
      <x:c r="A212" s="21" t="str">
        <x:v>NYC-V2-R02</x:v>
      </x:c>
      <x:c r="B212" s="21" t="str">
        <x:v>V2</x:v>
      </x:c>
      <x:c r="C212" s="21" t="str">
        <x:v>disability_65_plus</x:v>
      </x:c>
      <x:c r="D212" s="24" t="n">
        <x:v>1846</x:v>
      </x:c>
      <x:c r="E212" s="43" t="n">
        <x:v>188.32870200795205</x:v>
      </x:c>
      <x:c r="F212" s="49" t="n">
        <x:v>1846</x:v>
      </x:c>
      <x:c r="G212" s="49" t="n">
        <x:v>0</x:v>
      </x:c>
      <x:c r="H212" s="21" t="str">
        <x:v>Exact</x:v>
      </x:c>
    </x:row>
    <x:row r="213">
      <x:c r="A213" s="21" t="str">
        <x:v>NYC-V2-R02</x:v>
      </x:c>
      <x:c r="B213" s="21" t="str">
        <x:v>V2</x:v>
      </x:c>
      <x:c r="C213" s="21" t="str">
        <x:v>hearing_difficulty</x:v>
      </x:c>
      <x:c r="D213" s="24" t="n">
        <x:v>512</x:v>
      </x:c>
      <x:c r="E213" s="43" t="n">
        <x:v>132.73455655919363</x:v>
      </x:c>
      <x:c r="F213" s="49" t="n">
        <x:v>512</x:v>
      </x:c>
      <x:c r="G213" s="49" t="n">
        <x:v>0</x:v>
      </x:c>
      <x:c r="H213" s="21" t="str">
        <x:v>Exact</x:v>
      </x:c>
    </x:row>
    <x:row r="214">
      <x:c r="A214" s="21" t="str">
        <x:v>NYC-V2-R02</x:v>
      </x:c>
      <x:c r="B214" s="21" t="str">
        <x:v>V2</x:v>
      </x:c>
      <x:c r="C214" s="21" t="str">
        <x:v>vision_difficulty</x:v>
      </x:c>
      <x:c r="D214" s="24" t="n">
        <x:v>720</x:v>
      </x:c>
      <x:c r="E214" s="43" t="n">
        <x:v>140.66743201248528</x:v>
      </x:c>
      <x:c r="F214" s="49" t="n">
        <x:v>720</x:v>
      </x:c>
      <x:c r="G214" s="49" t="n">
        <x:v>0</x:v>
      </x:c>
      <x:c r="H214" s="21" t="str">
        <x:v>Exact</x:v>
      </x:c>
    </x:row>
    <x:row r="215">
      <x:c r="A215" s="21" t="str">
        <x:v>NYC-V2-R02</x:v>
      </x:c>
      <x:c r="B215" s="21" t="str">
        <x:v>V2</x:v>
      </x:c>
      <x:c r="C215" s="21" t="str">
        <x:v>cognitive_difficulty</x:v>
      </x:c>
      <x:c r="D215" s="24" t="n">
        <x:v>1322</x:v>
      </x:c>
      <x:c r="E215" s="43" t="n">
        <x:v>200.606981668697</x:v>
      </x:c>
      <x:c r="F215" s="49" t="n">
        <x:v>1322</x:v>
      </x:c>
      <x:c r="G215" s="49" t="n">
        <x:v>0</x:v>
      </x:c>
      <x:c r="H215" s="21" t="str">
        <x:v>Exact</x:v>
      </x:c>
    </x:row>
    <x:row r="216">
      <x:c r="A216" s="21" t="str">
        <x:v>NYC-V2-R02</x:v>
      </x:c>
      <x:c r="B216" s="21" t="str">
        <x:v>V2</x:v>
      </x:c>
      <x:c r="C216" s="21" t="str">
        <x:v>ambulatory_difficulty</x:v>
      </x:c>
      <x:c r="D216" s="24" t="n">
        <x:v>2506</x:v>
      </x:c>
      <x:c r="E216" s="43" t="n">
        <x:v>256.26038692582466</x:v>
      </x:c>
      <x:c r="F216" s="49" t="n">
        <x:v>2506</x:v>
      </x:c>
      <x:c r="G216" s="49" t="n">
        <x:v>0</x:v>
      </x:c>
      <x:c r="H216" s="21" t="str">
        <x:v>Exact</x:v>
      </x:c>
    </x:row>
    <x:row r="217">
      <x:c r="A217" s="21" t="str">
        <x:v>NYC-V2-R02</x:v>
      </x:c>
      <x:c r="B217" s="21" t="str">
        <x:v>V2</x:v>
      </x:c>
      <x:c r="C217" s="21" t="str">
        <x:v>self_care_difficulty</x:v>
      </x:c>
      <x:c r="D217" s="24" t="n">
        <x:v>828</x:v>
      </x:c>
      <x:c r="E217" s="43" t="n">
        <x:v>170.2127659574468</x:v>
      </x:c>
      <x:c r="F217" s="49" t="n">
        <x:v>828</x:v>
      </x:c>
      <x:c r="G217" s="49" t="n">
        <x:v>0</x:v>
      </x:c>
      <x:c r="H217" s="21" t="str">
        <x:v>Exact</x:v>
      </x:c>
    </x:row>
    <x:row r="218">
      <x:c r="A218" s="21" t="str">
        <x:v>NYC-V2-R02</x:v>
      </x:c>
      <x:c r="B218" s="21" t="str">
        <x:v>V2</x:v>
      </x:c>
      <x:c r="C218" s="21" t="str">
        <x:v>independent_living_difficulty</x:v>
      </x:c>
      <x:c r="D218" s="24" t="n">
        <x:v>1257</x:v>
      </x:c>
      <x:c r="E218" s="43" t="n">
        <x:v>185.50000323103495</x:v>
      </x:c>
      <x:c r="F218" s="49" t="n">
        <x:v>1257</x:v>
      </x:c>
      <x:c r="G218" s="49" t="n">
        <x:v>0</x:v>
      </x:c>
      <x:c r="H218" s="21" t="str">
        <x:v>Exact</x:v>
      </x:c>
    </x:row>
    <x:row r="219">
      <x:c r="A219" s="21" t="str">
        <x:v>NYC-V2-R02</x:v>
      </x:c>
      <x:c r="B219" s="21" t="str">
        <x:v>V2</x:v>
      </x:c>
      <x:c r="C219" s="21" t="str">
        <x:v>households</x:v>
      </x:c>
      <x:c r="D219" s="24" t="n">
        <x:v>11727</x:v>
      </x:c>
      <x:c r="E219" s="43" t="n">
        <x:v>401.0303604466874</x:v>
      </x:c>
      <x:c r="F219" s="49" t="n">
        <x:v>11727</x:v>
      </x:c>
      <x:c r="G219" s="49" t="n">
        <x:v>0</x:v>
      </x:c>
      <x:c r="H219" s="21" t="str">
        <x:v>Exact</x:v>
      </x:c>
    </x:row>
    <x:row r="220">
      <x:c r="A220" s="21" t="str">
        <x:v>NYC-V2-R02</x:v>
      </x:c>
      <x:c r="B220" s="21" t="str">
        <x:v>V2</x:v>
      </x:c>
      <x:c r="C220" s="21" t="str">
        <x:v>family_households</x:v>
      </x:c>
      <x:c r="D220" s="24" t="n">
        <x:v>7655</x:v>
      </x:c>
      <x:c r="E220" s="43" t="n">
        <x:v>424.5146640576742</x:v>
      </x:c>
      <x:c r="F220" s="49" t="n">
        <x:v>7655</x:v>
      </x:c>
      <x:c r="G220" s="49" t="n">
        <x:v>0</x:v>
      </x:c>
      <x:c r="H220" s="21" t="str">
        <x:v>Exact</x:v>
      </x:c>
    </x:row>
    <x:row r="221">
      <x:c r="A221" s="21" t="str">
        <x:v>NYC-V2-R02</x:v>
      </x:c>
      <x:c r="B221" s="21" t="str">
        <x:v>V2</x:v>
      </x:c>
      <x:c r="C221" s="21" t="str">
        <x:v>nonfamily_households</x:v>
      </x:c>
      <x:c r="D221" s="24" t="n">
        <x:v>4072</x:v>
      </x:c>
      <x:c r="E221" s="43" t="n">
        <x:v>306.7437855931233</x:v>
      </x:c>
      <x:c r="F221" s="49" t="n">
        <x:v>4072</x:v>
      </x:c>
      <x:c r="G221" s="49" t="n">
        <x:v>0</x:v>
      </x:c>
      <x:c r="H221" s="21" t="str">
        <x:v>Exact</x:v>
      </x:c>
    </x:row>
    <x:row r="222">
      <x:c r="A222" s="21" t="str">
        <x:v>NYC-V2-R02</x:v>
      </x:c>
      <x:c r="B222" s="21" t="str">
        <x:v>V2</x:v>
      </x:c>
      <x:c r="C222" s="21" t="str">
        <x:v>living_alone_households</x:v>
      </x:c>
      <x:c r="D222" s="24" t="n">
        <x:v>3663</x:v>
      </x:c>
      <x:c r="E222" s="43" t="n">
        <x:v>297.7568639007336</x:v>
      </x:c>
      <x:c r="F222" s="49" t="n">
        <x:v>3663</x:v>
      </x:c>
      <x:c r="G222" s="49" t="n">
        <x:v>0</x:v>
      </x:c>
      <x:c r="H222" s="21" t="str">
        <x:v>Exact</x:v>
      </x:c>
    </x:row>
    <x:row r="223">
      <x:c r="A223" s="21" t="str">
        <x:v>NYC-V2-R02</x:v>
      </x:c>
      <x:c r="B223" s="21" t="str">
        <x:v>V2</x:v>
      </x:c>
      <x:c r="C223" s="21" t="str">
        <x:v>households_with_children</x:v>
      </x:c>
      <x:c r="D223" s="24" t="n">
        <x:v>3031</x:v>
      </x:c>
      <x:c r="E223" s="43" t="n">
        <x:v>311.79376196453967</x:v>
      </x:c>
      <x:c r="F223" s="49" t="n">
        <x:v>3031</x:v>
      </x:c>
      <x:c r="G223" s="49" t="n">
        <x:v>0</x:v>
      </x:c>
      <x:c r="H223" s="21" t="str">
        <x:v>Exact</x:v>
      </x:c>
    </x:row>
    <x:row r="224">
      <x:c r="A224" s="21" t="str">
        <x:v>NYC-V2-R02</x:v>
      </x:c>
      <x:c r="B224" s="21" t="str">
        <x:v>V2</x:v>
      </x:c>
      <x:c r="C224" s="21" t="str">
        <x:v>households_with_age65</x:v>
      </x:c>
      <x:c r="D224" s="24" t="n">
        <x:v>4698</x:v>
      </x:c>
      <x:c r="E224" s="43" t="n">
        <x:v>292.9354877784527</x:v>
      </x:c>
      <x:c r="F224" s="49" t="n">
        <x:v>4698</x:v>
      </x:c>
      <x:c r="G224" s="49" t="n">
        <x:v>0</x:v>
      </x:c>
      <x:c r="H224" s="21" t="str">
        <x:v>Exact</x:v>
      </x:c>
    </x:row>
    <x:row r="225">
      <x:c r="A225" s="21" t="str">
        <x:v>NYC-V2-R02</x:v>
      </x:c>
      <x:c r="B225" s="21" t="str">
        <x:v>V2</x:v>
      </x:c>
      <x:c r="C225" s="21" t="str">
        <x:v>age65_one_person_households</x:v>
      </x:c>
      <x:c r="D225" s="24" t="n">
        <x:v>1335</x:v>
      </x:c>
      <x:c r="E225" s="43" t="n">
        <x:v>176.08350291835973</x:v>
      </x:c>
      <x:c r="F225" s="49" t="n">
        <x:v>1335</x:v>
      </x:c>
      <x:c r="G225" s="49" t="n">
        <x:v>0</x:v>
      </x:c>
      <x:c r="H225" s="21" t="str">
        <x:v>Exact</x:v>
      </x:c>
    </x:row>
    <x:row r="226">
      <x:c r="A226" s="21" t="str">
        <x:v>NYC-V2-R02</x:v>
      </x:c>
      <x:c r="B226" s="21" t="str">
        <x:v>V2</x:v>
      </x:c>
      <x:c r="C226" s="21" t="str">
        <x:v>no_vehicle_households</x:v>
      </x:c>
      <x:c r="D226" s="24" t="n">
        <x:v>6252</x:v>
      </x:c>
      <x:c r="E226" s="43" t="n">
        <x:v>379.7037568307391</x:v>
      </x:c>
      <x:c r="F226" s="49" t="n">
        <x:v>6252</x:v>
      </x:c>
      <x:c r="G226" s="49" t="n">
        <x:v>0</x:v>
      </x:c>
      <x:c r="H226" s="21" t="str">
        <x:v>Exact</x:v>
      </x:c>
    </x:row>
    <x:row r="227">
      <x:c r="A227" s="21" t="str">
        <x:v>NYC-V2-R02</x:v>
      </x:c>
      <x:c r="B227" s="21" t="str">
        <x:v>V2</x:v>
      </x:c>
      <x:c r="C227" s="21" t="str">
        <x:v>limited_english_households</x:v>
      </x:c>
      <x:c r="D227" s="24" t="n">
        <x:v>827</x:v>
      </x:c>
      <x:c r="E227" s="43" t="n">
        <x:v>147.05216177318388</x:v>
      </x:c>
      <x:c r="F227" s="49" t="n">
        <x:v>827</x:v>
      </x:c>
      <x:c r="G227" s="49" t="n">
        <x:v>0</x:v>
      </x:c>
      <x:c r="H227" s="21" t="str">
        <x:v>Exact</x:v>
      </x:c>
    </x:row>
    <x:row r="228">
      <x:c r="A228" s="21" t="str">
        <x:v>NYC-V2-R02</x:v>
      </x:c>
      <x:c r="B228" s="21" t="str">
        <x:v>V2</x:v>
      </x:c>
      <x:c r="C228" s="21" t="str">
        <x:v>housing_units</x:v>
      </x:c>
      <x:c r="D228" s="24" t="n">
        <x:v>13573</x:v>
      </x:c>
      <x:c r="E228" s="43" t="n">
        <x:v>377.41813681909883</x:v>
      </x:c>
      <x:c r="F228" s="49" t="n">
        <x:v>13573</x:v>
      </x:c>
      <x:c r="G228" s="49" t="n">
        <x:v>0</x:v>
      </x:c>
      <x:c r="H228" s="21" t="str">
        <x:v>Exact</x:v>
      </x:c>
    </x:row>
    <x:row r="229">
      <x:c r="A229" s="21" t="str">
        <x:v>NYC-V2-R02</x:v>
      </x:c>
      <x:c r="B229" s="21" t="str">
        <x:v>V2</x:v>
      </x:c>
      <x:c r="C229" s="21" t="str">
        <x:v>occupied_housing_units</x:v>
      </x:c>
      <x:c r="D229" s="24" t="n">
        <x:v>11727</x:v>
      </x:c>
      <x:c r="E229" s="43" t="n">
        <x:v>401.0303604466874</x:v>
      </x:c>
      <x:c r="F229" s="49" t="n">
        <x:v>11727</x:v>
      </x:c>
      <x:c r="G229" s="49" t="n">
        <x:v>0</x:v>
      </x:c>
      <x:c r="H229" s="21" t="str">
        <x:v>Exact</x:v>
      </x:c>
    </x:row>
    <x:row r="230">
      <x:c r="A230" s="21" t="str">
        <x:v>NYC-V2-R02</x:v>
      </x:c>
      <x:c r="B230" s="21" t="str">
        <x:v>V2</x:v>
      </x:c>
      <x:c r="C230" s="21" t="str">
        <x:v>vacant_housing_units</x:v>
      </x:c>
      <x:c r="D230" s="24" t="n">
        <x:v>1846</x:v>
      </x:c>
      <x:c r="E230" s="43" t="n">
        <x:v>179.9285969489008</x:v>
      </x:c>
      <x:c r="F230" s="49" t="n">
        <x:v>1846</x:v>
      </x:c>
      <x:c r="G230" s="49" t="n">
        <x:v>0</x:v>
      </x:c>
      <x:c r="H230" s="21" t="str">
        <x:v>Exact</x:v>
      </x:c>
    </x:row>
    <x:row r="231">
      <x:c r="A231" s="21" t="str">
        <x:v>NYC-V2-R02</x:v>
      </x:c>
      <x:c r="B231" s="21" t="str">
        <x:v>V2</x:v>
      </x:c>
      <x:c r="C231" s="21" t="str">
        <x:v>owner_occupied_units</x:v>
      </x:c>
      <x:c r="D231" s="24" t="n">
        <x:v>3365</x:v>
      </x:c>
      <x:c r="E231" s="43" t="n">
        <x:v>247.30511376058348</x:v>
      </x:c>
      <x:c r="F231" s="49" t="n">
        <x:v>3365</x:v>
      </x:c>
      <x:c r="G231" s="49" t="n">
        <x:v>0</x:v>
      </x:c>
      <x:c r="H231" s="21" t="str">
        <x:v>Exact</x:v>
      </x:c>
    </x:row>
    <x:row r="232">
      <x:c r="A232" s="21" t="str">
        <x:v>NYC-V2-R02</x:v>
      </x:c>
      <x:c r="B232" s="21" t="str">
        <x:v>V2</x:v>
      </x:c>
      <x:c r="C232" s="21" t="str">
        <x:v>renter_occupied_units</x:v>
      </x:c>
      <x:c r="D232" s="24" t="n">
        <x:v>8362</x:v>
      </x:c>
      <x:c r="E232" s="43" t="n">
        <x:v>382.6239491517273</x:v>
      </x:c>
      <x:c r="F232" s="49" t="n">
        <x:v>8362</x:v>
      </x:c>
      <x:c r="G232" s="49" t="n">
        <x:v>0</x:v>
      </x:c>
      <x:c r="H232" s="21" t="str">
        <x:v>Exact</x:v>
      </x:c>
    </x:row>
    <x:row r="233">
      <x:c r="A233" s="21" t="str">
        <x:v>NYC-V2-R02</x:v>
      </x:c>
      <x:c r="B233" s="21" t="str">
        <x:v>V2</x:v>
      </x:c>
      <x:c r="C233" s="21" t="str">
        <x:v>one_unit_structures</x:v>
      </x:c>
      <x:c r="D233" s="24" t="n">
        <x:v>2708</x:v>
      </x:c>
      <x:c r="E233" s="43" t="n">
        <x:v>237.24022469937137</x:v>
      </x:c>
      <x:c r="F233" s="49" t="n">
        <x:v>2708</x:v>
      </x:c>
      <x:c r="G233" s="49" t="n">
        <x:v>0</x:v>
      </x:c>
      <x:c r="H233" s="21" t="str">
        <x:v>Exact</x:v>
      </x:c>
    </x:row>
    <x:row r="234">
      <x:c r="A234" s="21" t="str">
        <x:v>NYC-V2-R02</x:v>
      </x:c>
      <x:c r="B234" s="21" t="str">
        <x:v>V2</x:v>
      </x:c>
      <x:c r="C234" s="21" t="str">
        <x:v>two_to_four_unit_structures</x:v>
      </x:c>
      <x:c r="D234" s="24" t="n">
        <x:v>2494</x:v>
      </x:c>
      <x:c r="E234" s="43" t="n">
        <x:v>274.9689963046367</x:v>
      </x:c>
      <x:c r="F234" s="49" t="n">
        <x:v>2494</x:v>
      </x:c>
      <x:c r="G234" s="49" t="n">
        <x:v>0</x:v>
      </x:c>
      <x:c r="H234" s="21" t="str">
        <x:v>Exact</x:v>
      </x:c>
    </x:row>
    <x:row r="235">
      <x:c r="A235" s="21" t="str">
        <x:v>NYC-V2-R02</x:v>
      </x:c>
      <x:c r="B235" s="21" t="str">
        <x:v>V2</x:v>
      </x:c>
      <x:c r="C235" s="21" t="str">
        <x:v>five_to_nineteen_unit_structures</x:v>
      </x:c>
      <x:c r="D235" s="24" t="n">
        <x:v>1372</x:v>
      </x:c>
      <x:c r="E235" s="43" t="n">
        <x:v>217.65125289221675</x:v>
      </x:c>
      <x:c r="F235" s="49" t="n">
        <x:v>1372</x:v>
      </x:c>
      <x:c r="G235" s="49" t="n">
        <x:v>0</x:v>
      </x:c>
      <x:c r="H235" s="21" t="str">
        <x:v>Exact</x:v>
      </x:c>
    </x:row>
    <x:row r="236">
      <x:c r="A236" s="21" t="str">
        <x:v>NYC-V2-R02</x:v>
      </x:c>
      <x:c r="B236" s="21" t="str">
        <x:v>V2</x:v>
      </x:c>
      <x:c r="C236" s="21" t="str">
        <x:v>twenty_to_forty_nine_unit_structures</x:v>
      </x:c>
      <x:c r="D236" s="24" t="n">
        <x:v>2896</x:v>
      </x:c>
      <x:c r="E236" s="43" t="n">
        <x:v>283.7245598021828</x:v>
      </x:c>
      <x:c r="F236" s="49" t="n">
        <x:v>2896</x:v>
      </x:c>
      <x:c r="G236" s="49" t="n">
        <x:v>0</x:v>
      </x:c>
      <x:c r="H236" s="21" t="str">
        <x:v>Exact</x:v>
      </x:c>
    </x:row>
    <x:row r="237">
      <x:c r="A237" s="21" t="str">
        <x:v>NYC-V2-R02</x:v>
      </x:c>
      <x:c r="B237" s="21" t="str">
        <x:v>V2</x:v>
      </x:c>
      <x:c r="C237" s="21" t="str">
        <x:v>fifty_plus_unit_structures</x:v>
      </x:c>
      <x:c r="D237" s="24" t="n">
        <x:v>2238</x:v>
      </x:c>
      <x:c r="E237" s="43" t="n">
        <x:v>250.06166034068377</x:v>
      </x:c>
      <x:c r="F237" s="49" t="n">
        <x:v>2238</x:v>
      </x:c>
      <x:c r="G237" s="49" t="n">
        <x:v>0</x:v>
      </x:c>
      <x:c r="H237" s="21" t="str">
        <x:v>Exact</x:v>
      </x:c>
    </x:row>
    <x:row r="238">
      <x:c r="A238" s="21" t="str">
        <x:v>NYC-V2-R02</x:v>
      </x:c>
      <x:c r="B238" s="21" t="str">
        <x:v>V2</x:v>
      </x:c>
      <x:c r="C238" s="21" t="str">
        <x:v>mobile_or_other_units</x:v>
      </x:c>
      <x:c r="D238" s="24" t="n">
        <x:v>19</x:v>
      </x:c>
      <x:c r="E238" s="43" t="n">
        <x:v>58.51359878824627</x:v>
      </x:c>
      <x:c r="F238" s="49" t="n">
        <x:v>19</x:v>
      </x:c>
      <x:c r="G238" s="49" t="n">
        <x:v>0</x:v>
      </x:c>
      <x:c r="H238" s="21" t="str">
        <x:v>Exact</x:v>
      </x:c>
    </x:row>
    <x:row r="239">
      <x:c r="A239" s="21" t="str">
        <x:v>NYC-V2-R02</x:v>
      </x:c>
      <x:c r="B239" s="21" t="str">
        <x:v>V2</x:v>
      </x:c>
      <x:c r="C239" s="21" t="str">
        <x:v>electric_heat_households</x:v>
      </x:c>
      <x:c r="D239" s="24" t="n">
        <x:v>1098</x:v>
      </x:c>
      <x:c r="E239" s="43" t="n">
        <x:v>147.60826535123297</x:v>
      </x:c>
      <x:c r="F239" s="49" t="n">
        <x:v>1098</x:v>
      </x:c>
      <x:c r="G239" s="49" t="n">
        <x:v>0</x:v>
      </x:c>
      <x:c r="H239" s="21" t="str">
        <x:v>Exact</x:v>
      </x:c>
    </x:row>
    <x:row r="240">
      <x:c r="A240" s="21" t="str">
        <x:v>NYC-V2-R02</x:v>
      </x:c>
      <x:c r="B240" s="21" t="str">
        <x:v>V2</x:v>
      </x:c>
      <x:c r="C240" s="21" t="str">
        <x:v>group_quarters_population</x:v>
      </x:c>
      <x:c r="D240" s="24" t="n">
        <x:v>333</x:v>
      </x:c>
      <x:c r="E240" s="43" t="n">
        <x:v>21.473239159474755</x:v>
      </x:c>
      <x:c r="F240" s="49" t="n">
        <x:v>333</x:v>
      </x:c>
      <x:c r="G240" s="49" t="n">
        <x:v>0</x:v>
      </x:c>
      <x:c r="H240" s="21" t="str">
        <x:v>Exact</x:v>
      </x:c>
    </x:row>
    <x:row r="241">
      <x:c r="A241" s="21" t="str">
        <x:v>NYC-V2-R03</x:v>
      </x:c>
      <x:c r="B241" s="21" t="str">
        <x:v>V2</x:v>
      </x:c>
      <x:c r="C241" s="21" t="str">
        <x:v>acs_population</x:v>
      </x:c>
      <x:c r="D241" s="24" t="n">
        <x:v>38764</x:v>
      </x:c>
      <x:c r="E241" s="43" t="n">
        <x:v>1372.3163629425976</x:v>
      </x:c>
      <x:c r="F241" s="49" t="n">
        <x:v>38764</x:v>
      </x:c>
      <x:c r="G241" s="49" t="n">
        <x:v>0</x:v>
      </x:c>
      <x:c r="H241" s="21" t="str">
        <x:v>Exact</x:v>
      </x:c>
    </x:row>
    <x:row r="242">
      <x:c r="A242" s="21" t="str">
        <x:v>NYC-V2-R03</x:v>
      </x:c>
      <x:c r="B242" s="21" t="str">
        <x:v>V2</x:v>
      </x:c>
      <x:c r="C242" s="21" t="str">
        <x:v>age_under_18</x:v>
      </x:c>
      <x:c r="D242" s="24" t="n">
        <x:v>7977</x:v>
      </x:c>
      <x:c r="E242" s="43" t="n">
        <x:v>702.6615116825454</x:v>
      </x:c>
      <x:c r="F242" s="49" t="n">
        <x:v>7977</x:v>
      </x:c>
      <x:c r="G242" s="49" t="n">
        <x:v>0</x:v>
      </x:c>
      <x:c r="H242" s="21" t="str">
        <x:v>Exact</x:v>
      </x:c>
    </x:row>
    <x:row r="243">
      <x:c r="A243" s="21" t="str">
        <x:v>NYC-V2-R03</x:v>
      </x:c>
      <x:c r="B243" s="21" t="str">
        <x:v>V2</x:v>
      </x:c>
      <x:c r="C243" s="21" t="str">
        <x:v>age_under_5</x:v>
      </x:c>
      <x:c r="D243" s="24" t="n">
        <x:v>2261</x:v>
      </x:c>
      <x:c r="E243" s="43" t="n">
        <x:v>305.1477510977264</x:v>
      </x:c>
      <x:c r="F243" s="49" t="n">
        <x:v>2261</x:v>
      </x:c>
      <x:c r="G243" s="49" t="n">
        <x:v>0</x:v>
      </x:c>
      <x:c r="H243" s="21" t="str">
        <x:v>Exact</x:v>
      </x:c>
    </x:row>
    <x:row r="244">
      <x:c r="A244" s="21" t="str">
        <x:v>NYC-V2-R03</x:v>
      </x:c>
      <x:c r="B244" s="21" t="str">
        <x:v>V2</x:v>
      </x:c>
      <x:c r="C244" s="21" t="str">
        <x:v>age_65_plus</x:v>
      </x:c>
      <x:c r="D244" s="24" t="n">
        <x:v>4703</x:v>
      </x:c>
      <x:c r="E244" s="43" t="n">
        <x:v>311.46685216889455</x:v>
      </x:c>
      <x:c r="F244" s="49" t="n">
        <x:v>4703</x:v>
      </x:c>
      <x:c r="G244" s="49" t="n">
        <x:v>0</x:v>
      </x:c>
      <x:c r="H244" s="21" t="str">
        <x:v>Exact</x:v>
      </x:c>
    </x:row>
    <x:row r="245">
      <x:c r="A245" s="21" t="str">
        <x:v>NYC-V2-R03</x:v>
      </x:c>
      <x:c r="B245" s="21" t="str">
        <x:v>V2</x:v>
      </x:c>
      <x:c r="C245" s="21" t="str">
        <x:v>age_75_plus</x:v>
      </x:c>
      <x:c r="D245" s="24" t="n">
        <x:v>1719</x:v>
      </x:c>
      <x:c r="E245" s="43" t="n">
        <x:v>207.76501149134808</x:v>
      </x:c>
      <x:c r="F245" s="49" t="n">
        <x:v>1719</x:v>
      </x:c>
      <x:c r="G245" s="49" t="n">
        <x:v>0</x:v>
      </x:c>
      <x:c r="H245" s="21" t="str">
        <x:v>Exact</x:v>
      </x:c>
    </x:row>
    <x:row r="246">
      <x:c r="A246" s="21" t="str">
        <x:v>NYC-V2-R03</x:v>
      </x:c>
      <x:c r="B246" s="21" t="str">
        <x:v>V2</x:v>
      </x:c>
      <x:c r="C246" s="21" t="str">
        <x:v>age_85_plus</x:v>
      </x:c>
      <x:c r="D246" s="24" t="n">
        <x:v>558</x:v>
      </x:c>
      <x:c r="E246" s="43" t="n">
        <x:v>119.77645845490675</x:v>
      </x:c>
      <x:c r="F246" s="49" t="n">
        <x:v>558</x:v>
      </x:c>
      <x:c r="G246" s="49" t="n">
        <x:v>0</x:v>
      </x:c>
      <x:c r="H246" s="21" t="str">
        <x:v>Exact</x:v>
      </x:c>
    </x:row>
    <x:row r="247">
      <x:c r="A247" s="21" t="str">
        <x:v>NYC-V2-R03</x:v>
      </x:c>
      <x:c r="B247" s="21" t="str">
        <x:v>V2</x:v>
      </x:c>
      <x:c r="C247" s="21" t="str">
        <x:v>civilian_noninstitutionalized</x:v>
      </x:c>
      <x:c r="D247" s="24" t="n">
        <x:v>38606</x:v>
      </x:c>
      <x:c r="E247" s="43" t="n">
        <x:v>1370.8796263713311</x:v>
      </x:c>
      <x:c r="F247" s="49" t="n">
        <x:v>38606</x:v>
      </x:c>
      <x:c r="G247" s="49" t="n">
        <x:v>0</x:v>
      </x:c>
      <x:c r="H247" s="21" t="str">
        <x:v>Exact</x:v>
      </x:c>
    </x:row>
    <x:row r="248">
      <x:c r="A248" s="21" t="str">
        <x:v>NYC-V2-R03</x:v>
      </x:c>
      <x:c r="B248" s="21" t="str">
        <x:v>V2</x:v>
      </x:c>
      <x:c r="C248" s="21" t="str">
        <x:v>any_disability</x:v>
      </x:c>
      <x:c r="D248" s="24" t="n">
        <x:v>4799</x:v>
      </x:c>
      <x:c r="E248" s="43" t="n">
        <x:v>368.2411573955307</x:v>
      </x:c>
      <x:c r="F248" s="49" t="n">
        <x:v>4799</x:v>
      </x:c>
      <x:c r="G248" s="49" t="n">
        <x:v>0</x:v>
      </x:c>
      <x:c r="H248" s="21" t="str">
        <x:v>Exact</x:v>
      </x:c>
    </x:row>
    <x:row r="249">
      <x:c r="A249" s="21" t="str">
        <x:v>NYC-V2-R03</x:v>
      </x:c>
      <x:c r="B249" s="21" t="str">
        <x:v>V2</x:v>
      </x:c>
      <x:c r="C249" s="21" t="str">
        <x:v>disability_under_18</x:v>
      </x:c>
      <x:c r="D249" s="24" t="n">
        <x:v>363</x:v>
      </x:c>
      <x:c r="E249" s="43" t="n">
        <x:v>137.37667196434774</x:v>
      </x:c>
      <x:c r="F249" s="49" t="n">
        <x:v>363</x:v>
      </x:c>
      <x:c r="G249" s="49" t="n">
        <x:v>0</x:v>
      </x:c>
      <x:c r="H249" s="21" t="str">
        <x:v>Exact</x:v>
      </x:c>
    </x:row>
    <x:row r="250">
      <x:c r="A250" s="21" t="str">
        <x:v>NYC-V2-R03</x:v>
      </x:c>
      <x:c r="B250" s="21" t="str">
        <x:v>V2</x:v>
      </x:c>
      <x:c r="C250" s="21" t="str">
        <x:v>disability_18_64</x:v>
      </x:c>
      <x:c r="D250" s="24" t="n">
        <x:v>2617</x:v>
      </x:c>
      <x:c r="E250" s="43" t="n">
        <x:v>263.2219595702456</x:v>
      </x:c>
      <x:c r="F250" s="49" t="n">
        <x:v>2617</x:v>
      </x:c>
      <x:c r="G250" s="49" t="n">
        <x:v>0</x:v>
      </x:c>
      <x:c r="H250" s="21" t="str">
        <x:v>Exact</x:v>
      </x:c>
    </x:row>
    <x:row r="251">
      <x:c r="A251" s="21" t="str">
        <x:v>NYC-V2-R03</x:v>
      </x:c>
      <x:c r="B251" s="21" t="str">
        <x:v>V2</x:v>
      </x:c>
      <x:c r="C251" s="21" t="str">
        <x:v>disability_65_plus</x:v>
      </x:c>
      <x:c r="D251" s="24" t="n">
        <x:v>1819</x:v>
      </x:c>
      <x:c r="E251" s="43" t="n">
        <x:v>212.02028204867574</x:v>
      </x:c>
      <x:c r="F251" s="49" t="n">
        <x:v>1819</x:v>
      </x:c>
      <x:c r="G251" s="49" t="n">
        <x:v>0</x:v>
      </x:c>
      <x:c r="H251" s="21" t="str">
        <x:v>Exact</x:v>
      </x:c>
    </x:row>
    <x:row r="252">
      <x:c r="A252" s="21" t="str">
        <x:v>NYC-V2-R03</x:v>
      </x:c>
      <x:c r="B252" s="21" t="str">
        <x:v>V2</x:v>
      </x:c>
      <x:c r="C252" s="21" t="str">
        <x:v>hearing_difficulty</x:v>
      </x:c>
      <x:c r="D252" s="24" t="n">
        <x:v>590</x:v>
      </x:c>
      <x:c r="E252" s="43" t="n">
        <x:v>166.00976718490733</x:v>
      </x:c>
      <x:c r="F252" s="49" t="n">
        <x:v>590</x:v>
      </x:c>
      <x:c r="G252" s="49" t="n">
        <x:v>0</x:v>
      </x:c>
      <x:c r="H252" s="21" t="str">
        <x:v>Exact</x:v>
      </x:c>
    </x:row>
    <x:row r="253">
      <x:c r="A253" s="21" t="str">
        <x:v>NYC-V2-R03</x:v>
      </x:c>
      <x:c r="B253" s="21" t="str">
        <x:v>V2</x:v>
      </x:c>
      <x:c r="C253" s="21" t="str">
        <x:v>vision_difficulty</x:v>
      </x:c>
      <x:c r="D253" s="24" t="n">
        <x:v>1163</x:v>
      </x:c>
      <x:c r="E253" s="43" t="n">
        <x:v>203.67917005083936</x:v>
      </x:c>
      <x:c r="F253" s="49" t="n">
        <x:v>1163</x:v>
      </x:c>
      <x:c r="G253" s="49" t="n">
        <x:v>0</x:v>
      </x:c>
      <x:c r="H253" s="21" t="str">
        <x:v>Exact</x:v>
      </x:c>
    </x:row>
    <x:row r="254">
      <x:c r="A254" s="21" t="str">
        <x:v>NYC-V2-R03</x:v>
      </x:c>
      <x:c r="B254" s="21" t="str">
        <x:v>V2</x:v>
      </x:c>
      <x:c r="C254" s="21" t="str">
        <x:v>cognitive_difficulty</x:v>
      </x:c>
      <x:c r="D254" s="24" t="n">
        <x:v>1801</x:v>
      </x:c>
      <x:c r="E254" s="43" t="n">
        <x:v>226.2125254884308</x:v>
      </x:c>
      <x:c r="F254" s="49" t="n">
        <x:v>1801</x:v>
      </x:c>
      <x:c r="G254" s="49" t="n">
        <x:v>0</x:v>
      </x:c>
      <x:c r="H254" s="21" t="str">
        <x:v>Exact</x:v>
      </x:c>
    </x:row>
    <x:row r="255">
      <x:c r="A255" s="21" t="str">
        <x:v>NYC-V2-R03</x:v>
      </x:c>
      <x:c r="B255" s="21" t="str">
        <x:v>V2</x:v>
      </x:c>
      <x:c r="C255" s="21" t="str">
        <x:v>ambulatory_difficulty</x:v>
      </x:c>
      <x:c r="D255" s="24" t="n">
        <x:v>2820</x:v>
      </x:c>
      <x:c r="E255" s="43" t="n">
        <x:v>289.0806021413726</x:v>
      </x:c>
      <x:c r="F255" s="49" t="n">
        <x:v>2820</x:v>
      </x:c>
      <x:c r="G255" s="49" t="n">
        <x:v>0</x:v>
      </x:c>
      <x:c r="H255" s="21" t="str">
        <x:v>Exact</x:v>
      </x:c>
    </x:row>
    <x:row r="256">
      <x:c r="A256" s="21" t="str">
        <x:v>NYC-V2-R03</x:v>
      </x:c>
      <x:c r="B256" s="21" t="str">
        <x:v>V2</x:v>
      </x:c>
      <x:c r="C256" s="21" t="str">
        <x:v>self_care_difficulty</x:v>
      </x:c>
      <x:c r="D256" s="24" t="n">
        <x:v>931</x:v>
      </x:c>
      <x:c r="E256" s="43" t="n">
        <x:v>178.47303762899713</x:v>
      </x:c>
      <x:c r="F256" s="49" t="n">
        <x:v>931</x:v>
      </x:c>
      <x:c r="G256" s="49" t="n">
        <x:v>0</x:v>
      </x:c>
      <x:c r="H256" s="21" t="str">
        <x:v>Exact</x:v>
      </x:c>
    </x:row>
    <x:row r="257">
      <x:c r="A257" s="21" t="str">
        <x:v>NYC-V2-R03</x:v>
      </x:c>
      <x:c r="B257" s="21" t="str">
        <x:v>V2</x:v>
      </x:c>
      <x:c r="C257" s="21" t="str">
        <x:v>independent_living_difficulty</x:v>
      </x:c>
      <x:c r="D257" s="24" t="n">
        <x:v>1682</x:v>
      </x:c>
      <x:c r="E257" s="43" t="n">
        <x:v>217.07746201256452</x:v>
      </x:c>
      <x:c r="F257" s="49" t="n">
        <x:v>1682</x:v>
      </x:c>
      <x:c r="G257" s="49" t="n">
        <x:v>0</x:v>
      </x:c>
      <x:c r="H257" s="21" t="str">
        <x:v>Exact</x:v>
      </x:c>
    </x:row>
    <x:row r="258">
      <x:c r="A258" s="21" t="str">
        <x:v>NYC-V2-R03</x:v>
      </x:c>
      <x:c r="B258" s="21" t="str">
        <x:v>V2</x:v>
      </x:c>
      <x:c r="C258" s="21" t="str">
        <x:v>households</x:v>
      </x:c>
      <x:c r="D258" s="24" t="n">
        <x:v>15397</x:v>
      </x:c>
      <x:c r="E258" s="43" t="n">
        <x:v>332.22033351376916</x:v>
      </x:c>
      <x:c r="F258" s="49" t="n">
        <x:v>15397</x:v>
      </x:c>
      <x:c r="G258" s="49" t="n">
        <x:v>0</x:v>
      </x:c>
      <x:c r="H258" s="21" t="str">
        <x:v>Exact</x:v>
      </x:c>
    </x:row>
    <x:row r="259">
      <x:c r="A259" s="21" t="str">
        <x:v>NYC-V2-R03</x:v>
      </x:c>
      <x:c r="B259" s="21" t="str">
        <x:v>V2</x:v>
      </x:c>
      <x:c r="C259" s="21" t="str">
        <x:v>family_households</x:v>
      </x:c>
      <x:c r="D259" s="24" t="n">
        <x:v>7836</x:v>
      </x:c>
      <x:c r="E259" s="43" t="n">
        <x:v>353.01593448454986</x:v>
      </x:c>
      <x:c r="F259" s="49" t="n">
        <x:v>7836</x:v>
      </x:c>
      <x:c r="G259" s="49" t="n">
        <x:v>0</x:v>
      </x:c>
      <x:c r="H259" s="21" t="str">
        <x:v>Exact</x:v>
      </x:c>
    </x:row>
    <x:row r="260">
      <x:c r="A260" s="21" t="str">
        <x:v>NYC-V2-R03</x:v>
      </x:c>
      <x:c r="B260" s="21" t="str">
        <x:v>V2</x:v>
      </x:c>
      <x:c r="C260" s="21" t="str">
        <x:v>nonfamily_households</x:v>
      </x:c>
      <x:c r="D260" s="24" t="n">
        <x:v>7561</x:v>
      </x:c>
      <x:c r="E260" s="43" t="n">
        <x:v>300.52304404155103</x:v>
      </x:c>
      <x:c r="F260" s="49" t="n">
        <x:v>7561</x:v>
      </x:c>
      <x:c r="G260" s="49" t="n">
        <x:v>0</x:v>
      </x:c>
      <x:c r="H260" s="21" t="str">
        <x:v>Exact</x:v>
      </x:c>
    </x:row>
    <x:row r="261">
      <x:c r="A261" s="21" t="str">
        <x:v>NYC-V2-R03</x:v>
      </x:c>
      <x:c r="B261" s="21" t="str">
        <x:v>V2</x:v>
      </x:c>
      <x:c r="C261" s="21" t="str">
        <x:v>living_alone_households</x:v>
      </x:c>
      <x:c r="D261" s="24" t="n">
        <x:v>4933</x:v>
      </x:c>
      <x:c r="E261" s="43" t="n">
        <x:v>322.9971362102147</x:v>
      </x:c>
      <x:c r="F261" s="49" t="n">
        <x:v>4933</x:v>
      </x:c>
      <x:c r="G261" s="49" t="n">
        <x:v>0</x:v>
      </x:c>
      <x:c r="H261" s="21" t="str">
        <x:v>Exact</x:v>
      </x:c>
    </x:row>
    <x:row r="262">
      <x:c r="A262" s="21" t="str">
        <x:v>NYC-V2-R03</x:v>
      </x:c>
      <x:c r="B262" s="21" t="str">
        <x:v>V2</x:v>
      </x:c>
      <x:c r="C262" s="21" t="str">
        <x:v>households_with_children</x:v>
      </x:c>
      <x:c r="D262" s="24" t="n">
        <x:v>4145</x:v>
      </x:c>
      <x:c r="E262" s="43" t="n">
        <x:v>321.27005773959087</x:v>
      </x:c>
      <x:c r="F262" s="49" t="n">
        <x:v>4145</x:v>
      </x:c>
      <x:c r="G262" s="49" t="n">
        <x:v>0</x:v>
      </x:c>
      <x:c r="H262" s="21" t="str">
        <x:v>Exact</x:v>
      </x:c>
    </x:row>
    <x:row r="263">
      <x:c r="A263" s="21" t="str">
        <x:v>NYC-V2-R03</x:v>
      </x:c>
      <x:c r="B263" s="21" t="str">
        <x:v>V2</x:v>
      </x:c>
      <x:c r="C263" s="21" t="str">
        <x:v>households_with_age65</x:v>
      </x:c>
      <x:c r="D263" s="24" t="n">
        <x:v>3626</x:v>
      </x:c>
      <x:c r="E263" s="43" t="n">
        <x:v>217.12922419609941</x:v>
      </x:c>
      <x:c r="F263" s="49" t="n">
        <x:v>3626</x:v>
      </x:c>
      <x:c r="G263" s="49" t="n">
        <x:v>0</x:v>
      </x:c>
      <x:c r="H263" s="21" t="str">
        <x:v>Exact</x:v>
      </x:c>
    </x:row>
    <x:row r="264">
      <x:c r="A264" s="21" t="str">
        <x:v>NYC-V2-R03</x:v>
      </x:c>
      <x:c r="B264" s="21" t="str">
        <x:v>V2</x:v>
      </x:c>
      <x:c r="C264" s="21" t="str">
        <x:v>age65_one_person_households</x:v>
      </x:c>
      <x:c r="D264" s="24" t="n">
        <x:v>1187</x:v>
      </x:c>
      <x:c r="E264" s="43" t="n">
        <x:v>144.60981986020175</x:v>
      </x:c>
      <x:c r="F264" s="49" t="n">
        <x:v>1187</x:v>
      </x:c>
      <x:c r="G264" s="49" t="n">
        <x:v>0</x:v>
      </x:c>
      <x:c r="H264" s="21" t="str">
        <x:v>Exact</x:v>
      </x:c>
    </x:row>
    <x:row r="265">
      <x:c r="A265" s="21" t="str">
        <x:v>NYC-V2-R03</x:v>
      </x:c>
      <x:c r="B265" s="21" t="str">
        <x:v>V2</x:v>
      </x:c>
      <x:c r="C265" s="21" t="str">
        <x:v>no_vehicle_households</x:v>
      </x:c>
      <x:c r="D265" s="24" t="n">
        <x:v>8729</x:v>
      </x:c>
      <x:c r="E265" s="43" t="n">
        <x:v>357.2068752039655</x:v>
      </x:c>
      <x:c r="F265" s="49" t="n">
        <x:v>8729</x:v>
      </x:c>
      <x:c r="G265" s="49" t="n">
        <x:v>0</x:v>
      </x:c>
      <x:c r="H265" s="21" t="str">
        <x:v>Exact</x:v>
      </x:c>
    </x:row>
    <x:row r="266">
      <x:c r="A266" s="21" t="str">
        <x:v>NYC-V2-R03</x:v>
      </x:c>
      <x:c r="B266" s="21" t="str">
        <x:v>V2</x:v>
      </x:c>
      <x:c r="C266" s="21" t="str">
        <x:v>limited_english_households</x:v>
      </x:c>
      <x:c r="D266" s="24" t="n">
        <x:v>183</x:v>
      </x:c>
      <x:c r="E266" s="43" t="n">
        <x:v>88.41171532011109</x:v>
      </x:c>
      <x:c r="F266" s="49" t="n">
        <x:v>183</x:v>
      </x:c>
      <x:c r="G266" s="49" t="n">
        <x:v>0</x:v>
      </x:c>
      <x:c r="H266" s="21" t="str">
        <x:v>Exact</x:v>
      </x:c>
    </x:row>
    <x:row r="267">
      <x:c r="A267" s="21" t="str">
        <x:v>NYC-V2-R03</x:v>
      </x:c>
      <x:c r="B267" s="21" t="str">
        <x:v>V2</x:v>
      </x:c>
      <x:c r="C267" s="21" t="str">
        <x:v>housing_units</x:v>
      </x:c>
      <x:c r="D267" s="24" t="n">
        <x:v>17030</x:v>
      </x:c>
      <x:c r="E267" s="43" t="n">
        <x:v>281.80880043036274</x:v>
      </x:c>
      <x:c r="F267" s="49" t="n">
        <x:v>17030</x:v>
      </x:c>
      <x:c r="G267" s="49" t="n">
        <x:v>0</x:v>
      </x:c>
      <x:c r="H267" s="21" t="str">
        <x:v>Exact</x:v>
      </x:c>
    </x:row>
    <x:row r="268">
      <x:c r="A268" s="21" t="str">
        <x:v>NYC-V2-R03</x:v>
      </x:c>
      <x:c r="B268" s="21" t="str">
        <x:v>V2</x:v>
      </x:c>
      <x:c r="C268" s="21" t="str">
        <x:v>occupied_housing_units</x:v>
      </x:c>
      <x:c r="D268" s="24" t="n">
        <x:v>15397</x:v>
      </x:c>
      <x:c r="E268" s="43" t="n">
        <x:v>332.22033351376916</x:v>
      </x:c>
      <x:c r="F268" s="49" t="n">
        <x:v>15397</x:v>
      </x:c>
      <x:c r="G268" s="49" t="n">
        <x:v>0</x:v>
      </x:c>
      <x:c r="H268" s="21" t="str">
        <x:v>Exact</x:v>
      </x:c>
    </x:row>
    <x:row r="269">
      <x:c r="A269" s="21" t="str">
        <x:v>NYC-V2-R03</x:v>
      </x:c>
      <x:c r="B269" s="21" t="str">
        <x:v>V2</x:v>
      </x:c>
      <x:c r="C269" s="21" t="str">
        <x:v>vacant_housing_units</x:v>
      </x:c>
      <x:c r="D269" s="24" t="n">
        <x:v>1633</x:v>
      </x:c>
      <x:c r="E269" s="43" t="n">
        <x:v>167.9138171801237</x:v>
      </x:c>
      <x:c r="F269" s="49" t="n">
        <x:v>1633</x:v>
      </x:c>
      <x:c r="G269" s="49" t="n">
        <x:v>0</x:v>
      </x:c>
      <x:c r="H269" s="21" t="str">
        <x:v>Exact</x:v>
      </x:c>
    </x:row>
    <x:row r="270">
      <x:c r="A270" s="21" t="str">
        <x:v>NYC-V2-R03</x:v>
      </x:c>
      <x:c r="B270" s="21" t="str">
        <x:v>V2</x:v>
      </x:c>
      <x:c r="C270" s="21" t="str">
        <x:v>owner_occupied_units</x:v>
      </x:c>
      <x:c r="D270" s="24" t="n">
        <x:v>4446</x:v>
      </x:c>
      <x:c r="E270" s="43" t="n">
        <x:v>279.64384815669155</x:v>
      </x:c>
      <x:c r="F270" s="49" t="n">
        <x:v>4446</x:v>
      </x:c>
      <x:c r="G270" s="49" t="n">
        <x:v>0</x:v>
      </x:c>
      <x:c r="H270" s="21" t="str">
        <x:v>Exact</x:v>
      </x:c>
    </x:row>
    <x:row r="271">
      <x:c r="A271" s="21" t="str">
        <x:v>NYC-V2-R03</x:v>
      </x:c>
      <x:c r="B271" s="21" t="str">
        <x:v>V2</x:v>
      </x:c>
      <x:c r="C271" s="21" t="str">
        <x:v>renter_occupied_units</x:v>
      </x:c>
      <x:c r="D271" s="24" t="n">
        <x:v>10951</x:v>
      </x:c>
      <x:c r="E271" s="43" t="n">
        <x:v>394.6436015113587</x:v>
      </x:c>
      <x:c r="F271" s="49" t="n">
        <x:v>10951</x:v>
      </x:c>
      <x:c r="G271" s="49" t="n">
        <x:v>0</x:v>
      </x:c>
      <x:c r="H271" s="21" t="str">
        <x:v>Exact</x:v>
      </x:c>
    </x:row>
    <x:row r="272">
      <x:c r="A272" s="21" t="str">
        <x:v>NYC-V2-R03</x:v>
      </x:c>
      <x:c r="B272" s="21" t="str">
        <x:v>V2</x:v>
      </x:c>
      <x:c r="C272" s="21" t="str">
        <x:v>one_unit_structures</x:v>
      </x:c>
      <x:c r="D272" s="24" t="n">
        <x:v>1672</x:v>
      </x:c>
      <x:c r="E272" s="43" t="n">
        <x:v>215.3280390298036</x:v>
      </x:c>
      <x:c r="F272" s="49" t="n">
        <x:v>1672</x:v>
      </x:c>
      <x:c r="G272" s="49" t="n">
        <x:v>0</x:v>
      </x:c>
      <x:c r="H272" s="21" t="str">
        <x:v>Exact</x:v>
      </x:c>
    </x:row>
    <x:row r="273">
      <x:c r="A273" s="21" t="str">
        <x:v>NYC-V2-R03</x:v>
      </x:c>
      <x:c r="B273" s="21" t="str">
        <x:v>V2</x:v>
      </x:c>
      <x:c r="C273" s="21" t="str">
        <x:v>two_to_four_unit_structures</x:v>
      </x:c>
      <x:c r="D273" s="24" t="n">
        <x:v>6938</x:v>
      </x:c>
      <x:c r="E273" s="43" t="n">
        <x:v>386.53532607054063</x:v>
      </x:c>
      <x:c r="F273" s="49" t="n">
        <x:v>6938</x:v>
      </x:c>
      <x:c r="G273" s="49" t="n">
        <x:v>0</x:v>
      </x:c>
      <x:c r="H273" s="21" t="str">
        <x:v>Exact</x:v>
      </x:c>
    </x:row>
    <x:row r="274">
      <x:c r="A274" s="21" t="str">
        <x:v>NYC-V2-R03</x:v>
      </x:c>
      <x:c r="B274" s="21" t="str">
        <x:v>V2</x:v>
      </x:c>
      <x:c r="C274" s="21" t="str">
        <x:v>five_to_nineteen_unit_structures</x:v>
      </x:c>
      <x:c r="D274" s="24" t="n">
        <x:v>3263</x:v>
      </x:c>
      <x:c r="E274" s="43" t="n">
        <x:v>294.0238957541901</x:v>
      </x:c>
      <x:c r="F274" s="49" t="n">
        <x:v>3263</x:v>
      </x:c>
      <x:c r="G274" s="49" t="n">
        <x:v>0</x:v>
      </x:c>
      <x:c r="H274" s="21" t="str">
        <x:v>Exact</x:v>
      </x:c>
    </x:row>
    <x:row r="275">
      <x:c r="A275" s="21" t="str">
        <x:v>NYC-V2-R03</x:v>
      </x:c>
      <x:c r="B275" s="21" t="str">
        <x:v>V2</x:v>
      </x:c>
      <x:c r="C275" s="21" t="str">
        <x:v>twenty_to_forty_nine_unit_structures</x:v>
      </x:c>
      <x:c r="D275" s="24" t="n">
        <x:v>1613</x:v>
      </x:c>
      <x:c r="E275" s="43" t="n">
        <x:v>205.62573992379473</x:v>
      </x:c>
      <x:c r="F275" s="49" t="n">
        <x:v>1613</x:v>
      </x:c>
      <x:c r="G275" s="49" t="n">
        <x:v>0</x:v>
      </x:c>
      <x:c r="H275" s="21" t="str">
        <x:v>Exact</x:v>
      </x:c>
    </x:row>
    <x:row r="276">
      <x:c r="A276" s="21" t="str">
        <x:v>NYC-V2-R03</x:v>
      </x:c>
      <x:c r="B276" s="21" t="str">
        <x:v>V2</x:v>
      </x:c>
      <x:c r="C276" s="21" t="str">
        <x:v>fifty_plus_unit_structures</x:v>
      </x:c>
      <x:c r="D276" s="24" t="n">
        <x:v>1911</x:v>
      </x:c>
      <x:c r="E276" s="43" t="n">
        <x:v>194.5773115990532</x:v>
      </x:c>
      <x:c r="F276" s="49" t="n">
        <x:v>1911</x:v>
      </x:c>
      <x:c r="G276" s="49" t="n">
        <x:v>0</x:v>
      </x:c>
      <x:c r="H276" s="21" t="str">
        <x:v>Exact</x:v>
      </x:c>
    </x:row>
    <x:row r="277">
      <x:c r="A277" s="21" t="str">
        <x:v>NYC-V2-R03</x:v>
      </x:c>
      <x:c r="B277" s="21" t="str">
        <x:v>V2</x:v>
      </x:c>
      <x:c r="C277" s="21" t="str">
        <x:v>mobile_or_other_units</x:v>
      </x:c>
      <x:c r="D277" s="24" t="n">
        <x:v>0</x:v>
      </x:c>
      <x:c r="E277" s="43" t="n">
        <x:v>56.045862962266796</x:v>
      </x:c>
      <x:c r="F277" s="49" t="n">
        <x:v>0</x:v>
      </x:c>
      <x:c r="G277" s="49" t="n">
        <x:v>0</x:v>
      </x:c>
      <x:c r="H277" s="21" t="str">
        <x:v>Exact</x:v>
      </x:c>
    </x:row>
    <x:row r="278">
      <x:c r="A278" s="21" t="str">
        <x:v>NYC-V2-R03</x:v>
      </x:c>
      <x:c r="B278" s="21" t="str">
        <x:v>V2</x:v>
      </x:c>
      <x:c r="C278" s="21" t="str">
        <x:v>electric_heat_households</x:v>
      </x:c>
      <x:c r="D278" s="24" t="n">
        <x:v>2701</x:v>
      </x:c>
      <x:c r="E278" s="43" t="n">
        <x:v>208.2869415013817</x:v>
      </x:c>
      <x:c r="F278" s="49" t="n">
        <x:v>2701</x:v>
      </x:c>
      <x:c r="G278" s="49" t="n">
        <x:v>0</x:v>
      </x:c>
      <x:c r="H278" s="21" t="str">
        <x:v>Exact</x:v>
      </x:c>
    </x:row>
    <x:row r="279">
      <x:c r="A279" s="21" t="str">
        <x:v>NYC-V2-R03</x:v>
      </x:c>
      <x:c r="B279" s="21" t="str">
        <x:v>V2</x:v>
      </x:c>
      <x:c r="C279" s="21" t="str">
        <x:v>group_quarters_population</x:v>
      </x:c>
      <x:c r="D279" s="24" t="n">
        <x:v>561</x:v>
      </x:c>
      <x:c r="E279" s="43" t="n">
        <x:v>12.77106103657797</x:v>
      </x:c>
      <x:c r="F279" s="49" t="n">
        <x:v>561</x:v>
      </x:c>
      <x:c r="G279" s="49" t="n">
        <x:v>0</x:v>
      </x:c>
      <x:c r="H279" s="21" t="str">
        <x:v>Exact</x:v>
      </x:c>
    </x:row>
    <x:row r="280">
      <x:c r="A280" s="21" t="str">
        <x:v>NYC-V2-R04</x:v>
      </x:c>
      <x:c r="B280" s="21" t="str">
        <x:v>V2</x:v>
      </x:c>
      <x:c r="C280" s="21" t="str">
        <x:v>acs_population</x:v>
      </x:c>
      <x:c r="D280" s="24" t="n">
        <x:v>35397</x:v>
      </x:c>
      <x:c r="E280" s="43" t="n">
        <x:v>1482.3410538739051</x:v>
      </x:c>
      <x:c r="F280" s="49" t="n">
        <x:v>35397</x:v>
      </x:c>
      <x:c r="G280" s="49" t="n">
        <x:v>0</x:v>
      </x:c>
      <x:c r="H280" s="21" t="str">
        <x:v>Exact</x:v>
      </x:c>
    </x:row>
    <x:row r="281">
      <x:c r="A281" s="21" t="str">
        <x:v>NYC-V2-R04</x:v>
      </x:c>
      <x:c r="B281" s="21" t="str">
        <x:v>V2</x:v>
      </x:c>
      <x:c r="C281" s="21" t="str">
        <x:v>age_under_18</x:v>
      </x:c>
      <x:c r="D281" s="24" t="n">
        <x:v>9778</x:v>
      </x:c>
      <x:c r="E281" s="43" t="n">
        <x:v>867.2309092738797</x:v>
      </x:c>
      <x:c r="F281" s="49" t="n">
        <x:v>9778</x:v>
      </x:c>
      <x:c r="G281" s="49" t="n">
        <x:v>0</x:v>
      </x:c>
      <x:c r="H281" s="21" t="str">
        <x:v>Exact</x:v>
      </x:c>
    </x:row>
    <x:row r="282">
      <x:c r="A282" s="21" t="str">
        <x:v>NYC-V2-R04</x:v>
      </x:c>
      <x:c r="B282" s="21" t="str">
        <x:v>V2</x:v>
      </x:c>
      <x:c r="C282" s="21" t="str">
        <x:v>age_under_5</x:v>
      </x:c>
      <x:c r="D282" s="24" t="n">
        <x:v>2621</x:v>
      </x:c>
      <x:c r="E282" s="43" t="n">
        <x:v>500.12618407757856</x:v>
      </x:c>
      <x:c r="F282" s="49" t="n">
        <x:v>2621</x:v>
      </x:c>
      <x:c r="G282" s="49" t="n">
        <x:v>0</x:v>
      </x:c>
      <x:c r="H282" s="21" t="str">
        <x:v>Exact</x:v>
      </x:c>
    </x:row>
    <x:row r="283">
      <x:c r="A283" s="21" t="str">
        <x:v>NYC-V2-R04</x:v>
      </x:c>
      <x:c r="B283" s="21" t="str">
        <x:v>V2</x:v>
      </x:c>
      <x:c r="C283" s="21" t="str">
        <x:v>age_65_plus</x:v>
      </x:c>
      <x:c r="D283" s="24" t="n">
        <x:v>4484</x:v>
      </x:c>
      <x:c r="E283" s="43" t="n">
        <x:v>520.930753555595</x:v>
      </x:c>
      <x:c r="F283" s="49" t="n">
        <x:v>4484</x:v>
      </x:c>
      <x:c r="G283" s="49" t="n">
        <x:v>0</x:v>
      </x:c>
      <x:c r="H283" s="21" t="str">
        <x:v>Exact</x:v>
      </x:c>
    </x:row>
    <x:row r="284">
      <x:c r="A284" s="21" t="str">
        <x:v>NYC-V2-R04</x:v>
      </x:c>
      <x:c r="B284" s="21" t="str">
        <x:v>V2</x:v>
      </x:c>
      <x:c r="C284" s="21" t="str">
        <x:v>age_75_plus</x:v>
      </x:c>
      <x:c r="D284" s="24" t="n">
        <x:v>1499</x:v>
      </x:c>
      <x:c r="E284" s="43" t="n">
        <x:v>258.93020295052486</x:v>
      </x:c>
      <x:c r="F284" s="49" t="n">
        <x:v>1499</x:v>
      </x:c>
      <x:c r="G284" s="49" t="n">
        <x:v>0</x:v>
      </x:c>
      <x:c r="H284" s="21" t="str">
        <x:v>Exact</x:v>
      </x:c>
    </x:row>
    <x:row r="285">
      <x:c r="A285" s="21" t="str">
        <x:v>NYC-V2-R04</x:v>
      </x:c>
      <x:c r="B285" s="21" t="str">
        <x:v>V2</x:v>
      </x:c>
      <x:c r="C285" s="21" t="str">
        <x:v>age_85_plus</x:v>
      </x:c>
      <x:c r="D285" s="24" t="n">
        <x:v>436</x:v>
      </x:c>
      <x:c r="E285" s="43" t="n">
        <x:v>121.58392163440034</x:v>
      </x:c>
      <x:c r="F285" s="49" t="n">
        <x:v>436</x:v>
      </x:c>
      <x:c r="G285" s="49" t="n">
        <x:v>0</x:v>
      </x:c>
      <x:c r="H285" s="21" t="str">
        <x:v>Exact</x:v>
      </x:c>
    </x:row>
    <x:row r="286">
      <x:c r="A286" s="21" t="str">
        <x:v>NYC-V2-R04</x:v>
      </x:c>
      <x:c r="B286" s="21" t="str">
        <x:v>V2</x:v>
      </x:c>
      <x:c r="C286" s="21" t="str">
        <x:v>civilian_noninstitutionalized</x:v>
      </x:c>
      <x:c r="D286" s="24" t="n">
        <x:v>35165</x:v>
      </x:c>
      <x:c r="E286" s="43" t="n">
        <x:v>1482.7961592882552</x:v>
      </x:c>
      <x:c r="F286" s="49" t="n">
        <x:v>35165</x:v>
      </x:c>
      <x:c r="G286" s="49" t="n">
        <x:v>0</x:v>
      </x:c>
      <x:c r="H286" s="21" t="str">
        <x:v>Exact</x:v>
      </x:c>
    </x:row>
    <x:row r="287">
      <x:c r="A287" s="21" t="str">
        <x:v>NYC-V2-R04</x:v>
      </x:c>
      <x:c r="B287" s="21" t="str">
        <x:v>V2</x:v>
      </x:c>
      <x:c r="C287" s="21" t="str">
        <x:v>any_disability</x:v>
      </x:c>
      <x:c r="D287" s="24" t="n">
        <x:v>3985</x:v>
      </x:c>
      <x:c r="E287" s="43" t="n">
        <x:v>371.7736542575334</x:v>
      </x:c>
      <x:c r="F287" s="49" t="n">
        <x:v>3985</x:v>
      </x:c>
      <x:c r="G287" s="49" t="n">
        <x:v>0</x:v>
      </x:c>
      <x:c r="H287" s="21" t="str">
        <x:v>Exact</x:v>
      </x:c>
    </x:row>
    <x:row r="288">
      <x:c r="A288" s="21" t="str">
        <x:v>NYC-V2-R04</x:v>
      </x:c>
      <x:c r="B288" s="21" t="str">
        <x:v>V2</x:v>
      </x:c>
      <x:c r="C288" s="21" t="str">
        <x:v>disability_under_18</x:v>
      </x:c>
      <x:c r="D288" s="24" t="n">
        <x:v>460</x:v>
      </x:c>
      <x:c r="E288" s="43" t="n">
        <x:v>117.97330206449254</x:v>
      </x:c>
      <x:c r="F288" s="49" t="n">
        <x:v>460</x:v>
      </x:c>
      <x:c r="G288" s="49" t="n">
        <x:v>0</x:v>
      </x:c>
      <x:c r="H288" s="21" t="str">
        <x:v>Exact</x:v>
      </x:c>
    </x:row>
    <x:row r="289">
      <x:c r="A289" s="21" t="str">
        <x:v>NYC-V2-R04</x:v>
      </x:c>
      <x:c r="B289" s="21" t="str">
        <x:v>V2</x:v>
      </x:c>
      <x:c r="C289" s="21" t="str">
        <x:v>disability_18_64</x:v>
      </x:c>
      <x:c r="D289" s="24" t="n">
        <x:v>1777</x:v>
      </x:c>
      <x:c r="E289" s="43" t="n">
        <x:v>235.50774934171488</x:v>
      </x:c>
      <x:c r="F289" s="49" t="n">
        <x:v>1777</x:v>
      </x:c>
      <x:c r="G289" s="49" t="n">
        <x:v>0</x:v>
      </x:c>
      <x:c r="H289" s="21" t="str">
        <x:v>Exact</x:v>
      </x:c>
    </x:row>
    <x:row r="290">
      <x:c r="A290" s="21" t="str">
        <x:v>NYC-V2-R04</x:v>
      </x:c>
      <x:c r="B290" s="21" t="str">
        <x:v>V2</x:v>
      </x:c>
      <x:c r="C290" s="21" t="str">
        <x:v>disability_65_plus</x:v>
      </x:c>
      <x:c r="D290" s="24" t="n">
        <x:v>1748</x:v>
      </x:c>
      <x:c r="E290" s="43" t="n">
        <x:v>267.32143572859997</x:v>
      </x:c>
      <x:c r="F290" s="49" t="n">
        <x:v>1748</x:v>
      </x:c>
      <x:c r="G290" s="49" t="n">
        <x:v>0</x:v>
      </x:c>
      <x:c r="H290" s="21" t="str">
        <x:v>Exact</x:v>
      </x:c>
    </x:row>
    <x:row r="291">
      <x:c r="A291" s="21" t="str">
        <x:v>NYC-V2-R04</x:v>
      </x:c>
      <x:c r="B291" s="21" t="str">
        <x:v>V2</x:v>
      </x:c>
      <x:c r="C291" s="21" t="str">
        <x:v>hearing_difficulty</x:v>
      </x:c>
      <x:c r="D291" s="24" t="n">
        <x:v>445</x:v>
      </x:c>
      <x:c r="E291" s="43" t="n">
        <x:v>137.06420603556114</x:v>
      </x:c>
      <x:c r="F291" s="49" t="n">
        <x:v>445</x:v>
      </x:c>
      <x:c r="G291" s="49" t="n">
        <x:v>0</x:v>
      </x:c>
      <x:c r="H291" s="21" t="str">
        <x:v>Exact</x:v>
      </x:c>
    </x:row>
    <x:row r="292">
      <x:c r="A292" s="21" t="str">
        <x:v>NYC-V2-R04</x:v>
      </x:c>
      <x:c r="B292" s="21" t="str">
        <x:v>V2</x:v>
      </x:c>
      <x:c r="C292" s="21" t="str">
        <x:v>vision_difficulty</x:v>
      </x:c>
      <x:c r="D292" s="24" t="n">
        <x:v>570</x:v>
      </x:c>
      <x:c r="E292" s="43" t="n">
        <x:v>149.057701175634</x:v>
      </x:c>
      <x:c r="F292" s="49" t="n">
        <x:v>570</x:v>
      </x:c>
      <x:c r="G292" s="49" t="n">
        <x:v>0</x:v>
      </x:c>
      <x:c r="H292" s="21" t="str">
        <x:v>Exact</x:v>
      </x:c>
    </x:row>
    <x:row r="293">
      <x:c r="A293" s="21" t="str">
        <x:v>NYC-V2-R04</x:v>
      </x:c>
      <x:c r="B293" s="21" t="str">
        <x:v>V2</x:v>
      </x:c>
      <x:c r="C293" s="21" t="str">
        <x:v>cognitive_difficulty</x:v>
      </x:c>
      <x:c r="D293" s="24" t="n">
        <x:v>1192</x:v>
      </x:c>
      <x:c r="E293" s="43" t="n">
        <x:v>202.80732223434802</x:v>
      </x:c>
      <x:c r="F293" s="49" t="n">
        <x:v>1192</x:v>
      </x:c>
      <x:c r="G293" s="49" t="n">
        <x:v>0</x:v>
      </x:c>
      <x:c r="H293" s="21" t="str">
        <x:v>Exact</x:v>
      </x:c>
    </x:row>
    <x:row r="294">
      <x:c r="A294" s="21" t="str">
        <x:v>NYC-V2-R04</x:v>
      </x:c>
      <x:c r="B294" s="21" t="str">
        <x:v>V2</x:v>
      </x:c>
      <x:c r="C294" s="21" t="str">
        <x:v>ambulatory_difficulty</x:v>
      </x:c>
      <x:c r="D294" s="24" t="n">
        <x:v>2512</x:v>
      </x:c>
      <x:c r="E294" s="43" t="n">
        <x:v>309.37411914892334</x:v>
      </x:c>
      <x:c r="F294" s="49" t="n">
        <x:v>2512</x:v>
      </x:c>
      <x:c r="G294" s="49" t="n">
        <x:v>0</x:v>
      </x:c>
      <x:c r="H294" s="21" t="str">
        <x:v>Exact</x:v>
      </x:c>
    </x:row>
    <x:row r="295">
      <x:c r="A295" s="21" t="str">
        <x:v>NYC-V2-R04</x:v>
      </x:c>
      <x:c r="B295" s="21" t="str">
        <x:v>V2</x:v>
      </x:c>
      <x:c r="C295" s="21" t="str">
        <x:v>self_care_difficulty</x:v>
      </x:c>
      <x:c r="D295" s="24" t="n">
        <x:v>1027</x:v>
      </x:c>
      <x:c r="E295" s="43" t="n">
        <x:v>201.01276268873735</x:v>
      </x:c>
      <x:c r="F295" s="49" t="n">
        <x:v>1027</x:v>
      </x:c>
      <x:c r="G295" s="49" t="n">
        <x:v>0</x:v>
      </x:c>
      <x:c r="H295" s="21" t="str">
        <x:v>Exact</x:v>
      </x:c>
    </x:row>
    <x:row r="296">
      <x:c r="A296" s="21" t="str">
        <x:v>NYC-V2-R04</x:v>
      </x:c>
      <x:c r="B296" s="21" t="str">
        <x:v>V2</x:v>
      </x:c>
      <x:c r="C296" s="21" t="str">
        <x:v>independent_living_difficulty</x:v>
      </x:c>
      <x:c r="D296" s="24" t="n">
        <x:v>2186</x:v>
      </x:c>
      <x:c r="E296" s="43" t="n">
        <x:v>289.9957294852893</x:v>
      </x:c>
      <x:c r="F296" s="49" t="n">
        <x:v>2186</x:v>
      </x:c>
      <x:c r="G296" s="49" t="n">
        <x:v>0</x:v>
      </x:c>
      <x:c r="H296" s="21" t="str">
        <x:v>Exact</x:v>
      </x:c>
    </x:row>
    <x:row r="297">
      <x:c r="A297" s="21" t="str">
        <x:v>NYC-V2-R04</x:v>
      </x:c>
      <x:c r="B297" s="21" t="str">
        <x:v>V2</x:v>
      </x:c>
      <x:c r="C297" s="21" t="str">
        <x:v>households</x:v>
      </x:c>
      <x:c r="D297" s="24" t="n">
        <x:v>12042</x:v>
      </x:c>
      <x:c r="E297" s="43" t="n">
        <x:v>472.6580687981535</x:v>
      </x:c>
      <x:c r="F297" s="49" t="n">
        <x:v>12042</x:v>
      </x:c>
      <x:c r="G297" s="49" t="n">
        <x:v>0</x:v>
      </x:c>
      <x:c r="H297" s="21" t="str">
        <x:v>Exact</x:v>
      </x:c>
    </x:row>
    <x:row r="298">
      <x:c r="A298" s="21" t="str">
        <x:v>NYC-V2-R04</x:v>
      </x:c>
      <x:c r="B298" s="21" t="str">
        <x:v>V2</x:v>
      </x:c>
      <x:c r="C298" s="21" t="str">
        <x:v>family_households</x:v>
      </x:c>
      <x:c r="D298" s="24" t="n">
        <x:v>7936</x:v>
      </x:c>
      <x:c r="E298" s="43" t="n">
        <x:v>402.79957795409865</x:v>
      </x:c>
      <x:c r="F298" s="49" t="n">
        <x:v>7936</x:v>
      </x:c>
      <x:c r="G298" s="49" t="n">
        <x:v>0</x:v>
      </x:c>
      <x:c r="H298" s="21" t="str">
        <x:v>Exact</x:v>
      </x:c>
    </x:row>
    <x:row r="299">
      <x:c r="A299" s="21" t="str">
        <x:v>NYC-V2-R04</x:v>
      </x:c>
      <x:c r="B299" s="21" t="str">
        <x:v>V2</x:v>
      </x:c>
      <x:c r="C299" s="21" t="str">
        <x:v>nonfamily_households</x:v>
      </x:c>
      <x:c r="D299" s="24" t="n">
        <x:v>4106</x:v>
      </x:c>
      <x:c r="E299" s="43" t="n">
        <x:v>448.4646585852669</x:v>
      </x:c>
      <x:c r="F299" s="49" t="n">
        <x:v>4106</x:v>
      </x:c>
      <x:c r="G299" s="49" t="n">
        <x:v>0</x:v>
      </x:c>
      <x:c r="H299" s="21" t="str">
        <x:v>Exact</x:v>
      </x:c>
    </x:row>
    <x:row r="300">
      <x:c r="A300" s="21" t="str">
        <x:v>NYC-V2-R04</x:v>
      </x:c>
      <x:c r="B300" s="21" t="str">
        <x:v>V2</x:v>
      </x:c>
      <x:c r="C300" s="21" t="str">
        <x:v>living_alone_households</x:v>
      </x:c>
      <x:c r="D300" s="24" t="n">
        <x:v>3340</x:v>
      </x:c>
      <x:c r="E300" s="43" t="n">
        <x:v>448.1658175273969</x:v>
      </x:c>
      <x:c r="F300" s="49" t="n">
        <x:v>3340</x:v>
      </x:c>
      <x:c r="G300" s="49" t="n">
        <x:v>0</x:v>
      </x:c>
      <x:c r="H300" s="21" t="str">
        <x:v>Exact</x:v>
      </x:c>
    </x:row>
    <x:row r="301">
      <x:c r="A301" s="21" t="str">
        <x:v>NYC-V2-R04</x:v>
      </x:c>
      <x:c r="B301" s="21" t="str">
        <x:v>V2</x:v>
      </x:c>
      <x:c r="C301" s="21" t="str">
        <x:v>households_with_children</x:v>
      </x:c>
      <x:c r="D301" s="24" t="n">
        <x:v>4875</x:v>
      </x:c>
      <x:c r="E301" s="43" t="n">
        <x:v>322.88364777424084</x:v>
      </x:c>
      <x:c r="F301" s="49" t="n">
        <x:v>4875</x:v>
      </x:c>
      <x:c r="G301" s="49" t="n">
        <x:v>0</x:v>
      </x:c>
      <x:c r="H301" s="21" t="str">
        <x:v>Exact</x:v>
      </x:c>
    </x:row>
    <x:row r="302">
      <x:c r="A302" s="21" t="str">
        <x:v>NYC-V2-R04</x:v>
      </x:c>
      <x:c r="B302" s="21" t="str">
        <x:v>V2</x:v>
      </x:c>
      <x:c r="C302" s="21" t="str">
        <x:v>households_with_age65</x:v>
      </x:c>
      <x:c r="D302" s="24" t="n">
        <x:v>3302</x:v>
      </x:c>
      <x:c r="E302" s="43" t="n">
        <x:v>324.50030816626355</x:v>
      </x:c>
      <x:c r="F302" s="49" t="n">
        <x:v>3302</x:v>
      </x:c>
      <x:c r="G302" s="49" t="n">
        <x:v>0</x:v>
      </x:c>
      <x:c r="H302" s="21" t="str">
        <x:v>Exact</x:v>
      </x:c>
    </x:row>
    <x:row r="303">
      <x:c r="A303" s="21" t="str">
        <x:v>NYC-V2-R04</x:v>
      </x:c>
      <x:c r="B303" s="21" t="str">
        <x:v>V2</x:v>
      </x:c>
      <x:c r="C303" s="21" t="str">
        <x:v>age65_one_person_households</x:v>
      </x:c>
      <x:c r="D303" s="24" t="n">
        <x:v>1136</x:v>
      </x:c>
      <x:c r="E303" s="43" t="n">
        <x:v>217.43803715081683</x:v>
      </x:c>
      <x:c r="F303" s="49" t="n">
        <x:v>1136</x:v>
      </x:c>
      <x:c r="G303" s="49" t="n">
        <x:v>0</x:v>
      </x:c>
      <x:c r="H303" s="21" t="str">
        <x:v>Exact</x:v>
      </x:c>
    </x:row>
    <x:row r="304">
      <x:c r="A304" s="21" t="str">
        <x:v>NYC-V2-R04</x:v>
      </x:c>
      <x:c r="B304" s="21" t="str">
        <x:v>V2</x:v>
      </x:c>
      <x:c r="C304" s="21" t="str">
        <x:v>no_vehicle_households</x:v>
      </x:c>
      <x:c r="D304" s="24" t="n">
        <x:v>7986</x:v>
      </x:c>
      <x:c r="E304" s="43" t="n">
        <x:v>455.833019685223</x:v>
      </x:c>
      <x:c r="F304" s="49" t="n">
        <x:v>7986</x:v>
      </x:c>
      <x:c r="G304" s="49" t="n">
        <x:v>0</x:v>
      </x:c>
      <x:c r="H304" s="21" t="str">
        <x:v>Exact</x:v>
      </x:c>
    </x:row>
    <x:row r="305">
      <x:c r="A305" s="21" t="str">
        <x:v>NYC-V2-R04</x:v>
      </x:c>
      <x:c r="B305" s="21" t="str">
        <x:v>V2</x:v>
      </x:c>
      <x:c r="C305" s="21" t="str">
        <x:v>limited_english_households</x:v>
      </x:c>
      <x:c r="D305" s="24" t="n">
        <x:v>1859</x:v>
      </x:c>
      <x:c r="E305" s="43" t="n">
        <x:v>337.51031418894877</x:v>
      </x:c>
      <x:c r="F305" s="49" t="n">
        <x:v>1859</x:v>
      </x:c>
      <x:c r="G305" s="49" t="n">
        <x:v>0</x:v>
      </x:c>
      <x:c r="H305" s="21" t="str">
        <x:v>Exact</x:v>
      </x:c>
    </x:row>
    <x:row r="306">
      <x:c r="A306" s="21" t="str">
        <x:v>NYC-V2-R04</x:v>
      </x:c>
      <x:c r="B306" s="21" t="str">
        <x:v>V2</x:v>
      </x:c>
      <x:c r="C306" s="21" t="str">
        <x:v>housing_units</x:v>
      </x:c>
      <x:c r="D306" s="24" t="n">
        <x:v>12656</x:v>
      </x:c>
      <x:c r="E306" s="43" t="n">
        <x:v>446.9353980163129</x:v>
      </x:c>
      <x:c r="F306" s="49" t="n">
        <x:v>12656</x:v>
      </x:c>
      <x:c r="G306" s="49" t="n">
        <x:v>0</x:v>
      </x:c>
      <x:c r="H306" s="21" t="str">
        <x:v>Exact</x:v>
      </x:c>
    </x:row>
    <x:row r="307">
      <x:c r="A307" s="21" t="str">
        <x:v>NYC-V2-R04</x:v>
      </x:c>
      <x:c r="B307" s="21" t="str">
        <x:v>V2</x:v>
      </x:c>
      <x:c r="C307" s="21" t="str">
        <x:v>occupied_housing_units</x:v>
      </x:c>
      <x:c r="D307" s="24" t="n">
        <x:v>12042</x:v>
      </x:c>
      <x:c r="E307" s="43" t="n">
        <x:v>472.6580687981535</x:v>
      </x:c>
      <x:c r="F307" s="49" t="n">
        <x:v>12042</x:v>
      </x:c>
      <x:c r="G307" s="49" t="n">
        <x:v>0</x:v>
      </x:c>
      <x:c r="H307" s="21" t="str">
        <x:v>Exact</x:v>
      </x:c>
    </x:row>
    <x:row r="308">
      <x:c r="A308" s="21" t="str">
        <x:v>NYC-V2-R04</x:v>
      </x:c>
      <x:c r="B308" s="21" t="str">
        <x:v>V2</x:v>
      </x:c>
      <x:c r="C308" s="21" t="str">
        <x:v>vacant_housing_units</x:v>
      </x:c>
      <x:c r="D308" s="24" t="n">
        <x:v>614</x:v>
      </x:c>
      <x:c r="E308" s="43" t="n">
        <x:v>121.57096692878609</x:v>
      </x:c>
      <x:c r="F308" s="49" t="n">
        <x:v>614</x:v>
      </x:c>
      <x:c r="G308" s="49" t="n">
        <x:v>0</x:v>
      </x:c>
      <x:c r="H308" s="21" t="str">
        <x:v>Exact</x:v>
      </x:c>
    </x:row>
    <x:row r="309">
      <x:c r="A309" s="21" t="str">
        <x:v>NYC-V2-R04</x:v>
      </x:c>
      <x:c r="B309" s="21" t="str">
        <x:v>V2</x:v>
      </x:c>
      <x:c r="C309" s="21" t="str">
        <x:v>owner_occupied_units</x:v>
      </x:c>
      <x:c r="D309" s="24" t="n">
        <x:v>1927</x:v>
      </x:c>
      <x:c r="E309" s="43" t="n">
        <x:v>216.37665751855764</x:v>
      </x:c>
      <x:c r="F309" s="49" t="n">
        <x:v>1927</x:v>
      </x:c>
      <x:c r="G309" s="49" t="n">
        <x:v>0</x:v>
      </x:c>
      <x:c r="H309" s="21" t="str">
        <x:v>Exact</x:v>
      </x:c>
    </x:row>
    <x:row r="310">
      <x:c r="A310" s="21" t="str">
        <x:v>NYC-V2-R04</x:v>
      </x:c>
      <x:c r="B310" s="21" t="str">
        <x:v>V2</x:v>
      </x:c>
      <x:c r="C310" s="21" t="str">
        <x:v>renter_occupied_units</x:v>
      </x:c>
      <x:c r="D310" s="24" t="n">
        <x:v>10115</x:v>
      </x:c>
      <x:c r="E310" s="43" t="n">
        <x:v>465.1111462230554</x:v>
      </x:c>
      <x:c r="F310" s="49" t="n">
        <x:v>10115</x:v>
      </x:c>
      <x:c r="G310" s="49" t="n">
        <x:v>0</x:v>
      </x:c>
      <x:c r="H310" s="21" t="str">
        <x:v>Exact</x:v>
      </x:c>
    </x:row>
    <x:row r="311">
      <x:c r="A311" s="21" t="str">
        <x:v>NYC-V2-R04</x:v>
      </x:c>
      <x:c r="B311" s="21" t="str">
        <x:v>V2</x:v>
      </x:c>
      <x:c r="C311" s="21" t="str">
        <x:v>one_unit_structures</x:v>
      </x:c>
      <x:c r="D311" s="24" t="n">
        <x:v>1258</x:v>
      </x:c>
      <x:c r="E311" s="43" t="n">
        <x:v>195.3411990652606</x:v>
      </x:c>
      <x:c r="F311" s="49" t="n">
        <x:v>1258</x:v>
      </x:c>
      <x:c r="G311" s="49" t="n">
        <x:v>0</x:v>
      </x:c>
      <x:c r="H311" s="21" t="str">
        <x:v>Exact</x:v>
      </x:c>
    </x:row>
    <x:row r="312">
      <x:c r="A312" s="21" t="str">
        <x:v>NYC-V2-R04</x:v>
      </x:c>
      <x:c r="B312" s="21" t="str">
        <x:v>V2</x:v>
      </x:c>
      <x:c r="C312" s="21" t="str">
        <x:v>two_to_four_unit_structures</x:v>
      </x:c>
      <x:c r="D312" s="24" t="n">
        <x:v>4732</x:v>
      </x:c>
      <x:c r="E312" s="43" t="n">
        <x:v>465.8359892222641</x:v>
      </x:c>
      <x:c r="F312" s="49" t="n">
        <x:v>4732</x:v>
      </x:c>
      <x:c r="G312" s="49" t="n">
        <x:v>0</x:v>
      </x:c>
      <x:c r="H312" s="21" t="str">
        <x:v>Exact</x:v>
      </x:c>
    </x:row>
    <x:row r="313">
      <x:c r="A313" s="21" t="str">
        <x:v>NYC-V2-R04</x:v>
      </x:c>
      <x:c r="B313" s="21" t="str">
        <x:v>V2</x:v>
      </x:c>
      <x:c r="C313" s="21" t="str">
        <x:v>five_to_nineteen_unit_structures</x:v>
      </x:c>
      <x:c r="D313" s="24" t="n">
        <x:v>1049</x:v>
      </x:c>
      <x:c r="E313" s="43" t="n">
        <x:v>177.17210248560423</x:v>
      </x:c>
      <x:c r="F313" s="49" t="n">
        <x:v>1049</x:v>
      </x:c>
      <x:c r="G313" s="49" t="n">
        <x:v>0</x:v>
      </x:c>
      <x:c r="H313" s="21" t="str">
        <x:v>Exact</x:v>
      </x:c>
    </x:row>
    <x:row r="314">
      <x:c r="A314" s="21" t="str">
        <x:v>NYC-V2-R04</x:v>
      </x:c>
      <x:c r="B314" s="21" t="str">
        <x:v>V2</x:v>
      </x:c>
      <x:c r="C314" s="21" t="str">
        <x:v>twenty_to_forty_nine_unit_structures</x:v>
      </x:c>
      <x:c r="D314" s="24" t="n">
        <x:v>949</x:v>
      </x:c>
      <x:c r="E314" s="43" t="n">
        <x:v>160.24551335613415</x:v>
      </x:c>
      <x:c r="F314" s="49" t="n">
        <x:v>949</x:v>
      </x:c>
      <x:c r="G314" s="49" t="n">
        <x:v>0</x:v>
      </x:c>
      <x:c r="H314" s="21" t="str">
        <x:v>Exact</x:v>
      </x:c>
    </x:row>
    <x:row r="315">
      <x:c r="A315" s="21" t="str">
        <x:v>NYC-V2-R04</x:v>
      </x:c>
      <x:c r="B315" s="21" t="str">
        <x:v>V2</x:v>
      </x:c>
      <x:c r="C315" s="21" t="str">
        <x:v>fifty_plus_unit_structures</x:v>
      </x:c>
      <x:c r="D315" s="24" t="n">
        <x:v>4054</x:v>
      </x:c>
      <x:c r="E315" s="43" t="n">
        <x:v>290.7491449188039</x:v>
      </x:c>
      <x:c r="F315" s="49" t="n">
        <x:v>4054</x:v>
      </x:c>
      <x:c r="G315" s="49" t="n">
        <x:v>0</x:v>
      </x:c>
      <x:c r="H315" s="21" t="str">
        <x:v>Exact</x:v>
      </x:c>
    </x:row>
    <x:row r="316">
      <x:c r="A316" s="21" t="str">
        <x:v>NYC-V2-R04</x:v>
      </x:c>
      <x:c r="B316" s="21" t="str">
        <x:v>V2</x:v>
      </x:c>
      <x:c r="C316" s="21" t="str">
        <x:v>mobile_or_other_units</x:v>
      </x:c>
      <x:c r="D316" s="24" t="n">
        <x:v>0</x:v>
      </x:c>
      <x:c r="E316" s="43" t="n">
        <x:v>55.635555932632464</x:v>
      </x:c>
      <x:c r="F316" s="49" t="n">
        <x:v>0</x:v>
      </x:c>
      <x:c r="G316" s="49" t="n">
        <x:v>0</x:v>
      </x:c>
      <x:c r="H316" s="21" t="str">
        <x:v>Exact</x:v>
      </x:c>
    </x:row>
    <x:row r="317">
      <x:c r="A317" s="21" t="str">
        <x:v>NYC-V2-R04</x:v>
      </x:c>
      <x:c r="B317" s="21" t="str">
        <x:v>V2</x:v>
      </x:c>
      <x:c r="C317" s="21" t="str">
        <x:v>electric_heat_households</x:v>
      </x:c>
      <x:c r="D317" s="24" t="n">
        <x:v>795</x:v>
      </x:c>
      <x:c r="E317" s="43" t="n">
        <x:v>196.44413964280025</x:v>
      </x:c>
      <x:c r="F317" s="49" t="n">
        <x:v>795</x:v>
      </x:c>
      <x:c r="G317" s="49" t="n">
        <x:v>0</x:v>
      </x:c>
      <x:c r="H317" s="21" t="str">
        <x:v>Exact</x:v>
      </x:c>
    </x:row>
    <x:row r="318">
      <x:c r="A318" s="21" t="str">
        <x:v>NYC-V2-R04</x:v>
      </x:c>
      <x:c r="B318" s="21" t="str">
        <x:v>V2</x:v>
      </x:c>
      <x:c r="C318" s="21" t="str">
        <x:v>group_quarters_population</x:v>
      </x:c>
      <x:c r="D318" s="24" t="n">
        <x:v>420</x:v>
      </x:c>
      <x:c r="E318" s="43" t="n">
        <x:v>9.518403227432636</x:v>
      </x:c>
      <x:c r="F318" s="49" t="n">
        <x:v>420</x:v>
      </x:c>
      <x:c r="G318" s="49" t="n">
        <x:v>0</x:v>
      </x:c>
      <x:c r="H318" s="21" t="str">
        <x:v>Exact</x:v>
      </x:c>
    </x:row>
    <x:row r="319">
      <x:c r="A319" s="21" t="str">
        <x:v>NYC-V3-R01</x:v>
      </x:c>
      <x:c r="B319" s="21" t="str">
        <x:v>V3</x:v>
      </x:c>
      <x:c r="C319" s="21" t="str">
        <x:v>acs_population</x:v>
      </x:c>
      <x:c r="D319" s="24" t="n">
        <x:v>34085</x:v>
      </x:c>
      <x:c r="E319" s="43" t="n">
        <x:v>1244.7103277469823</x:v>
      </x:c>
      <x:c r="F319" s="49" t="n">
        <x:v>34085</x:v>
      </x:c>
      <x:c r="G319" s="49" t="n">
        <x:v>0</x:v>
      </x:c>
      <x:c r="H319" s="21" t="str">
        <x:v>Exact</x:v>
      </x:c>
    </x:row>
    <x:row r="320">
      <x:c r="A320" s="21" t="str">
        <x:v>NYC-V3-R01</x:v>
      </x:c>
      <x:c r="B320" s="21" t="str">
        <x:v>V3</x:v>
      </x:c>
      <x:c r="C320" s="21" t="str">
        <x:v>age_under_18</x:v>
      </x:c>
      <x:c r="D320" s="24" t="n">
        <x:v>4833</x:v>
      </x:c>
      <x:c r="E320" s="43" t="n">
        <x:v>567.5816681324371</x:v>
      </x:c>
      <x:c r="F320" s="49" t="n">
        <x:v>4833</x:v>
      </x:c>
      <x:c r="G320" s="49" t="n">
        <x:v>0</x:v>
      </x:c>
      <x:c r="H320" s="21" t="str">
        <x:v>Exact</x:v>
      </x:c>
    </x:row>
    <x:row r="321">
      <x:c r="A321" s="21" t="str">
        <x:v>NYC-V3-R01</x:v>
      </x:c>
      <x:c r="B321" s="21" t="str">
        <x:v>V3</x:v>
      </x:c>
      <x:c r="C321" s="21" t="str">
        <x:v>age_under_5</x:v>
      </x:c>
      <x:c r="D321" s="24" t="n">
        <x:v>1548</x:v>
      </x:c>
      <x:c r="E321" s="43" t="n">
        <x:v>297.0982160835033</x:v>
      </x:c>
      <x:c r="F321" s="49" t="n">
        <x:v>1548</x:v>
      </x:c>
      <x:c r="G321" s="49" t="n">
        <x:v>0</x:v>
      </x:c>
      <x:c r="H321" s="21" t="str">
        <x:v>Exact</x:v>
      </x:c>
    </x:row>
    <x:row r="322">
      <x:c r="A322" s="21" t="str">
        <x:v>NYC-V3-R01</x:v>
      </x:c>
      <x:c r="B322" s="21" t="str">
        <x:v>V3</x:v>
      </x:c>
      <x:c r="C322" s="21" t="str">
        <x:v>age_65_plus</x:v>
      </x:c>
      <x:c r="D322" s="24" t="n">
        <x:v>5397</x:v>
      </x:c>
      <x:c r="E322" s="43" t="n">
        <x:v>396.21010840209516</x:v>
      </x:c>
      <x:c r="F322" s="49" t="n">
        <x:v>5397</x:v>
      </x:c>
      <x:c r="G322" s="49" t="n">
        <x:v>0</x:v>
      </x:c>
      <x:c r="H322" s="21" t="str">
        <x:v>Exact</x:v>
      </x:c>
    </x:row>
    <x:row r="323">
      <x:c r="A323" s="21" t="str">
        <x:v>NYC-V3-R01</x:v>
      </x:c>
      <x:c r="B323" s="21" t="str">
        <x:v>V3</x:v>
      </x:c>
      <x:c r="C323" s="21" t="str">
        <x:v>age_75_plus</x:v>
      </x:c>
      <x:c r="D323" s="24" t="n">
        <x:v>2200</x:v>
      </x:c>
      <x:c r="E323" s="43" t="n">
        <x:v>257.18087020616446</x:v>
      </x:c>
      <x:c r="F323" s="49" t="n">
        <x:v>2200</x:v>
      </x:c>
      <x:c r="G323" s="49" t="n">
        <x:v>0</x:v>
      </x:c>
      <x:c r="H323" s="21" t="str">
        <x:v>Exact</x:v>
      </x:c>
    </x:row>
    <x:row r="324">
      <x:c r="A324" s="21" t="str">
        <x:v>NYC-V3-R01</x:v>
      </x:c>
      <x:c r="B324" s="21" t="str">
        <x:v>V3</x:v>
      </x:c>
      <x:c r="C324" s="21" t="str">
        <x:v>age_85_plus</x:v>
      </x:c>
      <x:c r="D324" s="24" t="n">
        <x:v>678</x:v>
      </x:c>
      <x:c r="E324" s="43" t="n">
        <x:v>108.72810124342281</x:v>
      </x:c>
      <x:c r="F324" s="49" t="n">
        <x:v>678</x:v>
      </x:c>
      <x:c r="G324" s="49" t="n">
        <x:v>0</x:v>
      </x:c>
      <x:c r="H324" s="21" t="str">
        <x:v>Exact</x:v>
      </x:c>
    </x:row>
    <x:row r="325">
      <x:c r="A325" s="21" t="str">
        <x:v>NYC-V3-R01</x:v>
      </x:c>
      <x:c r="B325" s="21" t="str">
        <x:v>V3</x:v>
      </x:c>
      <x:c r="C325" s="21" t="str">
        <x:v>civilian_noninstitutionalized</x:v>
      </x:c>
      <x:c r="D325" s="24" t="n">
        <x:v>34054</x:v>
      </x:c>
      <x:c r="E325" s="43" t="n">
        <x:v>1239.3902129676512</x:v>
      </x:c>
      <x:c r="F325" s="49" t="n">
        <x:v>34054</x:v>
      </x:c>
      <x:c r="G325" s="49" t="n">
        <x:v>0</x:v>
      </x:c>
      <x:c r="H325" s="21" t="str">
        <x:v>Exact</x:v>
      </x:c>
    </x:row>
    <x:row r="326">
      <x:c r="A326" s="21" t="str">
        <x:v>NYC-V3-R01</x:v>
      </x:c>
      <x:c r="B326" s="21" t="str">
        <x:v>V3</x:v>
      </x:c>
      <x:c r="C326" s="21" t="str">
        <x:v>any_disability</x:v>
      </x:c>
      <x:c r="D326" s="24" t="n">
        <x:v>3265</x:v>
      </x:c>
      <x:c r="E326" s="43" t="n">
        <x:v>265.1135605735776</x:v>
      </x:c>
      <x:c r="F326" s="49" t="n">
        <x:v>3265</x:v>
      </x:c>
      <x:c r="G326" s="49" t="n">
        <x:v>0</x:v>
      </x:c>
      <x:c r="H326" s="21" t="str">
        <x:v>Exact</x:v>
      </x:c>
    </x:row>
    <x:row r="327">
      <x:c r="A327" s="21" t="str">
        <x:v>NYC-V3-R01</x:v>
      </x:c>
      <x:c r="B327" s="21" t="str">
        <x:v>V3</x:v>
      </x:c>
      <x:c r="C327" s="21" t="str">
        <x:v>disability_under_18</x:v>
      </x:c>
      <x:c r="D327" s="24" t="n">
        <x:v>230</x:v>
      </x:c>
      <x:c r="E327" s="43" t="n">
        <x:v>101.90706550578328</x:v>
      </x:c>
      <x:c r="F327" s="49" t="n">
        <x:v>230</x:v>
      </x:c>
      <x:c r="G327" s="49" t="n">
        <x:v>0</x:v>
      </x:c>
      <x:c r="H327" s="21" t="str">
        <x:v>Exact</x:v>
      </x:c>
    </x:row>
    <x:row r="328">
      <x:c r="A328" s="21" t="str">
        <x:v>NYC-V3-R01</x:v>
      </x:c>
      <x:c r="B328" s="21" t="str">
        <x:v>V3</x:v>
      </x:c>
      <x:c r="C328" s="21" t="str">
        <x:v>disability_18_64</x:v>
      </x:c>
      <x:c r="D328" s="24" t="n">
        <x:v>1422</x:v>
      </x:c>
      <x:c r="E328" s="43" t="n">
        <x:v>194.2244835235764</x:v>
      </x:c>
      <x:c r="F328" s="49" t="n">
        <x:v>1422</x:v>
      </x:c>
      <x:c r="G328" s="49" t="n">
        <x:v>0</x:v>
      </x:c>
      <x:c r="H328" s="21" t="str">
        <x:v>Exact</x:v>
      </x:c>
    </x:row>
    <x:row r="329">
      <x:c r="A329" s="21" t="str">
        <x:v>NYC-V3-R01</x:v>
      </x:c>
      <x:c r="B329" s="21" t="str">
        <x:v>V3</x:v>
      </x:c>
      <x:c r="C329" s="21" t="str">
        <x:v>disability_65_plus</x:v>
      </x:c>
      <x:c r="D329" s="24" t="n">
        <x:v>1613</x:v>
      </x:c>
      <x:c r="E329" s="43" t="n">
        <x:v>185.045129630585</x:v>
      </x:c>
      <x:c r="F329" s="49" t="n">
        <x:v>1613</x:v>
      </x:c>
      <x:c r="G329" s="49" t="n">
        <x:v>0</x:v>
      </x:c>
      <x:c r="H329" s="21" t="str">
        <x:v>Exact</x:v>
      </x:c>
    </x:row>
    <x:row r="330">
      <x:c r="A330" s="21" t="str">
        <x:v>NYC-V3-R01</x:v>
      </x:c>
      <x:c r="B330" s="21" t="str">
        <x:v>V3</x:v>
      </x:c>
      <x:c r="C330" s="21" t="str">
        <x:v>hearing_difficulty</x:v>
      </x:c>
      <x:c r="D330" s="24" t="n">
        <x:v>720</x:v>
      </x:c>
      <x:c r="E330" s="43" t="n">
        <x:v>159.06620460011186</x:v>
      </x:c>
      <x:c r="F330" s="49" t="n">
        <x:v>720</x:v>
      </x:c>
      <x:c r="G330" s="49" t="n">
        <x:v>0</x:v>
      </x:c>
      <x:c r="H330" s="21" t="str">
        <x:v>Exact</x:v>
      </x:c>
    </x:row>
    <x:row r="331">
      <x:c r="A331" s="21" t="str">
        <x:v>NYC-V3-R01</x:v>
      </x:c>
      <x:c r="B331" s="21" t="str">
        <x:v>V3</x:v>
      </x:c>
      <x:c r="C331" s="21" t="str">
        <x:v>vision_difficulty</x:v>
      </x:c>
      <x:c r="D331" s="24" t="n">
        <x:v>541</x:v>
      </x:c>
      <x:c r="E331" s="43" t="n">
        <x:v>140.9076055387275</x:v>
      </x:c>
      <x:c r="F331" s="49" t="n">
        <x:v>541</x:v>
      </x:c>
      <x:c r="G331" s="49" t="n">
        <x:v>0</x:v>
      </x:c>
      <x:c r="H331" s="21" t="str">
        <x:v>Exact</x:v>
      </x:c>
    </x:row>
    <x:row r="332">
      <x:c r="A332" s="21" t="str">
        <x:v>NYC-V3-R01</x:v>
      </x:c>
      <x:c r="B332" s="21" t="str">
        <x:v>V3</x:v>
      </x:c>
      <x:c r="C332" s="21" t="str">
        <x:v>cognitive_difficulty</x:v>
      </x:c>
      <x:c r="D332" s="24" t="n">
        <x:v>1327</x:v>
      </x:c>
      <x:c r="E332" s="43" t="n">
        <x:v>183.32778306430754</x:v>
      </x:c>
      <x:c r="F332" s="49" t="n">
        <x:v>1327</x:v>
      </x:c>
      <x:c r="G332" s="49" t="n">
        <x:v>0</x:v>
      </x:c>
      <x:c r="H332" s="21" t="str">
        <x:v>Exact</x:v>
      </x:c>
    </x:row>
    <x:row r="333">
      <x:c r="A333" s="21" t="str">
        <x:v>NYC-V3-R01</x:v>
      </x:c>
      <x:c r="B333" s="21" t="str">
        <x:v>V3</x:v>
      </x:c>
      <x:c r="C333" s="21" t="str">
        <x:v>ambulatory_difficulty</x:v>
      </x:c>
      <x:c r="D333" s="24" t="n">
        <x:v>1715</x:v>
      </x:c>
      <x:c r="E333" s="43" t="n">
        <x:v>191.92404948828334</x:v>
      </x:c>
      <x:c r="F333" s="49" t="n">
        <x:v>1715</x:v>
      </x:c>
      <x:c r="G333" s="49" t="n">
        <x:v>0</x:v>
      </x:c>
      <x:c r="H333" s="21" t="str">
        <x:v>Exact</x:v>
      </x:c>
    </x:row>
    <x:row r="334">
      <x:c r="A334" s="21" t="str">
        <x:v>NYC-V3-R01</x:v>
      </x:c>
      <x:c r="B334" s="21" t="str">
        <x:v>V3</x:v>
      </x:c>
      <x:c r="C334" s="21" t="str">
        <x:v>self_care_difficulty</x:v>
      </x:c>
      <x:c r="D334" s="24" t="n">
        <x:v>694</x:v>
      </x:c>
      <x:c r="E334" s="43" t="n">
        <x:v>141.54999206989226</x:v>
      </x:c>
      <x:c r="F334" s="49" t="n">
        <x:v>694</x:v>
      </x:c>
      <x:c r="G334" s="49" t="n">
        <x:v>0</x:v>
      </x:c>
      <x:c r="H334" s="21" t="str">
        <x:v>Exact</x:v>
      </x:c>
    </x:row>
    <x:row r="335">
      <x:c r="A335" s="21" t="str">
        <x:v>NYC-V3-R01</x:v>
      </x:c>
      <x:c r="B335" s="21" t="str">
        <x:v>V3</x:v>
      </x:c>
      <x:c r="C335" s="21" t="str">
        <x:v>independent_living_difficulty</x:v>
      </x:c>
      <x:c r="D335" s="24" t="n">
        <x:v>1238</x:v>
      </x:c>
      <x:c r="E335" s="43" t="n">
        <x:v>175.45656878411353</x:v>
      </x:c>
      <x:c r="F335" s="49" t="n">
        <x:v>1238</x:v>
      </x:c>
      <x:c r="G335" s="49" t="n">
        <x:v>0</x:v>
      </x:c>
      <x:c r="H335" s="21" t="str">
        <x:v>Exact</x:v>
      </x:c>
    </x:row>
    <x:row r="336">
      <x:c r="A336" s="21" t="str">
        <x:v>NYC-V3-R01</x:v>
      </x:c>
      <x:c r="B336" s="21" t="str">
        <x:v>V3</x:v>
      </x:c>
      <x:c r="C336" s="21" t="str">
        <x:v>households</x:v>
      </x:c>
      <x:c r="D336" s="24" t="n">
        <x:v>16993</x:v>
      </x:c>
      <x:c r="E336" s="43" t="n">
        <x:v>417.34050845802153</x:v>
      </x:c>
      <x:c r="F336" s="49" t="n">
        <x:v>16993</x:v>
      </x:c>
      <x:c r="G336" s="49" t="n">
        <x:v>0</x:v>
      </x:c>
      <x:c r="H336" s="21" t="str">
        <x:v>Exact</x:v>
      </x:c>
    </x:row>
    <x:row r="337">
      <x:c r="A337" s="21" t="str">
        <x:v>NYC-V3-R01</x:v>
      </x:c>
      <x:c r="B337" s="21" t="str">
        <x:v>V3</x:v>
      </x:c>
      <x:c r="C337" s="21" t="str">
        <x:v>family_households</x:v>
      </x:c>
      <x:c r="D337" s="24" t="n">
        <x:v>7085</x:v>
      </x:c>
      <x:c r="E337" s="43" t="n">
        <x:v>376.2040005103614</x:v>
      </x:c>
      <x:c r="F337" s="49" t="n">
        <x:v>7085</x:v>
      </x:c>
      <x:c r="G337" s="49" t="n">
        <x:v>0</x:v>
      </x:c>
      <x:c r="H337" s="21" t="str">
        <x:v>Exact</x:v>
      </x:c>
    </x:row>
    <x:row r="338">
      <x:c r="A338" s="21" t="str">
        <x:v>NYC-V3-R01</x:v>
      </x:c>
      <x:c r="B338" s="21" t="str">
        <x:v>V3</x:v>
      </x:c>
      <x:c r="C338" s="21" t="str">
        <x:v>nonfamily_households</x:v>
      </x:c>
      <x:c r="D338" s="24" t="n">
        <x:v>9908</x:v>
      </x:c>
      <x:c r="E338" s="43" t="n">
        <x:v>444.23073959373863</x:v>
      </x:c>
      <x:c r="F338" s="49" t="n">
        <x:v>9908</x:v>
      </x:c>
      <x:c r="G338" s="49" t="n">
        <x:v>0</x:v>
      </x:c>
      <x:c r="H338" s="21" t="str">
        <x:v>Exact</x:v>
      </x:c>
    </x:row>
    <x:row r="339">
      <x:c r="A339" s="21" t="str">
        <x:v>NYC-V3-R01</x:v>
      </x:c>
      <x:c r="B339" s="21" t="str">
        <x:v>V3</x:v>
      </x:c>
      <x:c r="C339" s="21" t="str">
        <x:v>living_alone_households</x:v>
      </x:c>
      <x:c r="D339" s="24" t="n">
        <x:v>7241</x:v>
      </x:c>
      <x:c r="E339" s="43" t="n">
        <x:v>354.817276918698</x:v>
      </x:c>
      <x:c r="F339" s="49" t="n">
        <x:v>7241</x:v>
      </x:c>
      <x:c r="G339" s="49" t="n">
        <x:v>0</x:v>
      </x:c>
      <x:c r="H339" s="21" t="str">
        <x:v>Exact</x:v>
      </x:c>
    </x:row>
    <x:row r="340">
      <x:c r="A340" s="21" t="str">
        <x:v>NYC-V3-R01</x:v>
      </x:c>
      <x:c r="B340" s="21" t="str">
        <x:v>V3</x:v>
      </x:c>
      <x:c r="C340" s="21" t="str">
        <x:v>households_with_children</x:v>
      </x:c>
      <x:c r="D340" s="24" t="n">
        <x:v>2520</x:v>
      </x:c>
      <x:c r="E340" s="43" t="n">
        <x:v>216.2481213791232</x:v>
      </x:c>
      <x:c r="F340" s="49" t="n">
        <x:v>2520</x:v>
      </x:c>
      <x:c r="G340" s="49" t="n">
        <x:v>0</x:v>
      </x:c>
      <x:c r="H340" s="21" t="str">
        <x:v>Exact</x:v>
      </x:c>
    </x:row>
    <x:row r="341">
      <x:c r="A341" s="21" t="str">
        <x:v>NYC-V3-R01</x:v>
      </x:c>
      <x:c r="B341" s="21" t="str">
        <x:v>V3</x:v>
      </x:c>
      <x:c r="C341" s="21" t="str">
        <x:v>households_with_age65</x:v>
      </x:c>
      <x:c r="D341" s="24" t="n">
        <x:v>4226</x:v>
      </x:c>
      <x:c r="E341" s="43" t="n">
        <x:v>283.0042402509192</x:v>
      </x:c>
      <x:c r="F341" s="49" t="n">
        <x:v>4226</x:v>
      </x:c>
      <x:c r="G341" s="49" t="n">
        <x:v>0</x:v>
      </x:c>
      <x:c r="H341" s="21" t="str">
        <x:v>Exact</x:v>
      </x:c>
    </x:row>
    <x:row r="342">
      <x:c r="A342" s="21" t="str">
        <x:v>NYC-V3-R01</x:v>
      </x:c>
      <x:c r="B342" s="21" t="str">
        <x:v>V3</x:v>
      </x:c>
      <x:c r="C342" s="21" t="str">
        <x:v>age65_one_person_households</x:v>
      </x:c>
      <x:c r="D342" s="24" t="n">
        <x:v>1899</x:v>
      </x:c>
      <x:c r="E342" s="43" t="n">
        <x:v>170.8314959250782</x:v>
      </x:c>
      <x:c r="F342" s="49" t="n">
        <x:v>1899</x:v>
      </x:c>
      <x:c r="G342" s="49" t="n">
        <x:v>0</x:v>
      </x:c>
      <x:c r="H342" s="21" t="str">
        <x:v>Exact</x:v>
      </x:c>
    </x:row>
    <x:row r="343">
      <x:c r="A343" s="21" t="str">
        <x:v>NYC-V3-R01</x:v>
      </x:c>
      <x:c r="B343" s="21" t="str">
        <x:v>V3</x:v>
      </x:c>
      <x:c r="C343" s="21" t="str">
        <x:v>no_vehicle_households</x:v>
      </x:c>
      <x:c r="D343" s="24" t="n">
        <x:v>11582</x:v>
      </x:c>
      <x:c r="E343" s="43" t="n">
        <x:v>447.6686714535275</x:v>
      </x:c>
      <x:c r="F343" s="49" t="n">
        <x:v>11582</x:v>
      </x:c>
      <x:c r="G343" s="49" t="n">
        <x:v>0</x:v>
      </x:c>
      <x:c r="H343" s="21" t="str">
        <x:v>Exact</x:v>
      </x:c>
    </x:row>
    <x:row r="344">
      <x:c r="A344" s="21" t="str">
        <x:v>NYC-V3-R01</x:v>
      </x:c>
      <x:c r="B344" s="21" t="str">
        <x:v>V3</x:v>
      </x:c>
      <x:c r="C344" s="21" t="str">
        <x:v>limited_english_households</x:v>
      </x:c>
      <x:c r="D344" s="24" t="n">
        <x:v>1726</x:v>
      </x:c>
      <x:c r="E344" s="43" t="n">
        <x:v>236.08002721927718</x:v>
      </x:c>
      <x:c r="F344" s="49" t="n">
        <x:v>1726</x:v>
      </x:c>
      <x:c r="G344" s="49" t="n">
        <x:v>0</x:v>
      </x:c>
      <x:c r="H344" s="21" t="str">
        <x:v>Exact</x:v>
      </x:c>
    </x:row>
    <x:row r="345">
      <x:c r="A345" s="21" t="str">
        <x:v>NYC-V3-R01</x:v>
      </x:c>
      <x:c r="B345" s="21" t="str">
        <x:v>V3</x:v>
      </x:c>
      <x:c r="C345" s="21" t="str">
        <x:v>housing_units</x:v>
      </x:c>
      <x:c r="D345" s="24" t="n">
        <x:v>19738</x:v>
      </x:c>
      <x:c r="E345" s="43" t="n">
        <x:v>451.6783700820751</x:v>
      </x:c>
      <x:c r="F345" s="49" t="n">
        <x:v>19738</x:v>
      </x:c>
      <x:c r="G345" s="49" t="n">
        <x:v>0</x:v>
      </x:c>
      <x:c r="H345" s="21" t="str">
        <x:v>Exact</x:v>
      </x:c>
    </x:row>
    <x:row r="346">
      <x:c r="A346" s="21" t="str">
        <x:v>NYC-V3-R01</x:v>
      </x:c>
      <x:c r="B346" s="21" t="str">
        <x:v>V3</x:v>
      </x:c>
      <x:c r="C346" s="21" t="str">
        <x:v>occupied_housing_units</x:v>
      </x:c>
      <x:c r="D346" s="24" t="n">
        <x:v>16993</x:v>
      </x:c>
      <x:c r="E346" s="43" t="n">
        <x:v>417.34050845802153</x:v>
      </x:c>
      <x:c r="F346" s="49" t="n">
        <x:v>16993</x:v>
      </x:c>
      <x:c r="G346" s="49" t="n">
        <x:v>0</x:v>
      </x:c>
      <x:c r="H346" s="21" t="str">
        <x:v>Exact</x:v>
      </x:c>
    </x:row>
    <x:row r="347">
      <x:c r="A347" s="21" t="str">
        <x:v>NYC-V3-R01</x:v>
      </x:c>
      <x:c r="B347" s="21" t="str">
        <x:v>V3</x:v>
      </x:c>
      <x:c r="C347" s="21" t="str">
        <x:v>vacant_housing_units</x:v>
      </x:c>
      <x:c r="D347" s="24" t="n">
        <x:v>2745</x:v>
      </x:c>
      <x:c r="E347" s="43" t="n">
        <x:v>288.16861383571944</x:v>
      </x:c>
      <x:c r="F347" s="49" t="n">
        <x:v>2745</x:v>
      </x:c>
      <x:c r="G347" s="49" t="n">
        <x:v>0</x:v>
      </x:c>
      <x:c r="H347" s="21" t="str">
        <x:v>Exact</x:v>
      </x:c>
    </x:row>
    <x:row r="348">
      <x:c r="A348" s="21" t="str">
        <x:v>NYC-V3-R01</x:v>
      </x:c>
      <x:c r="B348" s="21" t="str">
        <x:v>V3</x:v>
      </x:c>
      <x:c r="C348" s="21" t="str">
        <x:v>owner_occupied_units</x:v>
      </x:c>
      <x:c r="D348" s="24" t="n">
        <x:v>2897</x:v>
      </x:c>
      <x:c r="E348" s="43" t="n">
        <x:v>216.06902011620662</x:v>
      </x:c>
      <x:c r="F348" s="49" t="n">
        <x:v>2897</x:v>
      </x:c>
      <x:c r="G348" s="49" t="n">
        <x:v>0</x:v>
      </x:c>
      <x:c r="H348" s="21" t="str">
        <x:v>Exact</x:v>
      </x:c>
    </x:row>
    <x:row r="349">
      <x:c r="A349" s="21" t="str">
        <x:v>NYC-V3-R01</x:v>
      </x:c>
      <x:c r="B349" s="21" t="str">
        <x:v>V3</x:v>
      </x:c>
      <x:c r="C349" s="21" t="str">
        <x:v>renter_occupied_units</x:v>
      </x:c>
      <x:c r="D349" s="24" t="n">
        <x:v>14096</x:v>
      </x:c>
      <x:c r="E349" s="43" t="n">
        <x:v>444.97732815487757</x:v>
      </x:c>
      <x:c r="F349" s="49" t="n">
        <x:v>14096</x:v>
      </x:c>
      <x:c r="G349" s="49" t="n">
        <x:v>0</x:v>
      </x:c>
      <x:c r="H349" s="21" t="str">
        <x:v>Exact</x:v>
      </x:c>
    </x:row>
    <x:row r="350">
      <x:c r="A350" s="21" t="str">
        <x:v>NYC-V3-R01</x:v>
      </x:c>
      <x:c r="B350" s="21" t="str">
        <x:v>V3</x:v>
      </x:c>
      <x:c r="C350" s="21" t="str">
        <x:v>one_unit_structures</x:v>
      </x:c>
      <x:c r="D350" s="24" t="n">
        <x:v>547</x:v>
      </x:c>
      <x:c r="E350" s="43" t="n">
        <x:v>105.79778256088589</x:v>
      </x:c>
      <x:c r="F350" s="49" t="n">
        <x:v>547</x:v>
      </x:c>
      <x:c r="G350" s="49" t="n">
        <x:v>0</x:v>
      </x:c>
      <x:c r="H350" s="21" t="str">
        <x:v>Exact</x:v>
      </x:c>
    </x:row>
    <x:row r="351">
      <x:c r="A351" s="21" t="str">
        <x:v>NYC-V3-R01</x:v>
      </x:c>
      <x:c r="B351" s="21" t="str">
        <x:v>V3</x:v>
      </x:c>
      <x:c r="C351" s="21" t="str">
        <x:v>two_to_four_unit_structures</x:v>
      </x:c>
      <x:c r="D351" s="24" t="n">
        <x:v>3223</x:v>
      </x:c>
      <x:c r="E351" s="43" t="n">
        <x:v>308.64521597961806</x:v>
      </x:c>
      <x:c r="F351" s="49" t="n">
        <x:v>3223</x:v>
      </x:c>
      <x:c r="G351" s="49" t="n">
        <x:v>0</x:v>
      </x:c>
      <x:c r="H351" s="21" t="str">
        <x:v>Exact</x:v>
      </x:c>
    </x:row>
    <x:row r="352">
      <x:c r="A352" s="21" t="str">
        <x:v>NYC-V3-R01</x:v>
      </x:c>
      <x:c r="B352" s="21" t="str">
        <x:v>V3</x:v>
      </x:c>
      <x:c r="C352" s="21" t="str">
        <x:v>five_to_nineteen_unit_structures</x:v>
      </x:c>
      <x:c r="D352" s="24" t="n">
        <x:v>3304</x:v>
      </x:c>
      <x:c r="E352" s="43" t="n">
        <x:v>272.5899855271965</x:v>
      </x:c>
      <x:c r="F352" s="49" t="n">
        <x:v>3304</x:v>
      </x:c>
      <x:c r="G352" s="49" t="n">
        <x:v>0</x:v>
      </x:c>
      <x:c r="H352" s="21" t="str">
        <x:v>Exact</x:v>
      </x:c>
    </x:row>
    <x:row r="353">
      <x:c r="A353" s="21" t="str">
        <x:v>NYC-V3-R01</x:v>
      </x:c>
      <x:c r="B353" s="21" t="str">
        <x:v>V3</x:v>
      </x:c>
      <x:c r="C353" s="21" t="str">
        <x:v>twenty_to_forty_nine_unit_structures</x:v>
      </x:c>
      <x:c r="D353" s="24" t="n">
        <x:v>4332</x:v>
      </x:c>
      <x:c r="E353" s="43" t="n">
        <x:v>317.0875677819216</x:v>
      </x:c>
      <x:c r="F353" s="49" t="n">
        <x:v>4332</x:v>
      </x:c>
      <x:c r="G353" s="49" t="n">
        <x:v>0</x:v>
      </x:c>
      <x:c r="H353" s="21" t="str">
        <x:v>Exact</x:v>
      </x:c>
    </x:row>
    <x:row r="354">
      <x:c r="A354" s="21" t="str">
        <x:v>NYC-V3-R01</x:v>
      </x:c>
      <x:c r="B354" s="21" t="str">
        <x:v>V3</x:v>
      </x:c>
      <x:c r="C354" s="21" t="str">
        <x:v>fifty_plus_unit_structures</x:v>
      </x:c>
      <x:c r="D354" s="24" t="n">
        <x:v>5543</x:v>
      </x:c>
      <x:c r="E354" s="43" t="n">
        <x:v>371.05030509916344</x:v>
      </x:c>
      <x:c r="F354" s="49" t="n">
        <x:v>5543</x:v>
      </x:c>
      <x:c r="G354" s="49" t="n">
        <x:v>0</x:v>
      </x:c>
      <x:c r="H354" s="21" t="str">
        <x:v>Exact</x:v>
      </x:c>
    </x:row>
    <x:row r="355">
      <x:c r="A355" s="21" t="str">
        <x:v>NYC-V3-R01</x:v>
      </x:c>
      <x:c r="B355" s="21" t="str">
        <x:v>V3</x:v>
      </x:c>
      <x:c r="C355" s="21" t="str">
        <x:v>mobile_or_other_units</x:v>
      </x:c>
      <x:c r="D355" s="24" t="n">
        <x:v>44</x:v>
      </x:c>
      <x:c r="E355" s="43" t="n">
        <x:v>61.15392748916372</x:v>
      </x:c>
      <x:c r="F355" s="49" t="n">
        <x:v>44</x:v>
      </x:c>
      <x:c r="G355" s="49" t="n">
        <x:v>0</x:v>
      </x:c>
      <x:c r="H355" s="21" t="str">
        <x:v>Exact</x:v>
      </x:c>
    </x:row>
    <x:row r="356">
      <x:c r="A356" s="21" t="str">
        <x:v>NYC-V3-R01</x:v>
      </x:c>
      <x:c r="B356" s="21" t="str">
        <x:v>V3</x:v>
      </x:c>
      <x:c r="C356" s="21" t="str">
        <x:v>electric_heat_households</x:v>
      </x:c>
      <x:c r="D356" s="24" t="n">
        <x:v>2376</x:v>
      </x:c>
      <x:c r="E356" s="43" t="n">
        <x:v>218.07406998540657</x:v>
      </x:c>
      <x:c r="F356" s="49" t="n">
        <x:v>2376</x:v>
      </x:c>
      <x:c r="G356" s="49" t="n">
        <x:v>0</x:v>
      </x:c>
      <x:c r="H356" s="21" t="str">
        <x:v>Exact</x:v>
      </x:c>
    </x:row>
    <x:row r="357">
      <x:c r="A357" s="21" t="str">
        <x:v>NYC-V3-R01</x:v>
      </x:c>
      <x:c r="B357" s="21" t="str">
        <x:v>V3</x:v>
      </x:c>
      <x:c r="C357" s="21" t="str">
        <x:v>group_quarters_population</x:v>
      </x:c>
      <x:c r="D357" s="24" t="n">
        <x:v>57</x:v>
      </x:c>
      <x:c r="E357" s="43" t="n">
        <x:v>4.09878030638384</x:v>
      </x:c>
      <x:c r="F357" s="49" t="n">
        <x:v>57</x:v>
      </x:c>
      <x:c r="G357" s="49" t="n">
        <x:v>0</x:v>
      </x:c>
      <x:c r="H357" s="21" t="str">
        <x:v>Exact</x:v>
      </x:c>
    </x:row>
    <x:row r="358">
      <x:c r="A358" s="21" t="str">
        <x:v>NYC-V3-R02</x:v>
      </x:c>
      <x:c r="B358" s="21" t="str">
        <x:v>V3</x:v>
      </x:c>
      <x:c r="C358" s="21" t="str">
        <x:v>acs_population</x:v>
      </x:c>
      <x:c r="D358" s="24" t="n">
        <x:v>31716</x:v>
      </x:c>
      <x:c r="E358" s="43" t="n">
        <x:v>1402.858153912932</x:v>
      </x:c>
      <x:c r="F358" s="49" t="n">
        <x:v>31716</x:v>
      </x:c>
      <x:c r="G358" s="49" t="n">
        <x:v>0</x:v>
      </x:c>
      <x:c r="H358" s="21" t="str">
        <x:v>Exact</x:v>
      </x:c>
    </x:row>
    <x:row r="359">
      <x:c r="A359" s="21" t="str">
        <x:v>NYC-V3-R02</x:v>
      </x:c>
      <x:c r="B359" s="21" t="str">
        <x:v>V3</x:v>
      </x:c>
      <x:c r="C359" s="21" t="str">
        <x:v>age_under_18</x:v>
      </x:c>
      <x:c r="D359" s="24" t="n">
        <x:v>7492</x:v>
      </x:c>
      <x:c r="E359" s="43" t="n">
        <x:v>746.476824824455</x:v>
      </x:c>
      <x:c r="F359" s="49" t="n">
        <x:v>7492</x:v>
      </x:c>
      <x:c r="G359" s="49" t="n">
        <x:v>0</x:v>
      </x:c>
      <x:c r="H359" s="21" t="str">
        <x:v>Exact</x:v>
      </x:c>
    </x:row>
    <x:row r="360">
      <x:c r="A360" s="21" t="str">
        <x:v>NYC-V3-R02</x:v>
      </x:c>
      <x:c r="B360" s="21" t="str">
        <x:v>V3</x:v>
      </x:c>
      <x:c r="C360" s="21" t="str">
        <x:v>age_under_5</x:v>
      </x:c>
      <x:c r="D360" s="24" t="n">
        <x:v>2331</x:v>
      </x:c>
      <x:c r="E360" s="43" t="n">
        <x:v>279.1636616753692</x:v>
      </x:c>
      <x:c r="F360" s="49" t="n">
        <x:v>2331</x:v>
      </x:c>
      <x:c r="G360" s="49" t="n">
        <x:v>0</x:v>
      </x:c>
      <x:c r="H360" s="21" t="str">
        <x:v>Exact</x:v>
      </x:c>
    </x:row>
    <x:row r="361">
      <x:c r="A361" s="21" t="str">
        <x:v>NYC-V3-R02</x:v>
      </x:c>
      <x:c r="B361" s="21" t="str">
        <x:v>V3</x:v>
      </x:c>
      <x:c r="C361" s="21" t="str">
        <x:v>age_65_plus</x:v>
      </x:c>
      <x:c r="D361" s="24" t="n">
        <x:v>4736</x:v>
      </x:c>
      <x:c r="E361" s="43" t="n">
        <x:v>375.0183328852071</x:v>
      </x:c>
      <x:c r="F361" s="49" t="n">
        <x:v>4736</x:v>
      </x:c>
      <x:c r="G361" s="49" t="n">
        <x:v>0</x:v>
      </x:c>
      <x:c r="H361" s="21" t="str">
        <x:v>Exact</x:v>
      </x:c>
    </x:row>
    <x:row r="362">
      <x:c r="A362" s="21" t="str">
        <x:v>NYC-V3-R02</x:v>
      </x:c>
      <x:c r="B362" s="21" t="str">
        <x:v>V3</x:v>
      </x:c>
      <x:c r="C362" s="21" t="str">
        <x:v>age_75_plus</x:v>
      </x:c>
      <x:c r="D362" s="24" t="n">
        <x:v>1977</x:v>
      </x:c>
      <x:c r="E362" s="43" t="n">
        <x:v>255.81497219670314</x:v>
      </x:c>
      <x:c r="F362" s="49" t="n">
        <x:v>1977</x:v>
      </x:c>
      <x:c r="G362" s="49" t="n">
        <x:v>0</x:v>
      </x:c>
      <x:c r="H362" s="21" t="str">
        <x:v>Exact</x:v>
      </x:c>
    </x:row>
    <x:row r="363">
      <x:c r="A363" s="21" t="str">
        <x:v>NYC-V3-R02</x:v>
      </x:c>
      <x:c r="B363" s="21" t="str">
        <x:v>V3</x:v>
      </x:c>
      <x:c r="C363" s="21" t="str">
        <x:v>age_85_plus</x:v>
      </x:c>
      <x:c r="D363" s="24" t="n">
        <x:v>655</x:v>
      </x:c>
      <x:c r="E363" s="43" t="n">
        <x:v>156.26099961282725</x:v>
      </x:c>
      <x:c r="F363" s="49" t="n">
        <x:v>655</x:v>
      </x:c>
      <x:c r="G363" s="49" t="n">
        <x:v>0</x:v>
      </x:c>
      <x:c r="H363" s="21" t="str">
        <x:v>Exact</x:v>
      </x:c>
    </x:row>
    <x:row r="364">
      <x:c r="A364" s="21" t="str">
        <x:v>NYC-V3-R02</x:v>
      </x:c>
      <x:c r="B364" s="21" t="str">
        <x:v>V3</x:v>
      </x:c>
      <x:c r="C364" s="21" t="str">
        <x:v>civilian_noninstitutionalized</x:v>
      </x:c>
      <x:c r="D364" s="24" t="n">
        <x:v>31676</x:v>
      </x:c>
      <x:c r="E364" s="43" t="n">
        <x:v>1401.3263895324317</x:v>
      </x:c>
      <x:c r="F364" s="49" t="n">
        <x:v>31676</x:v>
      </x:c>
      <x:c r="G364" s="49" t="n">
        <x:v>0</x:v>
      </x:c>
      <x:c r="H364" s="21" t="str">
        <x:v>Exact</x:v>
      </x:c>
    </x:row>
    <x:row r="365">
      <x:c r="A365" s="21" t="str">
        <x:v>NYC-V3-R02</x:v>
      </x:c>
      <x:c r="B365" s="21" t="str">
        <x:v>V3</x:v>
      </x:c>
      <x:c r="C365" s="21" t="str">
        <x:v>any_disability</x:v>
      </x:c>
      <x:c r="D365" s="24" t="n">
        <x:v>4358</x:v>
      </x:c>
      <x:c r="E365" s="43" t="n">
        <x:v>345.61575484922565</x:v>
      </x:c>
      <x:c r="F365" s="49" t="n">
        <x:v>4358</x:v>
      </x:c>
      <x:c r="G365" s="49" t="n">
        <x:v>0</x:v>
      </x:c>
      <x:c r="H365" s="21" t="str">
        <x:v>Exact</x:v>
      </x:c>
    </x:row>
    <x:row r="366">
      <x:c r="A366" s="21" t="str">
        <x:v>NYC-V3-R02</x:v>
      </x:c>
      <x:c r="B366" s="21" t="str">
        <x:v>V3</x:v>
      </x:c>
      <x:c r="C366" s="21" t="str">
        <x:v>disability_under_18</x:v>
      </x:c>
      <x:c r="D366" s="24" t="n">
        <x:v>324</x:v>
      </x:c>
      <x:c r="E366" s="43" t="n">
        <x:v>124.74694385034049</x:v>
      </x:c>
      <x:c r="F366" s="49" t="n">
        <x:v>324</x:v>
      </x:c>
      <x:c r="G366" s="49" t="n">
        <x:v>0</x:v>
      </x:c>
      <x:c r="H366" s="21" t="str">
        <x:v>Exact</x:v>
      </x:c>
    </x:row>
    <x:row r="367">
      <x:c r="A367" s="21" t="str">
        <x:v>NYC-V3-R02</x:v>
      </x:c>
      <x:c r="B367" s="21" t="str">
        <x:v>V3</x:v>
      </x:c>
      <x:c r="C367" s="21" t="str">
        <x:v>disability_18_64</x:v>
      </x:c>
      <x:c r="D367" s="24" t="n">
        <x:v>1947</x:v>
      </x:c>
      <x:c r="E367" s="43" t="n">
        <x:v>228.7737965764436</x:v>
      </x:c>
      <x:c r="F367" s="49" t="n">
        <x:v>1947</x:v>
      </x:c>
      <x:c r="G367" s="49" t="n">
        <x:v>0</x:v>
      </x:c>
      <x:c r="H367" s="21" t="str">
        <x:v>Exact</x:v>
      </x:c>
    </x:row>
    <x:row r="368">
      <x:c r="A368" s="21" t="str">
        <x:v>NYC-V3-R02</x:v>
      </x:c>
      <x:c r="B368" s="21" t="str">
        <x:v>V3</x:v>
      </x:c>
      <x:c r="C368" s="21" t="str">
        <x:v>disability_65_plus</x:v>
      </x:c>
      <x:c r="D368" s="24" t="n">
        <x:v>2087</x:v>
      </x:c>
      <x:c r="E368" s="43" t="n">
        <x:v>225.21989254948153</x:v>
      </x:c>
      <x:c r="F368" s="49" t="n">
        <x:v>2087</x:v>
      </x:c>
      <x:c r="G368" s="49" t="n">
        <x:v>0</x:v>
      </x:c>
      <x:c r="H368" s="21" t="str">
        <x:v>Exact</x:v>
      </x:c>
    </x:row>
    <x:row r="369">
      <x:c r="A369" s="21" t="str">
        <x:v>NYC-V3-R02</x:v>
      </x:c>
      <x:c r="B369" s="21" t="str">
        <x:v>V3</x:v>
      </x:c>
      <x:c r="C369" s="21" t="str">
        <x:v>hearing_difficulty</x:v>
      </x:c>
      <x:c r="D369" s="24" t="n">
        <x:v>711</x:v>
      </x:c>
      <x:c r="E369" s="43" t="n">
        <x:v>143.59378078631187</x:v>
      </x:c>
      <x:c r="F369" s="49" t="n">
        <x:v>711</x:v>
      </x:c>
      <x:c r="G369" s="49" t="n">
        <x:v>0</x:v>
      </x:c>
      <x:c r="H369" s="21" t="str">
        <x:v>Exact</x:v>
      </x:c>
    </x:row>
    <x:row r="370">
      <x:c r="A370" s="21" t="str">
        <x:v>NYC-V3-R02</x:v>
      </x:c>
      <x:c r="B370" s="21" t="str">
        <x:v>V3</x:v>
      </x:c>
      <x:c r="C370" s="21" t="str">
        <x:v>vision_difficulty</x:v>
      </x:c>
      <x:c r="D370" s="24" t="n">
        <x:v>823</x:v>
      </x:c>
      <x:c r="E370" s="43" t="n">
        <x:v>155.83074103653917</x:v>
      </x:c>
      <x:c r="F370" s="49" t="n">
        <x:v>823</x:v>
      </x:c>
      <x:c r="G370" s="49" t="n">
        <x:v>0</x:v>
      </x:c>
      <x:c r="H370" s="21" t="str">
        <x:v>Exact</x:v>
      </x:c>
    </x:row>
    <x:row r="371">
      <x:c r="A371" s="21" t="str">
        <x:v>NYC-V3-R02</x:v>
      </x:c>
      <x:c r="B371" s="21" t="str">
        <x:v>V3</x:v>
      </x:c>
      <x:c r="C371" s="21" t="str">
        <x:v>cognitive_difficulty</x:v>
      </x:c>
      <x:c r="D371" s="24" t="n">
        <x:v>1919</x:v>
      </x:c>
      <x:c r="E371" s="43" t="n">
        <x:v>238.4900905792062</x:v>
      </x:c>
      <x:c r="F371" s="49" t="n">
        <x:v>1919</x:v>
      </x:c>
      <x:c r="G371" s="49" t="n">
        <x:v>0</x:v>
      </x:c>
      <x:c r="H371" s="21" t="str">
        <x:v>Exact</x:v>
      </x:c>
    </x:row>
    <x:row r="372">
      <x:c r="A372" s="21" t="str">
        <x:v>NYC-V3-R02</x:v>
      </x:c>
      <x:c r="B372" s="21" t="str">
        <x:v>V3</x:v>
      </x:c>
      <x:c r="C372" s="21" t="str">
        <x:v>ambulatory_difficulty</x:v>
      </x:c>
      <x:c r="D372" s="24" t="n">
        <x:v>2796</x:v>
      </x:c>
      <x:c r="E372" s="43" t="n">
        <x:v>281.51804378452533</x:v>
      </x:c>
      <x:c r="F372" s="49" t="n">
        <x:v>2796</x:v>
      </x:c>
      <x:c r="G372" s="49" t="n">
        <x:v>0</x:v>
      </x:c>
      <x:c r="H372" s="21" t="str">
        <x:v>Exact</x:v>
      </x:c>
    </x:row>
    <x:row r="373">
      <x:c r="A373" s="21" t="str">
        <x:v>NYC-V3-R02</x:v>
      </x:c>
      <x:c r="B373" s="21" t="str">
        <x:v>V3</x:v>
      </x:c>
      <x:c r="C373" s="21" t="str">
        <x:v>self_care_difficulty</x:v>
      </x:c>
      <x:c r="D373" s="24" t="n">
        <x:v>1397</x:v>
      </x:c>
      <x:c r="E373" s="43" t="n">
        <x:v>200.98794249628318</x:v>
      </x:c>
      <x:c r="F373" s="49" t="n">
        <x:v>1397</x:v>
      </x:c>
      <x:c r="G373" s="49" t="n">
        <x:v>0</x:v>
      </x:c>
      <x:c r="H373" s="21" t="str">
        <x:v>Exact</x:v>
      </x:c>
    </x:row>
    <x:row r="374">
      <x:c r="A374" s="21" t="str">
        <x:v>NYC-V3-R02</x:v>
      </x:c>
      <x:c r="B374" s="21" t="str">
        <x:v>V3</x:v>
      </x:c>
      <x:c r="C374" s="21" t="str">
        <x:v>independent_living_difficulty</x:v>
      </x:c>
      <x:c r="D374" s="24" t="n">
        <x:v>2095</x:v>
      </x:c>
      <x:c r="E374" s="43" t="n">
        <x:v>227.35481039465947</x:v>
      </x:c>
      <x:c r="F374" s="49" t="n">
        <x:v>2095</x:v>
      </x:c>
      <x:c r="G374" s="49" t="n">
        <x:v>0</x:v>
      </x:c>
      <x:c r="H374" s="21" t="str">
        <x:v>Exact</x:v>
      </x:c>
    </x:row>
    <x:row r="375">
      <x:c r="A375" s="21" t="str">
        <x:v>NYC-V3-R02</x:v>
      </x:c>
      <x:c r="B375" s="21" t="str">
        <x:v>V3</x:v>
      </x:c>
      <x:c r="C375" s="21" t="str">
        <x:v>households</x:v>
      </x:c>
      <x:c r="D375" s="24" t="n">
        <x:v>13035</x:v>
      </x:c>
      <x:c r="E375" s="43" t="n">
        <x:v>478.17172647491407</x:v>
      </x:c>
      <x:c r="F375" s="49" t="n">
        <x:v>13035</x:v>
      </x:c>
      <x:c r="G375" s="49" t="n">
        <x:v>0</x:v>
      </x:c>
      <x:c r="H375" s="21" t="str">
        <x:v>Exact</x:v>
      </x:c>
    </x:row>
    <x:row r="376">
      <x:c r="A376" s="21" t="str">
        <x:v>NYC-V3-R02</x:v>
      </x:c>
      <x:c r="B376" s="21" t="str">
        <x:v>V3</x:v>
      </x:c>
      <x:c r="C376" s="21" t="str">
        <x:v>family_households</x:v>
      </x:c>
      <x:c r="D376" s="24" t="n">
        <x:v>7652</x:v>
      </x:c>
      <x:c r="E376" s="43" t="n">
        <x:v>404.54085084203797</x:v>
      </x:c>
      <x:c r="F376" s="49" t="n">
        <x:v>7652</x:v>
      </x:c>
      <x:c r="G376" s="49" t="n">
        <x:v>0</x:v>
      </x:c>
      <x:c r="H376" s="21" t="str">
        <x:v>Exact</x:v>
      </x:c>
    </x:row>
    <x:row r="377">
      <x:c r="A377" s="21" t="str">
        <x:v>NYC-V3-R02</x:v>
      </x:c>
      <x:c r="B377" s="21" t="str">
        <x:v>V3</x:v>
      </x:c>
      <x:c r="C377" s="21" t="str">
        <x:v>nonfamily_households</x:v>
      </x:c>
      <x:c r="D377" s="24" t="n">
        <x:v>5383</x:v>
      </x:c>
      <x:c r="E377" s="43" t="n">
        <x:v>365.525922473359</x:v>
      </x:c>
      <x:c r="F377" s="49" t="n">
        <x:v>5383</x:v>
      </x:c>
      <x:c r="G377" s="49" t="n">
        <x:v>0</x:v>
      </x:c>
      <x:c r="H377" s="21" t="str">
        <x:v>Exact</x:v>
      </x:c>
    </x:row>
    <x:row r="378">
      <x:c r="A378" s="21" t="str">
        <x:v>NYC-V3-R02</x:v>
      </x:c>
      <x:c r="B378" s="21" t="str">
        <x:v>V3</x:v>
      </x:c>
      <x:c r="C378" s="21" t="str">
        <x:v>living_alone_households</x:v>
      </x:c>
      <x:c r="D378" s="24" t="n">
        <x:v>4853</x:v>
      </x:c>
      <x:c r="E378" s="43" t="n">
        <x:v>333.8818653356304</x:v>
      </x:c>
      <x:c r="F378" s="49" t="n">
        <x:v>4853</x:v>
      </x:c>
      <x:c r="G378" s="49" t="n">
        <x:v>0</x:v>
      </x:c>
      <x:c r="H378" s="21" t="str">
        <x:v>Exact</x:v>
      </x:c>
    </x:row>
    <x:row r="379">
      <x:c r="A379" s="21" t="str">
        <x:v>NYC-V3-R02</x:v>
      </x:c>
      <x:c r="B379" s="21" t="str">
        <x:v>V3</x:v>
      </x:c>
      <x:c r="C379" s="21" t="str">
        <x:v>households_with_children</x:v>
      </x:c>
      <x:c r="D379" s="24" t="n">
        <x:v>4143</x:v>
      </x:c>
      <x:c r="E379" s="43" t="n">
        <x:v>379.94499601916067</x:v>
      </x:c>
      <x:c r="F379" s="49" t="n">
        <x:v>4143</x:v>
      </x:c>
      <x:c r="G379" s="49" t="n">
        <x:v>0</x:v>
      </x:c>
      <x:c r="H379" s="21" t="str">
        <x:v>Exact</x:v>
      </x:c>
    </x:row>
    <x:row r="380">
      <x:c r="A380" s="21" t="str">
        <x:v>NYC-V3-R02</x:v>
      </x:c>
      <x:c r="B380" s="21" t="str">
        <x:v>V3</x:v>
      </x:c>
      <x:c r="C380" s="21" t="str">
        <x:v>households_with_age65</x:v>
      </x:c>
      <x:c r="D380" s="24" t="n">
        <x:v>4181</x:v>
      </x:c>
      <x:c r="E380" s="43" t="n">
        <x:v>318.22531326090325</x:v>
      </x:c>
      <x:c r="F380" s="49" t="n">
        <x:v>4181</x:v>
      </x:c>
      <x:c r="G380" s="49" t="n">
        <x:v>0</x:v>
      </x:c>
      <x:c r="H380" s="21" t="str">
        <x:v>Exact</x:v>
      </x:c>
    </x:row>
    <x:row r="381">
      <x:c r="A381" s="21" t="str">
        <x:v>NYC-V3-R02</x:v>
      </x:c>
      <x:c r="B381" s="21" t="str">
        <x:v>V3</x:v>
      </x:c>
      <x:c r="C381" s="21" t="str">
        <x:v>age65_one_person_households</x:v>
      </x:c>
      <x:c r="D381" s="24" t="n">
        <x:v>1947</x:v>
      </x:c>
      <x:c r="E381" s="43" t="n">
        <x:v>189.0428522848722</x:v>
      </x:c>
      <x:c r="F381" s="49" t="n">
        <x:v>1947</x:v>
      </x:c>
      <x:c r="G381" s="49" t="n">
        <x:v>0</x:v>
      </x:c>
      <x:c r="H381" s="21" t="str">
        <x:v>Exact</x:v>
      </x:c>
    </x:row>
    <x:row r="382">
      <x:c r="A382" s="21" t="str">
        <x:v>NYC-V3-R02</x:v>
      </x:c>
      <x:c r="B382" s="21" t="str">
        <x:v>V3</x:v>
      </x:c>
      <x:c r="C382" s="21" t="str">
        <x:v>no_vehicle_households</x:v>
      </x:c>
      <x:c r="D382" s="24" t="n">
        <x:v>8423</x:v>
      </x:c>
      <x:c r="E382" s="43" t="n">
        <x:v>409.94825920554155</x:v>
      </x:c>
      <x:c r="F382" s="49" t="n">
        <x:v>8423</x:v>
      </x:c>
      <x:c r="G382" s="49" t="n">
        <x:v>0</x:v>
      </x:c>
      <x:c r="H382" s="21" t="str">
        <x:v>Exact</x:v>
      </x:c>
    </x:row>
    <x:row r="383">
      <x:c r="A383" s="21" t="str">
        <x:v>NYC-V3-R02</x:v>
      </x:c>
      <x:c r="B383" s="21" t="str">
        <x:v>V3</x:v>
      </x:c>
      <x:c r="C383" s="21" t="str">
        <x:v>limited_english_households</x:v>
      </x:c>
      <x:c r="D383" s="24" t="n">
        <x:v>2085</x:v>
      </x:c>
      <x:c r="E383" s="43" t="n">
        <x:v>248.351890480714</x:v>
      </x:c>
      <x:c r="F383" s="49" t="n">
        <x:v>2085</x:v>
      </x:c>
      <x:c r="G383" s="49" t="n">
        <x:v>0</x:v>
      </x:c>
      <x:c r="H383" s="21" t="str">
        <x:v>Exact</x:v>
      </x:c>
    </x:row>
    <x:row r="384">
      <x:c r="A384" s="21" t="str">
        <x:v>NYC-V3-R02</x:v>
      </x:c>
      <x:c r="B384" s="21" t="str">
        <x:v>V3</x:v>
      </x:c>
      <x:c r="C384" s="21" t="str">
        <x:v>housing_units</x:v>
      </x:c>
      <x:c r="D384" s="24" t="n">
        <x:v>14139</x:v>
      </x:c>
      <x:c r="E384" s="43" t="n">
        <x:v>438.7449145004418</x:v>
      </x:c>
      <x:c r="F384" s="49" t="n">
        <x:v>14139</x:v>
      </x:c>
      <x:c r="G384" s="49" t="n">
        <x:v>0</x:v>
      </x:c>
      <x:c r="H384" s="21" t="str">
        <x:v>Exact</x:v>
      </x:c>
    </x:row>
    <x:row r="385">
      <x:c r="A385" s="21" t="str">
        <x:v>NYC-V3-R02</x:v>
      </x:c>
      <x:c r="B385" s="21" t="str">
        <x:v>V3</x:v>
      </x:c>
      <x:c r="C385" s="21" t="str">
        <x:v>occupied_housing_units</x:v>
      </x:c>
      <x:c r="D385" s="24" t="n">
        <x:v>13035</x:v>
      </x:c>
      <x:c r="E385" s="43" t="n">
        <x:v>478.17172647491407</x:v>
      </x:c>
      <x:c r="F385" s="49" t="n">
        <x:v>13035</x:v>
      </x:c>
      <x:c r="G385" s="49" t="n">
        <x:v>0</x:v>
      </x:c>
      <x:c r="H385" s="21" t="str">
        <x:v>Exact</x:v>
      </x:c>
    </x:row>
    <x:row r="386">
      <x:c r="A386" s="21" t="str">
        <x:v>NYC-V3-R02</x:v>
      </x:c>
      <x:c r="B386" s="21" t="str">
        <x:v>V3</x:v>
      </x:c>
      <x:c r="C386" s="21" t="str">
        <x:v>vacant_housing_units</x:v>
      </x:c>
      <x:c r="D386" s="24" t="n">
        <x:v>1104</x:v>
      </x:c>
      <x:c r="E386" s="43" t="n">
        <x:v>198.37439350883974</x:v>
      </x:c>
      <x:c r="F386" s="49" t="n">
        <x:v>1104</x:v>
      </x:c>
      <x:c r="G386" s="49" t="n">
        <x:v>0</x:v>
      </x:c>
      <x:c r="H386" s="21" t="str">
        <x:v>Exact</x:v>
      </x:c>
    </x:row>
    <x:row r="387">
      <x:c r="A387" s="21" t="str">
        <x:v>NYC-V3-R02</x:v>
      </x:c>
      <x:c r="B387" s="21" t="str">
        <x:v>V3</x:v>
      </x:c>
      <x:c r="C387" s="21" t="str">
        <x:v>owner_occupied_units</x:v>
      </x:c>
      <x:c r="D387" s="24" t="n">
        <x:v>3347</x:v>
      </x:c>
      <x:c r="E387" s="43" t="n">
        <x:v>331.4658998172509</x:v>
      </x:c>
      <x:c r="F387" s="49" t="n">
        <x:v>3347</x:v>
      </x:c>
      <x:c r="G387" s="49" t="n">
        <x:v>0</x:v>
      </x:c>
      <x:c r="H387" s="21" t="str">
        <x:v>Exact</x:v>
      </x:c>
    </x:row>
    <x:row r="388">
      <x:c r="A388" s="21" t="str">
        <x:v>NYC-V3-R02</x:v>
      </x:c>
      <x:c r="B388" s="21" t="str">
        <x:v>V3</x:v>
      </x:c>
      <x:c r="C388" s="21" t="str">
        <x:v>renter_occupied_units</x:v>
      </x:c>
      <x:c r="D388" s="24" t="n">
        <x:v>9688</x:v>
      </x:c>
      <x:c r="E388" s="43" t="n">
        <x:v>463.7026918574268</x:v>
      </x:c>
      <x:c r="F388" s="49" t="n">
        <x:v>9688</x:v>
      </x:c>
      <x:c r="G388" s="49" t="n">
        <x:v>0</x:v>
      </x:c>
      <x:c r="H388" s="21" t="str">
        <x:v>Exact</x:v>
      </x:c>
    </x:row>
    <x:row r="389">
      <x:c r="A389" s="21" t="str">
        <x:v>NYC-V3-R02</x:v>
      </x:c>
      <x:c r="B389" s="21" t="str">
        <x:v>V3</x:v>
      </x:c>
      <x:c r="C389" s="21" t="str">
        <x:v>one_unit_structures</x:v>
      </x:c>
      <x:c r="D389" s="24" t="n">
        <x:v>823</x:v>
      </x:c>
      <x:c r="E389" s="43" t="n">
        <x:v>196.21420401684762</x:v>
      </x:c>
      <x:c r="F389" s="49" t="n">
        <x:v>823</x:v>
      </x:c>
      <x:c r="G389" s="49" t="n">
        <x:v>0</x:v>
      </x:c>
      <x:c r="H389" s="21" t="str">
        <x:v>Exact</x:v>
      </x:c>
    </x:row>
    <x:row r="390">
      <x:c r="A390" s="21" t="str">
        <x:v>NYC-V3-R02</x:v>
      </x:c>
      <x:c r="B390" s="21" t="str">
        <x:v>V3</x:v>
      </x:c>
      <x:c r="C390" s="21" t="str">
        <x:v>two_to_four_unit_structures</x:v>
      </x:c>
      <x:c r="D390" s="24" t="n">
        <x:v>1584</x:v>
      </x:c>
      <x:c r="E390" s="43" t="n">
        <x:v>200.0461878836865</x:v>
      </x:c>
      <x:c r="F390" s="49" t="n">
        <x:v>1584</x:v>
      </x:c>
      <x:c r="G390" s="49" t="n">
        <x:v>0</x:v>
      </x:c>
      <x:c r="H390" s="21" t="str">
        <x:v>Exact</x:v>
      </x:c>
    </x:row>
    <x:row r="391">
      <x:c r="A391" s="21" t="str">
        <x:v>NYC-V3-R02</x:v>
      </x:c>
      <x:c r="B391" s="21" t="str">
        <x:v>V3</x:v>
      </x:c>
      <x:c r="C391" s="21" t="str">
        <x:v>five_to_nineteen_unit_structures</x:v>
      </x:c>
      <x:c r="D391" s="24" t="n">
        <x:v>1284</x:v>
      </x:c>
      <x:c r="E391" s="43" t="n">
        <x:v>193.65399770024894</x:v>
      </x:c>
      <x:c r="F391" s="49" t="n">
        <x:v>1284</x:v>
      </x:c>
      <x:c r="G391" s="49" t="n">
        <x:v>0</x:v>
      </x:c>
      <x:c r="H391" s="21" t="str">
        <x:v>Exact</x:v>
      </x:c>
    </x:row>
    <x:row r="392">
      <x:c r="A392" s="21" t="str">
        <x:v>NYC-V3-R02</x:v>
      </x:c>
      <x:c r="B392" s="21" t="str">
        <x:v>V3</x:v>
      </x:c>
      <x:c r="C392" s="21" t="str">
        <x:v>twenty_to_forty_nine_unit_structures</x:v>
      </x:c>
      <x:c r="D392" s="24" t="n">
        <x:v>3364</x:v>
      </x:c>
      <x:c r="E392" s="43" t="n">
        <x:v>318.80427184358047</x:v>
      </x:c>
      <x:c r="F392" s="49" t="n">
        <x:v>3364</x:v>
      </x:c>
      <x:c r="G392" s="49" t="n">
        <x:v>0</x:v>
      </x:c>
      <x:c r="H392" s="21" t="str">
        <x:v>Exact</x:v>
      </x:c>
    </x:row>
    <x:row r="393">
      <x:c r="A393" s="21" t="str">
        <x:v>NYC-V3-R02</x:v>
      </x:c>
      <x:c r="B393" s="21" t="str">
        <x:v>V3</x:v>
      </x:c>
      <x:c r="C393" s="21" t="str">
        <x:v>fifty_plus_unit_structures</x:v>
      </x:c>
      <x:c r="D393" s="24" t="n">
        <x:v>5980</x:v>
      </x:c>
      <x:c r="E393" s="43" t="n">
        <x:v>468.6725087076537</x:v>
      </x:c>
      <x:c r="F393" s="49" t="n">
        <x:v>5980</x:v>
      </x:c>
      <x:c r="G393" s="49" t="n">
        <x:v>0</x:v>
      </x:c>
      <x:c r="H393" s="21" t="str">
        <x:v>Exact</x:v>
      </x:c>
    </x:row>
    <x:row r="394">
      <x:c r="A394" s="21" t="str">
        <x:v>NYC-V3-R02</x:v>
      </x:c>
      <x:c r="B394" s="21" t="str">
        <x:v>V3</x:v>
      </x:c>
      <x:c r="C394" s="21" t="str">
        <x:v>mobile_or_other_units</x:v>
      </x:c>
      <x:c r="D394" s="24" t="n">
        <x:v>0</x:v>
      </x:c>
      <x:c r="E394" s="43" t="n">
        <x:v>52.53348984916304</x:v>
      </x:c>
      <x:c r="F394" s="49" t="n">
        <x:v>0</x:v>
      </x:c>
      <x:c r="G394" s="49" t="n">
        <x:v>0</x:v>
      </x:c>
      <x:c r="H394" s="21" t="str">
        <x:v>Exact</x:v>
      </x:c>
    </x:row>
    <x:row r="395">
      <x:c r="A395" s="21" t="str">
        <x:v>NYC-V3-R02</x:v>
      </x:c>
      <x:c r="B395" s="21" t="str">
        <x:v>V3</x:v>
      </x:c>
      <x:c r="C395" s="21" t="str">
        <x:v>electric_heat_households</x:v>
      </x:c>
      <x:c r="D395" s="24" t="n">
        <x:v>1952</x:v>
      </x:c>
      <x:c r="E395" s="43" t="n">
        <x:v>264.2669105279736</x:v>
      </x:c>
      <x:c r="F395" s="49" t="n">
        <x:v>1952</x:v>
      </x:c>
      <x:c r="G395" s="49" t="n">
        <x:v>0</x:v>
      </x:c>
      <x:c r="H395" s="21" t="str">
        <x:v>Exact</x:v>
      </x:c>
    </x:row>
    <x:row r="396">
      <x:c r="A396" s="21" t="str">
        <x:v>NYC-V3-R02</x:v>
      </x:c>
      <x:c r="B396" s="21" t="str">
        <x:v>V3</x:v>
      </x:c>
      <x:c r="C396" s="21" t="str">
        <x:v>group_quarters_population</x:v>
      </x:c>
      <x:c r="D396" s="24" t="n">
        <x:v>195</x:v>
      </x:c>
      <x:c r="E396" s="43" t="n">
        <x:v>7.700649323271382</x:v>
      </x:c>
      <x:c r="F396" s="49" t="n">
        <x:v>195</x:v>
      </x:c>
      <x:c r="G396" s="49" t="n">
        <x:v>0</x:v>
      </x:c>
      <x:c r="H396" s="21" t="str">
        <x:v>Exact</x:v>
      </x:c>
    </x:row>
    <x:row r="397">
      <x:c r="A397" s="21" t="str">
        <x:v>NYC-V3-R03</x:v>
      </x:c>
      <x:c r="B397" s="21" t="str">
        <x:v>V3</x:v>
      </x:c>
      <x:c r="C397" s="21" t="str">
        <x:v>acs_population</x:v>
      </x:c>
      <x:c r="D397" s="24" t="n">
        <x:v>41146</x:v>
      </x:c>
      <x:c r="E397" s="43" t="n">
        <x:v>1454.1482214684995</x:v>
      </x:c>
      <x:c r="F397" s="49" t="n">
        <x:v>41146</x:v>
      </x:c>
      <x:c r="G397" s="49" t="n">
        <x:v>0</x:v>
      </x:c>
      <x:c r="H397" s="21" t="str">
        <x:v>Exact</x:v>
      </x:c>
    </x:row>
    <x:row r="398">
      <x:c r="A398" s="21" t="str">
        <x:v>NYC-V3-R03</x:v>
      </x:c>
      <x:c r="B398" s="21" t="str">
        <x:v>V3</x:v>
      </x:c>
      <x:c r="C398" s="21" t="str">
        <x:v>age_under_18</x:v>
      </x:c>
      <x:c r="D398" s="24" t="n">
        <x:v>10108</x:v>
      </x:c>
      <x:c r="E398" s="43" t="n">
        <x:v>813.3160517289697</x:v>
      </x:c>
      <x:c r="F398" s="49" t="n">
        <x:v>10108</x:v>
      </x:c>
      <x:c r="G398" s="49" t="n">
        <x:v>0</x:v>
      </x:c>
      <x:c r="H398" s="21" t="str">
        <x:v>Exact</x:v>
      </x:c>
    </x:row>
    <x:row r="399">
      <x:c r="A399" s="21" t="str">
        <x:v>NYC-V3-R03</x:v>
      </x:c>
      <x:c r="B399" s="21" t="str">
        <x:v>V3</x:v>
      </x:c>
      <x:c r="C399" s="21" t="str">
        <x:v>age_under_5</x:v>
      </x:c>
      <x:c r="D399" s="24" t="n">
        <x:v>2491</x:v>
      </x:c>
      <x:c r="E399" s="43" t="n">
        <x:v>316.96734847614823</x:v>
      </x:c>
      <x:c r="F399" s="49" t="n">
        <x:v>2491</x:v>
      </x:c>
      <x:c r="G399" s="49" t="n">
        <x:v>0</x:v>
      </x:c>
      <x:c r="H399" s="21" t="str">
        <x:v>Exact</x:v>
      </x:c>
    </x:row>
    <x:row r="400">
      <x:c r="A400" s="21" t="str">
        <x:v>NYC-V3-R03</x:v>
      </x:c>
      <x:c r="B400" s="21" t="str">
        <x:v>V3</x:v>
      </x:c>
      <x:c r="C400" s="21" t="str">
        <x:v>age_65_plus</x:v>
      </x:c>
      <x:c r="D400" s="24" t="n">
        <x:v>8067</x:v>
      </x:c>
      <x:c r="E400" s="43" t="n">
        <x:v>446.3000112032264</x:v>
      </x:c>
      <x:c r="F400" s="49" t="n">
        <x:v>8067</x:v>
      </x:c>
      <x:c r="G400" s="49" t="n">
        <x:v>0</x:v>
      </x:c>
      <x:c r="H400" s="21" t="str">
        <x:v>Exact</x:v>
      </x:c>
    </x:row>
    <x:row r="401">
      <x:c r="A401" s="21" t="str">
        <x:v>NYC-V3-R03</x:v>
      </x:c>
      <x:c r="B401" s="21" t="str">
        <x:v>V3</x:v>
      </x:c>
      <x:c r="C401" s="21" t="str">
        <x:v>age_75_plus</x:v>
      </x:c>
      <x:c r="D401" s="24" t="n">
        <x:v>3343</x:v>
      </x:c>
      <x:c r="E401" s="43" t="n">
        <x:v>319.74177080888256</x:v>
      </x:c>
      <x:c r="F401" s="49" t="n">
        <x:v>3343</x:v>
      </x:c>
      <x:c r="G401" s="49" t="n">
        <x:v>0</x:v>
      </x:c>
      <x:c r="H401" s="21" t="str">
        <x:v>Exact</x:v>
      </x:c>
    </x:row>
    <x:row r="402">
      <x:c r="A402" s="21" t="str">
        <x:v>NYC-V3-R03</x:v>
      </x:c>
      <x:c r="B402" s="21" t="str">
        <x:v>V3</x:v>
      </x:c>
      <x:c r="C402" s="21" t="str">
        <x:v>age_85_plus</x:v>
      </x:c>
      <x:c r="D402" s="24" t="n">
        <x:v>943</x:v>
      </x:c>
      <x:c r="E402" s="43" t="n">
        <x:v>179.3863149741362</x:v>
      </x:c>
      <x:c r="F402" s="49" t="n">
        <x:v>943</x:v>
      </x:c>
      <x:c r="G402" s="49" t="n">
        <x:v>0</x:v>
      </x:c>
      <x:c r="H402" s="21" t="str">
        <x:v>Exact</x:v>
      </x:c>
    </x:row>
    <x:row r="403">
      <x:c r="A403" s="21" t="str">
        <x:v>NYC-V3-R03</x:v>
      </x:c>
      <x:c r="B403" s="21" t="str">
        <x:v>V3</x:v>
      </x:c>
      <x:c r="C403" s="21" t="str">
        <x:v>civilian_noninstitutionalized</x:v>
      </x:c>
      <x:c r="D403" s="24" t="n">
        <x:v>40336</x:v>
      </x:c>
      <x:c r="E403" s="43" t="n">
        <x:v>1446.3572172876243</x:v>
      </x:c>
      <x:c r="F403" s="49" t="n">
        <x:v>40336</x:v>
      </x:c>
      <x:c r="G403" s="49" t="n">
        <x:v>0</x:v>
      </x:c>
      <x:c r="H403" s="21" t="str">
        <x:v>Exact</x:v>
      </x:c>
    </x:row>
    <x:row r="404">
      <x:c r="A404" s="21" t="str">
        <x:v>NYC-V3-R03</x:v>
      </x:c>
      <x:c r="B404" s="21" t="str">
        <x:v>V3</x:v>
      </x:c>
      <x:c r="C404" s="21" t="str">
        <x:v>any_disability</x:v>
      </x:c>
      <x:c r="D404" s="24" t="n">
        <x:v>5833</x:v>
      </x:c>
      <x:c r="E404" s="43" t="n">
        <x:v>514.2412371640377</x:v>
      </x:c>
      <x:c r="F404" s="49" t="n">
        <x:v>5833</x:v>
      </x:c>
      <x:c r="G404" s="49" t="n">
        <x:v>0</x:v>
      </x:c>
      <x:c r="H404" s="21" t="str">
        <x:v>Exact</x:v>
      </x:c>
    </x:row>
    <x:row r="405">
      <x:c r="A405" s="21" t="str">
        <x:v>NYC-V3-R03</x:v>
      </x:c>
      <x:c r="B405" s="21" t="str">
        <x:v>V3</x:v>
      </x:c>
      <x:c r="C405" s="21" t="str">
        <x:v>disability_under_18</x:v>
      </x:c>
      <x:c r="D405" s="24" t="n">
        <x:v>938</x:v>
      </x:c>
      <x:c r="E405" s="43" t="n">
        <x:v>292.0101881784264</x:v>
      </x:c>
      <x:c r="F405" s="49" t="n">
        <x:v>938</x:v>
      </x:c>
      <x:c r="G405" s="49" t="n">
        <x:v>0</x:v>
      </x:c>
      <x:c r="H405" s="21" t="str">
        <x:v>Exact</x:v>
      </x:c>
    </x:row>
    <x:row r="406">
      <x:c r="A406" s="21" t="str">
        <x:v>NYC-V3-R03</x:v>
      </x:c>
      <x:c r="B406" s="21" t="str">
        <x:v>V3</x:v>
      </x:c>
      <x:c r="C406" s="21" t="str">
        <x:v>disability_18_64</x:v>
      </x:c>
      <x:c r="D406" s="24" t="n">
        <x:v>2622</x:v>
      </x:c>
      <x:c r="E406" s="43" t="n">
        <x:v>297.20565270532796</x:v>
      </x:c>
      <x:c r="F406" s="49" t="n">
        <x:v>2622</x:v>
      </x:c>
      <x:c r="G406" s="49" t="n">
        <x:v>0</x:v>
      </x:c>
      <x:c r="H406" s="21" t="str">
        <x:v>Exact</x:v>
      </x:c>
    </x:row>
    <x:row r="407">
      <x:c r="A407" s="21" t="str">
        <x:v>NYC-V3-R03</x:v>
      </x:c>
      <x:c r="B407" s="21" t="str">
        <x:v>V3</x:v>
      </x:c>
      <x:c r="C407" s="21" t="str">
        <x:v>disability_65_plus</x:v>
      </x:c>
      <x:c r="D407" s="24" t="n">
        <x:v>2273</x:v>
      </x:c>
      <x:c r="E407" s="43" t="n">
        <x:v>256.72086007958137</x:v>
      </x:c>
      <x:c r="F407" s="49" t="n">
        <x:v>2273</x:v>
      </x:c>
      <x:c r="G407" s="49" t="n">
        <x:v>0</x:v>
      </x:c>
      <x:c r="H407" s="21" t="str">
        <x:v>Exact</x:v>
      </x:c>
    </x:row>
    <x:row r="408">
      <x:c r="A408" s="21" t="str">
        <x:v>NYC-V3-R03</x:v>
      </x:c>
      <x:c r="B408" s="21" t="str">
        <x:v>V3</x:v>
      </x:c>
      <x:c r="C408" s="21" t="str">
        <x:v>hearing_difficulty</x:v>
      </x:c>
      <x:c r="D408" s="24" t="n">
        <x:v>1110</x:v>
      </x:c>
      <x:c r="E408" s="43" t="n">
        <x:v>253.17306186750068</x:v>
      </x:c>
      <x:c r="F408" s="49" t="n">
        <x:v>1110</x:v>
      </x:c>
      <x:c r="G408" s="49" t="n">
        <x:v>0</x:v>
      </x:c>
      <x:c r="H408" s="21" t="str">
        <x:v>Exact</x:v>
      </x:c>
    </x:row>
    <x:row r="409">
      <x:c r="A409" s="21" t="str">
        <x:v>NYC-V3-R03</x:v>
      </x:c>
      <x:c r="B409" s="21" t="str">
        <x:v>V3</x:v>
      </x:c>
      <x:c r="C409" s="21" t="str">
        <x:v>vision_difficulty</x:v>
      </x:c>
      <x:c r="D409" s="24" t="n">
        <x:v>1279</x:v>
      </x:c>
      <x:c r="E409" s="43" t="n">
        <x:v>306.603023215739</x:v>
      </x:c>
      <x:c r="F409" s="49" t="n">
        <x:v>1279</x:v>
      </x:c>
      <x:c r="G409" s="49" t="n">
        <x:v>0</x:v>
      </x:c>
      <x:c r="H409" s="21" t="str">
        <x:v>Exact</x:v>
      </x:c>
    </x:row>
    <x:row r="410">
      <x:c r="A410" s="21" t="str">
        <x:v>NYC-V3-R03</x:v>
      </x:c>
      <x:c r="B410" s="21" t="str">
        <x:v>V3</x:v>
      </x:c>
      <x:c r="C410" s="21" t="str">
        <x:v>cognitive_difficulty</x:v>
      </x:c>
      <x:c r="D410" s="24" t="n">
        <x:v>2202</x:v>
      </x:c>
      <x:c r="E410" s="43" t="n">
        <x:v>274.5157101201676</x:v>
      </x:c>
      <x:c r="F410" s="49" t="n">
        <x:v>2202</x:v>
      </x:c>
      <x:c r="G410" s="49" t="n">
        <x:v>0</x:v>
      </x:c>
      <x:c r="H410" s="21" t="str">
        <x:v>Exact</x:v>
      </x:c>
    </x:row>
    <x:row r="411">
      <x:c r="A411" s="21" t="str">
        <x:v>NYC-V3-R03</x:v>
      </x:c>
      <x:c r="B411" s="21" t="str">
        <x:v>V3</x:v>
      </x:c>
      <x:c r="C411" s="21" t="str">
        <x:v>ambulatory_difficulty</x:v>
      </x:c>
      <x:c r="D411" s="24" t="n">
        <x:v>2988</x:v>
      </x:c>
      <x:c r="E411" s="43" t="n">
        <x:v>318.88250566637026</x:v>
      </x:c>
      <x:c r="F411" s="49" t="n">
        <x:v>2988</x:v>
      </x:c>
      <x:c r="G411" s="49" t="n">
        <x:v>0</x:v>
      </x:c>
      <x:c r="H411" s="21" t="str">
        <x:v>Exact</x:v>
      </x:c>
    </x:row>
    <x:row r="412">
      <x:c r="A412" s="21" t="str">
        <x:v>NYC-V3-R03</x:v>
      </x:c>
      <x:c r="B412" s="21" t="str">
        <x:v>V3</x:v>
      </x:c>
      <x:c r="C412" s="21" t="str">
        <x:v>self_care_difficulty</x:v>
      </x:c>
      <x:c r="D412" s="24" t="n">
        <x:v>1376</x:v>
      </x:c>
      <x:c r="E412" s="43" t="n">
        <x:v>231.93381511246267</x:v>
      </x:c>
      <x:c r="F412" s="49" t="n">
        <x:v>1376</x:v>
      </x:c>
      <x:c r="G412" s="49" t="n">
        <x:v>0</x:v>
      </x:c>
      <x:c r="H412" s="21" t="str">
        <x:v>Exact</x:v>
      </x:c>
    </x:row>
    <x:row r="413">
      <x:c r="A413" s="21" t="str">
        <x:v>NYC-V3-R03</x:v>
      </x:c>
      <x:c r="B413" s="21" t="str">
        <x:v>V3</x:v>
      </x:c>
      <x:c r="C413" s="21" t="str">
        <x:v>independent_living_difficulty</x:v>
      </x:c>
      <x:c r="D413" s="24" t="n">
        <x:v>2068</x:v>
      </x:c>
      <x:c r="E413" s="43" t="n">
        <x:v>241.8742545140352</x:v>
      </x:c>
      <x:c r="F413" s="49" t="n">
        <x:v>2068</x:v>
      </x:c>
      <x:c r="G413" s="49" t="n">
        <x:v>0</x:v>
      </x:c>
      <x:c r="H413" s="21" t="str">
        <x:v>Exact</x:v>
      </x:c>
    </x:row>
    <x:row r="414">
      <x:c r="A414" s="21" t="str">
        <x:v>NYC-V3-R03</x:v>
      </x:c>
      <x:c r="B414" s="21" t="str">
        <x:v>V3</x:v>
      </x:c>
      <x:c r="C414" s="21" t="str">
        <x:v>households</x:v>
      </x:c>
      <x:c r="D414" s="24" t="n">
        <x:v>15672</x:v>
      </x:c>
      <x:c r="E414" s="43" t="n">
        <x:v>376.3787985527347</x:v>
      </x:c>
      <x:c r="F414" s="49" t="n">
        <x:v>15672</x:v>
      </x:c>
      <x:c r="G414" s="49" t="n">
        <x:v>0</x:v>
      </x:c>
      <x:c r="H414" s="21" t="str">
        <x:v>Exact</x:v>
      </x:c>
    </x:row>
    <x:row r="415">
      <x:c r="A415" s="21" t="str">
        <x:v>NYC-V3-R03</x:v>
      </x:c>
      <x:c r="B415" s="21" t="str">
        <x:v>V3</x:v>
      </x:c>
      <x:c r="C415" s="21" t="str">
        <x:v>family_households</x:v>
      </x:c>
      <x:c r="D415" s="24" t="n">
        <x:v>9534</x:v>
      </x:c>
      <x:c r="E415" s="43" t="n">
        <x:v>418.88172555030377</x:v>
      </x:c>
      <x:c r="F415" s="49" t="n">
        <x:v>9534</x:v>
      </x:c>
      <x:c r="G415" s="49" t="n">
        <x:v>0</x:v>
      </x:c>
      <x:c r="H415" s="21" t="str">
        <x:v>Exact</x:v>
      </x:c>
    </x:row>
    <x:row r="416">
      <x:c r="A416" s="21" t="str">
        <x:v>NYC-V3-R03</x:v>
      </x:c>
      <x:c r="B416" s="21" t="str">
        <x:v>V3</x:v>
      </x:c>
      <x:c r="C416" s="21" t="str">
        <x:v>nonfamily_households</x:v>
      </x:c>
      <x:c r="D416" s="24" t="n">
        <x:v>6138</x:v>
      </x:c>
      <x:c r="E416" s="43" t="n">
        <x:v>369.4073632184394</x:v>
      </x:c>
      <x:c r="F416" s="49" t="n">
        <x:v>6138</x:v>
      </x:c>
      <x:c r="G416" s="49" t="n">
        <x:v>0</x:v>
      </x:c>
      <x:c r="H416" s="21" t="str">
        <x:v>Exact</x:v>
      </x:c>
    </x:row>
    <x:row r="417">
      <x:c r="A417" s="21" t="str">
        <x:v>NYC-V3-R03</x:v>
      </x:c>
      <x:c r="B417" s="21" t="str">
        <x:v>V3</x:v>
      </x:c>
      <x:c r="C417" s="21" t="str">
        <x:v>living_alone_households</x:v>
      </x:c>
      <x:c r="D417" s="24" t="n">
        <x:v>5489</x:v>
      </x:c>
      <x:c r="E417" s="43" t="n">
        <x:v>372.8668663209431</x:v>
      </x:c>
      <x:c r="F417" s="49" t="n">
        <x:v>5489</x:v>
      </x:c>
      <x:c r="G417" s="49" t="n">
        <x:v>0</x:v>
      </x:c>
      <x:c r="H417" s="21" t="str">
        <x:v>Exact</x:v>
      </x:c>
    </x:row>
    <x:row r="418">
      <x:c r="A418" s="21" t="str">
        <x:v>NYC-V3-R03</x:v>
      </x:c>
      <x:c r="B418" s="21" t="str">
        <x:v>V3</x:v>
      </x:c>
      <x:c r="C418" s="21" t="str">
        <x:v>households_with_children</x:v>
      </x:c>
      <x:c r="D418" s="24" t="n">
        <x:v>4530</x:v>
      </x:c>
      <x:c r="E418" s="43" t="n">
        <x:v>328.87816893190103</x:v>
      </x:c>
      <x:c r="F418" s="49" t="n">
        <x:v>4530</x:v>
      </x:c>
      <x:c r="G418" s="49" t="n">
        <x:v>0</x:v>
      </x:c>
      <x:c r="H418" s="21" t="str">
        <x:v>Exact</x:v>
      </x:c>
    </x:row>
    <x:row r="419">
      <x:c r="A419" s="21" t="str">
        <x:v>NYC-V3-R03</x:v>
      </x:c>
      <x:c r="B419" s="21" t="str">
        <x:v>V3</x:v>
      </x:c>
      <x:c r="C419" s="21" t="str">
        <x:v>households_with_age65</x:v>
      </x:c>
      <x:c r="D419" s="24" t="n">
        <x:v>5862</x:v>
      </x:c>
      <x:c r="E419" s="43" t="n">
        <x:v>375.81717629719907</x:v>
      </x:c>
      <x:c r="F419" s="49" t="n">
        <x:v>5862</x:v>
      </x:c>
      <x:c r="G419" s="49" t="n">
        <x:v>0</x:v>
      </x:c>
      <x:c r="H419" s="21" t="str">
        <x:v>Exact</x:v>
      </x:c>
    </x:row>
    <x:row r="420">
      <x:c r="A420" s="21" t="str">
        <x:v>NYC-V3-R03</x:v>
      </x:c>
      <x:c r="B420" s="21" t="str">
        <x:v>V3</x:v>
      </x:c>
      <x:c r="C420" s="21" t="str">
        <x:v>age65_one_person_households</x:v>
      </x:c>
      <x:c r="D420" s="24" t="n">
        <x:v>2434</x:v>
      </x:c>
      <x:c r="E420" s="43" t="n">
        <x:v>294.8548795594199</x:v>
      </x:c>
      <x:c r="F420" s="49" t="n">
        <x:v>2434</x:v>
      </x:c>
      <x:c r="G420" s="49" t="n">
        <x:v>0</x:v>
      </x:c>
      <x:c r="H420" s="21" t="str">
        <x:v>Exact</x:v>
      </x:c>
    </x:row>
    <x:row r="421">
      <x:c r="A421" s="21" t="str">
        <x:v>NYC-V3-R03</x:v>
      </x:c>
      <x:c r="B421" s="21" t="str">
        <x:v>V3</x:v>
      </x:c>
      <x:c r="C421" s="21" t="str">
        <x:v>no_vehicle_households</x:v>
      </x:c>
      <x:c r="D421" s="24" t="n">
        <x:v>4684</x:v>
      </x:c>
      <x:c r="E421" s="43" t="n">
        <x:v>387.6012821556878</x:v>
      </x:c>
      <x:c r="F421" s="49" t="n">
        <x:v>4684</x:v>
      </x:c>
      <x:c r="G421" s="49" t="n">
        <x:v>0</x:v>
      </x:c>
      <x:c r="H421" s="21" t="str">
        <x:v>Exact</x:v>
      </x:c>
    </x:row>
    <x:row r="422">
      <x:c r="A422" s="21" t="str">
        <x:v>NYC-V3-R03</x:v>
      </x:c>
      <x:c r="B422" s="21" t="str">
        <x:v>V3</x:v>
      </x:c>
      <x:c r="C422" s="21" t="str">
        <x:v>limited_english_households</x:v>
      </x:c>
      <x:c r="D422" s="24" t="n">
        <x:v>1191</x:v>
      </x:c>
      <x:c r="E422" s="43" t="n">
        <x:v>184.08113917364267</x:v>
      </x:c>
      <x:c r="F422" s="49" t="n">
        <x:v>1191</x:v>
      </x:c>
      <x:c r="G422" s="49" t="n">
        <x:v>0</x:v>
      </x:c>
      <x:c r="H422" s="21" t="str">
        <x:v>Exact</x:v>
      </x:c>
    </x:row>
    <x:row r="423">
      <x:c r="A423" s="21" t="str">
        <x:v>NYC-V3-R03</x:v>
      </x:c>
      <x:c r="B423" s="21" t="str">
        <x:v>V3</x:v>
      </x:c>
      <x:c r="C423" s="21" t="str">
        <x:v>housing_units</x:v>
      </x:c>
      <x:c r="D423" s="24" t="n">
        <x:v>17049</x:v>
      </x:c>
      <x:c r="E423" s="43" t="n">
        <x:v>388.57303045888295</x:v>
      </x:c>
      <x:c r="F423" s="49" t="n">
        <x:v>17049</x:v>
      </x:c>
      <x:c r="G423" s="49" t="n">
        <x:v>0</x:v>
      </x:c>
      <x:c r="H423" s="21" t="str">
        <x:v>Exact</x:v>
      </x:c>
    </x:row>
    <x:row r="424">
      <x:c r="A424" s="21" t="str">
        <x:v>NYC-V3-R03</x:v>
      </x:c>
      <x:c r="B424" s="21" t="str">
        <x:v>V3</x:v>
      </x:c>
      <x:c r="C424" s="21" t="str">
        <x:v>occupied_housing_units</x:v>
      </x:c>
      <x:c r="D424" s="24" t="n">
        <x:v>15672</x:v>
      </x:c>
      <x:c r="E424" s="43" t="n">
        <x:v>376.3787985527347</x:v>
      </x:c>
      <x:c r="F424" s="49" t="n">
        <x:v>15672</x:v>
      </x:c>
      <x:c r="G424" s="49" t="n">
        <x:v>0</x:v>
      </x:c>
      <x:c r="H424" s="21" t="str">
        <x:v>Exact</x:v>
      </x:c>
    </x:row>
    <x:row r="425">
      <x:c r="A425" s="21" t="str">
        <x:v>NYC-V3-R03</x:v>
      </x:c>
      <x:c r="B425" s="21" t="str">
        <x:v>V3</x:v>
      </x:c>
      <x:c r="C425" s="21" t="str">
        <x:v>vacant_housing_units</x:v>
      </x:c>
      <x:c r="D425" s="24" t="n">
        <x:v>1377</x:v>
      </x:c>
      <x:c r="E425" s="43" t="n">
        <x:v>223.23216614099323</x:v>
      </x:c>
      <x:c r="F425" s="49" t="n">
        <x:v>1377</x:v>
      </x:c>
      <x:c r="G425" s="49" t="n">
        <x:v>0</x:v>
      </x:c>
      <x:c r="H425" s="21" t="str">
        <x:v>Exact</x:v>
      </x:c>
    </x:row>
    <x:row r="426">
      <x:c r="A426" s="21" t="str">
        <x:v>NYC-V3-R03</x:v>
      </x:c>
      <x:c r="B426" s="21" t="str">
        <x:v>V3</x:v>
      </x:c>
      <x:c r="C426" s="21" t="str">
        <x:v>owner_occupied_units</x:v>
      </x:c>
      <x:c r="D426" s="24" t="n">
        <x:v>7561</x:v>
      </x:c>
      <x:c r="E426" s="43" t="n">
        <x:v>381.9206690121956</x:v>
      </x:c>
      <x:c r="F426" s="49" t="n">
        <x:v>7561</x:v>
      </x:c>
      <x:c r="G426" s="49" t="n">
        <x:v>0</x:v>
      </x:c>
      <x:c r="H426" s="21" t="str">
        <x:v>Exact</x:v>
      </x:c>
    </x:row>
    <x:row r="427">
      <x:c r="A427" s="21" t="str">
        <x:v>NYC-V3-R03</x:v>
      </x:c>
      <x:c r="B427" s="21" t="str">
        <x:v>V3</x:v>
      </x:c>
      <x:c r="C427" s="21" t="str">
        <x:v>renter_occupied_units</x:v>
      </x:c>
      <x:c r="D427" s="24" t="n">
        <x:v>8111</x:v>
      </x:c>
      <x:c r="E427" s="43" t="n">
        <x:v>401.8494581782876</x:v>
      </x:c>
      <x:c r="F427" s="49" t="n">
        <x:v>8111</x:v>
      </x:c>
      <x:c r="G427" s="49" t="n">
        <x:v>0</x:v>
      </x:c>
      <x:c r="H427" s="21" t="str">
        <x:v>Exact</x:v>
      </x:c>
    </x:row>
    <x:row r="428">
      <x:c r="A428" s="21" t="str">
        <x:v>NYC-V3-R03</x:v>
      </x:c>
      <x:c r="B428" s="21" t="str">
        <x:v>V3</x:v>
      </x:c>
      <x:c r="C428" s="21" t="str">
        <x:v>one_unit_structures</x:v>
      </x:c>
      <x:c r="D428" s="24" t="n">
        <x:v>4303</x:v>
      </x:c>
      <x:c r="E428" s="43" t="n">
        <x:v>315.86499785647584</x:v>
      </x:c>
      <x:c r="F428" s="49" t="n">
        <x:v>4303</x:v>
      </x:c>
      <x:c r="G428" s="49" t="n">
        <x:v>0</x:v>
      </x:c>
      <x:c r="H428" s="21" t="str">
        <x:v>Exact</x:v>
      </x:c>
    </x:row>
    <x:row r="429">
      <x:c r="A429" s="21" t="str">
        <x:v>NYC-V3-R03</x:v>
      </x:c>
      <x:c r="B429" s="21" t="str">
        <x:v>V3</x:v>
      </x:c>
      <x:c r="C429" s="21" t="str">
        <x:v>two_to_four_unit_structures</x:v>
      </x:c>
      <x:c r="D429" s="24" t="n">
        <x:v>3731</x:v>
      </x:c>
      <x:c r="E429" s="43" t="n">
        <x:v>310.8452251862967</x:v>
      </x:c>
      <x:c r="F429" s="49" t="n">
        <x:v>3731</x:v>
      </x:c>
      <x:c r="G429" s="49" t="n">
        <x:v>0</x:v>
      </x:c>
      <x:c r="H429" s="21" t="str">
        <x:v>Exact</x:v>
      </x:c>
    </x:row>
    <x:row r="430">
      <x:c r="A430" s="21" t="str">
        <x:v>NYC-V3-R03</x:v>
      </x:c>
      <x:c r="B430" s="21" t="str">
        <x:v>V3</x:v>
      </x:c>
      <x:c r="C430" s="21" t="str">
        <x:v>five_to_nineteen_unit_structures</x:v>
      </x:c>
      <x:c r="D430" s="24" t="n">
        <x:v>994</x:v>
      </x:c>
      <x:c r="E430" s="43" t="n">
        <x:v>197.12927586925218</x:v>
      </x:c>
      <x:c r="F430" s="49" t="n">
        <x:v>994</x:v>
      </x:c>
      <x:c r="G430" s="49" t="n">
        <x:v>0</x:v>
      </x:c>
      <x:c r="H430" s="21" t="str">
        <x:v>Exact</x:v>
      </x:c>
    </x:row>
    <x:row r="431">
      <x:c r="A431" s="21" t="str">
        <x:v>NYC-V3-R03</x:v>
      </x:c>
      <x:c r="B431" s="21" t="str">
        <x:v>V3</x:v>
      </x:c>
      <x:c r="C431" s="21" t="str">
        <x:v>twenty_to_forty_nine_unit_structures</x:v>
      </x:c>
      <x:c r="D431" s="24" t="n">
        <x:v>1126</x:v>
      </x:c>
      <x:c r="E431" s="43" t="n">
        <x:v>183.66410732384753</x:v>
      </x:c>
      <x:c r="F431" s="49" t="n">
        <x:v>1126</x:v>
      </x:c>
      <x:c r="G431" s="49" t="n">
        <x:v>0</x:v>
      </x:c>
      <x:c r="H431" s="21" t="str">
        <x:v>Exact</x:v>
      </x:c>
    </x:row>
    <x:row r="432">
      <x:c r="A432" s="21" t="str">
        <x:v>NYC-V3-R03</x:v>
      </x:c>
      <x:c r="B432" s="21" t="str">
        <x:v>V3</x:v>
      </x:c>
      <x:c r="C432" s="21" t="str">
        <x:v>fifty_plus_unit_structures</x:v>
      </x:c>
      <x:c r="D432" s="24" t="n">
        <x:v>5383</x:v>
      </x:c>
      <x:c r="E432" s="43" t="n">
        <x:v>383.9279980414092</x:v>
      </x:c>
      <x:c r="F432" s="49" t="n">
        <x:v>5383</x:v>
      </x:c>
      <x:c r="G432" s="49" t="n">
        <x:v>0</x:v>
      </x:c>
      <x:c r="H432" s="21" t="str">
        <x:v>Exact</x:v>
      </x:c>
    </x:row>
    <x:row r="433">
      <x:c r="A433" s="21" t="str">
        <x:v>NYC-V3-R03</x:v>
      </x:c>
      <x:c r="B433" s="21" t="str">
        <x:v>V3</x:v>
      </x:c>
      <x:c r="C433" s="21" t="str">
        <x:v>mobile_or_other_units</x:v>
      </x:c>
      <x:c r="D433" s="24" t="n">
        <x:v>135</x:v>
      </x:c>
      <x:c r="E433" s="43" t="n">
        <x:v>122.05227634104897</x:v>
      </x:c>
      <x:c r="F433" s="49" t="n">
        <x:v>135</x:v>
      </x:c>
      <x:c r="G433" s="49" t="n">
        <x:v>0</x:v>
      </x:c>
      <x:c r="H433" s="21" t="str">
        <x:v>Exact</x:v>
      </x:c>
    </x:row>
    <x:row r="434">
      <x:c r="A434" s="21" t="str">
        <x:v>NYC-V3-R03</x:v>
      </x:c>
      <x:c r="B434" s="21" t="str">
        <x:v>V3</x:v>
      </x:c>
      <x:c r="C434" s="21" t="str">
        <x:v>electric_heat_households</x:v>
      </x:c>
      <x:c r="D434" s="24" t="n">
        <x:v>1657</x:v>
      </x:c>
      <x:c r="E434" s="43" t="n">
        <x:v>228.49354476658635</x:v>
      </x:c>
      <x:c r="F434" s="49" t="n">
        <x:v>1657</x:v>
      </x:c>
      <x:c r="G434" s="49" t="n">
        <x:v>0</x:v>
      </x:c>
      <x:c r="H434" s="21" t="str">
        <x:v>Exact</x:v>
      </x:c>
    </x:row>
    <x:row r="435">
      <x:c r="A435" s="21" t="str">
        <x:v>NYC-V3-R03</x:v>
      </x:c>
      <x:c r="B435" s="21" t="str">
        <x:v>V3</x:v>
      </x:c>
      <x:c r="C435" s="21" t="str">
        <x:v>group_quarters_population</x:v>
      </x:c>
      <x:c r="D435" s="24" t="n">
        <x:v>1686</x:v>
      </x:c>
      <x:c r="E435" s="43" t="n">
        <x:v>36.341436405293614</x:v>
      </x:c>
      <x:c r="F435" s="49" t="n">
        <x:v>1686</x:v>
      </x:c>
      <x:c r="G435" s="49" t="n">
        <x:v>0</x:v>
      </x:c>
      <x:c r="H435" s="21" t="str">
        <x:v>Exact</x:v>
      </x:c>
    </x:row>
    <x:row r="436">
      <x:c r="A436" s="21" t="str">
        <x:v>NYC-V3-R04</x:v>
      </x:c>
      <x:c r="B436" s="21" t="str">
        <x:v>V3</x:v>
      </x:c>
      <x:c r="C436" s="21" t="str">
        <x:v>acs_population</x:v>
      </x:c>
      <x:c r="D436" s="24" t="n">
        <x:v>36480</x:v>
      </x:c>
      <x:c r="E436" s="43" t="n">
        <x:v>1357.0544020045772</x:v>
      </x:c>
      <x:c r="F436" s="49" t="n">
        <x:v>36480</x:v>
      </x:c>
      <x:c r="G436" s="49" t="n">
        <x:v>0</x:v>
      </x:c>
      <x:c r="H436" s="21" t="str">
        <x:v>Exact</x:v>
      </x:c>
    </x:row>
    <x:row r="437">
      <x:c r="A437" s="21" t="str">
        <x:v>NYC-V3-R04</x:v>
      </x:c>
      <x:c r="B437" s="21" t="str">
        <x:v>V3</x:v>
      </x:c>
      <x:c r="C437" s="21" t="str">
        <x:v>age_under_18</x:v>
      </x:c>
      <x:c r="D437" s="24" t="n">
        <x:v>6688</x:v>
      </x:c>
      <x:c r="E437" s="43" t="n">
        <x:v>689.4024223920309</x:v>
      </x:c>
      <x:c r="F437" s="49" t="n">
        <x:v>6688</x:v>
      </x:c>
      <x:c r="G437" s="49" t="n">
        <x:v>0</x:v>
      </x:c>
      <x:c r="H437" s="21" t="str">
        <x:v>Exact</x:v>
      </x:c>
    </x:row>
    <x:row r="438">
      <x:c r="A438" s="21" t="str">
        <x:v>NYC-V3-R04</x:v>
      </x:c>
      <x:c r="B438" s="21" t="str">
        <x:v>V3</x:v>
      </x:c>
      <x:c r="C438" s="21" t="str">
        <x:v>age_under_5</x:v>
      </x:c>
      <x:c r="D438" s="24" t="n">
        <x:v>1685</x:v>
      </x:c>
      <x:c r="E438" s="43" t="n">
        <x:v>227.03733173203037</x:v>
      </x:c>
      <x:c r="F438" s="49" t="n">
        <x:v>1685</x:v>
      </x:c>
      <x:c r="G438" s="49" t="n">
        <x:v>0</x:v>
      </x:c>
      <x:c r="H438" s="21" t="str">
        <x:v>Exact</x:v>
      </x:c>
    </x:row>
    <x:row r="439">
      <x:c r="A439" s="21" t="str">
        <x:v>NYC-V3-R04</x:v>
      </x:c>
      <x:c r="B439" s="21" t="str">
        <x:v>V3</x:v>
      </x:c>
      <x:c r="C439" s="21" t="str">
        <x:v>age_65_plus</x:v>
      </x:c>
      <x:c r="D439" s="24" t="n">
        <x:v>7404</x:v>
      </x:c>
      <x:c r="E439" s="43" t="n">
        <x:v>387.11800526454465</x:v>
      </x:c>
      <x:c r="F439" s="49" t="n">
        <x:v>7404</x:v>
      </x:c>
      <x:c r="G439" s="49" t="n">
        <x:v>0</x:v>
      </x:c>
      <x:c r="H439" s="21" t="str">
        <x:v>Exact</x:v>
      </x:c>
    </x:row>
    <x:row r="440">
      <x:c r="A440" s="21" t="str">
        <x:v>NYC-V3-R04</x:v>
      </x:c>
      <x:c r="B440" s="21" t="str">
        <x:v>V3</x:v>
      </x:c>
      <x:c r="C440" s="21" t="str">
        <x:v>age_75_plus</x:v>
      </x:c>
      <x:c r="D440" s="24" t="n">
        <x:v>3209</x:v>
      </x:c>
      <x:c r="E440" s="43" t="n">
        <x:v>327.73739487583646</x:v>
      </x:c>
      <x:c r="F440" s="49" t="n">
        <x:v>3209</x:v>
      </x:c>
      <x:c r="G440" s="49" t="n">
        <x:v>0</x:v>
      </x:c>
      <x:c r="H440" s="21" t="str">
        <x:v>Exact</x:v>
      </x:c>
    </x:row>
    <x:row r="441">
      <x:c r="A441" s="21" t="str">
        <x:v>NYC-V3-R04</x:v>
      </x:c>
      <x:c r="B441" s="21" t="str">
        <x:v>V3</x:v>
      </x:c>
      <x:c r="C441" s="21" t="str">
        <x:v>age_85_plus</x:v>
      </x:c>
      <x:c r="D441" s="24" t="n">
        <x:v>1038</x:v>
      </x:c>
      <x:c r="E441" s="43" t="n">
        <x:v>193.0237032076631</x:v>
      </x:c>
      <x:c r="F441" s="49" t="n">
        <x:v>1038</x:v>
      </x:c>
      <x:c r="G441" s="49" t="n">
        <x:v>0</x:v>
      </x:c>
      <x:c r="H441" s="21" t="str">
        <x:v>Exact</x:v>
      </x:c>
    </x:row>
    <x:row r="442">
      <x:c r="A442" s="21" t="str">
        <x:v>NYC-V3-R04</x:v>
      </x:c>
      <x:c r="B442" s="21" t="str">
        <x:v>V3</x:v>
      </x:c>
      <x:c r="C442" s="21" t="str">
        <x:v>civilian_noninstitutionalized</x:v>
      </x:c>
      <x:c r="D442" s="24" t="n">
        <x:v>36364</x:v>
      </x:c>
      <x:c r="E442" s="43" t="n">
        <x:v>1358.3734206763618</x:v>
      </x:c>
      <x:c r="F442" s="49" t="n">
        <x:v>36364</x:v>
      </x:c>
      <x:c r="G442" s="49" t="n">
        <x:v>0</x:v>
      </x:c>
      <x:c r="H442" s="21" t="str">
        <x:v>Exact</x:v>
      </x:c>
    </x:row>
    <x:row r="443">
      <x:c r="A443" s="21" t="str">
        <x:v>NYC-V3-R04</x:v>
      </x:c>
      <x:c r="B443" s="21" t="str">
        <x:v>V3</x:v>
      </x:c>
      <x:c r="C443" s="21" t="str">
        <x:v>any_disability</x:v>
      </x:c>
      <x:c r="D443" s="24" t="n">
        <x:v>4401</x:v>
      </x:c>
      <x:c r="E443" s="43" t="n">
        <x:v>470.8874069244154</x:v>
      </x:c>
      <x:c r="F443" s="49" t="n">
        <x:v>4401</x:v>
      </x:c>
      <x:c r="G443" s="49" t="n">
        <x:v>0</x:v>
      </x:c>
      <x:c r="H443" s="21" t="str">
        <x:v>Exact</x:v>
      </x:c>
    </x:row>
    <x:row r="444">
      <x:c r="A444" s="21" t="str">
        <x:v>NYC-V3-R04</x:v>
      </x:c>
      <x:c r="B444" s="21" t="str">
        <x:v>V3</x:v>
      </x:c>
      <x:c r="C444" s="21" t="str">
        <x:v>disability_under_18</x:v>
      </x:c>
      <x:c r="D444" s="24" t="n">
        <x:v>247</x:v>
      </x:c>
      <x:c r="E444" s="43" t="n">
        <x:v>151.8719855667924</x:v>
      </x:c>
      <x:c r="F444" s="49" t="n">
        <x:v>247</x:v>
      </x:c>
      <x:c r="G444" s="49" t="n">
        <x:v>0</x:v>
      </x:c>
      <x:c r="H444" s="21" t="str">
        <x:v>Exact</x:v>
      </x:c>
    </x:row>
    <x:row r="445">
      <x:c r="A445" s="21" t="str">
        <x:v>NYC-V3-R04</x:v>
      </x:c>
      <x:c r="B445" s="21" t="str">
        <x:v>V3</x:v>
      </x:c>
      <x:c r="C445" s="21" t="str">
        <x:v>disability_18_64</x:v>
      </x:c>
      <x:c r="D445" s="24" t="n">
        <x:v>1718</x:v>
      </x:c>
      <x:c r="E445" s="43" t="n">
        <x:v>280.1007854326724</x:v>
      </x:c>
      <x:c r="F445" s="49" t="n">
        <x:v>1718</x:v>
      </x:c>
      <x:c r="G445" s="49" t="n">
        <x:v>0</x:v>
      </x:c>
      <x:c r="H445" s="21" t="str">
        <x:v>Exact</x:v>
      </x:c>
    </x:row>
    <x:row r="446">
      <x:c r="A446" s="21" t="str">
        <x:v>NYC-V3-R04</x:v>
      </x:c>
      <x:c r="B446" s="21" t="str">
        <x:v>V3</x:v>
      </x:c>
      <x:c r="C446" s="21" t="str">
        <x:v>disability_65_plus</x:v>
      </x:c>
      <x:c r="D446" s="24" t="n">
        <x:v>2436</x:v>
      </x:c>
      <x:c r="E446" s="43" t="n">
        <x:v>281.75645511682603</x:v>
      </x:c>
      <x:c r="F446" s="49" t="n">
        <x:v>2436</x:v>
      </x:c>
      <x:c r="G446" s="49" t="n">
        <x:v>0</x:v>
      </x:c>
      <x:c r="H446" s="21" t="str">
        <x:v>Exact</x:v>
      </x:c>
    </x:row>
    <x:row r="447">
      <x:c r="A447" s="21" t="str">
        <x:v>NYC-V3-R04</x:v>
      </x:c>
      <x:c r="B447" s="21" t="str">
        <x:v>V3</x:v>
      </x:c>
      <x:c r="C447" s="21" t="str">
        <x:v>hearing_difficulty</x:v>
      </x:c>
      <x:c r="D447" s="24" t="n">
        <x:v>1130</x:v>
      </x:c>
      <x:c r="E447" s="43" t="n">
        <x:v>230.5739095173458</x:v>
      </x:c>
      <x:c r="F447" s="49" t="n">
        <x:v>1130</x:v>
      </x:c>
      <x:c r="G447" s="49" t="n">
        <x:v>0</x:v>
      </x:c>
      <x:c r="H447" s="21" t="str">
        <x:v>Exact</x:v>
      </x:c>
    </x:row>
    <x:row r="448">
      <x:c r="A448" s="21" t="str">
        <x:v>NYC-V3-R04</x:v>
      </x:c>
      <x:c r="B448" s="21" t="str">
        <x:v>V3</x:v>
      </x:c>
      <x:c r="C448" s="21" t="str">
        <x:v>vision_difficulty</x:v>
      </x:c>
      <x:c r="D448" s="24" t="n">
        <x:v>703</x:v>
      </x:c>
      <x:c r="E448" s="43" t="n">
        <x:v>197.06459029708594</x:v>
      </x:c>
      <x:c r="F448" s="49" t="n">
        <x:v>703</x:v>
      </x:c>
      <x:c r="G448" s="49" t="n">
        <x:v>0</x:v>
      </x:c>
      <x:c r="H448" s="21" t="str">
        <x:v>Exact</x:v>
      </x:c>
    </x:row>
    <x:row r="449">
      <x:c r="A449" s="21" t="str">
        <x:v>NYC-V3-R04</x:v>
      </x:c>
      <x:c r="B449" s="21" t="str">
        <x:v>V3</x:v>
      </x:c>
      <x:c r="C449" s="21" t="str">
        <x:v>cognitive_difficulty</x:v>
      </x:c>
      <x:c r="D449" s="24" t="n">
        <x:v>1932</x:v>
      </x:c>
      <x:c r="E449" s="43" t="n">
        <x:v>294.71372896122347</x:v>
      </x:c>
      <x:c r="F449" s="49" t="n">
        <x:v>1932</x:v>
      </x:c>
      <x:c r="G449" s="49" t="n">
        <x:v>0</x:v>
      </x:c>
      <x:c r="H449" s="21" t="str">
        <x:v>Exact</x:v>
      </x:c>
    </x:row>
    <x:row r="450">
      <x:c r="A450" s="21" t="str">
        <x:v>NYC-V3-R04</x:v>
      </x:c>
      <x:c r="B450" s="21" t="str">
        <x:v>V3</x:v>
      </x:c>
      <x:c r="C450" s="21" t="str">
        <x:v>ambulatory_difficulty</x:v>
      </x:c>
      <x:c r="D450" s="24" t="n">
        <x:v>2438</x:v>
      </x:c>
      <x:c r="E450" s="43" t="n">
        <x:v>297.8196095005031</x:v>
      </x:c>
      <x:c r="F450" s="49" t="n">
        <x:v>2438</x:v>
      </x:c>
      <x:c r="G450" s="49" t="n">
        <x:v>0</x:v>
      </x:c>
      <x:c r="H450" s="21" t="str">
        <x:v>Exact</x:v>
      </x:c>
    </x:row>
    <x:row r="451">
      <x:c r="A451" s="21" t="str">
        <x:v>NYC-V3-R04</x:v>
      </x:c>
      <x:c r="B451" s="21" t="str">
        <x:v>V3</x:v>
      </x:c>
      <x:c r="C451" s="21" t="str">
        <x:v>self_care_difficulty</x:v>
      </x:c>
      <x:c r="D451" s="24" t="n">
        <x:v>1014</x:v>
      </x:c>
      <x:c r="E451" s="43" t="n">
        <x:v>199.59401148816585</x:v>
      </x:c>
      <x:c r="F451" s="49" t="n">
        <x:v>1014</x:v>
      </x:c>
      <x:c r="G451" s="49" t="n">
        <x:v>0</x:v>
      </x:c>
      <x:c r="H451" s="21" t="str">
        <x:v>Exact</x:v>
      </x:c>
    </x:row>
    <x:row r="452">
      <x:c r="A452" s="21" t="str">
        <x:v>NYC-V3-R04</x:v>
      </x:c>
      <x:c r="B452" s="21" t="str">
        <x:v>V3</x:v>
      </x:c>
      <x:c r="C452" s="21" t="str">
        <x:v>independent_living_difficulty</x:v>
      </x:c>
      <x:c r="D452" s="24" t="n">
        <x:v>1858</x:v>
      </x:c>
      <x:c r="E452" s="43" t="n">
        <x:v>268.3909509858976</x:v>
      </x:c>
      <x:c r="F452" s="49" t="n">
        <x:v>1858</x:v>
      </x:c>
      <x:c r="G452" s="49" t="n">
        <x:v>0</x:v>
      </x:c>
      <x:c r="H452" s="21" t="str">
        <x:v>Exact</x:v>
      </x:c>
    </x:row>
    <x:row r="453">
      <x:c r="A453" s="21" t="str">
        <x:v>NYC-V3-R04</x:v>
      </x:c>
      <x:c r="B453" s="21" t="str">
        <x:v>V3</x:v>
      </x:c>
      <x:c r="C453" s="21" t="str">
        <x:v>households</x:v>
      </x:c>
      <x:c r="D453" s="24" t="n">
        <x:v>17095</x:v>
      </x:c>
      <x:c r="E453" s="43" t="n">
        <x:v>423.33633201037685</x:v>
      </x:c>
      <x:c r="F453" s="49" t="n">
        <x:v>17095</x:v>
      </x:c>
      <x:c r="G453" s="49" t="n">
        <x:v>0</x:v>
      </x:c>
      <x:c r="H453" s="21" t="str">
        <x:v>Exact</x:v>
      </x:c>
    </x:row>
    <x:row r="454">
      <x:c r="A454" s="21" t="str">
        <x:v>NYC-V3-R04</x:v>
      </x:c>
      <x:c r="B454" s="21" t="str">
        <x:v>V3</x:v>
      </x:c>
      <x:c r="C454" s="21" t="str">
        <x:v>family_households</x:v>
      </x:c>
      <x:c r="D454" s="24" t="n">
        <x:v>9492</x:v>
      </x:c>
      <x:c r="E454" s="43" t="n">
        <x:v>405.0580822548786</x:v>
      </x:c>
      <x:c r="F454" s="49" t="n">
        <x:v>9492</x:v>
      </x:c>
      <x:c r="G454" s="49" t="n">
        <x:v>0</x:v>
      </x:c>
      <x:c r="H454" s="21" t="str">
        <x:v>Exact</x:v>
      </x:c>
    </x:row>
    <x:row r="455">
      <x:c r="A455" s="21" t="str">
        <x:v>NYC-V3-R04</x:v>
      </x:c>
      <x:c r="B455" s="21" t="str">
        <x:v>V3</x:v>
      </x:c>
      <x:c r="C455" s="21" t="str">
        <x:v>nonfamily_households</x:v>
      </x:c>
      <x:c r="D455" s="24" t="n">
        <x:v>7603</x:v>
      </x:c>
      <x:c r="E455" s="43" t="n">
        <x:v>390.5181173774144</x:v>
      </x:c>
      <x:c r="F455" s="49" t="n">
        <x:v>7603</x:v>
      </x:c>
      <x:c r="G455" s="49" t="n">
        <x:v>0</x:v>
      </x:c>
      <x:c r="H455" s="21" t="str">
        <x:v>Exact</x:v>
      </x:c>
    </x:row>
    <x:row r="456">
      <x:c r="A456" s="21" t="str">
        <x:v>NYC-V3-R04</x:v>
      </x:c>
      <x:c r="B456" s="21" t="str">
        <x:v>V3</x:v>
      </x:c>
      <x:c r="C456" s="21" t="str">
        <x:v>living_alone_households</x:v>
      </x:c>
      <x:c r="D456" s="24" t="n">
        <x:v>6688</x:v>
      </x:c>
      <x:c r="E456" s="43" t="n">
        <x:v>379.8412826431587</x:v>
      </x:c>
      <x:c r="F456" s="49" t="n">
        <x:v>6688</x:v>
      </x:c>
      <x:c r="G456" s="49" t="n">
        <x:v>0</x:v>
      </x:c>
      <x:c r="H456" s="21" t="str">
        <x:v>Exact</x:v>
      </x:c>
    </x:row>
    <x:row r="457">
      <x:c r="A457" s="21" t="str">
        <x:v>NYC-V3-R04</x:v>
      </x:c>
      <x:c r="B457" s="21" t="str">
        <x:v>V3</x:v>
      </x:c>
      <x:c r="C457" s="21" t="str">
        <x:v>households_with_children</x:v>
      </x:c>
      <x:c r="D457" s="24" t="n">
        <x:v>3498</x:v>
      </x:c>
      <x:c r="E457" s="43" t="n">
        <x:v>331.1649136004598</x:v>
      </x:c>
      <x:c r="F457" s="49" t="n">
        <x:v>3498</x:v>
      </x:c>
      <x:c r="G457" s="49" t="n">
        <x:v>0</x:v>
      </x:c>
      <x:c r="H457" s="21" t="str">
        <x:v>Exact</x:v>
      </x:c>
    </x:row>
    <x:row r="458">
      <x:c r="A458" s="21" t="str">
        <x:v>NYC-V3-R04</x:v>
      </x:c>
      <x:c r="B458" s="21" t="str">
        <x:v>V3</x:v>
      </x:c>
      <x:c r="C458" s="21" t="str">
        <x:v>households_with_age65</x:v>
      </x:c>
      <x:c r="D458" s="24" t="n">
        <x:v>5916</x:v>
      </x:c>
      <x:c r="E458" s="43" t="n">
        <x:v>316.95812026196774</x:v>
      </x:c>
      <x:c r="F458" s="49" t="n">
        <x:v>5916</x:v>
      </x:c>
      <x:c r="G458" s="49" t="n">
        <x:v>0</x:v>
      </x:c>
      <x:c r="H458" s="21" t="str">
        <x:v>Exact</x:v>
      </x:c>
    </x:row>
    <x:row r="459">
      <x:c r="A459" s="21" t="str">
        <x:v>NYC-V3-R04</x:v>
      </x:c>
      <x:c r="B459" s="21" t="str">
        <x:v>V3</x:v>
      </x:c>
      <x:c r="C459" s="21" t="str">
        <x:v>age65_one_person_households</x:v>
      </x:c>
      <x:c r="D459" s="24" t="n">
        <x:v>2571</x:v>
      </x:c>
      <x:c r="E459" s="43" t="n">
        <x:v>248.24191829745436</x:v>
      </x:c>
      <x:c r="F459" s="49" t="n">
        <x:v>2571</x:v>
      </x:c>
      <x:c r="G459" s="49" t="n">
        <x:v>0</x:v>
      </x:c>
      <x:c r="H459" s="21" t="str">
        <x:v>Exact</x:v>
      </x:c>
    </x:row>
    <x:row r="460">
      <x:c r="A460" s="21" t="str">
        <x:v>NYC-V3-R04</x:v>
      </x:c>
      <x:c r="B460" s="21" t="str">
        <x:v>V3</x:v>
      </x:c>
      <x:c r="C460" s="21" t="str">
        <x:v>no_vehicle_households</x:v>
      </x:c>
      <x:c r="D460" s="24" t="n">
        <x:v>8333</x:v>
      </x:c>
      <x:c r="E460" s="43" t="n">
        <x:v>430.77533736770937</x:v>
      </x:c>
      <x:c r="F460" s="49" t="n">
        <x:v>8333</x:v>
      </x:c>
      <x:c r="G460" s="49" t="n">
        <x:v>0</x:v>
      </x:c>
      <x:c r="H460" s="21" t="str">
        <x:v>Exact</x:v>
      </x:c>
    </x:row>
    <x:row r="461">
      <x:c r="A461" s="21" t="str">
        <x:v>NYC-V3-R04</x:v>
      </x:c>
      <x:c r="B461" s="21" t="str">
        <x:v>V3</x:v>
      </x:c>
      <x:c r="C461" s="21" t="str">
        <x:v>limited_english_households</x:v>
      </x:c>
      <x:c r="D461" s="24" t="n">
        <x:v>2033</x:v>
      </x:c>
      <x:c r="E461" s="43" t="n">
        <x:v>227.56358026652447</x:v>
      </x:c>
      <x:c r="F461" s="49" t="n">
        <x:v>2033</x:v>
      </x:c>
      <x:c r="G461" s="49" t="n">
        <x:v>0</x:v>
      </x:c>
      <x:c r="H461" s="21" t="str">
        <x:v>Exact</x:v>
      </x:c>
    </x:row>
    <x:row r="462">
      <x:c r="A462" s="21" t="str">
        <x:v>NYC-V3-R04</x:v>
      </x:c>
      <x:c r="B462" s="21" t="str">
        <x:v>V3</x:v>
      </x:c>
      <x:c r="C462" s="21" t="str">
        <x:v>housing_units</x:v>
      </x:c>
      <x:c r="D462" s="24" t="n">
        <x:v>17672</x:v>
      </x:c>
      <x:c r="E462" s="43" t="n">
        <x:v>404.64867477850464</x:v>
      </x:c>
      <x:c r="F462" s="49" t="n">
        <x:v>17672</x:v>
      </x:c>
      <x:c r="G462" s="49" t="n">
        <x:v>0</x:v>
      </x:c>
      <x:c r="H462" s="21" t="str">
        <x:v>Exact</x:v>
      </x:c>
    </x:row>
    <x:row r="463">
      <x:c r="A463" s="21" t="str">
        <x:v>NYC-V3-R04</x:v>
      </x:c>
      <x:c r="B463" s="21" t="str">
        <x:v>V3</x:v>
      </x:c>
      <x:c r="C463" s="21" t="str">
        <x:v>occupied_housing_units</x:v>
      </x:c>
      <x:c r="D463" s="24" t="n">
        <x:v>17095</x:v>
      </x:c>
      <x:c r="E463" s="43" t="n">
        <x:v>423.33633201037685</x:v>
      </x:c>
      <x:c r="F463" s="49" t="n">
        <x:v>17095</x:v>
      </x:c>
      <x:c r="G463" s="49" t="n">
        <x:v>0</x:v>
      </x:c>
      <x:c r="H463" s="21" t="str">
        <x:v>Exact</x:v>
      </x:c>
    </x:row>
    <x:row r="464">
      <x:c r="A464" s="21" t="str">
        <x:v>NYC-V3-R04</x:v>
      </x:c>
      <x:c r="B464" s="21" t="str">
        <x:v>V3</x:v>
      </x:c>
      <x:c r="C464" s="21" t="str">
        <x:v>vacant_housing_units</x:v>
      </x:c>
      <x:c r="D464" s="24" t="n">
        <x:v>577</x:v>
      </x:c>
      <x:c r="E464" s="43" t="n">
        <x:v>144.01145787748973</x:v>
      </x:c>
      <x:c r="F464" s="49" t="n">
        <x:v>577</x:v>
      </x:c>
      <x:c r="G464" s="49" t="n">
        <x:v>0</x:v>
      </x:c>
      <x:c r="H464" s="21" t="str">
        <x:v>Exact</x:v>
      </x:c>
    </x:row>
    <x:row r="465">
      <x:c r="A465" s="21" t="str">
        <x:v>NYC-V3-R04</x:v>
      </x:c>
      <x:c r="B465" s="21" t="str">
        <x:v>V3</x:v>
      </x:c>
      <x:c r="C465" s="21" t="str">
        <x:v>owner_occupied_units</x:v>
      </x:c>
      <x:c r="D465" s="24" t="n">
        <x:v>7231</x:v>
      </x:c>
      <x:c r="E465" s="43" t="n">
        <x:v>385.0141309656408</x:v>
      </x:c>
      <x:c r="F465" s="49" t="n">
        <x:v>7231</x:v>
      </x:c>
      <x:c r="G465" s="49" t="n">
        <x:v>0</x:v>
      </x:c>
      <x:c r="H465" s="21" t="str">
        <x:v>Exact</x:v>
      </x:c>
    </x:row>
    <x:row r="466">
      <x:c r="A466" s="21" t="str">
        <x:v>NYC-V3-R04</x:v>
      </x:c>
      <x:c r="B466" s="21" t="str">
        <x:v>V3</x:v>
      </x:c>
      <x:c r="C466" s="21" t="str">
        <x:v>renter_occupied_units</x:v>
      </x:c>
      <x:c r="D466" s="24" t="n">
        <x:v>9864</x:v>
      </x:c>
      <x:c r="E466" s="43" t="n">
        <x:v>429.7438102249084</x:v>
      </x:c>
      <x:c r="F466" s="49" t="n">
        <x:v>9864</x:v>
      </x:c>
      <x:c r="G466" s="49" t="n">
        <x:v>0</x:v>
      </x:c>
      <x:c r="H466" s="21" t="str">
        <x:v>Exact</x:v>
      </x:c>
    </x:row>
    <x:row r="467">
      <x:c r="A467" s="21" t="str">
        <x:v>NYC-V3-R04</x:v>
      </x:c>
      <x:c r="B467" s="21" t="str">
        <x:v>V3</x:v>
      </x:c>
      <x:c r="C467" s="21" t="str">
        <x:v>one_unit_structures</x:v>
      </x:c>
      <x:c r="D467" s="24" t="n">
        <x:v>1836</x:v>
      </x:c>
      <x:c r="E467" s="43" t="n">
        <x:v>275.77954996292146</x:v>
      </x:c>
      <x:c r="F467" s="49" t="n">
        <x:v>1836</x:v>
      </x:c>
      <x:c r="G467" s="49" t="n">
        <x:v>0</x:v>
      </x:c>
      <x:c r="H467" s="21" t="str">
        <x:v>Exact</x:v>
      </x:c>
    </x:row>
    <x:row r="468">
      <x:c r="A468" s="21" t="str">
        <x:v>NYC-V3-R04</x:v>
      </x:c>
      <x:c r="B468" s="21" t="str">
        <x:v>V3</x:v>
      </x:c>
      <x:c r="C468" s="21" t="str">
        <x:v>two_to_four_unit_structures</x:v>
      </x:c>
      <x:c r="D468" s="24" t="n">
        <x:v>974</x:v>
      </x:c>
      <x:c r="E468" s="43" t="n">
        <x:v>246.60704191189794</x:v>
      </x:c>
      <x:c r="F468" s="49" t="n">
        <x:v>974</x:v>
      </x:c>
      <x:c r="G468" s="49" t="n">
        <x:v>0</x:v>
      </x:c>
      <x:c r="H468" s="21" t="str">
        <x:v>Exact</x:v>
      </x:c>
    </x:row>
    <x:row r="469">
      <x:c r="A469" s="21" t="str">
        <x:v>NYC-V3-R04</x:v>
      </x:c>
      <x:c r="B469" s="21" t="str">
        <x:v>V3</x:v>
      </x:c>
      <x:c r="C469" s="21" t="str">
        <x:v>five_to_nineteen_unit_structures</x:v>
      </x:c>
      <x:c r="D469" s="24" t="n">
        <x:v>818</x:v>
      </x:c>
      <x:c r="E469" s="43" t="n">
        <x:v>178.99509981324354</x:v>
      </x:c>
      <x:c r="F469" s="49" t="n">
        <x:v>818</x:v>
      </x:c>
      <x:c r="G469" s="49" t="n">
        <x:v>0</x:v>
      </x:c>
      <x:c r="H469" s="21" t="str">
        <x:v>Exact</x:v>
      </x:c>
    </x:row>
    <x:row r="470">
      <x:c r="A470" s="21" t="str">
        <x:v>NYC-V3-R04</x:v>
      </x:c>
      <x:c r="B470" s="21" t="str">
        <x:v>V3</x:v>
      </x:c>
      <x:c r="C470" s="21" t="str">
        <x:v>twenty_to_forty_nine_unit_structures</x:v>
      </x:c>
      <x:c r="D470" s="24" t="n">
        <x:v>3048</x:v>
      </x:c>
      <x:c r="E470" s="43" t="n">
        <x:v>309.55025697172977</x:v>
      </x:c>
      <x:c r="F470" s="49" t="n">
        <x:v>3048</x:v>
      </x:c>
      <x:c r="G470" s="49" t="n">
        <x:v>0</x:v>
      </x:c>
      <x:c r="H470" s="21" t="str">
        <x:v>Exact</x:v>
      </x:c>
    </x:row>
    <x:row r="471">
      <x:c r="A471" s="21" t="str">
        <x:v>NYC-V3-R04</x:v>
      </x:c>
      <x:c r="B471" s="21" t="str">
        <x:v>V3</x:v>
      </x:c>
      <x:c r="C471" s="21" t="str">
        <x:v>fifty_plus_unit_structures</x:v>
      </x:c>
      <x:c r="D471" s="24" t="n">
        <x:v>10419</x:v>
      </x:c>
      <x:c r="E471" s="43" t="n">
        <x:v>494.1692151481855</x:v>
      </x:c>
      <x:c r="F471" s="49" t="n">
        <x:v>10419</x:v>
      </x:c>
      <x:c r="G471" s="49" t="n">
        <x:v>0</x:v>
      </x:c>
      <x:c r="H471" s="21" t="str">
        <x:v>Exact</x:v>
      </x:c>
    </x:row>
    <x:row r="472">
      <x:c r="A472" s="21" t="str">
        <x:v>NYC-V3-R04</x:v>
      </x:c>
      <x:c r="B472" s="21" t="str">
        <x:v>V3</x:v>
      </x:c>
      <x:c r="C472" s="21" t="str">
        <x:v>mobile_or_other_units</x:v>
      </x:c>
      <x:c r="D472" s="24" t="n">
        <x:v>0</x:v>
      </x:c>
      <x:c r="E472" s="43" t="n">
        <x:v>56.987436572683116</x:v>
      </x:c>
      <x:c r="F472" s="49" t="n">
        <x:v>0</x:v>
      </x:c>
      <x:c r="G472" s="49" t="n">
        <x:v>0</x:v>
      </x:c>
      <x:c r="H472" s="21" t="str">
        <x:v>Exact</x:v>
      </x:c>
    </x:row>
    <x:row r="473">
      <x:c r="A473" s="21" t="str">
        <x:v>NYC-V3-R04</x:v>
      </x:c>
      <x:c r="B473" s="21" t="str">
        <x:v>V3</x:v>
      </x:c>
      <x:c r="C473" s="21" t="str">
        <x:v>electric_heat_households</x:v>
      </x:c>
      <x:c r="D473" s="24" t="n">
        <x:v>1225</x:v>
      </x:c>
      <x:c r="E473" s="43" t="n">
        <x:v>176.13872373785387</x:v>
      </x:c>
      <x:c r="F473" s="49" t="n">
        <x:v>1225</x:v>
      </x:c>
      <x:c r="G473" s="49" t="n">
        <x:v>0</x:v>
      </x:c>
      <x:c r="H473" s="21" t="str">
        <x:v>Exact</x:v>
      </x:c>
    </x:row>
    <x:row r="474">
      <x:c r="A474" s="22" t="str">
        <x:v>NYC-V3-R04</x:v>
      </x:c>
      <x:c r="B474" s="22" t="str">
        <x:v>V3</x:v>
      </x:c>
      <x:c r="C474" s="22" t="str">
        <x:v>group_quarters_population</x:v>
      </x:c>
      <x:c r="D474" s="25" t="n">
        <x:v>81</x:v>
      </x:c>
      <x:c r="E474" s="44" t="n">
        <x:v>1.8439088914585775</x:v>
      </x:c>
      <x:c r="F474" s="50" t="n">
        <x:v>81</x:v>
      </x:c>
      <x:c r="G474" s="50" t="n">
        <x:v>0</x:v>
      </x:c>
      <x:c r="H474" s="22" t="str">
        <x:v>Exact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22" hidden="0" customWidth="1"/>
  </x:cols>
  <x:sheetData>
    <x:row r="1">
      <x:c r="A1" s="1" t="str">
        <x:v>Identification</x:v>
      </x:c>
      <x:c r="B1" s="29"/>
      <x:c r="C1" s="29"/>
      <x:c r="D1" s="29"/>
      <x:c r="E1" s="29"/>
      <x:c r="F1" s="29"/>
      <x:c r="G1" s="29"/>
      <x:c r="H1" s="29"/>
    </x:row>
    <x:row r="2">
      <x:c r="A2" s="2" t="str">
        <x:v>Under-five authority closes one quantity; eight operational joints remain unidentified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"/>
    </x:row>
    <x:row r="5">
      <x:c r="A5" s="29"/>
      <x:c r="B5" s="29"/>
      <x:c r="C5" s="29"/>
      <x:c r="D5" s="29"/>
      <x:c r="E5" s="29"/>
      <x:c r="F5" s="29"/>
      <x:c r="G5" s="29"/>
      <x:c r="H5" s="29"/>
    </x:row>
    <x:row r="6" ht="34" customHeight="1">
      <x:c r="A6" s="17" t="str">
        <x:v>Catchment</x:v>
      </x:c>
      <x:c r="B6" s="17" t="str">
        <x:v>Archetype</x:v>
      </x:c>
      <x:c r="C6" s="17" t="str">
        <x:v>Latent quantity</x:v>
      </x:c>
      <x:c r="D6" s="17" t="str">
        <x:v>Minimum</x:v>
      </x:c>
      <x:c r="E6" s="17" t="str">
        <x:v>Maximum</x:v>
      </x:c>
      <x:c r="F6" s="17" t="str">
        <x:v>Width</x:v>
      </x:c>
      <x:c r="G6" s="17" t="str">
        <x:v>Bound type</x:v>
      </x:c>
      <x:c r="H6" s="17" t="str">
        <x:v>Point identified</x:v>
      </x:c>
    </x:row>
    <x:row r="7">
      <x:c r="A7" s="20" t="str">
        <x:v>NYC-V1-R01</x:v>
      </x:c>
      <x:c r="B7" s="20" t="str">
        <x:v>V1</x:v>
      </x:c>
      <x:c r="C7" s="20" t="str">
        <x:v>persons_age_0_4</x:v>
      </x:c>
      <x:c r="D7" s="36" t="n">
        <x:v>1125</x:v>
      </x:c>
      <x:c r="E7" s="36" t="n">
        <x:v>1125</x:v>
      </x:c>
      <x:c r="F7" s="36" t="n">
        <x:v>0</x:v>
      </x:c>
      <x:c r="G7" s="20" t="str">
        <x:v>continuous linear relaxation</x:v>
      </x:c>
      <x:c r="H7" s="20" t="str">
        <x:v>Yes</x:v>
      </x:c>
    </x:row>
    <x:row r="8">
      <x:c r="A8" s="21" t="str">
        <x:v>NYC-V1-R01</x:v>
      </x:c>
      <x:c r="B8" s="21" t="str">
        <x:v>V1</x:v>
      </x:c>
      <x:c r="C8" s="21" t="str">
        <x:v>group_quarters_under_18</x:v>
      </x:c>
      <x:c r="D8" s="37" t="n">
        <x:v>0</x:v>
      </x:c>
      <x:c r="E8" s="37" t="n">
        <x:v>441</x:v>
      </x:c>
      <x:c r="F8" s="37" t="n">
        <x:v>441</x:v>
      </x:c>
      <x:c r="G8" s="21" t="str">
        <x:v>continuous linear relaxation</x:v>
      </x:c>
      <x:c r="H8" s="21" t="str">
        <x:v>No</x:v>
      </x:c>
    </x:row>
    <x:row r="9">
      <x:c r="A9" s="21" t="str">
        <x:v>NYC-V1-R01</x:v>
      </x:c>
      <x:c r="B9" s="21" t="str">
        <x:v>V1</x:v>
      </x:c>
      <x:c r="C9" s="21" t="str">
        <x:v>disabled_age_0_4</x:v>
      </x:c>
      <x:c r="D9" s="37" t="n">
        <x:v>0</x:v>
      </x:c>
      <x:c r="E9" s="37" t="n">
        <x:v>120</x:v>
      </x:c>
      <x:c r="F9" s="37" t="n">
        <x:v>120</x:v>
      </x:c>
      <x:c r="G9" s="21" t="str">
        <x:v>continuous linear relaxation</x:v>
      </x:c>
      <x:c r="H9" s="21" t="str">
        <x:v>No</x:v>
      </x:c>
    </x:row>
    <x:row r="10">
      <x:c r="A10" s="21" t="str">
        <x:v>NYC-V1-R01</x:v>
      </x:c>
      <x:c r="B10" s="21" t="str">
        <x:v>V1</x:v>
      </x:c>
      <x:c r="C10" s="21" t="str">
        <x:v>civilian_noninstitutionalized_group_quarters</x:v>
      </x:c>
      <x:c r="D10" s="37" t="n">
        <x:v>129</x:v>
      </x:c>
      <x:c r="E10" s="37" t="n">
        <x:v>441</x:v>
      </x:c>
      <x:c r="F10" s="37" t="n">
        <x:v>312</x:v>
      </x:c>
      <x:c r="G10" s="21" t="str">
        <x:v>continuous linear relaxation</x:v>
      </x:c>
      <x:c r="H10" s="21" t="str">
        <x:v>No</x:v>
      </x:c>
    </x:row>
    <x:row r="11">
      <x:c r="A11" s="21" t="str">
        <x:v>NYC-V1-R01</x:v>
      </x:c>
      <x:c r="B11" s="21" t="str">
        <x:v>V1</x:v>
      </x:c>
      <x:c r="C11" s="21" t="str">
        <x:v>households_child_and_age65</x:v>
      </x:c>
      <x:c r="D11" s="37" t="n">
        <x:v>0</x:v>
      </x:c>
      <x:c r="E11" s="37" t="n">
        <x:v>2422</x:v>
      </x:c>
      <x:c r="F11" s="37" t="n">
        <x:v>2422</x:v>
      </x:c>
      <x:c r="G11" s="21" t="str">
        <x:v>continuous linear relaxation</x:v>
      </x:c>
      <x:c r="H11" s="21" t="str">
        <x:v>No</x:v>
      </x:c>
    </x:row>
    <x:row r="12">
      <x:c r="A12" s="21" t="str">
        <x:v>NYC-V1-R01</x:v>
      </x:c>
      <x:c r="B12" s="21" t="str">
        <x:v>V1</x:v>
      </x:c>
      <x:c r="C12" s="21" t="str">
        <x:v>households_no_vehicle_and_limited_english</x:v>
      </x:c>
      <x:c r="D12" s="37" t="n">
        <x:v>1565</x:v>
      </x:c>
      <x:c r="E12" s="37" t="n">
        <x:v>6661</x:v>
      </x:c>
      <x:c r="F12" s="37" t="n">
        <x:v>5096</x:v>
      </x:c>
      <x:c r="G12" s="21" t="str">
        <x:v>continuous linear relaxation</x:v>
      </x:c>
      <x:c r="H12" s="21" t="str">
        <x:v>No</x:v>
      </x:c>
    </x:row>
    <x:row r="13">
      <x:c r="A13" s="21" t="str">
        <x:v>NYC-V1-R01</x:v>
      </x:c>
      <x:c r="B13" s="21" t="str">
        <x:v>V1</x:v>
      </x:c>
      <x:c r="C13" s="21" t="str">
        <x:v>renter_fifty_plus_units</x:v>
      </x:c>
      <x:c r="D13" s="37" t="n">
        <x:v>4445</x:v>
      </x:c>
      <x:c r="E13" s="37" t="n">
        <x:v>8699</x:v>
      </x:c>
      <x:c r="F13" s="37" t="n">
        <x:v>4254</x:v>
      </x:c>
      <x:c r="G13" s="21" t="str">
        <x:v>continuous linear relaxation</x:v>
      </x:c>
      <x:c r="H13" s="21" t="str">
        <x:v>No</x:v>
      </x:c>
    </x:row>
    <x:row r="14">
      <x:c r="A14" s="21" t="str">
        <x:v>NYC-V1-R01</x:v>
      </x:c>
      <x:c r="B14" s="21" t="str">
        <x:v>V1</x:v>
      </x:c>
      <x:c r="C14" s="21" t="str">
        <x:v>family_households_with_children</x:v>
      </x:c>
      <x:c r="D14" s="37" t="n">
        <x:v>1960.0000000000002</x:v>
      </x:c>
      <x:c r="E14" s="37" t="n">
        <x:v>2422</x:v>
      </x:c>
      <x:c r="F14" s="37" t="n">
        <x:v>461.9999999999998</x:v>
      </x:c>
      <x:c r="G14" s="21" t="str">
        <x:v>continuous linear relaxation</x:v>
      </x:c>
      <x:c r="H14" s="21" t="str">
        <x:v>No</x:v>
      </x:c>
    </x:row>
    <x:row r="15">
      <x:c r="A15" s="21" t="str">
        <x:v>NYC-V1-R01</x:v>
      </x:c>
      <x:c r="B15" s="21" t="str">
        <x:v>V1</x:v>
      </x:c>
      <x:c r="C15" s="21" t="str">
        <x:v>electric_heat_fifty_plus_units</x:v>
      </x:c>
      <x:c r="D15" s="37" t="n">
        <x:v>0</x:v>
      </x:c>
      <x:c r="E15" s="37" t="n">
        <x:v>1721</x:v>
      </x:c>
      <x:c r="F15" s="37" t="n">
        <x:v>1721</x:v>
      </x:c>
      <x:c r="G15" s="21" t="str">
        <x:v>continuous linear relaxation</x:v>
      </x:c>
      <x:c r="H15" s="21" t="str">
        <x:v>No</x:v>
      </x:c>
    </x:row>
    <x:row r="16">
      <x:c r="A16" s="21" t="str">
        <x:v>NYC-V1-R02</x:v>
      </x:c>
      <x:c r="B16" s="21" t="str">
        <x:v>V1</x:v>
      </x:c>
      <x:c r="C16" s="21" t="str">
        <x:v>persons_age_0_4</x:v>
      </x:c>
      <x:c r="D16" s="37" t="n">
        <x:v>1588</x:v>
      </x:c>
      <x:c r="E16" s="37" t="n">
        <x:v>1588</x:v>
      </x:c>
      <x:c r="F16" s="37" t="n">
        <x:v>0</x:v>
      </x:c>
      <x:c r="G16" s="21" t="str">
        <x:v>continuous linear relaxation</x:v>
      </x:c>
      <x:c r="H16" s="21" t="str">
        <x:v>Yes</x:v>
      </x:c>
    </x:row>
    <x:row r="17">
      <x:c r="A17" s="21" t="str">
        <x:v>NYC-V1-R02</x:v>
      </x:c>
      <x:c r="B17" s="21" t="str">
        <x:v>V1</x:v>
      </x:c>
      <x:c r="C17" s="21" t="str">
        <x:v>group_quarters_under_18</x:v>
      </x:c>
      <x:c r="D17" s="37" t="n">
        <x:v>0</x:v>
      </x:c>
      <x:c r="E17" s="37" t="n">
        <x:v>1123</x:v>
      </x:c>
      <x:c r="F17" s="37" t="n">
        <x:v>1123</x:v>
      </x:c>
      <x:c r="G17" s="21" t="str">
        <x:v>continuous linear relaxation</x:v>
      </x:c>
      <x:c r="H17" s="21" t="str">
        <x:v>No</x:v>
      </x:c>
    </x:row>
    <x:row r="18">
      <x:c r="A18" s="21" t="str">
        <x:v>NYC-V1-R02</x:v>
      </x:c>
      <x:c r="B18" s="21" t="str">
        <x:v>V1</x:v>
      </x:c>
      <x:c r="C18" s="21" t="str">
        <x:v>disabled_age_0_4</x:v>
      </x:c>
      <x:c r="D18" s="37" t="n">
        <x:v>0</x:v>
      </x:c>
      <x:c r="E18" s="37" t="n">
        <x:v>61</x:v>
      </x:c>
      <x:c r="F18" s="37" t="n">
        <x:v>61</x:v>
      </x:c>
      <x:c r="G18" s="21" t="str">
        <x:v>continuous linear relaxation</x:v>
      </x:c>
      <x:c r="H18" s="21" t="str">
        <x:v>No</x:v>
      </x:c>
    </x:row>
    <x:row r="19">
      <x:c r="A19" s="21" t="str">
        <x:v>NYC-V1-R02</x:v>
      </x:c>
      <x:c r="B19" s="21" t="str">
        <x:v>V1</x:v>
      </x:c>
      <x:c r="C19" s="21" t="str">
        <x:v>civilian_noninstitutionalized_group_quarters</x:v>
      </x:c>
      <x:c r="D19" s="37" t="n">
        <x:v>1076</x:v>
      </x:c>
      <x:c r="E19" s="37" t="n">
        <x:v>1123</x:v>
      </x:c>
      <x:c r="F19" s="37" t="n">
        <x:v>47</x:v>
      </x:c>
      <x:c r="G19" s="21" t="str">
        <x:v>continuous linear relaxation</x:v>
      </x:c>
      <x:c r="H19" s="21" t="str">
        <x:v>No</x:v>
      </x:c>
    </x:row>
    <x:row r="20">
      <x:c r="A20" s="21" t="str">
        <x:v>NYC-V1-R02</x:v>
      </x:c>
      <x:c r="B20" s="21" t="str">
        <x:v>V1</x:v>
      </x:c>
      <x:c r="C20" s="21" t="str">
        <x:v>households_child_and_age65</x:v>
      </x:c>
      <x:c r="D20" s="37" t="n">
        <x:v>0</x:v>
      </x:c>
      <x:c r="E20" s="37" t="n">
        <x:v>2473</x:v>
      </x:c>
      <x:c r="F20" s="37" t="n">
        <x:v>2473</x:v>
      </x:c>
      <x:c r="G20" s="21" t="str">
        <x:v>continuous linear relaxation</x:v>
      </x:c>
      <x:c r="H20" s="21" t="str">
        <x:v>No</x:v>
      </x:c>
    </x:row>
    <x:row r="21">
      <x:c r="A21" s="21" t="str">
        <x:v>NYC-V1-R02</x:v>
      </x:c>
      <x:c r="B21" s="21" t="str">
        <x:v>V1</x:v>
      </x:c>
      <x:c r="C21" s="21" t="str">
        <x:v>households_no_vehicle_and_limited_english</x:v>
      </x:c>
      <x:c r="D21" s="37" t="n">
        <x:v>0</x:v>
      </x:c>
      <x:c r="E21" s="37" t="n">
        <x:v>820</x:v>
      </x:c>
      <x:c r="F21" s="37" t="n">
        <x:v>820</x:v>
      </x:c>
      <x:c r="G21" s="21" t="str">
        <x:v>continuous linear relaxation</x:v>
      </x:c>
      <x:c r="H21" s="21" t="str">
        <x:v>No</x:v>
      </x:c>
    </x:row>
    <x:row r="22">
      <x:c r="A22" s="21" t="str">
        <x:v>NYC-V1-R02</x:v>
      </x:c>
      <x:c r="B22" s="21" t="str">
        <x:v>V1</x:v>
      </x:c>
      <x:c r="C22" s="21" t="str">
        <x:v>renter_fifty_plus_units</x:v>
      </x:c>
      <x:c r="D22" s="37" t="n">
        <x:v>4798</x:v>
      </x:c>
      <x:c r="E22" s="37" t="n">
        <x:v>9566</x:v>
      </x:c>
      <x:c r="F22" s="37" t="n">
        <x:v>4768</x:v>
      </x:c>
      <x:c r="G22" s="21" t="str">
        <x:v>continuous linear relaxation</x:v>
      </x:c>
      <x:c r="H22" s="21" t="str">
        <x:v>No</x:v>
      </x:c>
    </x:row>
    <x:row r="23">
      <x:c r="A23" s="21" t="str">
        <x:v>NYC-V1-R02</x:v>
      </x:c>
      <x:c r="B23" s="21" t="str">
        <x:v>V1</x:v>
      </x:c>
      <x:c r="C23" s="21" t="str">
        <x:v>family_households_with_children</x:v>
      </x:c>
      <x:c r="D23" s="37" t="n">
        <x:v>1188</x:v>
      </x:c>
      <x:c r="E23" s="37" t="n">
        <x:v>2617</x:v>
      </x:c>
      <x:c r="F23" s="37" t="n">
        <x:v>1429</x:v>
      </x:c>
      <x:c r="G23" s="21" t="str">
        <x:v>continuous linear relaxation</x:v>
      </x:c>
      <x:c r="H23" s="21" t="str">
        <x:v>No</x:v>
      </x:c>
    </x:row>
    <x:row r="24">
      <x:c r="A24" s="21" t="str">
        <x:v>NYC-V1-R02</x:v>
      </x:c>
      <x:c r="B24" s="21" t="str">
        <x:v>V1</x:v>
      </x:c>
      <x:c r="C24" s="21" t="str">
        <x:v>electric_heat_fifty_plus_units</x:v>
      </x:c>
      <x:c r="D24" s="37" t="n">
        <x:v>0</x:v>
      </x:c>
      <x:c r="E24" s="37" t="n">
        <x:v>1670</x:v>
      </x:c>
      <x:c r="F24" s="37" t="n">
        <x:v>1670</x:v>
      </x:c>
      <x:c r="G24" s="21" t="str">
        <x:v>continuous linear relaxation</x:v>
      </x:c>
      <x:c r="H24" s="21" t="str">
        <x:v>No</x:v>
      </x:c>
    </x:row>
    <x:row r="25">
      <x:c r="A25" s="21" t="str">
        <x:v>NYC-V1-R03</x:v>
      </x:c>
      <x:c r="B25" s="21" t="str">
        <x:v>V1</x:v>
      </x:c>
      <x:c r="C25" s="21" t="str">
        <x:v>persons_age_0_4</x:v>
      </x:c>
      <x:c r="D25" s="37" t="n">
        <x:v>964</x:v>
      </x:c>
      <x:c r="E25" s="37" t="n">
        <x:v>964</x:v>
      </x:c>
      <x:c r="F25" s="37" t="n">
        <x:v>0</x:v>
      </x:c>
      <x:c r="G25" s="21" t="str">
        <x:v>continuous linear relaxation</x:v>
      </x:c>
      <x:c r="H25" s="21" t="str">
        <x:v>Yes</x:v>
      </x:c>
    </x:row>
    <x:row r="26">
      <x:c r="A26" s="21" t="str">
        <x:v>NYC-V1-R03</x:v>
      </x:c>
      <x:c r="B26" s="21" t="str">
        <x:v>V1</x:v>
      </x:c>
      <x:c r="C26" s="21" t="str">
        <x:v>group_quarters_under_18</x:v>
      </x:c>
      <x:c r="D26" s="37" t="n">
        <x:v>0</x:v>
      </x:c>
      <x:c r="E26" s="37" t="n">
        <x:v>837</x:v>
      </x:c>
      <x:c r="F26" s="37" t="n">
        <x:v>837</x:v>
      </x:c>
      <x:c r="G26" s="21" t="str">
        <x:v>continuous linear relaxation</x:v>
      </x:c>
      <x:c r="H26" s="21" t="str">
        <x:v>No</x:v>
      </x:c>
    </x:row>
    <x:row r="27">
      <x:c r="A27" s="21" t="str">
        <x:v>NYC-V1-R03</x:v>
      </x:c>
      <x:c r="B27" s="21" t="str">
        <x:v>V1</x:v>
      </x:c>
      <x:c r="C27" s="21" t="str">
        <x:v>disabled_age_0_4</x:v>
      </x:c>
      <x:c r="D27" s="37" t="n">
        <x:v>0</x:v>
      </x:c>
      <x:c r="E27" s="37" t="n">
        <x:v>81</x:v>
      </x:c>
      <x:c r="F27" s="37" t="n">
        <x:v>81</x:v>
      </x:c>
      <x:c r="G27" s="21" t="str">
        <x:v>continuous linear relaxation</x:v>
      </x:c>
      <x:c r="H27" s="21" t="str">
        <x:v>No</x:v>
      </x:c>
    </x:row>
    <x:row r="28">
      <x:c r="A28" s="21" t="str">
        <x:v>NYC-V1-R03</x:v>
      </x:c>
      <x:c r="B28" s="21" t="str">
        <x:v>V1</x:v>
      </x:c>
      <x:c r="C28" s="21" t="str">
        <x:v>civilian_noninstitutionalized_group_quarters</x:v>
      </x:c>
      <x:c r="D28" s="37" t="n">
        <x:v>822</x:v>
      </x:c>
      <x:c r="E28" s="37" t="n">
        <x:v>837</x:v>
      </x:c>
      <x:c r="F28" s="37" t="n">
        <x:v>15</x:v>
      </x:c>
      <x:c r="G28" s="21" t="str">
        <x:v>continuous linear relaxation</x:v>
      </x:c>
      <x:c r="H28" s="21" t="str">
        <x:v>No</x:v>
      </x:c>
    </x:row>
    <x:row r="29">
      <x:c r="A29" s="21" t="str">
        <x:v>NYC-V1-R03</x:v>
      </x:c>
      <x:c r="B29" s="21" t="str">
        <x:v>V1</x:v>
      </x:c>
      <x:c r="C29" s="21" t="str">
        <x:v>households_child_and_age65</x:v>
      </x:c>
      <x:c r="D29" s="37" t="n">
        <x:v>0</x:v>
      </x:c>
      <x:c r="E29" s="37" t="n">
        <x:v>1073</x:v>
      </x:c>
      <x:c r="F29" s="37" t="n">
        <x:v>1073</x:v>
      </x:c>
      <x:c r="G29" s="21" t="str">
        <x:v>continuous linear relaxation</x:v>
      </x:c>
      <x:c r="H29" s="21" t="str">
        <x:v>No</x:v>
      </x:c>
    </x:row>
    <x:row r="30">
      <x:c r="A30" s="21" t="str">
        <x:v>NYC-V1-R03</x:v>
      </x:c>
      <x:c r="B30" s="21" t="str">
        <x:v>V1</x:v>
      </x:c>
      <x:c r="C30" s="21" t="str">
        <x:v>households_no_vehicle_and_limited_english</x:v>
      </x:c>
      <x:c r="D30" s="37" t="n">
        <x:v>0</x:v>
      </x:c>
      <x:c r="E30" s="37" t="n">
        <x:v>645</x:v>
      </x:c>
      <x:c r="F30" s="37" t="n">
        <x:v>645</x:v>
      </x:c>
      <x:c r="G30" s="21" t="str">
        <x:v>continuous linear relaxation</x:v>
      </x:c>
      <x:c r="H30" s="21" t="str">
        <x:v>No</x:v>
      </x:c>
    </x:row>
    <x:row r="31">
      <x:c r="A31" s="21" t="str">
        <x:v>NYC-V1-R03</x:v>
      </x:c>
      <x:c r="B31" s="21" t="str">
        <x:v>V1</x:v>
      </x:c>
      <x:c r="C31" s="21" t="str">
        <x:v>renter_fifty_plus_units</x:v>
      </x:c>
      <x:c r="D31" s="37" t="n">
        <x:v>6585.999999999999</x:v>
      </x:c>
      <x:c r="E31" s="37" t="n">
        <x:v>10685</x:v>
      </x:c>
      <x:c r="F31" s="37" t="n">
        <x:v>4099.000000000001</x:v>
      </x:c>
      <x:c r="G31" s="21" t="str">
        <x:v>continuous linear relaxation</x:v>
      </x:c>
      <x:c r="H31" s="21" t="str">
        <x:v>No</x:v>
      </x:c>
    </x:row>
    <x:row r="32">
      <x:c r="A32" s="21" t="str">
        <x:v>NYC-V1-R03</x:v>
      </x:c>
      <x:c r="B32" s="21" t="str">
        <x:v>V1</x:v>
      </x:c>
      <x:c r="C32" s="21" t="str">
        <x:v>family_households_with_children</x:v>
      </x:c>
      <x:c r="D32" s="37" t="n">
        <x:v>0</x:v>
      </x:c>
      <x:c r="E32" s="37" t="n">
        <x:v>1635</x:v>
      </x:c>
      <x:c r="F32" s="37" t="n">
        <x:v>1635</x:v>
      </x:c>
      <x:c r="G32" s="21" t="str">
        <x:v>continuous linear relaxation</x:v>
      </x:c>
      <x:c r="H32" s="21" t="str">
        <x:v>No</x:v>
      </x:c>
    </x:row>
    <x:row r="33">
      <x:c r="A33" s="21" t="str">
        <x:v>NYC-V1-R03</x:v>
      </x:c>
      <x:c r="B33" s="21" t="str">
        <x:v>V1</x:v>
      </x:c>
      <x:c r="C33" s="21" t="str">
        <x:v>electric_heat_fifty_plus_units</x:v>
      </x:c>
      <x:c r="D33" s="37" t="n">
        <x:v>515.0000000000001</x:v>
      </x:c>
      <x:c r="E33" s="37" t="n">
        <x:v>5818</x:v>
      </x:c>
      <x:c r="F33" s="37" t="n">
        <x:v>5303</x:v>
      </x:c>
      <x:c r="G33" s="21" t="str">
        <x:v>continuous linear relaxation</x:v>
      </x:c>
      <x:c r="H33" s="21" t="str">
        <x:v>No</x:v>
      </x:c>
    </x:row>
    <x:row r="34">
      <x:c r="A34" s="21" t="str">
        <x:v>NYC-V1-R04</x:v>
      </x:c>
      <x:c r="B34" s="21" t="str">
        <x:v>V1</x:v>
      </x:c>
      <x:c r="C34" s="21" t="str">
        <x:v>persons_age_0_4</x:v>
      </x:c>
      <x:c r="D34" s="37" t="n">
        <x:v>2355</x:v>
      </x:c>
      <x:c r="E34" s="37" t="n">
        <x:v>2355</x:v>
      </x:c>
      <x:c r="F34" s="37" t="n">
        <x:v>0</x:v>
      </x:c>
      <x:c r="G34" s="21" t="str">
        <x:v>continuous linear relaxation</x:v>
      </x:c>
      <x:c r="H34" s="21" t="str">
        <x:v>Yes</x:v>
      </x:c>
    </x:row>
    <x:row r="35">
      <x:c r="A35" s="21" t="str">
        <x:v>NYC-V1-R04</x:v>
      </x:c>
      <x:c r="B35" s="21" t="str">
        <x:v>V1</x:v>
      </x:c>
      <x:c r="C35" s="21" t="str">
        <x:v>group_quarters_under_18</x:v>
      </x:c>
      <x:c r="D35" s="37" t="n">
        <x:v>0</x:v>
      </x:c>
      <x:c r="E35" s="37" t="n">
        <x:v>1116</x:v>
      </x:c>
      <x:c r="F35" s="37" t="n">
        <x:v>1116</x:v>
      </x:c>
      <x:c r="G35" s="21" t="str">
        <x:v>continuous linear relaxation</x:v>
      </x:c>
      <x:c r="H35" s="21" t="str">
        <x:v>No</x:v>
      </x:c>
    </x:row>
    <x:row r="36">
      <x:c r="A36" s="21" t="str">
        <x:v>NYC-V1-R04</x:v>
      </x:c>
      <x:c r="B36" s="21" t="str">
        <x:v>V1</x:v>
      </x:c>
      <x:c r="C36" s="21" t="str">
        <x:v>disabled_age_0_4</x:v>
      </x:c>
      <x:c r="D36" s="37" t="n">
        <x:v>0</x:v>
      </x:c>
      <x:c r="E36" s="37" t="n">
        <x:v>946</x:v>
      </x:c>
      <x:c r="F36" s="37" t="n">
        <x:v>946</x:v>
      </x:c>
      <x:c r="G36" s="21" t="str">
        <x:v>continuous linear relaxation</x:v>
      </x:c>
      <x:c r="H36" s="21" t="str">
        <x:v>No</x:v>
      </x:c>
    </x:row>
    <x:row r="37">
      <x:c r="A37" s="21" t="str">
        <x:v>NYC-V1-R04</x:v>
      </x:c>
      <x:c r="B37" s="21" t="str">
        <x:v>V1</x:v>
      </x:c>
      <x:c r="C37" s="21" t="str">
        <x:v>civilian_noninstitutionalized_group_quarters</x:v>
      </x:c>
      <x:c r="D37" s="37" t="n">
        <x:v>1070</x:v>
      </x:c>
      <x:c r="E37" s="37" t="n">
        <x:v>1116</x:v>
      </x:c>
      <x:c r="F37" s="37" t="n">
        <x:v>46</x:v>
      </x:c>
      <x:c r="G37" s="21" t="str">
        <x:v>continuous linear relaxation</x:v>
      </x:c>
      <x:c r="H37" s="21" t="str">
        <x:v>No</x:v>
      </x:c>
    </x:row>
    <x:row r="38">
      <x:c r="A38" s="21" t="str">
        <x:v>NYC-V1-R04</x:v>
      </x:c>
      <x:c r="B38" s="21" t="str">
        <x:v>V1</x:v>
      </x:c>
      <x:c r="C38" s="21" t="str">
        <x:v>households_child_and_age65</x:v>
      </x:c>
      <x:c r="D38" s="37" t="n">
        <x:v>0</x:v>
      </x:c>
      <x:c r="E38" s="37" t="n">
        <x:v>1596</x:v>
      </x:c>
      <x:c r="F38" s="37" t="n">
        <x:v>1596</x:v>
      </x:c>
      <x:c r="G38" s="21" t="str">
        <x:v>continuous linear relaxation</x:v>
      </x:c>
      <x:c r="H38" s="21" t="str">
        <x:v>No</x:v>
      </x:c>
    </x:row>
    <x:row r="39">
      <x:c r="A39" s="21" t="str">
        <x:v>NYC-V1-R04</x:v>
      </x:c>
      <x:c r="B39" s="21" t="str">
        <x:v>V1</x:v>
      </x:c>
      <x:c r="C39" s="21" t="str">
        <x:v>households_no_vehicle_and_limited_english</x:v>
      </x:c>
      <x:c r="D39" s="37" t="n">
        <x:v>0</x:v>
      </x:c>
      <x:c r="E39" s="37" t="n">
        <x:v>1754</x:v>
      </x:c>
      <x:c r="F39" s="37" t="n">
        <x:v>1754</x:v>
      </x:c>
      <x:c r="G39" s="21" t="str">
        <x:v>continuous linear relaxation</x:v>
      </x:c>
      <x:c r="H39" s="21" t="str">
        <x:v>No</x:v>
      </x:c>
    </x:row>
    <x:row r="40">
      <x:c r="A40" s="21" t="str">
        <x:v>NYC-V1-R04</x:v>
      </x:c>
      <x:c r="B40" s="21" t="str">
        <x:v>V1</x:v>
      </x:c>
      <x:c r="C40" s="21" t="str">
        <x:v>renter_fifty_plus_units</x:v>
      </x:c>
      <x:c r="D40" s="37" t="n">
        <x:v>7291</x:v>
      </x:c>
      <x:c r="E40" s="37" t="n">
        <x:v>8648</x:v>
      </x:c>
      <x:c r="F40" s="37" t="n">
        <x:v>1357</x:v>
      </x:c>
      <x:c r="G40" s="21" t="str">
        <x:v>continuous linear relaxation</x:v>
      </x:c>
      <x:c r="H40" s="21" t="str">
        <x:v>No</x:v>
      </x:c>
    </x:row>
    <x:row r="41">
      <x:c r="A41" s="21" t="str">
        <x:v>NYC-V1-R04</x:v>
      </x:c>
      <x:c r="B41" s="21" t="str">
        <x:v>V1</x:v>
      </x:c>
      <x:c r="C41" s="21" t="str">
        <x:v>family_households_with_children</x:v>
      </x:c>
      <x:c r="D41" s="37" t="n">
        <x:v>3800</x:v>
      </x:c>
      <x:c r="E41" s="37" t="n">
        <x:v>4521</x:v>
      </x:c>
      <x:c r="F41" s="37" t="n">
        <x:v>721</x:v>
      </x:c>
      <x:c r="G41" s="21" t="str">
        <x:v>continuous linear relaxation</x:v>
      </x:c>
      <x:c r="H41" s="21" t="str">
        <x:v>No</x:v>
      </x:c>
    </x:row>
    <x:row r="42">
      <x:c r="A42" s="21" t="str">
        <x:v>NYC-V1-R04</x:v>
      </x:c>
      <x:c r="B42" s="21" t="str">
        <x:v>V1</x:v>
      </x:c>
      <x:c r="C42" s="21" t="str">
        <x:v>electric_heat_fifty_plus_units</x:v>
      </x:c>
      <x:c r="D42" s="37" t="n">
        <x:v>0</x:v>
      </x:c>
      <x:c r="E42" s="37" t="n">
        <x:v>2858</x:v>
      </x:c>
      <x:c r="F42" s="37" t="n">
        <x:v>2858</x:v>
      </x:c>
      <x:c r="G42" s="21" t="str">
        <x:v>continuous linear relaxation</x:v>
      </x:c>
      <x:c r="H42" s="21" t="str">
        <x:v>No</x:v>
      </x:c>
    </x:row>
    <x:row r="43">
      <x:c r="A43" s="21" t="str">
        <x:v>NYC-V2-R01</x:v>
      </x:c>
      <x:c r="B43" s="21" t="str">
        <x:v>V2</x:v>
      </x:c>
      <x:c r="C43" s="21" t="str">
        <x:v>persons_age_0_4</x:v>
      </x:c>
      <x:c r="D43" s="37" t="n">
        <x:v>2306</x:v>
      </x:c>
      <x:c r="E43" s="37" t="n">
        <x:v>2306</x:v>
      </x:c>
      <x:c r="F43" s="37" t="n">
        <x:v>0</x:v>
      </x:c>
      <x:c r="G43" s="21" t="str">
        <x:v>continuous linear relaxation</x:v>
      </x:c>
      <x:c r="H43" s="21" t="str">
        <x:v>Yes</x:v>
      </x:c>
    </x:row>
    <x:row r="44">
      <x:c r="A44" s="21" t="str">
        <x:v>NYC-V2-R01</x:v>
      </x:c>
      <x:c r="B44" s="21" t="str">
        <x:v>V2</x:v>
      </x:c>
      <x:c r="C44" s="21" t="str">
        <x:v>group_quarters_under_18</x:v>
      </x:c>
      <x:c r="D44" s="37" t="n">
        <x:v>0</x:v>
      </x:c>
      <x:c r="E44" s="37" t="n">
        <x:v>958</x:v>
      </x:c>
      <x:c r="F44" s="37" t="n">
        <x:v>958</x:v>
      </x:c>
      <x:c r="G44" s="21" t="str">
        <x:v>continuous linear relaxation</x:v>
      </x:c>
      <x:c r="H44" s="21" t="str">
        <x:v>No</x:v>
      </x:c>
    </x:row>
    <x:row r="45">
      <x:c r="A45" s="21" t="str">
        <x:v>NYC-V2-R01</x:v>
      </x:c>
      <x:c r="B45" s="21" t="str">
        <x:v>V2</x:v>
      </x:c>
      <x:c r="C45" s="21" t="str">
        <x:v>disabled_age_0_4</x:v>
      </x:c>
      <x:c r="D45" s="37" t="n">
        <x:v>0</x:v>
      </x:c>
      <x:c r="E45" s="37" t="n">
        <x:v>1281</x:v>
      </x:c>
      <x:c r="F45" s="37" t="n">
        <x:v>1281</x:v>
      </x:c>
      <x:c r="G45" s="21" t="str">
        <x:v>continuous linear relaxation</x:v>
      </x:c>
      <x:c r="H45" s="21" t="str">
        <x:v>No</x:v>
      </x:c>
    </x:row>
    <x:row r="46">
      <x:c r="A46" s="21" t="str">
        <x:v>NYC-V2-R01</x:v>
      </x:c>
      <x:c r="B46" s="21" t="str">
        <x:v>V2</x:v>
      </x:c>
      <x:c r="C46" s="21" t="str">
        <x:v>civilian_noninstitutionalized_group_quarters</x:v>
      </x:c>
      <x:c r="D46" s="37" t="n">
        <x:v>955</x:v>
      </x:c>
      <x:c r="E46" s="37" t="n">
        <x:v>958</x:v>
      </x:c>
      <x:c r="F46" s="37" t="n">
        <x:v>3</x:v>
      </x:c>
      <x:c r="G46" s="21" t="str">
        <x:v>continuous linear relaxation</x:v>
      </x:c>
      <x:c r="H46" s="21" t="str">
        <x:v>No</x:v>
      </x:c>
    </x:row>
    <x:row r="47">
      <x:c r="A47" s="21" t="str">
        <x:v>NYC-V2-R01</x:v>
      </x:c>
      <x:c r="B47" s="21" t="str">
        <x:v>V2</x:v>
      </x:c>
      <x:c r="C47" s="21" t="str">
        <x:v>households_child_and_age65</x:v>
      </x:c>
      <x:c r="D47" s="37" t="n">
        <x:v>0</x:v>
      </x:c>
      <x:c r="E47" s="37" t="n">
        <x:v>1987</x:v>
      </x:c>
      <x:c r="F47" s="37" t="n">
        <x:v>1987</x:v>
      </x:c>
      <x:c r="G47" s="21" t="str">
        <x:v>continuous linear relaxation</x:v>
      </x:c>
      <x:c r="H47" s="21" t="str">
        <x:v>No</x:v>
      </x:c>
    </x:row>
    <x:row r="48">
      <x:c r="A48" s="21" t="str">
        <x:v>NYC-V2-R01</x:v>
      </x:c>
      <x:c r="B48" s="21" t="str">
        <x:v>V2</x:v>
      </x:c>
      <x:c r="C48" s="21" t="str">
        <x:v>households_no_vehicle_and_limited_english</x:v>
      </x:c>
      <x:c r="D48" s="37" t="n">
        <x:v>473.99999999999955</x:v>
      </x:c>
      <x:c r="E48" s="37" t="n">
        <x:v>2896</x:v>
      </x:c>
      <x:c r="F48" s="37" t="n">
        <x:v>2422.0000000000005</x:v>
      </x:c>
      <x:c r="G48" s="21" t="str">
        <x:v>continuous linear relaxation</x:v>
      </x:c>
      <x:c r="H48" s="21" t="str">
        <x:v>No</x:v>
      </x:c>
    </x:row>
    <x:row r="49">
      <x:c r="A49" s="21" t="str">
        <x:v>NYC-V2-R01</x:v>
      </x:c>
      <x:c r="B49" s="21" t="str">
        <x:v>V2</x:v>
      </x:c>
      <x:c r="C49" s="21" t="str">
        <x:v>renter_fifty_plus_units</x:v>
      </x:c>
      <x:c r="D49" s="37" t="n">
        <x:v>2225</x:v>
      </x:c>
      <x:c r="E49" s="37" t="n">
        <x:v>2654</x:v>
      </x:c>
      <x:c r="F49" s="37" t="n">
        <x:v>429</x:v>
      </x:c>
      <x:c r="G49" s="21" t="str">
        <x:v>continuous linear relaxation</x:v>
      </x:c>
      <x:c r="H49" s="21" t="str">
        <x:v>No</x:v>
      </x:c>
    </x:row>
    <x:row r="50">
      <x:c r="A50" s="21" t="str">
        <x:v>NYC-V2-R01</x:v>
      </x:c>
      <x:c r="B50" s="21" t="str">
        <x:v>V2</x:v>
      </x:c>
      <x:c r="C50" s="21" t="str">
        <x:v>family_households_with_children</x:v>
      </x:c>
      <x:c r="D50" s="37" t="n">
        <x:v>3302</x:v>
      </x:c>
      <x:c r="E50" s="37" t="n">
        <x:v>3714</x:v>
      </x:c>
      <x:c r="F50" s="37" t="n">
        <x:v>412</x:v>
      </x:c>
      <x:c r="G50" s="21" t="str">
        <x:v>continuous linear relaxation</x:v>
      </x:c>
      <x:c r="H50" s="21" t="str">
        <x:v>No</x:v>
      </x:c>
    </x:row>
    <x:row r="51">
      <x:c r="A51" s="21" t="str">
        <x:v>NYC-V2-R01</x:v>
      </x:c>
      <x:c r="B51" s="21" t="str">
        <x:v>V2</x:v>
      </x:c>
      <x:c r="C51" s="21" t="str">
        <x:v>electric_heat_fifty_plus_units</x:v>
      </x:c>
      <x:c r="D51" s="37" t="n">
        <x:v>0</x:v>
      </x:c>
      <x:c r="E51" s="37" t="n">
        <x:v>2354</x:v>
      </x:c>
      <x:c r="F51" s="37" t="n">
        <x:v>2354</x:v>
      </x:c>
      <x:c r="G51" s="21" t="str">
        <x:v>continuous linear relaxation</x:v>
      </x:c>
      <x:c r="H51" s="21" t="str">
        <x:v>No</x:v>
      </x:c>
    </x:row>
    <x:row r="52">
      <x:c r="A52" s="21" t="str">
        <x:v>NYC-V2-R02</x:v>
      </x:c>
      <x:c r="B52" s="21" t="str">
        <x:v>V2</x:v>
      </x:c>
      <x:c r="C52" s="21" t="str">
        <x:v>persons_age_0_4</x:v>
      </x:c>
      <x:c r="D52" s="37" t="n">
        <x:v>1038</x:v>
      </x:c>
      <x:c r="E52" s="37" t="n">
        <x:v>1038</x:v>
      </x:c>
      <x:c r="F52" s="37" t="n">
        <x:v>0</x:v>
      </x:c>
      <x:c r="G52" s="21" t="str">
        <x:v>continuous linear relaxation</x:v>
      </x:c>
      <x:c r="H52" s="21" t="str">
        <x:v>Yes</x:v>
      </x:c>
    </x:row>
    <x:row r="53">
      <x:c r="A53" s="21" t="str">
        <x:v>NYC-V2-R02</x:v>
      </x:c>
      <x:c r="B53" s="21" t="str">
        <x:v>V2</x:v>
      </x:c>
      <x:c r="C53" s="21" t="str">
        <x:v>group_quarters_under_18</x:v>
      </x:c>
      <x:c r="D53" s="37" t="n">
        <x:v>0</x:v>
      </x:c>
      <x:c r="E53" s="37" t="n">
        <x:v>333</x:v>
      </x:c>
      <x:c r="F53" s="37" t="n">
        <x:v>333</x:v>
      </x:c>
      <x:c r="G53" s="21" t="str">
        <x:v>continuous linear relaxation</x:v>
      </x:c>
      <x:c r="H53" s="21" t="str">
        <x:v>No</x:v>
      </x:c>
    </x:row>
    <x:row r="54">
      <x:c r="A54" s="21" t="str">
        <x:v>NYC-V2-R02</x:v>
      </x:c>
      <x:c r="B54" s="21" t="str">
        <x:v>V2</x:v>
      </x:c>
      <x:c r="C54" s="21" t="str">
        <x:v>disabled_age_0_4</x:v>
      </x:c>
      <x:c r="D54" s="37" t="n">
        <x:v>0</x:v>
      </x:c>
      <x:c r="E54" s="37" t="n">
        <x:v>387</x:v>
      </x:c>
      <x:c r="F54" s="37" t="n">
        <x:v>387</x:v>
      </x:c>
      <x:c r="G54" s="21" t="str">
        <x:v>continuous linear relaxation</x:v>
      </x:c>
      <x:c r="H54" s="21" t="str">
        <x:v>No</x:v>
      </x:c>
    </x:row>
    <x:row r="55">
      <x:c r="A55" s="21" t="str">
        <x:v>NYC-V2-R02</x:v>
      </x:c>
      <x:c r="B55" s="21" t="str">
        <x:v>V2</x:v>
      </x:c>
      <x:c r="C55" s="21" t="str">
        <x:v>civilian_noninstitutionalized_group_quarters</x:v>
      </x:c>
      <x:c r="D55" s="37" t="n">
        <x:v>72</x:v>
      </x:c>
      <x:c r="E55" s="37" t="n">
        <x:v>333</x:v>
      </x:c>
      <x:c r="F55" s="37" t="n">
        <x:v>261</x:v>
      </x:c>
      <x:c r="G55" s="21" t="str">
        <x:v>continuous linear relaxation</x:v>
      </x:c>
      <x:c r="H55" s="21" t="str">
        <x:v>No</x:v>
      </x:c>
    </x:row>
    <x:row r="56">
      <x:c r="A56" s="21" t="str">
        <x:v>NYC-V2-R02</x:v>
      </x:c>
      <x:c r="B56" s="21" t="str">
        <x:v>V2</x:v>
      </x:c>
      <x:c r="C56" s="21" t="str">
        <x:v>households_child_and_age65</x:v>
      </x:c>
      <x:c r="D56" s="37" t="n">
        <x:v>0</x:v>
      </x:c>
      <x:c r="E56" s="37" t="n">
        <x:v>3031</x:v>
      </x:c>
      <x:c r="F56" s="37" t="n">
        <x:v>3031</x:v>
      </x:c>
      <x:c r="G56" s="21" t="str">
        <x:v>continuous linear relaxation</x:v>
      </x:c>
      <x:c r="H56" s="21" t="str">
        <x:v>No</x:v>
      </x:c>
    </x:row>
    <x:row r="57">
      <x:c r="A57" s="21" t="str">
        <x:v>NYC-V2-R02</x:v>
      </x:c>
      <x:c r="B57" s="21" t="str">
        <x:v>V2</x:v>
      </x:c>
      <x:c r="C57" s="21" t="str">
        <x:v>households_no_vehicle_and_limited_english</x:v>
      </x:c>
      <x:c r="D57" s="37" t="n">
        <x:v>0</x:v>
      </x:c>
      <x:c r="E57" s="37" t="n">
        <x:v>827</x:v>
      </x:c>
      <x:c r="F57" s="37" t="n">
        <x:v>827</x:v>
      </x:c>
      <x:c r="G57" s="21" t="str">
        <x:v>continuous linear relaxation</x:v>
      </x:c>
      <x:c r="H57" s="21" t="str">
        <x:v>No</x:v>
      </x:c>
    </x:row>
    <x:row r="58">
      <x:c r="A58" s="21" t="str">
        <x:v>NYC-V2-R02</x:v>
      </x:c>
      <x:c r="B58" s="21" t="str">
        <x:v>V2</x:v>
      </x:c>
      <x:c r="C58" s="21" t="str">
        <x:v>renter_fifty_plus_units</x:v>
      </x:c>
      <x:c r="D58" s="37" t="n">
        <x:v>0</x:v>
      </x:c>
      <x:c r="E58" s="37" t="n">
        <x:v>2238</x:v>
      </x:c>
      <x:c r="F58" s="37" t="n">
        <x:v>2238</x:v>
      </x:c>
      <x:c r="G58" s="21" t="str">
        <x:v>continuous linear relaxation</x:v>
      </x:c>
      <x:c r="H58" s="21" t="str">
        <x:v>No</x:v>
      </x:c>
    </x:row>
    <x:row r="59">
      <x:c r="A59" s="21" t="str">
        <x:v>NYC-V2-R02</x:v>
      </x:c>
      <x:c r="B59" s="21" t="str">
        <x:v>V2</x:v>
      </x:c>
      <x:c r="C59" s="21" t="str">
        <x:v>family_households_with_children</x:v>
      </x:c>
      <x:c r="D59" s="37" t="n">
        <x:v>2622</x:v>
      </x:c>
      <x:c r="E59" s="37" t="n">
        <x:v>3031</x:v>
      </x:c>
      <x:c r="F59" s="37" t="n">
        <x:v>409</x:v>
      </x:c>
      <x:c r="G59" s="21" t="str">
        <x:v>continuous linear relaxation</x:v>
      </x:c>
      <x:c r="H59" s="21" t="str">
        <x:v>No</x:v>
      </x:c>
    </x:row>
    <x:row r="60">
      <x:c r="A60" s="21" t="str">
        <x:v>NYC-V2-R02</x:v>
      </x:c>
      <x:c r="B60" s="21" t="str">
        <x:v>V2</x:v>
      </x:c>
      <x:c r="C60" s="21" t="str">
        <x:v>electric_heat_fifty_plus_units</x:v>
      </x:c>
      <x:c r="D60" s="37" t="n">
        <x:v>0</x:v>
      </x:c>
      <x:c r="E60" s="37" t="n">
        <x:v>1098</x:v>
      </x:c>
      <x:c r="F60" s="37" t="n">
        <x:v>1098</x:v>
      </x:c>
      <x:c r="G60" s="21" t="str">
        <x:v>continuous linear relaxation</x:v>
      </x:c>
      <x:c r="H60" s="21" t="str">
        <x:v>No</x:v>
      </x:c>
    </x:row>
    <x:row r="61">
      <x:c r="A61" s="21" t="str">
        <x:v>NYC-V2-R03</x:v>
      </x:c>
      <x:c r="B61" s="21" t="str">
        <x:v>V2</x:v>
      </x:c>
      <x:c r="C61" s="21" t="str">
        <x:v>persons_age_0_4</x:v>
      </x:c>
      <x:c r="D61" s="37" t="n">
        <x:v>2261</x:v>
      </x:c>
      <x:c r="E61" s="37" t="n">
        <x:v>2261</x:v>
      </x:c>
      <x:c r="F61" s="37" t="n">
        <x:v>0</x:v>
      </x:c>
      <x:c r="G61" s="21" t="str">
        <x:v>continuous linear relaxation</x:v>
      </x:c>
      <x:c r="H61" s="21" t="str">
        <x:v>Yes</x:v>
      </x:c>
    </x:row>
    <x:row r="62">
      <x:c r="A62" s="21" t="str">
        <x:v>NYC-V2-R03</x:v>
      </x:c>
      <x:c r="B62" s="21" t="str">
        <x:v>V2</x:v>
      </x:c>
      <x:c r="C62" s="21" t="str">
        <x:v>group_quarters_under_18</x:v>
      </x:c>
      <x:c r="D62" s="37" t="n">
        <x:v>0</x:v>
      </x:c>
      <x:c r="E62" s="37" t="n">
        <x:v>561</x:v>
      </x:c>
      <x:c r="F62" s="37" t="n">
        <x:v>561</x:v>
      </x:c>
      <x:c r="G62" s="21" t="str">
        <x:v>continuous linear relaxation</x:v>
      </x:c>
      <x:c r="H62" s="21" t="str">
        <x:v>No</x:v>
      </x:c>
    </x:row>
    <x:row r="63">
      <x:c r="A63" s="21" t="str">
        <x:v>NYC-V2-R03</x:v>
      </x:c>
      <x:c r="B63" s="21" t="str">
        <x:v>V2</x:v>
      </x:c>
      <x:c r="C63" s="21" t="str">
        <x:v>disabled_age_0_4</x:v>
      </x:c>
      <x:c r="D63" s="37" t="n">
        <x:v>0</x:v>
      </x:c>
      <x:c r="E63" s="37" t="n">
        <x:v>363</x:v>
      </x:c>
      <x:c r="F63" s="37" t="n">
        <x:v>363</x:v>
      </x:c>
      <x:c r="G63" s="21" t="str">
        <x:v>continuous linear relaxation</x:v>
      </x:c>
      <x:c r="H63" s="21" t="str">
        <x:v>No</x:v>
      </x:c>
    </x:row>
    <x:row r="64">
      <x:c r="A64" s="21" t="str">
        <x:v>NYC-V2-R03</x:v>
      </x:c>
      <x:c r="B64" s="21" t="str">
        <x:v>V2</x:v>
      </x:c>
      <x:c r="C64" s="21" t="str">
        <x:v>civilian_noninstitutionalized_group_quarters</x:v>
      </x:c>
      <x:c r="D64" s="37" t="n">
        <x:v>403</x:v>
      </x:c>
      <x:c r="E64" s="37" t="n">
        <x:v>561</x:v>
      </x:c>
      <x:c r="F64" s="37" t="n">
        <x:v>158</x:v>
      </x:c>
      <x:c r="G64" s="21" t="str">
        <x:v>continuous linear relaxation</x:v>
      </x:c>
      <x:c r="H64" s="21" t="str">
        <x:v>No</x:v>
      </x:c>
    </x:row>
    <x:row r="65">
      <x:c r="A65" s="21" t="str">
        <x:v>NYC-V2-R03</x:v>
      </x:c>
      <x:c r="B65" s="21" t="str">
        <x:v>V2</x:v>
      </x:c>
      <x:c r="C65" s="21" t="str">
        <x:v>households_child_and_age65</x:v>
      </x:c>
      <x:c r="D65" s="37" t="n">
        <x:v>0</x:v>
      </x:c>
      <x:c r="E65" s="37" t="n">
        <x:v>2439</x:v>
      </x:c>
      <x:c r="F65" s="37" t="n">
        <x:v>2439</x:v>
      </x:c>
      <x:c r="G65" s="21" t="str">
        <x:v>continuous linear relaxation</x:v>
      </x:c>
      <x:c r="H65" s="21" t="str">
        <x:v>No</x:v>
      </x:c>
    </x:row>
    <x:row r="66">
      <x:c r="A66" s="21" t="str">
        <x:v>NYC-V2-R03</x:v>
      </x:c>
      <x:c r="B66" s="21" t="str">
        <x:v>V2</x:v>
      </x:c>
      <x:c r="C66" s="21" t="str">
        <x:v>households_no_vehicle_and_limited_english</x:v>
      </x:c>
      <x:c r="D66" s="37" t="n">
        <x:v>0</x:v>
      </x:c>
      <x:c r="E66" s="37" t="n">
        <x:v>183</x:v>
      </x:c>
      <x:c r="F66" s="37" t="n">
        <x:v>183</x:v>
      </x:c>
      <x:c r="G66" s="21" t="str">
        <x:v>continuous linear relaxation</x:v>
      </x:c>
      <x:c r="H66" s="21" t="str">
        <x:v>No</x:v>
      </x:c>
    </x:row>
    <x:row r="67">
      <x:c r="A67" s="21" t="str">
        <x:v>NYC-V2-R03</x:v>
      </x:c>
      <x:c r="B67" s="21" t="str">
        <x:v>V2</x:v>
      </x:c>
      <x:c r="C67" s="21" t="str">
        <x:v>renter_fifty_plus_units</x:v>
      </x:c>
      <x:c r="D67" s="37" t="n">
        <x:v>0</x:v>
      </x:c>
      <x:c r="E67" s="37" t="n">
        <x:v>1911</x:v>
      </x:c>
      <x:c r="F67" s="37" t="n">
        <x:v>1911</x:v>
      </x:c>
      <x:c r="G67" s="21" t="str">
        <x:v>continuous linear relaxation</x:v>
      </x:c>
      <x:c r="H67" s="21" t="str">
        <x:v>No</x:v>
      </x:c>
    </x:row>
    <x:row r="68">
      <x:c r="A68" s="21" t="str">
        <x:v>NYC-V2-R03</x:v>
      </x:c>
      <x:c r="B68" s="21" t="str">
        <x:v>V2</x:v>
      </x:c>
      <x:c r="C68" s="21" t="str">
        <x:v>family_households_with_children</x:v>
      </x:c>
      <x:c r="D68" s="37" t="n">
        <x:v>1517</x:v>
      </x:c>
      <x:c r="E68" s="37" t="n">
        <x:v>4145</x:v>
      </x:c>
      <x:c r="F68" s="37" t="n">
        <x:v>2628</x:v>
      </x:c>
      <x:c r="G68" s="21" t="str">
        <x:v>continuous linear relaxation</x:v>
      </x:c>
      <x:c r="H68" s="21" t="str">
        <x:v>No</x:v>
      </x:c>
    </x:row>
    <x:row r="69">
      <x:c r="A69" s="21" t="str">
        <x:v>NYC-V2-R03</x:v>
      </x:c>
      <x:c r="B69" s="21" t="str">
        <x:v>V2</x:v>
      </x:c>
      <x:c r="C69" s="21" t="str">
        <x:v>electric_heat_fifty_plus_units</x:v>
      </x:c>
      <x:c r="D69" s="37" t="n">
        <x:v>0</x:v>
      </x:c>
      <x:c r="E69" s="37" t="n">
        <x:v>1911</x:v>
      </x:c>
      <x:c r="F69" s="37" t="n">
        <x:v>1911</x:v>
      </x:c>
      <x:c r="G69" s="21" t="str">
        <x:v>continuous linear relaxation</x:v>
      </x:c>
      <x:c r="H69" s="21" t="str">
        <x:v>No</x:v>
      </x:c>
    </x:row>
    <x:row r="70">
      <x:c r="A70" s="21" t="str">
        <x:v>NYC-V2-R04</x:v>
      </x:c>
      <x:c r="B70" s="21" t="str">
        <x:v>V2</x:v>
      </x:c>
      <x:c r="C70" s="21" t="str">
        <x:v>persons_age_0_4</x:v>
      </x:c>
      <x:c r="D70" s="37" t="n">
        <x:v>2621</x:v>
      </x:c>
      <x:c r="E70" s="37" t="n">
        <x:v>2621</x:v>
      </x:c>
      <x:c r="F70" s="37" t="n">
        <x:v>0</x:v>
      </x:c>
      <x:c r="G70" s="21" t="str">
        <x:v>continuous linear relaxation</x:v>
      </x:c>
      <x:c r="H70" s="21" t="str">
        <x:v>Yes</x:v>
      </x:c>
    </x:row>
    <x:row r="71">
      <x:c r="A71" s="21" t="str">
        <x:v>NYC-V2-R04</x:v>
      </x:c>
      <x:c r="B71" s="21" t="str">
        <x:v>V2</x:v>
      </x:c>
      <x:c r="C71" s="21" t="str">
        <x:v>group_quarters_under_18</x:v>
      </x:c>
      <x:c r="D71" s="37" t="n">
        <x:v>0</x:v>
      </x:c>
      <x:c r="E71" s="37" t="n">
        <x:v>420</x:v>
      </x:c>
      <x:c r="F71" s="37" t="n">
        <x:v>420</x:v>
      </x:c>
      <x:c r="G71" s="21" t="str">
        <x:v>continuous linear relaxation</x:v>
      </x:c>
      <x:c r="H71" s="21" t="str">
        <x:v>No</x:v>
      </x:c>
    </x:row>
    <x:row r="72">
      <x:c r="A72" s="21" t="str">
        <x:v>NYC-V2-R04</x:v>
      </x:c>
      <x:c r="B72" s="21" t="str">
        <x:v>V2</x:v>
      </x:c>
      <x:c r="C72" s="21" t="str">
        <x:v>disabled_age_0_4</x:v>
      </x:c>
      <x:c r="D72" s="37" t="n">
        <x:v>0</x:v>
      </x:c>
      <x:c r="E72" s="37" t="n">
        <x:v>460</x:v>
      </x:c>
      <x:c r="F72" s="37" t="n">
        <x:v>460</x:v>
      </x:c>
      <x:c r="G72" s="21" t="str">
        <x:v>continuous linear relaxation</x:v>
      </x:c>
      <x:c r="H72" s="21" t="str">
        <x:v>No</x:v>
      </x:c>
    </x:row>
    <x:row r="73">
      <x:c r="A73" s="21" t="str">
        <x:v>NYC-V2-R04</x:v>
      </x:c>
      <x:c r="B73" s="21" t="str">
        <x:v>V2</x:v>
      </x:c>
      <x:c r="C73" s="21" t="str">
        <x:v>civilian_noninstitutionalized_group_quarters</x:v>
      </x:c>
      <x:c r="D73" s="37" t="n">
        <x:v>188</x:v>
      </x:c>
      <x:c r="E73" s="37" t="n">
        <x:v>420</x:v>
      </x:c>
      <x:c r="F73" s="37" t="n">
        <x:v>232</x:v>
      </x:c>
      <x:c r="G73" s="21" t="str">
        <x:v>continuous linear relaxation</x:v>
      </x:c>
      <x:c r="H73" s="21" t="str">
        <x:v>No</x:v>
      </x:c>
    </x:row>
    <x:row r="74">
      <x:c r="A74" s="21" t="str">
        <x:v>NYC-V2-R04</x:v>
      </x:c>
      <x:c r="B74" s="21" t="str">
        <x:v>V2</x:v>
      </x:c>
      <x:c r="C74" s="21" t="str">
        <x:v>households_child_and_age65</x:v>
      </x:c>
      <x:c r="D74" s="37" t="n">
        <x:v>0</x:v>
      </x:c>
      <x:c r="E74" s="37" t="n">
        <x:v>2166</x:v>
      </x:c>
      <x:c r="F74" s="37" t="n">
        <x:v>2166</x:v>
      </x:c>
      <x:c r="G74" s="21" t="str">
        <x:v>continuous linear relaxation</x:v>
      </x:c>
      <x:c r="H74" s="21" t="str">
        <x:v>No</x:v>
      </x:c>
    </x:row>
    <x:row r="75">
      <x:c r="A75" s="21" t="str">
        <x:v>NYC-V2-R04</x:v>
      </x:c>
      <x:c r="B75" s="21" t="str">
        <x:v>V2</x:v>
      </x:c>
      <x:c r="C75" s="21" t="str">
        <x:v>households_no_vehicle_and_limited_english</x:v>
      </x:c>
      <x:c r="D75" s="37" t="n">
        <x:v>0</x:v>
      </x:c>
      <x:c r="E75" s="37" t="n">
        <x:v>1859</x:v>
      </x:c>
      <x:c r="F75" s="37" t="n">
        <x:v>1859</x:v>
      </x:c>
      <x:c r="G75" s="21" t="str">
        <x:v>continuous linear relaxation</x:v>
      </x:c>
      <x:c r="H75" s="21" t="str">
        <x:v>No</x:v>
      </x:c>
    </x:row>
    <x:row r="76">
      <x:c r="A76" s="21" t="str">
        <x:v>NYC-V2-R04</x:v>
      </x:c>
      <x:c r="B76" s="21" t="str">
        <x:v>V2</x:v>
      </x:c>
      <x:c r="C76" s="21" t="str">
        <x:v>renter_fifty_plus_units</x:v>
      </x:c>
      <x:c r="D76" s="37" t="n">
        <x:v>2127</x:v>
      </x:c>
      <x:c r="E76" s="37" t="n">
        <x:v>4054</x:v>
      </x:c>
      <x:c r="F76" s="37" t="n">
        <x:v>1927</x:v>
      </x:c>
      <x:c r="G76" s="21" t="str">
        <x:v>continuous linear relaxation</x:v>
      </x:c>
      <x:c r="H76" s="21" t="str">
        <x:v>No</x:v>
      </x:c>
    </x:row>
    <x:row r="77">
      <x:c r="A77" s="21" t="str">
        <x:v>NYC-V2-R04</x:v>
      </x:c>
      <x:c r="B77" s="21" t="str">
        <x:v>V2</x:v>
      </x:c>
      <x:c r="C77" s="21" t="str">
        <x:v>family_households_with_children</x:v>
      </x:c>
      <x:c r="D77" s="37" t="n">
        <x:v>4109</x:v>
      </x:c>
      <x:c r="E77" s="37" t="n">
        <x:v>4875</x:v>
      </x:c>
      <x:c r="F77" s="37" t="n">
        <x:v>766</x:v>
      </x:c>
      <x:c r="G77" s="21" t="str">
        <x:v>continuous linear relaxation</x:v>
      </x:c>
      <x:c r="H77" s="21" t="str">
        <x:v>No</x:v>
      </x:c>
    </x:row>
    <x:row r="78">
      <x:c r="A78" s="21" t="str">
        <x:v>NYC-V2-R04</x:v>
      </x:c>
      <x:c r="B78" s="21" t="str">
        <x:v>V2</x:v>
      </x:c>
      <x:c r="C78" s="21" t="str">
        <x:v>electric_heat_fifty_plus_units</x:v>
      </x:c>
      <x:c r="D78" s="37" t="n">
        <x:v>0</x:v>
      </x:c>
      <x:c r="E78" s="37" t="n">
        <x:v>795.0000000000001</x:v>
      </x:c>
      <x:c r="F78" s="37" t="n">
        <x:v>795.0000000000001</x:v>
      </x:c>
      <x:c r="G78" s="21" t="str">
        <x:v>continuous linear relaxation</x:v>
      </x:c>
      <x:c r="H78" s="21" t="str">
        <x:v>No</x:v>
      </x:c>
    </x:row>
    <x:row r="79">
      <x:c r="A79" s="21" t="str">
        <x:v>NYC-V3-R01</x:v>
      </x:c>
      <x:c r="B79" s="21" t="str">
        <x:v>V3</x:v>
      </x:c>
      <x:c r="C79" s="21" t="str">
        <x:v>persons_age_0_4</x:v>
      </x:c>
      <x:c r="D79" s="37" t="n">
        <x:v>1548</x:v>
      </x:c>
      <x:c r="E79" s="37" t="n">
        <x:v>1548</x:v>
      </x:c>
      <x:c r="F79" s="37" t="n">
        <x:v>0</x:v>
      </x:c>
      <x:c r="G79" s="21" t="str">
        <x:v>continuous linear relaxation</x:v>
      </x:c>
      <x:c r="H79" s="21" t="str">
        <x:v>Yes</x:v>
      </x:c>
    </x:row>
    <x:row r="80">
      <x:c r="A80" s="21" t="str">
        <x:v>NYC-V3-R01</x:v>
      </x:c>
      <x:c r="B80" s="21" t="str">
        <x:v>V3</x:v>
      </x:c>
      <x:c r="C80" s="21" t="str">
        <x:v>group_quarters_under_18</x:v>
      </x:c>
      <x:c r="D80" s="37" t="n">
        <x:v>0</x:v>
      </x:c>
      <x:c r="E80" s="37" t="n">
        <x:v>57</x:v>
      </x:c>
      <x:c r="F80" s="37" t="n">
        <x:v>57</x:v>
      </x:c>
      <x:c r="G80" s="21" t="str">
        <x:v>continuous linear relaxation</x:v>
      </x:c>
      <x:c r="H80" s="21" t="str">
        <x:v>No</x:v>
      </x:c>
    </x:row>
    <x:row r="81">
      <x:c r="A81" s="21" t="str">
        <x:v>NYC-V3-R01</x:v>
      </x:c>
      <x:c r="B81" s="21" t="str">
        <x:v>V3</x:v>
      </x:c>
      <x:c r="C81" s="21" t="str">
        <x:v>disabled_age_0_4</x:v>
      </x:c>
      <x:c r="D81" s="37" t="n">
        <x:v>0</x:v>
      </x:c>
      <x:c r="E81" s="37" t="n">
        <x:v>230</x:v>
      </x:c>
      <x:c r="F81" s="37" t="n">
        <x:v>230</x:v>
      </x:c>
      <x:c r="G81" s="21" t="str">
        <x:v>continuous linear relaxation</x:v>
      </x:c>
      <x:c r="H81" s="21" t="str">
        <x:v>No</x:v>
      </x:c>
    </x:row>
    <x:row r="82">
      <x:c r="A82" s="21" t="str">
        <x:v>NYC-V3-R01</x:v>
      </x:c>
      <x:c r="B82" s="21" t="str">
        <x:v>V3</x:v>
      </x:c>
      <x:c r="C82" s="21" t="str">
        <x:v>civilian_noninstitutionalized_group_quarters</x:v>
      </x:c>
      <x:c r="D82" s="37" t="n">
        <x:v>26</x:v>
      </x:c>
      <x:c r="E82" s="37" t="n">
        <x:v>57</x:v>
      </x:c>
      <x:c r="F82" s="37" t="n">
        <x:v>31</x:v>
      </x:c>
      <x:c r="G82" s="21" t="str">
        <x:v>continuous linear relaxation</x:v>
      </x:c>
      <x:c r="H82" s="21" t="str">
        <x:v>No</x:v>
      </x:c>
    </x:row>
    <x:row r="83">
      <x:c r="A83" s="21" t="str">
        <x:v>NYC-V3-R01</x:v>
      </x:c>
      <x:c r="B83" s="21" t="str">
        <x:v>V3</x:v>
      </x:c>
      <x:c r="C83" s="21" t="str">
        <x:v>households_child_and_age65</x:v>
      </x:c>
      <x:c r="D83" s="37" t="n">
        <x:v>0</x:v>
      </x:c>
      <x:c r="E83" s="37" t="n">
        <x:v>2327</x:v>
      </x:c>
      <x:c r="F83" s="37" t="n">
        <x:v>2327</x:v>
      </x:c>
      <x:c r="G83" s="21" t="str">
        <x:v>continuous linear relaxation</x:v>
      </x:c>
      <x:c r="H83" s="21" t="str">
        <x:v>No</x:v>
      </x:c>
    </x:row>
    <x:row r="84">
      <x:c r="A84" s="21" t="str">
        <x:v>NYC-V3-R01</x:v>
      </x:c>
      <x:c r="B84" s="21" t="str">
        <x:v>V3</x:v>
      </x:c>
      <x:c r="C84" s="21" t="str">
        <x:v>households_no_vehicle_and_limited_english</x:v>
      </x:c>
      <x:c r="D84" s="37" t="n">
        <x:v>0</x:v>
      </x:c>
      <x:c r="E84" s="37" t="n">
        <x:v>1726</x:v>
      </x:c>
      <x:c r="F84" s="37" t="n">
        <x:v>1726</x:v>
      </x:c>
      <x:c r="G84" s="21" t="str">
        <x:v>continuous linear relaxation</x:v>
      </x:c>
      <x:c r="H84" s="21" t="str">
        <x:v>No</x:v>
      </x:c>
    </x:row>
    <x:row r="85">
      <x:c r="A85" s="21" t="str">
        <x:v>NYC-V3-R01</x:v>
      </x:c>
      <x:c r="B85" s="21" t="str">
        <x:v>V3</x:v>
      </x:c>
      <x:c r="C85" s="21" t="str">
        <x:v>renter_fifty_plus_units</x:v>
      </x:c>
      <x:c r="D85" s="37" t="n">
        <x:v>2646.0000000000005</x:v>
      </x:c>
      <x:c r="E85" s="37" t="n">
        <x:v>5543</x:v>
      </x:c>
      <x:c r="F85" s="37" t="n">
        <x:v>2896.9999999999995</x:v>
      </x:c>
      <x:c r="G85" s="21" t="str">
        <x:v>continuous linear relaxation</x:v>
      </x:c>
      <x:c r="H85" s="21" t="str">
        <x:v>No</x:v>
      </x:c>
    </x:row>
    <x:row r="86">
      <x:c r="A86" s="21" t="str">
        <x:v>NYC-V3-R01</x:v>
      </x:c>
      <x:c r="B86" s="21" t="str">
        <x:v>V3</x:v>
      </x:c>
      <x:c r="C86" s="21" t="str">
        <x:v>family_households_with_children</x:v>
      </x:c>
      <x:c r="D86" s="37" t="n">
        <x:v>0</x:v>
      </x:c>
      <x:c r="E86" s="37" t="n">
        <x:v>2520</x:v>
      </x:c>
      <x:c r="F86" s="37" t="n">
        <x:v>2520</x:v>
      </x:c>
      <x:c r="G86" s="21" t="str">
        <x:v>continuous linear relaxation</x:v>
      </x:c>
      <x:c r="H86" s="21" t="str">
        <x:v>No</x:v>
      </x:c>
    </x:row>
    <x:row r="87">
      <x:c r="A87" s="21" t="str">
        <x:v>NYC-V3-R01</x:v>
      </x:c>
      <x:c r="B87" s="21" t="str">
        <x:v>V3</x:v>
      </x:c>
      <x:c r="C87" s="21" t="str">
        <x:v>electric_heat_fifty_plus_units</x:v>
      </x:c>
      <x:c r="D87" s="37" t="n">
        <x:v>0</x:v>
      </x:c>
      <x:c r="E87" s="37" t="n">
        <x:v>2376</x:v>
      </x:c>
      <x:c r="F87" s="37" t="n">
        <x:v>2376</x:v>
      </x:c>
      <x:c r="G87" s="21" t="str">
        <x:v>continuous linear relaxation</x:v>
      </x:c>
      <x:c r="H87" s="21" t="str">
        <x:v>No</x:v>
      </x:c>
    </x:row>
    <x:row r="88">
      <x:c r="A88" s="21" t="str">
        <x:v>NYC-V3-R02</x:v>
      </x:c>
      <x:c r="B88" s="21" t="str">
        <x:v>V3</x:v>
      </x:c>
      <x:c r="C88" s="21" t="str">
        <x:v>persons_age_0_4</x:v>
      </x:c>
      <x:c r="D88" s="37" t="n">
        <x:v>2331</x:v>
      </x:c>
      <x:c r="E88" s="37" t="n">
        <x:v>2331</x:v>
      </x:c>
      <x:c r="F88" s="37" t="n">
        <x:v>0</x:v>
      </x:c>
      <x:c r="G88" s="21" t="str">
        <x:v>continuous linear relaxation</x:v>
      </x:c>
      <x:c r="H88" s="21" t="str">
        <x:v>Yes</x:v>
      </x:c>
    </x:row>
    <x:row r="89">
      <x:c r="A89" s="21" t="str">
        <x:v>NYC-V3-R02</x:v>
      </x:c>
      <x:c r="B89" s="21" t="str">
        <x:v>V3</x:v>
      </x:c>
      <x:c r="C89" s="21" t="str">
        <x:v>group_quarters_under_18</x:v>
      </x:c>
      <x:c r="D89" s="37" t="n">
        <x:v>0</x:v>
      </x:c>
      <x:c r="E89" s="37" t="n">
        <x:v>195</x:v>
      </x:c>
      <x:c r="F89" s="37" t="n">
        <x:v>195</x:v>
      </x:c>
      <x:c r="G89" s="21" t="str">
        <x:v>continuous linear relaxation</x:v>
      </x:c>
      <x:c r="H89" s="21" t="str">
        <x:v>No</x:v>
      </x:c>
    </x:row>
    <x:row r="90">
      <x:c r="A90" s="21" t="str">
        <x:v>NYC-V3-R02</x:v>
      </x:c>
      <x:c r="B90" s="21" t="str">
        <x:v>V3</x:v>
      </x:c>
      <x:c r="C90" s="21" t="str">
        <x:v>disabled_age_0_4</x:v>
      </x:c>
      <x:c r="D90" s="37" t="n">
        <x:v>0</x:v>
      </x:c>
      <x:c r="E90" s="37" t="n">
        <x:v>324</x:v>
      </x:c>
      <x:c r="F90" s="37" t="n">
        <x:v>324</x:v>
      </x:c>
      <x:c r="G90" s="21" t="str">
        <x:v>continuous linear relaxation</x:v>
      </x:c>
      <x:c r="H90" s="21" t="str">
        <x:v>No</x:v>
      </x:c>
    </x:row>
    <x:row r="91">
      <x:c r="A91" s="21" t="str">
        <x:v>NYC-V3-R02</x:v>
      </x:c>
      <x:c r="B91" s="21" t="str">
        <x:v>V3</x:v>
      </x:c>
      <x:c r="C91" s="21" t="str">
        <x:v>civilian_noninstitutionalized_group_quarters</x:v>
      </x:c>
      <x:c r="D91" s="37" t="n">
        <x:v>155</x:v>
      </x:c>
      <x:c r="E91" s="37" t="n">
        <x:v>195</x:v>
      </x:c>
      <x:c r="F91" s="37" t="n">
        <x:v>40</x:v>
      </x:c>
      <x:c r="G91" s="21" t="str">
        <x:v>continuous linear relaxation</x:v>
      </x:c>
      <x:c r="H91" s="21" t="str">
        <x:v>No</x:v>
      </x:c>
    </x:row>
    <x:row r="92">
      <x:c r="A92" s="21" t="str">
        <x:v>NYC-V3-R02</x:v>
      </x:c>
      <x:c r="B92" s="21" t="str">
        <x:v>V3</x:v>
      </x:c>
      <x:c r="C92" s="21" t="str">
        <x:v>households_child_and_age65</x:v>
      </x:c>
      <x:c r="D92" s="37" t="n">
        <x:v>0</x:v>
      </x:c>
      <x:c r="E92" s="37" t="n">
        <x:v>2234</x:v>
      </x:c>
      <x:c r="F92" s="37" t="n">
        <x:v>2234</x:v>
      </x:c>
      <x:c r="G92" s="21" t="str">
        <x:v>continuous linear relaxation</x:v>
      </x:c>
      <x:c r="H92" s="21" t="str">
        <x:v>No</x:v>
      </x:c>
    </x:row>
    <x:row r="93">
      <x:c r="A93" s="21" t="str">
        <x:v>NYC-V3-R02</x:v>
      </x:c>
      <x:c r="B93" s="21" t="str">
        <x:v>V3</x:v>
      </x:c>
      <x:c r="C93" s="21" t="str">
        <x:v>households_no_vehicle_and_limited_english</x:v>
      </x:c>
      <x:c r="D93" s="37" t="n">
        <x:v>0</x:v>
      </x:c>
      <x:c r="E93" s="37" t="n">
        <x:v>2085</x:v>
      </x:c>
      <x:c r="F93" s="37" t="n">
        <x:v>2085</x:v>
      </x:c>
      <x:c r="G93" s="21" t="str">
        <x:v>continuous linear relaxation</x:v>
      </x:c>
      <x:c r="H93" s="21" t="str">
        <x:v>No</x:v>
      </x:c>
    </x:row>
    <x:row r="94">
      <x:c r="A94" s="21" t="str">
        <x:v>NYC-V3-R02</x:v>
      </x:c>
      <x:c r="B94" s="21" t="str">
        <x:v>V3</x:v>
      </x:c>
      <x:c r="C94" s="21" t="str">
        <x:v>renter_fifty_plus_units</x:v>
      </x:c>
      <x:c r="D94" s="37" t="n">
        <x:v>2633</x:v>
      </x:c>
      <x:c r="E94" s="37" t="n">
        <x:v>5980</x:v>
      </x:c>
      <x:c r="F94" s="37" t="n">
        <x:v>3347</x:v>
      </x:c>
      <x:c r="G94" s="21" t="str">
        <x:v>continuous linear relaxation</x:v>
      </x:c>
      <x:c r="H94" s="21" t="str">
        <x:v>No</x:v>
      </x:c>
    </x:row>
    <x:row r="95">
      <x:c r="A95" s="21" t="str">
        <x:v>NYC-V3-R02</x:v>
      </x:c>
      <x:c r="B95" s="21" t="str">
        <x:v>V3</x:v>
      </x:c>
      <x:c r="C95" s="21" t="str">
        <x:v>family_households_with_children</x:v>
      </x:c>
      <x:c r="D95" s="37" t="n">
        <x:v>3613</x:v>
      </x:c>
      <x:c r="E95" s="37" t="n">
        <x:v>4143</x:v>
      </x:c>
      <x:c r="F95" s="37" t="n">
        <x:v>530</x:v>
      </x:c>
      <x:c r="G95" s="21" t="str">
        <x:v>continuous linear relaxation</x:v>
      </x:c>
      <x:c r="H95" s="21" t="str">
        <x:v>No</x:v>
      </x:c>
    </x:row>
    <x:row r="96">
      <x:c r="A96" s="21" t="str">
        <x:v>NYC-V3-R02</x:v>
      </x:c>
      <x:c r="B96" s="21" t="str">
        <x:v>V3</x:v>
      </x:c>
      <x:c r="C96" s="21" t="str">
        <x:v>electric_heat_fifty_plus_units</x:v>
      </x:c>
      <x:c r="D96" s="37" t="n">
        <x:v>0</x:v>
      </x:c>
      <x:c r="E96" s="37" t="n">
        <x:v>1952</x:v>
      </x:c>
      <x:c r="F96" s="37" t="n">
        <x:v>1952</x:v>
      </x:c>
      <x:c r="G96" s="21" t="str">
        <x:v>continuous linear relaxation</x:v>
      </x:c>
      <x:c r="H96" s="21" t="str">
        <x:v>No</x:v>
      </x:c>
    </x:row>
    <x:row r="97">
      <x:c r="A97" s="21" t="str">
        <x:v>NYC-V3-R03</x:v>
      </x:c>
      <x:c r="B97" s="21" t="str">
        <x:v>V3</x:v>
      </x:c>
      <x:c r="C97" s="21" t="str">
        <x:v>persons_age_0_4</x:v>
      </x:c>
      <x:c r="D97" s="37" t="n">
        <x:v>2491</x:v>
      </x:c>
      <x:c r="E97" s="37" t="n">
        <x:v>2491</x:v>
      </x:c>
      <x:c r="F97" s="37" t="n">
        <x:v>0</x:v>
      </x:c>
      <x:c r="G97" s="21" t="str">
        <x:v>continuous linear relaxation</x:v>
      </x:c>
      <x:c r="H97" s="21" t="str">
        <x:v>Yes</x:v>
      </x:c>
    </x:row>
    <x:row r="98">
      <x:c r="A98" s="21" t="str">
        <x:v>NYC-V3-R03</x:v>
      </x:c>
      <x:c r="B98" s="21" t="str">
        <x:v>V3</x:v>
      </x:c>
      <x:c r="C98" s="21" t="str">
        <x:v>group_quarters_under_18</x:v>
      </x:c>
      <x:c r="D98" s="37" t="n">
        <x:v>0</x:v>
      </x:c>
      <x:c r="E98" s="37" t="n">
        <x:v>1686</x:v>
      </x:c>
      <x:c r="F98" s="37" t="n">
        <x:v>1686</x:v>
      </x:c>
      <x:c r="G98" s="21" t="str">
        <x:v>continuous linear relaxation</x:v>
      </x:c>
      <x:c r="H98" s="21" t="str">
        <x:v>No</x:v>
      </x:c>
    </x:row>
    <x:row r="99">
      <x:c r="A99" s="21" t="str">
        <x:v>NYC-V3-R03</x:v>
      </x:c>
      <x:c r="B99" s="21" t="str">
        <x:v>V3</x:v>
      </x:c>
      <x:c r="C99" s="21" t="str">
        <x:v>disabled_age_0_4</x:v>
      </x:c>
      <x:c r="D99" s="37" t="n">
        <x:v>0</x:v>
      </x:c>
      <x:c r="E99" s="37" t="n">
        <x:v>938</x:v>
      </x:c>
      <x:c r="F99" s="37" t="n">
        <x:v>938</x:v>
      </x:c>
      <x:c r="G99" s="21" t="str">
        <x:v>continuous linear relaxation</x:v>
      </x:c>
      <x:c r="H99" s="21" t="str">
        <x:v>No</x:v>
      </x:c>
    </x:row>
    <x:row r="100">
      <x:c r="A100" s="21" t="str">
        <x:v>NYC-V3-R03</x:v>
      </x:c>
      <x:c r="B100" s="21" t="str">
        <x:v>V3</x:v>
      </x:c>
      <x:c r="C100" s="21" t="str">
        <x:v>civilian_noninstitutionalized_group_quarters</x:v>
      </x:c>
      <x:c r="D100" s="37" t="n">
        <x:v>876</x:v>
      </x:c>
      <x:c r="E100" s="37" t="n">
        <x:v>1686.0000000000002</x:v>
      </x:c>
      <x:c r="F100" s="37" t="n">
        <x:v>810.0000000000002</x:v>
      </x:c>
      <x:c r="G100" s="21" t="str">
        <x:v>continuous linear relaxation</x:v>
      </x:c>
      <x:c r="H100" s="21" t="str">
        <x:v>No</x:v>
      </x:c>
    </x:row>
    <x:row r="101">
      <x:c r="A101" s="21" t="str">
        <x:v>NYC-V3-R03</x:v>
      </x:c>
      <x:c r="B101" s="21" t="str">
        <x:v>V3</x:v>
      </x:c>
      <x:c r="C101" s="21" t="str">
        <x:v>households_child_and_age65</x:v>
      </x:c>
      <x:c r="D101" s="37" t="n">
        <x:v>0</x:v>
      </x:c>
      <x:c r="E101" s="37" t="n">
        <x:v>3428</x:v>
      </x:c>
      <x:c r="F101" s="37" t="n">
        <x:v>3428</x:v>
      </x:c>
      <x:c r="G101" s="21" t="str">
        <x:v>continuous linear relaxation</x:v>
      </x:c>
      <x:c r="H101" s="21" t="str">
        <x:v>No</x:v>
      </x:c>
    </x:row>
    <x:row r="102">
      <x:c r="A102" s="21" t="str">
        <x:v>NYC-V3-R03</x:v>
      </x:c>
      <x:c r="B102" s="21" t="str">
        <x:v>V3</x:v>
      </x:c>
      <x:c r="C102" s="21" t="str">
        <x:v>households_no_vehicle_and_limited_english</x:v>
      </x:c>
      <x:c r="D102" s="37" t="n">
        <x:v>0</x:v>
      </x:c>
      <x:c r="E102" s="37" t="n">
        <x:v>1191</x:v>
      </x:c>
      <x:c r="F102" s="37" t="n">
        <x:v>1191</x:v>
      </x:c>
      <x:c r="G102" s="21" t="str">
        <x:v>continuous linear relaxation</x:v>
      </x:c>
      <x:c r="H102" s="21" t="str">
        <x:v>No</x:v>
      </x:c>
    </x:row>
    <x:row r="103">
      <x:c r="A103" s="21" t="str">
        <x:v>NYC-V3-R03</x:v>
      </x:c>
      <x:c r="B103" s="21" t="str">
        <x:v>V3</x:v>
      </x:c>
      <x:c r="C103" s="21" t="str">
        <x:v>renter_fifty_plus_units</x:v>
      </x:c>
      <x:c r="D103" s="37" t="n">
        <x:v>0</x:v>
      </x:c>
      <x:c r="E103" s="37" t="n">
        <x:v>5382.999999999999</x:v>
      </x:c>
      <x:c r="F103" s="37" t="n">
        <x:v>5382.999999999999</x:v>
      </x:c>
      <x:c r="G103" s="21" t="str">
        <x:v>continuous linear relaxation</x:v>
      </x:c>
      <x:c r="H103" s="21" t="str">
        <x:v>No</x:v>
      </x:c>
    </x:row>
    <x:row r="104">
      <x:c r="A104" s="21" t="str">
        <x:v>NYC-V3-R03</x:v>
      </x:c>
      <x:c r="B104" s="21" t="str">
        <x:v>V3</x:v>
      </x:c>
      <x:c r="C104" s="21" t="str">
        <x:v>family_households_with_children</x:v>
      </x:c>
      <x:c r="D104" s="37" t="n">
        <x:v>3881</x:v>
      </x:c>
      <x:c r="E104" s="37" t="n">
        <x:v>4530</x:v>
      </x:c>
      <x:c r="F104" s="37" t="n">
        <x:v>649</x:v>
      </x:c>
      <x:c r="G104" s="21" t="str">
        <x:v>continuous linear relaxation</x:v>
      </x:c>
      <x:c r="H104" s="21" t="str">
        <x:v>No</x:v>
      </x:c>
    </x:row>
    <x:row r="105">
      <x:c r="A105" s="21" t="str">
        <x:v>NYC-V3-R03</x:v>
      </x:c>
      <x:c r="B105" s="21" t="str">
        <x:v>V3</x:v>
      </x:c>
      <x:c r="C105" s="21" t="str">
        <x:v>electric_heat_fifty_plus_units</x:v>
      </x:c>
      <x:c r="D105" s="37" t="n">
        <x:v>0</x:v>
      </x:c>
      <x:c r="E105" s="37" t="n">
        <x:v>1657</x:v>
      </x:c>
      <x:c r="F105" s="37" t="n">
        <x:v>1657</x:v>
      </x:c>
      <x:c r="G105" s="21" t="str">
        <x:v>continuous linear relaxation</x:v>
      </x:c>
      <x:c r="H105" s="21" t="str">
        <x:v>No</x:v>
      </x:c>
    </x:row>
    <x:row r="106">
      <x:c r="A106" s="21" t="str">
        <x:v>NYC-V3-R04</x:v>
      </x:c>
      <x:c r="B106" s="21" t="str">
        <x:v>V3</x:v>
      </x:c>
      <x:c r="C106" s="21" t="str">
        <x:v>persons_age_0_4</x:v>
      </x:c>
      <x:c r="D106" s="37" t="n">
        <x:v>1685</x:v>
      </x:c>
      <x:c r="E106" s="37" t="n">
        <x:v>1685</x:v>
      </x:c>
      <x:c r="F106" s="37" t="n">
        <x:v>0</x:v>
      </x:c>
      <x:c r="G106" s="21" t="str">
        <x:v>continuous linear relaxation</x:v>
      </x:c>
      <x:c r="H106" s="21" t="str">
        <x:v>Yes</x:v>
      </x:c>
    </x:row>
    <x:row r="107">
      <x:c r="A107" s="21" t="str">
        <x:v>NYC-V3-R04</x:v>
      </x:c>
      <x:c r="B107" s="21" t="str">
        <x:v>V3</x:v>
      </x:c>
      <x:c r="C107" s="21" t="str">
        <x:v>group_quarters_under_18</x:v>
      </x:c>
      <x:c r="D107" s="37" t="n">
        <x:v>0</x:v>
      </x:c>
      <x:c r="E107" s="37" t="n">
        <x:v>81</x:v>
      </x:c>
      <x:c r="F107" s="37" t="n">
        <x:v>81</x:v>
      </x:c>
      <x:c r="G107" s="21" t="str">
        <x:v>continuous linear relaxation</x:v>
      </x:c>
      <x:c r="H107" s="21" t="str">
        <x:v>No</x:v>
      </x:c>
    </x:row>
    <x:row r="108">
      <x:c r="A108" s="21" t="str">
        <x:v>NYC-V3-R04</x:v>
      </x:c>
      <x:c r="B108" s="21" t="str">
        <x:v>V3</x:v>
      </x:c>
      <x:c r="C108" s="21" t="str">
        <x:v>disabled_age_0_4</x:v>
      </x:c>
      <x:c r="D108" s="37" t="n">
        <x:v>0</x:v>
      </x:c>
      <x:c r="E108" s="37" t="n">
        <x:v>247</x:v>
      </x:c>
      <x:c r="F108" s="37" t="n">
        <x:v>247</x:v>
      </x:c>
      <x:c r="G108" s="21" t="str">
        <x:v>continuous linear relaxation</x:v>
      </x:c>
      <x:c r="H108" s="21" t="str">
        <x:v>No</x:v>
      </x:c>
    </x:row>
    <x:row r="109">
      <x:c r="A109" s="21" t="str">
        <x:v>NYC-V3-R04</x:v>
      </x:c>
      <x:c r="B109" s="21" t="str">
        <x:v>V3</x:v>
      </x:c>
      <x:c r="C109" s="21" t="str">
        <x:v>civilian_noninstitutionalized_group_quarters</x:v>
      </x:c>
      <x:c r="D109" s="37" t="n">
        <x:v>0</x:v>
      </x:c>
      <x:c r="E109" s="37" t="n">
        <x:v>81</x:v>
      </x:c>
      <x:c r="F109" s="37" t="n">
        <x:v>81</x:v>
      </x:c>
      <x:c r="G109" s="21" t="str">
        <x:v>continuous linear relaxation</x:v>
      </x:c>
      <x:c r="H109" s="21" t="str">
        <x:v>No</x:v>
      </x:c>
    </x:row>
    <x:row r="110">
      <x:c r="A110" s="21" t="str">
        <x:v>NYC-V3-R04</x:v>
      </x:c>
      <x:c r="B110" s="21" t="str">
        <x:v>V3</x:v>
      </x:c>
      <x:c r="C110" s="21" t="str">
        <x:v>households_child_and_age65</x:v>
      </x:c>
      <x:c r="D110" s="37" t="n">
        <x:v>0</x:v>
      </x:c>
      <x:c r="E110" s="37" t="n">
        <x:v>3345</x:v>
      </x:c>
      <x:c r="F110" s="37" t="n">
        <x:v>3345</x:v>
      </x:c>
      <x:c r="G110" s="21" t="str">
        <x:v>continuous linear relaxation</x:v>
      </x:c>
      <x:c r="H110" s="21" t="str">
        <x:v>No</x:v>
      </x:c>
    </x:row>
    <x:row r="111">
      <x:c r="A111" s="21" t="str">
        <x:v>NYC-V3-R04</x:v>
      </x:c>
      <x:c r="B111" s="21" t="str">
        <x:v>V3</x:v>
      </x:c>
      <x:c r="C111" s="21" t="str">
        <x:v>households_no_vehicle_and_limited_english</x:v>
      </x:c>
      <x:c r="D111" s="37" t="n">
        <x:v>0</x:v>
      </x:c>
      <x:c r="E111" s="37" t="n">
        <x:v>2033</x:v>
      </x:c>
      <x:c r="F111" s="37" t="n">
        <x:v>2033</x:v>
      </x:c>
      <x:c r="G111" s="21" t="str">
        <x:v>continuous linear relaxation</x:v>
      </x:c>
      <x:c r="H111" s="21" t="str">
        <x:v>No</x:v>
      </x:c>
    </x:row>
    <x:row r="112">
      <x:c r="A112" s="21" t="str">
        <x:v>NYC-V3-R04</x:v>
      </x:c>
      <x:c r="B112" s="21" t="str">
        <x:v>V3</x:v>
      </x:c>
      <x:c r="C112" s="21" t="str">
        <x:v>renter_fifty_plus_units</x:v>
      </x:c>
      <x:c r="D112" s="37" t="n">
        <x:v>3188</x:v>
      </x:c>
      <x:c r="E112" s="37" t="n">
        <x:v>9864</x:v>
      </x:c>
      <x:c r="F112" s="37" t="n">
        <x:v>6676</x:v>
      </x:c>
      <x:c r="G112" s="21" t="str">
        <x:v>continuous linear relaxation</x:v>
      </x:c>
      <x:c r="H112" s="21" t="str">
        <x:v>No</x:v>
      </x:c>
    </x:row>
    <x:row r="113">
      <x:c r="A113" s="21" t="str">
        <x:v>NYC-V3-R04</x:v>
      </x:c>
      <x:c r="B113" s="21" t="str">
        <x:v>V3</x:v>
      </x:c>
      <x:c r="C113" s="21" t="str">
        <x:v>family_households_with_children</x:v>
      </x:c>
      <x:c r="D113" s="37" t="n">
        <x:v>2583</x:v>
      </x:c>
      <x:c r="E113" s="37" t="n">
        <x:v>3498</x:v>
      </x:c>
      <x:c r="F113" s="37" t="n">
        <x:v>915</x:v>
      </x:c>
      <x:c r="G113" s="21" t="str">
        <x:v>continuous linear relaxation</x:v>
      </x:c>
      <x:c r="H113" s="21" t="str">
        <x:v>No</x:v>
      </x:c>
    </x:row>
    <x:row r="114">
      <x:c r="A114" s="22" t="str">
        <x:v>NYC-V3-R04</x:v>
      </x:c>
      <x:c r="B114" s="22" t="str">
        <x:v>V3</x:v>
      </x:c>
      <x:c r="C114" s="22" t="str">
        <x:v>electric_heat_fifty_plus_units</x:v>
      </x:c>
      <x:c r="D114" s="38" t="n">
        <x:v>0</x:v>
      </x:c>
      <x:c r="E114" s="38" t="n">
        <x:v>1225</x:v>
      </x:c>
      <x:c r="F114" s="38" t="n">
        <x:v>1225</x:v>
      </x:c>
      <x:c r="G114" s="22" t="str">
        <x:v>continuous linear relaxation</x:v>
      </x:c>
      <x:c r="H114" s="22" t="str">
        <x:v>No</x:v>
      </x:c>
    </x:row>
    <x:row r="115">
      <x:c r="A115" s="29"/>
      <x:c r="B115" s="29"/>
      <x:c r="C115" s="29"/>
      <x:c r="D115" s="29"/>
      <x:c r="E115" s="29"/>
      <x:c r="F115" s="29"/>
      <x:c r="G115" s="29"/>
      <x:c r="H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</x:row>
    <x:row r="117">
      <x:c r="A117" s="6" t="str">
        <x:v>Cross-catchment summary</x:v>
      </x:c>
      <x:c r="B117" s="7"/>
      <x:c r="C117" s="7"/>
      <x:c r="D117" s="7"/>
      <x:c r="E117" s="7"/>
      <x:c r="F117" s="7"/>
      <x:c r="G117" s="7"/>
      <x:c r="H117" s="8"/>
    </x:row>
    <x:row r="118" ht="34" customHeight="1">
      <x:c r="A118" s="17" t="str">
        <x:v>Latent quantity</x:v>
      </x:c>
      <x:c r="B118" s="17" t="str">
        <x:v>Lowest minimum</x:v>
      </x:c>
      <x:c r="C118" s="17" t="str">
        <x:v>Highest maximum</x:v>
      </x:c>
      <x:c r="D118" s="17" t="str">
        <x:v>Median width</x:v>
      </x:c>
      <x:c r="E118" s="17" t="str">
        <x:v>Maximum width</x:v>
      </x:c>
      <x:c r="F118" s="17" t="str">
        <x:v>Point-identified catchments</x:v>
      </x:c>
      <x:c r="G118" s="17" t="str">
        <x:v>Median width reduction</x:v>
      </x:c>
      <x:c r="H118" s="17" t="str">
        <x:v>Newly point identified</x:v>
      </x:c>
    </x:row>
    <x:row r="119">
      <x:c r="A119" s="20" t="str">
        <x:v>persons_age_0_4</x:v>
      </x:c>
      <x:c r="B119" s="36" t="n">
        <x:v>964</x:v>
      </x:c>
      <x:c r="C119" s="36" t="n">
        <x:v>2621</x:v>
      </x:c>
      <x:c r="D119" s="36" t="n">
        <x:v>0</x:v>
      </x:c>
      <x:c r="E119" s="36" t="n">
        <x:v>0</x:v>
      </x:c>
      <x:c r="F119" s="36" t="n">
        <x:v>12</x:v>
      </x:c>
      <x:c r="G119" s="36" t="n">
        <x:v>7090</x:v>
      </x:c>
      <x:c r="H119" s="36" t="n">
        <x:v>12</x:v>
      </x:c>
    </x:row>
    <x:row r="120">
      <x:c r="A120" s="21" t="str">
        <x:v>group_quarters_under_18</x:v>
      </x:c>
      <x:c r="B120" s="37" t="n">
        <x:v>0</x:v>
      </x:c>
      <x:c r="C120" s="37" t="n">
        <x:v>1686</x:v>
      </x:c>
      <x:c r="D120" s="37" t="n">
        <x:v>501</x:v>
      </x:c>
      <x:c r="E120" s="37" t="n">
        <x:v>1686</x:v>
      </x:c>
      <x:c r="F120" s="37" t="n">
        <x:v>0</x:v>
      </x:c>
      <x:c r="G120" s="37" t="n">
        <x:v>0</x:v>
      </x:c>
      <x:c r="H120" s="37" t="n">
        <x:v>0</x:v>
      </x:c>
    </x:row>
    <x:row r="121">
      <x:c r="A121" s="21" t="str">
        <x:v>disabled_age_0_4</x:v>
      </x:c>
      <x:c r="B121" s="37" t="n">
        <x:v>0</x:v>
      </x:c>
      <x:c r="C121" s="37" t="n">
        <x:v>1281</x:v>
      </x:c>
      <x:c r="D121" s="37" t="n">
        <x:v>343.5</x:v>
      </x:c>
      <x:c r="E121" s="37" t="n">
        <x:v>1281</x:v>
      </x:c>
      <x:c r="F121" s="37" t="n">
        <x:v>0</x:v>
      </x:c>
      <x:c r="G121" s="37" t="n">
        <x:v>0</x:v>
      </x:c>
      <x:c r="H121" s="37" t="n">
        <x:v>0</x:v>
      </x:c>
    </x:row>
    <x:row r="122">
      <x:c r="A122" s="21" t="str">
        <x:v>civilian_noninstitutionalized_group_quarters</x:v>
      </x:c>
      <x:c r="B122" s="37" t="n">
        <x:v>0</x:v>
      </x:c>
      <x:c r="C122" s="37" t="n">
        <x:v>1686.0000000000002</x:v>
      </x:c>
      <x:c r="D122" s="37" t="n">
        <x:v>64</x:v>
      </x:c>
      <x:c r="E122" s="37" t="n">
        <x:v>810.0000000000002</x:v>
      </x:c>
      <x:c r="F122" s="37" t="n">
        <x:v>0</x:v>
      </x:c>
      <x:c r="G122" s="37" t="n">
        <x:v>0</x:v>
      </x:c>
      <x:c r="H122" s="37" t="n">
        <x:v>0</x:v>
      </x:c>
    </x:row>
    <x:row r="123">
      <x:c r="A123" s="21" t="str">
        <x:v>households_child_and_age65</x:v>
      </x:c>
      <x:c r="B123" s="37" t="n">
        <x:v>0</x:v>
      </x:c>
      <x:c r="C123" s="37" t="n">
        <x:v>3428</x:v>
      </x:c>
      <x:c r="D123" s="37" t="n">
        <x:v>2374.5</x:v>
      </x:c>
      <x:c r="E123" s="37" t="n">
        <x:v>3428</x:v>
      </x:c>
      <x:c r="F123" s="37" t="n">
        <x:v>0</x:v>
      </x:c>
      <x:c r="G123" s="37" t="n">
        <x:v>0</x:v>
      </x:c>
      <x:c r="H123" s="37" t="n">
        <x:v>0</x:v>
      </x:c>
    </x:row>
    <x:row r="124">
      <x:c r="A124" s="21" t="str">
        <x:v>households_no_vehicle_and_limited_english</x:v>
      </x:c>
      <x:c r="B124" s="37" t="n">
        <x:v>0</x:v>
      </x:c>
      <x:c r="C124" s="37" t="n">
        <x:v>6661</x:v>
      </x:c>
      <x:c r="D124" s="37" t="n">
        <x:v>1740</x:v>
      </x:c>
      <x:c r="E124" s="37" t="n">
        <x:v>5096</x:v>
      </x:c>
      <x:c r="F124" s="37" t="n">
        <x:v>0</x:v>
      </x:c>
      <x:c r="G124" s="37" t="n">
        <x:v>0</x:v>
      </x:c>
      <x:c r="H124" s="37" t="n">
        <x:v>0</x:v>
      </x:c>
    </x:row>
    <x:row r="125">
      <x:c r="A125" s="21" t="str">
        <x:v>renter_fifty_plus_units</x:v>
      </x:c>
      <x:c r="B125" s="37" t="n">
        <x:v>0</x:v>
      </x:c>
      <x:c r="C125" s="37" t="n">
        <x:v>10685</x:v>
      </x:c>
      <x:c r="D125" s="37" t="n">
        <x:v>3122</x:v>
      </x:c>
      <x:c r="E125" s="37" t="n">
        <x:v>6676</x:v>
      </x:c>
      <x:c r="F125" s="37" t="n">
        <x:v>0</x:v>
      </x:c>
      <x:c r="G125" s="37" t="n">
        <x:v>0</x:v>
      </x:c>
      <x:c r="H125" s="37" t="n">
        <x:v>0</x:v>
      </x:c>
    </x:row>
    <x:row r="126">
      <x:c r="A126" s="21" t="str">
        <x:v>family_households_with_children</x:v>
      </x:c>
      <x:c r="B126" s="37" t="n">
        <x:v>0</x:v>
      </x:c>
      <x:c r="C126" s="37" t="n">
        <x:v>4875</x:v>
      </x:c>
      <x:c r="D126" s="37" t="n">
        <x:v>743.5</x:v>
      </x:c>
      <x:c r="E126" s="37" t="n">
        <x:v>2628</x:v>
      </x:c>
      <x:c r="F126" s="37" t="n">
        <x:v>0</x:v>
      </x:c>
      <x:c r="G126" s="37" t="n">
        <x:v>0</x:v>
      </x:c>
      <x:c r="H126" s="37" t="n">
        <x:v>0</x:v>
      </x:c>
    </x:row>
    <x:row r="127">
      <x:c r="A127" s="22" t="str">
        <x:v>electric_heat_fifty_plus_units</x:v>
      </x:c>
      <x:c r="B127" s="38" t="n">
        <x:v>0</x:v>
      </x:c>
      <x:c r="C127" s="38" t="n">
        <x:v>5818</x:v>
      </x:c>
      <x:c r="D127" s="38" t="n">
        <x:v>1816</x:v>
      </x:c>
      <x:c r="E127" s="38" t="n">
        <x:v>5303</x:v>
      </x:c>
      <x:c r="F127" s="38" t="n">
        <x:v>0</x:v>
      </x:c>
      <x:c r="G127" s="38" t="n">
        <x:v>0</x:v>
      </x:c>
      <x:c r="H127" s="38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40" hidden="0" customWidth="1"/>
    <x:col min="4" max="4" width="18" hidden="0" customWidth="1"/>
    <x:col min="5" max="5" width="18" hidden="0" customWidth="1"/>
    <x:col min="6" max="6" width="16" hidden="0" customWidth="1"/>
    <x:col min="7" max="7" width="22" hidden="0" customWidth="1"/>
    <x:col min="8" max="8" width="24" hidden="0" customWidth="1"/>
    <x:col min="9" max="9" width="28" hidden="0" customWidth="1"/>
  </x:cols>
  <x:sheetData>
    <x:row r="1">
      <x:c r="A1" s="1" t="str">
        <x:v>Moment Boundary</x:v>
      </x:c>
      <x:c r="B1" s="29"/>
      <x:c r="C1" s="29"/>
      <x:c r="D1" s="29"/>
      <x:c r="E1" s="29"/>
      <x:c r="F1" s="29"/>
      <x:c r="G1" s="29"/>
      <x:c r="H1" s="29"/>
      <x:c r="I1" s="29"/>
    </x:row>
    <x:row r="2">
      <x:c r="A2" s="2" t="str">
        <x:v>Every catchment–metric pair classified against the nonnegative moment cone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</x:row>
    <x:row r="5">
      <x:c r="A5" s="6" t="str">
        <x:v>Classification summary</x:v>
      </x:c>
      <x:c r="B5" s="7"/>
      <x:c r="C5" s="7"/>
      <x:c r="D5" s="7"/>
      <x:c r="E5" s="7"/>
      <x:c r="F5" s="7"/>
      <x:c r="G5" s="8"/>
      <x:c r="H5" s="29"/>
      <x:c r="I5" s="29"/>
    </x:row>
    <x:row r="6" ht="34" customHeight="1">
      <x:c r="A6" s="17" t="str">
        <x:v>Status</x:v>
      </x:c>
      <x:c r="B6" s="17" t="str">
        <x:v>Pairs</x:v>
      </x:c>
      <x:c r="C6" s="17" t="str">
        <x:v>Distinct metrics</x:v>
      </x:c>
      <x:c r="D6" s="17" t="str">
        <x:v>Minimum point / SE</x:v>
      </x:c>
      <x:c r="E6" s="17" t="str">
        <x:v>Maximum point / SE</x:v>
      </x:c>
      <x:c r="F6" s="29"/>
      <x:c r="G6" s="29"/>
      <x:c r="H6" s="29"/>
      <x:c r="I6" s="29"/>
    </x:row>
    <x:row r="7">
      <x:c r="A7" s="20" t="str">
        <x:v>IMPOSSIBLE_EXACT_MOMENTS</x:v>
      </x:c>
      <x:c r="B7" s="23" t="n">
        <x:v>7</x:v>
      </x:c>
      <x:c r="C7" s="23" t="n">
        <x:v>1</x:v>
      </x:c>
      <x:c r="D7" s="51" t="n">
        <x:v>0</x:v>
      </x:c>
      <x:c r="E7" s="51" t="n">
        <x:v>0</x:v>
      </x:c>
      <x:c r="F7" s="29"/>
      <x:c r="G7" s="29"/>
      <x:c r="H7" s="29"/>
      <x:c r="I7" s="29"/>
    </x:row>
    <x:row r="8">
      <x:c r="A8" s="21" t="str">
        <x:v>BOUNDARY_SENSITIVE</x:v>
      </x:c>
      <x:c r="B8" s="24" t="n">
        <x:v>15</x:v>
      </x:c>
      <x:c r="C8" s="24" t="n">
        <x:v>6</x:v>
      </x:c>
      <x:c r="D8" s="52" t="n">
        <x:v>0.21566131940498742</x:v>
      </x:c>
      <x:c r="E8" s="52" t="n">
        <x:v>1.925950363722757</x:v>
      </x:c>
      <x:c r="F8" s="29"/>
      <x:c r="G8" s="29"/>
      <x:c r="H8" s="29"/>
      <x:c r="I8" s="29"/>
    </x:row>
    <x:row r="9">
      <x:c r="A9" s="22" t="str">
        <x:v>INTERIOR</x:v>
      </x:c>
      <x:c r="B9" s="25" t="n">
        <x:v>446</x:v>
      </x:c>
      <x:c r="C9" s="25" t="n">
        <x:v>38</x:v>
      </x:c>
      <x:c r="D9" s="53" t="n">
        <x:v>2.069861435641356</x:v>
      </x:c>
      <x:c r="E9" s="53" t="n">
        <x:v>71.87139909566342</x:v>
      </x:c>
      <x:c r="F9" s="29"/>
      <x:c r="G9" s="29"/>
      <x:c r="H9" s="29"/>
      <x:c r="I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</x:row>
    <x:row r="12">
      <x:c r="A12" s="6" t="str">
        <x:v>Pair-level audit</x:v>
      </x:c>
      <x:c r="B12" s="7"/>
      <x:c r="C12" s="7"/>
      <x:c r="D12" s="7"/>
      <x:c r="E12" s="7"/>
      <x:c r="F12" s="7"/>
      <x:c r="G12" s="7"/>
      <x:c r="H12" s="7"/>
      <x:c r="I12" s="8"/>
    </x:row>
    <x:row r="13" ht="34" customHeight="1">
      <x:c r="A13" s="17" t="str">
        <x:v>Catchment</x:v>
      </x:c>
      <x:c r="B13" s="17" t="str">
        <x:v>Archetype</x:v>
      </x:c>
      <x:c r="C13" s="17" t="str">
        <x:v>Metric</x:v>
      </x:c>
      <x:c r="D13" s="17" t="str">
        <x:v>Point estimate</x:v>
      </x:c>
      <x:c r="E13" s="17" t="str">
        <x:v>Sampling SE</x:v>
      </x:c>
      <x:c r="F13" s="17" t="str">
        <x:v>Point / SE</x:v>
      </x:c>
      <x:c r="G13" s="17" t="str">
        <x:v>Required state mean</x:v>
      </x:c>
      <x:c r="H13" s="17" t="str">
        <x:v>Required state variance</x:v>
      </x:c>
      <x:c r="I13" s="17" t="str">
        <x:v>Status</x:v>
      </x:c>
    </x:row>
    <x:row r="14">
      <x:c r="A14" s="20" t="str">
        <x:v>NYC-V1-R01</x:v>
      </x:c>
      <x:c r="B14" s="20" t="str">
        <x:v>V1</x:v>
      </x:c>
      <x:c r="C14" s="20" t="str">
        <x:v>acs_population</x:v>
      </x:c>
      <x:c r="D14" s="23" t="n">
        <x:v>30607</x:v>
      </x:c>
      <x:c r="E14" s="42" t="n">
        <x:v>1414.36977131159</x:v>
      </x:c>
      <x:c r="F14" s="42" t="n">
        <x:v>21.640026972308068</x:v>
      </x:c>
      <x:c r="G14" s="42" t="n">
        <x:v>30607</x:v>
      </x:c>
      <x:c r="H14" s="42" t="n">
        <x:v>2000441.8499999996</x:v>
      </x:c>
      <x:c r="I14" s="20" t="str">
        <x:v>INTERIOR</x:v>
      </x:c>
    </x:row>
    <x:row r="15">
      <x:c r="A15" s="21" t="str">
        <x:v>NYC-V1-R01</x:v>
      </x:c>
      <x:c r="B15" s="21" t="str">
        <x:v>V1</x:v>
      </x:c>
      <x:c r="C15" s="21" t="str">
        <x:v>age_under_18</x:v>
      </x:c>
      <x:c r="D15" s="24" t="n">
        <x:v>3951</x:v>
      </x:c>
      <x:c r="E15" s="43" t="n">
        <x:v>484.098388759971</x:v>
      </x:c>
      <x:c r="F15" s="43" t="n">
        <x:v>8.161564036849153</x:v>
      </x:c>
      <x:c r="G15" s="43" t="n">
        <x:v>3951</x:v>
      </x:c>
      <x:c r="H15" s="43" t="n">
        <x:v>234351.25</x:v>
      </x:c>
      <x:c r="I15" s="21" t="str">
        <x:v>INTERIOR</x:v>
      </x:c>
    </x:row>
    <x:row r="16">
      <x:c r="A16" s="21" t="str">
        <x:v>NYC-V1-R01</x:v>
      </x:c>
      <x:c r="B16" s="21" t="str">
        <x:v>V1</x:v>
      </x:c>
      <x:c r="C16" s="21" t="str">
        <x:v>age_under_5</x:v>
      </x:c>
      <x:c r="D16" s="24" t="n">
        <x:v>1125</x:v>
      </x:c>
      <x:c r="E16" s="43" t="n">
        <x:v>280.0496384571849</x:v>
      </x:c>
      <x:c r="F16" s="43" t="n">
        <x:v>4.017144982574203</x:v>
      </x:c>
      <x:c r="G16" s="43" t="n">
        <x:v>1125</x:v>
      </x:c>
      <x:c r="H16" s="43" t="n">
        <x:v>78427.79999999999</x:v>
      </x:c>
      <x:c r="I16" s="21" t="str">
        <x:v>INTERIOR</x:v>
      </x:c>
    </x:row>
    <x:row r="17">
      <x:c r="A17" s="21" t="str">
        <x:v>NYC-V1-R01</x:v>
      </x:c>
      <x:c r="B17" s="21" t="str">
        <x:v>V1</x:v>
      </x:c>
      <x:c r="C17" s="21" t="str">
        <x:v>age_65_plus</x:v>
      </x:c>
      <x:c r="D17" s="24" t="n">
        <x:v>8039</x:v>
      </x:c>
      <x:c r="E17" s="43" t="n">
        <x:v>572.8060753867752</x:v>
      </x:c>
      <x:c r="F17" s="43" t="n">
        <x:v>14.034418183452113</x:v>
      </x:c>
      <x:c r="G17" s="43" t="n">
        <x:v>8039</x:v>
      </x:c>
      <x:c r="H17" s="43" t="n">
        <x:v>328106.8</x:v>
      </x:c>
      <x:c r="I17" s="21" t="str">
        <x:v>INTERIOR</x:v>
      </x:c>
    </x:row>
    <x:row r="18">
      <x:c r="A18" s="21" t="str">
        <x:v>NYC-V1-R01</x:v>
      </x:c>
      <x:c r="B18" s="21" t="str">
        <x:v>V1</x:v>
      </x:c>
      <x:c r="C18" s="21" t="str">
        <x:v>age_75_plus</x:v>
      </x:c>
      <x:c r="D18" s="24" t="n">
        <x:v>3848</x:v>
      </x:c>
      <x:c r="E18" s="43" t="n">
        <x:v>513.4498028045195</x:v>
      </x:c>
      <x:c r="F18" s="43" t="n">
        <x:v>7.494403501533741</x:v>
      </x:c>
      <x:c r="G18" s="43" t="n">
        <x:v>3848</x:v>
      </x:c>
      <x:c r="H18" s="43" t="n">
        <x:v>263630.7</x:v>
      </x:c>
      <x:c r="I18" s="21" t="str">
        <x:v>INTERIOR</x:v>
      </x:c>
    </x:row>
    <x:row r="19">
      <x:c r="A19" s="21" t="str">
        <x:v>NYC-V1-R01</x:v>
      </x:c>
      <x:c r="B19" s="21" t="str">
        <x:v>V1</x:v>
      </x:c>
      <x:c r="C19" s="21" t="str">
        <x:v>age_85_plus</x:v>
      </x:c>
      <x:c r="D19" s="24" t="n">
        <x:v>1452</x:v>
      </x:c>
      <x:c r="E19" s="43" t="n">
        <x:v>371.14572609690657</x:v>
      </x:c>
      <x:c r="F19" s="43" t="n">
        <x:v>3.912209943166316</x:v>
      </x:c>
      <x:c r="G19" s="43" t="n">
        <x:v>1452</x:v>
      </x:c>
      <x:c r="H19" s="43" t="n">
        <x:v>137749.15</x:v>
      </x:c>
      <x:c r="I19" s="21" t="str">
        <x:v>INTERIOR</x:v>
      </x:c>
    </x:row>
    <x:row r="20">
      <x:c r="A20" s="21" t="str">
        <x:v>NYC-V1-R01</x:v>
      </x:c>
      <x:c r="B20" s="21" t="str">
        <x:v>V1</x:v>
      </x:c>
      <x:c r="C20" s="21" t="str">
        <x:v>civilian_noninstitutionalized</x:v>
      </x:c>
      <x:c r="D20" s="24" t="n">
        <x:v>30295</x:v>
      </x:c>
      <x:c r="E20" s="43" t="n">
        <x:v>1412.1072905413384</x:v>
      </x:c>
      <x:c r="F20" s="43" t="n">
        <x:v>21.453752277127794</x:v>
      </x:c>
      <x:c r="G20" s="43" t="n">
        <x:v>30295</x:v>
      </x:c>
      <x:c r="H20" s="43" t="n">
        <x:v>1994047</x:v>
      </x:c>
      <x:c r="I20" s="21" t="str">
        <x:v>INTERIOR</x:v>
      </x:c>
    </x:row>
    <x:row r="21">
      <x:c r="A21" s="21" t="str">
        <x:v>NYC-V1-R01</x:v>
      </x:c>
      <x:c r="B21" s="21" t="str">
        <x:v>V1</x:v>
      </x:c>
      <x:c r="C21" s="21" t="str">
        <x:v>any_disability</x:v>
      </x:c>
      <x:c r="D21" s="24" t="n">
        <x:v>4872</x:v>
      </x:c>
      <x:c r="E21" s="43" t="n">
        <x:v>511.8813339046463</x:v>
      </x:c>
      <x:c r="F21" s="43" t="n">
        <x:v>9.517830944989216</x:v>
      </x:c>
      <x:c r="G21" s="43" t="n">
        <x:v>4872</x:v>
      </x:c>
      <x:c r="H21" s="43" t="n">
        <x:v>262022.49999999997</x:v>
      </x:c>
      <x:c r="I21" s="21" t="str">
        <x:v>INTERIOR</x:v>
      </x:c>
    </x:row>
    <x:row r="22">
      <x:c r="A22" s="21" t="str">
        <x:v>NYC-V1-R01</x:v>
      </x:c>
      <x:c r="B22" s="21" t="str">
        <x:v>V1</x:v>
      </x:c>
      <x:c r="C22" s="21" t="str">
        <x:v>disability_under_18</x:v>
      </x:c>
      <x:c r="D22" s="24" t="n">
        <x:v>120</x:v>
      </x:c>
      <x:c r="E22" s="43" t="n">
        <x:v>62.30690170438585</x:v>
      </x:c>
      <x:c r="F22" s="43" t="n">
        <x:v>1.925950363722757</x:v>
      </x:c>
      <x:c r="G22" s="43" t="n">
        <x:v>120</x:v>
      </x:c>
      <x:c r="H22" s="43" t="n">
        <x:v>3882.1500000000005</x:v>
      </x:c>
      <x:c r="I22" s="21" t="str">
        <x:v>BOUNDARY_SENSITIVE</x:v>
      </x:c>
    </x:row>
    <x:row r="23">
      <x:c r="A23" s="21" t="str">
        <x:v>NYC-V1-R01</x:v>
      </x:c>
      <x:c r="B23" s="21" t="str">
        <x:v>V1</x:v>
      </x:c>
      <x:c r="C23" s="21" t="str">
        <x:v>disability_18_64</x:v>
      </x:c>
      <x:c r="D23" s="24" t="n">
        <x:v>1591</x:v>
      </x:c>
      <x:c r="E23" s="43" t="n">
        <x:v>335.43889160322476</x:v>
      </x:c>
      <x:c r="F23" s="43" t="n">
        <x:v>4.743039760225301</x:v>
      </x:c>
      <x:c r="G23" s="43" t="n">
        <x:v>1591</x:v>
      </x:c>
      <x:c r="H23" s="43" t="n">
        <x:v>112519.24999999997</x:v>
      </x:c>
      <x:c r="I23" s="21" t="str">
        <x:v>INTERIOR</x:v>
      </x:c>
    </x:row>
    <x:row r="24">
      <x:c r="A24" s="21" t="str">
        <x:v>NYC-V1-R01</x:v>
      </x:c>
      <x:c r="B24" s="21" t="str">
        <x:v>V1</x:v>
      </x:c>
      <x:c r="C24" s="21" t="str">
        <x:v>disability_65_plus</x:v>
      </x:c>
      <x:c r="D24" s="24" t="n">
        <x:v>3161</x:v>
      </x:c>
      <x:c r="E24" s="43" t="n">
        <x:v>373.59724303051274</x:v>
      </x:c>
      <x:c r="F24" s="43" t="n">
        <x:v>8.46098320843827</x:v>
      </x:c>
      <x:c r="G24" s="43" t="n">
        <x:v>3161</x:v>
      </x:c>
      <x:c r="H24" s="43" t="n">
        <x:v>139574.9</x:v>
      </x:c>
      <x:c r="I24" s="21" t="str">
        <x:v>INTERIOR</x:v>
      </x:c>
    </x:row>
    <x:row r="25">
      <x:c r="A25" s="21" t="str">
        <x:v>NYC-V1-R01</x:v>
      </x:c>
      <x:c r="B25" s="21" t="str">
        <x:v>V1</x:v>
      </x:c>
      <x:c r="C25" s="21" t="str">
        <x:v>hearing_difficulty</x:v>
      </x:c>
      <x:c r="D25" s="24" t="n">
        <x:v>830</x:v>
      </x:c>
      <x:c r="E25" s="43" t="n">
        <x:v>174.05668322462455</x:v>
      </x:c>
      <x:c r="F25" s="43" t="n">
        <x:v>4.768561508947427</x:v>
      </x:c>
      <x:c r="G25" s="43" t="n">
        <x:v>830</x:v>
      </x:c>
      <x:c r="H25" s="43" t="n">
        <x:v>30295.728975157297</x:v>
      </x:c>
      <x:c r="I25" s="21" t="str">
        <x:v>INTERIOR</x:v>
      </x:c>
    </x:row>
    <x:row r="26">
      <x:c r="A26" s="21" t="str">
        <x:v>NYC-V1-R01</x:v>
      </x:c>
      <x:c r="B26" s="21" t="str">
        <x:v>V1</x:v>
      </x:c>
      <x:c r="C26" s="21" t="str">
        <x:v>vision_difficulty</x:v>
      </x:c>
      <x:c r="D26" s="24" t="n">
        <x:v>1215</x:v>
      </x:c>
      <x:c r="E26" s="43" t="n">
        <x:v>318.444148703849</x:v>
      </x:c>
      <x:c r="F26" s="43" t="n">
        <x:v>3.815425734607993</x:v>
      </x:c>
      <x:c r="G26" s="43" t="n">
        <x:v>1215</x:v>
      </x:c>
      <x:c r="H26" s="43" t="n">
        <x:v>101406.6758437191</x:v>
      </x:c>
      <x:c r="I26" s="21" t="str">
        <x:v>INTERIOR</x:v>
      </x:c>
    </x:row>
    <x:row r="27">
      <x:c r="A27" s="21" t="str">
        <x:v>NYC-V1-R01</x:v>
      </x:c>
      <x:c r="B27" s="21" t="str">
        <x:v>V1</x:v>
      </x:c>
      <x:c r="C27" s="21" t="str">
        <x:v>cognitive_difficulty</x:v>
      </x:c>
      <x:c r="D27" s="24" t="n">
        <x:v>2325</x:v>
      </x:c>
      <x:c r="E27" s="43" t="n">
        <x:v>378.09057864089414</x:v>
      </x:c>
      <x:c r="F27" s="43" t="n">
        <x:v>6.1493201136023465</x:v>
      </x:c>
      <x:c r="G27" s="43" t="n">
        <x:v>2325</x:v>
      </x:c>
      <x:c r="H27" s="43" t="n">
        <x:v>142952.48565700615</x:v>
      </x:c>
      <x:c r="I27" s="21" t="str">
        <x:v>INTERIOR</x:v>
      </x:c>
    </x:row>
    <x:row r="28">
      <x:c r="A28" s="21" t="str">
        <x:v>NYC-V1-R01</x:v>
      </x:c>
      <x:c r="B28" s="21" t="str">
        <x:v>V1</x:v>
      </x:c>
      <x:c r="C28" s="21" t="str">
        <x:v>ambulatory_difficulty</x:v>
      </x:c>
      <x:c r="D28" s="24" t="n">
        <x:v>3212</x:v>
      </x:c>
      <x:c r="E28" s="43" t="n">
        <x:v>451.9236596300989</x:v>
      </x:c>
      <x:c r="F28" s="43" t="n">
        <x:v>7.1073950910847055</x:v>
      </x:c>
      <x:c r="G28" s="43" t="n">
        <x:v>3212</x:v>
      </x:c>
      <x:c r="H28" s="43" t="n">
        <x:v>204234.99413346147</x:v>
      </x:c>
      <x:c r="I28" s="21" t="str">
        <x:v>INTERIOR</x:v>
      </x:c>
    </x:row>
    <x:row r="29">
      <x:c r="A29" s="21" t="str">
        <x:v>NYC-V1-R01</x:v>
      </x:c>
      <x:c r="B29" s="21" t="str">
        <x:v>V1</x:v>
      </x:c>
      <x:c r="C29" s="21" t="str">
        <x:v>self_care_difficulty</x:v>
      </x:c>
      <x:c r="D29" s="24" t="n">
        <x:v>1877</x:v>
      </x:c>
      <x:c r="E29" s="43" t="n">
        <x:v>418.90674105005246</x:v>
      </x:c>
      <x:c r="F29" s="43" t="n">
        <x:v>4.480710898313593</x:v>
      </x:c>
      <x:c r="G29" s="43" t="n">
        <x:v>1877</x:v>
      </x:c>
      <x:c r="H29" s="43" t="n">
        <x:v>175482.8576971757</x:v>
      </x:c>
      <x:c r="I29" s="21" t="str">
        <x:v>INTERIOR</x:v>
      </x:c>
    </x:row>
    <x:row r="30">
      <x:c r="A30" s="21" t="str">
        <x:v>NYC-V1-R01</x:v>
      </x:c>
      <x:c r="B30" s="21" t="str">
        <x:v>V1</x:v>
      </x:c>
      <x:c r="C30" s="21" t="str">
        <x:v>independent_living_difficulty</x:v>
      </x:c>
      <x:c r="D30" s="24" t="n">
        <x:v>2673</x:v>
      </x:c>
      <x:c r="E30" s="43" t="n">
        <x:v>439.57000820352414</x:v>
      </x:c>
      <x:c r="F30" s="43" t="n">
        <x:v>6.080942626009146</x:v>
      </x:c>
      <x:c r="G30" s="43" t="n">
        <x:v>2673</x:v>
      </x:c>
      <x:c r="H30" s="43" t="n">
        <x:v>193221.79211204627</x:v>
      </x:c>
      <x:c r="I30" s="21" t="str">
        <x:v>INTERIOR</x:v>
      </x:c>
    </x:row>
    <x:row r="31">
      <x:c r="A31" s="21" t="str">
        <x:v>NYC-V1-R01</x:v>
      </x:c>
      <x:c r="B31" s="21" t="str">
        <x:v>V1</x:v>
      </x:c>
      <x:c r="C31" s="21" t="str">
        <x:v>households</x:v>
      </x:c>
      <x:c r="D31" s="24" t="n">
        <x:v>13224</x:v>
      </x:c>
      <x:c r="E31" s="43" t="n">
        <x:v>575.0797770744508</x:v>
      </x:c>
      <x:c r="F31" s="43" t="n">
        <x:v>22.9950704705236</x:v>
      </x:c>
      <x:c r="G31" s="43" t="n">
        <x:v>13224</x:v>
      </x:c>
      <x:c r="H31" s="43" t="n">
        <x:v>330716.75000000006</x:v>
      </x:c>
      <x:c r="I31" s="21" t="str">
        <x:v>INTERIOR</x:v>
      </x:c>
    </x:row>
    <x:row r="32">
      <x:c r="A32" s="21" t="str">
        <x:v>NYC-V1-R01</x:v>
      </x:c>
      <x:c r="B32" s="21" t="str">
        <x:v>V1</x:v>
      </x:c>
      <x:c r="C32" s="21" t="str">
        <x:v>family_households</x:v>
      </x:c>
      <x:c r="D32" s="24" t="n">
        <x:v>8588</x:v>
      </x:c>
      <x:c r="E32" s="43" t="n">
        <x:v>525.5356315227351</x:v>
      </x:c>
      <x:c r="F32" s="43" t="n">
        <x:v>16.341422892899462</x:v>
      </x:c>
      <x:c r="G32" s="43" t="n">
        <x:v>8588</x:v>
      </x:c>
      <x:c r="H32" s="43" t="n">
        <x:v>276187.7</x:v>
      </x:c>
      <x:c r="I32" s="21" t="str">
        <x:v>INTERIOR</x:v>
      </x:c>
    </x:row>
    <x:row r="33">
      <x:c r="A33" s="21" t="str">
        <x:v>NYC-V1-R01</x:v>
      </x:c>
      <x:c r="B33" s="21" t="str">
        <x:v>V1</x:v>
      </x:c>
      <x:c r="C33" s="21" t="str">
        <x:v>nonfamily_households</x:v>
      </x:c>
      <x:c r="D33" s="24" t="n">
        <x:v>4636</x:v>
      </x:c>
      <x:c r="E33" s="43" t="n">
        <x:v>351.178942990607</x:v>
      </x:c>
      <x:c r="F33" s="43" t="n">
        <x:v>13.201247092209623</x:v>
      </x:c>
      <x:c r="G33" s="43" t="n">
        <x:v>4636</x:v>
      </x:c>
      <x:c r="H33" s="43" t="n">
        <x:v>123326.65000000002</x:v>
      </x:c>
      <x:c r="I33" s="21" t="str">
        <x:v>INTERIOR</x:v>
      </x:c>
    </x:row>
    <x:row r="34">
      <x:c r="A34" s="21" t="str">
        <x:v>NYC-V1-R01</x:v>
      </x:c>
      <x:c r="B34" s="21" t="str">
        <x:v>V1</x:v>
      </x:c>
      <x:c r="C34" s="21" t="str">
        <x:v>living_alone_households</x:v>
      </x:c>
      <x:c r="D34" s="24" t="n">
        <x:v>4174</x:v>
      </x:c>
      <x:c r="E34" s="43" t="n">
        <x:v>368.5016282189266</x:v>
      </x:c>
      <x:c r="F34" s="43" t="n">
        <x:v>11.32695130866621</x:v>
      </x:c>
      <x:c r="G34" s="43" t="n">
        <x:v>4174</x:v>
      </x:c>
      <x:c r="H34" s="43" t="n">
        <x:v>135793.45</x:v>
      </x:c>
      <x:c r="I34" s="21" t="str">
        <x:v>INTERIOR</x:v>
      </x:c>
    </x:row>
    <x:row r="35">
      <x:c r="A35" s="21" t="str">
        <x:v>NYC-V1-R01</x:v>
      </x:c>
      <x:c r="B35" s="21" t="str">
        <x:v>V1</x:v>
      </x:c>
      <x:c r="C35" s="21" t="str">
        <x:v>households_with_children</x:v>
      </x:c>
      <x:c r="D35" s="24" t="n">
        <x:v>2422</x:v>
      </x:c>
      <x:c r="E35" s="43" t="n">
        <x:v>313.107649219881</x:v>
      </x:c>
      <x:c r="F35" s="43" t="n">
        <x:v>7.735358768891467</x:v>
      </x:c>
      <x:c r="G35" s="43" t="n">
        <x:v>2422</x:v>
      </x:c>
      <x:c r="H35" s="43" t="n">
        <x:v>98036.40000000005</x:v>
      </x:c>
      <x:c r="I35" s="21" t="str">
        <x:v>INTERIOR</x:v>
      </x:c>
    </x:row>
    <x:row r="36">
      <x:c r="A36" s="21" t="str">
        <x:v>NYC-V1-R01</x:v>
      </x:c>
      <x:c r="B36" s="21" t="str">
        <x:v>V1</x:v>
      </x:c>
      <x:c r="C36" s="21" t="str">
        <x:v>households_with_age65</x:v>
      </x:c>
      <x:c r="D36" s="24" t="n">
        <x:v>5563</x:v>
      </x:c>
      <x:c r="E36" s="43" t="n">
        <x:v>419.9719038221486</x:v>
      </x:c>
      <x:c r="F36" s="43" t="n">
        <x:v>13.246124203479674</x:v>
      </x:c>
      <x:c r="G36" s="43" t="n">
        <x:v>5563</x:v>
      </x:c>
      <x:c r="H36" s="43" t="n">
        <x:v>176376.40000000002</x:v>
      </x:c>
      <x:c r="I36" s="21" t="str">
        <x:v>INTERIOR</x:v>
      </x:c>
    </x:row>
    <x:row r="37">
      <x:c r="A37" s="21" t="str">
        <x:v>NYC-V1-R01</x:v>
      </x:c>
      <x:c r="B37" s="21" t="str">
        <x:v>V1</x:v>
      </x:c>
      <x:c r="C37" s="21" t="str">
        <x:v>age65_one_person_households</x:v>
      </x:c>
      <x:c r="D37" s="24" t="n">
        <x:v>1388</x:v>
      </x:c>
      <x:c r="E37" s="43" t="n">
        <x:v>197.14905528558842</x:v>
      </x:c>
      <x:c r="F37" s="43" t="n">
        <x:v>7.040358362302854</x:v>
      </x:c>
      <x:c r="G37" s="43" t="n">
        <x:v>1388</x:v>
      </x:c>
      <x:c r="H37" s="43" t="n">
        <x:v>38867.75</x:v>
      </x:c>
      <x:c r="I37" s="21" t="str">
        <x:v>INTERIOR</x:v>
      </x:c>
    </x:row>
    <x:row r="38">
      <x:c r="A38" s="21" t="str">
        <x:v>NYC-V1-R01</x:v>
      </x:c>
      <x:c r="B38" s="21" t="str">
        <x:v>V1</x:v>
      </x:c>
      <x:c r="C38" s="21" t="str">
        <x:v>no_vehicle_households</x:v>
      </x:c>
      <x:c r="D38" s="24" t="n">
        <x:v>8128</x:v>
      </x:c>
      <x:c r="E38" s="43" t="n">
        <x:v>566.0619102478963</x:v>
      </x:c>
      <x:c r="F38" s="43" t="n">
        <x:v>14.358853427252317</x:v>
      </x:c>
      <x:c r="G38" s="43" t="n">
        <x:v>8128</x:v>
      </x:c>
      <x:c r="H38" s="43" t="n">
        <x:v>320426.0862334974</x:v>
      </x:c>
      <x:c r="I38" s="21" t="str">
        <x:v>INTERIOR</x:v>
      </x:c>
    </x:row>
    <x:row r="39">
      <x:c r="A39" s="21" t="str">
        <x:v>NYC-V1-R01</x:v>
      </x:c>
      <x:c r="B39" s="21" t="str">
        <x:v>V1</x:v>
      </x:c>
      <x:c r="C39" s="21" t="str">
        <x:v>limited_english_households</x:v>
      </x:c>
      <x:c r="D39" s="24" t="n">
        <x:v>6661</x:v>
      </x:c>
      <x:c r="E39" s="43" t="n">
        <x:v>530.6008954584992</x:v>
      </x:c>
      <x:c r="F39" s="43" t="n">
        <x:v>12.553691591952823</x:v>
      </x:c>
      <x:c r="G39" s="43" t="n">
        <x:v>6661</x:v>
      </x:c>
      <x:c r="H39" s="43" t="n">
        <x:v>281537.3102613612</x:v>
      </x:c>
      <x:c r="I39" s="21" t="str">
        <x:v>INTERIOR</x:v>
      </x:c>
    </x:row>
    <x:row r="40">
      <x:c r="A40" s="21" t="str">
        <x:v>NYC-V1-R01</x:v>
      </x:c>
      <x:c r="B40" s="21" t="str">
        <x:v>V1</x:v>
      </x:c>
      <x:c r="C40" s="21" t="str">
        <x:v>housing_units</x:v>
      </x:c>
      <x:c r="D40" s="24" t="n">
        <x:v>13683</x:v>
      </x:c>
      <x:c r="E40" s="43" t="n">
        <x:v>568.4572543296462</x:v>
      </x:c>
      <x:c r="F40" s="43" t="n">
        <x:v>24.07041144392764</x:v>
      </x:c>
      <x:c r="G40" s="43" t="n">
        <x:v>13683</x:v>
      </x:c>
      <x:c r="H40" s="43" t="n">
        <x:v>323143.65</x:v>
      </x:c>
      <x:c r="I40" s="21" t="str">
        <x:v>INTERIOR</x:v>
      </x:c>
    </x:row>
    <x:row r="41">
      <x:c r="A41" s="21" t="str">
        <x:v>NYC-V1-R01</x:v>
      </x:c>
      <x:c r="B41" s="21" t="str">
        <x:v>V1</x:v>
      </x:c>
      <x:c r="C41" s="21" t="str">
        <x:v>occupied_housing_units</x:v>
      </x:c>
      <x:c r="D41" s="24" t="n">
        <x:v>13224</x:v>
      </x:c>
      <x:c r="E41" s="43" t="n">
        <x:v>575.0797770744508</x:v>
      </x:c>
      <x:c r="F41" s="43" t="n">
        <x:v>22.9950704705236</x:v>
      </x:c>
      <x:c r="G41" s="43" t="n">
        <x:v>13224</x:v>
      </x:c>
      <x:c r="H41" s="43" t="n">
        <x:v>330716.75000000006</x:v>
      </x:c>
      <x:c r="I41" s="21" t="str">
        <x:v>INTERIOR</x:v>
      </x:c>
    </x:row>
    <x:row r="42">
      <x:c r="A42" s="21" t="str">
        <x:v>NYC-V1-R01</x:v>
      </x:c>
      <x:c r="B42" s="21" t="str">
        <x:v>V1</x:v>
      </x:c>
      <x:c r="C42" s="21" t="str">
        <x:v>vacant_housing_units</x:v>
      </x:c>
      <x:c r="D42" s="24" t="n">
        <x:v>459</x:v>
      </x:c>
      <x:c r="E42" s="43" t="n">
        <x:v>115.48246620158405</x:v>
      </x:c>
      <x:c r="F42" s="43" t="n">
        <x:v>3.9746293536784894</x:v>
      </x:c>
      <x:c r="G42" s="43" t="n">
        <x:v>459</x:v>
      </x:c>
      <x:c r="H42" s="43" t="n">
        <x:v>13336.2</x:v>
      </x:c>
      <x:c r="I42" s="21" t="str">
        <x:v>INTERIOR</x:v>
      </x:c>
    </x:row>
    <x:row r="43">
      <x:c r="A43" s="21" t="str">
        <x:v>NYC-V1-R01</x:v>
      </x:c>
      <x:c r="B43" s="21" t="str">
        <x:v>V1</x:v>
      </x:c>
      <x:c r="C43" s="21" t="str">
        <x:v>owner_occupied_units</x:v>
      </x:c>
      <x:c r="D43" s="24" t="n">
        <x:v>4525</x:v>
      </x:c>
      <x:c r="E43" s="43" t="n">
        <x:v>418.4473211601426</x:v>
      </x:c>
      <x:c r="F43" s="43" t="n">
        <x:v>10.81378651786912</x:v>
      </x:c>
      <x:c r="G43" s="43" t="n">
        <x:v>4525</x:v>
      </x:c>
      <x:c r="H43" s="43" t="n">
        <x:v>175098.16058609955</x:v>
      </x:c>
      <x:c r="I43" s="21" t="str">
        <x:v>INTERIOR</x:v>
      </x:c>
    </x:row>
    <x:row r="44">
      <x:c r="A44" s="21" t="str">
        <x:v>NYC-V1-R01</x:v>
      </x:c>
      <x:c r="B44" s="21" t="str">
        <x:v>V1</x:v>
      </x:c>
      <x:c r="C44" s="21" t="str">
        <x:v>renter_occupied_units</x:v>
      </x:c>
      <x:c r="D44" s="24" t="n">
        <x:v>8699</x:v>
      </x:c>
      <x:c r="E44" s="43" t="n">
        <x:v>522.1969420174196</x:v>
      </x:c>
      <x:c r="F44" s="43" t="n">
        <x:v>16.65846599252934</x:v>
      </x:c>
      <x:c r="G44" s="43" t="n">
        <x:v>8699</x:v>
      </x:c>
      <x:c r="H44" s="43" t="n">
        <x:v>272689.64625234425</x:v>
      </x:c>
      <x:c r="I44" s="21" t="str">
        <x:v>INTERIOR</x:v>
      </x:c>
    </x:row>
    <x:row r="45">
      <x:c r="A45" s="21" t="str">
        <x:v>NYC-V1-R01</x:v>
      </x:c>
      <x:c r="B45" s="21" t="str">
        <x:v>V1</x:v>
      </x:c>
      <x:c r="C45" s="21" t="str">
        <x:v>one_unit_structures</x:v>
      </x:c>
      <x:c r="D45" s="24" t="n">
        <x:v>471</x:v>
      </x:c>
      <x:c r="E45" s="43" t="n">
        <x:v>121.7809897861934</x:v>
      </x:c>
      <x:c r="F45" s="43" t="n">
        <x:v>3.867598718214708</x:v>
      </x:c>
      <x:c r="G45" s="43" t="n">
        <x:v>471</x:v>
      </x:c>
      <x:c r="H45" s="43" t="n">
        <x:v>14830.609473304941</x:v>
      </x:c>
      <x:c r="I45" s="21" t="str">
        <x:v>INTERIOR</x:v>
      </x:c>
    </x:row>
    <x:row r="46">
      <x:c r="A46" s="21" t="str">
        <x:v>NYC-V1-R01</x:v>
      </x:c>
      <x:c r="B46" s="21" t="str">
        <x:v>V1</x:v>
      </x:c>
      <x:c r="C46" s="21" t="str">
        <x:v>two_to_four_unit_structures</x:v>
      </x:c>
      <x:c r="D46" s="24" t="n">
        <x:v>685</x:v>
      </x:c>
      <x:c r="E46" s="43" t="n">
        <x:v>178.5599815253613</x:v>
      </x:c>
      <x:c r="F46" s="43" t="n">
        <x:v>3.8362459166289047</x:v>
      </x:c>
      <x:c r="G46" s="43" t="n">
        <x:v>685</x:v>
      </x:c>
      <x:c r="H46" s="43" t="n">
        <x:v>31883.667002337374</x:v>
      </x:c>
      <x:c r="I46" s="21" t="str">
        <x:v>INTERIOR</x:v>
      </x:c>
    </x:row>
    <x:row r="47">
      <x:c r="A47" s="21" t="str">
        <x:v>NYC-V1-R01</x:v>
      </x:c>
      <x:c r="B47" s="21" t="str">
        <x:v>V1</x:v>
      </x:c>
      <x:c r="C47" s="21" t="str">
        <x:v>five_to_nineteen_unit_structures</x:v>
      </x:c>
      <x:c r="D47" s="24" t="n">
        <x:v>418</x:v>
      </x:c>
      <x:c r="E47" s="43" t="n">
        <x:v>142.3453290404149</x:v>
      </x:c>
      <x:c r="F47" s="43" t="n">
        <x:v>2.9365206629387948</x:v>
      </x:c>
      <x:c r="G47" s="43" t="n">
        <x:v>418</x:v>
      </x:c>
      <x:c r="H47" s="43" t="n">
        <x:v>20262.192699623985</x:v>
      </x:c>
      <x:c r="I47" s="21" t="str">
        <x:v>INTERIOR</x:v>
      </x:c>
    </x:row>
    <x:row r="48">
      <x:c r="A48" s="21" t="str">
        <x:v>NYC-V1-R01</x:v>
      </x:c>
      <x:c r="B48" s="21" t="str">
        <x:v>V1</x:v>
      </x:c>
      <x:c r="C48" s="21" t="str">
        <x:v>twenty_to_forty_nine_unit_structures</x:v>
      </x:c>
      <x:c r="D48" s="24" t="n">
        <x:v>2661</x:v>
      </x:c>
      <x:c r="E48" s="43" t="n">
        <x:v>338.91272635885014</x:v>
      </x:c>
      <x:c r="F48" s="43" t="n">
        <x:v>7.851578866892298</x:v>
      </x:c>
      <x:c r="G48" s="43" t="n">
        <x:v>2661</x:v>
      </x:c>
      <x:c r="H48" s="43" t="n">
        <x:v>114861.83608798884</x:v>
      </x:c>
      <x:c r="I48" s="21" t="str">
        <x:v>INTERIOR</x:v>
      </x:c>
    </x:row>
    <x:row r="49">
      <x:c r="A49" s="21" t="str">
        <x:v>NYC-V1-R01</x:v>
      </x:c>
      <x:c r="B49" s="21" t="str">
        <x:v>V1</x:v>
      </x:c>
      <x:c r="C49" s="21" t="str">
        <x:v>fifty_plus_unit_structures</x:v>
      </x:c>
      <x:c r="D49" s="24" t="n">
        <x:v>8970</x:v>
      </x:c>
      <x:c r="E49" s="43" t="n">
        <x:v>612.9121864407799</x:v>
      </x:c>
      <x:c r="F49" s="43" t="n">
        <x:v>14.635049193734197</x:v>
      </x:c>
      <x:c r="G49" s="43" t="n">
        <x:v>8970</x:v>
      </x:c>
      <x:c r="H49" s="43" t="n">
        <x:v>375661.3482876174</x:v>
      </x:c>
      <x:c r="I49" s="21" t="str">
        <x:v>INTERIOR</x:v>
      </x:c>
    </x:row>
    <x:row r="50">
      <x:c r="A50" s="21" t="str">
        <x:v>NYC-V1-R01</x:v>
      </x:c>
      <x:c r="B50" s="21" t="str">
        <x:v>V1</x:v>
      </x:c>
      <x:c r="C50" s="21" t="str">
        <x:v>mobile_or_other_units</x:v>
      </x:c>
      <x:c r="D50" s="24" t="n">
        <x:v>19</x:v>
      </x:c>
      <x:c r="E50" s="43" t="n">
        <x:v>53.97341045489283</x:v>
      </x:c>
      <x:c r="F50" s="43" t="n">
        <x:v>0.3520251886969207</x:v>
      </x:c>
      <x:c r="G50" s="43" t="n">
        <x:v>19</x:v>
      </x:c>
      <x:c r="H50" s="43" t="n">
        <x:v>2913.1290361323345</x:v>
      </x:c>
      <x:c r="I50" s="21" t="str">
        <x:v>BOUNDARY_SENSITIVE</x:v>
      </x:c>
    </x:row>
    <x:row r="51">
      <x:c r="A51" s="21" t="str">
        <x:v>NYC-V1-R01</x:v>
      </x:c>
      <x:c r="B51" s="21" t="str">
        <x:v>V1</x:v>
      </x:c>
      <x:c r="C51" s="21" t="str">
        <x:v>electric_heat_households</x:v>
      </x:c>
      <x:c r="D51" s="24" t="n">
        <x:v>1721</x:v>
      </x:c>
      <x:c r="E51" s="43" t="n">
        <x:v>229.36270403010164</x:v>
      </x:c>
      <x:c r="F51" s="43" t="n">
        <x:v>7.5033995055017115</x:v>
      </x:c>
      <x:c r="G51" s="43" t="n">
        <x:v>1721</x:v>
      </x:c>
      <x:c r="H51" s="43" t="n">
        <x:v>52607.25</x:v>
      </x:c>
      <x:c r="I51" s="21" t="str">
        <x:v>INTERIOR</x:v>
      </x:c>
    </x:row>
    <x:row r="52">
      <x:c r="A52" s="21" t="str">
        <x:v>NYC-V1-R01</x:v>
      </x:c>
      <x:c r="B52" s="21" t="str">
        <x:v>V1</x:v>
      </x:c>
      <x:c r="C52" s="21" t="str">
        <x:v>group_quarters_population</x:v>
      </x:c>
      <x:c r="D52" s="24" t="n">
        <x:v>441</x:v>
      </x:c>
      <x:c r="E52" s="43" t="n">
        <x:v>6.1359595826569775</x:v>
      </x:c>
      <x:c r="F52" s="43" t="n">
        <x:v>71.87139909566342</x:v>
      </x:c>
      <x:c r="G52" s="43" t="n">
        <x:v>441</x:v>
      </x:c>
      <x:c r="H52" s="43" t="n">
        <x:v>37.64999999999999</x:v>
      </x:c>
      <x:c r="I52" s="21" t="str">
        <x:v>INTERIOR</x:v>
      </x:c>
    </x:row>
    <x:row r="53">
      <x:c r="A53" s="21" t="str">
        <x:v>NYC-V1-R02</x:v>
      </x:c>
      <x:c r="B53" s="21" t="str">
        <x:v>V1</x:v>
      </x:c>
      <x:c r="C53" s="21" t="str">
        <x:v>acs_population</x:v>
      </x:c>
      <x:c r="D53" s="24" t="n">
        <x:v>31462</x:v>
      </x:c>
      <x:c r="E53" s="43" t="n">
        <x:v>1902.066323764763</x:v>
      </x:c>
      <x:c r="F53" s="43" t="n">
        <x:v>16.540958433945253</x:v>
      </x:c>
      <x:c r="G53" s="43" t="n">
        <x:v>31462</x:v>
      </x:c>
      <x:c r="H53" s="43" t="n">
        <x:v>3617856.3000000003</x:v>
      </x:c>
      <x:c r="I53" s="21" t="str">
        <x:v>INTERIOR</x:v>
      </x:c>
    </x:row>
    <x:row r="54">
      <x:c r="A54" s="21" t="str">
        <x:v>NYC-V1-R02</x:v>
      </x:c>
      <x:c r="B54" s="21" t="str">
        <x:v>V1</x:v>
      </x:c>
      <x:c r="C54" s="21" t="str">
        <x:v>age_under_18</x:v>
      </x:c>
      <x:c r="D54" s="24" t="n">
        <x:v>4335</x:v>
      </x:c>
      <x:c r="E54" s="43" t="n">
        <x:v>583.8060465599856</x:v>
      </x:c>
      <x:c r="F54" s="43" t="n">
        <x:v>7.425411274075563</x:v>
      </x:c>
      <x:c r="G54" s="43" t="n">
        <x:v>4335</x:v>
      </x:c>
      <x:c r="H54" s="43" t="n">
        <x:v>340829.50000000006</x:v>
      </x:c>
      <x:c r="I54" s="21" t="str">
        <x:v>INTERIOR</x:v>
      </x:c>
    </x:row>
    <x:row r="55">
      <x:c r="A55" s="21" t="str">
        <x:v>NYC-V1-R02</x:v>
      </x:c>
      <x:c r="B55" s="21" t="str">
        <x:v>V1</x:v>
      </x:c>
      <x:c r="C55" s="21" t="str">
        <x:v>age_under_5</x:v>
      </x:c>
      <x:c r="D55" s="24" t="n">
        <x:v>1588</x:v>
      </x:c>
      <x:c r="E55" s="43" t="n">
        <x:v>282.2957668828918</x:v>
      </x:c>
      <x:c r="F55" s="43" t="n">
        <x:v>5.62530574770811</x:v>
      </x:c>
      <x:c r="G55" s="43" t="n">
        <x:v>1588</x:v>
      </x:c>
      <x:c r="H55" s="43" t="n">
        <x:v>79690.90000000001</x:v>
      </x:c>
      <x:c r="I55" s="21" t="str">
        <x:v>INTERIOR</x:v>
      </x:c>
    </x:row>
    <x:row r="56">
      <x:c r="A56" s="21" t="str">
        <x:v>NYC-V1-R02</x:v>
      </x:c>
      <x:c r="B56" s="21" t="str">
        <x:v>V1</x:v>
      </x:c>
      <x:c r="C56" s="21" t="str">
        <x:v>age_65_plus</x:v>
      </x:c>
      <x:c r="D56" s="24" t="n">
        <x:v>7247</x:v>
      </x:c>
      <x:c r="E56" s="43" t="n">
        <x:v>528.4720427799374</x:v>
      </x:c>
      <x:c r="F56" s="43" t="n">
        <x:v>13.71311897953653</x:v>
      </x:c>
      <x:c r="G56" s="43" t="n">
        <x:v>7247</x:v>
      </x:c>
      <x:c r="H56" s="43" t="n">
        <x:v>279282.69999999995</x:v>
      </x:c>
      <x:c r="I56" s="21" t="str">
        <x:v>INTERIOR</x:v>
      </x:c>
    </x:row>
    <x:row r="57">
      <x:c r="A57" s="21" t="str">
        <x:v>NYC-V1-R02</x:v>
      </x:c>
      <x:c r="B57" s="21" t="str">
        <x:v>V1</x:v>
      </x:c>
      <x:c r="C57" s="21" t="str">
        <x:v>age_75_plus</x:v>
      </x:c>
      <x:c r="D57" s="24" t="n">
        <x:v>3662</x:v>
      </x:c>
      <x:c r="E57" s="43" t="n">
        <x:v>421.7290599425181</x:v>
      </x:c>
      <x:c r="F57" s="43" t="n">
        <x:v>8.68330012757274</x:v>
      </x:c>
      <x:c r="G57" s="43" t="n">
        <x:v>3662</x:v>
      </x:c>
      <x:c r="H57" s="43" t="n">
        <x:v>177855.40000000005</x:v>
      </x:c>
      <x:c r="I57" s="21" t="str">
        <x:v>INTERIOR</x:v>
      </x:c>
    </x:row>
    <x:row r="58">
      <x:c r="A58" s="21" t="str">
        <x:v>NYC-V1-R02</x:v>
      </x:c>
      <x:c r="B58" s="21" t="str">
        <x:v>V1</x:v>
      </x:c>
      <x:c r="C58" s="21" t="str">
        <x:v>age_85_plus</x:v>
      </x:c>
      <x:c r="D58" s="24" t="n">
        <x:v>1218</x:v>
      </x:c>
      <x:c r="E58" s="43" t="n">
        <x:v>296.73860550996733</x:v>
      </x:c>
      <x:c r="F58" s="43" t="n">
        <x:v>4.104622645600078</x:v>
      </x:c>
      <x:c r="G58" s="43" t="n">
        <x:v>1218</x:v>
      </x:c>
      <x:c r="H58" s="43" t="n">
        <x:v>88053.80000000002</x:v>
      </x:c>
      <x:c r="I58" s="21" t="str">
        <x:v>INTERIOR</x:v>
      </x:c>
    </x:row>
    <x:row r="59">
      <x:c r="A59" s="21" t="str">
        <x:v>NYC-V1-R02</x:v>
      </x:c>
      <x:c r="B59" s="21" t="str">
        <x:v>V1</x:v>
      </x:c>
      <x:c r="C59" s="21" t="str">
        <x:v>civilian_noninstitutionalized</x:v>
      </x:c>
      <x:c r="D59" s="24" t="n">
        <x:v>31415</x:v>
      </x:c>
      <x:c r="E59" s="43" t="n">
        <x:v>1901.7794693391766</x:v>
      </x:c>
      <x:c r="F59" s="43" t="n">
        <x:v>16.518739689053415</x:v>
      </x:c>
      <x:c r="G59" s="43" t="n">
        <x:v>31415</x:v>
      </x:c>
      <x:c r="H59" s="43" t="n">
        <x:v>3616765.15</x:v>
      </x:c>
      <x:c r="I59" s="21" t="str">
        <x:v>INTERIOR</x:v>
      </x:c>
    </x:row>
    <x:row r="60">
      <x:c r="A60" s="21" t="str">
        <x:v>NYC-V1-R02</x:v>
      </x:c>
      <x:c r="B60" s="21" t="str">
        <x:v>V1</x:v>
      </x:c>
      <x:c r="C60" s="21" t="str">
        <x:v>any_disability</x:v>
      </x:c>
      <x:c r="D60" s="24" t="n">
        <x:v>3619</x:v>
      </x:c>
      <x:c r="E60" s="43" t="n">
        <x:v>391.2781619257584</x:v>
      </x:c>
      <x:c r="F60" s="43" t="n">
        <x:v>9.249174505902205</x:v>
      </x:c>
      <x:c r="G60" s="43" t="n">
        <x:v>3619</x:v>
      </x:c>
      <x:c r="H60" s="43" t="n">
        <x:v>153098.6</x:v>
      </x:c>
      <x:c r="I60" s="21" t="str">
        <x:v>INTERIOR</x:v>
      </x:c>
    </x:row>
    <x:row r="61">
      <x:c r="A61" s="21" t="str">
        <x:v>NYC-V1-R02</x:v>
      </x:c>
      <x:c r="B61" s="21" t="str">
        <x:v>V1</x:v>
      </x:c>
      <x:c r="C61" s="21" t="str">
        <x:v>disability_under_18</x:v>
      </x:c>
      <x:c r="D61" s="24" t="n">
        <x:v>61</x:v>
      </x:c>
      <x:c r="E61" s="43" t="n">
        <x:v>36.54449342924321</x:v>
      </x:c>
      <x:c r="F61" s="43" t="n">
        <x:v>1.6691981274308016</x:v>
      </x:c>
      <x:c r="G61" s="43" t="n">
        <x:v>61</x:v>
      </x:c>
      <x:c r="H61" s="43" t="n">
        <x:v>1335.5000000000002</x:v>
      </x:c>
      <x:c r="I61" s="21" t="str">
        <x:v>BOUNDARY_SENSITIVE</x:v>
      </x:c>
    </x:row>
    <x:row r="62">
      <x:c r="A62" s="21" t="str">
        <x:v>NYC-V1-R02</x:v>
      </x:c>
      <x:c r="B62" s="21" t="str">
        <x:v>V1</x:v>
      </x:c>
      <x:c r="C62" s="21" t="str">
        <x:v>disability_18_64</x:v>
      </x:c>
      <x:c r="D62" s="24" t="n">
        <x:v>1399</x:v>
      </x:c>
      <x:c r="E62" s="43" t="n">
        <x:v>259.8615977785098</x:v>
      </x:c>
      <x:c r="F62" s="43" t="n">
        <x:v>5.383635027105553</x:v>
      </x:c>
      <x:c r="G62" s="43" t="n">
        <x:v>1399</x:v>
      </x:c>
      <x:c r="H62" s="43" t="n">
        <x:v>67528.05000000002</x:v>
      </x:c>
      <x:c r="I62" s="21" t="str">
        <x:v>INTERIOR</x:v>
      </x:c>
    </x:row>
    <x:row r="63">
      <x:c r="A63" s="21" t="str">
        <x:v>NYC-V1-R02</x:v>
      </x:c>
      <x:c r="B63" s="21" t="str">
        <x:v>V1</x:v>
      </x:c>
      <x:c r="C63" s="21" t="str">
        <x:v>disability_65_plus</x:v>
      </x:c>
      <x:c r="D63" s="24" t="n">
        <x:v>2159</x:v>
      </x:c>
      <x:c r="E63" s="43" t="n">
        <x:v>254.18034935848212</x:v>
      </x:c>
      <x:c r="F63" s="43" t="n">
        <x:v>8.493968969076613</x:v>
      </x:c>
      <x:c r="G63" s="43" t="n">
        <x:v>2159</x:v>
      </x:c>
      <x:c r="H63" s="43" t="n">
        <x:v>64607.65000000002</x:v>
      </x:c>
      <x:c r="I63" s="21" t="str">
        <x:v>INTERIOR</x:v>
      </x:c>
    </x:row>
    <x:row r="64">
      <x:c r="A64" s="21" t="str">
        <x:v>NYC-V1-R02</x:v>
      </x:c>
      <x:c r="B64" s="21" t="str">
        <x:v>V1</x:v>
      </x:c>
      <x:c r="C64" s="21" t="str">
        <x:v>hearing_difficulty</x:v>
      </x:c>
      <x:c r="D64" s="24" t="n">
        <x:v>610</x:v>
      </x:c>
      <x:c r="E64" s="43" t="n">
        <x:v>159.3261927327932</x:v>
      </x:c>
      <x:c r="F64" s="43" t="n">
        <x:v>3.828623464460952</x:v>
      </x:c>
      <x:c r="G64" s="43" t="n">
        <x:v>610</x:v>
      </x:c>
      <x:c r="H64" s="43" t="n">
        <x:v>25384.835690727166</x:v>
      </x:c>
      <x:c r="I64" s="21" t="str">
        <x:v>INTERIOR</x:v>
      </x:c>
    </x:row>
    <x:row r="65">
      <x:c r="A65" s="21" t="str">
        <x:v>NYC-V1-R02</x:v>
      </x:c>
      <x:c r="B65" s="21" t="str">
        <x:v>V1</x:v>
      </x:c>
      <x:c r="C65" s="21" t="str">
        <x:v>vision_difficulty</x:v>
      </x:c>
      <x:c r="D65" s="24" t="n">
        <x:v>531</x:v>
      </x:c>
      <x:c r="E65" s="43" t="n">
        <x:v>160.76240414410304</x:v>
      </x:c>
      <x:c r="F65" s="43" t="n">
        <x:v>3.3030110667169796</x:v>
      </x:c>
      <x:c r="G65" s="43" t="n">
        <x:v>531</x:v>
      </x:c>
      <x:c r="H65" s="43" t="n">
        <x:v>25844.55058619192</x:v>
      </x:c>
      <x:c r="I65" s="21" t="str">
        <x:v>INTERIOR</x:v>
      </x:c>
    </x:row>
    <x:row r="66">
      <x:c r="A66" s="21" t="str">
        <x:v>NYC-V1-R02</x:v>
      </x:c>
      <x:c r="B66" s="21" t="str">
        <x:v>V1</x:v>
      </x:c>
      <x:c r="C66" s="21" t="str">
        <x:v>cognitive_difficulty</x:v>
      </x:c>
      <x:c r="D66" s="24" t="n">
        <x:v>1429</x:v>
      </x:c>
      <x:c r="E66" s="43" t="n">
        <x:v>243.67953849735702</x:v>
      </x:c>
      <x:c r="F66" s="43" t="n">
        <x:v>5.8642593006039325</x:v>
      </x:c>
      <x:c r="G66" s="43" t="n">
        <x:v>1429</x:v>
      </x:c>
      <x:c r="H66" s="43" t="n">
        <x:v>59379.7174822849</x:v>
      </x:c>
      <x:c r="I66" s="21" t="str">
        <x:v>INTERIOR</x:v>
      </x:c>
    </x:row>
    <x:row r="67">
      <x:c r="A67" s="21" t="str">
        <x:v>NYC-V1-R02</x:v>
      </x:c>
      <x:c r="B67" s="21" t="str">
        <x:v>V1</x:v>
      </x:c>
      <x:c r="C67" s="21" t="str">
        <x:v>ambulatory_difficulty</x:v>
      </x:c>
      <x:c r="D67" s="24" t="n">
        <x:v>1588</x:v>
      </x:c>
      <x:c r="E67" s="43" t="n">
        <x:v>252.55414076402417</x:v>
      </x:c>
      <x:c r="F67" s="43" t="n">
        <x:v>6.287760696363951</x:v>
      </x:c>
      <x:c r="G67" s="43" t="n">
        <x:v>1588</x:v>
      </x:c>
      <x:c r="H67" s="43" t="n">
        <x:v>63783.59401705454</x:v>
      </x:c>
      <x:c r="I67" s="21" t="str">
        <x:v>INTERIOR</x:v>
      </x:c>
    </x:row>
    <x:row r="68">
      <x:c r="A68" s="21" t="str">
        <x:v>NYC-V1-R02</x:v>
      </x:c>
      <x:c r="B68" s="21" t="str">
        <x:v>V1</x:v>
      </x:c>
      <x:c r="C68" s="21" t="str">
        <x:v>self_care_difficulty</x:v>
      </x:c>
      <x:c r="D68" s="24" t="n">
        <x:v>962</x:v>
      </x:c>
      <x:c r="E68" s="43" t="n">
        <x:v>226.3644013415805</x:v>
      </x:c>
      <x:c r="F68" s="43" t="n">
        <x:v>4.249784834976576</x:v>
      </x:c>
      <x:c r="G68" s="43" t="n">
        <x:v>962</x:v>
      </x:c>
      <x:c r="H68" s="43" t="n">
        <x:v>51240.84219473213</x:v>
      </x:c>
      <x:c r="I68" s="21" t="str">
        <x:v>INTERIOR</x:v>
      </x:c>
    </x:row>
    <x:row r="69">
      <x:c r="A69" s="21" t="str">
        <x:v>NYC-V1-R02</x:v>
      </x:c>
      <x:c r="B69" s="21" t="str">
        <x:v>V1</x:v>
      </x:c>
      <x:c r="C69" s="21" t="str">
        <x:v>independent_living_difficulty</x:v>
      </x:c>
      <x:c r="D69" s="24" t="n">
        <x:v>1341</x:v>
      </x:c>
      <x:c r="E69" s="43" t="n">
        <x:v>248.67383217578617</x:v>
      </x:c>
      <x:c r="F69" s="43" t="n">
        <x:v>5.392606002275521</x:v>
      </x:c>
      <x:c r="G69" s="43" t="n">
        <x:v>1341</x:v>
      </x:c>
      <x:c r="H69" s="43" t="n">
        <x:v>61838.67480899107</x:v>
      </x:c>
      <x:c r="I69" s="21" t="str">
        <x:v>INTERIOR</x:v>
      </x:c>
    </x:row>
    <x:row r="70">
      <x:c r="A70" s="21" t="str">
        <x:v>NYC-V1-R02</x:v>
      </x:c>
      <x:c r="B70" s="21" t="str">
        <x:v>V1</x:v>
      </x:c>
      <x:c r="C70" s="21" t="str">
        <x:v>households</x:v>
      </x:c>
      <x:c r="D70" s="24" t="n">
        <x:v>14621</x:v>
      </x:c>
      <x:c r="E70" s="43" t="n">
        <x:v>510.4494098341186</x:v>
      </x:c>
      <x:c r="F70" s="43" t="n">
        <x:v>28.643387019981873</x:v>
      </x:c>
      <x:c r="G70" s="43" t="n">
        <x:v>14621</x:v>
      </x:c>
      <x:c r="H70" s="43" t="n">
        <x:v>260558.6</x:v>
      </x:c>
      <x:c r="I70" s="21" t="str">
        <x:v>INTERIOR</x:v>
      </x:c>
    </x:row>
    <x:row r="71">
      <x:c r="A71" s="21" t="str">
        <x:v>NYC-V1-R02</x:v>
      </x:c>
      <x:c r="B71" s="21" t="str">
        <x:v>V1</x:v>
      </x:c>
      <x:c r="C71" s="21" t="str">
        <x:v>family_households</x:v>
      </x:c>
      <x:c r="D71" s="24" t="n">
        <x:v>6590</x:v>
      </x:c>
      <x:c r="E71" s="43" t="n">
        <x:v>458.1431544833995</x:v>
      </x:c>
      <x:c r="F71" s="43" t="n">
        <x:v>14.384150315267417</x:v>
      </x:c>
      <x:c r="G71" s="43" t="n">
        <x:v>6590</x:v>
      </x:c>
      <x:c r="H71" s="43" t="n">
        <x:v>209895.15000000005</x:v>
      </x:c>
      <x:c r="I71" s="21" t="str">
        <x:v>INTERIOR</x:v>
      </x:c>
    </x:row>
    <x:row r="72">
      <x:c r="A72" s="21" t="str">
        <x:v>NYC-V1-R02</x:v>
      </x:c>
      <x:c r="B72" s="21" t="str">
        <x:v>V1</x:v>
      </x:c>
      <x:c r="C72" s="21" t="str">
        <x:v>nonfamily_households</x:v>
      </x:c>
      <x:c r="D72" s="24" t="n">
        <x:v>8031</x:v>
      </x:c>
      <x:c r="E72" s="43" t="n">
        <x:v>538.7815420000949</x:v>
      </x:c>
      <x:c r="F72" s="43" t="n">
        <x:v>14.905855850567697</x:v>
      </x:c>
      <x:c r="G72" s="43" t="n">
        <x:v>8031</x:v>
      </x:c>
      <x:c r="H72" s="43" t="n">
        <x:v>290285.55</x:v>
      </x:c>
      <x:c r="I72" s="21" t="str">
        <x:v>INTERIOR</x:v>
      </x:c>
    </x:row>
    <x:row r="73">
      <x:c r="A73" s="21" t="str">
        <x:v>NYC-V1-R02</x:v>
      </x:c>
      <x:c r="B73" s="21" t="str">
        <x:v>V1</x:v>
      </x:c>
      <x:c r="C73" s="21" t="str">
        <x:v>living_alone_households</x:v>
      </x:c>
      <x:c r="D73" s="24" t="n">
        <x:v>6602</x:v>
      </x:c>
      <x:c r="E73" s="43" t="n">
        <x:v>512.4839021862052</x:v>
      </x:c>
      <x:c r="F73" s="43" t="n">
        <x:v>12.88235585905533</x:v>
      </x:c>
      <x:c r="G73" s="43" t="n">
        <x:v>6602</x:v>
      </x:c>
      <x:c r="H73" s="43" t="n">
        <x:v>262639.74999999994</x:v>
      </x:c>
      <x:c r="I73" s="21" t="str">
        <x:v>INTERIOR</x:v>
      </x:c>
    </x:row>
    <x:row r="74">
      <x:c r="A74" s="21" t="str">
        <x:v>NYC-V1-R02</x:v>
      </x:c>
      <x:c r="B74" s="21" t="str">
        <x:v>V1</x:v>
      </x:c>
      <x:c r="C74" s="21" t="str">
        <x:v>households_with_children</x:v>
      </x:c>
      <x:c r="D74" s="24" t="n">
        <x:v>2617</x:v>
      </x:c>
      <x:c r="E74" s="43" t="n">
        <x:v>342.0109647365125</x:v>
      </x:c>
      <x:c r="F74" s="43" t="n">
        <x:v>7.651801462026675</x:v>
      </x:c>
      <x:c r="G74" s="43" t="n">
        <x:v>2617</x:v>
      </x:c>
      <x:c r="H74" s="43" t="n">
        <x:v>116971.5</x:v>
      </x:c>
      <x:c r="I74" s="21" t="str">
        <x:v>INTERIOR</x:v>
      </x:c>
    </x:row>
    <x:row r="75">
      <x:c r="A75" s="21" t="str">
        <x:v>NYC-V1-R02</x:v>
      </x:c>
      <x:c r="B75" s="21" t="str">
        <x:v>V1</x:v>
      </x:c>
      <x:c r="C75" s="21" t="str">
        <x:v>households_with_age65</x:v>
      </x:c>
      <x:c r="D75" s="24" t="n">
        <x:v>5726</x:v>
      </x:c>
      <x:c r="E75" s="43" t="n">
        <x:v>463.8448016308903</x:v>
      </x:c>
      <x:c r="F75" s="43" t="n">
        <x:v>12.344646269328095</x:v>
      </x:c>
      <x:c r="G75" s="43" t="n">
        <x:v>5726</x:v>
      </x:c>
      <x:c r="H75" s="43" t="n">
        <x:v>215151.99999999997</x:v>
      </x:c>
      <x:c r="I75" s="21" t="str">
        <x:v>INTERIOR</x:v>
      </x:c>
    </x:row>
    <x:row r="76">
      <x:c r="A76" s="21" t="str">
        <x:v>NYC-V1-R02</x:v>
      </x:c>
      <x:c r="B76" s="21" t="str">
        <x:v>V1</x:v>
      </x:c>
      <x:c r="C76" s="21" t="str">
        <x:v>age65_one_person_households</x:v>
      </x:c>
      <x:c r="D76" s="24" t="n">
        <x:v>3253</x:v>
      </x:c>
      <x:c r="E76" s="43" t="n">
        <x:v>408.5268045061426</x:v>
      </x:c>
      <x:c r="F76" s="43" t="n">
        <x:v>7.96275780222663</x:v>
      </x:c>
      <x:c r="G76" s="43" t="n">
        <x:v>3253</x:v>
      </x:c>
      <x:c r="H76" s="43" t="n">
        <x:v>166894.15000000005</x:v>
      </x:c>
      <x:c r="I76" s="21" t="str">
        <x:v>INTERIOR</x:v>
      </x:c>
    </x:row>
    <x:row r="77">
      <x:c r="A77" s="21" t="str">
        <x:v>NYC-V1-R02</x:v>
      </x:c>
      <x:c r="B77" s="21" t="str">
        <x:v>V1</x:v>
      </x:c>
      <x:c r="C77" s="21" t="str">
        <x:v>no_vehicle_households</x:v>
      </x:c>
      <x:c r="D77" s="24" t="n">
        <x:v>10894</x:v>
      </x:c>
      <x:c r="E77" s="43" t="n">
        <x:v>556.9533735095523</x:v>
      </x:c>
      <x:c r="F77" s="43" t="n">
        <x:v>19.559985661552254</x:v>
      </x:c>
      <x:c r="G77" s="43" t="n">
        <x:v>10894</x:v>
      </x:c>
      <x:c r="H77" s="43" t="n">
        <x:v>310197.06026367086</x:v>
      </x:c>
      <x:c r="I77" s="21" t="str">
        <x:v>INTERIOR</x:v>
      </x:c>
    </x:row>
    <x:row r="78">
      <x:c r="A78" s="21" t="str">
        <x:v>NYC-V1-R02</x:v>
      </x:c>
      <x:c r="B78" s="21" t="str">
        <x:v>V1</x:v>
      </x:c>
      <x:c r="C78" s="21" t="str">
        <x:v>limited_english_households</x:v>
      </x:c>
      <x:c r="D78" s="24" t="n">
        <x:v>820</x:v>
      </x:c>
      <x:c r="E78" s="43" t="n">
        <x:v>204.64032321155315</x:v>
      </x:c>
      <x:c r="F78" s="43" t="n">
        <x:v>4.007030418693681</x:v>
      </x:c>
      <x:c r="G78" s="43" t="n">
        <x:v>820</x:v>
      </x:c>
      <x:c r="H78" s="43" t="n">
        <x:v>41877.66188412894</x:v>
      </x:c>
      <x:c r="I78" s="21" t="str">
        <x:v>INTERIOR</x:v>
      </x:c>
    </x:row>
    <x:row r="79">
      <x:c r="A79" s="21" t="str">
        <x:v>NYC-V1-R02</x:v>
      </x:c>
      <x:c r="B79" s="21" t="str">
        <x:v>V1</x:v>
      </x:c>
      <x:c r="C79" s="21" t="str">
        <x:v>housing_units</x:v>
      </x:c>
      <x:c r="D79" s="24" t="n">
        <x:v>17007</x:v>
      </x:c>
      <x:c r="E79" s="43" t="n">
        <x:v>460.6189857137893</x:v>
      </x:c>
      <x:c r="F79" s="43" t="n">
        <x:v>36.92205603215732</x:v>
      </x:c>
      <x:c r="G79" s="43" t="n">
        <x:v>17007</x:v>
      </x:c>
      <x:c r="H79" s="43" t="n">
        <x:v>212169.85000000003</x:v>
      </x:c>
      <x:c r="I79" s="21" t="str">
        <x:v>INTERIOR</x:v>
      </x:c>
    </x:row>
    <x:row r="80">
      <x:c r="A80" s="21" t="str">
        <x:v>NYC-V1-R02</x:v>
      </x:c>
      <x:c r="B80" s="21" t="str">
        <x:v>V1</x:v>
      </x:c>
      <x:c r="C80" s="21" t="str">
        <x:v>occupied_housing_units</x:v>
      </x:c>
      <x:c r="D80" s="24" t="n">
        <x:v>14621</x:v>
      </x:c>
      <x:c r="E80" s="43" t="n">
        <x:v>510.4494098341186</x:v>
      </x:c>
      <x:c r="F80" s="43" t="n">
        <x:v>28.643387019981873</x:v>
      </x:c>
      <x:c r="G80" s="43" t="n">
        <x:v>14621</x:v>
      </x:c>
      <x:c r="H80" s="43" t="n">
        <x:v>260558.6</x:v>
      </x:c>
      <x:c r="I80" s="21" t="str">
        <x:v>INTERIOR</x:v>
      </x:c>
    </x:row>
    <x:row r="81">
      <x:c r="A81" s="21" t="str">
        <x:v>NYC-V1-R02</x:v>
      </x:c>
      <x:c r="B81" s="21" t="str">
        <x:v>V1</x:v>
      </x:c>
      <x:c r="C81" s="21" t="str">
        <x:v>vacant_housing_units</x:v>
      </x:c>
      <x:c r="D81" s="24" t="n">
        <x:v>2386</x:v>
      </x:c>
      <x:c r="E81" s="43" t="n">
        <x:v>387.47148282163937</x:v>
      </x:c>
      <x:c r="F81" s="43" t="n">
        <x:v>6.157872529417403</x:v>
      </x:c>
      <x:c r="G81" s="43" t="n">
        <x:v>2386</x:v>
      </x:c>
      <x:c r="H81" s="43" t="n">
        <x:v>150134.14999999997</x:v>
      </x:c>
      <x:c r="I81" s="21" t="str">
        <x:v>INTERIOR</x:v>
      </x:c>
    </x:row>
    <x:row r="82">
      <x:c r="A82" s="21" t="str">
        <x:v>NYC-V1-R02</x:v>
      </x:c>
      <x:c r="B82" s="21" t="str">
        <x:v>V1</x:v>
      </x:c>
      <x:c r="C82" s="21" t="str">
        <x:v>owner_occupied_units</x:v>
      </x:c>
      <x:c r="D82" s="24" t="n">
        <x:v>5055</x:v>
      </x:c>
      <x:c r="E82" s="43" t="n">
        <x:v>490.0913965399911</x:v>
      </x:c>
      <x:c r="F82" s="43" t="n">
        <x:v>10.314402651603201</x:v>
      </x:c>
      <x:c r="G82" s="43" t="n">
        <x:v>5055</x:v>
      </x:c>
      <x:c r="H82" s="43" t="n">
        <x:v>240189.57696251877</x:v>
      </x:c>
      <x:c r="I82" s="21" t="str">
        <x:v>INTERIOR</x:v>
      </x:c>
    </x:row>
    <x:row r="83">
      <x:c r="A83" s="21" t="str">
        <x:v>NYC-V1-R02</x:v>
      </x:c>
      <x:c r="B83" s="21" t="str">
        <x:v>V1</x:v>
      </x:c>
      <x:c r="C83" s="21" t="str">
        <x:v>renter_occupied_units</x:v>
      </x:c>
      <x:c r="D83" s="24" t="n">
        <x:v>9566</x:v>
      </x:c>
      <x:c r="E83" s="43" t="n">
        <x:v>447.24747372158976</x:v>
      </x:c>
      <x:c r="F83" s="43" t="n">
        <x:v>21.38860600016448</x:v>
      </x:c>
      <x:c r="G83" s="43" t="n">
        <x:v>9566</x:v>
      </x:c>
      <x:c r="H83" s="43" t="n">
        <x:v>200030.30275034413</x:v>
      </x:c>
      <x:c r="I83" s="21" t="str">
        <x:v>INTERIOR</x:v>
      </x:c>
    </x:row>
    <x:row r="84">
      <x:c r="A84" s="21" t="str">
        <x:v>NYC-V1-R02</x:v>
      </x:c>
      <x:c r="B84" s="21" t="str">
        <x:v>V1</x:v>
      </x:c>
      <x:c r="C84" s="21" t="str">
        <x:v>one_unit_structures</x:v>
      </x:c>
      <x:c r="D84" s="24" t="n">
        <x:v>322</x:v>
      </x:c>
      <x:c r="E84" s="43" t="n">
        <x:v>168.4329439261361</x:v>
      </x:c>
      <x:c r="F84" s="43" t="n">
        <x:v>1.911740022434142</x:v>
      </x:c>
      <x:c r="G84" s="43" t="n">
        <x:v>322</x:v>
      </x:c>
      <x:c r="H84" s="43" t="n">
        <x:v>28369.656599624905</x:v>
      </x:c>
      <x:c r="I84" s="21" t="str">
        <x:v>BOUNDARY_SENSITIVE</x:v>
      </x:c>
    </x:row>
    <x:row r="85">
      <x:c r="A85" s="21" t="str">
        <x:v>NYC-V1-R02</x:v>
      </x:c>
      <x:c r="B85" s="21" t="str">
        <x:v>V1</x:v>
      </x:c>
      <x:c r="C85" s="21" t="str">
        <x:v>two_to_four_unit_structures</x:v>
      </x:c>
      <x:c r="D85" s="24" t="n">
        <x:v>112</x:v>
      </x:c>
      <x:c r="E85" s="43" t="n">
        <x:v>64.85498875229969</x:v>
      </x:c>
      <x:c r="F85" s="43" t="n">
        <x:v>1.7269296033303005</x:v>
      </x:c>
      <x:c r="G85" s="43" t="n">
        <x:v>112</x:v>
      </x:c>
      <x:c r="H85" s="43" t="n">
        <x:v>4206.169566060919</x:v>
      </x:c>
      <x:c r="I85" s="21" t="str">
        <x:v>BOUNDARY_SENSITIVE</x:v>
      </x:c>
    </x:row>
    <x:row r="86">
      <x:c r="A86" s="21" t="str">
        <x:v>NYC-V1-R02</x:v>
      </x:c>
      <x:c r="B86" s="21" t="str">
        <x:v>V1</x:v>
      </x:c>
      <x:c r="C86" s="21" t="str">
        <x:v>five_to_nineteen_unit_structures</x:v>
      </x:c>
      <x:c r="D86" s="24" t="n">
        <x:v>1335</x:v>
      </x:c>
      <x:c r="E86" s="43" t="n">
        <x:v>217.7564960151678</x:v>
      </x:c>
      <x:c r="F86" s="43" t="n">
        <x:v>6.130701147519432</x:v>
      </x:c>
      <x:c r="G86" s="43" t="n">
        <x:v>1335</x:v>
      </x:c>
      <x:c r="H86" s="43" t="n">
        <x:v>47417.89155680379</x:v>
      </x:c>
      <x:c r="I86" s="21" t="str">
        <x:v>INTERIOR</x:v>
      </x:c>
    </x:row>
    <x:row r="87">
      <x:c r="A87" s="21" t="str">
        <x:v>NYC-V1-R02</x:v>
      </x:c>
      <x:c r="B87" s="21" t="str">
        <x:v>V1</x:v>
      </x:c>
      <x:c r="C87" s="21" t="str">
        <x:v>twenty_to_forty_nine_unit_structures</x:v>
      </x:c>
      <x:c r="D87" s="24" t="n">
        <x:v>2999</x:v>
      </x:c>
      <x:c r="E87" s="43" t="n">
        <x:v>370.76834550384757</x:v>
      </x:c>
      <x:c r="F87" s="43" t="n">
        <x:v>8.088608524345773</x:v>
      </x:c>
      <x:c r="G87" s="43" t="n">
        <x:v>2999</x:v>
      </x:c>
      <x:c r="H87" s="43" t="n">
        <x:v>137469.16602766048</x:v>
      </x:c>
      <x:c r="I87" s="21" t="str">
        <x:v>INTERIOR</x:v>
      </x:c>
    </x:row>
    <x:row r="88">
      <x:c r="A88" s="21" t="str">
        <x:v>NYC-V1-R02</x:v>
      </x:c>
      <x:c r="B88" s="21" t="str">
        <x:v>V1</x:v>
      </x:c>
      <x:c r="C88" s="21" t="str">
        <x:v>fifty_plus_unit_structures</x:v>
      </x:c>
      <x:c r="D88" s="24" t="n">
        <x:v>9853</x:v>
      </x:c>
      <x:c r="E88" s="43" t="n">
        <x:v>577.9262600209345</x:v>
      </x:c>
      <x:c r="F88" s="43" t="n">
        <x:v>17.04888786268873</x:v>
      </x:c>
      <x:c r="G88" s="43" t="n">
        <x:v>9853</x:v>
      </x:c>
      <x:c r="H88" s="43" t="n">
        <x:v>333998.7620217848</x:v>
      </x:c>
      <x:c r="I88" s="21" t="str">
        <x:v>INTERIOR</x:v>
      </x:c>
    </x:row>
    <x:row r="89">
      <x:c r="A89" s="21" t="str">
        <x:v>NYC-V1-R02</x:v>
      </x:c>
      <x:c r="B89" s="21" t="str">
        <x:v>V1</x:v>
      </x:c>
      <x:c r="C89" s="21" t="str">
        <x:v>mobile_or_other_units</x:v>
      </x:c>
      <x:c r="D89" s="24" t="n">
        <x:v>0</x:v>
      </x:c>
      <x:c r="E89" s="43" t="n">
        <x:v>46.20060790273556</x:v>
      </x:c>
      <x:c r="F89" s="43" t="n">
        <x:v>0</x:v>
      </x:c>
      <x:c r="G89" s="43" t="n">
        <x:v>0</x:v>
      </x:c>
      <x:c r="H89" s="43" t="n">
        <x:v>2134.4961705823116</x:v>
      </x:c>
      <x:c r="I89" s="21" t="str">
        <x:v>IMPOSSIBLE_EXACT_MOMENTS</x:v>
      </x:c>
    </x:row>
    <x:row r="90">
      <x:c r="A90" s="21" t="str">
        <x:v>NYC-V1-R02</x:v>
      </x:c>
      <x:c r="B90" s="21" t="str">
        <x:v>V1</x:v>
      </x:c>
      <x:c r="C90" s="21" t="str">
        <x:v>electric_heat_households</x:v>
      </x:c>
      <x:c r="D90" s="24" t="n">
        <x:v>1670</x:v>
      </x:c>
      <x:c r="E90" s="43" t="n">
        <x:v>249.15707896826854</x:v>
      </x:c>
      <x:c r="F90" s="43" t="n">
        <x:v>6.702599046815296</x:v>
      </x:c>
      <x:c r="G90" s="43" t="n">
        <x:v>1670</x:v>
      </x:c>
      <x:c r="H90" s="43" t="n">
        <x:v>62079.25</x:v>
      </x:c>
      <x:c r="I90" s="21" t="str">
        <x:v>INTERIOR</x:v>
      </x:c>
    </x:row>
    <x:row r="91">
      <x:c r="A91" s="21" t="str">
        <x:v>NYC-V1-R02</x:v>
      </x:c>
      <x:c r="B91" s="21" t="str">
        <x:v>V1</x:v>
      </x:c>
      <x:c r="C91" s="21" t="str">
        <x:v>group_quarters_population</x:v>
      </x:c>
      <x:c r="D91" s="24" t="n">
        <x:v>1123</x:v>
      </x:c>
      <x:c r="E91" s="43" t="n">
        <x:v>24.761865842460256</x:v>
      </x:c>
      <x:c r="F91" s="43" t="n">
        <x:v>45.35199435877497</x:v>
      </x:c>
      <x:c r="G91" s="43" t="n">
        <x:v>1123</x:v>
      </x:c>
      <x:c r="H91" s="43" t="n">
        <x:v>613.15</x:v>
      </x:c>
      <x:c r="I91" s="21" t="str">
        <x:v>INTERIOR</x:v>
      </x:c>
    </x:row>
    <x:row r="92">
      <x:c r="A92" s="21" t="str">
        <x:v>NYC-V1-R03</x:v>
      </x:c>
      <x:c r="B92" s="21" t="str">
        <x:v>V1</x:v>
      </x:c>
      <x:c r="C92" s="21" t="str">
        <x:v>acs_population</x:v>
      </x:c>
      <x:c r="D92" s="24" t="n">
        <x:v>27923</x:v>
      </x:c>
      <x:c r="E92" s="43" t="n">
        <x:v>1294.5028196184046</x:v>
      </x:c>
      <x:c r="F92" s="43" t="n">
        <x:v>21.570443553171387</x:v>
      </x:c>
      <x:c r="G92" s="43" t="n">
        <x:v>27923</x:v>
      </x:c>
      <x:c r="H92" s="43" t="n">
        <x:v>1675737.5499999998</x:v>
      </x:c>
      <x:c r="I92" s="21" t="str">
        <x:v>INTERIOR</x:v>
      </x:c>
    </x:row>
    <x:row r="93">
      <x:c r="A93" s="21" t="str">
        <x:v>NYC-V1-R03</x:v>
      </x:c>
      <x:c r="B93" s="21" t="str">
        <x:v>V1</x:v>
      </x:c>
      <x:c r="C93" s="21" t="str">
        <x:v>age_under_18</x:v>
      </x:c>
      <x:c r="D93" s="24" t="n">
        <x:v>2587</x:v>
      </x:c>
      <x:c r="E93" s="43" t="n">
        <x:v>385.9863339549731</x:v>
      </x:c>
      <x:c r="F93" s="43" t="n">
        <x:v>6.702309829191477</x:v>
      </x:c>
      <x:c r="G93" s="43" t="n">
        <x:v>2587</x:v>
      </x:c>
      <x:c r="H93" s="43" t="n">
        <x:v>148985.45</x:v>
      </x:c>
      <x:c r="I93" s="21" t="str">
        <x:v>INTERIOR</x:v>
      </x:c>
    </x:row>
    <x:row r="94">
      <x:c r="A94" s="21" t="str">
        <x:v>NYC-V1-R03</x:v>
      </x:c>
      <x:c r="B94" s="21" t="str">
        <x:v>V1</x:v>
      </x:c>
      <x:c r="C94" s="21" t="str">
        <x:v>age_under_5</x:v>
      </x:c>
      <x:c r="D94" s="24" t="n">
        <x:v>964</x:v>
      </x:c>
      <x:c r="E94" s="43" t="n">
        <x:v>224.47316097921373</x:v>
      </x:c>
      <x:c r="F94" s="43" t="n">
        <x:v>4.294500045327319</x:v>
      </x:c>
      <x:c r="G94" s="43" t="n">
        <x:v>964</x:v>
      </x:c>
      <x:c r="H94" s="43" t="n">
        <x:v>50388.200000000004</x:v>
      </x:c>
      <x:c r="I94" s="21" t="str">
        <x:v>INTERIOR</x:v>
      </x:c>
    </x:row>
    <x:row r="95">
      <x:c r="A95" s="21" t="str">
        <x:v>NYC-V1-R03</x:v>
      </x:c>
      <x:c r="B95" s="21" t="str">
        <x:v>V1</x:v>
      </x:c>
      <x:c r="C95" s="21" t="str">
        <x:v>age_65_plus</x:v>
      </x:c>
      <x:c r="D95" s="24" t="n">
        <x:v>3991</x:v>
      </x:c>
      <x:c r="E95" s="43" t="n">
        <x:v>482.6947793378337</x:v>
      </x:c>
      <x:c r="F95" s="43" t="n">
        <x:v>8.268164833841585</x:v>
      </x:c>
      <x:c r="G95" s="43" t="n">
        <x:v>3991</x:v>
      </x:c>
      <x:c r="H95" s="43" t="n">
        <x:v>232994.25</x:v>
      </x:c>
      <x:c r="I95" s="21" t="str">
        <x:v>INTERIOR</x:v>
      </x:c>
    </x:row>
    <x:row r="96">
      <x:c r="A96" s="21" t="str">
        <x:v>NYC-V1-R03</x:v>
      </x:c>
      <x:c r="B96" s="21" t="str">
        <x:v>V1</x:v>
      </x:c>
      <x:c r="C96" s="21" t="str">
        <x:v>age_75_plus</x:v>
      </x:c>
      <x:c r="D96" s="24" t="n">
        <x:v>2191</x:v>
      </x:c>
      <x:c r="E96" s="43" t="n">
        <x:v>397.9192129063386</x:v>
      </x:c>
      <x:c r="F96" s="43" t="n">
        <x:v>5.506142777065939</x:v>
      </x:c>
      <x:c r="G96" s="43" t="n">
        <x:v>2191</x:v>
      </x:c>
      <x:c r="H96" s="43" t="n">
        <x:v>158339.70000000004</x:v>
      </x:c>
      <x:c r="I96" s="21" t="str">
        <x:v>INTERIOR</x:v>
      </x:c>
    </x:row>
    <x:row r="97">
      <x:c r="A97" s="21" t="str">
        <x:v>NYC-V1-R03</x:v>
      </x:c>
      <x:c r="B97" s="21" t="str">
        <x:v>V1</x:v>
      </x:c>
      <x:c r="C97" s="21" t="str">
        <x:v>age_85_plus</x:v>
      </x:c>
      <x:c r="D97" s="24" t="n">
        <x:v>1125</x:v>
      </x:c>
      <x:c r="E97" s="43" t="n">
        <x:v>331.8523014836571</x:v>
      </x:c>
      <x:c r="F97" s="43" t="n">
        <x:v>3.390062371031661</x:v>
      </x:c>
      <x:c r="G97" s="43" t="n">
        <x:v>1125</x:v>
      </x:c>
      <x:c r="H97" s="43" t="n">
        <x:v>110125.95000000003</x:v>
      </x:c>
      <x:c r="I97" s="21" t="str">
        <x:v>INTERIOR</x:v>
      </x:c>
    </x:row>
    <x:row r="98">
      <x:c r="A98" s="21" t="str">
        <x:v>NYC-V1-R03</x:v>
      </x:c>
      <x:c r="B98" s="21" t="str">
        <x:v>V1</x:v>
      </x:c>
      <x:c r="C98" s="21" t="str">
        <x:v>civilian_noninstitutionalized</x:v>
      </x:c>
      <x:c r="D98" s="24" t="n">
        <x:v>27908</x:v>
      </x:c>
      <x:c r="E98" s="43" t="n">
        <x:v>1294.6642614979376</x:v>
      </x:c>
      <x:c r="F98" s="43" t="n">
        <x:v>21.556167749397986</x:v>
      </x:c>
      <x:c r="G98" s="43" t="n">
        <x:v>27908</x:v>
      </x:c>
      <x:c r="H98" s="43" t="n">
        <x:v>1676155.55</x:v>
      </x:c>
      <x:c r="I98" s="21" t="str">
        <x:v>INTERIOR</x:v>
      </x:c>
    </x:row>
    <x:row r="99">
      <x:c r="A99" s="21" t="str">
        <x:v>NYC-V1-R03</x:v>
      </x:c>
      <x:c r="B99" s="21" t="str">
        <x:v>V1</x:v>
      </x:c>
      <x:c r="C99" s="21" t="str">
        <x:v>any_disability</x:v>
      </x:c>
      <x:c r="D99" s="24" t="n">
        <x:v>1575</x:v>
      </x:c>
      <x:c r="E99" s="43" t="n">
        <x:v>268.2469011936578</x:v>
      </x:c>
      <x:c r="F99" s="43" t="n">
        <x:v>5.871456456687814</x:v>
      </x:c>
      <x:c r="G99" s="43" t="n">
        <x:v>1575</x:v>
      </x:c>
      <x:c r="H99" s="43" t="n">
        <x:v>71956.4</x:v>
      </x:c>
      <x:c r="I99" s="21" t="str">
        <x:v>INTERIOR</x:v>
      </x:c>
    </x:row>
    <x:row r="100">
      <x:c r="A100" s="21" t="str">
        <x:v>NYC-V1-R03</x:v>
      </x:c>
      <x:c r="B100" s="21" t="str">
        <x:v>V1</x:v>
      </x:c>
      <x:c r="C100" s="21" t="str">
        <x:v>disability_under_18</x:v>
      </x:c>
      <x:c r="D100" s="24" t="n">
        <x:v>81</x:v>
      </x:c>
      <x:c r="E100" s="43" t="n">
        <x:v>56.507079202521176</x:v>
      </x:c>
      <x:c r="F100" s="43" t="n">
        <x:v>1.4334487137389686</x:v>
      </x:c>
      <x:c r="G100" s="43" t="n">
        <x:v>81</x:v>
      </x:c>
      <x:c r="H100" s="43" t="n">
        <x:v>3193.050000000001</x:v>
      </x:c>
      <x:c r="I100" s="21" t="str">
        <x:v>BOUNDARY_SENSITIVE</x:v>
      </x:c>
    </x:row>
    <x:row r="101">
      <x:c r="A101" s="21" t="str">
        <x:v>NYC-V1-R03</x:v>
      </x:c>
      <x:c r="B101" s="21" t="str">
        <x:v>V1</x:v>
      </x:c>
      <x:c r="C101" s="21" t="str">
        <x:v>disability_18_64</x:v>
      </x:c>
      <x:c r="D101" s="24" t="n">
        <x:v>641</x:v>
      </x:c>
      <x:c r="E101" s="43" t="n">
        <x:v>148.07616283521128</x:v>
      </x:c>
      <x:c r="F101" s="43" t="n">
        <x:v>4.328853393596822</x:v>
      </x:c>
      <x:c r="G101" s="43" t="n">
        <x:v>641</x:v>
      </x:c>
      <x:c r="H101" s="43" t="n">
        <x:v>21926.550000000007</x:v>
      </x:c>
      <x:c r="I101" s="21" t="str">
        <x:v>INTERIOR</x:v>
      </x:c>
    </x:row>
    <x:row r="102">
      <x:c r="A102" s="21" t="str">
        <x:v>NYC-V1-R03</x:v>
      </x:c>
      <x:c r="B102" s="21" t="str">
        <x:v>V1</x:v>
      </x:c>
      <x:c r="C102" s="21" t="str">
        <x:v>disability_65_plus</x:v>
      </x:c>
      <x:c r="D102" s="24" t="n">
        <x:v>853</x:v>
      </x:c>
      <x:c r="E102" s="43" t="n">
        <x:v>202.96255812341352</x:v>
      </x:c>
      <x:c r="F102" s="43" t="n">
        <x:v>4.202745609273038</x:v>
      </x:c>
      <x:c r="G102" s="43" t="n">
        <x:v>853</x:v>
      </x:c>
      <x:c r="H102" s="43" t="n">
        <x:v>41193.80000000001</x:v>
      </x:c>
      <x:c r="I102" s="21" t="str">
        <x:v>INTERIOR</x:v>
      </x:c>
    </x:row>
    <x:row r="103">
      <x:c r="A103" s="21" t="str">
        <x:v>NYC-V1-R03</x:v>
      </x:c>
      <x:c r="B103" s="21" t="str">
        <x:v>V1</x:v>
      </x:c>
      <x:c r="C103" s="21" t="str">
        <x:v>hearing_difficulty</x:v>
      </x:c>
      <x:c r="D103" s="24" t="n">
        <x:v>386</x:v>
      </x:c>
      <x:c r="E103" s="43" t="n">
        <x:v>172.27474451061414</x:v>
      </x:c>
      <x:c r="F103" s="43" t="n">
        <x:v>2.240607008859722</x:v>
      </x:c>
      <x:c r="G103" s="43" t="n">
        <x:v>386</x:v>
      </x:c>
      <x:c r="H103" s="43" t="n">
        <x:v>29678.587596197376</x:v>
      </x:c>
      <x:c r="I103" s="21" t="str">
        <x:v>INTERIOR</x:v>
      </x:c>
    </x:row>
    <x:row r="104">
      <x:c r="A104" s="21" t="str">
        <x:v>NYC-V1-R03</x:v>
      </x:c>
      <x:c r="B104" s="21" t="str">
        <x:v>V1</x:v>
      </x:c>
      <x:c r="C104" s="21" t="str">
        <x:v>vision_difficulty</x:v>
      </x:c>
      <x:c r="D104" s="24" t="n">
        <x:v>255</x:v>
      </x:c>
      <x:c r="E104" s="43" t="n">
        <x:v>112.55069205055119</x:v>
      </x:c>
      <x:c r="F104" s="43" t="n">
        <x:v>2.2656457757316044</x:v>
      </x:c>
      <x:c r="G104" s="43" t="n">
        <x:v>255</x:v>
      </x:c>
      <x:c r="H104" s="43" t="n">
        <x:v>12667.658281058008</x:v>
      </x:c>
      <x:c r="I104" s="21" t="str">
        <x:v>INTERIOR</x:v>
      </x:c>
    </x:row>
    <x:row r="105">
      <x:c r="A105" s="21" t="str">
        <x:v>NYC-V1-R03</x:v>
      </x:c>
      <x:c r="B105" s="21" t="str">
        <x:v>V1</x:v>
      </x:c>
      <x:c r="C105" s="21" t="str">
        <x:v>cognitive_difficulty</x:v>
      </x:c>
      <x:c r="D105" s="24" t="n">
        <x:v>575</x:v>
      </x:c>
      <x:c r="E105" s="43" t="n">
        <x:v>140.34261160538108</x:v>
      </x:c>
      <x:c r="F105" s="43" t="n">
        <x:v>4.097116288649378</x:v>
      </x:c>
      <x:c r="G105" s="43" t="n">
        <x:v>575</x:v>
      </x:c>
      <x:c r="H105" s="43" t="n">
        <x:v>19696.048632218844</x:v>
      </x:c>
      <x:c r="I105" s="21" t="str">
        <x:v>INTERIOR</x:v>
      </x:c>
    </x:row>
    <x:row r="106">
      <x:c r="A106" s="21" t="str">
        <x:v>NYC-V1-R03</x:v>
      </x:c>
      <x:c r="B106" s="21" t="str">
        <x:v>V1</x:v>
      </x:c>
      <x:c r="C106" s="21" t="str">
        <x:v>ambulatory_difficulty</x:v>
      </x:c>
      <x:c r="D106" s="24" t="n">
        <x:v>786</x:v>
      </x:c>
      <x:c r="E106" s="43" t="n">
        <x:v>208.07863299724175</x:v>
      </x:c>
      <x:c r="F106" s="43" t="n">
        <x:v>3.7774181263984903</x:v>
      </x:c>
      <x:c r="G106" s="43" t="n">
        <x:v>786</x:v>
      </x:c>
      <x:c r="H106" s="43" t="n">
        <x:v>43296.717510000824</x:v>
      </x:c>
      <x:c r="I106" s="21" t="str">
        <x:v>INTERIOR</x:v>
      </x:c>
    </x:row>
    <x:row r="107">
      <x:c r="A107" s="21" t="str">
        <x:v>NYC-V1-R03</x:v>
      </x:c>
      <x:c r="B107" s="21" t="str">
        <x:v>V1</x:v>
      </x:c>
      <x:c r="C107" s="21" t="str">
        <x:v>self_care_difficulty</x:v>
      </x:c>
      <x:c r="D107" s="24" t="n">
        <x:v>505</x:v>
      </x:c>
      <x:c r="E107" s="43" t="n">
        <x:v>184.7024205464741</x:v>
      </x:c>
      <x:c r="F107" s="43" t="n">
        <x:v>2.7341276768646026</x:v>
      </x:c>
      <x:c r="G107" s="43" t="n">
        <x:v>505</x:v>
      </x:c>
      <x:c r="H107" s="43" t="n">
        <x:v>34114.984155726575</x:v>
      </x:c>
      <x:c r="I107" s="21" t="str">
        <x:v>INTERIOR</x:v>
      </x:c>
    </x:row>
    <x:row r="108">
      <x:c r="A108" s="21" t="str">
        <x:v>NYC-V1-R03</x:v>
      </x:c>
      <x:c r="B108" s="21" t="str">
        <x:v>V1</x:v>
      </x:c>
      <x:c r="C108" s="21" t="str">
        <x:v>independent_living_difficulty</x:v>
      </x:c>
      <x:c r="D108" s="24" t="n">
        <x:v>574</x:v>
      </x:c>
      <x:c r="E108" s="43" t="n">
        <x:v>158.44469073753095</x:v>
      </x:c>
      <x:c r="F108" s="43" t="n">
        <x:v>3.622715266306087</x:v>
      </x:c>
      <x:c r="G108" s="43" t="n">
        <x:v>574</x:v>
      </x:c>
      <x:c r="H108" s="43" t="n">
        <x:v>25104.720022911824</x:v>
      </x:c>
      <x:c r="I108" s="21" t="str">
        <x:v>INTERIOR</x:v>
      </x:c>
    </x:row>
    <x:row r="109">
      <x:c r="A109" s="21" t="str">
        <x:v>NYC-V1-R03</x:v>
      </x:c>
      <x:c r="B109" s="21" t="str">
        <x:v>V1</x:v>
      </x:c>
      <x:c r="C109" s="21" t="str">
        <x:v>households</x:v>
      </x:c>
      <x:c r="D109" s="24" t="n">
        <x:v>15988</x:v>
      </x:c>
      <x:c r="E109" s="43" t="n">
        <x:v>623.0899614020435</x:v>
      </x:c>
      <x:c r="F109" s="43" t="n">
        <x:v>25.65921614918119</x:v>
      </x:c>
      <x:c r="G109" s="43" t="n">
        <x:v>15988</x:v>
      </x:c>
      <x:c r="H109" s="43" t="n">
        <x:v>388241.1000000001</x:v>
      </x:c>
      <x:c r="I109" s="21" t="str">
        <x:v>INTERIOR</x:v>
      </x:c>
    </x:row>
    <x:row r="110">
      <x:c r="A110" s="21" t="str">
        <x:v>NYC-V1-R03</x:v>
      </x:c>
      <x:c r="B110" s="21" t="str">
        <x:v>V1</x:v>
      </x:c>
      <x:c r="C110" s="21" t="str">
        <x:v>family_households</x:v>
      </x:c>
      <x:c r="D110" s="24" t="n">
        <x:v>4357</x:v>
      </x:c>
      <x:c r="E110" s="43" t="n">
        <x:v>388.86167206347295</x:v>
      </x:c>
      <x:c r="F110" s="43" t="n">
        <x:v>11.204498445114995</x:v>
      </x:c>
      <x:c r="G110" s="43" t="n">
        <x:v>4357</x:v>
      </x:c>
      <x:c r="H110" s="43" t="n">
        <x:v>151213.4</x:v>
      </x:c>
      <x:c r="I110" s="21" t="str">
        <x:v>INTERIOR</x:v>
      </x:c>
    </x:row>
    <x:row r="111">
      <x:c r="A111" s="21" t="str">
        <x:v>NYC-V1-R03</x:v>
      </x:c>
      <x:c r="B111" s="21" t="str">
        <x:v>V1</x:v>
      </x:c>
      <x:c r="C111" s="21" t="str">
        <x:v>nonfamily_households</x:v>
      </x:c>
      <x:c r="D111" s="24" t="n">
        <x:v>11631</x:v>
      </x:c>
      <x:c r="E111" s="43" t="n">
        <x:v>609.3476019481819</x:v>
      </x:c>
      <x:c r="F111" s="43" t="n">
        <x:v>19.08762742778314</x:v>
      </x:c>
      <x:c r="G111" s="43" t="n">
        <x:v>11631</x:v>
      </x:c>
      <x:c r="H111" s="43" t="n">
        <x:v>371304.5</x:v>
      </x:c>
      <x:c r="I111" s="21" t="str">
        <x:v>INTERIOR</x:v>
      </x:c>
    </x:row>
    <x:row r="112">
      <x:c r="A112" s="21" t="str">
        <x:v>NYC-V1-R03</x:v>
      </x:c>
      <x:c r="B112" s="21" t="str">
        <x:v>V1</x:v>
      </x:c>
      <x:c r="C112" s="21" t="str">
        <x:v>living_alone_households</x:v>
      </x:c>
      <x:c r="D112" s="24" t="n">
        <x:v>9147</x:v>
      </x:c>
      <x:c r="E112" s="43" t="n">
        <x:v>621.7712601913987</x:v>
      </x:c>
      <x:c r="F112" s="43" t="n">
        <x:v>14.711197807991795</x:v>
      </x:c>
      <x:c r="G112" s="43" t="n">
        <x:v>9147</x:v>
      </x:c>
      <x:c r="H112" s="43" t="n">
        <x:v>386599.50000000006</x:v>
      </x:c>
      <x:c r="I112" s="21" t="str">
        <x:v>INTERIOR</x:v>
      </x:c>
    </x:row>
    <x:row r="113">
      <x:c r="A113" s="21" t="str">
        <x:v>NYC-V1-R03</x:v>
      </x:c>
      <x:c r="B113" s="21" t="str">
        <x:v>V1</x:v>
      </x:c>
      <x:c r="C113" s="21" t="str">
        <x:v>households_with_children</x:v>
      </x:c>
      <x:c r="D113" s="24" t="n">
        <x:v>1635</x:v>
      </x:c>
      <x:c r="E113" s="43" t="n">
        <x:v>202.8717575218394</x:v>
      </x:c>
      <x:c r="F113" s="43" t="n">
        <x:v>8.059278531285903</x:v>
      </x:c>
      <x:c r="G113" s="43" t="n">
        <x:v>1635</x:v>
      </x:c>
      <x:c r="H113" s="43" t="n">
        <x:v>41156.950000000004</x:v>
      </x:c>
      <x:c r="I113" s="21" t="str">
        <x:v>INTERIOR</x:v>
      </x:c>
    </x:row>
    <x:row r="114">
      <x:c r="A114" s="21" t="str">
        <x:v>NYC-V1-R03</x:v>
      </x:c>
      <x:c r="B114" s="21" t="str">
        <x:v>V1</x:v>
      </x:c>
      <x:c r="C114" s="21" t="str">
        <x:v>households_with_age65</x:v>
      </x:c>
      <x:c r="D114" s="24" t="n">
        <x:v>3281</x:v>
      </x:c>
      <x:c r="E114" s="43" t="n">
        <x:v>439.7300308143623</x:v>
      </x:c>
      <x:c r="F114" s="43" t="n">
        <x:v>7.461396243335304</x:v>
      </x:c>
      <x:c r="G114" s="43" t="n">
        <x:v>3281</x:v>
      </x:c>
      <x:c r="H114" s="43" t="n">
        <x:v>193362.5</x:v>
      </x:c>
      <x:c r="I114" s="21" t="str">
        <x:v>INTERIOR</x:v>
      </x:c>
    </x:row>
    <x:row r="115">
      <x:c r="A115" s="21" t="str">
        <x:v>NYC-V1-R03</x:v>
      </x:c>
      <x:c r="B115" s="21" t="str">
        <x:v>V1</x:v>
      </x:c>
      <x:c r="C115" s="21" t="str">
        <x:v>age65_one_person_households</x:v>
      </x:c>
      <x:c r="D115" s="24" t="n">
        <x:v>2208</x:v>
      </x:c>
      <x:c r="E115" s="43" t="n">
        <x:v>385.16801528683555</x:v>
      </x:c>
      <x:c r="F115" s="43" t="n">
        <x:v>5.732563225312717</x:v>
      </x:c>
      <x:c r="G115" s="43" t="n">
        <x:v>2208</x:v>
      </x:c>
      <x:c r="H115" s="43" t="n">
        <x:v>148354.4</x:v>
      </x:c>
      <x:c r="I115" s="21" t="str">
        <x:v>INTERIOR</x:v>
      </x:c>
    </x:row>
    <x:row r="116">
      <x:c r="A116" s="21" t="str">
        <x:v>NYC-V1-R03</x:v>
      </x:c>
      <x:c r="B116" s="21" t="str">
        <x:v>V1</x:v>
      </x:c>
      <x:c r="C116" s="21" t="str">
        <x:v>no_vehicle_households</x:v>
      </x:c>
      <x:c r="D116" s="24" t="n">
        <x:v>13735</x:v>
      </x:c>
      <x:c r="E116" s="43" t="n">
        <x:v>592.8713039700183</x:v>
      </x:c>
      <x:c r="F116" s="43" t="n">
        <x:v>23.166916509581284</x:v>
      </x:c>
      <x:c r="G116" s="43" t="n">
        <x:v>13735</x:v>
      </x:c>
      <x:c r="H116" s="43" t="n">
        <x:v>351496.3830711098</x:v>
      </x:c>
      <x:c r="I116" s="21" t="str">
        <x:v>INTERIOR</x:v>
      </x:c>
    </x:row>
    <x:row r="117">
      <x:c r="A117" s="21" t="str">
        <x:v>NYC-V1-R03</x:v>
      </x:c>
      <x:c r="B117" s="21" t="str">
        <x:v>V1</x:v>
      </x:c>
      <x:c r="C117" s="21" t="str">
        <x:v>limited_english_households</x:v>
      </x:c>
      <x:c r="D117" s="24" t="n">
        <x:v>645</x:v>
      </x:c>
      <x:c r="E117" s="43" t="n">
        <x:v>218.718301732596</x:v>
      </x:c>
      <x:c r="F117" s="43" t="n">
        <x:v>2.9489987572625456</x:v>
      </x:c>
      <x:c r="G117" s="43" t="n">
        <x:v>645</x:v>
      </x:c>
      <x:c r="H117" s="43" t="n">
        <x:v>47837.6955127909</x:v>
      </x:c>
      <x:c r="I117" s="21" t="str">
        <x:v>INTERIOR</x:v>
      </x:c>
    </x:row>
    <x:row r="118">
      <x:c r="A118" s="21" t="str">
        <x:v>NYC-V1-R03</x:v>
      </x:c>
      <x:c r="B118" s="21" t="str">
        <x:v>V1</x:v>
      </x:c>
      <x:c r="C118" s="21" t="str">
        <x:v>housing_units</x:v>
      </x:c>
      <x:c r="D118" s="24" t="n">
        <x:v>19433</x:v>
      </x:c>
      <x:c r="E118" s="43" t="n">
        <x:v>530.0162733350742</x:v>
      </x:c>
      <x:c r="F118" s="43" t="n">
        <x:v>36.66491196151356</x:v>
      </x:c>
      <x:c r="G118" s="43" t="n">
        <x:v>19433</x:v>
      </x:c>
      <x:c r="H118" s="43" t="n">
        <x:v>280917.25000000006</x:v>
      </x:c>
      <x:c r="I118" s="21" t="str">
        <x:v>INTERIOR</x:v>
      </x:c>
    </x:row>
    <x:row r="119">
      <x:c r="A119" s="21" t="str">
        <x:v>NYC-V1-R03</x:v>
      </x:c>
      <x:c r="B119" s="21" t="str">
        <x:v>V1</x:v>
      </x:c>
      <x:c r="C119" s="21" t="str">
        <x:v>occupied_housing_units</x:v>
      </x:c>
      <x:c r="D119" s="24" t="n">
        <x:v>15988</x:v>
      </x:c>
      <x:c r="E119" s="43" t="n">
        <x:v>623.0899614020435</x:v>
      </x:c>
      <x:c r="F119" s="43" t="n">
        <x:v>25.65921614918119</x:v>
      </x:c>
      <x:c r="G119" s="43" t="n">
        <x:v>15988</x:v>
      </x:c>
      <x:c r="H119" s="43" t="n">
        <x:v>388241.1000000001</x:v>
      </x:c>
      <x:c r="I119" s="21" t="str">
        <x:v>INTERIOR</x:v>
      </x:c>
    </x:row>
    <x:row r="120">
      <x:c r="A120" s="21" t="str">
        <x:v>NYC-V1-R03</x:v>
      </x:c>
      <x:c r="B120" s="21" t="str">
        <x:v>V1</x:v>
      </x:c>
      <x:c r="C120" s="21" t="str">
        <x:v>vacant_housing_units</x:v>
      </x:c>
      <x:c r="D120" s="24" t="n">
        <x:v>3445</x:v>
      </x:c>
      <x:c r="E120" s="43" t="n">
        <x:v>386.74545892615214</x:v>
      </x:c>
      <x:c r="F120" s="43" t="n">
        <x:v>8.907667615711585</x:v>
      </x:c>
      <x:c r="G120" s="43" t="n">
        <x:v>3445</x:v>
      </x:c>
      <x:c r="H120" s="43" t="n">
        <x:v>149572.05000000002</x:v>
      </x:c>
      <x:c r="I120" s="21" t="str">
        <x:v>INTERIOR</x:v>
      </x:c>
    </x:row>
    <x:row r="121">
      <x:c r="A121" s="21" t="str">
        <x:v>NYC-V1-R03</x:v>
      </x:c>
      <x:c r="B121" s="21" t="str">
        <x:v>V1</x:v>
      </x:c>
      <x:c r="C121" s="21" t="str">
        <x:v>owner_occupied_units</x:v>
      </x:c>
      <x:c r="D121" s="24" t="n">
        <x:v>4099</x:v>
      </x:c>
      <x:c r="E121" s="43" t="n">
        <x:v>395.09843162072275</x:v>
      </x:c>
      <x:c r="F121" s="43" t="n">
        <x:v>10.37462989459513</x:v>
      </x:c>
      <x:c r="G121" s="43" t="n">
        <x:v>4099</x:v>
      </x:c>
      <x:c r="H121" s="43" t="n">
        <x:v>156102.77066915494</x:v>
      </x:c>
      <x:c r="I121" s="21" t="str">
        <x:v>INTERIOR</x:v>
      </x:c>
    </x:row>
    <x:row r="122">
      <x:c r="A122" s="21" t="str">
        <x:v>NYC-V1-R03</x:v>
      </x:c>
      <x:c r="B122" s="21" t="str">
        <x:v>V1</x:v>
      </x:c>
      <x:c r="C122" s="21" t="str">
        <x:v>renter_occupied_units</x:v>
      </x:c>
      <x:c r="D122" s="24" t="n">
        <x:v>11889</x:v>
      </x:c>
      <x:c r="E122" s="43" t="n">
        <x:v>570.3235775439423</x:v>
      </x:c>
      <x:c r="F122" s="43" t="n">
        <x:v>20.846060847070586</x:v>
      </x:c>
      <x:c r="G122" s="43" t="n">
        <x:v>11889</x:v>
      </x:c>
      <x:c r="H122" s="43" t="n">
        <x:v>325268.98310252116</x:v>
      </x:c>
      <x:c r="I122" s="21" t="str">
        <x:v>INTERIOR</x:v>
      </x:c>
    </x:row>
    <x:row r="123">
      <x:c r="A123" s="21" t="str">
        <x:v>NYC-V1-R03</x:v>
      </x:c>
      <x:c r="B123" s="21" t="str">
        <x:v>V1</x:v>
      </x:c>
      <x:c r="C123" s="21" t="str">
        <x:v>one_unit_structures</x:v>
      </x:c>
      <x:c r="D123" s="24" t="n">
        <x:v>275</x:v>
      </x:c>
      <x:c r="E123" s="43" t="n">
        <x:v>123.75860604532915</x:v>
      </x:c>
      <x:c r="F123" s="43" t="n">
        <x:v>2.2220676911896984</x:v>
      </x:c>
      <x:c r="G123" s="43" t="n">
        <x:v>275</x:v>
      </x:c>
      <x:c r="H123" s="43" t="n">
        <x:v>15316.19257028298</x:v>
      </x:c>
      <x:c r="I123" s="21" t="str">
        <x:v>INTERIOR</x:v>
      </x:c>
    </x:row>
    <x:row r="124">
      <x:c r="A124" s="21" t="str">
        <x:v>NYC-V1-R03</x:v>
      </x:c>
      <x:c r="B124" s="21" t="str">
        <x:v>V1</x:v>
      </x:c>
      <x:c r="C124" s="21" t="str">
        <x:v>two_to_four_unit_structures</x:v>
      </x:c>
      <x:c r="D124" s="24" t="n">
        <x:v>374</x:v>
      </x:c>
      <x:c r="E124" s="43" t="n">
        <x:v>129.11029802135823</x:v>
      </x:c>
      <x:c r="F124" s="43" t="n">
        <x:v>2.8967480187996357</x:v>
      </x:c>
      <x:c r="G124" s="43" t="n">
        <x:v>374</x:v>
      </x:c>
      <x:c r="H124" s="43" t="n">
        <x:v>16669.46905516394</x:v>
      </x:c>
      <x:c r="I124" s="21" t="str">
        <x:v>INTERIOR</x:v>
      </x:c>
    </x:row>
    <x:row r="125">
      <x:c r="A125" s="21" t="str">
        <x:v>NYC-V1-R03</x:v>
      </x:c>
      <x:c r="B125" s="21" t="str">
        <x:v>V1</x:v>
      </x:c>
      <x:c r="C125" s="21" t="str">
        <x:v>five_to_nineteen_unit_structures</x:v>
      </x:c>
      <x:c r="D125" s="24" t="n">
        <x:v>1745</x:v>
      </x:c>
      <x:c r="E125" s="43" t="n">
        <x:v>252.14996484400996</x:v>
      </x:c>
      <x:c r="F125" s="43" t="n">
        <x:v>6.920484803872674</x:v>
      </x:c>
      <x:c r="G125" s="43" t="n">
        <x:v>1745</x:v>
      </x:c>
      <x:c r="H125" s="43" t="n">
        <x:v>63579.60477083546</x:v>
      </x:c>
      <x:c r="I125" s="21" t="str">
        <x:v>INTERIOR</x:v>
      </x:c>
    </x:row>
    <x:row r="126">
      <x:c r="A126" s="21" t="str">
        <x:v>NYC-V1-R03</x:v>
      </x:c>
      <x:c r="B126" s="21" t="str">
        <x:v>V1</x:v>
      </x:c>
      <x:c r="C126" s="21" t="str">
        <x:v>twenty_to_forty_nine_unit_structures</x:v>
      </x:c>
      <x:c r="D126" s="24" t="n">
        <x:v>2909</x:v>
      </x:c>
      <x:c r="E126" s="43" t="n">
        <x:v>338.54070050158253</x:v>
      </x:c>
      <x:c r="F126" s="43" t="n">
        <x:v>8.592762984450674</x:v>
      </x:c>
      <x:c r="G126" s="43" t="n">
        <x:v>2909</x:v>
      </x:c>
      <x:c r="H126" s="43" t="n">
        <x:v>114609.8058961022</x:v>
      </x:c>
      <x:c r="I126" s="21" t="str">
        <x:v>INTERIOR</x:v>
      </x:c>
    </x:row>
    <x:row r="127">
      <x:c r="A127" s="21" t="str">
        <x:v>NYC-V1-R03</x:v>
      </x:c>
      <x:c r="B127" s="21" t="str">
        <x:v>V1</x:v>
      </x:c>
      <x:c r="C127" s="21" t="str">
        <x:v>fifty_plus_unit_structures</x:v>
      </x:c>
      <x:c r="D127" s="24" t="n">
        <x:v>10685</x:v>
      </x:c>
      <x:c r="E127" s="43" t="n">
        <x:v>629.7957422762645</x:v>
      </x:c>
      <x:c r="F127" s="43" t="n">
        <x:v>16.965818094262293</x:v>
      </x:c>
      <x:c r="G127" s="43" t="n">
        <x:v>10685</x:v>
      </x:c>
      <x:c r="H127" s="43" t="n">
        <x:v>396642.67698931094</x:v>
      </x:c>
      <x:c r="I127" s="21" t="str">
        <x:v>INTERIOR</x:v>
      </x:c>
    </x:row>
    <x:row r="128">
      <x:c r="A128" s="21" t="str">
        <x:v>NYC-V1-R03</x:v>
      </x:c>
      <x:c r="B128" s="21" t="str">
        <x:v>V1</x:v>
      </x:c>
      <x:c r="C128" s="21" t="str">
        <x:v>mobile_or_other_units</x:v>
      </x:c>
      <x:c r="D128" s="24" t="n">
        <x:v>0</x:v>
      </x:c>
      <x:c r="E128" s="43" t="n">
        <x:v>46.69389512382133</x:v>
      </x:c>
      <x:c r="F128" s="43" t="n">
        <x:v>0</x:v>
      </x:c>
      <x:c r="G128" s="43" t="n">
        <x:v>0</x:v>
      </x:c>
      <x:c r="H128" s="43" t="n">
        <x:v>2180.319841834425</x:v>
      </x:c>
      <x:c r="I128" s="21" t="str">
        <x:v>IMPOSSIBLE_EXACT_MOMENTS</x:v>
      </x:c>
    </x:row>
    <x:row r="129">
      <x:c r="A129" s="21" t="str">
        <x:v>NYC-V1-R03</x:v>
      </x:c>
      <x:c r="B129" s="21" t="str">
        <x:v>V1</x:v>
      </x:c>
      <x:c r="C129" s="21" t="str">
        <x:v>electric_heat_households</x:v>
      </x:c>
      <x:c r="D129" s="24" t="n">
        <x:v>5818</x:v>
      </x:c>
      <x:c r="E129" s="43" t="n">
        <x:v>537.7573802375938</x:v>
      </x:c>
      <x:c r="F129" s="43" t="n">
        <x:v>10.819005398734781</x:v>
      </x:c>
      <x:c r="G129" s="43" t="n">
        <x:v>5818</x:v>
      </x:c>
      <x:c r="H129" s="43" t="n">
        <x:v>289183.00000000006</x:v>
      </x:c>
      <x:c r="I129" s="21" t="str">
        <x:v>INTERIOR</x:v>
      </x:c>
    </x:row>
    <x:row r="130">
      <x:c r="A130" s="21" t="str">
        <x:v>NYC-V1-R03</x:v>
      </x:c>
      <x:c r="B130" s="21" t="str">
        <x:v>V1</x:v>
      </x:c>
      <x:c r="C130" s="21" t="str">
        <x:v>group_quarters_population</x:v>
      </x:c>
      <x:c r="D130" s="24" t="n">
        <x:v>837</x:v>
      </x:c>
      <x:c r="E130" s="43" t="n">
        <x:v>13.796738745080301</x:v>
      </x:c>
      <x:c r="F130" s="43" t="n">
        <x:v>60.66651079397013</x:v>
      </x:c>
      <x:c r="G130" s="43" t="n">
        <x:v>837</x:v>
      </x:c>
      <x:c r="H130" s="43" t="n">
        <x:v>190.34999999999997</x:v>
      </x:c>
      <x:c r="I130" s="21" t="str">
        <x:v>INTERIOR</x:v>
      </x:c>
    </x:row>
    <x:row r="131">
      <x:c r="A131" s="21" t="str">
        <x:v>NYC-V1-R04</x:v>
      </x:c>
      <x:c r="B131" s="21" t="str">
        <x:v>V1</x:v>
      </x:c>
      <x:c r="C131" s="21" t="str">
        <x:v>acs_population</x:v>
      </x:c>
      <x:c r="D131" s="24" t="n">
        <x:v>35433</x:v>
      </x:c>
      <x:c r="E131" s="43" t="n">
        <x:v>1407.7052248251407</x:v>
      </x:c>
      <x:c r="F131" s="43" t="n">
        <x:v>25.17075263708092</x:v>
      </x:c>
      <x:c r="G131" s="43" t="n">
        <x:v>35433</x:v>
      </x:c>
      <x:c r="H131" s="43" t="n">
        <x:v>1981634</x:v>
      </x:c>
      <x:c r="I131" s="21" t="str">
        <x:v>INTERIOR</x:v>
      </x:c>
    </x:row>
    <x:row r="132">
      <x:c r="A132" s="21" t="str">
        <x:v>NYC-V1-R04</x:v>
      </x:c>
      <x:c r="B132" s="21" t="str">
        <x:v>V1</x:v>
      </x:c>
      <x:c r="C132" s="21" t="str">
        <x:v>age_under_18</x:v>
      </x:c>
      <x:c r="D132" s="24" t="n">
        <x:v>8026</x:v>
      </x:c>
      <x:c r="E132" s="43" t="n">
        <x:v>803.9552537299573</x:v>
      </x:c>
      <x:c r="F132" s="43" t="n">
        <x:v>9.983142672136669</x:v>
      </x:c>
      <x:c r="G132" s="43" t="n">
        <x:v>8026</x:v>
      </x:c>
      <x:c r="H132" s="43" t="n">
        <x:v>646344.05</x:v>
      </x:c>
      <x:c r="I132" s="21" t="str">
        <x:v>INTERIOR</x:v>
      </x:c>
    </x:row>
    <x:row r="133">
      <x:c r="A133" s="21" t="str">
        <x:v>NYC-V1-R04</x:v>
      </x:c>
      <x:c r="B133" s="21" t="str">
        <x:v>V1</x:v>
      </x:c>
      <x:c r="C133" s="21" t="str">
        <x:v>age_under_5</x:v>
      </x:c>
      <x:c r="D133" s="24" t="n">
        <x:v>2355</x:v>
      </x:c>
      <x:c r="E133" s="43" t="n">
        <x:v>349.6462498011383</x:v>
      </x:c>
      <x:c r="F133" s="43" t="n">
        <x:v>6.735378976149205</x:v>
      </x:c>
      <x:c r="G133" s="43" t="n">
        <x:v>2355</x:v>
      </x:c>
      <x:c r="H133" s="43" t="n">
        <x:v>122252.50000000001</x:v>
      </x:c>
      <x:c r="I133" s="21" t="str">
        <x:v>INTERIOR</x:v>
      </x:c>
    </x:row>
    <x:row r="134">
      <x:c r="A134" s="21" t="str">
        <x:v>NYC-V1-R04</x:v>
      </x:c>
      <x:c r="B134" s="21" t="str">
        <x:v>V1</x:v>
      </x:c>
      <x:c r="C134" s="21" t="str">
        <x:v>age_65_plus</x:v>
      </x:c>
      <x:c r="D134" s="24" t="n">
        <x:v>4213</x:v>
      </x:c>
      <x:c r="E134" s="43" t="n">
        <x:v>293.967004951236</x:v>
      </x:c>
      <x:c r="F134" s="43" t="n">
        <x:v>14.331540373719369</x:v>
      </x:c>
      <x:c r="G134" s="43" t="n">
        <x:v>4213</x:v>
      </x:c>
      <x:c r="H134" s="43" t="n">
        <x:v>86416.6</x:v>
      </x:c>
      <x:c r="I134" s="21" t="str">
        <x:v>INTERIOR</x:v>
      </x:c>
    </x:row>
    <x:row r="135">
      <x:c r="A135" s="21" t="str">
        <x:v>NYC-V1-R04</x:v>
      </x:c>
      <x:c r="B135" s="21" t="str">
        <x:v>V1</x:v>
      </x:c>
      <x:c r="C135" s="21" t="str">
        <x:v>age_75_plus</x:v>
      </x:c>
      <x:c r="D135" s="24" t="n">
        <x:v>1891</x:v>
      </x:c>
      <x:c r="E135" s="43" t="n">
        <x:v>275.36793567879323</x:v>
      </x:c>
      <x:c r="F135" s="43" t="n">
        <x:v>6.867175712882503</x:v>
      </x:c>
      <x:c r="G135" s="43" t="n">
        <x:v>1891</x:v>
      </x:c>
      <x:c r="H135" s="43" t="n">
        <x:v>75827.5</x:v>
      </x:c>
      <x:c r="I135" s="21" t="str">
        <x:v>INTERIOR</x:v>
      </x:c>
    </x:row>
    <x:row r="136">
      <x:c r="A136" s="21" t="str">
        <x:v>NYC-V1-R04</x:v>
      </x:c>
      <x:c r="B136" s="21" t="str">
        <x:v>V1</x:v>
      </x:c>
      <x:c r="C136" s="21" t="str">
        <x:v>age_85_plus</x:v>
      </x:c>
      <x:c r="D136" s="24" t="n">
        <x:v>629</x:v>
      </x:c>
      <x:c r="E136" s="43" t="n">
        <x:v>141.50371019870823</x:v>
      </x:c>
      <x:c r="F136" s="43" t="n">
        <x:v>4.445113128954142</x:v>
      </x:c>
      <x:c r="G136" s="43" t="n">
        <x:v>629</x:v>
      </x:c>
      <x:c r="H136" s="43" t="n">
        <x:v>20023.300000000003</x:v>
      </x:c>
      <x:c r="I136" s="21" t="str">
        <x:v>INTERIOR</x:v>
      </x:c>
    </x:row>
    <x:row r="137">
      <x:c r="A137" s="21" t="str">
        <x:v>NYC-V1-R04</x:v>
      </x:c>
      <x:c r="B137" s="21" t="str">
        <x:v>V1</x:v>
      </x:c>
      <x:c r="C137" s="21" t="str">
        <x:v>civilian_noninstitutionalized</x:v>
      </x:c>
      <x:c r="D137" s="24" t="n">
        <x:v>35387</x:v>
      </x:c>
      <x:c r="E137" s="43" t="n">
        <x:v>1408.0104403022017</x:v>
      </x:c>
      <x:c r="F137" s="43" t="n">
        <x:v>25.132626141894857</x:v>
      </x:c>
      <x:c r="G137" s="43" t="n">
        <x:v>35387</x:v>
      </x:c>
      <x:c r="H137" s="43" t="n">
        <x:v>1982493.4</x:v>
      </x:c>
      <x:c r="I137" s="21" t="str">
        <x:v>INTERIOR</x:v>
      </x:c>
    </x:row>
    <x:row r="138">
      <x:c r="A138" s="21" t="str">
        <x:v>NYC-V1-R04</x:v>
      </x:c>
      <x:c r="B138" s="21" t="str">
        <x:v>V1</x:v>
      </x:c>
      <x:c r="C138" s="21" t="str">
        <x:v>any_disability</x:v>
      </x:c>
      <x:c r="D138" s="24" t="n">
        <x:v>6981</x:v>
      </x:c>
      <x:c r="E138" s="43" t="n">
        <x:v>442.7134513429652</x:v>
      </x:c>
      <x:c r="F138" s="43" t="n">
        <x:v>15.768664762327036</x:v>
      </x:c>
      <x:c r="G138" s="43" t="n">
        <x:v>6981</x:v>
      </x:c>
      <x:c r="H138" s="43" t="n">
        <x:v>195995.2</x:v>
      </x:c>
      <x:c r="I138" s="21" t="str">
        <x:v>INTERIOR</x:v>
      </x:c>
    </x:row>
    <x:row r="139">
      <x:c r="A139" s="21" t="str">
        <x:v>NYC-V1-R04</x:v>
      </x:c>
      <x:c r="B139" s="21" t="str">
        <x:v>V1</x:v>
      </x:c>
      <x:c r="C139" s="21" t="str">
        <x:v>disability_under_18</x:v>
      </x:c>
      <x:c r="D139" s="24" t="n">
        <x:v>946</x:v>
      </x:c>
      <x:c r="E139" s="43" t="n">
        <x:v>210.22000380553703</x:v>
      </x:c>
      <x:c r="F139" s="43" t="n">
        <x:v>4.500047487750464</x:v>
      </x:c>
      <x:c r="G139" s="43" t="n">
        <x:v>946</x:v>
      </x:c>
      <x:c r="H139" s="43" t="n">
        <x:v>44192.450000000004</x:v>
      </x:c>
      <x:c r="I139" s="21" t="str">
        <x:v>INTERIOR</x:v>
      </x:c>
    </x:row>
    <x:row r="140">
      <x:c r="A140" s="21" t="str">
        <x:v>NYC-V1-R04</x:v>
      </x:c>
      <x:c r="B140" s="21" t="str">
        <x:v>V1</x:v>
      </x:c>
      <x:c r="C140" s="21" t="str">
        <x:v>disability_18_64</x:v>
      </x:c>
      <x:c r="D140" s="24" t="n">
        <x:v>3675</x:v>
      </x:c>
      <x:c r="E140" s="43" t="n">
        <x:v>309.68524343274737</x:v>
      </x:c>
      <x:c r="F140" s="43" t="n">
        <x:v>11.86688768009729</x:v>
      </x:c>
      <x:c r="G140" s="43" t="n">
        <x:v>3675</x:v>
      </x:c>
      <x:c r="H140" s="43" t="n">
        <x:v>95904.95</x:v>
      </x:c>
      <x:c r="I140" s="21" t="str">
        <x:v>INTERIOR</x:v>
      </x:c>
    </x:row>
    <x:row r="141">
      <x:c r="A141" s="21" t="str">
        <x:v>NYC-V1-R04</x:v>
      </x:c>
      <x:c r="B141" s="21" t="str">
        <x:v>V1</x:v>
      </x:c>
      <x:c r="C141" s="21" t="str">
        <x:v>disability_65_plus</x:v>
      </x:c>
      <x:c r="D141" s="24" t="n">
        <x:v>2360</x:v>
      </x:c>
      <x:c r="E141" s="43" t="n">
        <x:v>248.4854120466632</x:v>
      </x:c>
      <x:c r="F141" s="43" t="n">
        <x:v>9.497539435259943</x:v>
      </x:c>
      <x:c r="G141" s="43" t="n">
        <x:v>2360</x:v>
      </x:c>
      <x:c r="H141" s="43" t="n">
        <x:v>61745</x:v>
      </x:c>
      <x:c r="I141" s="21" t="str">
        <x:v>INTERIOR</x:v>
      </x:c>
    </x:row>
    <x:row r="142">
      <x:c r="A142" s="21" t="str">
        <x:v>NYC-V1-R04</x:v>
      </x:c>
      <x:c r="B142" s="21" t="str">
        <x:v>V1</x:v>
      </x:c>
      <x:c r="C142" s="21" t="str">
        <x:v>hearing_difficulty</x:v>
      </x:c>
      <x:c r="D142" s="24" t="n">
        <x:v>738</x:v>
      </x:c>
      <x:c r="E142" s="43" t="n">
        <x:v>202.9175324754149</x:v>
      </x:c>
      <x:c r="F142" s="43" t="n">
        <x:v>3.6369454674371946</x:v>
      </x:c>
      <x:c r="G142" s="43" t="n">
        <x:v>738</x:v>
      </x:c>
      <x:c r="H142" s="43" t="n">
        <x:v>41175.52498591106</x:v>
      </x:c>
      <x:c r="I142" s="21" t="str">
        <x:v>INTERIOR</x:v>
      </x:c>
    </x:row>
    <x:row r="143">
      <x:c r="A143" s="21" t="str">
        <x:v>NYC-V1-R04</x:v>
      </x:c>
      <x:c r="B143" s="21" t="str">
        <x:v>V1</x:v>
      </x:c>
      <x:c r="C143" s="21" t="str">
        <x:v>vision_difficulty</x:v>
      </x:c>
      <x:c r="D143" s="24" t="n">
        <x:v>1336</x:v>
      </x:c>
      <x:c r="E143" s="43" t="n">
        <x:v>226.7917197790649</x:v>
      </x:c>
      <x:c r="F143" s="43" t="n">
        <x:v>5.890867626479042</x:v>
      </x:c>
      <x:c r="G143" s="43" t="n">
        <x:v>1336</x:v>
      </x:c>
      <x:c r="H143" s="43" t="n">
        <x:v>51434.48416034589</x:v>
      </x:c>
      <x:c r="I143" s="21" t="str">
        <x:v>INTERIOR</x:v>
      </x:c>
    </x:row>
    <x:row r="144">
      <x:c r="A144" s="21" t="str">
        <x:v>NYC-V1-R04</x:v>
      </x:c>
      <x:c r="B144" s="21" t="str">
        <x:v>V1</x:v>
      </x:c>
      <x:c r="C144" s="21" t="str">
        <x:v>cognitive_difficulty</x:v>
      </x:c>
      <x:c r="D144" s="24" t="n">
        <x:v>3322</x:v>
      </x:c>
      <x:c r="E144" s="43" t="n">
        <x:v>378.91655683297336</x:v>
      </x:c>
      <x:c r="F144" s="43" t="n">
        <x:v>8.767101727529788</x:v>
      </x:c>
      <x:c r="G144" s="43" t="n">
        <x:v>3322</x:v>
      </x:c>
      <x:c r="H144" s="43" t="n">
        <x:v>143577.75704215592</x:v>
      </x:c>
      <x:c r="I144" s="21" t="str">
        <x:v>INTERIOR</x:v>
      </x:c>
    </x:row>
    <x:row r="145">
      <x:c r="A145" s="21" t="str">
        <x:v>NYC-V1-R04</x:v>
      </x:c>
      <x:c r="B145" s="21" t="str">
        <x:v>V1</x:v>
      </x:c>
      <x:c r="C145" s="21" t="str">
        <x:v>ambulatory_difficulty</x:v>
      </x:c>
      <x:c r="D145" s="24" t="n">
        <x:v>4250</x:v>
      </x:c>
      <x:c r="E145" s="43" t="n">
        <x:v>417.4229547066256</x:v>
      </x:c>
      <x:c r="F145" s="43" t="n">
        <x:v>10.181519612372533</x:v>
      </x:c>
      <x:c r="G145" s="43" t="n">
        <x:v>4250</x:v>
      </x:c>
      <x:c r="H145" s="43" t="n">
        <x:v>174241.92311600962</x:v>
      </x:c>
      <x:c r="I145" s="21" t="str">
        <x:v>INTERIOR</x:v>
      </x:c>
    </x:row>
    <x:row r="146">
      <x:c r="A146" s="21" t="str">
        <x:v>NYC-V1-R04</x:v>
      </x:c>
      <x:c r="B146" s="21" t="str">
        <x:v>V1</x:v>
      </x:c>
      <x:c r="C146" s="21" t="str">
        <x:v>self_care_difficulty</x:v>
      </x:c>
      <x:c r="D146" s="24" t="n">
        <x:v>1897</x:v>
      </x:c>
      <x:c r="E146" s="43" t="n">
        <x:v>294.5362466572979</x:v>
      </x:c>
      <x:c r="F146" s="43" t="n">
        <x:v>6.440633441653171</x:v>
      </x:c>
      <x:c r="G146" s="43" t="n">
        <x:v>1897</x:v>
      </x:c>
      <x:c r="H146" s="43" t="n">
        <x:v>86751.60059496864</x:v>
      </x:c>
      <x:c r="I146" s="21" t="str">
        <x:v>INTERIOR</x:v>
      </x:c>
    </x:row>
    <x:row r="147">
      <x:c r="A147" s="21" t="str">
        <x:v>NYC-V1-R04</x:v>
      </x:c>
      <x:c r="B147" s="21" t="str">
        <x:v>V1</x:v>
      </x:c>
      <x:c r="C147" s="21" t="str">
        <x:v>independent_living_difficulty</x:v>
      </x:c>
      <x:c r="D147" s="24" t="n">
        <x:v>2693</x:v>
      </x:c>
      <x:c r="E147" s="43" t="n">
        <x:v>337.84847409557983</x:v>
      </x:c>
      <x:c r="F147" s="43" t="n">
        <x:v>7.971029045518585</x:v>
      </x:c>
      <x:c r="G147" s="43" t="n">
        <x:v>2693</x:v>
      </x:c>
      <x:c r="H147" s="43" t="n">
        <x:v>114141.59144871168</x:v>
      </x:c>
      <x:c r="I147" s="21" t="str">
        <x:v>INTERIOR</x:v>
      </x:c>
    </x:row>
    <x:row r="148">
      <x:c r="A148" s="21" t="str">
        <x:v>NYC-V1-R04</x:v>
      </x:c>
      <x:c r="B148" s="21" t="str">
        <x:v>V1</x:v>
      </x:c>
      <x:c r="C148" s="21" t="str">
        <x:v>households</x:v>
      </x:c>
      <x:c r="D148" s="24" t="n">
        <x:v>14422</x:v>
      </x:c>
      <x:c r="E148" s="43" t="n">
        <x:v>406.926344686603</x:v>
      </x:c>
      <x:c r="F148" s="43" t="n">
        <x:v>35.441303293123475</x:v>
      </x:c>
      <x:c r="G148" s="43" t="n">
        <x:v>14422</x:v>
      </x:c>
      <x:c r="H148" s="43" t="n">
        <x:v>165589.05000000002</x:v>
      </x:c>
      <x:c r="I148" s="21" t="str">
        <x:v>INTERIOR</x:v>
      </x:c>
    </x:row>
    <x:row r="149">
      <x:c r="A149" s="21" t="str">
        <x:v>NYC-V1-R04</x:v>
      </x:c>
      <x:c r="B149" s="21" t="str">
        <x:v>V1</x:v>
      </x:c>
      <x:c r="C149" s="21" t="str">
        <x:v>family_households</x:v>
      </x:c>
      <x:c r="D149" s="24" t="n">
        <x:v>7709</x:v>
      </x:c>
      <x:c r="E149" s="43" t="n">
        <x:v>401.6298669172899</x:v>
      </x:c>
      <x:c r="F149" s="43" t="n">
        <x:v>19.194289655723143</x:v>
      </x:c>
      <x:c r="G149" s="43" t="n">
        <x:v>7709</x:v>
      </x:c>
      <x:c r="H149" s="43" t="n">
        <x:v>161306.55000000002</x:v>
      </x:c>
      <x:c r="I149" s="21" t="str">
        <x:v>INTERIOR</x:v>
      </x:c>
    </x:row>
    <x:row r="150">
      <x:c r="A150" s="21" t="str">
        <x:v>NYC-V1-R04</x:v>
      </x:c>
      <x:c r="B150" s="21" t="str">
        <x:v>V1</x:v>
      </x:c>
      <x:c r="C150" s="21" t="str">
        <x:v>nonfamily_households</x:v>
      </x:c>
      <x:c r="D150" s="24" t="n">
        <x:v>6713</x:v>
      </x:c>
      <x:c r="E150" s="43" t="n">
        <x:v>377.83792821790666</x:v>
      </x:c>
      <x:c r="F150" s="43" t="n">
        <x:v>17.76687700904521</x:v>
      </x:c>
      <x:c r="G150" s="43" t="n">
        <x:v>6713</x:v>
      </x:c>
      <x:c r="H150" s="43" t="n">
        <x:v>142761.5</x:v>
      </x:c>
      <x:c r="I150" s="21" t="str">
        <x:v>INTERIOR</x:v>
      </x:c>
    </x:row>
    <x:row r="151">
      <x:c r="A151" s="21" t="str">
        <x:v>NYC-V1-R04</x:v>
      </x:c>
      <x:c r="B151" s="21" t="str">
        <x:v>V1</x:v>
      </x:c>
      <x:c r="C151" s="21" t="str">
        <x:v>living_alone_households</x:v>
      </x:c>
      <x:c r="D151" s="24" t="n">
        <x:v>5992</x:v>
      </x:c>
      <x:c r="E151" s="43" t="n">
        <x:v>351.0147432801078</x:v>
      </x:c>
      <x:c r="F151" s="43" t="n">
        <x:v>17.070508047630405</x:v>
      </x:c>
      <x:c r="G151" s="43" t="n">
        <x:v>5992</x:v>
      </x:c>
      <x:c r="H151" s="43" t="n">
        <x:v>123211.34999999998</x:v>
      </x:c>
      <x:c r="I151" s="21" t="str">
        <x:v>INTERIOR</x:v>
      </x:c>
    </x:row>
    <x:row r="152">
      <x:c r="A152" s="21" t="str">
        <x:v>NYC-V1-R04</x:v>
      </x:c>
      <x:c r="B152" s="21" t="str">
        <x:v>V1</x:v>
      </x:c>
      <x:c r="C152" s="21" t="str">
        <x:v>households_with_children</x:v>
      </x:c>
      <x:c r="D152" s="24" t="n">
        <x:v>4521</x:v>
      </x:c>
      <x:c r="E152" s="43" t="n">
        <x:v>457.9813314972566</x:v>
      </x:c>
      <x:c r="F152" s="43" t="n">
        <x:v>9.87158141407142</x:v>
      </x:c>
      <x:c r="G152" s="43" t="n">
        <x:v>4521</x:v>
      </x:c>
      <x:c r="H152" s="43" t="n">
        <x:v>209746.90000000002</x:v>
      </x:c>
      <x:c r="I152" s="21" t="str">
        <x:v>INTERIOR</x:v>
      </x:c>
    </x:row>
    <x:row r="153">
      <x:c r="A153" s="21" t="str">
        <x:v>NYC-V1-R04</x:v>
      </x:c>
      <x:c r="B153" s="21" t="str">
        <x:v>V1</x:v>
      </x:c>
      <x:c r="C153" s="21" t="str">
        <x:v>households_with_age65</x:v>
      </x:c>
      <x:c r="D153" s="24" t="n">
        <x:v>3740</x:v>
      </x:c>
      <x:c r="E153" s="43" t="n">
        <x:v>266.7009561287698</x:v>
      </x:c>
      <x:c r="F153" s="43" t="n">
        <x:v>14.023196820465225</x:v>
      </x:c>
      <x:c r="G153" s="43" t="n">
        <x:v>3740</x:v>
      </x:c>
      <x:c r="H153" s="43" t="n">
        <x:v>71129.4</x:v>
      </x:c>
      <x:c r="I153" s="21" t="str">
        <x:v>INTERIOR</x:v>
      </x:c>
    </x:row>
    <x:row r="154">
      <x:c r="A154" s="21" t="str">
        <x:v>NYC-V1-R04</x:v>
      </x:c>
      <x:c r="B154" s="21" t="str">
        <x:v>V1</x:v>
      </x:c>
      <x:c r="C154" s="21" t="str">
        <x:v>age65_one_person_households</x:v>
      </x:c>
      <x:c r="D154" s="24" t="n">
        <x:v>2144</x:v>
      </x:c>
      <x:c r="E154" s="43" t="n">
        <x:v>246.10323037294737</x:v>
      </x:c>
      <x:c r="F154" s="43" t="n">
        <x:v>8.71179137612684</x:v>
      </x:c>
      <x:c r="G154" s="43" t="n">
        <x:v>2144</x:v>
      </x:c>
      <x:c r="H154" s="43" t="n">
        <x:v>60566.8</x:v>
      </x:c>
      <x:c r="I154" s="21" t="str">
        <x:v>INTERIOR</x:v>
      </x:c>
    </x:row>
    <x:row r="155">
      <x:c r="A155" s="21" t="str">
        <x:v>NYC-V1-R04</x:v>
      </x:c>
      <x:c r="B155" s="21" t="str">
        <x:v>V1</x:v>
      </x:c>
      <x:c r="C155" s="21" t="str">
        <x:v>no_vehicle_households</x:v>
      </x:c>
      <x:c r="D155" s="24" t="n">
        <x:v>11951</x:v>
      </x:c>
      <x:c r="E155" s="43" t="n">
        <x:v>449.7506671942774</x:v>
      </x:c>
      <x:c r="F155" s="43" t="n">
        <x:v>26.572500880443528</x:v>
      </x:c>
      <x:c r="G155" s="43" t="n">
        <x:v>11951</x:v>
      </x:c>
      <x:c r="H155" s="43" t="n">
        <x:v>202275.66264169768</x:v>
      </x:c>
      <x:c r="I155" s="21" t="str">
        <x:v>INTERIOR</x:v>
      </x:c>
    </x:row>
    <x:row r="156">
      <x:c r="A156" s="21" t="str">
        <x:v>NYC-V1-R04</x:v>
      </x:c>
      <x:c r="B156" s="21" t="str">
        <x:v>V1</x:v>
      </x:c>
      <x:c r="C156" s="21" t="str">
        <x:v>limited_english_households</x:v>
      </x:c>
      <x:c r="D156" s="24" t="n">
        <x:v>1754</x:v>
      </x:c>
      <x:c r="E156" s="43" t="n">
        <x:v>262.8263803913474</x:v>
      </x:c>
      <x:c r="F156" s="43" t="n">
        <x:v>6.673607106669814</x:v>
      </x:c>
      <x:c r="G156" s="43" t="n">
        <x:v>1754</x:v>
      </x:c>
      <x:c r="H156" s="43" t="n">
        <x:v>69077.70622961725</x:v>
      </x:c>
      <x:c r="I156" s="21" t="str">
        <x:v>INTERIOR</x:v>
      </x:c>
    </x:row>
    <x:row r="157">
      <x:c r="A157" s="21" t="str">
        <x:v>NYC-V1-R04</x:v>
      </x:c>
      <x:c r="B157" s="21" t="str">
        <x:v>V1</x:v>
      </x:c>
      <x:c r="C157" s="21" t="str">
        <x:v>housing_units</x:v>
      </x:c>
      <x:c r="D157" s="24" t="n">
        <x:v>15534</x:v>
      </x:c>
      <x:c r="E157" s="43" t="n">
        <x:v>395.74170869394095</x:v>
      </x:c>
      <x:c r="F157" s="43" t="n">
        <x:v>39.25287544561975</x:v>
      </x:c>
      <x:c r="G157" s="43" t="n">
        <x:v>15534</x:v>
      </x:c>
      <x:c r="H157" s="43" t="n">
        <x:v>156611.50000000003</x:v>
      </x:c>
      <x:c r="I157" s="21" t="str">
        <x:v>INTERIOR</x:v>
      </x:c>
    </x:row>
    <x:row r="158">
      <x:c r="A158" s="21" t="str">
        <x:v>NYC-V1-R04</x:v>
      </x:c>
      <x:c r="B158" s="21" t="str">
        <x:v>V1</x:v>
      </x:c>
      <x:c r="C158" s="21" t="str">
        <x:v>occupied_housing_units</x:v>
      </x:c>
      <x:c r="D158" s="24" t="n">
        <x:v>14422</x:v>
      </x:c>
      <x:c r="E158" s="43" t="n">
        <x:v>406.926344686603</x:v>
      </x:c>
      <x:c r="F158" s="43" t="n">
        <x:v>35.441303293123475</x:v>
      </x:c>
      <x:c r="G158" s="43" t="n">
        <x:v>14422</x:v>
      </x:c>
      <x:c r="H158" s="43" t="n">
        <x:v>165589.05000000002</x:v>
      </x:c>
      <x:c r="I158" s="21" t="str">
        <x:v>INTERIOR</x:v>
      </x:c>
    </x:row>
    <x:row r="159">
      <x:c r="A159" s="21" t="str">
        <x:v>NYC-V1-R04</x:v>
      </x:c>
      <x:c r="B159" s="21" t="str">
        <x:v>V1</x:v>
      </x:c>
      <x:c r="C159" s="21" t="str">
        <x:v>vacant_housing_units</x:v>
      </x:c>
      <x:c r="D159" s="24" t="n">
        <x:v>1112</x:v>
      </x:c>
      <x:c r="E159" s="43" t="n">
        <x:v>204.29892314938914</x:v>
      </x:c>
      <x:c r="F159" s="43" t="n">
        <x:v>5.443004705349691</x:v>
      </x:c>
      <x:c r="G159" s="43" t="n">
        <x:v>1112</x:v>
      </x:c>
      <x:c r="H159" s="43" t="n">
        <x:v>41738.05000000001</x:v>
      </x:c>
      <x:c r="I159" s="21" t="str">
        <x:v>INTERIOR</x:v>
      </x:c>
    </x:row>
    <x:row r="160">
      <x:c r="A160" s="21" t="str">
        <x:v>NYC-V1-R04</x:v>
      </x:c>
      <x:c r="B160" s="21" t="str">
        <x:v>V1</x:v>
      </x:c>
      <x:c r="C160" s="21" t="str">
        <x:v>owner_occupied_units</x:v>
      </x:c>
      <x:c r="D160" s="24" t="n">
        <x:v>1357</x:v>
      </x:c>
      <x:c r="E160" s="43" t="n">
        <x:v>195.72296883493016</x:v>
      </x:c>
      <x:c r="F160" s="43" t="n">
        <x:v>6.9332690387732345</x:v>
      </x:c>
      <x:c r="G160" s="43" t="n">
        <x:v>1357</x:v>
      </x:c>
      <x:c r="H160" s="43" t="n">
        <x:v>38307.48052955904</x:v>
      </x:c>
      <x:c r="I160" s="21" t="str">
        <x:v>INTERIOR</x:v>
      </x:c>
    </x:row>
    <x:row r="161">
      <x:c r="A161" s="21" t="str">
        <x:v>NYC-V1-R04</x:v>
      </x:c>
      <x:c r="B161" s="21" t="str">
        <x:v>V1</x:v>
      </x:c>
      <x:c r="C161" s="21" t="str">
        <x:v>renter_occupied_units</x:v>
      </x:c>
      <x:c r="D161" s="24" t="n">
        <x:v>13065</x:v>
      </x:c>
      <x:c r="E161" s="43" t="n">
        <x:v>417.4154295644799</x:v>
      </x:c>
      <x:c r="F161" s="43" t="n">
        <x:v>31.29975337431027</x:v>
      </x:c>
      <x:c r="G161" s="43" t="n">
        <x:v>13065</x:v>
      </x:c>
      <x:c r="H161" s="43" t="n">
        <x:v>174235.64083849927</x:v>
      </x:c>
      <x:c r="I161" s="21" t="str">
        <x:v>INTERIOR</x:v>
      </x:c>
    </x:row>
    <x:row r="162">
      <x:c r="A162" s="21" t="str">
        <x:v>NYC-V1-R04</x:v>
      </x:c>
      <x:c r="B162" s="21" t="str">
        <x:v>V1</x:v>
      </x:c>
      <x:c r="C162" s="21" t="str">
        <x:v>one_unit_structures</x:v>
      </x:c>
      <x:c r="D162" s="24" t="n">
        <x:v>123</x:v>
      </x:c>
      <x:c r="E162" s="43" t="n">
        <x:v>90.86671765451966</x:v>
      </x:c>
      <x:c r="F162" s="43" t="n">
        <x:v>1.3536309352303544</x:v>
      </x:c>
      <x:c r="G162" s="43" t="n">
        <x:v>123</x:v>
      </x:c>
      <x:c r="H162" s="43" t="n">
        <x:v>8256.760377306195</x:v>
      </x:c>
      <x:c r="I162" s="21" t="str">
        <x:v>BOUNDARY_SENSITIVE</x:v>
      </x:c>
    </x:row>
    <x:row r="163">
      <x:c r="A163" s="21" t="str">
        <x:v>NYC-V1-R04</x:v>
      </x:c>
      <x:c r="B163" s="21" t="str">
        <x:v>V1</x:v>
      </x:c>
      <x:c r="C163" s="21" t="str">
        <x:v>two_to_four_unit_structures</x:v>
      </x:c>
      <x:c r="D163" s="24" t="n">
        <x:v>521</x:v>
      </x:c>
      <x:c r="E163" s="43" t="n">
        <x:v>158.51697656256852</x:v>
      </x:c>
      <x:c r="F163" s="43" t="n">
        <x:v>3.286714213820216</x:v>
      </x:c>
      <x:c r="G163" s="43" t="n">
        <x:v>521</x:v>
      </x:c>
      <x:c r="H163" s="43" t="n">
        <x:v>25127.631858537898</x:v>
      </x:c>
      <x:c r="I163" s="21" t="str">
        <x:v>INTERIOR</x:v>
      </x:c>
    </x:row>
    <x:row r="164">
      <x:c r="A164" s="21" t="str">
        <x:v>NYC-V1-R04</x:v>
      </x:c>
      <x:c r="B164" s="21" t="str">
        <x:v>V1</x:v>
      </x:c>
      <x:c r="C164" s="21" t="str">
        <x:v>five_to_nineteen_unit_structures</x:v>
      </x:c>
      <x:c r="D164" s="24" t="n">
        <x:v>2270</x:v>
      </x:c>
      <x:c r="E164" s="43" t="n">
        <x:v>286.8231731145651</x:v>
      </x:c>
      <x:c r="F164" s="43" t="n">
        <x:v>7.914283826339579</x:v>
      </x:c>
      <x:c r="G164" s="43" t="n">
        <x:v>2270</x:v>
      </x:c>
      <x:c r="H164" s="43" t="n">
        <x:v>82267.5326355078</x:v>
      </x:c>
      <x:c r="I164" s="21" t="str">
        <x:v>INTERIOR</x:v>
      </x:c>
    </x:row>
    <x:row r="165">
      <x:c r="A165" s="21" t="str">
        <x:v>NYC-V1-R04</x:v>
      </x:c>
      <x:c r="B165" s="21" t="str">
        <x:v>V1</x:v>
      </x:c>
      <x:c r="C165" s="21" t="str">
        <x:v>twenty_to_forty_nine_unit_structures</x:v>
      </x:c>
      <x:c r="D165" s="24" t="n">
        <x:v>2860</x:v>
      </x:c>
      <x:c r="E165" s="43" t="n">
        <x:v>331.33208683289763</x:v>
      </x:c>
      <x:c r="F165" s="43" t="n">
        <x:v>8.63182321802234</x:v>
      </x:c>
      <x:c r="G165" s="43" t="n">
        <x:v>2860</x:v>
      </x:c>
      <x:c r="H165" s="43" t="n">
        <x:v>109780.95176504282</x:v>
      </x:c>
      <x:c r="I165" s="21" t="str">
        <x:v>INTERIOR</x:v>
      </x:c>
    </x:row>
    <x:row r="166">
      <x:c r="A166" s="21" t="str">
        <x:v>NYC-V1-R04</x:v>
      </x:c>
      <x:c r="B166" s="21" t="str">
        <x:v>V1</x:v>
      </x:c>
      <x:c r="C166" s="21" t="str">
        <x:v>fifty_plus_unit_structures</x:v>
      </x:c>
      <x:c r="D166" s="24" t="n">
        <x:v>8648</x:v>
      </x:c>
      <x:c r="E166" s="43" t="n">
        <x:v>471.44728630894997</x:v>
      </x:c>
      <x:c r="F166" s="43" t="n">
        <x:v>18.343514219175656</x:v>
      </x:c>
      <x:c r="G166" s="43" t="n">
        <x:v>8648</x:v>
      </x:c>
      <x:c r="H166" s="43" t="n">
        <x:v>222262.54376807305</x:v>
      </x:c>
      <x:c r="I166" s="21" t="str">
        <x:v>INTERIOR</x:v>
      </x:c>
    </x:row>
    <x:row r="167">
      <x:c r="A167" s="21" t="str">
        <x:v>NYC-V1-R04</x:v>
      </x:c>
      <x:c r="B167" s="21" t="str">
        <x:v>V1</x:v>
      </x:c>
      <x:c r="C167" s="21" t="str">
        <x:v>mobile_or_other_units</x:v>
      </x:c>
      <x:c r="D167" s="24" t="n">
        <x:v>0</x:v>
      </x:c>
      <x:c r="E167" s="43" t="n">
        <x:v>54.38606503670527</x:v>
      </x:c>
      <x:c r="F167" s="43" t="n">
        <x:v>0</x:v>
      </x:c>
      <x:c r="G167" s="43" t="n">
        <x:v>0</x:v>
      </x:c>
      <x:c r="H167" s="43" t="n">
        <x:v>2957.8440701767354</x:v>
      </x:c>
      <x:c r="I167" s="21" t="str">
        <x:v>IMPOSSIBLE_EXACT_MOMENTS</x:v>
      </x:c>
    </x:row>
    <x:row r="168">
      <x:c r="A168" s="21" t="str">
        <x:v>NYC-V1-R04</x:v>
      </x:c>
      <x:c r="B168" s="21" t="str">
        <x:v>V1</x:v>
      </x:c>
      <x:c r="C168" s="21" t="str">
        <x:v>electric_heat_households</x:v>
      </x:c>
      <x:c r="D168" s="24" t="n">
        <x:v>2858</x:v>
      </x:c>
      <x:c r="E168" s="43" t="n">
        <x:v>252.70684596979166</x:v>
      </x:c>
      <x:c r="F168" s="43" t="n">
        <x:v>11.309547191062812</x:v>
      </x:c>
      <x:c r="G168" s="43" t="n">
        <x:v>2858</x:v>
      </x:c>
      <x:c r="H168" s="43" t="n">
        <x:v>63860.75000000001</x:v>
      </x:c>
      <x:c r="I168" s="21" t="str">
        <x:v>INTERIOR</x:v>
      </x:c>
    </x:row>
    <x:row r="169">
      <x:c r="A169" s="21" t="str">
        <x:v>NYC-V1-R04</x:v>
      </x:c>
      <x:c r="B169" s="21" t="str">
        <x:v>V1</x:v>
      </x:c>
      <x:c r="C169" s="21" t="str">
        <x:v>group_quarters_population</x:v>
      </x:c>
      <x:c r="D169" s="24" t="n">
        <x:v>1116</x:v>
      </x:c>
      <x:c r="E169" s="43" t="n">
        <x:v>26.646763405712147</x:v>
      </x:c>
      <x:c r="F169" s="43" t="n">
        <x:v>41.881259011020006</x:v>
      </x:c>
      <x:c r="G169" s="43" t="n">
        <x:v>1116</x:v>
      </x:c>
      <x:c r="H169" s="43" t="n">
        <x:v>710.05</x:v>
      </x:c>
      <x:c r="I169" s="21" t="str">
        <x:v>INTERIOR</x:v>
      </x:c>
    </x:row>
    <x:row r="170">
      <x:c r="A170" s="21" t="str">
        <x:v>NYC-V2-R01</x:v>
      </x:c>
      <x:c r="B170" s="21" t="str">
        <x:v>V2</x:v>
      </x:c>
      <x:c r="C170" s="21" t="str">
        <x:v>acs_population</x:v>
      </x:c>
      <x:c r="D170" s="24" t="n">
        <x:v>30574</x:v>
      </x:c>
      <x:c r="E170" s="43" t="n">
        <x:v>1614.1890688516016</x:v>
      </x:c>
      <x:c r="F170" s="43" t="n">
        <x:v>18.940779980471284</x:v>
      </x:c>
      <x:c r="G170" s="43" t="n">
        <x:v>30574</x:v>
      </x:c>
      <x:c r="H170" s="43" t="n">
        <x:v>2605606.3500000006</x:v>
      </x:c>
      <x:c r="I170" s="21" t="str">
        <x:v>INTERIOR</x:v>
      </x:c>
    </x:row>
    <x:row r="171">
      <x:c r="A171" s="21" t="str">
        <x:v>NYC-V2-R01</x:v>
      </x:c>
      <x:c r="B171" s="21" t="str">
        <x:v>V2</x:v>
      </x:c>
      <x:c r="C171" s="21" t="str">
        <x:v>age_under_18</x:v>
      </x:c>
      <x:c r="D171" s="24" t="n">
        <x:v>7722</x:v>
      </x:c>
      <x:c r="E171" s="43" t="n">
        <x:v>870.5698995485659</x:v>
      </x:c>
      <x:c r="F171" s="43" t="n">
        <x:v>8.870051679944648</x:v>
      </x:c>
      <x:c r="G171" s="43" t="n">
        <x:v>7722</x:v>
      </x:c>
      <x:c r="H171" s="43" t="n">
        <x:v>757891.9500000001</x:v>
      </x:c>
      <x:c r="I171" s="21" t="str">
        <x:v>INTERIOR</x:v>
      </x:c>
    </x:row>
    <x:row r="172">
      <x:c r="A172" s="21" t="str">
        <x:v>NYC-V2-R01</x:v>
      </x:c>
      <x:c r="B172" s="21" t="str">
        <x:v>V2</x:v>
      </x:c>
      <x:c r="C172" s="21" t="str">
        <x:v>age_under_5</x:v>
      </x:c>
      <x:c r="D172" s="24" t="n">
        <x:v>2306</x:v>
      </x:c>
      <x:c r="E172" s="43" t="n">
        <x:v>425.9800464810529</x:v>
      </x:c>
      <x:c r="F172" s="43" t="n">
        <x:v>5.413399099440138</x:v>
      </x:c>
      <x:c r="G172" s="43" t="n">
        <x:v>2306</x:v>
      </x:c>
      <x:c r="H172" s="43" t="n">
        <x:v>181459</x:v>
      </x:c>
      <x:c r="I172" s="21" t="str">
        <x:v>INTERIOR</x:v>
      </x:c>
    </x:row>
    <x:row r="173">
      <x:c r="A173" s="21" t="str">
        <x:v>NYC-V2-R01</x:v>
      </x:c>
      <x:c r="B173" s="21" t="str">
        <x:v>V2</x:v>
      </x:c>
      <x:c r="C173" s="21" t="str">
        <x:v>age_65_plus</x:v>
      </x:c>
      <x:c r="D173" s="24" t="n">
        <x:v>3199</x:v>
      </x:c>
      <x:c r="E173" s="43" t="n">
        <x:v>337.42169461965545</x:v>
      </x:c>
      <x:c r="F173" s="43" t="n">
        <x:v>9.480718196279405</x:v>
      </x:c>
      <x:c r="G173" s="43" t="n">
        <x:v>3199</x:v>
      </x:c>
      <x:c r="H173" s="43" t="n">
        <x:v>113853.40000000002</x:v>
      </x:c>
      <x:c r="I173" s="21" t="str">
        <x:v>INTERIOR</x:v>
      </x:c>
    </x:row>
    <x:row r="174">
      <x:c r="A174" s="21" t="str">
        <x:v>NYC-V2-R01</x:v>
      </x:c>
      <x:c r="B174" s="21" t="str">
        <x:v>V2</x:v>
      </x:c>
      <x:c r="C174" s="21" t="str">
        <x:v>age_75_plus</x:v>
      </x:c>
      <x:c r="D174" s="24" t="n">
        <x:v>1273</x:v>
      </x:c>
      <x:c r="E174" s="43" t="n">
        <x:v>285.10594522036894</x:v>
      </x:c>
      <x:c r="F174" s="43" t="n">
        <x:v>4.465006855665711</x:v>
      </x:c>
      <x:c r="G174" s="43" t="n">
        <x:v>1273</x:v>
      </x:c>
      <x:c r="H174" s="43" t="n">
        <x:v>81285.40000000001</x:v>
      </x:c>
      <x:c r="I174" s="21" t="str">
        <x:v>INTERIOR</x:v>
      </x:c>
    </x:row>
    <x:row r="175">
      <x:c r="A175" s="21" t="str">
        <x:v>NYC-V2-R01</x:v>
      </x:c>
      <x:c r="B175" s="21" t="str">
        <x:v>V2</x:v>
      </x:c>
      <x:c r="C175" s="21" t="str">
        <x:v>age_85_plus</x:v>
      </x:c>
      <x:c r="D175" s="24" t="n">
        <x:v>217</x:v>
      </x:c>
      <x:c r="E175" s="43" t="n">
        <x:v>120.80956087992374</x:v>
      </x:c>
      <x:c r="F175" s="43" t="n">
        <x:v>1.7962154519846558</x:v>
      </x:c>
      <x:c r="G175" s="43" t="n">
        <x:v>217</x:v>
      </x:c>
      <x:c r="H175" s="43" t="n">
        <x:v>14594.949999999999</x:v>
      </x:c>
      <x:c r="I175" s="21" t="str">
        <x:v>BOUNDARY_SENSITIVE</x:v>
      </x:c>
    </x:row>
    <x:row r="176">
      <x:c r="A176" s="21" t="str">
        <x:v>NYC-V2-R01</x:v>
      </x:c>
      <x:c r="B176" s="21" t="str">
        <x:v>V2</x:v>
      </x:c>
      <x:c r="C176" s="21" t="str">
        <x:v>civilian_noninstitutionalized</x:v>
      </x:c>
      <x:c r="D176" s="24" t="n">
        <x:v>30571</x:v>
      </x:c>
      <x:c r="E176" s="43" t="n">
        <x:v>1613.9651018531968</x:v>
      </x:c>
      <x:c r="F176" s="43" t="n">
        <x:v>18.941549581770747</x:v>
      </x:c>
      <x:c r="G176" s="43" t="n">
        <x:v>30571</x:v>
      </x:c>
      <x:c r="H176" s="43" t="n">
        <x:v>2604883.3499999996</x:v>
      </x:c>
      <x:c r="I176" s="21" t="str">
        <x:v>INTERIOR</x:v>
      </x:c>
    </x:row>
    <x:row r="177">
      <x:c r="A177" s="21" t="str">
        <x:v>NYC-V2-R01</x:v>
      </x:c>
      <x:c r="B177" s="21" t="str">
        <x:v>V2</x:v>
      </x:c>
      <x:c r="C177" s="21" t="str">
        <x:v>any_disability</x:v>
      </x:c>
      <x:c r="D177" s="24" t="n">
        <x:v>5709</x:v>
      </x:c>
      <x:c r="E177" s="43" t="n">
        <x:v>804.5654417137241</x:v>
      </x:c>
      <x:c r="F177" s="43" t="n">
        <x:v>7.095755924887642</x:v>
      </x:c>
      <x:c r="G177" s="43" t="n">
        <x:v>5709</x:v>
      </x:c>
      <x:c r="H177" s="43" t="n">
        <x:v>647325.55</x:v>
      </x:c>
      <x:c r="I177" s="21" t="str">
        <x:v>INTERIOR</x:v>
      </x:c>
    </x:row>
    <x:row r="178">
      <x:c r="A178" s="21" t="str">
        <x:v>NYC-V2-R01</x:v>
      </x:c>
      <x:c r="B178" s="21" t="str">
        <x:v>V2</x:v>
      </x:c>
      <x:c r="C178" s="21" t="str">
        <x:v>disability_under_18</x:v>
      </x:c>
      <x:c r="D178" s="24" t="n">
        <x:v>1281</x:v>
      </x:c>
      <x:c r="E178" s="43" t="n">
        <x:v>683.9411158864482</x:v>
      </x:c>
      <x:c r="F178" s="43" t="n">
        <x:v>1.8729682574203932</x:v>
      </x:c>
      <x:c r="G178" s="43" t="n">
        <x:v>1281</x:v>
      </x:c>
      <x:c r="H178" s="43" t="n">
        <x:v>467775.44999999995</x:v>
      </x:c>
      <x:c r="I178" s="21" t="str">
        <x:v>BOUNDARY_SENSITIVE</x:v>
      </x:c>
    </x:row>
    <x:row r="179">
      <x:c r="A179" s="21" t="str">
        <x:v>NYC-V2-R01</x:v>
      </x:c>
      <x:c r="B179" s="21" t="str">
        <x:v>V2</x:v>
      </x:c>
      <x:c r="C179" s="21" t="str">
        <x:v>disability_18_64</x:v>
      </x:c>
      <x:c r="D179" s="24" t="n">
        <x:v>2681</x:v>
      </x:c>
      <x:c r="E179" s="43" t="n">
        <x:v>386.61654129123866</x:v>
      </x:c>
      <x:c r="F179" s="43" t="n">
        <x:v>6.9345196432772385</x:v>
      </x:c>
      <x:c r="G179" s="43" t="n">
        <x:v>2681</x:v>
      </x:c>
      <x:c r="H179" s="43" t="n">
        <x:v>149472.35000000003</x:v>
      </x:c>
      <x:c r="I179" s="21" t="str">
        <x:v>INTERIOR</x:v>
      </x:c>
    </x:row>
    <x:row r="180">
      <x:c r="A180" s="21" t="str">
        <x:v>NYC-V2-R01</x:v>
      </x:c>
      <x:c r="B180" s="21" t="str">
        <x:v>V2</x:v>
      </x:c>
      <x:c r="C180" s="21" t="str">
        <x:v>disability_65_plus</x:v>
      </x:c>
      <x:c r="D180" s="24" t="n">
        <x:v>1747</x:v>
      </x:c>
      <x:c r="E180" s="43" t="n">
        <x:v>287.791330654695</x:v>
      </x:c>
      <x:c r="F180" s="43" t="n">
        <x:v>6.070370486928007</x:v>
      </x:c>
      <x:c r="G180" s="43" t="n">
        <x:v>1747</x:v>
      </x:c>
      <x:c r="H180" s="43" t="n">
        <x:v>82823.84999999999</x:v>
      </x:c>
      <x:c r="I180" s="21" t="str">
        <x:v>INTERIOR</x:v>
      </x:c>
    </x:row>
    <x:row r="181">
      <x:c r="A181" s="21" t="str">
        <x:v>NYC-V2-R01</x:v>
      </x:c>
      <x:c r="B181" s="21" t="str">
        <x:v>V2</x:v>
      </x:c>
      <x:c r="C181" s="21" t="str">
        <x:v>hearing_difficulty</x:v>
      </x:c>
      <x:c r="D181" s="24" t="n">
        <x:v>811</x:v>
      </x:c>
      <x:c r="E181" s="43" t="n">
        <x:v>243.67726370155503</x:v>
      </x:c>
      <x:c r="F181" s="43" t="n">
        <x:v>3.3281726316217846</x:v>
      </x:c>
      <x:c r="G181" s="43" t="n">
        <x:v>811</x:v>
      </x:c>
      <x:c r="H181" s="43" t="n">
        <x:v>59378.60884507719</x:v>
      </x:c>
      <x:c r="I181" s="21" t="str">
        <x:v>INTERIOR</x:v>
      </x:c>
    </x:row>
    <x:row r="182">
      <x:c r="A182" s="21" t="str">
        <x:v>NYC-V2-R01</x:v>
      </x:c>
      <x:c r="B182" s="21" t="str">
        <x:v>V2</x:v>
      </x:c>
      <x:c r="C182" s="21" t="str">
        <x:v>vision_difficulty</x:v>
      </x:c>
      <x:c r="D182" s="24" t="n">
        <x:v>2372</x:v>
      </x:c>
      <x:c r="E182" s="43" t="n">
        <x:v>554.3336350576411</x:v>
      </x:c>
      <x:c r="F182" s="43" t="n">
        <x:v>4.279011501355773</x:v>
      </x:c>
      <x:c r="G182" s="43" t="n">
        <x:v>2372</x:v>
      </x:c>
      <x:c r="H182" s="43" t="n">
        <x:v>307285.77895621804</x:v>
      </x:c>
      <x:c r="I182" s="21" t="str">
        <x:v>INTERIOR</x:v>
      </x:c>
    </x:row>
    <x:row r="183">
      <x:c r="A183" s="21" t="str">
        <x:v>NYC-V2-R01</x:v>
      </x:c>
      <x:c r="B183" s="21" t="str">
        <x:v>V2</x:v>
      </x:c>
      <x:c r="C183" s="21" t="str">
        <x:v>cognitive_difficulty</x:v>
      </x:c>
      <x:c r="D183" s="24" t="n">
        <x:v>1877</x:v>
      </x:c>
      <x:c r="E183" s="43" t="n">
        <x:v>313.48218493970666</x:v>
      </x:c>
      <x:c r="F183" s="43" t="n">
        <x:v>5.987581081716051</x:v>
      </x:c>
      <x:c r="G183" s="43" t="n">
        <x:v>1877</x:v>
      </x:c>
      <x:c r="H183" s="43" t="n">
        <x:v>98271.08027457245</x:v>
      </x:c>
      <x:c r="I183" s="21" t="str">
        <x:v>INTERIOR</x:v>
      </x:c>
    </x:row>
    <x:row r="184">
      <x:c r="A184" s="21" t="str">
        <x:v>NYC-V2-R01</x:v>
      </x:c>
      <x:c r="B184" s="21" t="str">
        <x:v>V2</x:v>
      </x:c>
      <x:c r="C184" s="21" t="str">
        <x:v>ambulatory_difficulty</x:v>
      </x:c>
      <x:c r="D184" s="24" t="n">
        <x:v>2757</x:v>
      </x:c>
      <x:c r="E184" s="43" t="n">
        <x:v>406.09358763915225</x:v>
      </x:c>
      <x:c r="F184" s="43" t="n">
        <x:v>6.789075434625731</x:v>
      </x:c>
      <x:c r="G184" s="43" t="n">
        <x:v>2757</x:v>
      </x:c>
      <x:c r="H184" s="43" t="n">
        <x:v>164912.00192163783</x:v>
      </x:c>
      <x:c r="I184" s="21" t="str">
        <x:v>INTERIOR</x:v>
      </x:c>
    </x:row>
    <x:row r="185">
      <x:c r="A185" s="21" t="str">
        <x:v>NYC-V2-R01</x:v>
      </x:c>
      <x:c r="B185" s="21" t="str">
        <x:v>V2</x:v>
      </x:c>
      <x:c r="C185" s="21" t="str">
        <x:v>self_care_difficulty</x:v>
      </x:c>
      <x:c r="D185" s="24" t="n">
        <x:v>1217</x:v>
      </x:c>
      <x:c r="E185" s="43" t="n">
        <x:v>268.5403023678302</x:v>
      </x:c>
      <x:c r="F185" s="43" t="n">
        <x:v>4.531908206214155</x:v>
      </x:c>
      <x:c r="G185" s="43" t="n">
        <x:v>1217</x:v>
      </x:c>
      <x:c r="H185" s="43" t="n">
        <x:v>72113.89399580566</x:v>
      </x:c>
      <x:c r="I185" s="21" t="str">
        <x:v>INTERIOR</x:v>
      </x:c>
    </x:row>
    <x:row r="186">
      <x:c r="A186" s="21" t="str">
        <x:v>NYC-V2-R01</x:v>
      </x:c>
      <x:c r="B186" s="21" t="str">
        <x:v>V2</x:v>
      </x:c>
      <x:c r="C186" s="21" t="str">
        <x:v>independent_living_difficulty</x:v>
      </x:c>
      <x:c r="D186" s="24" t="n">
        <x:v>2028</x:v>
      </x:c>
      <x:c r="E186" s="43" t="n">
        <x:v>351.46978462815844</x:v>
      </x:c>
      <x:c r="F186" s="43" t="n">
        <x:v>5.770055033736531</x:v>
      </x:c>
      <x:c r="G186" s="43" t="n">
        <x:v>2028</x:v>
      </x:c>
      <x:c r="H186" s="43" t="n">
        <x:v>123531.00950656408</x:v>
      </x:c>
      <x:c r="I186" s="21" t="str">
        <x:v>INTERIOR</x:v>
      </x:c>
    </x:row>
    <x:row r="187">
      <x:c r="A187" s="21" t="str">
        <x:v>NYC-V2-R01</x:v>
      </x:c>
      <x:c r="B187" s="21" t="str">
        <x:v>V2</x:v>
      </x:c>
      <x:c r="C187" s="21" t="str">
        <x:v>households</x:v>
      </x:c>
      <x:c r="D187" s="24" t="n">
        <x:v>10462</x:v>
      </x:c>
      <x:c r="E187" s="43" t="n">
        <x:v>410.5093177992431</x:v>
      </x:c>
      <x:c r="F187" s="43" t="n">
        <x:v>25.485414207129818</x:v>
      </x:c>
      <x:c r="G187" s="43" t="n">
        <x:v>10462</x:v>
      </x:c>
      <x:c r="H187" s="43" t="n">
        <x:v>168517.89999999997</x:v>
      </x:c>
      <x:c r="I187" s="21" t="str">
        <x:v>INTERIOR</x:v>
      </x:c>
    </x:row>
    <x:row r="188">
      <x:c r="A188" s="21" t="str">
        <x:v>NYC-V2-R01</x:v>
      </x:c>
      <x:c r="B188" s="21" t="str">
        <x:v>V2</x:v>
      </x:c>
      <x:c r="C188" s="21" t="str">
        <x:v>family_households</x:v>
      </x:c>
      <x:c r="D188" s="24" t="n">
        <x:v>7409</x:v>
      </x:c>
      <x:c r="E188" s="43" t="n">
        <x:v>460.35513465149927</x:v>
      </x:c>
      <x:c r="F188" s="43" t="n">
        <x:v>16.094096583953178</x:v>
      </x:c>
      <x:c r="G188" s="43" t="n">
        <x:v>7409</x:v>
      </x:c>
      <x:c r="H188" s="43" t="n">
        <x:v>211926.85000000003</x:v>
      </x:c>
      <x:c r="I188" s="21" t="str">
        <x:v>INTERIOR</x:v>
      </x:c>
    </x:row>
    <x:row r="189">
      <x:c r="A189" s="21" t="str">
        <x:v>NYC-V2-R01</x:v>
      </x:c>
      <x:c r="B189" s="21" t="str">
        <x:v>V2</x:v>
      </x:c>
      <x:c r="C189" s="21" t="str">
        <x:v>nonfamily_households</x:v>
      </x:c>
      <x:c r="D189" s="24" t="n">
        <x:v>3053</x:v>
      </x:c>
      <x:c r="E189" s="43" t="n">
        <x:v>273.25821122154775</x:v>
      </x:c>
      <x:c r="F189" s="43" t="n">
        <x:v>11.172582834207091</x:v>
      </x:c>
      <x:c r="G189" s="43" t="n">
        <x:v>3053</x:v>
      </x:c>
      <x:c r="H189" s="43" t="n">
        <x:v>74670.05</x:v>
      </x:c>
      <x:c r="I189" s="21" t="str">
        <x:v>INTERIOR</x:v>
      </x:c>
    </x:row>
    <x:row r="190">
      <x:c r="A190" s="21" t="str">
        <x:v>NYC-V2-R01</x:v>
      </x:c>
      <x:c r="B190" s="21" t="str">
        <x:v>V2</x:v>
      </x:c>
      <x:c r="C190" s="21" t="str">
        <x:v>living_alone_households</x:v>
      </x:c>
      <x:c r="D190" s="24" t="n">
        <x:v>2641</x:v>
      </x:c>
      <x:c r="E190" s="43" t="n">
        <x:v>273.2109990465245</x:v>
      </x:c>
      <x:c r="F190" s="43" t="n">
        <x:v>9.66652151347051</x:v>
      </x:c>
      <x:c r="G190" s="43" t="n">
        <x:v>2641</x:v>
      </x:c>
      <x:c r="H190" s="43" t="n">
        <x:v>74644.25</x:v>
      </x:c>
      <x:c r="I190" s="21" t="str">
        <x:v>INTERIOR</x:v>
      </x:c>
    </x:row>
    <x:row r="191">
      <x:c r="A191" s="21" t="str">
        <x:v>NYC-V2-R01</x:v>
      </x:c>
      <x:c r="B191" s="21" t="str">
        <x:v>V2</x:v>
      </x:c>
      <x:c r="C191" s="21" t="str">
        <x:v>households_with_children</x:v>
      </x:c>
      <x:c r="D191" s="24" t="n">
        <x:v>3714</x:v>
      </x:c>
      <x:c r="E191" s="43" t="n">
        <x:v>328.80875900742063</x:v>
      </x:c>
      <x:c r="F191" s="43" t="n">
        <x:v>11.295319538358713</x:v>
      </x:c>
      <x:c r="G191" s="43" t="n">
        <x:v>3714</x:v>
      </x:c>
      <x:c r="H191" s="43" t="n">
        <x:v>108115.20000000003</x:v>
      </x:c>
      <x:c r="I191" s="21" t="str">
        <x:v>INTERIOR</x:v>
      </x:c>
    </x:row>
    <x:row r="192">
      <x:c r="A192" s="21" t="str">
        <x:v>NYC-V2-R01</x:v>
      </x:c>
      <x:c r="B192" s="21" t="str">
        <x:v>V2</x:v>
      </x:c>
      <x:c r="C192" s="21" t="str">
        <x:v>households_with_age65</x:v>
      </x:c>
      <x:c r="D192" s="24" t="n">
        <x:v>3079</x:v>
      </x:c>
      <x:c r="E192" s="43" t="n">
        <x:v>334.2229794613171</x:v>
      </x:c>
      <x:c r="F192" s="43" t="n">
        <x:v>9.21241263830084</x:v>
      </x:c>
      <x:c r="G192" s="43" t="n">
        <x:v>3079</x:v>
      </x:c>
      <x:c r="H192" s="43" t="n">
        <x:v>111704.99999999999</x:v>
      </x:c>
      <x:c r="I192" s="21" t="str">
        <x:v>INTERIOR</x:v>
      </x:c>
    </x:row>
    <x:row r="193">
      <x:c r="A193" s="21" t="str">
        <x:v>NYC-V2-R01</x:v>
      </x:c>
      <x:c r="B193" s="21" t="str">
        <x:v>V2</x:v>
      </x:c>
      <x:c r="C193" s="21" t="str">
        <x:v>age65_one_person_households</x:v>
      </x:c>
      <x:c r="D193" s="24" t="n">
        <x:v>1092</x:v>
      </x:c>
      <x:c r="E193" s="43" t="n">
        <x:v>218.41451416973186</x:v>
      </x:c>
      <x:c r="F193" s="43" t="n">
        <x:v>4.9996677379754955</x:v>
      </x:c>
      <x:c r="G193" s="43" t="n">
        <x:v>1092</x:v>
      </x:c>
      <x:c r="H193" s="43" t="n">
        <x:v>47704.9</x:v>
      </x:c>
      <x:c r="I193" s="21" t="str">
        <x:v>INTERIOR</x:v>
      </x:c>
    </x:row>
    <x:row r="194">
      <x:c r="A194" s="21" t="str">
        <x:v>NYC-V2-R01</x:v>
      </x:c>
      <x:c r="B194" s="21" t="str">
        <x:v>V2</x:v>
      </x:c>
      <x:c r="C194" s="21" t="str">
        <x:v>no_vehicle_households</x:v>
      </x:c>
      <x:c r="D194" s="24" t="n">
        <x:v>8040</x:v>
      </x:c>
      <x:c r="E194" s="43" t="n">
        <x:v>371.7507892531437</x:v>
      </x:c>
      <x:c r="F194" s="43" t="n">
        <x:v>21.627391877640807</x:v>
      </x:c>
      <x:c r="G194" s="43" t="n">
        <x:v>8040</x:v>
      </x:c>
      <x:c r="H194" s="43" t="n">
        <x:v>138198.64931033525</x:v>
      </x:c>
      <x:c r="I194" s="21" t="str">
        <x:v>INTERIOR</x:v>
      </x:c>
    </x:row>
    <x:row r="195">
      <x:c r="A195" s="21" t="str">
        <x:v>NYC-V2-R01</x:v>
      </x:c>
      <x:c r="B195" s="21" t="str">
        <x:v>V2</x:v>
      </x:c>
      <x:c r="C195" s="21" t="str">
        <x:v>limited_english_households</x:v>
      </x:c>
      <x:c r="D195" s="24" t="n">
        <x:v>2896</x:v>
      </x:c>
      <x:c r="E195" s="43" t="n">
        <x:v>377.7273000131568</x:v>
      </x:c>
      <x:c r="F195" s="43" t="n">
        <x:v>7.666906786719223</x:v>
      </x:c>
      <x:c r="G195" s="43" t="n">
        <x:v>2896</x:v>
      </x:c>
      <x:c r="H195" s="43" t="n">
        <x:v>142677.9131752294</x:v>
      </x:c>
      <x:c r="I195" s="21" t="str">
        <x:v>INTERIOR</x:v>
      </x:c>
    </x:row>
    <x:row r="196">
      <x:c r="A196" s="21" t="str">
        <x:v>NYC-V2-R01</x:v>
      </x:c>
      <x:c r="B196" s="21" t="str">
        <x:v>V2</x:v>
      </x:c>
      <x:c r="C196" s="21" t="str">
        <x:v>housing_units</x:v>
      </x:c>
      <x:c r="D196" s="24" t="n">
        <x:v>10547</x:v>
      </x:c>
      <x:c r="E196" s="43" t="n">
        <x:v>402.9718972831728</x:v>
      </x:c>
      <x:c r="F196" s="43" t="n">
        <x:v>26.173041026204633</x:v>
      </x:c>
      <x:c r="G196" s="43" t="n">
        <x:v>10547</x:v>
      </x:c>
      <x:c r="H196" s="43" t="n">
        <x:v>162386.34999999995</x:v>
      </x:c>
      <x:c r="I196" s="21" t="str">
        <x:v>INTERIOR</x:v>
      </x:c>
    </x:row>
    <x:row r="197">
      <x:c r="A197" s="21" t="str">
        <x:v>NYC-V2-R01</x:v>
      </x:c>
      <x:c r="B197" s="21" t="str">
        <x:v>V2</x:v>
      </x:c>
      <x:c r="C197" s="21" t="str">
        <x:v>occupied_housing_units</x:v>
      </x:c>
      <x:c r="D197" s="24" t="n">
        <x:v>10462</x:v>
      </x:c>
      <x:c r="E197" s="43" t="n">
        <x:v>410.5093177992431</x:v>
      </x:c>
      <x:c r="F197" s="43" t="n">
        <x:v>25.485414207129818</x:v>
      </x:c>
      <x:c r="G197" s="43" t="n">
        <x:v>10462</x:v>
      </x:c>
      <x:c r="H197" s="43" t="n">
        <x:v>168517.89999999997</x:v>
      </x:c>
      <x:c r="I197" s="21" t="str">
        <x:v>INTERIOR</x:v>
      </x:c>
    </x:row>
    <x:row r="198">
      <x:c r="A198" s="21" t="str">
        <x:v>NYC-V2-R01</x:v>
      </x:c>
      <x:c r="B198" s="21" t="str">
        <x:v>V2</x:v>
      </x:c>
      <x:c r="C198" s="21" t="str">
        <x:v>vacant_housing_units</x:v>
      </x:c>
      <x:c r="D198" s="24" t="n">
        <x:v>85</x:v>
      </x:c>
      <x:c r="E198" s="43" t="n">
        <x:v>47.14074670600797</x:v>
      </x:c>
      <x:c r="F198" s="43" t="n">
        <x:v>1.8031110226170213</x:v>
      </x:c>
      <x:c r="G198" s="43" t="n">
        <x:v>85</x:v>
      </x:c>
      <x:c r="H198" s="43" t="n">
        <x:v>2222.250000000001</x:v>
      </x:c>
      <x:c r="I198" s="21" t="str">
        <x:v>BOUNDARY_SENSITIVE</x:v>
      </x:c>
    </x:row>
    <x:row r="199">
      <x:c r="A199" s="21" t="str">
        <x:v>NYC-V2-R01</x:v>
      </x:c>
      <x:c r="B199" s="21" t="str">
        <x:v>V2</x:v>
      </x:c>
      <x:c r="C199" s="21" t="str">
        <x:v>owner_occupied_units</x:v>
      </x:c>
      <x:c r="D199" s="24" t="n">
        <x:v>429</x:v>
      </x:c>
      <x:c r="E199" s="43" t="n">
        <x:v>140.9941251160037</x:v>
      </x:c>
      <x:c r="F199" s="43" t="n">
        <x:v>3.042679967318056</x:v>
      </x:c>
      <x:c r="G199" s="43" t="n">
        <x:v>429</x:v>
      </x:c>
      <x:c r="H199" s="43" t="n">
        <x:v>19879.343317227303</x:v>
      </x:c>
      <x:c r="I199" s="21" t="str">
        <x:v>INTERIOR</x:v>
      </x:c>
    </x:row>
    <x:row r="200">
      <x:c r="A200" s="21" t="str">
        <x:v>NYC-V2-R01</x:v>
      </x:c>
      <x:c r="B200" s="21" t="str">
        <x:v>V2</x:v>
      </x:c>
      <x:c r="C200" s="21" t="str">
        <x:v>renter_occupied_units</x:v>
      </x:c>
      <x:c r="D200" s="24" t="n">
        <x:v>10033</x:v>
      </x:c>
      <x:c r="E200" s="43" t="n">
        <x:v>386.38232835492084</x:v>
      </x:c>
      <x:c r="F200" s="43" t="n">
        <x:v>25.966508465117858</x:v>
      </x:c>
      <x:c r="G200" s="43" t="n">
        <x:v>10033</x:v>
      </x:c>
      <x:c r="H200" s="43" t="n">
        <x:v>149291.30366496986</x:v>
      </x:c>
      <x:c r="I200" s="21" t="str">
        <x:v>INTERIOR</x:v>
      </x:c>
    </x:row>
    <x:row r="201">
      <x:c r="A201" s="21" t="str">
        <x:v>NYC-V2-R01</x:v>
      </x:c>
      <x:c r="B201" s="21" t="str">
        <x:v>V2</x:v>
      </x:c>
      <x:c r="C201" s="21" t="str">
        <x:v>one_unit_structures</x:v>
      </x:c>
      <x:c r="D201" s="24" t="n">
        <x:v>330</x:v>
      </x:c>
      <x:c r="E201" s="43" t="n">
        <x:v>113.64204693968678</x:v>
      </x:c>
      <x:c r="F201" s="43" t="n">
        <x:v>2.903854769310349</x:v>
      </x:c>
      <x:c r="G201" s="43" t="n">
        <x:v>330</x:v>
      </x:c>
      <x:c r="H201" s="43" t="n">
        <x:v>12914.514832641973</x:v>
      </x:c>
      <x:c r="I201" s="21" t="str">
        <x:v>INTERIOR</x:v>
      </x:c>
    </x:row>
    <x:row r="202">
      <x:c r="A202" s="21" t="str">
        <x:v>NYC-V2-R01</x:v>
      </x:c>
      <x:c r="B202" s="21" t="str">
        <x:v>V2</x:v>
      </x:c>
      <x:c r="C202" s="21" t="str">
        <x:v>two_to_four_unit_structures</x:v>
      </x:c>
      <x:c r="D202" s="24" t="n">
        <x:v>995</x:v>
      </x:c>
      <x:c r="E202" s="43" t="n">
        <x:v>220.3075075029853</x:v>
      </x:c>
      <x:c r="F202" s="43" t="n">
        <x:v>4.516414403111148</x:v>
      </x:c>
      <x:c r="G202" s="43" t="n">
        <x:v>995</x:v>
      </x:c>
      <x:c r="H202" s="43" t="n">
        <x:v>48535.39786217792</x:v>
      </x:c>
      <x:c r="I202" s="21" t="str">
        <x:v>INTERIOR</x:v>
      </x:c>
    </x:row>
    <x:row r="203">
      <x:c r="A203" s="21" t="str">
        <x:v>NYC-V2-R01</x:v>
      </x:c>
      <x:c r="B203" s="21" t="str">
        <x:v>V2</x:v>
      </x:c>
      <x:c r="C203" s="21" t="str">
        <x:v>five_to_nineteen_unit_structures</x:v>
      </x:c>
      <x:c r="D203" s="24" t="n">
        <x:v>1569</x:v>
      </x:c>
      <x:c r="E203" s="43" t="n">
        <x:v>291.96993135018386</x:v>
      </x:c>
      <x:c r="F203" s="43" t="n">
        <x:v>5.373841041590572</x:v>
      </x:c>
      <x:c r="G203" s="43" t="n">
        <x:v>1569</x:v>
      </x:c>
      <x:c r="H203" s="43" t="n">
        <x:v>85246.44081263107</x:v>
      </x:c>
      <x:c r="I203" s="21" t="str">
        <x:v>INTERIOR</x:v>
      </x:c>
    </x:row>
    <x:row r="204">
      <x:c r="A204" s="21" t="str">
        <x:v>NYC-V2-R01</x:v>
      </x:c>
      <x:c r="B204" s="21" t="str">
        <x:v>V2</x:v>
      </x:c>
      <x:c r="C204" s="21" t="str">
        <x:v>twenty_to_forty_nine_unit_structures</x:v>
      </x:c>
      <x:c r="D204" s="24" t="n">
        <x:v>4903</x:v>
      </x:c>
      <x:c r="E204" s="43" t="n">
        <x:v>404.0765653653645</x:v>
      </x:c>
      <x:c r="F204" s="43" t="n">
        <x:v>12.133839030151936</x:v>
      </x:c>
      <x:c r="G204" s="43" t="n">
        <x:v>4903</x:v>
      </x:c>
      <x:c r="H204" s="43" t="n">
        <x:v>163277.87067746968</x:v>
      </x:c>
      <x:c r="I204" s="21" t="str">
        <x:v>INTERIOR</x:v>
      </x:c>
    </x:row>
    <x:row r="205">
      <x:c r="A205" s="21" t="str">
        <x:v>NYC-V2-R01</x:v>
      </x:c>
      <x:c r="B205" s="21" t="str">
        <x:v>V2</x:v>
      </x:c>
      <x:c r="C205" s="21" t="str">
        <x:v>fifty_plus_unit_structures</x:v>
      </x:c>
      <x:c r="D205" s="24" t="n">
        <x:v>2654</x:v>
      </x:c>
      <x:c r="E205" s="43" t="n">
        <x:v>383.03516735601954</x:v>
      </x:c>
      <x:c r="F205" s="43" t="n">
        <x:v>6.928867702461345</x:v>
      </x:c>
      <x:c r="G205" s="43" t="n">
        <x:v>2654</x:v>
      </x:c>
      <x:c r="H205" s="43" t="n">
        <x:v>146715.9394314539</x:v>
      </x:c>
      <x:c r="I205" s="21" t="str">
        <x:v>INTERIOR</x:v>
      </x:c>
    </x:row>
    <x:row r="206">
      <x:c r="A206" s="21" t="str">
        <x:v>NYC-V2-R01</x:v>
      </x:c>
      <x:c r="B206" s="21" t="str">
        <x:v>V2</x:v>
      </x:c>
      <x:c r="C206" s="21" t="str">
        <x:v>mobile_or_other_units</x:v>
      </x:c>
      <x:c r="D206" s="24" t="n">
        <x:v>11</x:v>
      </x:c>
      <x:c r="E206" s="43" t="n">
        <x:v>51.005901430767246</x:v>
      </x:c>
      <x:c r="F206" s="43" t="n">
        <x:v>0.21566131940498742</x:v>
      </x:c>
      <x:c r="G206" s="43" t="n">
        <x:v>11</x:v>
      </x:c>
      <x:c r="H206" s="43" t="n">
        <x:v>2601.601980765144</x:v>
      </x:c>
      <x:c r="I206" s="21" t="str">
        <x:v>BOUNDARY_SENSITIVE</x:v>
      </x:c>
    </x:row>
    <x:row r="207">
      <x:c r="A207" s="21" t="str">
        <x:v>NYC-V2-R01</x:v>
      </x:c>
      <x:c r="B207" s="21" t="str">
        <x:v>V2</x:v>
      </x:c>
      <x:c r="C207" s="21" t="str">
        <x:v>electric_heat_households</x:v>
      </x:c>
      <x:c r="D207" s="24" t="n">
        <x:v>2354</x:v>
      </x:c>
      <x:c r="E207" s="43" t="n">
        <x:v>278.36298245276794</x:v>
      </x:c>
      <x:c r="F207" s="43" t="n">
        <x:v>8.456584202604676</x:v>
      </x:c>
      <x:c r="G207" s="43" t="n">
        <x:v>2354</x:v>
      </x:c>
      <x:c r="H207" s="43" t="n">
        <x:v>77485.95</x:v>
      </x:c>
      <x:c r="I207" s="21" t="str">
        <x:v>INTERIOR</x:v>
      </x:c>
    </x:row>
    <x:row r="208">
      <x:c r="A208" s="21" t="str">
        <x:v>NYC-V2-R01</x:v>
      </x:c>
      <x:c r="B208" s="21" t="str">
        <x:v>V2</x:v>
      </x:c>
      <x:c r="C208" s="21" t="str">
        <x:v>group_quarters_population</x:v>
      </x:c>
      <x:c r="D208" s="24" t="n">
        <x:v>958</x:v>
      </x:c>
      <x:c r="E208" s="43" t="n">
        <x:v>28.324018076537094</x:v>
      </x:c>
      <x:c r="F208" s="43" t="n">
        <x:v>33.822884783200415</x:v>
      </x:c>
      <x:c r="G208" s="43" t="n">
        <x:v>958</x:v>
      </x:c>
      <x:c r="H208" s="43" t="n">
        <x:v>802.25</x:v>
      </x:c>
      <x:c r="I208" s="21" t="str">
        <x:v>INTERIOR</x:v>
      </x:c>
    </x:row>
    <x:row r="209">
      <x:c r="A209" s="21" t="str">
        <x:v>NYC-V2-R02</x:v>
      </x:c>
      <x:c r="B209" s="21" t="str">
        <x:v>V2</x:v>
      </x:c>
      <x:c r="C209" s="21" t="str">
        <x:v>acs_population</x:v>
      </x:c>
      <x:c r="D209" s="24" t="n">
        <x:v>29733</x:v>
      </x:c>
      <x:c r="E209" s="43" t="n">
        <x:v>1298.049844959738</x:v>
      </x:c>
      <x:c r="F209" s="43" t="n">
        <x:v>22.905900043401058</x:v>
      </x:c>
      <x:c r="G209" s="43" t="n">
        <x:v>29733</x:v>
      </x:c>
      <x:c r="H209" s="43" t="n">
        <x:v>1684933.4</x:v>
      </x:c>
      <x:c r="I209" s="21" t="str">
        <x:v>INTERIOR</x:v>
      </x:c>
    </x:row>
    <x:row r="210">
      <x:c r="A210" s="21" t="str">
        <x:v>NYC-V2-R02</x:v>
      </x:c>
      <x:c r="B210" s="21" t="str">
        <x:v>V2</x:v>
      </x:c>
      <x:c r="C210" s="21" t="str">
        <x:v>age_under_18</x:v>
      </x:c>
      <x:c r="D210" s="24" t="n">
        <x:v>5104</x:v>
      </x:c>
      <x:c r="E210" s="43" t="n">
        <x:v>531.2096102293332</x:v>
      </x:c>
      <x:c r="F210" s="43" t="n">
        <x:v>9.608259906661905</x:v>
      </x:c>
      <x:c r="G210" s="43" t="n">
        <x:v>5104</x:v>
      </x:c>
      <x:c r="H210" s="43" t="n">
        <x:v>282183.6500000001</x:v>
      </x:c>
      <x:c r="I210" s="21" t="str">
        <x:v>INTERIOR</x:v>
      </x:c>
    </x:row>
    <x:row r="211">
      <x:c r="A211" s="21" t="str">
        <x:v>NYC-V2-R02</x:v>
      </x:c>
      <x:c r="B211" s="21" t="str">
        <x:v>V2</x:v>
      </x:c>
      <x:c r="C211" s="21" t="str">
        <x:v>age_under_5</x:v>
      </x:c>
      <x:c r="D211" s="24" t="n">
        <x:v>1038</x:v>
      </x:c>
      <x:c r="E211" s="43" t="n">
        <x:v>185.59135216922152</x:v>
      </x:c>
      <x:c r="F211" s="43" t="n">
        <x:v>5.592933010443048</x:v>
      </x:c>
      <x:c r="G211" s="43" t="n">
        <x:v>1038</x:v>
      </x:c>
      <x:c r="H211" s="43" t="n">
        <x:v>34444.15000000001</x:v>
      </x:c>
      <x:c r="I211" s="21" t="str">
        <x:v>INTERIOR</x:v>
      </x:c>
    </x:row>
    <x:row r="212">
      <x:c r="A212" s="21" t="str">
        <x:v>NYC-V2-R02</x:v>
      </x:c>
      <x:c r="B212" s="21" t="str">
        <x:v>V2</x:v>
      </x:c>
      <x:c r="C212" s="21" t="str">
        <x:v>age_65_plus</x:v>
      </x:c>
      <x:c r="D212" s="24" t="n">
        <x:v>5759</x:v>
      </x:c>
      <x:c r="E212" s="43" t="n">
        <x:v>343.94141943069314</x:v>
      </x:c>
      <x:c r="F212" s="43" t="n">
        <x:v>16.744130467137538</x:v>
      </x:c>
      <x:c r="G212" s="43" t="n">
        <x:v>5759</x:v>
      </x:c>
      <x:c r="H212" s="43" t="n">
        <x:v>118295.69999999998</x:v>
      </x:c>
      <x:c r="I212" s="21" t="str">
        <x:v>INTERIOR</x:v>
      </x:c>
    </x:row>
    <x:row r="213">
      <x:c r="A213" s="21" t="str">
        <x:v>NYC-V2-R02</x:v>
      </x:c>
      <x:c r="B213" s="21" t="str">
        <x:v>V2</x:v>
      </x:c>
      <x:c r="C213" s="21" t="str">
        <x:v>age_75_plus</x:v>
      </x:c>
      <x:c r="D213" s="24" t="n">
        <x:v>2055</x:v>
      </x:c>
      <x:c r="E213" s="43" t="n">
        <x:v>195.34418343017023</x:v>
      </x:c>
      <x:c r="F213" s="43" t="n">
        <x:v>10.519893471691733</x:v>
      </x:c>
      <x:c r="G213" s="43" t="n">
        <x:v>2055</x:v>
      </x:c>
      <x:c r="H213" s="43" t="n">
        <x:v>38159.34999999999</x:v>
      </x:c>
      <x:c r="I213" s="21" t="str">
        <x:v>INTERIOR</x:v>
      </x:c>
    </x:row>
    <x:row r="214">
      <x:c r="A214" s="21" t="str">
        <x:v>NYC-V2-R02</x:v>
      </x:c>
      <x:c r="B214" s="21" t="str">
        <x:v>V2</x:v>
      </x:c>
      <x:c r="C214" s="21" t="str">
        <x:v>age_85_plus</x:v>
      </x:c>
      <x:c r="D214" s="24" t="n">
        <x:v>552</x:v>
      </x:c>
      <x:c r="E214" s="43" t="n">
        <x:v>105.49099487634004</x:v>
      </x:c>
      <x:c r="F214" s="43" t="n">
        <x:v>5.232674131541486</x:v>
      </x:c>
      <x:c r="G214" s="43" t="n">
        <x:v>552</x:v>
      </x:c>
      <x:c r="H214" s="43" t="n">
        <x:v>11128.35</x:v>
      </x:c>
      <x:c r="I214" s="21" t="str">
        <x:v>INTERIOR</x:v>
      </x:c>
    </x:row>
    <x:row r="215">
      <x:c r="A215" s="21" t="str">
        <x:v>NYC-V2-R02</x:v>
      </x:c>
      <x:c r="B215" s="21" t="str">
        <x:v>V2</x:v>
      </x:c>
      <x:c r="C215" s="21" t="str">
        <x:v>civilian_noninstitutionalized</x:v>
      </x:c>
      <x:c r="D215" s="24" t="n">
        <x:v>29472</x:v>
      </x:c>
      <x:c r="E215" s="43" t="n">
        <x:v>1298.8511654535325</x:v>
      </x:c>
      <x:c r="F215" s="43" t="n">
        <x:v>22.690821538208326</x:v>
      </x:c>
      <x:c r="G215" s="43" t="n">
        <x:v>29472</x:v>
      </x:c>
      <x:c r="H215" s="43" t="n">
        <x:v>1687014.3499999996</x:v>
      </x:c>
      <x:c r="I215" s="21" t="str">
        <x:v>INTERIOR</x:v>
      </x:c>
    </x:row>
    <x:row r="216">
      <x:c r="A216" s="21" t="str">
        <x:v>NYC-V2-R02</x:v>
      </x:c>
      <x:c r="B216" s="21" t="str">
        <x:v>V2</x:v>
      </x:c>
      <x:c r="C216" s="21" t="str">
        <x:v>any_disability</x:v>
      </x:c>
      <x:c r="D216" s="24" t="n">
        <x:v>3715</x:v>
      </x:c>
      <x:c r="E216" s="43" t="n">
        <x:v>295.7860713421104</x:v>
      </x:c>
      <x:c r="F216" s="43" t="n">
        <x:v>12.559753010489725</x:v>
      </x:c>
      <x:c r="G216" s="43" t="n">
        <x:v>3715</x:v>
      </x:c>
      <x:c r="H216" s="43" t="n">
        <x:v>87489.40000000002</x:v>
      </x:c>
      <x:c r="I216" s="21" t="str">
        <x:v>INTERIOR</x:v>
      </x:c>
    </x:row>
    <x:row r="217">
      <x:c r="A217" s="21" t="str">
        <x:v>NYC-V2-R02</x:v>
      </x:c>
      <x:c r="B217" s="21" t="str">
        <x:v>V2</x:v>
      </x:c>
      <x:c r="C217" s="21" t="str">
        <x:v>disability_under_18</x:v>
      </x:c>
      <x:c r="D217" s="24" t="n">
        <x:v>387</x:v>
      </x:c>
      <x:c r="E217" s="43" t="n">
        <x:v>114.48537024441158</x:v>
      </x:c>
      <x:c r="F217" s="43" t="n">
        <x:v>3.380344573055969</x:v>
      </x:c>
      <x:c r="G217" s="43" t="n">
        <x:v>387</x:v>
      </x:c>
      <x:c r="H217" s="43" t="n">
        <x:v>13106.900000000001</x:v>
      </x:c>
      <x:c r="I217" s="21" t="str">
        <x:v>INTERIOR</x:v>
      </x:c>
    </x:row>
    <x:row r="218">
      <x:c r="A218" s="21" t="str">
        <x:v>NYC-V2-R02</x:v>
      </x:c>
      <x:c r="B218" s="21" t="str">
        <x:v>V2</x:v>
      </x:c>
      <x:c r="C218" s="21" t="str">
        <x:v>disability_18_64</x:v>
      </x:c>
      <x:c r="D218" s="24" t="n">
        <x:v>1482</x:v>
      </x:c>
      <x:c r="E218" s="43" t="n">
        <x:v>195.66246446367785</x:v>
      </x:c>
      <x:c r="F218" s="43" t="n">
        <x:v>7.5742682893331015</x:v>
      </x:c>
      <x:c r="G218" s="43" t="n">
        <x:v>1482</x:v>
      </x:c>
      <x:c r="H218" s="43" t="n">
        <x:v>38283.799999999996</x:v>
      </x:c>
      <x:c r="I218" s="21" t="str">
        <x:v>INTERIOR</x:v>
      </x:c>
    </x:row>
    <x:row r="219">
      <x:c r="A219" s="21" t="str">
        <x:v>NYC-V2-R02</x:v>
      </x:c>
      <x:c r="B219" s="21" t="str">
        <x:v>V2</x:v>
      </x:c>
      <x:c r="C219" s="21" t="str">
        <x:v>disability_65_plus</x:v>
      </x:c>
      <x:c r="D219" s="24" t="n">
        <x:v>1846</x:v>
      </x:c>
      <x:c r="E219" s="43" t="n">
        <x:v>188.32870200795205</x:v>
      </x:c>
      <x:c r="F219" s="43" t="n">
        <x:v>9.802010953816556</x:v>
      </x:c>
      <x:c r="G219" s="43" t="n">
        <x:v>1846</x:v>
      </x:c>
      <x:c r="H219" s="43" t="n">
        <x:v>35467.700000000004</x:v>
      </x:c>
      <x:c r="I219" s="21" t="str">
        <x:v>INTERIOR</x:v>
      </x:c>
    </x:row>
    <x:row r="220">
      <x:c r="A220" s="21" t="str">
        <x:v>NYC-V2-R02</x:v>
      </x:c>
      <x:c r="B220" s="21" t="str">
        <x:v>V2</x:v>
      </x:c>
      <x:c r="C220" s="21" t="str">
        <x:v>hearing_difficulty</x:v>
      </x:c>
      <x:c r="D220" s="24" t="n">
        <x:v>512</x:v>
      </x:c>
      <x:c r="E220" s="43" t="n">
        <x:v>132.73455655919363</x:v>
      </x:c>
      <x:c r="F220" s="43" t="n">
        <x:v>3.857322563711365</x:v>
      </x:c>
      <x:c r="G220" s="43" t="n">
        <x:v>512</x:v>
      </x:c>
      <x:c r="H220" s="43" t="n">
        <x:v>17618.462504965773</x:v>
      </x:c>
      <x:c r="I220" s="21" t="str">
        <x:v>INTERIOR</x:v>
      </x:c>
    </x:row>
    <x:row r="221">
      <x:c r="A221" s="21" t="str">
        <x:v>NYC-V2-R02</x:v>
      </x:c>
      <x:c r="B221" s="21" t="str">
        <x:v>V2</x:v>
      </x:c>
      <x:c r="C221" s="21" t="str">
        <x:v>vision_difficulty</x:v>
      </x:c>
      <x:c r="D221" s="24" t="n">
        <x:v>720</x:v>
      </x:c>
      <x:c r="E221" s="43" t="n">
        <x:v>140.66743201248528</x:v>
      </x:c>
      <x:c r="F221" s="43" t="n">
        <x:v>5.118455563588412</x:v>
      </x:c>
      <x:c r="G221" s="43" t="n">
        <x:v>720</x:v>
      </x:c>
      <x:c r="H221" s="43" t="n">
        <x:v>19787.32642898717</x:v>
      </x:c>
      <x:c r="I221" s="21" t="str">
        <x:v>INTERIOR</x:v>
      </x:c>
    </x:row>
    <x:row r="222">
      <x:c r="A222" s="21" t="str">
        <x:v>NYC-V2-R02</x:v>
      </x:c>
      <x:c r="B222" s="21" t="str">
        <x:v>V2</x:v>
      </x:c>
      <x:c r="C222" s="21" t="str">
        <x:v>cognitive_difficulty</x:v>
      </x:c>
      <x:c r="D222" s="24" t="n">
        <x:v>1322</x:v>
      </x:c>
      <x:c r="E222" s="43" t="n">
        <x:v>200.606981668697</x:v>
      </x:c>
      <x:c r="F222" s="43" t="n">
        <x:v>6.589999954155568</x:v>
      </x:c>
      <x:c r="G222" s="43" t="n">
        <x:v>1322</x:v>
      </x:c>
      <x:c r="H222" s="43" t="n">
        <x:v>40243.16109422493</x:v>
      </x:c>
      <x:c r="I222" s="21" t="str">
        <x:v>INTERIOR</x:v>
      </x:c>
    </x:row>
    <x:row r="223">
      <x:c r="A223" s="21" t="str">
        <x:v>NYC-V2-R02</x:v>
      </x:c>
      <x:c r="B223" s="21" t="str">
        <x:v>V2</x:v>
      </x:c>
      <x:c r="C223" s="21" t="str">
        <x:v>ambulatory_difficulty</x:v>
      </x:c>
      <x:c r="D223" s="24" t="n">
        <x:v>2506</x:v>
      </x:c>
      <x:c r="E223" s="43" t="n">
        <x:v>256.26038692582466</x:v>
      </x:c>
      <x:c r="F223" s="43" t="n">
        <x:v>9.779115805071227</x:v>
      </x:c>
      <x:c r="G223" s="43" t="n">
        <x:v>2506</x:v>
      </x:c>
      <x:c r="H223" s="43" t="n">
        <x:v>65669.38590737336</x:v>
      </x:c>
      <x:c r="I223" s="21" t="str">
        <x:v>INTERIOR</x:v>
      </x:c>
    </x:row>
    <x:row r="224">
      <x:c r="A224" s="21" t="str">
        <x:v>NYC-V2-R02</x:v>
      </x:c>
      <x:c r="B224" s="21" t="str">
        <x:v>V2</x:v>
      </x:c>
      <x:c r="C224" s="21" t="str">
        <x:v>self_care_difficulty</x:v>
      </x:c>
      <x:c r="D224" s="24" t="n">
        <x:v>828</x:v>
      </x:c>
      <x:c r="E224" s="43" t="n">
        <x:v>170.2127659574468</x:v>
      </x:c>
      <x:c r="F224" s="43" t="n">
        <x:v>4.8645000000000005</x:v>
      </x:c>
      <x:c r="G224" s="43" t="n">
        <x:v>828</x:v>
      </x:c>
      <x:c r="H224" s="43" t="n">
        <x:v>28972.38569488456</x:v>
      </x:c>
      <x:c r="I224" s="21" t="str">
        <x:v>INTERIOR</x:v>
      </x:c>
    </x:row>
    <x:row r="225">
      <x:c r="A225" s="21" t="str">
        <x:v>NYC-V2-R02</x:v>
      </x:c>
      <x:c r="B225" s="21" t="str">
        <x:v>V2</x:v>
      </x:c>
      <x:c r="C225" s="21" t="str">
        <x:v>independent_living_difficulty</x:v>
      </x:c>
      <x:c r="D225" s="24" t="n">
        <x:v>1257</x:v>
      </x:c>
      <x:c r="E225" s="43" t="n">
        <x:v>185.50000323103495</x:v>
      </x:c>
      <x:c r="F225" s="43" t="n">
        <x:v>6.776280205421034</x:v>
      </x:c>
      <x:c r="G225" s="43" t="n">
        <x:v>1257</x:v>
      </x:c>
      <x:c r="H225" s="43" t="n">
        <x:v>34410.25119871398</x:v>
      </x:c>
      <x:c r="I225" s="21" t="str">
        <x:v>INTERIOR</x:v>
      </x:c>
    </x:row>
    <x:row r="226">
      <x:c r="A226" s="21" t="str">
        <x:v>NYC-V2-R02</x:v>
      </x:c>
      <x:c r="B226" s="21" t="str">
        <x:v>V2</x:v>
      </x:c>
      <x:c r="C226" s="21" t="str">
        <x:v>households</x:v>
      </x:c>
      <x:c r="D226" s="24" t="n">
        <x:v>11727</x:v>
      </x:c>
      <x:c r="E226" s="43" t="n">
        <x:v>401.0303604466874</x:v>
      </x:c>
      <x:c r="F226" s="43" t="n">
        <x:v>29.24217504863694</x:v>
      </x:c>
      <x:c r="G226" s="43" t="n">
        <x:v>11727</x:v>
      </x:c>
      <x:c r="H226" s="43" t="n">
        <x:v>160825.35</x:v>
      </x:c>
      <x:c r="I226" s="21" t="str">
        <x:v>INTERIOR</x:v>
      </x:c>
    </x:row>
    <x:row r="227">
      <x:c r="A227" s="21" t="str">
        <x:v>NYC-V2-R02</x:v>
      </x:c>
      <x:c r="B227" s="21" t="str">
        <x:v>V2</x:v>
      </x:c>
      <x:c r="C227" s="21" t="str">
        <x:v>family_households</x:v>
      </x:c>
      <x:c r="D227" s="24" t="n">
        <x:v>7655</x:v>
      </x:c>
      <x:c r="E227" s="43" t="n">
        <x:v>424.5146640576742</x:v>
      </x:c>
      <x:c r="F227" s="43" t="n">
        <x:v>18.032357061192116</x:v>
      </x:c>
      <x:c r="G227" s="43" t="n">
        <x:v>7655</x:v>
      </x:c>
      <x:c r="H227" s="43" t="n">
        <x:v>180212.7</x:v>
      </x:c>
      <x:c r="I227" s="21" t="str">
        <x:v>INTERIOR</x:v>
      </x:c>
    </x:row>
    <x:row r="228">
      <x:c r="A228" s="21" t="str">
        <x:v>NYC-V2-R02</x:v>
      </x:c>
      <x:c r="B228" s="21" t="str">
        <x:v>V2</x:v>
      </x:c>
      <x:c r="C228" s="21" t="str">
        <x:v>nonfamily_households</x:v>
      </x:c>
      <x:c r="D228" s="24" t="n">
        <x:v>4072</x:v>
      </x:c>
      <x:c r="E228" s="43" t="n">
        <x:v>306.7437855931233</x:v>
      </x:c>
      <x:c r="F228" s="43" t="n">
        <x:v>13.27492256159757</x:v>
      </x:c>
      <x:c r="G228" s="43" t="n">
        <x:v>4072</x:v>
      </x:c>
      <x:c r="H228" s="43" t="n">
        <x:v>94091.74999999999</x:v>
      </x:c>
      <x:c r="I228" s="21" t="str">
        <x:v>INTERIOR</x:v>
      </x:c>
    </x:row>
    <x:row r="229">
      <x:c r="A229" s="21" t="str">
        <x:v>NYC-V2-R02</x:v>
      </x:c>
      <x:c r="B229" s="21" t="str">
        <x:v>V2</x:v>
      </x:c>
      <x:c r="C229" s="21" t="str">
        <x:v>living_alone_households</x:v>
      </x:c>
      <x:c r="D229" s="24" t="n">
        <x:v>3663</x:v>
      </x:c>
      <x:c r="E229" s="43" t="n">
        <x:v>297.7568639007336</x:v>
      </x:c>
      <x:c r="F229" s="43" t="n">
        <x:v>12.301983410267155</x:v>
      </x:c>
      <x:c r="G229" s="43" t="n">
        <x:v>3663</x:v>
      </x:c>
      <x:c r="H229" s="43" t="n">
        <x:v>88659.15</x:v>
      </x:c>
      <x:c r="I229" s="21" t="str">
        <x:v>INTERIOR</x:v>
      </x:c>
    </x:row>
    <x:row r="230">
      <x:c r="A230" s="21" t="str">
        <x:v>NYC-V2-R02</x:v>
      </x:c>
      <x:c r="B230" s="21" t="str">
        <x:v>V2</x:v>
      </x:c>
      <x:c r="C230" s="21" t="str">
        <x:v>households_with_children</x:v>
      </x:c>
      <x:c r="D230" s="24" t="n">
        <x:v>3031</x:v>
      </x:c>
      <x:c r="E230" s="43" t="n">
        <x:v>311.79376196453967</x:v>
      </x:c>
      <x:c r="F230" s="43" t="n">
        <x:v>9.721169470814223</x:v>
      </x:c>
      <x:c r="G230" s="43" t="n">
        <x:v>3031</x:v>
      </x:c>
      <x:c r="H230" s="43" t="n">
        <x:v>97215.35000000002</x:v>
      </x:c>
      <x:c r="I230" s="21" t="str">
        <x:v>INTERIOR</x:v>
      </x:c>
    </x:row>
    <x:row r="231">
      <x:c r="A231" s="21" t="str">
        <x:v>NYC-V2-R02</x:v>
      </x:c>
      <x:c r="B231" s="21" t="str">
        <x:v>V2</x:v>
      </x:c>
      <x:c r="C231" s="21" t="str">
        <x:v>households_with_age65</x:v>
      </x:c>
      <x:c r="D231" s="24" t="n">
        <x:v>4698</x:v>
      </x:c>
      <x:c r="E231" s="43" t="n">
        <x:v>292.9354877784527</x:v>
      </x:c>
      <x:c r="F231" s="43" t="n">
        <x:v>16.03766083661772</x:v>
      </x:c>
      <x:c r="G231" s="43" t="n">
        <x:v>4698</x:v>
      </x:c>
      <x:c r="H231" s="43" t="n">
        <x:v>85811.2</x:v>
      </x:c>
      <x:c r="I231" s="21" t="str">
        <x:v>INTERIOR</x:v>
      </x:c>
    </x:row>
    <x:row r="232">
      <x:c r="A232" s="21" t="str">
        <x:v>NYC-V2-R02</x:v>
      </x:c>
      <x:c r="B232" s="21" t="str">
        <x:v>V2</x:v>
      </x:c>
      <x:c r="C232" s="21" t="str">
        <x:v>age65_one_person_households</x:v>
      </x:c>
      <x:c r="D232" s="24" t="n">
        <x:v>1335</x:v>
      </x:c>
      <x:c r="E232" s="43" t="n">
        <x:v>176.08350291835973</x:v>
      </x:c>
      <x:c r="F232" s="43" t="n">
        <x:v>7.5816301804205155</x:v>
      </x:c>
      <x:c r="G232" s="43" t="n">
        <x:v>1335</x:v>
      </x:c>
      <x:c r="H232" s="43" t="n">
        <x:v>31005.399999999998</x:v>
      </x:c>
      <x:c r="I232" s="21" t="str">
        <x:v>INTERIOR</x:v>
      </x:c>
    </x:row>
    <x:row r="233">
      <x:c r="A233" s="21" t="str">
        <x:v>NYC-V2-R02</x:v>
      </x:c>
      <x:c r="B233" s="21" t="str">
        <x:v>V2</x:v>
      </x:c>
      <x:c r="C233" s="21" t="str">
        <x:v>no_vehicle_households</x:v>
      </x:c>
      <x:c r="D233" s="24" t="n">
        <x:v>6252</x:v>
      </x:c>
      <x:c r="E233" s="43" t="n">
        <x:v>379.7037568307391</x:v>
      </x:c>
      <x:c r="F233" s="43" t="n">
        <x:v>16.465467848365165</x:v>
      </x:c>
      <x:c r="G233" s="43" t="n">
        <x:v>6252</x:v>
      </x:c>
      <x:c r="H233" s="43" t="n">
        <x:v>144174.94295137704</x:v>
      </x:c>
      <x:c r="I233" s="21" t="str">
        <x:v>INTERIOR</x:v>
      </x:c>
    </x:row>
    <x:row r="234">
      <x:c r="A234" s="21" t="str">
        <x:v>NYC-V2-R02</x:v>
      </x:c>
      <x:c r="B234" s="21" t="str">
        <x:v>V2</x:v>
      </x:c>
      <x:c r="C234" s="21" t="str">
        <x:v>limited_english_households</x:v>
      </x:c>
      <x:c r="D234" s="24" t="n">
        <x:v>827</x:v>
      </x:c>
      <x:c r="E234" s="43" t="n">
        <x:v>147.05216177318388</x:v>
      </x:c>
      <x:c r="F234" s="43" t="n">
        <x:v>5.623854760296424</x:v>
      </x:c>
      <x:c r="G234" s="43" t="n">
        <x:v>827</x:v>
      </x:c>
      <x:c r="H234" s="43" t="n">
        <x:v>21624.338282166642</x:v>
      </x:c>
      <x:c r="I234" s="21" t="str">
        <x:v>INTERIOR</x:v>
      </x:c>
    </x:row>
    <x:row r="235">
      <x:c r="A235" s="21" t="str">
        <x:v>NYC-V2-R02</x:v>
      </x:c>
      <x:c r="B235" s="21" t="str">
        <x:v>V2</x:v>
      </x:c>
      <x:c r="C235" s="21" t="str">
        <x:v>housing_units</x:v>
      </x:c>
      <x:c r="D235" s="24" t="n">
        <x:v>13573</x:v>
      </x:c>
      <x:c r="E235" s="43" t="n">
        <x:v>377.41813681909883</x:v>
      </x:c>
      <x:c r="F235" s="43" t="n">
        <x:v>35.962765632817764</x:v>
      </x:c>
      <x:c r="G235" s="43" t="n">
        <x:v>13573</x:v>
      </x:c>
      <x:c r="H235" s="43" t="n">
        <x:v>142444.45</x:v>
      </x:c>
      <x:c r="I235" s="21" t="str">
        <x:v>INTERIOR</x:v>
      </x:c>
    </x:row>
    <x:row r="236">
      <x:c r="A236" s="21" t="str">
        <x:v>NYC-V2-R02</x:v>
      </x:c>
      <x:c r="B236" s="21" t="str">
        <x:v>V2</x:v>
      </x:c>
      <x:c r="C236" s="21" t="str">
        <x:v>occupied_housing_units</x:v>
      </x:c>
      <x:c r="D236" s="24" t="n">
        <x:v>11727</x:v>
      </x:c>
      <x:c r="E236" s="43" t="n">
        <x:v>401.0303604466874</x:v>
      </x:c>
      <x:c r="F236" s="43" t="n">
        <x:v>29.24217504863694</x:v>
      </x:c>
      <x:c r="G236" s="43" t="n">
        <x:v>11727</x:v>
      </x:c>
      <x:c r="H236" s="43" t="n">
        <x:v>160825.35</x:v>
      </x:c>
      <x:c r="I236" s="21" t="str">
        <x:v>INTERIOR</x:v>
      </x:c>
    </x:row>
    <x:row r="237">
      <x:c r="A237" s="21" t="str">
        <x:v>NYC-V2-R02</x:v>
      </x:c>
      <x:c r="B237" s="21" t="str">
        <x:v>V2</x:v>
      </x:c>
      <x:c r="C237" s="21" t="str">
        <x:v>vacant_housing_units</x:v>
      </x:c>
      <x:c r="D237" s="24" t="n">
        <x:v>1846</x:v>
      </x:c>
      <x:c r="E237" s="43" t="n">
        <x:v>179.9285969489008</x:v>
      </x:c>
      <x:c r="F237" s="43" t="n">
        <x:v>10.259625380862936</x:v>
      </x:c>
      <x:c r="G237" s="43" t="n">
        <x:v>1846</x:v>
      </x:c>
      <x:c r="H237" s="43" t="n">
        <x:v>32374.299999999996</x:v>
      </x:c>
      <x:c r="I237" s="21" t="str">
        <x:v>INTERIOR</x:v>
      </x:c>
    </x:row>
    <x:row r="238">
      <x:c r="A238" s="21" t="str">
        <x:v>NYC-V2-R02</x:v>
      </x:c>
      <x:c r="B238" s="21" t="str">
        <x:v>V2</x:v>
      </x:c>
      <x:c r="C238" s="21" t="str">
        <x:v>owner_occupied_units</x:v>
      </x:c>
      <x:c r="D238" s="24" t="n">
        <x:v>3365</x:v>
      </x:c>
      <x:c r="E238" s="43" t="n">
        <x:v>247.30511376058348</x:v>
      </x:c>
      <x:c r="F238" s="43" t="n">
        <x:v>13.606673751427811</x:v>
      </x:c>
      <x:c r="G238" s="43" t="n">
        <x:v>3365</x:v>
      </x:c>
      <x:c r="H238" s="43" t="n">
        <x:v>61159.81929213514</x:v>
      </x:c>
      <x:c r="I238" s="21" t="str">
        <x:v>INTERIOR</x:v>
      </x:c>
    </x:row>
    <x:row r="239">
      <x:c r="A239" s="21" t="str">
        <x:v>NYC-V2-R02</x:v>
      </x:c>
      <x:c r="B239" s="21" t="str">
        <x:v>V2</x:v>
      </x:c>
      <x:c r="C239" s="21" t="str">
        <x:v>renter_occupied_units</x:v>
      </x:c>
      <x:c r="D239" s="24" t="n">
        <x:v>8362</x:v>
      </x:c>
      <x:c r="E239" s="43" t="n">
        <x:v>382.6239491517273</x:v>
      </x:c>
      <x:c r="F239" s="43" t="n">
        <x:v>21.85435600290691</x:v>
      </x:c>
      <x:c r="G239" s="43" t="n">
        <x:v>8362</x:v>
      </x:c>
      <x:c r="H239" s="43" t="n">
        <x:v>146401.0864644636</x:v>
      </x:c>
      <x:c r="I239" s="21" t="str">
        <x:v>INTERIOR</x:v>
      </x:c>
    </x:row>
    <x:row r="240">
      <x:c r="A240" s="21" t="str">
        <x:v>NYC-V2-R02</x:v>
      </x:c>
      <x:c r="B240" s="21" t="str">
        <x:v>V2</x:v>
      </x:c>
      <x:c r="C240" s="21" t="str">
        <x:v>one_unit_structures</x:v>
      </x:c>
      <x:c r="D240" s="24" t="n">
        <x:v>2708</x:v>
      </x:c>
      <x:c r="E240" s="43" t="n">
        <x:v>237.24022469937137</x:v>
      </x:c>
      <x:c r="F240" s="43" t="n">
        <x:v>11.414590436472368</x:v>
      </x:c>
      <x:c r="G240" s="43" t="n">
        <x:v>2708</x:v>
      </x:c>
      <x:c r="H240" s="43" t="n">
        <x:v>56282.92421540822</x:v>
      </x:c>
      <x:c r="I240" s="21" t="str">
        <x:v>INTERIOR</x:v>
      </x:c>
    </x:row>
    <x:row r="241">
      <x:c r="A241" s="21" t="str">
        <x:v>NYC-V2-R02</x:v>
      </x:c>
      <x:c r="B241" s="21" t="str">
        <x:v>V2</x:v>
      </x:c>
      <x:c r="C241" s="21" t="str">
        <x:v>two_to_four_unit_structures</x:v>
      </x:c>
      <x:c r="D241" s="24" t="n">
        <x:v>2494</x:v>
      </x:c>
      <x:c r="E241" s="43" t="n">
        <x:v>274.9689963046367</x:v>
      </x:c>
      <x:c r="F241" s="43" t="n">
        <x:v>9.070113480128176</x:v>
      </x:c>
      <x:c r="G241" s="43" t="n">
        <x:v>2494</x:v>
      </x:c>
      <x:c r="H241" s="43" t="n">
        <x:v>75607.9489287793</x:v>
      </x:c>
      <x:c r="I241" s="21" t="str">
        <x:v>INTERIOR</x:v>
      </x:c>
    </x:row>
    <x:row r="242">
      <x:c r="A242" s="21" t="str">
        <x:v>NYC-V2-R02</x:v>
      </x:c>
      <x:c r="B242" s="21" t="str">
        <x:v>V2</x:v>
      </x:c>
      <x:c r="C242" s="21" t="str">
        <x:v>five_to_nineteen_unit_structures</x:v>
      </x:c>
      <x:c r="D242" s="24" t="n">
        <x:v>1372</x:v>
      </x:c>
      <x:c r="E242" s="43" t="n">
        <x:v>217.65125289221675</x:v>
      </x:c>
      <x:c r="F242" s="43" t="n">
        <x:v>6.30366231192535</x:v>
      </x:c>
      <x:c r="G242" s="43" t="n">
        <x:v>1372</x:v>
      </x:c>
      <x:c r="H242" s="43" t="n">
        <x:v>47372.06788555169</x:v>
      </x:c>
      <x:c r="I242" s="21" t="str">
        <x:v>INTERIOR</x:v>
      </x:c>
    </x:row>
    <x:row r="243">
      <x:c r="A243" s="21" t="str">
        <x:v>NYC-V2-R02</x:v>
      </x:c>
      <x:c r="B243" s="21" t="str">
        <x:v>V2</x:v>
      </x:c>
      <x:c r="C243" s="21" t="str">
        <x:v>twenty_to_forty_nine_unit_structures</x:v>
      </x:c>
      <x:c r="D243" s="24" t="n">
        <x:v>2896</x:v>
      </x:c>
      <x:c r="E243" s="43" t="n">
        <x:v>283.7245598021828</x:v>
      </x:c>
      <x:c r="F243" s="43" t="n">
        <x:v>10.207082538145928</x:v>
      </x:c>
      <x:c r="G243" s="43" t="n">
        <x:v>2896</x:v>
      </x:c>
      <x:c r="H243" s="43" t="n">
        <x:v>80499.6258349424</x:v>
      </x:c>
      <x:c r="I243" s="21" t="str">
        <x:v>INTERIOR</x:v>
      </x:c>
    </x:row>
    <x:row r="244">
      <x:c r="A244" s="21" t="str">
        <x:v>NYC-V2-R02</x:v>
      </x:c>
      <x:c r="B244" s="21" t="str">
        <x:v>V2</x:v>
      </x:c>
      <x:c r="C244" s="21" t="str">
        <x:v>fifty_plus_unit_structures</x:v>
      </x:c>
      <x:c r="D244" s="24" t="n">
        <x:v>2238</x:v>
      </x:c>
      <x:c r="E244" s="43" t="n">
        <x:v>250.06166034068377</x:v>
      </x:c>
      <x:c r="F244" s="43" t="n">
        <x:v>8.949792610954237</x:v>
      </x:c>
      <x:c r="G244" s="43" t="n">
        <x:v>2238</x:v>
      </x:c>
      <x:c r="H244" s="43" t="n">
        <x:v>62530.8339723395</x:v>
      </x:c>
      <x:c r="I244" s="21" t="str">
        <x:v>INTERIOR</x:v>
      </x:c>
    </x:row>
    <x:row r="245">
      <x:c r="A245" s="21" t="str">
        <x:v>NYC-V2-R02</x:v>
      </x:c>
      <x:c r="B245" s="21" t="str">
        <x:v>V2</x:v>
      </x:c>
      <x:c r="C245" s="21" t="str">
        <x:v>mobile_or_other_units</x:v>
      </x:c>
      <x:c r="D245" s="24" t="n">
        <x:v>19</x:v>
      </x:c>
      <x:c r="E245" s="43" t="n">
        <x:v>58.51359878824627</x:v>
      </x:c>
      <x:c r="F245" s="43" t="n">
        <x:v>0.3247108431795271</x:v>
      </x:c>
      <x:c r="G245" s="43" t="n">
        <x:v>19</x:v>
      </x:c>
      <x:c r="H245" s="43" t="n">
        <x:v>3423.8412431518555</x:v>
      </x:c>
      <x:c r="I245" s="21" t="str">
        <x:v>BOUNDARY_SENSITIVE</x:v>
      </x:c>
    </x:row>
    <x:row r="246">
      <x:c r="A246" s="21" t="str">
        <x:v>NYC-V2-R02</x:v>
      </x:c>
      <x:c r="B246" s="21" t="str">
        <x:v>V2</x:v>
      </x:c>
      <x:c r="C246" s="21" t="str">
        <x:v>electric_heat_households</x:v>
      </x:c>
      <x:c r="D246" s="24" t="n">
        <x:v>1098</x:v>
      </x:c>
      <x:c r="E246" s="43" t="n">
        <x:v>147.60826535123297</x:v>
      </x:c>
      <x:c r="F246" s="43" t="n">
        <x:v>7.438607840741951</x:v>
      </x:c>
      <x:c r="G246" s="43" t="n">
        <x:v>1098</x:v>
      </x:c>
      <x:c r="H246" s="43" t="n">
        <x:v>21788.200000000004</x:v>
      </x:c>
      <x:c r="I246" s="21" t="str">
        <x:v>INTERIOR</x:v>
      </x:c>
    </x:row>
    <x:row r="247">
      <x:c r="A247" s="21" t="str">
        <x:v>NYC-V2-R02</x:v>
      </x:c>
      <x:c r="B247" s="21" t="str">
        <x:v>V2</x:v>
      </x:c>
      <x:c r="C247" s="21" t="str">
        <x:v>group_quarters_population</x:v>
      </x:c>
      <x:c r="D247" s="24" t="n">
        <x:v>333</x:v>
      </x:c>
      <x:c r="E247" s="43" t="n">
        <x:v>21.473239159474755</x:v>
      </x:c>
      <x:c r="F247" s="43" t="n">
        <x:v>15.507674344188011</x:v>
      </x:c>
      <x:c r="G247" s="43" t="n">
        <x:v>333</x:v>
      </x:c>
      <x:c r="H247" s="43" t="n">
        <x:v>461.1000000000001</x:v>
      </x:c>
      <x:c r="I247" s="21" t="str">
        <x:v>INTERIOR</x:v>
      </x:c>
    </x:row>
    <x:row r="248">
      <x:c r="A248" s="21" t="str">
        <x:v>NYC-V2-R03</x:v>
      </x:c>
      <x:c r="B248" s="21" t="str">
        <x:v>V2</x:v>
      </x:c>
      <x:c r="C248" s="21" t="str">
        <x:v>acs_population</x:v>
      </x:c>
      <x:c r="D248" s="24" t="n">
        <x:v>38764</x:v>
      </x:c>
      <x:c r="E248" s="43" t="n">
        <x:v>1372.3163629425976</x:v>
      </x:c>
      <x:c r="F248" s="43" t="n">
        <x:v>28.247130943538455</x:v>
      </x:c>
      <x:c r="G248" s="43" t="n">
        <x:v>38764</x:v>
      </x:c>
      <x:c r="H248" s="43" t="n">
        <x:v>1883252.1999999993</x:v>
      </x:c>
      <x:c r="I248" s="21" t="str">
        <x:v>INTERIOR</x:v>
      </x:c>
    </x:row>
    <x:row r="249">
      <x:c r="A249" s="21" t="str">
        <x:v>NYC-V2-R03</x:v>
      </x:c>
      <x:c r="B249" s="21" t="str">
        <x:v>V2</x:v>
      </x:c>
      <x:c r="C249" s="21" t="str">
        <x:v>age_under_18</x:v>
      </x:c>
      <x:c r="D249" s="24" t="n">
        <x:v>7977</x:v>
      </x:c>
      <x:c r="E249" s="43" t="n">
        <x:v>702.6615116825454</x:v>
      </x:c>
      <x:c r="F249" s="43" t="n">
        <x:v>11.352550079054165</x:v>
      </x:c>
      <x:c r="G249" s="43" t="n">
        <x:v>7977</x:v>
      </x:c>
      <x:c r="H249" s="43" t="n">
        <x:v>493733.19999999995</x:v>
      </x:c>
      <x:c r="I249" s="21" t="str">
        <x:v>INTERIOR</x:v>
      </x:c>
    </x:row>
    <x:row r="250">
      <x:c r="A250" s="21" t="str">
        <x:v>NYC-V2-R03</x:v>
      </x:c>
      <x:c r="B250" s="21" t="str">
        <x:v>V2</x:v>
      </x:c>
      <x:c r="C250" s="21" t="str">
        <x:v>age_under_5</x:v>
      </x:c>
      <x:c r="D250" s="24" t="n">
        <x:v>2261</x:v>
      </x:c>
      <x:c r="E250" s="43" t="n">
        <x:v>305.1477510977264</x:v>
      </x:c>
      <x:c r="F250" s="43" t="n">
        <x:v>7.409525358998611</x:v>
      </x:c>
      <x:c r="G250" s="43" t="n">
        <x:v>2261</x:v>
      </x:c>
      <x:c r="H250" s="43" t="n">
        <x:v>93115.15</x:v>
      </x:c>
      <x:c r="I250" s="21" t="str">
        <x:v>INTERIOR</x:v>
      </x:c>
    </x:row>
    <x:row r="251">
      <x:c r="A251" s="21" t="str">
        <x:v>NYC-V2-R03</x:v>
      </x:c>
      <x:c r="B251" s="21" t="str">
        <x:v>V2</x:v>
      </x:c>
      <x:c r="C251" s="21" t="str">
        <x:v>age_65_plus</x:v>
      </x:c>
      <x:c r="D251" s="24" t="n">
        <x:v>4703</x:v>
      </x:c>
      <x:c r="E251" s="43" t="n">
        <x:v>311.46685216889455</x:v>
      </x:c>
      <x:c r="F251" s="43" t="n">
        <x:v>15.099520116669666</x:v>
      </x:c>
      <x:c r="G251" s="43" t="n">
        <x:v>4703</x:v>
      </x:c>
      <x:c r="H251" s="43" t="n">
        <x:v>97011.6</x:v>
      </x:c>
      <x:c r="I251" s="21" t="str">
        <x:v>INTERIOR</x:v>
      </x:c>
    </x:row>
    <x:row r="252">
      <x:c r="A252" s="21" t="str">
        <x:v>NYC-V2-R03</x:v>
      </x:c>
      <x:c r="B252" s="21" t="str">
        <x:v>V2</x:v>
      </x:c>
      <x:c r="C252" s="21" t="str">
        <x:v>age_75_plus</x:v>
      </x:c>
      <x:c r="D252" s="24" t="n">
        <x:v>1719</x:v>
      </x:c>
      <x:c r="E252" s="43" t="n">
        <x:v>207.76501149134808</x:v>
      </x:c>
      <x:c r="F252" s="43" t="n">
        <x:v>8.273770389253361</x:v>
      </x:c>
      <x:c r="G252" s="43" t="n">
        <x:v>1719</x:v>
      </x:c>
      <x:c r="H252" s="43" t="n">
        <x:v>43166.299999999996</x:v>
      </x:c>
      <x:c r="I252" s="21" t="str">
        <x:v>INTERIOR</x:v>
      </x:c>
    </x:row>
    <x:row r="253">
      <x:c r="A253" s="21" t="str">
        <x:v>NYC-V2-R03</x:v>
      </x:c>
      <x:c r="B253" s="21" t="str">
        <x:v>V2</x:v>
      </x:c>
      <x:c r="C253" s="21" t="str">
        <x:v>age_85_plus</x:v>
      </x:c>
      <x:c r="D253" s="24" t="n">
        <x:v>558</x:v>
      </x:c>
      <x:c r="E253" s="43" t="n">
        <x:v>119.77645845490675</x:v>
      </x:c>
      <x:c r="F253" s="43" t="n">
        <x:v>4.658678401399512</x:v>
      </x:c>
      <x:c r="G253" s="43" t="n">
        <x:v>558</x:v>
      </x:c>
      <x:c r="H253" s="43" t="n">
        <x:v>14346.400000000001</x:v>
      </x:c>
      <x:c r="I253" s="21" t="str">
        <x:v>INTERIOR</x:v>
      </x:c>
    </x:row>
    <x:row r="254">
      <x:c r="A254" s="21" t="str">
        <x:v>NYC-V2-R03</x:v>
      </x:c>
      <x:c r="B254" s="21" t="str">
        <x:v>V2</x:v>
      </x:c>
      <x:c r="C254" s="21" t="str">
        <x:v>civilian_noninstitutionalized</x:v>
      </x:c>
      <x:c r="D254" s="24" t="n">
        <x:v>38606</x:v>
      </x:c>
      <x:c r="E254" s="43" t="n">
        <x:v>1370.8796263713311</x:v>
      </x:c>
      <x:c r="F254" s="43" t="n">
        <x:v>28.16148059781783</x:v>
      </x:c>
      <x:c r="G254" s="43" t="n">
        <x:v>38606</x:v>
      </x:c>
      <x:c r="H254" s="43" t="n">
        <x:v>1879310.9500000004</x:v>
      </x:c>
      <x:c r="I254" s="21" t="str">
        <x:v>INTERIOR</x:v>
      </x:c>
    </x:row>
    <x:row r="255">
      <x:c r="A255" s="21" t="str">
        <x:v>NYC-V2-R03</x:v>
      </x:c>
      <x:c r="B255" s="21" t="str">
        <x:v>V2</x:v>
      </x:c>
      <x:c r="C255" s="21" t="str">
        <x:v>any_disability</x:v>
      </x:c>
      <x:c r="D255" s="24" t="n">
        <x:v>4799</x:v>
      </x:c>
      <x:c r="E255" s="43" t="n">
        <x:v>368.2411573955307</x:v>
      </x:c>
      <x:c r="F255" s="43" t="n">
        <x:v>13.032220607663788</x:v>
      </x:c>
      <x:c r="G255" s="43" t="n">
        <x:v>4799</x:v>
      </x:c>
      <x:c r="H255" s="43" t="n">
        <x:v>135601.55000000002</x:v>
      </x:c>
      <x:c r="I255" s="21" t="str">
        <x:v>INTERIOR</x:v>
      </x:c>
    </x:row>
    <x:row r="256">
      <x:c r="A256" s="21" t="str">
        <x:v>NYC-V2-R03</x:v>
      </x:c>
      <x:c r="B256" s="21" t="str">
        <x:v>V2</x:v>
      </x:c>
      <x:c r="C256" s="21" t="str">
        <x:v>disability_under_18</x:v>
      </x:c>
      <x:c r="D256" s="24" t="n">
        <x:v>363</x:v>
      </x:c>
      <x:c r="E256" s="43" t="n">
        <x:v>137.37667196434774</x:v>
      </x:c>
      <x:c r="F256" s="43" t="n">
        <x:v>2.6423700240329486</x:v>
      </x:c>
      <x:c r="G256" s="43" t="n">
        <x:v>363</x:v>
      </x:c>
      <x:c r="H256" s="43" t="n">
        <x:v>18872.350000000006</x:v>
      </x:c>
      <x:c r="I256" s="21" t="str">
        <x:v>INTERIOR</x:v>
      </x:c>
    </x:row>
    <x:row r="257">
      <x:c r="A257" s="21" t="str">
        <x:v>NYC-V2-R03</x:v>
      </x:c>
      <x:c r="B257" s="21" t="str">
        <x:v>V2</x:v>
      </x:c>
      <x:c r="C257" s="21" t="str">
        <x:v>disability_18_64</x:v>
      </x:c>
      <x:c r="D257" s="24" t="n">
        <x:v>2617</x:v>
      </x:c>
      <x:c r="E257" s="43" t="n">
        <x:v>263.2219595702456</x:v>
      </x:c>
      <x:c r="F257" s="43" t="n">
        <x:v>9.942179612493941</x:v>
      </x:c>
      <x:c r="G257" s="43" t="n">
        <x:v>2617</x:v>
      </x:c>
      <x:c r="H257" s="43" t="n">
        <x:v>69285.8</x:v>
      </x:c>
      <x:c r="I257" s="21" t="str">
        <x:v>INTERIOR</x:v>
      </x:c>
    </x:row>
    <x:row r="258">
      <x:c r="A258" s="21" t="str">
        <x:v>NYC-V2-R03</x:v>
      </x:c>
      <x:c r="B258" s="21" t="str">
        <x:v>V2</x:v>
      </x:c>
      <x:c r="C258" s="21" t="str">
        <x:v>disability_65_plus</x:v>
      </x:c>
      <x:c r="D258" s="24" t="n">
        <x:v>1819</x:v>
      </x:c>
      <x:c r="E258" s="43" t="n">
        <x:v>212.02028204867574</x:v>
      </x:c>
      <x:c r="F258" s="43" t="n">
        <x:v>8.579367890768077</x:v>
      </x:c>
      <x:c r="G258" s="43" t="n">
        <x:v>1819</x:v>
      </x:c>
      <x:c r="H258" s="43" t="n">
        <x:v>44952.60000000001</x:v>
      </x:c>
      <x:c r="I258" s="21" t="str">
        <x:v>INTERIOR</x:v>
      </x:c>
    </x:row>
    <x:row r="259">
      <x:c r="A259" s="21" t="str">
        <x:v>NYC-V2-R03</x:v>
      </x:c>
      <x:c r="B259" s="21" t="str">
        <x:v>V2</x:v>
      </x:c>
      <x:c r="C259" s="21" t="str">
        <x:v>hearing_difficulty</x:v>
      </x:c>
      <x:c r="D259" s="24" t="n">
        <x:v>590</x:v>
      </x:c>
      <x:c r="E259" s="43" t="n">
        <x:v>166.00976718490733</x:v>
      </x:c>
      <x:c r="F259" s="43" t="n">
        <x:v>3.5540077551150224</x:v>
      </x:c>
      <x:c r="G259" s="43" t="n">
        <x:v>590</x:v>
      </x:c>
      <x:c r="H259" s="43" t="n">
        <x:v>27559.242800787135</x:v>
      </x:c>
      <x:c r="I259" s="21" t="str">
        <x:v>INTERIOR</x:v>
      </x:c>
    </x:row>
    <x:row r="260">
      <x:c r="A260" s="21" t="str">
        <x:v>NYC-V2-R03</x:v>
      </x:c>
      <x:c r="B260" s="21" t="str">
        <x:v>V2</x:v>
      </x:c>
      <x:c r="C260" s="21" t="str">
        <x:v>vision_difficulty</x:v>
      </x:c>
      <x:c r="D260" s="24" t="n">
        <x:v>1163</x:v>
      </x:c>
      <x:c r="E260" s="43" t="n">
        <x:v>203.67917005083936</x:v>
      </x:c>
      <x:c r="F260" s="43" t="n">
        <x:v>5.709960423099275</x:v>
      </x:c>
      <x:c r="G260" s="43" t="n">
        <x:v>1163</x:v>
      </x:c>
      <x:c r="H260" s="43" t="n">
        <x:v>41485.20431259874</x:v>
      </x:c>
      <x:c r="I260" s="21" t="str">
        <x:v>INTERIOR</x:v>
      </x:c>
    </x:row>
    <x:row r="261">
      <x:c r="A261" s="21" t="str">
        <x:v>NYC-V2-R03</x:v>
      </x:c>
      <x:c r="B261" s="21" t="str">
        <x:v>V2</x:v>
      </x:c>
      <x:c r="C261" s="21" t="str">
        <x:v>cognitive_difficulty</x:v>
      </x:c>
      <x:c r="D261" s="24" t="n">
        <x:v>1801</x:v>
      </x:c>
      <x:c r="E261" s="43" t="n">
        <x:v>226.2125254884308</x:v>
      </x:c>
      <x:c r="F261" s="43" t="n">
        <x:v>7.961539689773318</x:v>
      </x:c>
      <x:c r="G261" s="43" t="n">
        <x:v>1801</x:v>
      </x:c>
      <x:c r="H261" s="43" t="n">
        <x:v>51172.10668785396</x:v>
      </x:c>
      <x:c r="I261" s="21" t="str">
        <x:v>INTERIOR</x:v>
      </x:c>
    </x:row>
    <x:row r="262">
      <x:c r="A262" s="21" t="str">
        <x:v>NYC-V2-R03</x:v>
      </x:c>
      <x:c r="B262" s="21" t="str">
        <x:v>V2</x:v>
      </x:c>
      <x:c r="C262" s="21" t="str">
        <x:v>ambulatory_difficulty</x:v>
      </x:c>
      <x:c r="D262" s="24" t="n">
        <x:v>2820</x:v>
      </x:c>
      <x:c r="E262" s="43" t="n">
        <x:v>289.0806021413726</x:v>
      </x:c>
      <x:c r="F262" s="43" t="n">
        <x:v>9.755064778164884</x:v>
      </x:c>
      <x:c r="G262" s="43" t="n">
        <x:v>2820</x:v>
      </x:c>
      <x:c r="H262" s="43" t="n">
        <x:v>83567.59453441856</x:v>
      </x:c>
      <x:c r="I262" s="21" t="str">
        <x:v>INTERIOR</x:v>
      </x:c>
    </x:row>
    <x:row r="263">
      <x:c r="A263" s="21" t="str">
        <x:v>NYC-V2-R03</x:v>
      </x:c>
      <x:c r="B263" s="21" t="str">
        <x:v>V2</x:v>
      </x:c>
      <x:c r="C263" s="21" t="str">
        <x:v>self_care_difficulty</x:v>
      </x:c>
      <x:c r="D263" s="24" t="n">
        <x:v>931</x:v>
      </x:c>
      <x:c r="E263" s="43" t="n">
        <x:v>178.47303762899713</x:v>
      </x:c>
      <x:c r="F263" s="43" t="n">
        <x:v>5.216474221362931</x:v>
      </x:c>
      <x:c r="G263" s="43" t="n">
        <x:v>931</x:v>
      </x:c>
      <x:c r="H263" s="43" t="n">
        <x:v>31852.625160521427</x:v>
      </x:c>
      <x:c r="I263" s="21" t="str">
        <x:v>INTERIOR</x:v>
      </x:c>
    </x:row>
    <x:row r="264">
      <x:c r="A264" s="21" t="str">
        <x:v>NYC-V2-R03</x:v>
      </x:c>
      <x:c r="B264" s="21" t="str">
        <x:v>V2</x:v>
      </x:c>
      <x:c r="C264" s="21" t="str">
        <x:v>independent_living_difficulty</x:v>
      </x:c>
      <x:c r="D264" s="24" t="n">
        <x:v>1682</x:v>
      </x:c>
      <x:c r="E264" s="43" t="n">
        <x:v>217.07746201256452</x:v>
      </x:c>
      <x:c r="F264" s="43" t="n">
        <x:v>7.748386149376692</x:v>
      </x:c>
      <x:c r="G264" s="43" t="n">
        <x:v>1682</x:v>
      </x:c>
      <x:c r="H264" s="43" t="n">
        <x:v>47122.624513816394</x:v>
      </x:c>
      <x:c r="I264" s="21" t="str">
        <x:v>INTERIOR</x:v>
      </x:c>
    </x:row>
    <x:row r="265">
      <x:c r="A265" s="21" t="str">
        <x:v>NYC-V2-R03</x:v>
      </x:c>
      <x:c r="B265" s="21" t="str">
        <x:v>V2</x:v>
      </x:c>
      <x:c r="C265" s="21" t="str">
        <x:v>households</x:v>
      </x:c>
      <x:c r="D265" s="24" t="n">
        <x:v>15397</x:v>
      </x:c>
      <x:c r="E265" s="43" t="n">
        <x:v>332.22033351376916</x:v>
      </x:c>
      <x:c r="F265" s="43" t="n">
        <x:v>46.345748428916856</x:v>
      </x:c>
      <x:c r="G265" s="43" t="n">
        <x:v>15397</x:v>
      </x:c>
      <x:c r="H265" s="43" t="n">
        <x:v>110370.35000000002</x:v>
      </x:c>
      <x:c r="I265" s="21" t="str">
        <x:v>INTERIOR</x:v>
      </x:c>
    </x:row>
    <x:row r="266">
      <x:c r="A266" s="21" t="str">
        <x:v>NYC-V2-R03</x:v>
      </x:c>
      <x:c r="B266" s="21" t="str">
        <x:v>V2</x:v>
      </x:c>
      <x:c r="C266" s="21" t="str">
        <x:v>family_households</x:v>
      </x:c>
      <x:c r="D266" s="24" t="n">
        <x:v>7836</x:v>
      </x:c>
      <x:c r="E266" s="43" t="n">
        <x:v>353.01593448454986</x:v>
      </x:c>
      <x:c r="F266" s="43" t="n">
        <x:v>22.19729829318215</x:v>
      </x:c>
      <x:c r="G266" s="43" t="n">
        <x:v>7836</x:v>
      </x:c>
      <x:c r="H266" s="43" t="n">
        <x:v>124620.25</x:v>
      </x:c>
      <x:c r="I266" s="21" t="str">
        <x:v>INTERIOR</x:v>
      </x:c>
    </x:row>
    <x:row r="267">
      <x:c r="A267" s="21" t="str">
        <x:v>NYC-V2-R03</x:v>
      </x:c>
      <x:c r="B267" s="21" t="str">
        <x:v>V2</x:v>
      </x:c>
      <x:c r="C267" s="21" t="str">
        <x:v>nonfamily_households</x:v>
      </x:c>
      <x:c r="D267" s="24" t="n">
        <x:v>7561</x:v>
      </x:c>
      <x:c r="E267" s="43" t="n">
        <x:v>300.52304404155103</x:v>
      </x:c>
      <x:c r="F267" s="43" t="n">
        <x:v>25.159468300056876</x:v>
      </x:c>
      <x:c r="G267" s="43" t="n">
        <x:v>7561</x:v>
      </x:c>
      <x:c r="H267" s="43" t="n">
        <x:v>90314.10000000002</x:v>
      </x:c>
      <x:c r="I267" s="21" t="str">
        <x:v>INTERIOR</x:v>
      </x:c>
    </x:row>
    <x:row r="268">
      <x:c r="A268" s="21" t="str">
        <x:v>NYC-V2-R03</x:v>
      </x:c>
      <x:c r="B268" s="21" t="str">
        <x:v>V2</x:v>
      </x:c>
      <x:c r="C268" s="21" t="str">
        <x:v>living_alone_households</x:v>
      </x:c>
      <x:c r="D268" s="24" t="n">
        <x:v>4933</x:v>
      </x:c>
      <x:c r="E268" s="43" t="n">
        <x:v>322.9971362102147</x:v>
      </x:c>
      <x:c r="F268" s="43" t="n">
        <x:v>15.27258123053289</x:v>
      </x:c>
      <x:c r="G268" s="43" t="n">
        <x:v>4933</x:v>
      </x:c>
      <x:c r="H268" s="43" t="n">
        <x:v>104327.15</x:v>
      </x:c>
      <x:c r="I268" s="21" t="str">
        <x:v>INTERIOR</x:v>
      </x:c>
    </x:row>
    <x:row r="269">
      <x:c r="A269" s="21" t="str">
        <x:v>NYC-V2-R03</x:v>
      </x:c>
      <x:c r="B269" s="21" t="str">
        <x:v>V2</x:v>
      </x:c>
      <x:c r="C269" s="21" t="str">
        <x:v>households_with_children</x:v>
      </x:c>
      <x:c r="D269" s="24" t="n">
        <x:v>4145</x:v>
      </x:c>
      <x:c r="E269" s="43" t="n">
        <x:v>321.27005773959087</x:v>
      </x:c>
      <x:c r="F269" s="43" t="n">
        <x:v>12.901918184232958</x:v>
      </x:c>
      <x:c r="G269" s="43" t="n">
        <x:v>4145</x:v>
      </x:c>
      <x:c r="H269" s="43" t="n">
        <x:v>103214.45000000006</x:v>
      </x:c>
      <x:c r="I269" s="21" t="str">
        <x:v>INTERIOR</x:v>
      </x:c>
    </x:row>
    <x:row r="270">
      <x:c r="A270" s="21" t="str">
        <x:v>NYC-V2-R03</x:v>
      </x:c>
      <x:c r="B270" s="21" t="str">
        <x:v>V2</x:v>
      </x:c>
      <x:c r="C270" s="21" t="str">
        <x:v>households_with_age65</x:v>
      </x:c>
      <x:c r="D270" s="24" t="n">
        <x:v>3626</x:v>
      </x:c>
      <x:c r="E270" s="43" t="n">
        <x:v>217.12922419609941</x:v>
      </x:c>
      <x:c r="F270" s="43" t="n">
        <x:v>16.699732674976964</x:v>
      </x:c>
      <x:c r="G270" s="43" t="n">
        <x:v>3626</x:v>
      </x:c>
      <x:c r="H270" s="43" t="n">
        <x:v>47145.100000000006</x:v>
      </x:c>
      <x:c r="I270" s="21" t="str">
        <x:v>INTERIOR</x:v>
      </x:c>
    </x:row>
    <x:row r="271">
      <x:c r="A271" s="21" t="str">
        <x:v>NYC-V2-R03</x:v>
      </x:c>
      <x:c r="B271" s="21" t="str">
        <x:v>V2</x:v>
      </x:c>
      <x:c r="C271" s="21" t="str">
        <x:v>age65_one_person_households</x:v>
      </x:c>
      <x:c r="D271" s="24" t="n">
        <x:v>1187</x:v>
      </x:c>
      <x:c r="E271" s="43" t="n">
        <x:v>144.60981986020175</x:v>
      </x:c>
      <x:c r="F271" s="43" t="n">
        <x:v>8.208294576035744</x:v>
      </x:c>
      <x:c r="G271" s="43" t="n">
        <x:v>1187</x:v>
      </x:c>
      <x:c r="H271" s="43" t="n">
        <x:v>20912</x:v>
      </x:c>
      <x:c r="I271" s="21" t="str">
        <x:v>INTERIOR</x:v>
      </x:c>
    </x:row>
    <x:row r="272">
      <x:c r="A272" s="21" t="str">
        <x:v>NYC-V2-R03</x:v>
      </x:c>
      <x:c r="B272" s="21" t="str">
        <x:v>V2</x:v>
      </x:c>
      <x:c r="C272" s="21" t="str">
        <x:v>no_vehicle_households</x:v>
      </x:c>
      <x:c r="D272" s="24" t="n">
        <x:v>8729</x:v>
      </x:c>
      <x:c r="E272" s="43" t="n">
        <x:v>357.2068752039655</x:v>
      </x:c>
      <x:c r="F272" s="43" t="n">
        <x:v>24.43681968611531</x:v>
      </x:c>
      <x:c r="G272" s="43" t="n">
        <x:v>8729</x:v>
      </x:c>
      <x:c r="H272" s="43" t="n">
        <x:v>127596.7516929814</x:v>
      </x:c>
      <x:c r="I272" s="21" t="str">
        <x:v>INTERIOR</x:v>
      </x:c>
    </x:row>
    <x:row r="273">
      <x:c r="A273" s="21" t="str">
        <x:v>NYC-V2-R03</x:v>
      </x:c>
      <x:c r="B273" s="21" t="str">
        <x:v>V2</x:v>
      </x:c>
      <x:c r="C273" s="21" t="str">
        <x:v>limited_english_households</x:v>
      </x:c>
      <x:c r="D273" s="24" t="n">
        <x:v>183</x:v>
      </x:c>
      <x:c r="E273" s="43" t="n">
        <x:v>88.41171532011109</x:v>
      </x:c>
      <x:c r="F273" s="43" t="n">
        <x:v>2.069861435641356</x:v>
      </x:c>
      <x:c r="G273" s="43" t="n">
        <x:v>183</x:v>
      </x:c>
      <x:c r="H273" s="43" t="n">
        <x:v>7816.631405844365</x:v>
      </x:c>
      <x:c r="I273" s="21" t="str">
        <x:v>INTERIOR</x:v>
      </x:c>
    </x:row>
    <x:row r="274">
      <x:c r="A274" s="21" t="str">
        <x:v>NYC-V2-R03</x:v>
      </x:c>
      <x:c r="B274" s="21" t="str">
        <x:v>V2</x:v>
      </x:c>
      <x:c r="C274" s="21" t="str">
        <x:v>housing_units</x:v>
      </x:c>
      <x:c r="D274" s="24" t="n">
        <x:v>17030</x:v>
      </x:c>
      <x:c r="E274" s="43" t="n">
        <x:v>281.80880043036274</x:v>
      </x:c>
      <x:c r="F274" s="43" t="n">
        <x:v>60.43104393472713</x:v>
      </x:c>
      <x:c r="G274" s="43" t="n">
        <x:v>17030</x:v>
      </x:c>
      <x:c r="H274" s="43" t="n">
        <x:v>79416.20000000001</x:v>
      </x:c>
      <x:c r="I274" s="21" t="str">
        <x:v>INTERIOR</x:v>
      </x:c>
    </x:row>
    <x:row r="275">
      <x:c r="A275" s="21" t="str">
        <x:v>NYC-V2-R03</x:v>
      </x:c>
      <x:c r="B275" s="21" t="str">
        <x:v>V2</x:v>
      </x:c>
      <x:c r="C275" s="21" t="str">
        <x:v>occupied_housing_units</x:v>
      </x:c>
      <x:c r="D275" s="24" t="n">
        <x:v>15397</x:v>
      </x:c>
      <x:c r="E275" s="43" t="n">
        <x:v>332.22033351376916</x:v>
      </x:c>
      <x:c r="F275" s="43" t="n">
        <x:v>46.345748428916856</x:v>
      </x:c>
      <x:c r="G275" s="43" t="n">
        <x:v>15397</x:v>
      </x:c>
      <x:c r="H275" s="43" t="n">
        <x:v>110370.35000000002</x:v>
      </x:c>
      <x:c r="I275" s="21" t="str">
        <x:v>INTERIOR</x:v>
      </x:c>
    </x:row>
    <x:row r="276">
      <x:c r="A276" s="21" t="str">
        <x:v>NYC-V2-R03</x:v>
      </x:c>
      <x:c r="B276" s="21" t="str">
        <x:v>V2</x:v>
      </x:c>
      <x:c r="C276" s="21" t="str">
        <x:v>vacant_housing_units</x:v>
      </x:c>
      <x:c r="D276" s="24" t="n">
        <x:v>1633</x:v>
      </x:c>
      <x:c r="E276" s="43" t="n">
        <x:v>167.9138171801237</x:v>
      </x:c>
      <x:c r="F276" s="43" t="n">
        <x:v>9.725227068408886</x:v>
      </x:c>
      <x:c r="G276" s="43" t="n">
        <x:v>1633</x:v>
      </x:c>
      <x:c r="H276" s="43" t="n">
        <x:v>28195.05</x:v>
      </x:c>
      <x:c r="I276" s="21" t="str">
        <x:v>INTERIOR</x:v>
      </x:c>
    </x:row>
    <x:row r="277">
      <x:c r="A277" s="21" t="str">
        <x:v>NYC-V2-R03</x:v>
      </x:c>
      <x:c r="B277" s="21" t="str">
        <x:v>V2</x:v>
      </x:c>
      <x:c r="C277" s="21" t="str">
        <x:v>owner_occupied_units</x:v>
      </x:c>
      <x:c r="D277" s="24" t="n">
        <x:v>4446</x:v>
      </x:c>
      <x:c r="E277" s="43" t="n">
        <x:v>279.64384815669155</x:v>
      </x:c>
      <x:c r="F277" s="43" t="n">
        <x:v>15.898794231685702</x:v>
      </x:c>
      <x:c r="G277" s="43" t="n">
        <x:v>4446</x:v>
      </x:c>
      <x:c r="H277" s="43" t="n">
        <x:v>78200.68181188277</x:v>
      </x:c>
      <x:c r="I277" s="21" t="str">
        <x:v>INTERIOR</x:v>
      </x:c>
    </x:row>
    <x:row r="278">
      <x:c r="A278" s="21" t="str">
        <x:v>NYC-V2-R03</x:v>
      </x:c>
      <x:c r="B278" s="21" t="str">
        <x:v>V2</x:v>
      </x:c>
      <x:c r="C278" s="21" t="str">
        <x:v>renter_occupied_units</x:v>
      </x:c>
      <x:c r="D278" s="24" t="n">
        <x:v>10951</x:v>
      </x:c>
      <x:c r="E278" s="43" t="n">
        <x:v>394.6436015113587</x:v>
      </x:c>
      <x:c r="F278" s="43" t="n">
        <x:v>27.7490879316456</x:v>
      </x:c>
      <x:c r="G278" s="43" t="n">
        <x:v>10951</x:v>
      </x:c>
      <x:c r="H278" s="43" t="n">
        <x:v>155743.5722138561</x:v>
      </x:c>
      <x:c r="I278" s="21" t="str">
        <x:v>INTERIOR</x:v>
      </x:c>
    </x:row>
    <x:row r="279">
      <x:c r="A279" s="21" t="str">
        <x:v>NYC-V2-R03</x:v>
      </x:c>
      <x:c r="B279" s="21" t="str">
        <x:v>V2</x:v>
      </x:c>
      <x:c r="C279" s="21" t="str">
        <x:v>one_unit_structures</x:v>
      </x:c>
      <x:c r="D279" s="24" t="n">
        <x:v>1672</x:v>
      </x:c>
      <x:c r="E279" s="43" t="n">
        <x:v>215.3280390298036</x:v>
      </x:c>
      <x:c r="F279" s="43" t="n">
        <x:v>7.764896794367678</x:v>
      </x:c>
      <x:c r="G279" s="43" t="n">
        <x:v>1672</x:v>
      </x:c>
      <x:c r="H279" s="43" t="n">
        <x:v>46366.16439242062</x:v>
      </x:c>
      <x:c r="I279" s="21" t="str">
        <x:v>INTERIOR</x:v>
      </x:c>
    </x:row>
    <x:row r="280">
      <x:c r="A280" s="21" t="str">
        <x:v>NYC-V2-R03</x:v>
      </x:c>
      <x:c r="B280" s="21" t="str">
        <x:v>V2</x:v>
      </x:c>
      <x:c r="C280" s="21" t="str">
        <x:v>two_to_four_unit_structures</x:v>
      </x:c>
      <x:c r="D280" s="24" t="n">
        <x:v>6938</x:v>
      </x:c>
      <x:c r="E280" s="43" t="n">
        <x:v>386.53532607054063</x:v>
      </x:c>
      <x:c r="F280" s="43" t="n">
        <x:v>17.949200324148</x:v>
      </x:c>
      <x:c r="G280" s="43" t="n">
        <x:v>6938</x:v>
      </x:c>
      <x:c r="H280" s="43" t="n">
        <x:v>149409.55830045918</x:v>
      </x:c>
      <x:c r="I280" s="21" t="str">
        <x:v>INTERIOR</x:v>
      </x:c>
    </x:row>
    <x:row r="281">
      <x:c r="A281" s="21" t="str">
        <x:v>NYC-V2-R03</x:v>
      </x:c>
      <x:c r="B281" s="21" t="str">
        <x:v>V2</x:v>
      </x:c>
      <x:c r="C281" s="21" t="str">
        <x:v>five_to_nineteen_unit_structures</x:v>
      </x:c>
      <x:c r="D281" s="24" t="n">
        <x:v>3263</x:v>
      </x:c>
      <x:c r="E281" s="43" t="n">
        <x:v>294.0238957541901</x:v>
      </x:c>
      <x:c r="F281" s="43" t="n">
        <x:v>11.097737453039986</x:v>
      </x:c>
      <x:c r="G281" s="43" t="n">
        <x:v>3263</x:v>
      </x:c>
      <x:c r="H281" s="43" t="n">
        <x:v>86450.05127447085</x:v>
      </x:c>
      <x:c r="I281" s="21" t="str">
        <x:v>INTERIOR</x:v>
      </x:c>
    </x:row>
    <x:row r="282">
      <x:c r="A282" s="21" t="str">
        <x:v>NYC-V2-R03</x:v>
      </x:c>
      <x:c r="B282" s="21" t="str">
        <x:v>V2</x:v>
      </x:c>
      <x:c r="C282" s="21" t="str">
        <x:v>twenty_to_forty_nine_unit_structures</x:v>
      </x:c>
      <x:c r="D282" s="24" t="n">
        <x:v>1613</x:v>
      </x:c>
      <x:c r="E282" s="43" t="n">
        <x:v>205.62573992379473</x:v>
      </x:c>
      <x:c r="F282" s="43" t="n">
        <x:v>7.84434867248517</x:v>
      </x:c>
      <x:c r="G282" s="43" t="n">
        <x:v>1613</x:v>
      </x:c>
      <x:c r="H282" s="43" t="n">
        <x:v>42281.944919208065</x:v>
      </x:c>
      <x:c r="I282" s="21" t="str">
        <x:v>INTERIOR</x:v>
      </x:c>
    </x:row>
    <x:row r="283">
      <x:c r="A283" s="21" t="str">
        <x:v>NYC-V2-R03</x:v>
      </x:c>
      <x:c r="B283" s="21" t="str">
        <x:v>V2</x:v>
      </x:c>
      <x:c r="C283" s="21" t="str">
        <x:v>fifty_plus_unit_structures</x:v>
      </x:c>
      <x:c r="D283" s="24" t="n">
        <x:v>1911</x:v>
      </x:c>
      <x:c r="E283" s="43" t="n">
        <x:v>194.5773115990532</x:v>
      </x:c>
      <x:c r="F283" s="43" t="n">
        <x:v>9.821288948311787</x:v>
      </x:c>
      <x:c r="G283" s="43" t="n">
        <x:v>1911</x:v>
      </x:c>
      <x:c r="H283" s="43" t="n">
        <x:v>37860.33018911504</x:v>
      </x:c>
      <x:c r="I283" s="21" t="str">
        <x:v>INTERIOR</x:v>
      </x:c>
    </x:row>
    <x:row r="284">
      <x:c r="A284" s="21" t="str">
        <x:v>NYC-V2-R03</x:v>
      </x:c>
      <x:c r="B284" s="21" t="str">
        <x:v>V2</x:v>
      </x:c>
      <x:c r="C284" s="21" t="str">
        <x:v>mobile_or_other_units</x:v>
      </x:c>
      <x:c r="D284" s="24" t="n">
        <x:v>0</x:v>
      </x:c>
      <x:c r="E284" s="43" t="n">
        <x:v>56.045862962266796</x:v>
      </x:c>
      <x:c r="F284" s="43" t="n">
        <x:v>0</x:v>
      </x:c>
      <x:c r="G284" s="43" t="n">
        <x:v>0</x:v>
      </x:c>
      <x:c r="H284" s="43" t="n">
        <x:v>3141.138755185189</x:v>
      </x:c>
      <x:c r="I284" s="21" t="str">
        <x:v>IMPOSSIBLE_EXACT_MOMENTS</x:v>
      </x:c>
    </x:row>
    <x:row r="285">
      <x:c r="A285" s="21" t="str">
        <x:v>NYC-V2-R03</x:v>
      </x:c>
      <x:c r="B285" s="21" t="str">
        <x:v>V2</x:v>
      </x:c>
      <x:c r="C285" s="21" t="str">
        <x:v>electric_heat_households</x:v>
      </x:c>
      <x:c r="D285" s="24" t="n">
        <x:v>2701</x:v>
      </x:c>
      <x:c r="E285" s="43" t="n">
        <x:v>208.2869415013817</x:v>
      </x:c>
      <x:c r="F285" s="43" t="n">
        <x:v>12.967687654975157</x:v>
      </x:c>
      <x:c r="G285" s="43" t="n">
        <x:v>2701</x:v>
      </x:c>
      <x:c r="H285" s="43" t="n">
        <x:v>43383.450000000004</x:v>
      </x:c>
      <x:c r="I285" s="21" t="str">
        <x:v>INTERIOR</x:v>
      </x:c>
    </x:row>
    <x:row r="286">
      <x:c r="A286" s="21" t="str">
        <x:v>NYC-V2-R03</x:v>
      </x:c>
      <x:c r="B286" s="21" t="str">
        <x:v>V2</x:v>
      </x:c>
      <x:c r="C286" s="21" t="str">
        <x:v>group_quarters_population</x:v>
      </x:c>
      <x:c r="D286" s="24" t="n">
        <x:v>561</x:v>
      </x:c>
      <x:c r="E286" s="43" t="n">
        <x:v>12.77106103657797</x:v>
      </x:c>
      <x:c r="F286" s="43" t="n">
        <x:v>43.927438635930365</x:v>
      </x:c>
      <x:c r="G286" s="43" t="n">
        <x:v>561</x:v>
      </x:c>
      <x:c r="H286" s="43" t="n">
        <x:v>163.1</x:v>
      </x:c>
      <x:c r="I286" s="21" t="str">
        <x:v>INTERIOR</x:v>
      </x:c>
    </x:row>
    <x:row r="287">
      <x:c r="A287" s="21" t="str">
        <x:v>NYC-V2-R04</x:v>
      </x:c>
      <x:c r="B287" s="21" t="str">
        <x:v>V2</x:v>
      </x:c>
      <x:c r="C287" s="21" t="str">
        <x:v>acs_population</x:v>
      </x:c>
      <x:c r="D287" s="24" t="n">
        <x:v>35397</x:v>
      </x:c>
      <x:c r="E287" s="43" t="n">
        <x:v>1482.3410538739051</x:v>
      </x:c>
      <x:c r="F287" s="43" t="n">
        <x:v>23.87912006315588</x:v>
      </x:c>
      <x:c r="G287" s="43" t="n">
        <x:v>35397</x:v>
      </x:c>
      <x:c r="H287" s="43" t="n">
        <x:v>2197334.9999999995</x:v>
      </x:c>
      <x:c r="I287" s="21" t="str">
        <x:v>INTERIOR</x:v>
      </x:c>
    </x:row>
    <x:row r="288">
      <x:c r="A288" s="21" t="str">
        <x:v>NYC-V2-R04</x:v>
      </x:c>
      <x:c r="B288" s="21" t="str">
        <x:v>V2</x:v>
      </x:c>
      <x:c r="C288" s="21" t="str">
        <x:v>age_under_18</x:v>
      </x:c>
      <x:c r="D288" s="24" t="n">
        <x:v>9778</x:v>
      </x:c>
      <x:c r="E288" s="43" t="n">
        <x:v>867.2309092738797</x:v>
      </x:c>
      <x:c r="F288" s="43" t="n">
        <x:v>11.27496713440136</x:v>
      </x:c>
      <x:c r="G288" s="43" t="n">
        <x:v>9778</x:v>
      </x:c>
      <x:c r="H288" s="43" t="n">
        <x:v>752089.4500000001</x:v>
      </x:c>
      <x:c r="I288" s="21" t="str">
        <x:v>INTERIOR</x:v>
      </x:c>
    </x:row>
    <x:row r="289">
      <x:c r="A289" s="21" t="str">
        <x:v>NYC-V2-R04</x:v>
      </x:c>
      <x:c r="B289" s="21" t="str">
        <x:v>V2</x:v>
      </x:c>
      <x:c r="C289" s="21" t="str">
        <x:v>age_under_5</x:v>
      </x:c>
      <x:c r="D289" s="24" t="n">
        <x:v>2621</x:v>
      </x:c>
      <x:c r="E289" s="43" t="n">
        <x:v>500.12618407757856</x:v>
      </x:c>
      <x:c r="F289" s="43" t="n">
        <x:v>5.240677419907764</x:v>
      </x:c>
      <x:c r="G289" s="43" t="n">
        <x:v>2621</x:v>
      </x:c>
      <x:c r="H289" s="43" t="n">
        <x:v>250126.19999999998</x:v>
      </x:c>
      <x:c r="I289" s="21" t="str">
        <x:v>INTERIOR</x:v>
      </x:c>
    </x:row>
    <x:row r="290">
      <x:c r="A290" s="21" t="str">
        <x:v>NYC-V2-R04</x:v>
      </x:c>
      <x:c r="B290" s="21" t="str">
        <x:v>V2</x:v>
      </x:c>
      <x:c r="C290" s="21" t="str">
        <x:v>age_65_plus</x:v>
      </x:c>
      <x:c r="D290" s="24" t="n">
        <x:v>4484</x:v>
      </x:c>
      <x:c r="E290" s="43" t="n">
        <x:v>520.930753555595</x:v>
      </x:c>
      <x:c r="F290" s="43" t="n">
        <x:v>8.607669962647842</x:v>
      </x:c>
      <x:c r="G290" s="43" t="n">
        <x:v>4484</x:v>
      </x:c>
      <x:c r="H290" s="43" t="n">
        <x:v>271368.85</x:v>
      </x:c>
      <x:c r="I290" s="21" t="str">
        <x:v>INTERIOR</x:v>
      </x:c>
    </x:row>
    <x:row r="291">
      <x:c r="A291" s="21" t="str">
        <x:v>NYC-V2-R04</x:v>
      </x:c>
      <x:c r="B291" s="21" t="str">
        <x:v>V2</x:v>
      </x:c>
      <x:c r="C291" s="21" t="str">
        <x:v>age_75_plus</x:v>
      </x:c>
      <x:c r="D291" s="24" t="n">
        <x:v>1499</x:v>
      </x:c>
      <x:c r="E291" s="43" t="n">
        <x:v>258.93020295052486</x:v>
      </x:c>
      <x:c r="F291" s="43" t="n">
        <x:v>5.7892049012390485</x:v>
      </x:c>
      <x:c r="G291" s="43" t="n">
        <x:v>1499</x:v>
      </x:c>
      <x:c r="H291" s="43" t="n">
        <x:v>67044.84999999999</x:v>
      </x:c>
      <x:c r="I291" s="21" t="str">
        <x:v>INTERIOR</x:v>
      </x:c>
    </x:row>
    <x:row r="292">
      <x:c r="A292" s="21" t="str">
        <x:v>NYC-V2-R04</x:v>
      </x:c>
      <x:c r="B292" s="21" t="str">
        <x:v>V2</x:v>
      </x:c>
      <x:c r="C292" s="21" t="str">
        <x:v>age_85_plus</x:v>
      </x:c>
      <x:c r="D292" s="24" t="n">
        <x:v>436</x:v>
      </x:c>
      <x:c r="E292" s="43" t="n">
        <x:v>121.58392163440034</x:v>
      </x:c>
      <x:c r="F292" s="43" t="n">
        <x:v>3.5860004689685905</x:v>
      </x:c>
      <x:c r="G292" s="43" t="n">
        <x:v>436</x:v>
      </x:c>
      <x:c r="H292" s="43" t="n">
        <x:v>14782.650000000003</x:v>
      </x:c>
      <x:c r="I292" s="21" t="str">
        <x:v>INTERIOR</x:v>
      </x:c>
    </x:row>
    <x:row r="293">
      <x:c r="A293" s="21" t="str">
        <x:v>NYC-V2-R04</x:v>
      </x:c>
      <x:c r="B293" s="21" t="str">
        <x:v>V2</x:v>
      </x:c>
      <x:c r="C293" s="21" t="str">
        <x:v>civilian_noninstitutionalized</x:v>
      </x:c>
      <x:c r="D293" s="24" t="n">
        <x:v>35165</x:v>
      </x:c>
      <x:c r="E293" s="43" t="n">
        <x:v>1482.7961592882552</x:v>
      </x:c>
      <x:c r="F293" s="43" t="n">
        <x:v>23.715329837972646</x:v>
      </x:c>
      <x:c r="G293" s="43" t="n">
        <x:v>35165</x:v>
      </x:c>
      <x:c r="H293" s="43" t="n">
        <x:v>2198684.4500000007</x:v>
      </x:c>
      <x:c r="I293" s="21" t="str">
        <x:v>INTERIOR</x:v>
      </x:c>
    </x:row>
    <x:row r="294">
      <x:c r="A294" s="21" t="str">
        <x:v>NYC-V2-R04</x:v>
      </x:c>
      <x:c r="B294" s="21" t="str">
        <x:v>V2</x:v>
      </x:c>
      <x:c r="C294" s="21" t="str">
        <x:v>any_disability</x:v>
      </x:c>
      <x:c r="D294" s="24" t="n">
        <x:v>3985</x:v>
      </x:c>
      <x:c r="E294" s="43" t="n">
        <x:v>371.7736542575334</x:v>
      </x:c>
      <x:c r="F294" s="43" t="n">
        <x:v>10.718887566033736</x:v>
      </x:c>
      <x:c r="G294" s="43" t="n">
        <x:v>3985</x:v>
      </x:c>
      <x:c r="H294" s="43" t="n">
        <x:v>138215.64999999997</x:v>
      </x:c>
      <x:c r="I294" s="21" t="str">
        <x:v>INTERIOR</x:v>
      </x:c>
    </x:row>
    <x:row r="295">
      <x:c r="A295" s="21" t="str">
        <x:v>NYC-V2-R04</x:v>
      </x:c>
      <x:c r="B295" s="21" t="str">
        <x:v>V2</x:v>
      </x:c>
      <x:c r="C295" s="21" t="str">
        <x:v>disability_under_18</x:v>
      </x:c>
      <x:c r="D295" s="24" t="n">
        <x:v>460</x:v>
      </x:c>
      <x:c r="E295" s="43" t="n">
        <x:v>117.97330206449254</x:v>
      </x:c>
      <x:c r="F295" s="43" t="n">
        <x:v>3.899187290261075</x:v>
      </x:c>
      <x:c r="G295" s="43" t="n">
        <x:v>460</x:v>
      </x:c>
      <x:c r="H295" s="43" t="n">
        <x:v>13917.7</x:v>
      </x:c>
      <x:c r="I295" s="21" t="str">
        <x:v>INTERIOR</x:v>
      </x:c>
    </x:row>
    <x:row r="296">
      <x:c r="A296" s="21" t="str">
        <x:v>NYC-V2-R04</x:v>
      </x:c>
      <x:c r="B296" s="21" t="str">
        <x:v>V2</x:v>
      </x:c>
      <x:c r="C296" s="21" t="str">
        <x:v>disability_18_64</x:v>
      </x:c>
      <x:c r="D296" s="24" t="n">
        <x:v>1777</x:v>
      </x:c>
      <x:c r="E296" s="43" t="n">
        <x:v>235.50774934171488</x:v>
      </x:c>
      <x:c r="F296" s="43" t="n">
        <x:v>7.545399270160002</x:v>
      </x:c>
      <x:c r="G296" s="43" t="n">
        <x:v>1777</x:v>
      </x:c>
      <x:c r="H296" s="43" t="n">
        <x:v>55463.90000000001</x:v>
      </x:c>
      <x:c r="I296" s="21" t="str">
        <x:v>INTERIOR</x:v>
      </x:c>
    </x:row>
    <x:row r="297">
      <x:c r="A297" s="21" t="str">
        <x:v>NYC-V2-R04</x:v>
      </x:c>
      <x:c r="B297" s="21" t="str">
        <x:v>V2</x:v>
      </x:c>
      <x:c r="C297" s="21" t="str">
        <x:v>disability_65_plus</x:v>
      </x:c>
      <x:c r="D297" s="24" t="n">
        <x:v>1748</x:v>
      </x:c>
      <x:c r="E297" s="43" t="n">
        <x:v>267.32143572859997</x:v>
      </x:c>
      <x:c r="F297" s="43" t="n">
        <x:v>6.5389443807067895</x:v>
      </x:c>
      <x:c r="G297" s="43" t="n">
        <x:v>1748</x:v>
      </x:c>
      <x:c r="H297" s="43" t="n">
        <x:v>71460.75</x:v>
      </x:c>
      <x:c r="I297" s="21" t="str">
        <x:v>INTERIOR</x:v>
      </x:c>
    </x:row>
    <x:row r="298">
      <x:c r="A298" s="21" t="str">
        <x:v>NYC-V2-R04</x:v>
      </x:c>
      <x:c r="B298" s="21" t="str">
        <x:v>V2</x:v>
      </x:c>
      <x:c r="C298" s="21" t="str">
        <x:v>hearing_difficulty</x:v>
      </x:c>
      <x:c r="D298" s="24" t="n">
        <x:v>445</x:v>
      </x:c>
      <x:c r="E298" s="43" t="n">
        <x:v>137.06420603556114</x:v>
      </x:c>
      <x:c r="F298" s="43" t="n">
        <x:v>3.246653614909098</x:v>
      </x:c>
      <x:c r="G298" s="43" t="n">
        <x:v>445</x:v>
      </x:c>
      <x:c r="H298" s="43" t="n">
        <x:v>18786.596576158754</x:v>
      </x:c>
      <x:c r="I298" s="21" t="str">
        <x:v>INTERIOR</x:v>
      </x:c>
    </x:row>
    <x:row r="299">
      <x:c r="A299" s="21" t="str">
        <x:v>NYC-V2-R04</x:v>
      </x:c>
      <x:c r="B299" s="21" t="str">
        <x:v>V2</x:v>
      </x:c>
      <x:c r="C299" s="21" t="str">
        <x:v>vision_difficulty</x:v>
      </x:c>
      <x:c r="D299" s="24" t="n">
        <x:v>570</x:v>
      </x:c>
      <x:c r="E299" s="43" t="n">
        <x:v>149.057701175634</x:v>
      </x:c>
      <x:c r="F299" s="43" t="n">
        <x:v>3.8240224792436024</x:v>
      </x:c>
      <x:c r="G299" s="43" t="n">
        <x:v>570</x:v>
      </x:c>
      <x:c r="H299" s="43" t="n">
        <x:v>22218.198279764605</x:v>
      </x:c>
      <x:c r="I299" s="21" t="str">
        <x:v>INTERIOR</x:v>
      </x:c>
    </x:row>
    <x:row r="300">
      <x:c r="A300" s="21" t="str">
        <x:v>NYC-V2-R04</x:v>
      </x:c>
      <x:c r="B300" s="21" t="str">
        <x:v>V2</x:v>
      </x:c>
      <x:c r="C300" s="21" t="str">
        <x:v>cognitive_difficulty</x:v>
      </x:c>
      <x:c r="D300" s="24" t="n">
        <x:v>1192</x:v>
      </x:c>
      <x:c r="E300" s="43" t="n">
        <x:v>202.80732223434802</x:v>
      </x:c>
      <x:c r="F300" s="43" t="n">
        <x:v>5.877499820359639</x:v>
      </x:c>
      <x:c r="G300" s="43" t="n">
        <x:v>1192</x:v>
      </x:c>
      <x:c r="H300" s="43" t="n">
        <x:v>41130.80995186667</x:v>
      </x:c>
      <x:c r="I300" s="21" t="str">
        <x:v>INTERIOR</x:v>
      </x:c>
    </x:row>
    <x:row r="301">
      <x:c r="A301" s="21" t="str">
        <x:v>NYC-V2-R04</x:v>
      </x:c>
      <x:c r="B301" s="21" t="str">
        <x:v>V2</x:v>
      </x:c>
      <x:c r="C301" s="21" t="str">
        <x:v>ambulatory_difficulty</x:v>
      </x:c>
      <x:c r="D301" s="24" t="n">
        <x:v>2512</x:v>
      </x:c>
      <x:c r="E301" s="43" t="n">
        <x:v>309.37411914892334</x:v>
      </x:c>
      <x:c r="F301" s="43" t="n">
        <x:v>8.119619077738042</x:v>
      </x:c>
      <x:c r="G301" s="43" t="n">
        <x:v>2512</x:v>
      </x:c>
      <x:c r="H301" s="43" t="n">
        <x:v>95712.34559917221</x:v>
      </x:c>
      <x:c r="I301" s="21" t="str">
        <x:v>INTERIOR</x:v>
      </x:c>
    </x:row>
    <x:row r="302">
      <x:c r="A302" s="21" t="str">
        <x:v>NYC-V2-R04</x:v>
      </x:c>
      <x:c r="B302" s="21" t="str">
        <x:v>V2</x:v>
      </x:c>
      <x:c r="C302" s="21" t="str">
        <x:v>self_care_difficulty</x:v>
      </x:c>
      <x:c r="D302" s="24" t="n">
        <x:v>1027</x:v>
      </x:c>
      <x:c r="E302" s="43" t="n">
        <x:v>201.01276268873735</x:v>
      </x:c>
      <x:c r="F302" s="43" t="n">
        <x:v>5.109128327290744</x:v>
      </x:c>
      <x:c r="G302" s="43" t="n">
        <x:v>1027</x:v>
      </x:c>
      <x:c r="H302" s="43" t="n">
        <x:v>40406.13076375864</x:v>
      </x:c>
      <x:c r="I302" s="21" t="str">
        <x:v>INTERIOR</x:v>
      </x:c>
    </x:row>
    <x:row r="303">
      <x:c r="A303" s="21" t="str">
        <x:v>NYC-V2-R04</x:v>
      </x:c>
      <x:c r="B303" s="21" t="str">
        <x:v>V2</x:v>
      </x:c>
      <x:c r="C303" s="21" t="str">
        <x:v>independent_living_difficulty</x:v>
      </x:c>
      <x:c r="D303" s="24" t="n">
        <x:v>2186</x:v>
      </x:c>
      <x:c r="E303" s="43" t="n">
        <x:v>289.9957294852893</x:v>
      </x:c>
      <x:c r="F303" s="43" t="n">
        <x:v>7.538042039032474</x:v>
      </x:c>
      <x:c r="G303" s="43" t="n">
        <x:v>2186</x:v>
      </x:c>
      <x:c r="H303" s="43" t="n">
        <x:v>84097.52311970509</x:v>
      </x:c>
      <x:c r="I303" s="21" t="str">
        <x:v>INTERIOR</x:v>
      </x:c>
    </x:row>
    <x:row r="304">
      <x:c r="A304" s="21" t="str">
        <x:v>NYC-V2-R04</x:v>
      </x:c>
      <x:c r="B304" s="21" t="str">
        <x:v>V2</x:v>
      </x:c>
      <x:c r="C304" s="21" t="str">
        <x:v>households</x:v>
      </x:c>
      <x:c r="D304" s="24" t="n">
        <x:v>12042</x:v>
      </x:c>
      <x:c r="E304" s="43" t="n">
        <x:v>472.6580687981535</x:v>
      </x:c>
      <x:c r="F304" s="43" t="n">
        <x:v>25.4771912190554</x:v>
      </x:c>
      <x:c r="G304" s="43" t="n">
        <x:v>12042</x:v>
      </x:c>
      <x:c r="H304" s="43" t="n">
        <x:v>223405.65000000002</x:v>
      </x:c>
      <x:c r="I304" s="21" t="str">
        <x:v>INTERIOR</x:v>
      </x:c>
    </x:row>
    <x:row r="305">
      <x:c r="A305" s="21" t="str">
        <x:v>NYC-V2-R04</x:v>
      </x:c>
      <x:c r="B305" s="21" t="str">
        <x:v>V2</x:v>
      </x:c>
      <x:c r="C305" s="21" t="str">
        <x:v>family_households</x:v>
      </x:c>
      <x:c r="D305" s="24" t="n">
        <x:v>7936</x:v>
      </x:c>
      <x:c r="E305" s="43" t="n">
        <x:v>402.79957795409865</x:v>
      </x:c>
      <x:c r="F305" s="43" t="n">
        <x:v>19.70210604566312</x:v>
      </x:c>
      <x:c r="G305" s="43" t="n">
        <x:v>7936</x:v>
      </x:c>
      <x:c r="H305" s="43" t="n">
        <x:v>162247.5</x:v>
      </x:c>
      <x:c r="I305" s="21" t="str">
        <x:v>INTERIOR</x:v>
      </x:c>
    </x:row>
    <x:row r="306">
      <x:c r="A306" s="21" t="str">
        <x:v>NYC-V2-R04</x:v>
      </x:c>
      <x:c r="B306" s="21" t="str">
        <x:v>V2</x:v>
      </x:c>
      <x:c r="C306" s="21" t="str">
        <x:v>nonfamily_households</x:v>
      </x:c>
      <x:c r="D306" s="24" t="n">
        <x:v>4106</x:v>
      </x:c>
      <x:c r="E306" s="43" t="n">
        <x:v>448.4646585852669</x:v>
      </x:c>
      <x:c r="F306" s="43" t="n">
        <x:v>9.155682440959444</x:v>
      </x:c>
      <x:c r="G306" s="43" t="n">
        <x:v>4106</x:v>
      </x:c>
      <x:c r="H306" s="43" t="n">
        <x:v>201120.55</x:v>
      </x:c>
      <x:c r="I306" s="21" t="str">
        <x:v>INTERIOR</x:v>
      </x:c>
    </x:row>
    <x:row r="307">
      <x:c r="A307" s="21" t="str">
        <x:v>NYC-V2-R04</x:v>
      </x:c>
      <x:c r="B307" s="21" t="str">
        <x:v>V2</x:v>
      </x:c>
      <x:c r="C307" s="21" t="str">
        <x:v>living_alone_households</x:v>
      </x:c>
      <x:c r="D307" s="24" t="n">
        <x:v>3340</x:v>
      </x:c>
      <x:c r="E307" s="43" t="n">
        <x:v>448.1658175273969</x:v>
      </x:c>
      <x:c r="F307" s="43" t="n">
        <x:v>7.452598724345642</x:v>
      </x:c>
      <x:c r="G307" s="43" t="n">
        <x:v>3340</x:v>
      </x:c>
      <x:c r="H307" s="43" t="n">
        <x:v>200852.6</x:v>
      </x:c>
      <x:c r="I307" s="21" t="str">
        <x:v>INTERIOR</x:v>
      </x:c>
    </x:row>
    <x:row r="308">
      <x:c r="A308" s="21" t="str">
        <x:v>NYC-V2-R04</x:v>
      </x:c>
      <x:c r="B308" s="21" t="str">
        <x:v>V2</x:v>
      </x:c>
      <x:c r="C308" s="21" t="str">
        <x:v>households_with_children</x:v>
      </x:c>
      <x:c r="D308" s="24" t="n">
        <x:v>4875</x:v>
      </x:c>
      <x:c r="E308" s="43" t="n">
        <x:v>322.88364777424084</x:v>
      </x:c>
      <x:c r="F308" s="43" t="n">
        <x:v>15.098318027578106</x:v>
      </x:c>
      <x:c r="G308" s="43" t="n">
        <x:v>4875</x:v>
      </x:c>
      <x:c r="H308" s="43" t="n">
        <x:v>104253.85000000002</x:v>
      </x:c>
      <x:c r="I308" s="21" t="str">
        <x:v>INTERIOR</x:v>
      </x:c>
    </x:row>
    <x:row r="309">
      <x:c r="A309" s="21" t="str">
        <x:v>NYC-V2-R04</x:v>
      </x:c>
      <x:c r="B309" s="21" t="str">
        <x:v>V2</x:v>
      </x:c>
      <x:c r="C309" s="21" t="str">
        <x:v>households_with_age65</x:v>
      </x:c>
      <x:c r="D309" s="24" t="n">
        <x:v>3302</x:v>
      </x:c>
      <x:c r="E309" s="43" t="n">
        <x:v>324.50030816626355</x:v>
      </x:c>
      <x:c r="F309" s="43" t="n">
        <x:v>10.175645190167774</x:v>
      </x:c>
      <x:c r="G309" s="43" t="n">
        <x:v>3302</x:v>
      </x:c>
      <x:c r="H309" s="43" t="n">
        <x:v>105300.45000000001</x:v>
      </x:c>
      <x:c r="I309" s="21" t="str">
        <x:v>INTERIOR</x:v>
      </x:c>
    </x:row>
    <x:row r="310">
      <x:c r="A310" s="21" t="str">
        <x:v>NYC-V2-R04</x:v>
      </x:c>
      <x:c r="B310" s="21" t="str">
        <x:v>V2</x:v>
      </x:c>
      <x:c r="C310" s="21" t="str">
        <x:v>age65_one_person_households</x:v>
      </x:c>
      <x:c r="D310" s="24" t="n">
        <x:v>1136</x:v>
      </x:c>
      <x:c r="E310" s="43" t="n">
        <x:v>217.43803715081683</x:v>
      </x:c>
      <x:c r="F310" s="43" t="n">
        <x:v>5.224476889533642</x:v>
      </x:c>
      <x:c r="G310" s="43" t="n">
        <x:v>1136</x:v>
      </x:c>
      <x:c r="H310" s="43" t="n">
        <x:v>47279.299999999996</x:v>
      </x:c>
      <x:c r="I310" s="21" t="str">
        <x:v>INTERIOR</x:v>
      </x:c>
    </x:row>
    <x:row r="311">
      <x:c r="A311" s="21" t="str">
        <x:v>NYC-V2-R04</x:v>
      </x:c>
      <x:c r="B311" s="21" t="str">
        <x:v>V2</x:v>
      </x:c>
      <x:c r="C311" s="21" t="str">
        <x:v>no_vehicle_households</x:v>
      </x:c>
      <x:c r="D311" s="24" t="n">
        <x:v>7986</x:v>
      </x:c>
      <x:c r="E311" s="43" t="n">
        <x:v>455.833019685223</x:v>
      </x:c>
      <x:c r="F311" s="43" t="n">
        <x:v>17.519573297947478</x:v>
      </x:c>
      <x:c r="G311" s="43" t="n">
        <x:v>7986</x:v>
      </x:c>
      <x:c r="H311" s="43" t="n">
        <x:v>207783.74183534892</x:v>
      </x:c>
      <x:c r="I311" s="21" t="str">
        <x:v>INTERIOR</x:v>
      </x:c>
    </x:row>
    <x:row r="312">
      <x:c r="A312" s="21" t="str">
        <x:v>NYC-V2-R04</x:v>
      </x:c>
      <x:c r="B312" s="21" t="str">
        <x:v>V2</x:v>
      </x:c>
      <x:c r="C312" s="21" t="str">
        <x:v>limited_english_households</x:v>
      </x:c>
      <x:c r="D312" s="24" t="n">
        <x:v>1859</x:v>
      </x:c>
      <x:c r="E312" s="43" t="n">
        <x:v>337.51031418894877</x:v>
      </x:c>
      <x:c r="F312" s="43" t="n">
        <x:v>5.50797982120118</x:v>
      </x:c>
      <x:c r="G312" s="43" t="n">
        <x:v>1859</x:v>
      </x:c>
      <x:c r="H312" s="43" t="n">
        <x:v>113913.21218392291</x:v>
      </x:c>
      <x:c r="I312" s="21" t="str">
        <x:v>INTERIOR</x:v>
      </x:c>
    </x:row>
    <x:row r="313">
      <x:c r="A313" s="21" t="str">
        <x:v>NYC-V2-R04</x:v>
      </x:c>
      <x:c r="B313" s="21" t="str">
        <x:v>V2</x:v>
      </x:c>
      <x:c r="C313" s="21" t="str">
        <x:v>housing_units</x:v>
      </x:c>
      <x:c r="D313" s="24" t="n">
        <x:v>12656</x:v>
      </x:c>
      <x:c r="E313" s="43" t="n">
        <x:v>446.9353980163129</x:v>
      </x:c>
      <x:c r="F313" s="43" t="n">
        <x:v>28.317291617922066</x:v>
      </x:c>
      <x:c r="G313" s="43" t="n">
        <x:v>12656</x:v>
      </x:c>
      <x:c r="H313" s="43" t="n">
        <x:v>199751.25000000003</x:v>
      </x:c>
      <x:c r="I313" s="21" t="str">
        <x:v>INTERIOR</x:v>
      </x:c>
    </x:row>
    <x:row r="314">
      <x:c r="A314" s="21" t="str">
        <x:v>NYC-V2-R04</x:v>
      </x:c>
      <x:c r="B314" s="21" t="str">
        <x:v>V2</x:v>
      </x:c>
      <x:c r="C314" s="21" t="str">
        <x:v>occupied_housing_units</x:v>
      </x:c>
      <x:c r="D314" s="24" t="n">
        <x:v>12042</x:v>
      </x:c>
      <x:c r="E314" s="43" t="n">
        <x:v>472.6580687981535</x:v>
      </x:c>
      <x:c r="F314" s="43" t="n">
        <x:v>25.4771912190554</x:v>
      </x:c>
      <x:c r="G314" s="43" t="n">
        <x:v>12042</x:v>
      </x:c>
      <x:c r="H314" s="43" t="n">
        <x:v>223405.65000000002</x:v>
      </x:c>
      <x:c r="I314" s="21" t="str">
        <x:v>INTERIOR</x:v>
      </x:c>
    </x:row>
    <x:row r="315">
      <x:c r="A315" s="21" t="str">
        <x:v>NYC-V2-R04</x:v>
      </x:c>
      <x:c r="B315" s="21" t="str">
        <x:v>V2</x:v>
      </x:c>
      <x:c r="C315" s="21" t="str">
        <x:v>vacant_housing_units</x:v>
      </x:c>
      <x:c r="D315" s="24" t="n">
        <x:v>614</x:v>
      </x:c>
      <x:c r="E315" s="43" t="n">
        <x:v>121.57096692878609</x:v>
      </x:c>
      <x:c r="F315" s="43" t="n">
        <x:v>5.050547968082456</x:v>
      </x:c>
      <x:c r="G315" s="43" t="n">
        <x:v>614</x:v>
      </x:c>
      <x:c r="H315" s="43" t="n">
        <x:v>14779.500000000002</x:v>
      </x:c>
      <x:c r="I315" s="21" t="str">
        <x:v>INTERIOR</x:v>
      </x:c>
    </x:row>
    <x:row r="316">
      <x:c r="A316" s="21" t="str">
        <x:v>NYC-V2-R04</x:v>
      </x:c>
      <x:c r="B316" s="21" t="str">
        <x:v>V2</x:v>
      </x:c>
      <x:c r="C316" s="21" t="str">
        <x:v>owner_occupied_units</x:v>
      </x:c>
      <x:c r="D316" s="24" t="n">
        <x:v>1927</x:v>
      </x:c>
      <x:c r="E316" s="43" t="n">
        <x:v>216.37665751855764</x:v>
      </x:c>
      <x:c r="F316" s="43" t="n">
        <x:v>8.90576655587135</x:v>
      </x:c>
      <x:c r="G316" s="43" t="n">
        <x:v>1927</x:v>
      </x:c>
      <x:c r="H316" s="43" t="n">
        <x:v>46818.85791890319</x:v>
      </x:c>
      <x:c r="I316" s="21" t="str">
        <x:v>INTERIOR</x:v>
      </x:c>
    </x:row>
    <x:row r="317">
      <x:c r="A317" s="21" t="str">
        <x:v>NYC-V2-R04</x:v>
      </x:c>
      <x:c r="B317" s="21" t="str">
        <x:v>V2</x:v>
      </x:c>
      <x:c r="C317" s="21" t="str">
        <x:v>renter_occupied_units</x:v>
      </x:c>
      <x:c r="D317" s="24" t="n">
        <x:v>10115</x:v>
      </x:c>
      <x:c r="E317" s="43" t="n">
        <x:v>465.1111462230554</x:v>
      </x:c>
      <x:c r="F317" s="43" t="n">
        <x:v>21.74748999704493</x:v>
      </x:c>
      <x:c r="G317" s="43" t="n">
        <x:v>10115</x:v>
      </x:c>
      <x:c r="H317" s="43" t="n">
        <x:v>216328.37834092442</x:v>
      </x:c>
      <x:c r="I317" s="21" t="str">
        <x:v>INTERIOR</x:v>
      </x:c>
    </x:row>
    <x:row r="318">
      <x:c r="A318" s="21" t="str">
        <x:v>NYC-V2-R04</x:v>
      </x:c>
      <x:c r="B318" s="21" t="str">
        <x:v>V2</x:v>
      </x:c>
      <x:c r="C318" s="21" t="str">
        <x:v>one_unit_structures</x:v>
      </x:c>
      <x:c r="D318" s="24" t="n">
        <x:v>1258</x:v>
      </x:c>
      <x:c r="E318" s="43" t="n">
        <x:v>195.3411990652606</x:v>
      </x:c>
      <x:c r="F318" s="43" t="n">
        <x:v>6.44001370944652</x:v>
      </x:c>
      <x:c r="G318" s="43" t="n">
        <x:v>1258</x:v>
      </x:c>
      <x:c r="H318" s="43" t="n">
        <x:v>38158.184052253775</x:v>
      </x:c>
      <x:c r="I318" s="21" t="str">
        <x:v>INTERIOR</x:v>
      </x:c>
    </x:row>
    <x:row r="319">
      <x:c r="A319" s="21" t="str">
        <x:v>NYC-V2-R04</x:v>
      </x:c>
      <x:c r="B319" s="21" t="str">
        <x:v>V2</x:v>
      </x:c>
      <x:c r="C319" s="21" t="str">
        <x:v>two_to_four_unit_structures</x:v>
      </x:c>
      <x:c r="D319" s="24" t="n">
        <x:v>4732</x:v>
      </x:c>
      <x:c r="E319" s="43" t="n">
        <x:v>465.8359892222641</x:v>
      </x:c>
      <x:c r="F319" s="43" t="n">
        <x:v>10.158081619885799</x:v>
      </x:c>
      <x:c r="G319" s="43" t="n">
        <x:v>4732</x:v>
      </x:c>
      <x:c r="H319" s="43" t="n">
        <x:v>217003.16885468538</x:v>
      </x:c>
      <x:c r="I319" s="21" t="str">
        <x:v>INTERIOR</x:v>
      </x:c>
    </x:row>
    <x:row r="320">
      <x:c r="A320" s="21" t="str">
        <x:v>NYC-V2-R04</x:v>
      </x:c>
      <x:c r="B320" s="21" t="str">
        <x:v>V2</x:v>
      </x:c>
      <x:c r="C320" s="21" t="str">
        <x:v>five_to_nineteen_unit_structures</x:v>
      </x:c>
      <x:c r="D320" s="24" t="n">
        <x:v>1049</x:v>
      </x:c>
      <x:c r="E320" s="43" t="n">
        <x:v>177.17210248560423</x:v>
      </x:c>
      <x:c r="F320" s="43" t="n">
        <x:v>5.920796701530561</x:v>
      </x:c>
      <x:c r="G320" s="43" t="n">
        <x:v>1049</x:v>
      </x:c>
      <x:c r="H320" s="43" t="n">
        <x:v>31389.953899169446</x:v>
      </x:c>
      <x:c r="I320" s="21" t="str">
        <x:v>INTERIOR</x:v>
      </x:c>
    </x:row>
    <x:row r="321">
      <x:c r="A321" s="21" t="str">
        <x:v>NYC-V2-R04</x:v>
      </x:c>
      <x:c r="B321" s="21" t="str">
        <x:v>V2</x:v>
      </x:c>
      <x:c r="C321" s="21" t="str">
        <x:v>twenty_to_forty_nine_unit_structures</x:v>
      </x:c>
      <x:c r="D321" s="24" t="n">
        <x:v>949</x:v>
      </x:c>
      <x:c r="E321" s="43" t="n">
        <x:v>160.24551335613415</x:v>
      </x:c>
      <x:c r="F321" s="43" t="n">
        <x:v>5.922162687269226</x:v>
      </x:c>
      <x:c r="G321" s="43" t="n">
        <x:v>949</x:v>
      </x:c>
      <x:c r="H321" s="43" t="n">
        <x:v>25678.62455077097</x:v>
      </x:c>
      <x:c r="I321" s="21" t="str">
        <x:v>INTERIOR</x:v>
      </x:c>
    </x:row>
    <x:row r="322">
      <x:c r="A322" s="21" t="str">
        <x:v>NYC-V2-R04</x:v>
      </x:c>
      <x:c r="B322" s="21" t="str">
        <x:v>V2</x:v>
      </x:c>
      <x:c r="C322" s="21" t="str">
        <x:v>fifty_plus_unit_structures</x:v>
      </x:c>
      <x:c r="D322" s="24" t="n">
        <x:v>4054</x:v>
      </x:c>
      <x:c r="E322" s="43" t="n">
        <x:v>290.7491449188039</x:v>
      </x:c>
      <x:c r="F322" s="43" t="n">
        <x:v>13.94329122148284</x:v>
      </x:c>
      <x:c r="G322" s="43" t="n">
        <x:v>4054</x:v>
      </x:c>
      <x:c r="H322" s="43" t="n">
        <x:v>84535.06527101563</x:v>
      </x:c>
      <x:c r="I322" s="21" t="str">
        <x:v>INTERIOR</x:v>
      </x:c>
    </x:row>
    <x:row r="323">
      <x:c r="A323" s="21" t="str">
        <x:v>NYC-V2-R04</x:v>
      </x:c>
      <x:c r="B323" s="21" t="str">
        <x:v>V2</x:v>
      </x:c>
      <x:c r="C323" s="21" t="str">
        <x:v>mobile_or_other_units</x:v>
      </x:c>
      <x:c r="D323" s="24" t="n">
        <x:v>0</x:v>
      </x:c>
      <x:c r="E323" s="43" t="n">
        <x:v>55.635555932632464</x:v>
      </x:c>
      <x:c r="F323" s="43" t="n">
        <x:v>0</x:v>
      </x:c>
      <x:c r="G323" s="43" t="n">
        <x:v>0</x:v>
      </x:c>
      <x:c r="H323" s="43" t="n">
        <x:v>3095.315083933075</x:v>
      </x:c>
      <x:c r="I323" s="21" t="str">
        <x:v>IMPOSSIBLE_EXACT_MOMENTS</x:v>
      </x:c>
    </x:row>
    <x:row r="324">
      <x:c r="A324" s="21" t="str">
        <x:v>NYC-V2-R04</x:v>
      </x:c>
      <x:c r="B324" s="21" t="str">
        <x:v>V2</x:v>
      </x:c>
      <x:c r="C324" s="21" t="str">
        <x:v>electric_heat_households</x:v>
      </x:c>
      <x:c r="D324" s="24" t="n">
        <x:v>795</x:v>
      </x:c>
      <x:c r="E324" s="43" t="n">
        <x:v>196.44413964280025</x:v>
      </x:c>
      <x:c r="F324" s="43" t="n">
        <x:v>4.046951980576108</x:v>
      </x:c>
      <x:c r="G324" s="43" t="n">
        <x:v>795</x:v>
      </x:c>
      <x:c r="H324" s="43" t="n">
        <x:v>38590.3</x:v>
      </x:c>
      <x:c r="I324" s="21" t="str">
        <x:v>INTERIOR</x:v>
      </x:c>
    </x:row>
    <x:row r="325">
      <x:c r="A325" s="21" t="str">
        <x:v>NYC-V2-R04</x:v>
      </x:c>
      <x:c r="B325" s="21" t="str">
        <x:v>V2</x:v>
      </x:c>
      <x:c r="C325" s="21" t="str">
        <x:v>group_quarters_population</x:v>
      </x:c>
      <x:c r="D325" s="24" t="n">
        <x:v>420</x:v>
      </x:c>
      <x:c r="E325" s="43" t="n">
        <x:v>9.518403227432636</x:v>
      </x:c>
      <x:c r="F325" s="43" t="n">
        <x:v>44.12504807419102</x:v>
      </x:c>
      <x:c r="G325" s="43" t="n">
        <x:v>420</x:v>
      </x:c>
      <x:c r="H325" s="43" t="n">
        <x:v>90.60000000000001</x:v>
      </x:c>
      <x:c r="I325" s="21" t="str">
        <x:v>INTERIOR</x:v>
      </x:c>
    </x:row>
    <x:row r="326">
      <x:c r="A326" s="21" t="str">
        <x:v>NYC-V3-R01</x:v>
      </x:c>
      <x:c r="B326" s="21" t="str">
        <x:v>V3</x:v>
      </x:c>
      <x:c r="C326" s="21" t="str">
        <x:v>acs_population</x:v>
      </x:c>
      <x:c r="D326" s="24" t="n">
        <x:v>34085</x:v>
      </x:c>
      <x:c r="E326" s="43" t="n">
        <x:v>1244.7103277469823</x:v>
      </x:c>
      <x:c r="F326" s="43" t="n">
        <x:v>27.383881406123116</x:v>
      </x:c>
      <x:c r="G326" s="43" t="n">
        <x:v>34085</x:v>
      </x:c>
      <x:c r="H326" s="43" t="n">
        <x:v>1549303.8000000003</x:v>
      </x:c>
      <x:c r="I326" s="21" t="str">
        <x:v>INTERIOR</x:v>
      </x:c>
    </x:row>
    <x:row r="327">
      <x:c r="A327" s="21" t="str">
        <x:v>NYC-V3-R01</x:v>
      </x:c>
      <x:c r="B327" s="21" t="str">
        <x:v>V3</x:v>
      </x:c>
      <x:c r="C327" s="21" t="str">
        <x:v>age_under_18</x:v>
      </x:c>
      <x:c r="D327" s="24" t="n">
        <x:v>4833</x:v>
      </x:c>
      <x:c r="E327" s="43" t="n">
        <x:v>567.5816681324371</x:v>
      </x:c>
      <x:c r="F327" s="43" t="n">
        <x:v>8.515074167040025</x:v>
      </x:c>
      <x:c r="G327" s="43" t="n">
        <x:v>4833</x:v>
      </x:c>
      <x:c r="H327" s="43" t="n">
        <x:v>322148.95</x:v>
      </x:c>
      <x:c r="I327" s="21" t="str">
        <x:v>INTERIOR</x:v>
      </x:c>
    </x:row>
    <x:row r="328">
      <x:c r="A328" s="21" t="str">
        <x:v>NYC-V3-R01</x:v>
      </x:c>
      <x:c r="B328" s="21" t="str">
        <x:v>V3</x:v>
      </x:c>
      <x:c r="C328" s="21" t="str">
        <x:v>age_under_5</x:v>
      </x:c>
      <x:c r="D328" s="24" t="n">
        <x:v>1548</x:v>
      </x:c>
      <x:c r="E328" s="43" t="n">
        <x:v>297.0982160835033</x:v>
      </x:c>
      <x:c r="F328" s="43" t="n">
        <x:v>5.210398165315522</x:v>
      </x:c>
      <x:c r="G328" s="43" t="n">
        <x:v>1548</x:v>
      </x:c>
      <x:c r="H328" s="43" t="n">
        <x:v>88267.35000000002</x:v>
      </x:c>
      <x:c r="I328" s="21" t="str">
        <x:v>INTERIOR</x:v>
      </x:c>
    </x:row>
    <x:row r="329">
      <x:c r="A329" s="21" t="str">
        <x:v>NYC-V3-R01</x:v>
      </x:c>
      <x:c r="B329" s="21" t="str">
        <x:v>V3</x:v>
      </x:c>
      <x:c r="C329" s="21" t="str">
        <x:v>age_65_plus</x:v>
      </x:c>
      <x:c r="D329" s="24" t="n">
        <x:v>5397</x:v>
      </x:c>
      <x:c r="E329" s="43" t="n">
        <x:v>396.21010840209516</x:v>
      </x:c>
      <x:c r="F329" s="43" t="n">
        <x:v>13.621560595124535</x:v>
      </x:c>
      <x:c r="G329" s="43" t="n">
        <x:v>5397</x:v>
      </x:c>
      <x:c r="H329" s="43" t="n">
        <x:v>156982.44999999998</x:v>
      </x:c>
      <x:c r="I329" s="21" t="str">
        <x:v>INTERIOR</x:v>
      </x:c>
    </x:row>
    <x:row r="330">
      <x:c r="A330" s="21" t="str">
        <x:v>NYC-V3-R01</x:v>
      </x:c>
      <x:c r="B330" s="21" t="str">
        <x:v>V3</x:v>
      </x:c>
      <x:c r="C330" s="21" t="str">
        <x:v>age_75_plus</x:v>
      </x:c>
      <x:c r="D330" s="24" t="n">
        <x:v>2200</x:v>
      </x:c>
      <x:c r="E330" s="43" t="n">
        <x:v>257.18087020616446</x:v>
      </x:c>
      <x:c r="F330" s="43" t="n">
        <x:v>8.554290986870093</x:v>
      </x:c>
      <x:c r="G330" s="43" t="n">
        <x:v>2200</x:v>
      </x:c>
      <x:c r="H330" s="43" t="n">
        <x:v>66142.00000000001</x:v>
      </x:c>
      <x:c r="I330" s="21" t="str">
        <x:v>INTERIOR</x:v>
      </x:c>
    </x:row>
    <x:row r="331">
      <x:c r="A331" s="21" t="str">
        <x:v>NYC-V3-R01</x:v>
      </x:c>
      <x:c r="B331" s="21" t="str">
        <x:v>V3</x:v>
      </x:c>
      <x:c r="C331" s="21" t="str">
        <x:v>age_85_plus</x:v>
      </x:c>
      <x:c r="D331" s="24" t="n">
        <x:v>678</x:v>
      </x:c>
      <x:c r="E331" s="43" t="n">
        <x:v>108.72810124342281</x:v>
      </x:c>
      <x:c r="F331" s="43" t="n">
        <x:v>6.23573843602841</x:v>
      </x:c>
      <x:c r="G331" s="43" t="n">
        <x:v>678</x:v>
      </x:c>
      <x:c r="H331" s="43" t="n">
        <x:v>11821.800000000001</x:v>
      </x:c>
      <x:c r="I331" s="21" t="str">
        <x:v>INTERIOR</x:v>
      </x:c>
    </x:row>
    <x:row r="332">
      <x:c r="A332" s="21" t="str">
        <x:v>NYC-V3-R01</x:v>
      </x:c>
      <x:c r="B332" s="21" t="str">
        <x:v>V3</x:v>
      </x:c>
      <x:c r="C332" s="21" t="str">
        <x:v>civilian_noninstitutionalized</x:v>
      </x:c>
      <x:c r="D332" s="24" t="n">
        <x:v>34054</x:v>
      </x:c>
      <x:c r="E332" s="43" t="n">
        <x:v>1239.3902129676512</x:v>
      </x:c>
      <x:c r="F332" s="43" t="n">
        <x:v>27.47641513035639</x:v>
      </x:c>
      <x:c r="G332" s="43" t="n">
        <x:v>34054</x:v>
      </x:c>
      <x:c r="H332" s="43" t="n">
        <x:v>1536088.0999999999</x:v>
      </x:c>
      <x:c r="I332" s="21" t="str">
        <x:v>INTERIOR</x:v>
      </x:c>
    </x:row>
    <x:row r="333">
      <x:c r="A333" s="21" t="str">
        <x:v>NYC-V3-R01</x:v>
      </x:c>
      <x:c r="B333" s="21" t="str">
        <x:v>V3</x:v>
      </x:c>
      <x:c r="C333" s="21" t="str">
        <x:v>any_disability</x:v>
      </x:c>
      <x:c r="D333" s="24" t="n">
        <x:v>3265</x:v>
      </x:c>
      <x:c r="E333" s="43" t="n">
        <x:v>265.1135605735776</x:v>
      </x:c>
      <x:c r="F333" s="43" t="n">
        <x:v>12.315477159810754</x:v>
      </x:c>
      <x:c r="G333" s="43" t="n">
        <x:v>3265</x:v>
      </x:c>
      <x:c r="H333" s="43" t="n">
        <x:v>70285.20000000001</x:v>
      </x:c>
      <x:c r="I333" s="21" t="str">
        <x:v>INTERIOR</x:v>
      </x:c>
    </x:row>
    <x:row r="334">
      <x:c r="A334" s="21" t="str">
        <x:v>NYC-V3-R01</x:v>
      </x:c>
      <x:c r="B334" s="21" t="str">
        <x:v>V3</x:v>
      </x:c>
      <x:c r="C334" s="21" t="str">
        <x:v>disability_under_18</x:v>
      </x:c>
      <x:c r="D334" s="24" t="n">
        <x:v>230</x:v>
      </x:c>
      <x:c r="E334" s="43" t="n">
        <x:v>101.90706550578328</x:v>
      </x:c>
      <x:c r="F334" s="43" t="n">
        <x:v>2.2569583262796176</x:v>
      </x:c>
      <x:c r="G334" s="43" t="n">
        <x:v>230</x:v>
      </x:c>
      <x:c r="H334" s="43" t="n">
        <x:v>10385.050000000005</x:v>
      </x:c>
      <x:c r="I334" s="21" t="str">
        <x:v>INTERIOR</x:v>
      </x:c>
    </x:row>
    <x:row r="335">
      <x:c r="A335" s="21" t="str">
        <x:v>NYC-V3-R01</x:v>
      </x:c>
      <x:c r="B335" s="21" t="str">
        <x:v>V3</x:v>
      </x:c>
      <x:c r="C335" s="21" t="str">
        <x:v>disability_18_64</x:v>
      </x:c>
      <x:c r="D335" s="24" t="n">
        <x:v>1422</x:v>
      </x:c>
      <x:c r="E335" s="43" t="n">
        <x:v>194.2244835235764</x:v>
      </x:c>
      <x:c r="F335" s="43" t="n">
        <x:v>7.3214250551856255</x:v>
      </x:c>
      <x:c r="G335" s="43" t="n">
        <x:v>1422</x:v>
      </x:c>
      <x:c r="H335" s="43" t="n">
        <x:v>37723.15</x:v>
      </x:c>
      <x:c r="I335" s="21" t="str">
        <x:v>INTERIOR</x:v>
      </x:c>
    </x:row>
    <x:row r="336">
      <x:c r="A336" s="21" t="str">
        <x:v>NYC-V3-R01</x:v>
      </x:c>
      <x:c r="B336" s="21" t="str">
        <x:v>V3</x:v>
      </x:c>
      <x:c r="C336" s="21" t="str">
        <x:v>disability_65_plus</x:v>
      </x:c>
      <x:c r="D336" s="24" t="n">
        <x:v>1613</x:v>
      </x:c>
      <x:c r="E336" s="43" t="n">
        <x:v>185.045129630585</x:v>
      </x:c>
      <x:c r="F336" s="43" t="n">
        <x:v>8.716792510130443</x:v>
      </x:c>
      <x:c r="G336" s="43" t="n">
        <x:v>1613</x:v>
      </x:c>
      <x:c r="H336" s="43" t="n">
        <x:v>34241.700000000004</x:v>
      </x:c>
      <x:c r="I336" s="21" t="str">
        <x:v>INTERIOR</x:v>
      </x:c>
    </x:row>
    <x:row r="337">
      <x:c r="A337" s="21" t="str">
        <x:v>NYC-V3-R01</x:v>
      </x:c>
      <x:c r="B337" s="21" t="str">
        <x:v>V3</x:v>
      </x:c>
      <x:c r="C337" s="21" t="str">
        <x:v>hearing_difficulty</x:v>
      </x:c>
      <x:c r="D337" s="24" t="n">
        <x:v>720</x:v>
      </x:c>
      <x:c r="E337" s="43" t="n">
        <x:v>159.06620460011186</x:v>
      </x:c>
      <x:c r="F337" s="43" t="n">
        <x:v>4.526417172082911</x:v>
      </x:c>
      <x:c r="G337" s="43" t="n">
        <x:v>720</x:v>
      </x:c>
      <x:c r="H337" s="43" t="n">
        <x:v>25302.057445884646</x:v>
      </x:c>
      <x:c r="I337" s="21" t="str">
        <x:v>INTERIOR</x:v>
      </x:c>
    </x:row>
    <x:row r="338">
      <x:c r="A338" s="21" t="str">
        <x:v>NYC-V3-R01</x:v>
      </x:c>
      <x:c r="B338" s="21" t="str">
        <x:v>V3</x:v>
      </x:c>
      <x:c r="C338" s="21" t="str">
        <x:v>vision_difficulty</x:v>
      </x:c>
      <x:c r="D338" s="24" t="n">
        <x:v>541</x:v>
      </x:c>
      <x:c r="E338" s="43" t="n">
        <x:v>140.9076055387275</x:v>
      </x:c>
      <x:c r="F338" s="43" t="n">
        <x:v>3.8393953110736088</x:v>
      </x:c>
      <x:c r="G338" s="43" t="n">
        <x:v>541</x:v>
      </x:c>
      <x:c r="H338" s="43" t="n">
        <x:v>19854.953298657627</x:v>
      </x:c>
      <x:c r="I338" s="21" t="str">
        <x:v>INTERIOR</x:v>
      </x:c>
    </x:row>
    <x:row r="339">
      <x:c r="A339" s="21" t="str">
        <x:v>NYC-V3-R01</x:v>
      </x:c>
      <x:c r="B339" s="21" t="str">
        <x:v>V3</x:v>
      </x:c>
      <x:c r="C339" s="21" t="str">
        <x:v>cognitive_difficulty</x:v>
      </x:c>
      <x:c r="D339" s="24" t="n">
        <x:v>1327</x:v>
      </x:c>
      <x:c r="E339" s="43" t="n">
        <x:v>183.32778306430754</x:v>
      </x:c>
      <x:c r="F339" s="43" t="n">
        <x:v>7.238400954941545</x:v>
      </x:c>
      <x:c r="G339" s="43" t="n">
        <x:v>1327</x:v>
      </x:c>
      <x:c r="H339" s="43" t="n">
        <x:v>33609.0760432738</x:v>
      </x:c>
      <x:c r="I339" s="21" t="str">
        <x:v>INTERIOR</x:v>
      </x:c>
    </x:row>
    <x:row r="340">
      <x:c r="A340" s="21" t="str">
        <x:v>NYC-V3-R01</x:v>
      </x:c>
      <x:c r="B340" s="21" t="str">
        <x:v>V3</x:v>
      </x:c>
      <x:c r="C340" s="21" t="str">
        <x:v>ambulatory_difficulty</x:v>
      </x:c>
      <x:c r="D340" s="24" t="n">
        <x:v>1715</x:v>
      </x:c>
      <x:c r="E340" s="43" t="n">
        <x:v>191.92404948828334</x:v>
      </x:c>
      <x:c r="F340" s="43" t="n">
        <x:v>8.93582646141852</x:v>
      </x:c>
      <x:c r="G340" s="43" t="n">
        <x:v>1715</x:v>
      </x:c>
      <x:c r="H340" s="43" t="n">
        <x:v>36834.840771981035</x:v>
      </x:c>
      <x:c r="I340" s="21" t="str">
        <x:v>INTERIOR</x:v>
      </x:c>
    </x:row>
    <x:row r="341">
      <x:c r="A341" s="21" t="str">
        <x:v>NYC-V3-R01</x:v>
      </x:c>
      <x:c r="B341" s="21" t="str">
        <x:v>V3</x:v>
      </x:c>
      <x:c r="C341" s="21" t="str">
        <x:v>self_care_difficulty</x:v>
      </x:c>
      <x:c r="D341" s="24" t="n">
        <x:v>694</x:v>
      </x:c>
      <x:c r="E341" s="43" t="n">
        <x:v>141.54999206989226</x:v>
      </x:c>
      <x:c r="F341" s="43" t="n">
        <x:v>4.902861454469937</x:v>
      </x:c>
      <x:c r="G341" s="43" t="n">
        <x:v>694</x:v>
      </x:c>
      <x:c r="H341" s="43" t="n">
        <x:v>20036.40025498656</x:v>
      </x:c>
      <x:c r="I341" s="21" t="str">
        <x:v>INTERIOR</x:v>
      </x:c>
    </x:row>
    <x:row r="342">
      <x:c r="A342" s="21" t="str">
        <x:v>NYC-V3-R01</x:v>
      </x:c>
      <x:c r="B342" s="21" t="str">
        <x:v>V3</x:v>
      </x:c>
      <x:c r="C342" s="21" t="str">
        <x:v>independent_living_difficulty</x:v>
      </x:c>
      <x:c r="D342" s="24" t="n">
        <x:v>1238</x:v>
      </x:c>
      <x:c r="E342" s="43" t="n">
        <x:v>175.45656878411353</x:v>
      </x:c>
      <x:c r="F342" s="43" t="n">
        <x:v>7.0558771813397785</x:v>
      </x:c>
      <x:c r="G342" s="43" t="n">
        <x:v>1238</x:v>
      </x:c>
      <x:c r="H342" s="43" t="n">
        <x:v>30785.007529494364</x:v>
      </x:c>
      <x:c r="I342" s="21" t="str">
        <x:v>INTERIOR</x:v>
      </x:c>
    </x:row>
    <x:row r="343">
      <x:c r="A343" s="21" t="str">
        <x:v>NYC-V3-R01</x:v>
      </x:c>
      <x:c r="B343" s="21" t="str">
        <x:v>V3</x:v>
      </x:c>
      <x:c r="C343" s="21" t="str">
        <x:v>households</x:v>
      </x:c>
      <x:c r="D343" s="24" t="n">
        <x:v>16993</x:v>
      </x:c>
      <x:c r="E343" s="43" t="n">
        <x:v>417.34050845802153</x:v>
      </x:c>
      <x:c r="F343" s="43" t="n">
        <x:v>40.71735107331248</x:v>
      </x:c>
      <x:c r="G343" s="43" t="n">
        <x:v>16993</x:v>
      </x:c>
      <x:c r="H343" s="43" t="n">
        <x:v>174173.09999999995</x:v>
      </x:c>
      <x:c r="I343" s="21" t="str">
        <x:v>INTERIOR</x:v>
      </x:c>
    </x:row>
    <x:row r="344">
      <x:c r="A344" s="21" t="str">
        <x:v>NYC-V3-R01</x:v>
      </x:c>
      <x:c r="B344" s="21" t="str">
        <x:v>V3</x:v>
      </x:c>
      <x:c r="C344" s="21" t="str">
        <x:v>family_households</x:v>
      </x:c>
      <x:c r="D344" s="24" t="n">
        <x:v>7085</x:v>
      </x:c>
      <x:c r="E344" s="43" t="n">
        <x:v>376.2040005103614</x:v>
      </x:c>
      <x:c r="F344" s="43" t="n">
        <x:v>18.83286724858968</x:v>
      </x:c>
      <x:c r="G344" s="43" t="n">
        <x:v>7085</x:v>
      </x:c>
      <x:c r="H344" s="43" t="n">
        <x:v>141529.45</x:v>
      </x:c>
      <x:c r="I344" s="21" t="str">
        <x:v>INTERIOR</x:v>
      </x:c>
    </x:row>
    <x:row r="345">
      <x:c r="A345" s="21" t="str">
        <x:v>NYC-V3-R01</x:v>
      </x:c>
      <x:c r="B345" s="21" t="str">
        <x:v>V3</x:v>
      </x:c>
      <x:c r="C345" s="21" t="str">
        <x:v>nonfamily_households</x:v>
      </x:c>
      <x:c r="D345" s="24" t="n">
        <x:v>9908</x:v>
      </x:c>
      <x:c r="E345" s="43" t="n">
        <x:v>444.23073959373863</x:v>
      </x:c>
      <x:c r="F345" s="43" t="n">
        <x:v>22.303724431724696</x:v>
      </x:c>
      <x:c r="G345" s="43" t="n">
        <x:v>9908</x:v>
      </x:c>
      <x:c r="H345" s="43" t="n">
        <x:v>197340.95</x:v>
      </x:c>
      <x:c r="I345" s="21" t="str">
        <x:v>INTERIOR</x:v>
      </x:c>
    </x:row>
    <x:row r="346">
      <x:c r="A346" s="21" t="str">
        <x:v>NYC-V3-R01</x:v>
      </x:c>
      <x:c r="B346" s="21" t="str">
        <x:v>V3</x:v>
      </x:c>
      <x:c r="C346" s="21" t="str">
        <x:v>living_alone_households</x:v>
      </x:c>
      <x:c r="D346" s="24" t="n">
        <x:v>7241</x:v>
      </x:c>
      <x:c r="E346" s="43" t="n">
        <x:v>354.817276918698</x:v>
      </x:c>
      <x:c r="F346" s="43" t="n">
        <x:v>20.4076871985554</x:v>
      </x:c>
      <x:c r="G346" s="43" t="n">
        <x:v>7241</x:v>
      </x:c>
      <x:c r="H346" s="43" t="n">
        <x:v>125895.3</x:v>
      </x:c>
      <x:c r="I346" s="21" t="str">
        <x:v>INTERIOR</x:v>
      </x:c>
    </x:row>
    <x:row r="347">
      <x:c r="A347" s="21" t="str">
        <x:v>NYC-V3-R01</x:v>
      </x:c>
      <x:c r="B347" s="21" t="str">
        <x:v>V3</x:v>
      </x:c>
      <x:c r="C347" s="21" t="str">
        <x:v>households_with_children</x:v>
      </x:c>
      <x:c r="D347" s="24" t="n">
        <x:v>2520</x:v>
      </x:c>
      <x:c r="E347" s="43" t="n">
        <x:v>216.2481213791232</x:v>
      </x:c>
      <x:c r="F347" s="43" t="n">
        <x:v>11.653280425876954</x:v>
      </x:c>
      <x:c r="G347" s="43" t="n">
        <x:v>2520</x:v>
      </x:c>
      <x:c r="H347" s="43" t="n">
        <x:v>46763.25</x:v>
      </x:c>
      <x:c r="I347" s="21" t="str">
        <x:v>INTERIOR</x:v>
      </x:c>
    </x:row>
    <x:row r="348">
      <x:c r="A348" s="21" t="str">
        <x:v>NYC-V3-R01</x:v>
      </x:c>
      <x:c r="B348" s="21" t="str">
        <x:v>V3</x:v>
      </x:c>
      <x:c r="C348" s="21" t="str">
        <x:v>households_with_age65</x:v>
      </x:c>
      <x:c r="D348" s="24" t="n">
        <x:v>4226</x:v>
      </x:c>
      <x:c r="E348" s="43" t="n">
        <x:v>283.0042402509192</x:v>
      </x:c>
      <x:c r="F348" s="43" t="n">
        <x:v>14.932638451823598</x:v>
      </x:c>
      <x:c r="G348" s="43" t="n">
        <x:v>4226</x:v>
      </x:c>
      <x:c r="H348" s="43" t="n">
        <x:v>80091.40000000001</x:v>
      </x:c>
      <x:c r="I348" s="21" t="str">
        <x:v>INTERIOR</x:v>
      </x:c>
    </x:row>
    <x:row r="349">
      <x:c r="A349" s="21" t="str">
        <x:v>NYC-V3-R01</x:v>
      </x:c>
      <x:c r="B349" s="21" t="str">
        <x:v>V3</x:v>
      </x:c>
      <x:c r="C349" s="21" t="str">
        <x:v>age65_one_person_households</x:v>
      </x:c>
      <x:c r="D349" s="24" t="n">
        <x:v>1899</x:v>
      </x:c>
      <x:c r="E349" s="43" t="n">
        <x:v>170.8314959250782</x:v>
      </x:c>
      <x:c r="F349" s="43" t="n">
        <x:v>11.116217122121597</x:v>
      </x:c>
      <x:c r="G349" s="43" t="n">
        <x:v>1899</x:v>
      </x:c>
      <x:c r="H349" s="43" t="n">
        <x:v>29183.40000000001</x:v>
      </x:c>
      <x:c r="I349" s="21" t="str">
        <x:v>INTERIOR</x:v>
      </x:c>
    </x:row>
    <x:row r="350">
      <x:c r="A350" s="21" t="str">
        <x:v>NYC-V3-R01</x:v>
      </x:c>
      <x:c r="B350" s="21" t="str">
        <x:v>V3</x:v>
      </x:c>
      <x:c r="C350" s="21" t="str">
        <x:v>no_vehicle_households</x:v>
      </x:c>
      <x:c r="D350" s="24" t="n">
        <x:v>11582</x:v>
      </x:c>
      <x:c r="E350" s="43" t="n">
        <x:v>447.6686714535275</x:v>
      </x:c>
      <x:c r="F350" s="43" t="n">
        <x:v>25.87181265643318</x:v>
      </x:c>
      <x:c r="G350" s="43" t="n">
        <x:v>11582</x:v>
      </x:c>
      <x:c r="H350" s="43" t="n">
        <x:v>200407.23940096635</x:v>
      </x:c>
      <x:c r="I350" s="21" t="str">
        <x:v>INTERIOR</x:v>
      </x:c>
    </x:row>
    <x:row r="351">
      <x:c r="A351" s="21" t="str">
        <x:v>NYC-V3-R01</x:v>
      </x:c>
      <x:c r="B351" s="21" t="str">
        <x:v>V3</x:v>
      </x:c>
      <x:c r="C351" s="21" t="str">
        <x:v>limited_english_households</x:v>
      </x:c>
      <x:c r="D351" s="24" t="n">
        <x:v>1726</x:v>
      </x:c>
      <x:c r="E351" s="43" t="n">
        <x:v>236.08002721927718</x:v>
      </x:c>
      <x:c r="F351" s="43" t="n">
        <x:v>7.311080146550673</x:v>
      </x:c>
      <x:c r="G351" s="43" t="n">
        <x:v>1726</x:v>
      </x:c>
      <x:c r="H351" s="43" t="n">
        <x:v>55733.779251854656</x:v>
      </x:c>
      <x:c r="I351" s="21" t="str">
        <x:v>INTERIOR</x:v>
      </x:c>
    </x:row>
    <x:row r="352">
      <x:c r="A352" s="21" t="str">
        <x:v>NYC-V3-R01</x:v>
      </x:c>
      <x:c r="B352" s="21" t="str">
        <x:v>V3</x:v>
      </x:c>
      <x:c r="C352" s="21" t="str">
        <x:v>housing_units</x:v>
      </x:c>
      <x:c r="D352" s="24" t="n">
        <x:v>19738</x:v>
      </x:c>
      <x:c r="E352" s="43" t="n">
        <x:v>451.6783700820751</x:v>
      </x:c>
      <x:c r="F352" s="43" t="n">
        <x:v>43.69923668563845</x:v>
      </x:c>
      <x:c r="G352" s="43" t="n">
        <x:v>19738</x:v>
      </x:c>
      <x:c r="H352" s="43" t="n">
        <x:v>204013.35</x:v>
      </x:c>
      <x:c r="I352" s="21" t="str">
        <x:v>INTERIOR</x:v>
      </x:c>
    </x:row>
    <x:row r="353">
      <x:c r="A353" s="21" t="str">
        <x:v>NYC-V3-R01</x:v>
      </x:c>
      <x:c r="B353" s="21" t="str">
        <x:v>V3</x:v>
      </x:c>
      <x:c r="C353" s="21" t="str">
        <x:v>occupied_housing_units</x:v>
      </x:c>
      <x:c r="D353" s="24" t="n">
        <x:v>16993</x:v>
      </x:c>
      <x:c r="E353" s="43" t="n">
        <x:v>417.34050845802153</x:v>
      </x:c>
      <x:c r="F353" s="43" t="n">
        <x:v>40.71735107331248</x:v>
      </x:c>
      <x:c r="G353" s="43" t="n">
        <x:v>16993</x:v>
      </x:c>
      <x:c r="H353" s="43" t="n">
        <x:v>174173.09999999995</x:v>
      </x:c>
      <x:c r="I353" s="21" t="str">
        <x:v>INTERIOR</x:v>
      </x:c>
    </x:row>
    <x:row r="354">
      <x:c r="A354" s="21" t="str">
        <x:v>NYC-V3-R01</x:v>
      </x:c>
      <x:c r="B354" s="21" t="str">
        <x:v>V3</x:v>
      </x:c>
      <x:c r="C354" s="21" t="str">
        <x:v>vacant_housing_units</x:v>
      </x:c>
      <x:c r="D354" s="24" t="n">
        <x:v>2745</x:v>
      </x:c>
      <x:c r="E354" s="43" t="n">
        <x:v>288.16861383571944</x:v>
      </x:c>
      <x:c r="F354" s="43" t="n">
        <x:v>9.525673054612682</x:v>
      </x:c>
      <x:c r="G354" s="43" t="n">
        <x:v>2745</x:v>
      </x:c>
      <x:c r="H354" s="43" t="n">
        <x:v>83041.15</x:v>
      </x:c>
      <x:c r="I354" s="21" t="str">
        <x:v>INTERIOR</x:v>
      </x:c>
    </x:row>
    <x:row r="355">
      <x:c r="A355" s="21" t="str">
        <x:v>NYC-V3-R01</x:v>
      </x:c>
      <x:c r="B355" s="21" t="str">
        <x:v>V3</x:v>
      </x:c>
      <x:c r="C355" s="21" t="str">
        <x:v>owner_occupied_units</x:v>
      </x:c>
      <x:c r="D355" s="24" t="n">
        <x:v>2897</x:v>
      </x:c>
      <x:c r="E355" s="43" t="n">
        <x:v>216.06902011620662</x:v>
      </x:c>
      <x:c r="F355" s="43" t="n">
        <x:v>13.4077527562347</x:v>
      </x:c>
      <x:c r="G355" s="43" t="n">
        <x:v>2897</x:v>
      </x:c>
      <x:c r="H355" s="43" t="n">
        <x:v>46685.8214539777</x:v>
      </x:c>
      <x:c r="I355" s="21" t="str">
        <x:v>INTERIOR</x:v>
      </x:c>
    </x:row>
    <x:row r="356">
      <x:c r="A356" s="21" t="str">
        <x:v>NYC-V3-R01</x:v>
      </x:c>
      <x:c r="B356" s="21" t="str">
        <x:v>V3</x:v>
      </x:c>
      <x:c r="C356" s="21" t="str">
        <x:v>renter_occupied_units</x:v>
      </x:c>
      <x:c r="D356" s="24" t="n">
        <x:v>14096</x:v>
      </x:c>
      <x:c r="E356" s="43" t="n">
        <x:v>444.97732815487757</x:v>
      </x:c>
      <x:c r="F356" s="43" t="n">
        <x:v>31.678018425005657</x:v>
      </x:c>
      <x:c r="G356" s="43" t="n">
        <x:v>14096</x:v>
      </x:c>
      <x:c r="H356" s="43" t="n">
        <x:v>198004.82257185358</x:v>
      </x:c>
      <x:c r="I356" s="21" t="str">
        <x:v>INTERIOR</x:v>
      </x:c>
    </x:row>
    <x:row r="357">
      <x:c r="A357" s="21" t="str">
        <x:v>NYC-V3-R01</x:v>
      </x:c>
      <x:c r="B357" s="21" t="str">
        <x:v>V3</x:v>
      </x:c>
      <x:c r="C357" s="21" t="str">
        <x:v>one_unit_structures</x:v>
      </x:c>
      <x:c r="D357" s="24" t="n">
        <x:v>547</x:v>
      </x:c>
      <x:c r="E357" s="43" t="n">
        <x:v>105.79778256088589</x:v>
      </x:c>
      <x:c r="F357" s="43" t="n">
        <x:v>5.1702406870881745</x:v>
      </x:c>
      <x:c r="G357" s="43" t="n">
        <x:v>547</x:v>
      </x:c>
      <x:c r="H357" s="43" t="n">
        <x:v>11193.170794800491</x:v>
      </x:c>
      <x:c r="I357" s="21" t="str">
        <x:v>INTERIOR</x:v>
      </x:c>
    </x:row>
    <x:row r="358">
      <x:c r="A358" s="21" t="str">
        <x:v>NYC-V3-R01</x:v>
      </x:c>
      <x:c r="B358" s="21" t="str">
        <x:v>V3</x:v>
      </x:c>
      <x:c r="C358" s="21" t="str">
        <x:v>two_to_four_unit_structures</x:v>
      </x:c>
      <x:c r="D358" s="24" t="n">
        <x:v>3223</x:v>
      </x:c>
      <x:c r="E358" s="43" t="n">
        <x:v>308.64521597961806</x:v>
      </x:c>
      <x:c r="F358" s="43" t="n">
        <x:v>10.442410357051628</x:v>
      </x:c>
      <x:c r="G358" s="43" t="n">
        <x:v>3223</x:v>
      </x:c>
      <x:c r="H358" s="43" t="n">
        <x:v>95261.86934710508</x:v>
      </x:c>
      <x:c r="I358" s="21" t="str">
        <x:v>INTERIOR</x:v>
      </x:c>
    </x:row>
    <x:row r="359">
      <x:c r="A359" s="21" t="str">
        <x:v>NYC-V3-R01</x:v>
      </x:c>
      <x:c r="B359" s="21" t="str">
        <x:v>V3</x:v>
      </x:c>
      <x:c r="C359" s="21" t="str">
        <x:v>five_to_nineteen_unit_structures</x:v>
      </x:c>
      <x:c r="D359" s="24" t="n">
        <x:v>3304</x:v>
      </x:c>
      <x:c r="E359" s="43" t="n">
        <x:v>272.5899855271965</x:v>
      </x:c>
      <x:c r="F359" s="43" t="n">
        <x:v>12.12076809648738</x:v>
      </x:c>
      <x:c r="G359" s="43" t="n">
        <x:v>3304</x:v>
      </x:c>
      <x:c r="H359" s="43" t="n">
        <x:v>74305.30020971721</x:v>
      </x:c>
      <x:c r="I359" s="21" t="str">
        <x:v>INTERIOR</x:v>
      </x:c>
    </x:row>
    <x:row r="360">
      <x:c r="A360" s="21" t="str">
        <x:v>NYC-V3-R01</x:v>
      </x:c>
      <x:c r="B360" s="21" t="str">
        <x:v>V3</x:v>
      </x:c>
      <x:c r="C360" s="21" t="str">
        <x:v>twenty_to_forty_nine_unit_structures</x:v>
      </x:c>
      <x:c r="D360" s="24" t="n">
        <x:v>4332</x:v>
      </x:c>
      <x:c r="E360" s="43" t="n">
        <x:v>317.0875677819216</x:v>
      </x:c>
      <x:c r="F360" s="43" t="n">
        <x:v>13.661841207786967</x:v>
      </x:c>
      <x:c r="G360" s="43" t="n">
        <x:v>4332</x:v>
      </x:c>
      <x:c r="H360" s="43" t="n">
        <x:v>100544.52564185474</x:v>
      </x:c>
      <x:c r="I360" s="21" t="str">
        <x:v>INTERIOR</x:v>
      </x:c>
    </x:row>
    <x:row r="361">
      <x:c r="A361" s="21" t="str">
        <x:v>NYC-V3-R01</x:v>
      </x:c>
      <x:c r="B361" s="21" t="str">
        <x:v>V3</x:v>
      </x:c>
      <x:c r="C361" s="21" t="str">
        <x:v>fifty_plus_unit_structures</x:v>
      </x:c>
      <x:c r="D361" s="24" t="n">
        <x:v>5543</x:v>
      </x:c>
      <x:c r="E361" s="43" t="n">
        <x:v>371.05030509916344</x:v>
      </x:c>
      <x:c r="F361" s="43" t="n">
        <x:v>14.938675224963445</x:v>
      </x:c>
      <x:c r="G361" s="43" t="n">
        <x:v>5543</x:v>
      </x:c>
      <x:c r="H361" s="43" t="n">
        <x:v>137678.32891418226</x:v>
      </x:c>
      <x:c r="I361" s="21" t="str">
        <x:v>INTERIOR</x:v>
      </x:c>
    </x:row>
    <x:row r="362">
      <x:c r="A362" s="21" t="str">
        <x:v>NYC-V3-R01</x:v>
      </x:c>
      <x:c r="B362" s="21" t="str">
        <x:v>V3</x:v>
      </x:c>
      <x:c r="C362" s="21" t="str">
        <x:v>mobile_or_other_units</x:v>
      </x:c>
      <x:c r="D362" s="24" t="n">
        <x:v>44</x:v>
      </x:c>
      <x:c r="E362" s="43" t="n">
        <x:v>61.15392748916372</x:v>
      </x:c>
      <x:c r="F362" s="43" t="n">
        <x:v>0.7194958984081057</x:v>
      </x:c>
      <x:c r="G362" s="43" t="n">
        <x:v>44</x:v>
      </x:c>
      <x:c r="H362" s="43" t="n">
        <x:v>3739.8028473498944</x:v>
      </x:c>
      <x:c r="I362" s="21" t="str">
        <x:v>BOUNDARY_SENSITIVE</x:v>
      </x:c>
    </x:row>
    <x:row r="363">
      <x:c r="A363" s="21" t="str">
        <x:v>NYC-V3-R01</x:v>
      </x:c>
      <x:c r="B363" s="21" t="str">
        <x:v>V3</x:v>
      </x:c>
      <x:c r="C363" s="21" t="str">
        <x:v>electric_heat_households</x:v>
      </x:c>
      <x:c r="D363" s="24" t="n">
        <x:v>2376</x:v>
      </x:c>
      <x:c r="E363" s="43" t="n">
        <x:v>218.07406998540657</x:v>
      </x:c>
      <x:c r="F363" s="43" t="n">
        <x:v>10.895380639059935</x:v>
      </x:c>
      <x:c r="G363" s="43" t="n">
        <x:v>2376</x:v>
      </x:c>
      <x:c r="H363" s="43" t="n">
        <x:v>47556.3</x:v>
      </x:c>
      <x:c r="I363" s="21" t="str">
        <x:v>INTERIOR</x:v>
      </x:c>
    </x:row>
    <x:row r="364">
      <x:c r="A364" s="21" t="str">
        <x:v>NYC-V3-R01</x:v>
      </x:c>
      <x:c r="B364" s="21" t="str">
        <x:v>V3</x:v>
      </x:c>
      <x:c r="C364" s="21" t="str">
        <x:v>group_quarters_population</x:v>
      </x:c>
      <x:c r="D364" s="24" t="n">
        <x:v>57</x:v>
      </x:c>
      <x:c r="E364" s="43" t="n">
        <x:v>4.09878030638384</x:v>
      </x:c>
      <x:c r="F364" s="43" t="n">
        <x:v>13.906576039516597</x:v>
      </x:c>
      <x:c r="G364" s="43" t="n">
        <x:v>57</x:v>
      </x:c>
      <x:c r="H364" s="43" t="n">
        <x:v>16.800000000000004</x:v>
      </x:c>
      <x:c r="I364" s="21" t="str">
        <x:v>INTERIOR</x:v>
      </x:c>
    </x:row>
    <x:row r="365">
      <x:c r="A365" s="21" t="str">
        <x:v>NYC-V3-R02</x:v>
      </x:c>
      <x:c r="B365" s="21" t="str">
        <x:v>V3</x:v>
      </x:c>
      <x:c r="C365" s="21" t="str">
        <x:v>acs_population</x:v>
      </x:c>
      <x:c r="D365" s="24" t="n">
        <x:v>31716</x:v>
      </x:c>
      <x:c r="E365" s="43" t="n">
        <x:v>1402.858153912932</x:v>
      </x:c>
      <x:c r="F365" s="43" t="n">
        <x:v>22.608130345563392</x:v>
      </x:c>
      <x:c r="G365" s="43" t="n">
        <x:v>31716</x:v>
      </x:c>
      <x:c r="H365" s="43" t="n">
        <x:v>1968010.9999999998</x:v>
      </x:c>
      <x:c r="I365" s="21" t="str">
        <x:v>INTERIOR</x:v>
      </x:c>
    </x:row>
    <x:row r="366">
      <x:c r="A366" s="21" t="str">
        <x:v>NYC-V3-R02</x:v>
      </x:c>
      <x:c r="B366" s="21" t="str">
        <x:v>V3</x:v>
      </x:c>
      <x:c r="C366" s="21" t="str">
        <x:v>age_under_18</x:v>
      </x:c>
      <x:c r="D366" s="24" t="n">
        <x:v>7492</x:v>
      </x:c>
      <x:c r="E366" s="43" t="n">
        <x:v>746.476824824455</x:v>
      </x:c>
      <x:c r="F366" s="43" t="n">
        <x:v>10.036480371325466</x:v>
      </x:c>
      <x:c r="G366" s="43" t="n">
        <x:v>7492</x:v>
      </x:c>
      <x:c r="H366" s="43" t="n">
        <x:v>557227.65</x:v>
      </x:c>
      <x:c r="I366" s="21" t="str">
        <x:v>INTERIOR</x:v>
      </x:c>
    </x:row>
    <x:row r="367">
      <x:c r="A367" s="21" t="str">
        <x:v>NYC-V3-R02</x:v>
      </x:c>
      <x:c r="B367" s="21" t="str">
        <x:v>V3</x:v>
      </x:c>
      <x:c r="C367" s="21" t="str">
        <x:v>age_under_5</x:v>
      </x:c>
      <x:c r="D367" s="24" t="n">
        <x:v>2331</x:v>
      </x:c>
      <x:c r="E367" s="43" t="n">
        <x:v>279.1636616753692</x:v>
      </x:c>
      <x:c r="F367" s="43" t="n">
        <x:v>8.349940626264774</x:v>
      </x:c>
      <x:c r="G367" s="43" t="n">
        <x:v>2331</x:v>
      </x:c>
      <x:c r="H367" s="43" t="n">
        <x:v>77932.35</x:v>
      </x:c>
      <x:c r="I367" s="21" t="str">
        <x:v>INTERIOR</x:v>
      </x:c>
    </x:row>
    <x:row r="368">
      <x:c r="A368" s="21" t="str">
        <x:v>NYC-V3-R02</x:v>
      </x:c>
      <x:c r="B368" s="21" t="str">
        <x:v>V3</x:v>
      </x:c>
      <x:c r="C368" s="21" t="str">
        <x:v>age_65_plus</x:v>
      </x:c>
      <x:c r="D368" s="24" t="n">
        <x:v>4736</x:v>
      </x:c>
      <x:c r="E368" s="43" t="n">
        <x:v>375.0183328852071</x:v>
      </x:c>
      <x:c r="F368" s="43" t="n">
        <x:v>12.628715944534068</x:v>
      </x:c>
      <x:c r="G368" s="43" t="n">
        <x:v>4736</x:v>
      </x:c>
      <x:c r="H368" s="43" t="n">
        <x:v>140638.75</x:v>
      </x:c>
      <x:c r="I368" s="21" t="str">
        <x:v>INTERIOR</x:v>
      </x:c>
    </x:row>
    <x:row r="369">
      <x:c r="A369" s="21" t="str">
        <x:v>NYC-V3-R02</x:v>
      </x:c>
      <x:c r="B369" s="21" t="str">
        <x:v>V3</x:v>
      </x:c>
      <x:c r="C369" s="21" t="str">
        <x:v>age_75_plus</x:v>
      </x:c>
      <x:c r="D369" s="24" t="n">
        <x:v>1977</x:v>
      </x:c>
      <x:c r="E369" s="43" t="n">
        <x:v>255.81497219670314</x:v>
      </x:c>
      <x:c r="F369" s="43" t="n">
        <x:v>7.7282419516862</x:v>
      </x:c>
      <x:c r="G369" s="43" t="n">
        <x:v>1977</x:v>
      </x:c>
      <x:c r="H369" s="43" t="n">
        <x:v>65441.3</x:v>
      </x:c>
      <x:c r="I369" s="21" t="str">
        <x:v>INTERIOR</x:v>
      </x:c>
    </x:row>
    <x:row r="370">
      <x:c r="A370" s="21" t="str">
        <x:v>NYC-V3-R02</x:v>
      </x:c>
      <x:c r="B370" s="21" t="str">
        <x:v>V3</x:v>
      </x:c>
      <x:c r="C370" s="21" t="str">
        <x:v>age_85_plus</x:v>
      </x:c>
      <x:c r="D370" s="24" t="n">
        <x:v>655</x:v>
      </x:c>
      <x:c r="E370" s="43" t="n">
        <x:v>156.26099961282725</x:v>
      </x:c>
      <x:c r="F370" s="43" t="n">
        <x:v>4.191704914360678</x:v>
      </x:c>
      <x:c r="G370" s="43" t="n">
        <x:v>655</x:v>
      </x:c>
      <x:c r="H370" s="43" t="n">
        <x:v>24417.499999999996</x:v>
      </x:c>
      <x:c r="I370" s="21" t="str">
        <x:v>INTERIOR</x:v>
      </x:c>
    </x:row>
    <x:row r="371">
      <x:c r="A371" s="21" t="str">
        <x:v>NYC-V3-R02</x:v>
      </x:c>
      <x:c r="B371" s="21" t="str">
        <x:v>V3</x:v>
      </x:c>
      <x:c r="C371" s="21" t="str">
        <x:v>civilian_noninstitutionalized</x:v>
      </x:c>
      <x:c r="D371" s="24" t="n">
        <x:v>31676</x:v>
      </x:c>
      <x:c r="E371" s="43" t="n">
        <x:v>1401.3263895324317</x:v>
      </x:c>
      <x:c r="F371" s="43" t="n">
        <x:v>22.60429849649021</x:v>
      </x:c>
      <x:c r="G371" s="43" t="n">
        <x:v>31676</x:v>
      </x:c>
      <x:c r="H371" s="43" t="n">
        <x:v>1963715.6500000004</x:v>
      </x:c>
      <x:c r="I371" s="21" t="str">
        <x:v>INTERIOR</x:v>
      </x:c>
    </x:row>
    <x:row r="372">
      <x:c r="A372" s="21" t="str">
        <x:v>NYC-V3-R02</x:v>
      </x:c>
      <x:c r="B372" s="21" t="str">
        <x:v>V3</x:v>
      </x:c>
      <x:c r="C372" s="21" t="str">
        <x:v>any_disability</x:v>
      </x:c>
      <x:c r="D372" s="24" t="n">
        <x:v>4358</x:v>
      </x:c>
      <x:c r="E372" s="43" t="n">
        <x:v>345.61575484922565</x:v>
      </x:c>
      <x:c r="F372" s="43" t="n">
        <x:v>12.609378880604476</x:v>
      </x:c>
      <x:c r="G372" s="43" t="n">
        <x:v>4358</x:v>
      </x:c>
      <x:c r="H372" s="43" t="n">
        <x:v>119450.25000000004</x:v>
      </x:c>
      <x:c r="I372" s="21" t="str">
        <x:v>INTERIOR</x:v>
      </x:c>
    </x:row>
    <x:row r="373">
      <x:c r="A373" s="21" t="str">
        <x:v>NYC-V3-R02</x:v>
      </x:c>
      <x:c r="B373" s="21" t="str">
        <x:v>V3</x:v>
      </x:c>
      <x:c r="C373" s="21" t="str">
        <x:v>disability_under_18</x:v>
      </x:c>
      <x:c r="D373" s="24" t="n">
        <x:v>324</x:v>
      </x:c>
      <x:c r="E373" s="43" t="n">
        <x:v>124.74694385034049</x:v>
      </x:c>
      <x:c r="F373" s="43" t="n">
        <x:v>2.597258016907447</x:v>
      </x:c>
      <x:c r="G373" s="43" t="n">
        <x:v>324</x:v>
      </x:c>
      <x:c r="H373" s="43" t="n">
        <x:v>15561.800000000001</x:v>
      </x:c>
      <x:c r="I373" s="21" t="str">
        <x:v>INTERIOR</x:v>
      </x:c>
    </x:row>
    <x:row r="374">
      <x:c r="A374" s="21" t="str">
        <x:v>NYC-V3-R02</x:v>
      </x:c>
      <x:c r="B374" s="21" t="str">
        <x:v>V3</x:v>
      </x:c>
      <x:c r="C374" s="21" t="str">
        <x:v>disability_18_64</x:v>
      </x:c>
      <x:c r="D374" s="24" t="n">
        <x:v>1947</x:v>
      </x:c>
      <x:c r="E374" s="43" t="n">
        <x:v>228.7737965764436</x:v>
      </x:c>
      <x:c r="F374" s="43" t="n">
        <x:v>8.51059006379439</x:v>
      </x:c>
      <x:c r="G374" s="43" t="n">
        <x:v>1947</x:v>
      </x:c>
      <x:c r="H374" s="43" t="n">
        <x:v>52337.45</x:v>
      </x:c>
      <x:c r="I374" s="21" t="str">
        <x:v>INTERIOR</x:v>
      </x:c>
    </x:row>
    <x:row r="375">
      <x:c r="A375" s="21" t="str">
        <x:v>NYC-V3-R02</x:v>
      </x:c>
      <x:c r="B375" s="21" t="str">
        <x:v>V3</x:v>
      </x:c>
      <x:c r="C375" s="21" t="str">
        <x:v>disability_65_plus</x:v>
      </x:c>
      <x:c r="D375" s="24" t="n">
        <x:v>2087</x:v>
      </x:c>
      <x:c r="E375" s="43" t="n">
        <x:v>225.21989254948153</x:v>
      </x:c>
      <x:c r="F375" s="43" t="n">
        <x:v>9.2664994036505</x:v>
      </x:c>
      <x:c r="G375" s="43" t="n">
        <x:v>2087</x:v>
      </x:c>
      <x:c r="H375" s="43" t="n">
        <x:v>50724.00000000001</x:v>
      </x:c>
      <x:c r="I375" s="21" t="str">
        <x:v>INTERIOR</x:v>
      </x:c>
    </x:row>
    <x:row r="376">
      <x:c r="A376" s="21" t="str">
        <x:v>NYC-V3-R02</x:v>
      </x:c>
      <x:c r="B376" s="21" t="str">
        <x:v>V3</x:v>
      </x:c>
      <x:c r="C376" s="21" t="str">
        <x:v>hearing_difficulty</x:v>
      </x:c>
      <x:c r="D376" s="24" t="n">
        <x:v>711</x:v>
      </x:c>
      <x:c r="E376" s="43" t="n">
        <x:v>143.59378078631187</x:v>
      </x:c>
      <x:c r="F376" s="43" t="n">
        <x:v>4.951467926442231</x:v>
      </x:c>
      <x:c r="G376" s="43" t="n">
        <x:v>711</x:v>
      </x:c>
      <x:c r="H376" s="43" t="n">
        <x:v>20619.173880507387</x:v>
      </x:c>
      <x:c r="I376" s="21" t="str">
        <x:v>INTERIOR</x:v>
      </x:c>
    </x:row>
    <x:row r="377">
      <x:c r="A377" s="21" t="str">
        <x:v>NYC-V3-R02</x:v>
      </x:c>
      <x:c r="B377" s="21" t="str">
        <x:v>V3</x:v>
      </x:c>
      <x:c r="C377" s="21" t="str">
        <x:v>vision_difficulty</x:v>
      </x:c>
      <x:c r="D377" s="24" t="n">
        <x:v>823</x:v>
      </x:c>
      <x:c r="E377" s="43" t="n">
        <x:v>155.83074103653917</x:v>
      </x:c>
      <x:c r="F377" s="43" t="n">
        <x:v>5.281371278386099</x:v>
      </x:c>
      <x:c r="G377" s="43" t="n">
        <x:v>823</x:v>
      </x:c>
      <x:c r="H377" s="43" t="n">
        <x:v>24283.21985199693</x:v>
      </x:c>
      <x:c r="I377" s="21" t="str">
        <x:v>INTERIOR</x:v>
      </x:c>
    </x:row>
    <x:row r="378">
      <x:c r="A378" s="21" t="str">
        <x:v>NYC-V3-R02</x:v>
      </x:c>
      <x:c r="B378" s="21" t="str">
        <x:v>V3</x:v>
      </x:c>
      <x:c r="C378" s="21" t="str">
        <x:v>cognitive_difficulty</x:v>
      </x:c>
      <x:c r="D378" s="24" t="n">
        <x:v>1919</x:v>
      </x:c>
      <x:c r="E378" s="43" t="n">
        <x:v>238.4900905792062</x:v>
      </x:c>
      <x:c r="F378" s="43" t="n">
        <x:v>8.046455914958324</x:v>
      </x:c>
      <x:c r="G378" s="43" t="n">
        <x:v>1919</x:v>
      </x:c>
      <x:c r="H378" s="43" t="n">
        <x:v>56877.523304477974</x:v>
      </x:c>
      <x:c r="I378" s="21" t="str">
        <x:v>INTERIOR</x:v>
      </x:c>
    </x:row>
    <x:row r="379">
      <x:c r="A379" s="21" t="str">
        <x:v>NYC-V3-R02</x:v>
      </x:c>
      <x:c r="B379" s="21" t="str">
        <x:v>V3</x:v>
      </x:c>
      <x:c r="C379" s="21" t="str">
        <x:v>ambulatory_difficulty</x:v>
      </x:c>
      <x:c r="D379" s="24" t="n">
        <x:v>2796</x:v>
      </x:c>
      <x:c r="E379" s="43" t="n">
        <x:v>281.51804378452533</x:v>
      </x:c>
      <x:c r="F379" s="43" t="n">
        <x:v>9.931867820664689</x:v>
      </x:c>
      <x:c r="G379" s="43" t="n">
        <x:v>2796</x:v>
      </x:c>
      <x:c r="H379" s="43" t="n">
        <x:v>79252.40897626593</x:v>
      </x:c>
      <x:c r="I379" s="21" t="str">
        <x:v>INTERIOR</x:v>
      </x:c>
    </x:row>
    <x:row r="380">
      <x:c r="A380" s="21" t="str">
        <x:v>NYC-V3-R02</x:v>
      </x:c>
      <x:c r="B380" s="21" t="str">
        <x:v>V3</x:v>
      </x:c>
      <x:c r="C380" s="21" t="str">
        <x:v>self_care_difficulty</x:v>
      </x:c>
      <x:c r="D380" s="24" t="n">
        <x:v>1397</x:v>
      </x:c>
      <x:c r="E380" s="43" t="n">
        <x:v>200.98794249628318</x:v>
      </x:c>
      <x:c r="F380" s="43" t="n">
        <x:v>6.950665709838959</x:v>
      </x:c>
      <x:c r="G380" s="43" t="n">
        <x:v>1397</x:v>
      </x:c>
      <x:c r="H380" s="43" t="n">
        <x:v>40396.15302888923</x:v>
      </x:c>
      <x:c r="I380" s="21" t="str">
        <x:v>INTERIOR</x:v>
      </x:c>
    </x:row>
    <x:row r="381">
      <x:c r="A381" s="21" t="str">
        <x:v>NYC-V3-R02</x:v>
      </x:c>
      <x:c r="B381" s="21" t="str">
        <x:v>V3</x:v>
      </x:c>
      <x:c r="C381" s="21" t="str">
        <x:v>independent_living_difficulty</x:v>
      </x:c>
      <x:c r="D381" s="24" t="n">
        <x:v>2095</x:v>
      </x:c>
      <x:c r="E381" s="43" t="n">
        <x:v>227.35481039465947</x:v>
      </x:c>
      <x:c r="F381" s="43" t="n">
        <x:v>9.214671976209091</x:v>
      </x:c>
      <x:c r="G381" s="43" t="n">
        <x:v>2095</x:v>
      </x:c>
      <x:c r="H381" s="43" t="n">
        <x:v>51690.20980959156</x:v>
      </x:c>
      <x:c r="I381" s="21" t="str">
        <x:v>INTERIOR</x:v>
      </x:c>
    </x:row>
    <x:row r="382">
      <x:c r="A382" s="21" t="str">
        <x:v>NYC-V3-R02</x:v>
      </x:c>
      <x:c r="B382" s="21" t="str">
        <x:v>V3</x:v>
      </x:c>
      <x:c r="C382" s="21" t="str">
        <x:v>households</x:v>
      </x:c>
      <x:c r="D382" s="24" t="n">
        <x:v>13035</x:v>
      </x:c>
      <x:c r="E382" s="43" t="n">
        <x:v>478.17172647491407</x:v>
      </x:c>
      <x:c r="F382" s="43" t="n">
        <x:v>27.26008100916825</x:v>
      </x:c>
      <x:c r="G382" s="43" t="n">
        <x:v>13035</x:v>
      </x:c>
      <x:c r="H382" s="43" t="n">
        <x:v>228648.20000000004</x:v>
      </x:c>
      <x:c r="I382" s="21" t="str">
        <x:v>INTERIOR</x:v>
      </x:c>
    </x:row>
    <x:row r="383">
      <x:c r="A383" s="21" t="str">
        <x:v>NYC-V3-R02</x:v>
      </x:c>
      <x:c r="B383" s="21" t="str">
        <x:v>V3</x:v>
      </x:c>
      <x:c r="C383" s="21" t="str">
        <x:v>family_households</x:v>
      </x:c>
      <x:c r="D383" s="24" t="n">
        <x:v>7652</x:v>
      </x:c>
      <x:c r="E383" s="43" t="n">
        <x:v>404.54085084203797</x:v>
      </x:c>
      <x:c r="F383" s="43" t="n">
        <x:v>18.915271434448766</x:v>
      </x:c>
      <x:c r="G383" s="43" t="n">
        <x:v>7652</x:v>
      </x:c>
      <x:c r="H383" s="43" t="n">
        <x:v>163653.30000000002</x:v>
      </x:c>
      <x:c r="I383" s="21" t="str">
        <x:v>INTERIOR</x:v>
      </x:c>
    </x:row>
    <x:row r="384">
      <x:c r="A384" s="21" t="str">
        <x:v>NYC-V3-R02</x:v>
      </x:c>
      <x:c r="B384" s="21" t="str">
        <x:v>V3</x:v>
      </x:c>
      <x:c r="C384" s="21" t="str">
        <x:v>nonfamily_households</x:v>
      </x:c>
      <x:c r="D384" s="24" t="n">
        <x:v>5383</x:v>
      </x:c>
      <x:c r="E384" s="43" t="n">
        <x:v>365.525922473359</x:v>
      </x:c>
      <x:c r="F384" s="43" t="n">
        <x:v>14.726725709562595</x:v>
      </x:c>
      <x:c r="G384" s="43" t="n">
        <x:v>5383</x:v>
      </x:c>
      <x:c r="H384" s="43" t="n">
        <x:v>133609.20000000007</x:v>
      </x:c>
      <x:c r="I384" s="21" t="str">
        <x:v>INTERIOR</x:v>
      </x:c>
    </x:row>
    <x:row r="385">
      <x:c r="A385" s="21" t="str">
        <x:v>NYC-V3-R02</x:v>
      </x:c>
      <x:c r="B385" s="21" t="str">
        <x:v>V3</x:v>
      </x:c>
      <x:c r="C385" s="21" t="str">
        <x:v>living_alone_households</x:v>
      </x:c>
      <x:c r="D385" s="24" t="n">
        <x:v>4853</x:v>
      </x:c>
      <x:c r="E385" s="43" t="n">
        <x:v>333.8818653356304</x:v>
      </x:c>
      <x:c r="F385" s="43" t="n">
        <x:v>14.535081128535044</x:v>
      </x:c>
      <x:c r="G385" s="43" t="n">
        <x:v>4853</x:v>
      </x:c>
      <x:c r="H385" s="43" t="n">
        <x:v>111477.10000000002</x:v>
      </x:c>
      <x:c r="I385" s="21" t="str">
        <x:v>INTERIOR</x:v>
      </x:c>
    </x:row>
    <x:row r="386">
      <x:c r="A386" s="21" t="str">
        <x:v>NYC-V3-R02</x:v>
      </x:c>
      <x:c r="B386" s="21" t="str">
        <x:v>V3</x:v>
      </x:c>
      <x:c r="C386" s="21" t="str">
        <x:v>households_with_children</x:v>
      </x:c>
      <x:c r="D386" s="24" t="n">
        <x:v>4143</x:v>
      </x:c>
      <x:c r="E386" s="43" t="n">
        <x:v>379.94499601916067</x:v>
      </x:c>
      <x:c r="F386" s="43" t="n">
        <x:v>10.904209934090218</x:v>
      </x:c>
      <x:c r="G386" s="43" t="n">
        <x:v>4143</x:v>
      </x:c>
      <x:c r="H386" s="43" t="n">
        <x:v>144358.2</x:v>
      </x:c>
      <x:c r="I386" s="21" t="str">
        <x:v>INTERIOR</x:v>
      </x:c>
    </x:row>
    <x:row r="387">
      <x:c r="A387" s="21" t="str">
        <x:v>NYC-V3-R02</x:v>
      </x:c>
      <x:c r="B387" s="21" t="str">
        <x:v>V3</x:v>
      </x:c>
      <x:c r="C387" s="21" t="str">
        <x:v>households_with_age65</x:v>
      </x:c>
      <x:c r="D387" s="24" t="n">
        <x:v>4181</x:v>
      </x:c>
      <x:c r="E387" s="43" t="n">
        <x:v>318.22531326090325</x:v>
      </x:c>
      <x:c r="F387" s="43" t="n">
        <x:v>13.138489698247623</x:v>
      </x:c>
      <x:c r="G387" s="43" t="n">
        <x:v>4181</x:v>
      </x:c>
      <x:c r="H387" s="43" t="n">
        <x:v>101267.35</x:v>
      </x:c>
      <x:c r="I387" s="21" t="str">
        <x:v>INTERIOR</x:v>
      </x:c>
    </x:row>
    <x:row r="388">
      <x:c r="A388" s="21" t="str">
        <x:v>NYC-V3-R02</x:v>
      </x:c>
      <x:c r="B388" s="21" t="str">
        <x:v>V3</x:v>
      </x:c>
      <x:c r="C388" s="21" t="str">
        <x:v>age65_one_person_households</x:v>
      </x:c>
      <x:c r="D388" s="24" t="n">
        <x:v>1947</x:v>
      </x:c>
      <x:c r="E388" s="43" t="n">
        <x:v>189.0428522848722</x:v>
      </x:c>
      <x:c r="F388" s="43" t="n">
        <x:v>10.29925213499228</x:v>
      </x:c>
      <x:c r="G388" s="43" t="n">
        <x:v>1947</x:v>
      </x:c>
      <x:c r="H388" s="43" t="n">
        <x:v>35737.20000000001</x:v>
      </x:c>
      <x:c r="I388" s="21" t="str">
        <x:v>INTERIOR</x:v>
      </x:c>
    </x:row>
    <x:row r="389">
      <x:c r="A389" s="21" t="str">
        <x:v>NYC-V3-R02</x:v>
      </x:c>
      <x:c r="B389" s="21" t="str">
        <x:v>V3</x:v>
      </x:c>
      <x:c r="C389" s="21" t="str">
        <x:v>no_vehicle_households</x:v>
      </x:c>
      <x:c r="D389" s="24" t="n">
        <x:v>8423</x:v>
      </x:c>
      <x:c r="E389" s="43" t="n">
        <x:v>409.94825920554155</x:v>
      </x:c>
      <x:c r="F389" s="43" t="n">
        <x:v>20.546495346323308</x:v>
      </x:c>
      <x:c r="G389" s="43" t="n">
        <x:v>8423</x:v>
      </x:c>
      <x:c r="H389" s="43" t="n">
        <x:v>168057.57522565388</x:v>
      </x:c>
      <x:c r="I389" s="21" t="str">
        <x:v>INTERIOR</x:v>
      </x:c>
    </x:row>
    <x:row r="390">
      <x:c r="A390" s="21" t="str">
        <x:v>NYC-V3-R02</x:v>
      </x:c>
      <x:c r="B390" s="21" t="str">
        <x:v>V3</x:v>
      </x:c>
      <x:c r="C390" s="21" t="str">
        <x:v>limited_english_households</x:v>
      </x:c>
      <x:c r="D390" s="24" t="n">
        <x:v>2085</x:v>
      </x:c>
      <x:c r="E390" s="43" t="n">
        <x:v>248.351890480714</x:v>
      </x:c>
      <x:c r="F390" s="43" t="n">
        <x:v>8.395345797304945</x:v>
      </x:c>
      <x:c r="G390" s="43" t="n">
        <x:v>2085</x:v>
      </x:c>
      <x:c r="H390" s="43" t="n">
        <x:v>61678.66150534456</x:v>
      </x:c>
      <x:c r="I390" s="21" t="str">
        <x:v>INTERIOR</x:v>
      </x:c>
    </x:row>
    <x:row r="391">
      <x:c r="A391" s="21" t="str">
        <x:v>NYC-V3-R02</x:v>
      </x:c>
      <x:c r="B391" s="21" t="str">
        <x:v>V3</x:v>
      </x:c>
      <x:c r="C391" s="21" t="str">
        <x:v>housing_units</x:v>
      </x:c>
      <x:c r="D391" s="24" t="n">
        <x:v>14139</x:v>
      </x:c>
      <x:c r="E391" s="43" t="n">
        <x:v>438.7449145004418</x:v>
      </x:c>
      <x:c r="F391" s="43" t="n">
        <x:v>32.22601455357898</x:v>
      </x:c>
      <x:c r="G391" s="43" t="n">
        <x:v>14139</x:v>
      </x:c>
      <x:c r="H391" s="43" t="n">
        <x:v>192497.09999999998</x:v>
      </x:c>
      <x:c r="I391" s="21" t="str">
        <x:v>INTERIOR</x:v>
      </x:c>
    </x:row>
    <x:row r="392">
      <x:c r="A392" s="21" t="str">
        <x:v>NYC-V3-R02</x:v>
      </x:c>
      <x:c r="B392" s="21" t="str">
        <x:v>V3</x:v>
      </x:c>
      <x:c r="C392" s="21" t="str">
        <x:v>occupied_housing_units</x:v>
      </x:c>
      <x:c r="D392" s="24" t="n">
        <x:v>13035</x:v>
      </x:c>
      <x:c r="E392" s="43" t="n">
        <x:v>478.17172647491407</x:v>
      </x:c>
      <x:c r="F392" s="43" t="n">
        <x:v>27.26008100916825</x:v>
      </x:c>
      <x:c r="G392" s="43" t="n">
        <x:v>13035</x:v>
      </x:c>
      <x:c r="H392" s="43" t="n">
        <x:v>228648.20000000004</x:v>
      </x:c>
      <x:c r="I392" s="21" t="str">
        <x:v>INTERIOR</x:v>
      </x:c>
    </x:row>
    <x:row r="393">
      <x:c r="A393" s="21" t="str">
        <x:v>NYC-V3-R02</x:v>
      </x:c>
      <x:c r="B393" s="21" t="str">
        <x:v>V3</x:v>
      </x:c>
      <x:c r="C393" s="21" t="str">
        <x:v>vacant_housing_units</x:v>
      </x:c>
      <x:c r="D393" s="24" t="n">
        <x:v>1104</x:v>
      </x:c>
      <x:c r="E393" s="43" t="n">
        <x:v>198.37439350883974</x:v>
      </x:c>
      <x:c r="F393" s="43" t="n">
        <x:v>5.565234405875095</x:v>
      </x:c>
      <x:c r="G393" s="43" t="n">
        <x:v>1104</x:v>
      </x:c>
      <x:c r="H393" s="43" t="n">
        <x:v>39352.4</x:v>
      </x:c>
      <x:c r="I393" s="21" t="str">
        <x:v>INTERIOR</x:v>
      </x:c>
    </x:row>
    <x:row r="394">
      <x:c r="A394" s="21" t="str">
        <x:v>NYC-V3-R02</x:v>
      </x:c>
      <x:c r="B394" s="21" t="str">
        <x:v>V3</x:v>
      </x:c>
      <x:c r="C394" s="21" t="str">
        <x:v>owner_occupied_units</x:v>
      </x:c>
      <x:c r="D394" s="24" t="n">
        <x:v>3347</x:v>
      </x:c>
      <x:c r="E394" s="43" t="n">
        <x:v>331.4658998172509</x:v>
      </x:c>
      <x:c r="F394" s="43" t="n">
        <x:v>10.097569619817067</x:v>
      </x:c>
      <x:c r="G394" s="43" t="n">
        <x:v>3347</x:v>
      </x:c>
      <x:c r="H394" s="43" t="n">
        <x:v>109869.6427416598</x:v>
      </x:c>
      <x:c r="I394" s="21" t="str">
        <x:v>INTERIOR</x:v>
      </x:c>
    </x:row>
    <x:row r="395">
      <x:c r="A395" s="21" t="str">
        <x:v>NYC-V3-R02</x:v>
      </x:c>
      <x:c r="B395" s="21" t="str">
        <x:v>V3</x:v>
      </x:c>
      <x:c r="C395" s="21" t="str">
        <x:v>renter_occupied_units</x:v>
      </x:c>
      <x:c r="D395" s="24" t="n">
        <x:v>9688</x:v>
      </x:c>
      <x:c r="E395" s="43" t="n">
        <x:v>463.7026918574268</x:v>
      </x:c>
      <x:c r="F395" s="43" t="n">
        <x:v>20.892697347072417</x:v>
      </x:c>
      <x:c r="G395" s="43" t="n">
        <x:v>9688</x:v>
      </x:c>
      <x:c r="H395" s="43" t="n">
        <x:v>215020.18643582374</x:v>
      </x:c>
      <x:c r="I395" s="21" t="str">
        <x:v>INTERIOR</x:v>
      </x:c>
    </x:row>
    <x:row r="396">
      <x:c r="A396" s="21" t="str">
        <x:v>NYC-V3-R02</x:v>
      </x:c>
      <x:c r="B396" s="21" t="str">
        <x:v>V3</x:v>
      </x:c>
      <x:c r="C396" s="21" t="str">
        <x:v>one_unit_structures</x:v>
      </x:c>
      <x:c r="D396" s="24" t="n">
        <x:v>823</x:v>
      </x:c>
      <x:c r="E396" s="43" t="n">
        <x:v>196.21420401684762</x:v>
      </x:c>
      <x:c r="F396" s="43" t="n">
        <x:v>4.194395630651359</x:v>
      </x:c>
      <x:c r="G396" s="43" t="n">
        <x:v>823</x:v>
      </x:c>
      <x:c r="H396" s="43" t="n">
        <x:v>38500.0138579651</x:v>
      </x:c>
      <x:c r="I396" s="21" t="str">
        <x:v>INTERIOR</x:v>
      </x:c>
    </x:row>
    <x:row r="397">
      <x:c r="A397" s="21" t="str">
        <x:v>NYC-V3-R02</x:v>
      </x:c>
      <x:c r="B397" s="21" t="str">
        <x:v>V3</x:v>
      </x:c>
      <x:c r="C397" s="21" t="str">
        <x:v>two_to_four_unit_structures</x:v>
      </x:c>
      <x:c r="D397" s="24" t="n">
        <x:v>1584</x:v>
      </x:c>
      <x:c r="E397" s="43" t="n">
        <x:v>200.0461878836865</x:v>
      </x:c>
      <x:c r="F397" s="43" t="n">
        <x:v>7.918171382105967</x:v>
      </x:c>
      <x:c r="G397" s="43" t="n">
        <x:v>1584</x:v>
      </x:c>
      <x:c r="H397" s="43" t="n">
        <x:v>40018.477286795205</x:v>
      </x:c>
      <x:c r="I397" s="21" t="str">
        <x:v>INTERIOR</x:v>
      </x:c>
    </x:row>
    <x:row r="398">
      <x:c r="A398" s="21" t="str">
        <x:v>NYC-V3-R02</x:v>
      </x:c>
      <x:c r="B398" s="21" t="str">
        <x:v>V3</x:v>
      </x:c>
      <x:c r="C398" s="21" t="str">
        <x:v>five_to_nineteen_unit_structures</x:v>
      </x:c>
      <x:c r="D398" s="24" t="n">
        <x:v>1284</x:v>
      </x:c>
      <x:c r="E398" s="43" t="n">
        <x:v>193.65399770024894</x:v>
      </x:c>
      <x:c r="F398" s="43" t="n">
        <x:v>6.630382100283125</x:v>
      </x:c>
      <x:c r="G398" s="43" t="n">
        <x:v>1284</x:v>
      </x:c>
      <x:c r="H398" s="43" t="n">
        <x:v>37501.87082528802</x:v>
      </x:c>
      <x:c r="I398" s="21" t="str">
        <x:v>INTERIOR</x:v>
      </x:c>
    </x:row>
    <x:row r="399">
      <x:c r="A399" s="21" t="str">
        <x:v>NYC-V3-R02</x:v>
      </x:c>
      <x:c r="B399" s="21" t="str">
        <x:v>V3</x:v>
      </x:c>
      <x:c r="C399" s="21" t="str">
        <x:v>twenty_to_forty_nine_unit_structures</x:v>
      </x:c>
      <x:c r="D399" s="24" t="n">
        <x:v>3364</x:v>
      </x:c>
      <x:c r="E399" s="43" t="n">
        <x:v>318.80427184358047</x:v>
      </x:c>
      <x:c r="F399" s="43" t="n">
        <x:v>10.551928870170622</x:v>
      </x:c>
      <x:c r="G399" s="43" t="n">
        <x:v>3364</x:v>
      </x:c>
      <x:c r="H399" s="43" t="n">
        <x:v>101636.16374571556</x:v>
      </x:c>
      <x:c r="I399" s="21" t="str">
        <x:v>INTERIOR</x:v>
      </x:c>
    </x:row>
    <x:row r="400">
      <x:c r="A400" s="21" t="str">
        <x:v>NYC-V3-R02</x:v>
      </x:c>
      <x:c r="B400" s="21" t="str">
        <x:v>V3</x:v>
      </x:c>
      <x:c r="C400" s="21" t="str">
        <x:v>fifty_plus_unit_structures</x:v>
      </x:c>
      <x:c r="D400" s="24" t="n">
        <x:v>5980</x:v>
      </x:c>
      <x:c r="E400" s="43" t="n">
        <x:v>468.6725087076537</x:v>
      </x:c>
      <x:c r="F400" s="43" t="n">
        <x:v>12.759442657495782</x:v>
      </x:c>
      <x:c r="G400" s="43" t="n">
        <x:v>5980</x:v>
      </x:c>
      <x:c r="H400" s="43" t="n">
        <x:v>219653.92041832575</x:v>
      </x:c>
      <x:c r="I400" s="21" t="str">
        <x:v>INTERIOR</x:v>
      </x:c>
    </x:row>
    <x:row r="401">
      <x:c r="A401" s="21" t="str">
        <x:v>NYC-V3-R02</x:v>
      </x:c>
      <x:c r="B401" s="21" t="str">
        <x:v>V3</x:v>
      </x:c>
      <x:c r="C401" s="21" t="str">
        <x:v>mobile_or_other_units</x:v>
      </x:c>
      <x:c r="D401" s="24" t="n">
        <x:v>0</x:v>
      </x:c>
      <x:c r="E401" s="43" t="n">
        <x:v>52.53348984916304</x:v>
      </x:c>
      <x:c r="F401" s="43" t="n">
        <x:v>0</x:v>
      </x:c>
      <x:c r="G401" s="43" t="n">
        <x:v>0</x:v>
      </x:c>
      <x:c r="H401" s="43" t="n">
        <x:v>2759.7675557321163</x:v>
      </x:c>
      <x:c r="I401" s="21" t="str">
        <x:v>IMPOSSIBLE_EXACT_MOMENTS</x:v>
      </x:c>
    </x:row>
    <x:row r="402">
      <x:c r="A402" s="21" t="str">
        <x:v>NYC-V3-R02</x:v>
      </x:c>
      <x:c r="B402" s="21" t="str">
        <x:v>V3</x:v>
      </x:c>
      <x:c r="C402" s="21" t="str">
        <x:v>electric_heat_households</x:v>
      </x:c>
      <x:c r="D402" s="24" t="n">
        <x:v>1952</x:v>
      </x:c>
      <x:c r="E402" s="43" t="n">
        <x:v>264.2669105279736</x:v>
      </x:c>
      <x:c r="F402" s="43" t="n">
        <x:v>7.386471488617845</x:v>
      </x:c>
      <x:c r="G402" s="43" t="n">
        <x:v>1952</x:v>
      </x:c>
      <x:c r="H402" s="43" t="n">
        <x:v>69837.00000000001</x:v>
      </x:c>
      <x:c r="I402" s="21" t="str">
        <x:v>INTERIOR</x:v>
      </x:c>
    </x:row>
    <x:row r="403">
      <x:c r="A403" s="21" t="str">
        <x:v>NYC-V3-R02</x:v>
      </x:c>
      <x:c r="B403" s="21" t="str">
        <x:v>V3</x:v>
      </x:c>
      <x:c r="C403" s="21" t="str">
        <x:v>group_quarters_population</x:v>
      </x:c>
      <x:c r="D403" s="24" t="n">
        <x:v>195</x:v>
      </x:c>
      <x:c r="E403" s="43" t="n">
        <x:v>7.700649323271382</x:v>
      </x:c>
      <x:c r="F403" s="43" t="n">
        <x:v>25.322539933185826</x:v>
      </x:c>
      <x:c r="G403" s="43" t="n">
        <x:v>195</x:v>
      </x:c>
      <x:c r="H403" s="43" t="n">
        <x:v>59.3</x:v>
      </x:c>
      <x:c r="I403" s="21" t="str">
        <x:v>INTERIOR</x:v>
      </x:c>
    </x:row>
    <x:row r="404">
      <x:c r="A404" s="21" t="str">
        <x:v>NYC-V3-R03</x:v>
      </x:c>
      <x:c r="B404" s="21" t="str">
        <x:v>V3</x:v>
      </x:c>
      <x:c r="C404" s="21" t="str">
        <x:v>acs_population</x:v>
      </x:c>
      <x:c r="D404" s="24" t="n">
        <x:v>41146</x:v>
      </x:c>
      <x:c r="E404" s="43" t="n">
        <x:v>1454.1482214684995</x:v>
      </x:c>
      <x:c r="F404" s="43" t="n">
        <x:v>28.29560246509666</x:v>
      </x:c>
      <x:c r="G404" s="43" t="n">
        <x:v>41146</x:v>
      </x:c>
      <x:c r="H404" s="43" t="n">
        <x:v>2114547.0500000003</x:v>
      </x:c>
      <x:c r="I404" s="21" t="str">
        <x:v>INTERIOR</x:v>
      </x:c>
    </x:row>
    <x:row r="405">
      <x:c r="A405" s="21" t="str">
        <x:v>NYC-V3-R03</x:v>
      </x:c>
      <x:c r="B405" s="21" t="str">
        <x:v>V3</x:v>
      </x:c>
      <x:c r="C405" s="21" t="str">
        <x:v>age_under_18</x:v>
      </x:c>
      <x:c r="D405" s="24" t="n">
        <x:v>10108</x:v>
      </x:c>
      <x:c r="E405" s="43" t="n">
        <x:v>813.3160517289697</x:v>
      </x:c>
      <x:c r="F405" s="43" t="n">
        <x:v>12.428132923864142</x:v>
      </x:c>
      <x:c r="G405" s="43" t="n">
        <x:v>10108</x:v>
      </x:c>
      <x:c r="H405" s="43" t="n">
        <x:v>661483.0000000001</x:v>
      </x:c>
      <x:c r="I405" s="21" t="str">
        <x:v>INTERIOR</x:v>
      </x:c>
    </x:row>
    <x:row r="406">
      <x:c r="A406" s="21" t="str">
        <x:v>NYC-V3-R03</x:v>
      </x:c>
      <x:c r="B406" s="21" t="str">
        <x:v>V3</x:v>
      </x:c>
      <x:c r="C406" s="21" t="str">
        <x:v>age_under_5</x:v>
      </x:c>
      <x:c r="D406" s="24" t="n">
        <x:v>2491</x:v>
      </x:c>
      <x:c r="E406" s="43" t="n">
        <x:v>316.96734847614823</x:v>
      </x:c>
      <x:c r="F406" s="43" t="n">
        <x:v>7.858853638949652</x:v>
      </x:c>
      <x:c r="G406" s="43" t="n">
        <x:v>2491</x:v>
      </x:c>
      <x:c r="H406" s="43" t="n">
        <x:v>100468.29999999999</x:v>
      </x:c>
      <x:c r="I406" s="21" t="str">
        <x:v>INTERIOR</x:v>
      </x:c>
    </x:row>
    <x:row r="407">
      <x:c r="A407" s="21" t="str">
        <x:v>NYC-V3-R03</x:v>
      </x:c>
      <x:c r="B407" s="21" t="str">
        <x:v>V3</x:v>
      </x:c>
      <x:c r="C407" s="21" t="str">
        <x:v>age_65_plus</x:v>
      </x:c>
      <x:c r="D407" s="24" t="n">
        <x:v>8067</x:v>
      </x:c>
      <x:c r="E407" s="43" t="n">
        <x:v>446.3000112032264</x:v>
      </x:c>
      <x:c r="F407" s="43" t="n">
        <x:v>18.07528522854243</x:v>
      </x:c>
      <x:c r="G407" s="43" t="n">
        <x:v>8067</x:v>
      </x:c>
      <x:c r="H407" s="43" t="n">
        <x:v>199183.7</x:v>
      </x:c>
      <x:c r="I407" s="21" t="str">
        <x:v>INTERIOR</x:v>
      </x:c>
    </x:row>
    <x:row r="408">
      <x:c r="A408" s="21" t="str">
        <x:v>NYC-V3-R03</x:v>
      </x:c>
      <x:c r="B408" s="21" t="str">
        <x:v>V3</x:v>
      </x:c>
      <x:c r="C408" s="21" t="str">
        <x:v>age_75_plus</x:v>
      </x:c>
      <x:c r="D408" s="24" t="n">
        <x:v>3343</x:v>
      </x:c>
      <x:c r="E408" s="43" t="n">
        <x:v>319.74177080888256</x:v>
      </x:c>
      <x:c r="F408" s="43" t="n">
        <x:v>10.45531208369454</x:v>
      </x:c>
      <x:c r="G408" s="43" t="n">
        <x:v>3343</x:v>
      </x:c>
      <x:c r="H408" s="43" t="n">
        <x:v>102234.79999999999</x:v>
      </x:c>
      <x:c r="I408" s="21" t="str">
        <x:v>INTERIOR</x:v>
      </x:c>
    </x:row>
    <x:row r="409">
      <x:c r="A409" s="21" t="str">
        <x:v>NYC-V3-R03</x:v>
      </x:c>
      <x:c r="B409" s="21" t="str">
        <x:v>V3</x:v>
      </x:c>
      <x:c r="C409" s="21" t="str">
        <x:v>age_85_plus</x:v>
      </x:c>
      <x:c r="D409" s="24" t="n">
        <x:v>943</x:v>
      </x:c>
      <x:c r="E409" s="43" t="n">
        <x:v>179.3863149741362</x:v>
      </x:c>
      <x:c r="F409" s="43" t="n">
        <x:v>5.256811257514047</x:v>
      </x:c>
      <x:c r="G409" s="43" t="n">
        <x:v>943</x:v>
      </x:c>
      <x:c r="H409" s="43" t="n">
        <x:v>32179.450000000004</x:v>
      </x:c>
      <x:c r="I409" s="21" t="str">
        <x:v>INTERIOR</x:v>
      </x:c>
    </x:row>
    <x:row r="410">
      <x:c r="A410" s="21" t="str">
        <x:v>NYC-V3-R03</x:v>
      </x:c>
      <x:c r="B410" s="21" t="str">
        <x:v>V3</x:v>
      </x:c>
      <x:c r="C410" s="21" t="str">
        <x:v>civilian_noninstitutionalized</x:v>
      </x:c>
      <x:c r="D410" s="24" t="n">
        <x:v>40336</x:v>
      </x:c>
      <x:c r="E410" s="43" t="n">
        <x:v>1446.3572172876243</x:v>
      </x:c>
      <x:c r="F410" s="43" t="n">
        <x:v>27.88799303372836</x:v>
      </x:c>
      <x:c r="G410" s="43" t="n">
        <x:v>40336</x:v>
      </x:c>
      <x:c r="H410" s="43" t="n">
        <x:v>2091949.2</x:v>
      </x:c>
      <x:c r="I410" s="21" t="str">
        <x:v>INTERIOR</x:v>
      </x:c>
    </x:row>
    <x:row r="411">
      <x:c r="A411" s="21" t="str">
        <x:v>NYC-V3-R03</x:v>
      </x:c>
      <x:c r="B411" s="21" t="str">
        <x:v>V3</x:v>
      </x:c>
      <x:c r="C411" s="21" t="str">
        <x:v>any_disability</x:v>
      </x:c>
      <x:c r="D411" s="24" t="n">
        <x:v>5833</x:v>
      </x:c>
      <x:c r="E411" s="43" t="n">
        <x:v>514.2412371640377</x:v>
      </x:c>
      <x:c r="F411" s="43" t="n">
        <x:v>11.342925417977192</x:v>
      </x:c>
      <x:c r="G411" s="43" t="n">
        <x:v>5833</x:v>
      </x:c>
      <x:c r="H411" s="43" t="n">
        <x:v>264444.05000000005</x:v>
      </x:c>
      <x:c r="I411" s="21" t="str">
        <x:v>INTERIOR</x:v>
      </x:c>
    </x:row>
    <x:row r="412">
      <x:c r="A412" s="21" t="str">
        <x:v>NYC-V3-R03</x:v>
      </x:c>
      <x:c r="B412" s="21" t="str">
        <x:v>V3</x:v>
      </x:c>
      <x:c r="C412" s="21" t="str">
        <x:v>disability_under_18</x:v>
      </x:c>
      <x:c r="D412" s="24" t="n">
        <x:v>938</x:v>
      </x:c>
      <x:c r="E412" s="43" t="n">
        <x:v>292.0101881784264</x:v>
      </x:c>
      <x:c r="F412" s="43" t="n">
        <x:v>3.2122166896000754</x:v>
      </x:c>
      <x:c r="G412" s="43" t="n">
        <x:v>938</x:v>
      </x:c>
      <x:c r="H412" s="43" t="n">
        <x:v>85269.95</x:v>
      </x:c>
      <x:c r="I412" s="21" t="str">
        <x:v>INTERIOR</x:v>
      </x:c>
    </x:row>
    <x:row r="413">
      <x:c r="A413" s="21" t="str">
        <x:v>NYC-V3-R03</x:v>
      </x:c>
      <x:c r="B413" s="21" t="str">
        <x:v>V3</x:v>
      </x:c>
      <x:c r="C413" s="21" t="str">
        <x:v>disability_18_64</x:v>
      </x:c>
      <x:c r="D413" s="24" t="n">
        <x:v>2622</x:v>
      </x:c>
      <x:c r="E413" s="43" t="n">
        <x:v>297.20565270532796</x:v>
      </x:c>
      <x:c r="F413" s="43" t="n">
        <x:v>8.822174060732445</x:v>
      </x:c>
      <x:c r="G413" s="43" t="n">
        <x:v>2622</x:v>
      </x:c>
      <x:c r="H413" s="43" t="n">
        <x:v>88331.20000000003</x:v>
      </x:c>
      <x:c r="I413" s="21" t="str">
        <x:v>INTERIOR</x:v>
      </x:c>
    </x:row>
    <x:row r="414">
      <x:c r="A414" s="21" t="str">
        <x:v>NYC-V3-R03</x:v>
      </x:c>
      <x:c r="B414" s="21" t="str">
        <x:v>V3</x:v>
      </x:c>
      <x:c r="C414" s="21" t="str">
        <x:v>disability_65_plus</x:v>
      </x:c>
      <x:c r="D414" s="24" t="n">
        <x:v>2273</x:v>
      </x:c>
      <x:c r="E414" s="43" t="n">
        <x:v>256.72086007958137</x:v>
      </x:c>
      <x:c r="F414" s="43" t="n">
        <x:v>8.853974699583775</x:v>
      </x:c>
      <x:c r="G414" s="43" t="n">
        <x:v>2273</x:v>
      </x:c>
      <x:c r="H414" s="43" t="n">
        <x:v>65905.59999999999</x:v>
      </x:c>
      <x:c r="I414" s="21" t="str">
        <x:v>INTERIOR</x:v>
      </x:c>
    </x:row>
    <x:row r="415">
      <x:c r="A415" s="21" t="str">
        <x:v>NYC-V3-R03</x:v>
      </x:c>
      <x:c r="B415" s="21" t="str">
        <x:v>V3</x:v>
      </x:c>
      <x:c r="C415" s="21" t="str">
        <x:v>hearing_difficulty</x:v>
      </x:c>
      <x:c r="D415" s="24" t="n">
        <x:v>1110</x:v>
      </x:c>
      <x:c r="E415" s="43" t="n">
        <x:v>253.17306186750068</x:v>
      </x:c>
      <x:c r="F415" s="43" t="n">
        <x:v>4.384352710403778</x:v>
      </x:c>
      <x:c r="G415" s="43" t="n">
        <x:v>1110</x:v>
      </x:c>
      <x:c r="H415" s="43" t="n">
        <x:v>64096.59925536533</x:v>
      </x:c>
      <x:c r="I415" s="21" t="str">
        <x:v>INTERIOR</x:v>
      </x:c>
    </x:row>
    <x:row r="416">
      <x:c r="A416" s="21" t="str">
        <x:v>NYC-V3-R03</x:v>
      </x:c>
      <x:c r="B416" s="21" t="str">
        <x:v>V3</x:v>
      </x:c>
      <x:c r="C416" s="21" t="str">
        <x:v>vision_difficulty</x:v>
      </x:c>
      <x:c r="D416" s="24" t="n">
        <x:v>1279</x:v>
      </x:c>
      <x:c r="E416" s="43" t="n">
        <x:v>306.603023215739</x:v>
      </x:c>
      <x:c r="F416" s="43" t="n">
        <x:v>4.1715179015049735</x:v>
      </x:c>
      <x:c r="G416" s="43" t="n">
        <x:v>1279</x:v>
      </x:c>
      <x:c r="H416" s="43" t="n">
        <x:v>94005.41384503097</x:v>
      </x:c>
      <x:c r="I416" s="21" t="str">
        <x:v>INTERIOR</x:v>
      </x:c>
    </x:row>
    <x:row r="417">
      <x:c r="A417" s="21" t="str">
        <x:v>NYC-V3-R03</x:v>
      </x:c>
      <x:c r="B417" s="21" t="str">
        <x:v>V3</x:v>
      </x:c>
      <x:c r="C417" s="21" t="str">
        <x:v>cognitive_difficulty</x:v>
      </x:c>
      <x:c r="D417" s="24" t="n">
        <x:v>2202</x:v>
      </x:c>
      <x:c r="E417" s="43" t="n">
        <x:v>274.5157101201676</x:v>
      </x:c>
      <x:c r="F417" s="43" t="n">
        <x:v>8.02139884466389</x:v>
      </x:c>
      <x:c r="G417" s="43" t="n">
        <x:v>2202</x:v>
      </x:c>
      <x:c r="H417" s="43" t="n">
        <x:v>75358.8751027799</x:v>
      </x:c>
      <x:c r="I417" s="21" t="str">
        <x:v>INTERIOR</x:v>
      </x:c>
    </x:row>
    <x:row r="418">
      <x:c r="A418" s="21" t="str">
        <x:v>NYC-V3-R03</x:v>
      </x:c>
      <x:c r="B418" s="21" t="str">
        <x:v>V3</x:v>
      </x:c>
      <x:c r="C418" s="21" t="str">
        <x:v>ambulatory_difficulty</x:v>
      </x:c>
      <x:c r="D418" s="24" t="n">
        <x:v>2988</x:v>
      </x:c>
      <x:c r="E418" s="43" t="n">
        <x:v>318.88250566637026</x:v>
      </x:c>
      <x:c r="F418" s="43" t="n">
        <x:v>9.370222407641844</x:v>
      </x:c>
      <x:c r="G418" s="43" t="n">
        <x:v>2988</x:v>
      </x:c>
      <x:c r="H418" s="43" t="n">
        <x:v>101686.05242006267</x:v>
      </x:c>
      <x:c r="I418" s="21" t="str">
        <x:v>INTERIOR</x:v>
      </x:c>
    </x:row>
    <x:row r="419">
      <x:c r="A419" s="21" t="str">
        <x:v>NYC-V3-R03</x:v>
      </x:c>
      <x:c r="B419" s="21" t="str">
        <x:v>V3</x:v>
      </x:c>
      <x:c r="C419" s="21" t="str">
        <x:v>self_care_difficulty</x:v>
      </x:c>
      <x:c r="D419" s="24" t="n">
        <x:v>1376</x:v>
      </x:c>
      <x:c r="E419" s="43" t="n">
        <x:v>231.93381511246267</x:v>
      </x:c>
      <x:c r="F419" s="43" t="n">
        <x:v>5.932726969255388</x:v>
      </x:c>
      <x:c r="G419" s="43" t="n">
        <x:v>1376</x:v>
      </x:c>
      <x:c r="H419" s="43" t="n">
        <x:v>53793.29459262201</x:v>
      </x:c>
      <x:c r="I419" s="21" t="str">
        <x:v>INTERIOR</x:v>
      </x:c>
    </x:row>
    <x:row r="420">
      <x:c r="A420" s="21" t="str">
        <x:v>NYC-V3-R03</x:v>
      </x:c>
      <x:c r="B420" s="21" t="str">
        <x:v>V3</x:v>
      </x:c>
      <x:c r="C420" s="21" t="str">
        <x:v>independent_living_difficulty</x:v>
      </x:c>
      <x:c r="D420" s="24" t="n">
        <x:v>2068</x:v>
      </x:c>
      <x:c r="E420" s="43" t="n">
        <x:v>241.8742545140352</x:v>
      </x:c>
      <x:c r="F420" s="43" t="n">
        <x:v>8.549897152778618</x:v>
      </x:c>
      <x:c r="G420" s="43" t="n">
        <x:v>2068</x:v>
      </x:c>
      <x:c r="H420" s="43" t="n">
        <x:v>58503.15499672027</x:v>
      </x:c>
      <x:c r="I420" s="21" t="str">
        <x:v>INTERIOR</x:v>
      </x:c>
    </x:row>
    <x:row r="421">
      <x:c r="A421" s="21" t="str">
        <x:v>NYC-V3-R03</x:v>
      </x:c>
      <x:c r="B421" s="21" t="str">
        <x:v>V3</x:v>
      </x:c>
      <x:c r="C421" s="21" t="str">
        <x:v>households</x:v>
      </x:c>
      <x:c r="D421" s="24" t="n">
        <x:v>15672</x:v>
      </x:c>
      <x:c r="E421" s="43" t="n">
        <x:v>376.3787985527347</x:v>
      </x:c>
      <x:c r="F421" s="43" t="n">
        <x:v>41.63890224492596</x:v>
      </x:c>
      <x:c r="G421" s="43" t="n">
        <x:v>15672</x:v>
      </x:c>
      <x:c r="H421" s="43" t="n">
        <x:v>141661.00000000003</x:v>
      </x:c>
      <x:c r="I421" s="21" t="str">
        <x:v>INTERIOR</x:v>
      </x:c>
    </x:row>
    <x:row r="422">
      <x:c r="A422" s="21" t="str">
        <x:v>NYC-V3-R03</x:v>
      </x:c>
      <x:c r="B422" s="21" t="str">
        <x:v>V3</x:v>
      </x:c>
      <x:c r="C422" s="21" t="str">
        <x:v>family_households</x:v>
      </x:c>
      <x:c r="D422" s="24" t="n">
        <x:v>9534</x:v>
      </x:c>
      <x:c r="E422" s="43" t="n">
        <x:v>418.88172555030377</x:v>
      </x:c>
      <x:c r="F422" s="43" t="n">
        <x:v>22.760601426273144</x:v>
      </x:c>
      <x:c r="G422" s="43" t="n">
        <x:v>9534</x:v>
      </x:c>
      <x:c r="H422" s="43" t="n">
        <x:v>175461.90000000002</x:v>
      </x:c>
      <x:c r="I422" s="21" t="str">
        <x:v>INTERIOR</x:v>
      </x:c>
    </x:row>
    <x:row r="423">
      <x:c r="A423" s="21" t="str">
        <x:v>NYC-V3-R03</x:v>
      </x:c>
      <x:c r="B423" s="21" t="str">
        <x:v>V3</x:v>
      </x:c>
      <x:c r="C423" s="21" t="str">
        <x:v>nonfamily_households</x:v>
      </x:c>
      <x:c r="D423" s="24" t="n">
        <x:v>6138</x:v>
      </x:c>
      <x:c r="E423" s="43" t="n">
        <x:v>369.4073632184394</x:v>
      </x:c>
      <x:c r="F423" s="43" t="n">
        <x:v>16.6158030704181</x:v>
      </x:c>
      <x:c r="G423" s="43" t="n">
        <x:v>6138</x:v>
      </x:c>
      <x:c r="H423" s="43" t="n">
        <x:v>136461.80000000002</x:v>
      </x:c>
      <x:c r="I423" s="21" t="str">
        <x:v>INTERIOR</x:v>
      </x:c>
    </x:row>
    <x:row r="424">
      <x:c r="A424" s="21" t="str">
        <x:v>NYC-V3-R03</x:v>
      </x:c>
      <x:c r="B424" s="21" t="str">
        <x:v>V3</x:v>
      </x:c>
      <x:c r="C424" s="21" t="str">
        <x:v>living_alone_households</x:v>
      </x:c>
      <x:c r="D424" s="24" t="n">
        <x:v>5489</x:v>
      </x:c>
      <x:c r="E424" s="43" t="n">
        <x:v>372.8668663209431</x:v>
      </x:c>
      <x:c r="F424" s="43" t="n">
        <x:v>14.721072038820886</x:v>
      </x:c>
      <x:c r="G424" s="43" t="n">
        <x:v>5489</x:v>
      </x:c>
      <x:c r="H424" s="43" t="n">
        <x:v>139029.70000000004</x:v>
      </x:c>
      <x:c r="I424" s="21" t="str">
        <x:v>INTERIOR</x:v>
      </x:c>
    </x:row>
    <x:row r="425">
      <x:c r="A425" s="21" t="str">
        <x:v>NYC-V3-R03</x:v>
      </x:c>
      <x:c r="B425" s="21" t="str">
        <x:v>V3</x:v>
      </x:c>
      <x:c r="C425" s="21" t="str">
        <x:v>households_with_children</x:v>
      </x:c>
      <x:c r="D425" s="24" t="n">
        <x:v>4530</x:v>
      </x:c>
      <x:c r="E425" s="43" t="n">
        <x:v>328.87816893190103</x:v>
      </x:c>
      <x:c r="F425" s="43" t="n">
        <x:v>13.774097607974708</x:v>
      </x:c>
      <x:c r="G425" s="43" t="n">
        <x:v>4530</x:v>
      </x:c>
      <x:c r="H425" s="43" t="n">
        <x:v>108160.85000000003</x:v>
      </x:c>
      <x:c r="I425" s="21" t="str">
        <x:v>INTERIOR</x:v>
      </x:c>
    </x:row>
    <x:row r="426">
      <x:c r="A426" s="21" t="str">
        <x:v>NYC-V3-R03</x:v>
      </x:c>
      <x:c r="B426" s="21" t="str">
        <x:v>V3</x:v>
      </x:c>
      <x:c r="C426" s="21" t="str">
        <x:v>households_with_age65</x:v>
      </x:c>
      <x:c r="D426" s="24" t="n">
        <x:v>5862</x:v>
      </x:c>
      <x:c r="E426" s="43" t="n">
        <x:v>375.81717629719907</x:v>
      </x:c>
      <x:c r="F426" s="43" t="n">
        <x:v>15.59800980294814</x:v>
      </x:c>
      <x:c r="G426" s="43" t="n">
        <x:v>5862</x:v>
      </x:c>
      <x:c r="H426" s="43" t="n">
        <x:v>141238.55000000002</x:v>
      </x:c>
      <x:c r="I426" s="21" t="str">
        <x:v>INTERIOR</x:v>
      </x:c>
    </x:row>
    <x:row r="427">
      <x:c r="A427" s="21" t="str">
        <x:v>NYC-V3-R03</x:v>
      </x:c>
      <x:c r="B427" s="21" t="str">
        <x:v>V3</x:v>
      </x:c>
      <x:c r="C427" s="21" t="str">
        <x:v>age65_one_person_households</x:v>
      </x:c>
      <x:c r="D427" s="24" t="n">
        <x:v>2434</x:v>
      </x:c>
      <x:c r="E427" s="43" t="n">
        <x:v>294.8548795594199</x:v>
      </x:c>
      <x:c r="F427" s="43" t="n">
        <x:v>8.254908325196952</x:v>
      </x:c>
      <x:c r="G427" s="43" t="n">
        <x:v>2434</x:v>
      </x:c>
      <x:c r="H427" s="43" t="n">
        <x:v>86939.40000000001</x:v>
      </x:c>
      <x:c r="I427" s="21" t="str">
        <x:v>INTERIOR</x:v>
      </x:c>
    </x:row>
    <x:row r="428">
      <x:c r="A428" s="21" t="str">
        <x:v>NYC-V3-R03</x:v>
      </x:c>
      <x:c r="B428" s="21" t="str">
        <x:v>V3</x:v>
      </x:c>
      <x:c r="C428" s="21" t="str">
        <x:v>no_vehicle_households</x:v>
      </x:c>
      <x:c r="D428" s="24" t="n">
        <x:v>4684</x:v>
      </x:c>
      <x:c r="E428" s="43" t="n">
        <x:v>387.6012821556878</x:v>
      </x:c>
      <x:c r="F428" s="43" t="n">
        <x:v>12.084583347994649</x:v>
      </x:c>
      <x:c r="G428" s="43" t="n">
        <x:v>4684</x:v>
      </x:c>
      <x:c r="H428" s="43" t="n">
        <x:v>150234.7539287331</x:v>
      </x:c>
      <x:c r="I428" s="21" t="str">
        <x:v>INTERIOR</x:v>
      </x:c>
    </x:row>
    <x:row r="429">
      <x:c r="A429" s="21" t="str">
        <x:v>NYC-V3-R03</x:v>
      </x:c>
      <x:c r="B429" s="21" t="str">
        <x:v>V3</x:v>
      </x:c>
      <x:c r="C429" s="21" t="str">
        <x:v>limited_english_households</x:v>
      </x:c>
      <x:c r="D429" s="24" t="n">
        <x:v>1191</x:v>
      </x:c>
      <x:c r="E429" s="43" t="n">
        <x:v>184.08113917364267</x:v>
      </x:c>
      <x:c r="F429" s="43" t="n">
        <x:v>6.469972998572856</x:v>
      </x:c>
      <x:c r="G429" s="43" t="n">
        <x:v>1191</x:v>
      </x:c>
      <x:c r="H429" s="43" t="n">
        <x:v>33885.865799466</x:v>
      </x:c>
      <x:c r="I429" s="21" t="str">
        <x:v>INTERIOR</x:v>
      </x:c>
    </x:row>
    <x:row r="430">
      <x:c r="A430" s="21" t="str">
        <x:v>NYC-V3-R03</x:v>
      </x:c>
      <x:c r="B430" s="21" t="str">
        <x:v>V3</x:v>
      </x:c>
      <x:c r="C430" s="21" t="str">
        <x:v>housing_units</x:v>
      </x:c>
      <x:c r="D430" s="24" t="n">
        <x:v>17049</x:v>
      </x:c>
      <x:c r="E430" s="43" t="n">
        <x:v>388.57303045888295</x:v>
      </x:c>
      <x:c r="F430" s="43" t="n">
        <x:v>43.875922062491284</x:v>
      </x:c>
      <x:c r="G430" s="43" t="n">
        <x:v>17049</x:v>
      </x:c>
      <x:c r="H430" s="43" t="n">
        <x:v>150988.99999999997</x:v>
      </x:c>
      <x:c r="I430" s="21" t="str">
        <x:v>INTERIOR</x:v>
      </x:c>
    </x:row>
    <x:row r="431">
      <x:c r="A431" s="21" t="str">
        <x:v>NYC-V3-R03</x:v>
      </x:c>
      <x:c r="B431" s="21" t="str">
        <x:v>V3</x:v>
      </x:c>
      <x:c r="C431" s="21" t="str">
        <x:v>occupied_housing_units</x:v>
      </x:c>
      <x:c r="D431" s="24" t="n">
        <x:v>15672</x:v>
      </x:c>
      <x:c r="E431" s="43" t="n">
        <x:v>376.3787985527347</x:v>
      </x:c>
      <x:c r="F431" s="43" t="n">
        <x:v>41.63890224492596</x:v>
      </x:c>
      <x:c r="G431" s="43" t="n">
        <x:v>15672</x:v>
      </x:c>
      <x:c r="H431" s="43" t="n">
        <x:v>141661.00000000003</x:v>
      </x:c>
      <x:c r="I431" s="21" t="str">
        <x:v>INTERIOR</x:v>
      </x:c>
    </x:row>
    <x:row r="432">
      <x:c r="A432" s="21" t="str">
        <x:v>NYC-V3-R03</x:v>
      </x:c>
      <x:c r="B432" s="21" t="str">
        <x:v>V3</x:v>
      </x:c>
      <x:c r="C432" s="21" t="str">
        <x:v>vacant_housing_units</x:v>
      </x:c>
      <x:c r="D432" s="24" t="n">
        <x:v>1377</x:v>
      </x:c>
      <x:c r="E432" s="43" t="n">
        <x:v>223.23216614099323</x:v>
      </x:c>
      <x:c r="F432" s="43" t="n">
        <x:v>6.1684658792868055</x:v>
      </x:c>
      <x:c r="G432" s="43" t="n">
        <x:v>1377</x:v>
      </x:c>
      <x:c r="H432" s="43" t="n">
        <x:v>49832.600000000006</x:v>
      </x:c>
      <x:c r="I432" s="21" t="str">
        <x:v>INTERIOR</x:v>
      </x:c>
    </x:row>
    <x:row r="433">
      <x:c r="A433" s="21" t="str">
        <x:v>NYC-V3-R03</x:v>
      </x:c>
      <x:c r="B433" s="21" t="str">
        <x:v>V3</x:v>
      </x:c>
      <x:c r="C433" s="21" t="str">
        <x:v>owner_occupied_units</x:v>
      </x:c>
      <x:c r="D433" s="24" t="n">
        <x:v>7561</x:v>
      </x:c>
      <x:c r="E433" s="43" t="n">
        <x:v>381.9206690121956</x:v>
      </x:c>
      <x:c r="F433" s="43" t="n">
        <x:v>19.79730507792591</x:v>
      </x:c>
      <x:c r="G433" s="43" t="n">
        <x:v>7561</x:v>
      </x:c>
      <x:c r="H433" s="43" t="n">
        <x:v>145863.39741872306</x:v>
      </x:c>
      <x:c r="I433" s="21" t="str">
        <x:v>INTERIOR</x:v>
      </x:c>
    </x:row>
    <x:row r="434">
      <x:c r="A434" s="21" t="str">
        <x:v>NYC-V3-R03</x:v>
      </x:c>
      <x:c r="B434" s="21" t="str">
        <x:v>V3</x:v>
      </x:c>
      <x:c r="C434" s="21" t="str">
        <x:v>renter_occupied_units</x:v>
      </x:c>
      <x:c r="D434" s="24" t="n">
        <x:v>8111</x:v>
      </x:c>
      <x:c r="E434" s="43" t="n">
        <x:v>401.8494581782876</x:v>
      </x:c>
      <x:c r="F434" s="43" t="n">
        <x:v>20.184175528740944</x:v>
      </x:c>
      <x:c r="G434" s="43" t="n">
        <x:v>8111</x:v>
      </x:c>
      <x:c r="H434" s="43" t="n">
        <x:v>161482.98703818332</x:v>
      </x:c>
      <x:c r="I434" s="21" t="str">
        <x:v>INTERIOR</x:v>
      </x:c>
    </x:row>
    <x:row r="435">
      <x:c r="A435" s="21" t="str">
        <x:v>NYC-V3-R03</x:v>
      </x:c>
      <x:c r="B435" s="21" t="str">
        <x:v>V3</x:v>
      </x:c>
      <x:c r="C435" s="21" t="str">
        <x:v>one_unit_structures</x:v>
      </x:c>
      <x:c r="D435" s="24" t="n">
        <x:v>4303</x:v>
      </x:c>
      <x:c r="E435" s="43" t="n">
        <x:v>315.86499785647584</x:v>
      </x:c>
      <x:c r="F435" s="43" t="n">
        <x:v>13.622908613493212</x:v>
      </x:c>
      <x:c r="G435" s="43" t="n">
        <x:v>4303</x:v>
      </x:c>
      <x:c r="H435" s="43" t="n">
        <x:v>99770.69687087148</x:v>
      </x:c>
      <x:c r="I435" s="21" t="str">
        <x:v>INTERIOR</x:v>
      </x:c>
    </x:row>
    <x:row r="436">
      <x:c r="A436" s="21" t="str">
        <x:v>NYC-V3-R03</x:v>
      </x:c>
      <x:c r="B436" s="21" t="str">
        <x:v>V3</x:v>
      </x:c>
      <x:c r="C436" s="21" t="str">
        <x:v>two_to_four_unit_structures</x:v>
      </x:c>
      <x:c r="D436" s="24" t="n">
        <x:v>3731</x:v>
      </x:c>
      <x:c r="E436" s="43" t="n">
        <x:v>310.8452251862967</x:v>
      </x:c>
      <x:c r="F436" s="43" t="n">
        <x:v>12.0027579569991</x:v>
      </x:c>
      <x:c r="G436" s="43" t="n">
        <x:v>3731</x:v>
      </x:c>
      <x:c r="H436" s="43" t="n">
        <x:v>96624.75402111952</x:v>
      </x:c>
      <x:c r="I436" s="21" t="str">
        <x:v>INTERIOR</x:v>
      </x:c>
    </x:row>
    <x:row r="437">
      <x:c r="A437" s="21" t="str">
        <x:v>NYC-V3-R03</x:v>
      </x:c>
      <x:c r="B437" s="21" t="str">
        <x:v>V3</x:v>
      </x:c>
      <x:c r="C437" s="21" t="str">
        <x:v>five_to_nineteen_unit_structures</x:v>
      </x:c>
      <x:c r="D437" s="24" t="n">
        <x:v>994</x:v>
      </x:c>
      <x:c r="E437" s="43" t="n">
        <x:v>197.12927586925218</x:v>
      </x:c>
      <x:c r="F437" s="43" t="n">
        <x:v>5.042376357427903</x:v>
      </x:c>
      <x:c r="G437" s="43" t="n">
        <x:v>994</x:v>
      </x:c>
      <x:c r="H437" s="43" t="n">
        <x:v>38859.95140473573</x:v>
      </x:c>
      <x:c r="I437" s="21" t="str">
        <x:v>INTERIOR</x:v>
      </x:c>
    </x:row>
    <x:row r="438">
      <x:c r="A438" s="21" t="str">
        <x:v>NYC-V3-R03</x:v>
      </x:c>
      <x:c r="B438" s="21" t="str">
        <x:v>V3</x:v>
      </x:c>
      <x:c r="C438" s="21" t="str">
        <x:v>twenty_to_forty_nine_unit_structures</x:v>
      </x:c>
      <x:c r="D438" s="24" t="n">
        <x:v>1126</x:v>
      </x:c>
      <x:c r="E438" s="43" t="n">
        <x:v>183.66410732384753</x:v>
      </x:c>
      <x:c r="F438" s="43" t="n">
        <x:v>6.130756936708213</x:v>
      </x:c>
      <x:c r="G438" s="43" t="n">
        <x:v>1126</x:v>
      </x:c>
      <x:c r="H438" s="43" t="n">
        <x:v>33732.50431906578</x:v>
      </x:c>
      <x:c r="I438" s="21" t="str">
        <x:v>INTERIOR</x:v>
      </x:c>
    </x:row>
    <x:row r="439">
      <x:c r="A439" s="21" t="str">
        <x:v>NYC-V3-R03</x:v>
      </x:c>
      <x:c r="B439" s="21" t="str">
        <x:v>V3</x:v>
      </x:c>
      <x:c r="C439" s="21" t="str">
        <x:v>fifty_plus_unit_structures</x:v>
      </x:c>
      <x:c r="D439" s="24" t="n">
        <x:v>5383</x:v>
      </x:c>
      <x:c r="E439" s="43" t="n">
        <x:v>383.9279980414092</x:v>
      </x:c>
      <x:c r="F439" s="43" t="n">
        <x:v>14.020858149082963</x:v>
      </x:c>
      <x:c r="G439" s="43" t="n">
        <x:v>5383</x:v>
      </x:c>
      <x:c r="H439" s="43" t="n">
        <x:v>147400.7076800843</x:v>
      </x:c>
      <x:c r="I439" s="21" t="str">
        <x:v>INTERIOR</x:v>
      </x:c>
    </x:row>
    <x:row r="440">
      <x:c r="A440" s="21" t="str">
        <x:v>NYC-V3-R03</x:v>
      </x:c>
      <x:c r="B440" s="21" t="str">
        <x:v>V3</x:v>
      </x:c>
      <x:c r="C440" s="21" t="str">
        <x:v>mobile_or_other_units</x:v>
      </x:c>
      <x:c r="D440" s="24" t="n">
        <x:v>135</x:v>
      </x:c>
      <x:c r="E440" s="43" t="n">
        <x:v>122.05227634104897</x:v>
      </x:c>
      <x:c r="F440" s="43" t="n">
        <x:v>1.1060834262752413</x:v>
      </x:c>
      <x:c r="G440" s="43" t="n">
        <x:v>135</x:v>
      </x:c>
      <x:c r="H440" s="43" t="n">
        <x:v>14896.75816003178</x:v>
      </x:c>
      <x:c r="I440" s="21" t="str">
        <x:v>BOUNDARY_SENSITIVE</x:v>
      </x:c>
    </x:row>
    <x:row r="441">
      <x:c r="A441" s="21" t="str">
        <x:v>NYC-V3-R03</x:v>
      </x:c>
      <x:c r="B441" s="21" t="str">
        <x:v>V3</x:v>
      </x:c>
      <x:c r="C441" s="21" t="str">
        <x:v>electric_heat_households</x:v>
      </x:c>
      <x:c r="D441" s="24" t="n">
        <x:v>1657</x:v>
      </x:c>
      <x:c r="E441" s="43" t="n">
        <x:v>228.49354476658635</x:v>
      </x:c>
      <x:c r="F441" s="43" t="n">
        <x:v>7.251846005945944</x:v>
      </x:c>
      <x:c r="G441" s="43" t="n">
        <x:v>1657</x:v>
      </x:c>
      <x:c r="H441" s="43" t="n">
        <x:v>52209.3</x:v>
      </x:c>
      <x:c r="I441" s="21" t="str">
        <x:v>INTERIOR</x:v>
      </x:c>
    </x:row>
    <x:row r="442">
      <x:c r="A442" s="21" t="str">
        <x:v>NYC-V3-R03</x:v>
      </x:c>
      <x:c r="B442" s="21" t="str">
        <x:v>V3</x:v>
      </x:c>
      <x:c r="C442" s="21" t="str">
        <x:v>group_quarters_population</x:v>
      </x:c>
      <x:c r="D442" s="24" t="n">
        <x:v>1686</x:v>
      </x:c>
      <x:c r="E442" s="43" t="n">
        <x:v>36.341436405293614</x:v>
      </x:c>
      <x:c r="F442" s="43" t="n">
        <x:v>46.39332307058759</x:v>
      </x:c>
      <x:c r="G442" s="43" t="n">
        <x:v>1686</x:v>
      </x:c>
      <x:c r="H442" s="43" t="n">
        <x:v>1320.7</x:v>
      </x:c>
      <x:c r="I442" s="21" t="str">
        <x:v>INTERIOR</x:v>
      </x:c>
    </x:row>
    <x:row r="443">
      <x:c r="A443" s="21" t="str">
        <x:v>NYC-V3-R04</x:v>
      </x:c>
      <x:c r="B443" s="21" t="str">
        <x:v>V3</x:v>
      </x:c>
      <x:c r="C443" s="21" t="str">
        <x:v>acs_population</x:v>
      </x:c>
      <x:c r="D443" s="24" t="n">
        <x:v>36480</x:v>
      </x:c>
      <x:c r="E443" s="43" t="n">
        <x:v>1357.0544020045772</x:v>
      </x:c>
      <x:c r="F443" s="43" t="n">
        <x:v>26.881752084598414</x:v>
      </x:c>
      <x:c r="G443" s="43" t="n">
        <x:v>36480</x:v>
      </x:c>
      <x:c r="H443" s="43" t="n">
        <x:v>1841596.6500000008</x:v>
      </x:c>
      <x:c r="I443" s="21" t="str">
        <x:v>INTERIOR</x:v>
      </x:c>
    </x:row>
    <x:row r="444">
      <x:c r="A444" s="21" t="str">
        <x:v>NYC-V3-R04</x:v>
      </x:c>
      <x:c r="B444" s="21" t="str">
        <x:v>V3</x:v>
      </x:c>
      <x:c r="C444" s="21" t="str">
        <x:v>age_under_18</x:v>
      </x:c>
      <x:c r="D444" s="24" t="n">
        <x:v>6688</x:v>
      </x:c>
      <x:c r="E444" s="43" t="n">
        <x:v>689.4024223920309</x:v>
      </x:c>
      <x:c r="F444" s="43" t="n">
        <x:v>9.701155352478363</x:v>
      </x:c>
      <x:c r="G444" s="43" t="n">
        <x:v>6688</x:v>
      </x:c>
      <x:c r="H444" s="43" t="n">
        <x:v>475275.7000000001</x:v>
      </x:c>
      <x:c r="I444" s="21" t="str">
        <x:v>INTERIOR</x:v>
      </x:c>
    </x:row>
    <x:row r="445">
      <x:c r="A445" s="21" t="str">
        <x:v>NYC-V3-R04</x:v>
      </x:c>
      <x:c r="B445" s="21" t="str">
        <x:v>V3</x:v>
      </x:c>
      <x:c r="C445" s="21" t="str">
        <x:v>age_under_5</x:v>
      </x:c>
      <x:c r="D445" s="24" t="n">
        <x:v>1685</x:v>
      </x:c>
      <x:c r="E445" s="43" t="n">
        <x:v>227.03733173203037</x:v>
      </x:c>
      <x:c r="F445" s="43" t="n">
        <x:v>7.421686940845423</x:v>
      </x:c>
      <x:c r="G445" s="43" t="n">
        <x:v>1685</x:v>
      </x:c>
      <x:c r="H445" s="43" t="n">
        <x:v>51545.950000000004</x:v>
      </x:c>
      <x:c r="I445" s="21" t="str">
        <x:v>INTERIOR</x:v>
      </x:c>
    </x:row>
    <x:row r="446">
      <x:c r="A446" s="21" t="str">
        <x:v>NYC-V3-R04</x:v>
      </x:c>
      <x:c r="B446" s="21" t="str">
        <x:v>V3</x:v>
      </x:c>
      <x:c r="C446" s="21" t="str">
        <x:v>age_65_plus</x:v>
      </x:c>
      <x:c r="D446" s="24" t="n">
        <x:v>7404</x:v>
      </x:c>
      <x:c r="E446" s="43" t="n">
        <x:v>387.11800526454465</x:v>
      </x:c>
      <x:c r="F446" s="43" t="n">
        <x:v>19.125951000239144</x:v>
      </x:c>
      <x:c r="G446" s="43" t="n">
        <x:v>7404</x:v>
      </x:c>
      <x:c r="H446" s="43" t="n">
        <x:v>149860.35</x:v>
      </x:c>
      <x:c r="I446" s="21" t="str">
        <x:v>INTERIOR</x:v>
      </x:c>
    </x:row>
    <x:row r="447">
      <x:c r="A447" s="21" t="str">
        <x:v>NYC-V3-R04</x:v>
      </x:c>
      <x:c r="B447" s="21" t="str">
        <x:v>V3</x:v>
      </x:c>
      <x:c r="C447" s="21" t="str">
        <x:v>age_75_plus</x:v>
      </x:c>
      <x:c r="D447" s="24" t="n">
        <x:v>3209</x:v>
      </x:c>
      <x:c r="E447" s="43" t="n">
        <x:v>327.73739487583646</x:v>
      </x:c>
      <x:c r="F447" s="43" t="n">
        <x:v>9.791375809329699</x:v>
      </x:c>
      <x:c r="G447" s="43" t="n">
        <x:v>3209</x:v>
      </x:c>
      <x:c r="H447" s="43" t="n">
        <x:v>107411.79999999996</x:v>
      </x:c>
      <x:c r="I447" s="21" t="str">
        <x:v>INTERIOR</x:v>
      </x:c>
    </x:row>
    <x:row r="448">
      <x:c r="A448" s="21" t="str">
        <x:v>NYC-V3-R04</x:v>
      </x:c>
      <x:c r="B448" s="21" t="str">
        <x:v>V3</x:v>
      </x:c>
      <x:c r="C448" s="21" t="str">
        <x:v>age_85_plus</x:v>
      </x:c>
      <x:c r="D448" s="24" t="n">
        <x:v>1038</x:v>
      </x:c>
      <x:c r="E448" s="43" t="n">
        <x:v>193.0237032076631</x:v>
      </x:c>
      <x:c r="F448" s="43" t="n">
        <x:v>5.377577897172947</x:v>
      </x:c>
      <x:c r="G448" s="43" t="n">
        <x:v>1038</x:v>
      </x:c>
      <x:c r="H448" s="43" t="n">
        <x:v>37258.15000000001</x:v>
      </x:c>
      <x:c r="I448" s="21" t="str">
        <x:v>INTERIOR</x:v>
      </x:c>
    </x:row>
    <x:row r="449">
      <x:c r="A449" s="21" t="str">
        <x:v>NYC-V3-R04</x:v>
      </x:c>
      <x:c r="B449" s="21" t="str">
        <x:v>V3</x:v>
      </x:c>
      <x:c r="C449" s="21" t="str">
        <x:v>civilian_noninstitutionalized</x:v>
      </x:c>
      <x:c r="D449" s="24" t="n">
        <x:v>36364</x:v>
      </x:c>
      <x:c r="E449" s="43" t="n">
        <x:v>1358.3734206763618</x:v>
      </x:c>
      <x:c r="F449" s="43" t="n">
        <x:v>26.770252896949078</x:v>
      </x:c>
      <x:c r="G449" s="43" t="n">
        <x:v>36364</x:v>
      </x:c>
      <x:c r="H449" s="43" t="n">
        <x:v>1845178.35</x:v>
      </x:c>
      <x:c r="I449" s="21" t="str">
        <x:v>INTERIOR</x:v>
      </x:c>
    </x:row>
    <x:row r="450">
      <x:c r="A450" s="21" t="str">
        <x:v>NYC-V3-R04</x:v>
      </x:c>
      <x:c r="B450" s="21" t="str">
        <x:v>V3</x:v>
      </x:c>
      <x:c r="C450" s="21" t="str">
        <x:v>any_disability</x:v>
      </x:c>
      <x:c r="D450" s="24" t="n">
        <x:v>4401</x:v>
      </x:c>
      <x:c r="E450" s="43" t="n">
        <x:v>470.8874069244154</x:v>
      </x:c>
      <x:c r="F450" s="43" t="n">
        <x:v>9.34618326012364</x:v>
      </x:c>
      <x:c r="G450" s="43" t="n">
        <x:v>4401</x:v>
      </x:c>
      <x:c r="H450" s="43" t="n">
        <x:v>221734.94999999998</x:v>
      </x:c>
      <x:c r="I450" s="21" t="str">
        <x:v>INTERIOR</x:v>
      </x:c>
    </x:row>
    <x:row r="451">
      <x:c r="A451" s="21" t="str">
        <x:v>NYC-V3-R04</x:v>
      </x:c>
      <x:c r="B451" s="21" t="str">
        <x:v>V3</x:v>
      </x:c>
      <x:c r="C451" s="21" t="str">
        <x:v>disability_under_18</x:v>
      </x:c>
      <x:c r="D451" s="24" t="n">
        <x:v>247</x:v>
      </x:c>
      <x:c r="E451" s="43" t="n">
        <x:v>151.8719855667924</x:v>
      </x:c>
      <x:c r="F451" s="43" t="n">
        <x:v>1.6263697289410288</x:v>
      </x:c>
      <x:c r="G451" s="43" t="n">
        <x:v>247</x:v>
      </x:c>
      <x:c r="H451" s="43" t="n">
        <x:v>23065.1</x:v>
      </x:c>
      <x:c r="I451" s="21" t="str">
        <x:v>BOUNDARY_SENSITIVE</x:v>
      </x:c>
    </x:row>
    <x:row r="452">
      <x:c r="A452" s="21" t="str">
        <x:v>NYC-V3-R04</x:v>
      </x:c>
      <x:c r="B452" s="21" t="str">
        <x:v>V3</x:v>
      </x:c>
      <x:c r="C452" s="21" t="str">
        <x:v>disability_18_64</x:v>
      </x:c>
      <x:c r="D452" s="24" t="n">
        <x:v>1718</x:v>
      </x:c>
      <x:c r="E452" s="43" t="n">
        <x:v>280.1007854326724</x:v>
      </x:c>
      <x:c r="F452" s="43" t="n">
        <x:v>6.133506542461853</x:v>
      </x:c>
      <x:c r="G452" s="43" t="n">
        <x:v>1718</x:v>
      </x:c>
      <x:c r="H452" s="43" t="n">
        <x:v>78456.44999999998</x:v>
      </x:c>
      <x:c r="I452" s="21" t="str">
        <x:v>INTERIOR</x:v>
      </x:c>
    </x:row>
    <x:row r="453">
      <x:c r="A453" s="21" t="str">
        <x:v>NYC-V3-R04</x:v>
      </x:c>
      <x:c r="B453" s="21" t="str">
        <x:v>V3</x:v>
      </x:c>
      <x:c r="C453" s="21" t="str">
        <x:v>disability_65_plus</x:v>
      </x:c>
      <x:c r="D453" s="24" t="n">
        <x:v>2436</x:v>
      </x:c>
      <x:c r="E453" s="43" t="n">
        <x:v>281.75645511682603</x:v>
      </x:c>
      <x:c r="F453" s="43" t="n">
        <x:v>8.645764651567431</x:v>
      </x:c>
      <x:c r="G453" s="43" t="n">
        <x:v>2436</x:v>
      </x:c>
      <x:c r="H453" s="43" t="n">
        <x:v>79386.7</x:v>
      </x:c>
      <x:c r="I453" s="21" t="str">
        <x:v>INTERIOR</x:v>
      </x:c>
    </x:row>
    <x:row r="454">
      <x:c r="A454" s="21" t="str">
        <x:v>NYC-V3-R04</x:v>
      </x:c>
      <x:c r="B454" s="21" t="str">
        <x:v>V3</x:v>
      </x:c>
      <x:c r="C454" s="21" t="str">
        <x:v>hearing_difficulty</x:v>
      </x:c>
      <x:c r="D454" s="24" t="n">
        <x:v>1130</x:v>
      </x:c>
      <x:c r="E454" s="43" t="n">
        <x:v>230.5739095173458</x:v>
      </x:c>
      <x:c r="F454" s="43" t="n">
        <x:v>4.900814677451576</x:v>
      </x:c>
      <x:c r="G454" s="43" t="n">
        <x:v>1130</x:v>
      </x:c>
      <x:c r="H454" s="43" t="n">
        <x:v>53164.327750113174</x:v>
      </x:c>
      <x:c r="I454" s="21" t="str">
        <x:v>INTERIOR</x:v>
      </x:c>
    </x:row>
    <x:row r="455">
      <x:c r="A455" s="21" t="str">
        <x:v>NYC-V3-R04</x:v>
      </x:c>
      <x:c r="B455" s="21" t="str">
        <x:v>V3</x:v>
      </x:c>
      <x:c r="C455" s="21" t="str">
        <x:v>vision_difficulty</x:v>
      </x:c>
      <x:c r="D455" s="24" t="n">
        <x:v>703</x:v>
      </x:c>
      <x:c r="E455" s="43" t="n">
        <x:v>197.06459029708594</x:v>
      </x:c>
      <x:c r="F455" s="43" t="n">
        <x:v>3.5673582907014803</x:v>
      </x:c>
      <x:c r="G455" s="43" t="n">
        <x:v>703</x:v>
      </x:c>
      <x:c r="H455" s="43" t="n">
        <x:v>38834.45274895834</x:v>
      </x:c>
      <x:c r="I455" s="21" t="str">
        <x:v>INTERIOR</x:v>
      </x:c>
    </x:row>
    <x:row r="456">
      <x:c r="A456" s="21" t="str">
        <x:v>NYC-V3-R04</x:v>
      </x:c>
      <x:c r="B456" s="21" t="str">
        <x:v>V3</x:v>
      </x:c>
      <x:c r="C456" s="21" t="str">
        <x:v>cognitive_difficulty</x:v>
      </x:c>
      <x:c r="D456" s="24" t="n">
        <x:v>1932</x:v>
      </x:c>
      <x:c r="E456" s="43" t="n">
        <x:v>294.71372896122347</x:v>
      </x:c>
      <x:c r="F456" s="43" t="n">
        <x:v>6.555514080764795</x:v>
      </x:c>
      <x:c r="G456" s="43" t="n">
        <x:v>1932</x:v>
      </x:c>
      <x:c r="H456" s="43" t="n">
        <x:v>86856.18203822948</x:v>
      </x:c>
      <x:c r="I456" s="21" t="str">
        <x:v>INTERIOR</x:v>
      </x:c>
    </x:row>
    <x:row r="457">
      <x:c r="A457" s="21" t="str">
        <x:v>NYC-V3-R04</x:v>
      </x:c>
      <x:c r="B457" s="21" t="str">
        <x:v>V3</x:v>
      </x:c>
      <x:c r="C457" s="21" t="str">
        <x:v>ambulatory_difficulty</x:v>
      </x:c>
      <x:c r="D457" s="24" t="n">
        <x:v>2438</x:v>
      </x:c>
      <x:c r="E457" s="43" t="n">
        <x:v>297.8196095005031</x:v>
      </x:c>
      <x:c r="F457" s="43" t="n">
        <x:v>8.186163443330557</x:v>
      </x:c>
      <x:c r="G457" s="43" t="n">
        <x:v>2438</x:v>
      </x:c>
      <x:c r="H457" s="43" t="n">
        <x:v>88696.51980303215</x:v>
      </x:c>
      <x:c r="I457" s="21" t="str">
        <x:v>INTERIOR</x:v>
      </x:c>
    </x:row>
    <x:row r="458">
      <x:c r="A458" s="21" t="str">
        <x:v>NYC-V3-R04</x:v>
      </x:c>
      <x:c r="B458" s="21" t="str">
        <x:v>V3</x:v>
      </x:c>
      <x:c r="C458" s="21" t="str">
        <x:v>self_care_difficulty</x:v>
      </x:c>
      <x:c r="D458" s="24" t="n">
        <x:v>1014</x:v>
      </x:c>
      <x:c r="E458" s="43" t="n">
        <x:v>199.59401148816585</x:v>
      </x:c>
      <x:c r="F458" s="43" t="n">
        <x:v>5.080312743051016</x:v>
      </x:c>
      <x:c r="G458" s="43" t="n">
        <x:v>1014</x:v>
      </x:c>
      <x:c r="H458" s="43" t="n">
        <x:v>39837.76942193808</x:v>
      </x:c>
      <x:c r="I458" s="21" t="str">
        <x:v>INTERIOR</x:v>
      </x:c>
    </x:row>
    <x:row r="459">
      <x:c r="A459" s="21" t="str">
        <x:v>NYC-V3-R04</x:v>
      </x:c>
      <x:c r="B459" s="21" t="str">
        <x:v>V3</x:v>
      </x:c>
      <x:c r="C459" s="21" t="str">
        <x:v>independent_living_difficulty</x:v>
      </x:c>
      <x:c r="D459" s="24" t="n">
        <x:v>1858</x:v>
      </x:c>
      <x:c r="E459" s="43" t="n">
        <x:v>268.3909509858976</x:v>
      </x:c>
      <x:c r="F459" s="43" t="n">
        <x:v>6.9227371234942545</x:v>
      </x:c>
      <x:c r="G459" s="43" t="n">
        <x:v>1858</x:v>
      </x:c>
      <x:c r="H459" s="43" t="n">
        <x:v>72033.70257111448</x:v>
      </x:c>
      <x:c r="I459" s="21" t="str">
        <x:v>INTERIOR</x:v>
      </x:c>
    </x:row>
    <x:row r="460">
      <x:c r="A460" s="21" t="str">
        <x:v>NYC-V3-R04</x:v>
      </x:c>
      <x:c r="B460" s="21" t="str">
        <x:v>V3</x:v>
      </x:c>
      <x:c r="C460" s="21" t="str">
        <x:v>households</x:v>
      </x:c>
      <x:c r="D460" s="24" t="n">
        <x:v>17095</x:v>
      </x:c>
      <x:c r="E460" s="43" t="n">
        <x:v>423.33633201037685</x:v>
      </x:c>
      <x:c r="F460" s="43" t="n">
        <x:v>40.38160372113057</x:v>
      </x:c>
      <x:c r="G460" s="43" t="n">
        <x:v>17095</x:v>
      </x:c>
      <x:c r="H460" s="43" t="n">
        <x:v>179213.65000000002</x:v>
      </x:c>
      <x:c r="I460" s="21" t="str">
        <x:v>INTERIOR</x:v>
      </x:c>
    </x:row>
    <x:row r="461">
      <x:c r="A461" s="21" t="str">
        <x:v>NYC-V3-R04</x:v>
      </x:c>
      <x:c r="B461" s="21" t="str">
        <x:v>V3</x:v>
      </x:c>
      <x:c r="C461" s="21" t="str">
        <x:v>family_households</x:v>
      </x:c>
      <x:c r="D461" s="24" t="n">
        <x:v>9492</x:v>
      </x:c>
      <x:c r="E461" s="43" t="n">
        <x:v>405.0580822548786</x:v>
      </x:c>
      <x:c r="F461" s="43" t="n">
        <x:v>23.433676343797178</x:v>
      </x:c>
      <x:c r="G461" s="43" t="n">
        <x:v>9492</x:v>
      </x:c>
      <x:c r="H461" s="43" t="n">
        <x:v>164072.05000000002</x:v>
      </x:c>
      <x:c r="I461" s="21" t="str">
        <x:v>INTERIOR</x:v>
      </x:c>
    </x:row>
    <x:row r="462">
      <x:c r="A462" s="21" t="str">
        <x:v>NYC-V3-R04</x:v>
      </x:c>
      <x:c r="B462" s="21" t="str">
        <x:v>V3</x:v>
      </x:c>
      <x:c r="C462" s="21" t="str">
        <x:v>nonfamily_households</x:v>
      </x:c>
      <x:c r="D462" s="24" t="n">
        <x:v>7603</x:v>
      </x:c>
      <x:c r="E462" s="43" t="n">
        <x:v>390.5181173774144</x:v>
      </x:c>
      <x:c r="F462" s="43" t="n">
        <x:v>19.469007100257315</x:v>
      </x:c>
      <x:c r="G462" s="43" t="n">
        <x:v>7603</x:v>
      </x:c>
      <x:c r="H462" s="43" t="n">
        <x:v>152504.40000000002</x:v>
      </x:c>
      <x:c r="I462" s="21" t="str">
        <x:v>INTERIOR</x:v>
      </x:c>
    </x:row>
    <x:row r="463">
      <x:c r="A463" s="21" t="str">
        <x:v>NYC-V3-R04</x:v>
      </x:c>
      <x:c r="B463" s="21" t="str">
        <x:v>V3</x:v>
      </x:c>
      <x:c r="C463" s="21" t="str">
        <x:v>living_alone_households</x:v>
      </x:c>
      <x:c r="D463" s="24" t="n">
        <x:v>6688</x:v>
      </x:c>
      <x:c r="E463" s="43" t="n">
        <x:v>379.8412826431587</x:v>
      </x:c>
      <x:c r="F463" s="43" t="n">
        <x:v>17.60735419136374</x:v>
      </x:c>
      <x:c r="G463" s="43" t="n">
        <x:v>6688</x:v>
      </x:c>
      <x:c r="H463" s="43" t="n">
        <x:v>144279.39999999997</x:v>
      </x:c>
      <x:c r="I463" s="21" t="str">
        <x:v>INTERIOR</x:v>
      </x:c>
    </x:row>
    <x:row r="464">
      <x:c r="A464" s="21" t="str">
        <x:v>NYC-V3-R04</x:v>
      </x:c>
      <x:c r="B464" s="21" t="str">
        <x:v>V3</x:v>
      </x:c>
      <x:c r="C464" s="21" t="str">
        <x:v>households_with_children</x:v>
      </x:c>
      <x:c r="D464" s="24" t="n">
        <x:v>3498</x:v>
      </x:c>
      <x:c r="E464" s="43" t="n">
        <x:v>331.1649136004598</x:v>
      </x:c>
      <x:c r="F464" s="43" t="n">
        <x:v>10.562713187122924</x:v>
      </x:c>
      <x:c r="G464" s="43" t="n">
        <x:v>3498</x:v>
      </x:c>
      <x:c r="H464" s="43" t="n">
        <x:v>109670.2</x:v>
      </x:c>
      <x:c r="I464" s="21" t="str">
        <x:v>INTERIOR</x:v>
      </x:c>
    </x:row>
    <x:row r="465">
      <x:c r="A465" s="21" t="str">
        <x:v>NYC-V3-R04</x:v>
      </x:c>
      <x:c r="B465" s="21" t="str">
        <x:v>V3</x:v>
      </x:c>
      <x:c r="C465" s="21" t="str">
        <x:v>households_with_age65</x:v>
      </x:c>
      <x:c r="D465" s="24" t="n">
        <x:v>5916</x:v>
      </x:c>
      <x:c r="E465" s="43" t="n">
        <x:v>316.95812026196774</x:v>
      </x:c>
      <x:c r="F465" s="43" t="n">
        <x:v>18.664926442365292</x:v>
      </x:c>
      <x:c r="G465" s="43" t="n">
        <x:v>5916</x:v>
      </x:c>
      <x:c r="H465" s="43" t="n">
        <x:v>100462.45</x:v>
      </x:c>
      <x:c r="I465" s="21" t="str">
        <x:v>INTERIOR</x:v>
      </x:c>
    </x:row>
    <x:row r="466">
      <x:c r="A466" s="21" t="str">
        <x:v>NYC-V3-R04</x:v>
      </x:c>
      <x:c r="B466" s="21" t="str">
        <x:v>V3</x:v>
      </x:c>
      <x:c r="C466" s="21" t="str">
        <x:v>age65_one_person_households</x:v>
      </x:c>
      <x:c r="D466" s="24" t="n">
        <x:v>2571</x:v>
      </x:c>
      <x:c r="E466" s="43" t="n">
        <x:v>248.24191829745436</x:v>
      </x:c>
      <x:c r="F466" s="43" t="n">
        <x:v>10.356832631785077</x:v>
      </x:c>
      <x:c r="G466" s="43" t="n">
        <x:v>2571</x:v>
      </x:c>
      <x:c r="H466" s="43" t="n">
        <x:v>61624.05000000001</x:v>
      </x:c>
      <x:c r="I466" s="21" t="str">
        <x:v>INTERIOR</x:v>
      </x:c>
    </x:row>
    <x:row r="467">
      <x:c r="A467" s="21" t="str">
        <x:v>NYC-V3-R04</x:v>
      </x:c>
      <x:c r="B467" s="21" t="str">
        <x:v>V3</x:v>
      </x:c>
      <x:c r="C467" s="21" t="str">
        <x:v>no_vehicle_households</x:v>
      </x:c>
      <x:c r="D467" s="24" t="n">
        <x:v>8333</x:v>
      </x:c>
      <x:c r="E467" s="43" t="n">
        <x:v>430.77533736770937</x:v>
      </x:c>
      <x:c r="F467" s="43" t="n">
        <x:v>19.344190061853425</x:v>
      </x:c>
      <x:c r="G467" s="43" t="n">
        <x:v>8333</x:v>
      </x:c>
      <x:c r="H467" s="43" t="n">
        <x:v>185567.39128426384</x:v>
      </x:c>
      <x:c r="I467" s="21" t="str">
        <x:v>INTERIOR</x:v>
      </x:c>
    </x:row>
    <x:row r="468">
      <x:c r="A468" s="21" t="str">
        <x:v>NYC-V3-R04</x:v>
      </x:c>
      <x:c r="B468" s="21" t="str">
        <x:v>V3</x:v>
      </x:c>
      <x:c r="C468" s="21" t="str">
        <x:v>limited_english_households</x:v>
      </x:c>
      <x:c r="D468" s="24" t="n">
        <x:v>2033</x:v>
      </x:c>
      <x:c r="E468" s="43" t="n">
        <x:v>227.56358026652447</x:v>
      </x:c>
      <x:c r="F468" s="43" t="n">
        <x:v>8.933766983358815</x:v>
      </x:c>
      <x:c r="G468" s="43" t="n">
        <x:v>2033</x:v>
      </x:c>
      <x:c r="H468" s="43" t="n">
        <x:v>51785.18306371893</x:v>
      </x:c>
      <x:c r="I468" s="21" t="str">
        <x:v>INTERIOR</x:v>
      </x:c>
    </x:row>
    <x:row r="469">
      <x:c r="A469" s="21" t="str">
        <x:v>NYC-V3-R04</x:v>
      </x:c>
      <x:c r="B469" s="21" t="str">
        <x:v>V3</x:v>
      </x:c>
      <x:c r="C469" s="21" t="str">
        <x:v>housing_units</x:v>
      </x:c>
      <x:c r="D469" s="24" t="n">
        <x:v>17672</x:v>
      </x:c>
      <x:c r="E469" s="43" t="n">
        <x:v>404.64867477850464</x:v>
      </x:c>
      <x:c r="F469" s="43" t="n">
        <x:v>43.67245242968668</x:v>
      </x:c>
      <x:c r="G469" s="43" t="n">
        <x:v>17672</x:v>
      </x:c>
      <x:c r="H469" s="43" t="n">
        <x:v>163740.55000000002</x:v>
      </x:c>
      <x:c r="I469" s="21" t="str">
        <x:v>INTERIOR</x:v>
      </x:c>
    </x:row>
    <x:row r="470">
      <x:c r="A470" s="21" t="str">
        <x:v>NYC-V3-R04</x:v>
      </x:c>
      <x:c r="B470" s="21" t="str">
        <x:v>V3</x:v>
      </x:c>
      <x:c r="C470" s="21" t="str">
        <x:v>occupied_housing_units</x:v>
      </x:c>
      <x:c r="D470" s="24" t="n">
        <x:v>17095</x:v>
      </x:c>
      <x:c r="E470" s="43" t="n">
        <x:v>423.33633201037685</x:v>
      </x:c>
      <x:c r="F470" s="43" t="n">
        <x:v>40.38160372113057</x:v>
      </x:c>
      <x:c r="G470" s="43" t="n">
        <x:v>17095</x:v>
      </x:c>
      <x:c r="H470" s="43" t="n">
        <x:v>179213.65000000002</x:v>
      </x:c>
      <x:c r="I470" s="21" t="str">
        <x:v>INTERIOR</x:v>
      </x:c>
    </x:row>
    <x:row r="471">
      <x:c r="A471" s="21" t="str">
        <x:v>NYC-V3-R04</x:v>
      </x:c>
      <x:c r="B471" s="21" t="str">
        <x:v>V3</x:v>
      </x:c>
      <x:c r="C471" s="21" t="str">
        <x:v>vacant_housing_units</x:v>
      </x:c>
      <x:c r="D471" s="24" t="n">
        <x:v>577</x:v>
      </x:c>
      <x:c r="E471" s="43" t="n">
        <x:v>144.01145787748973</x:v>
      </x:c>
      <x:c r="F471" s="43" t="n">
        <x:v>4.006625642876644</x:v>
      </x:c>
      <x:c r="G471" s="43" t="n">
        <x:v>577</x:v>
      </x:c>
      <x:c r="H471" s="43" t="n">
        <x:v>20739.3</x:v>
      </x:c>
      <x:c r="I471" s="21" t="str">
        <x:v>INTERIOR</x:v>
      </x:c>
    </x:row>
    <x:row r="472">
      <x:c r="A472" s="21" t="str">
        <x:v>NYC-V3-R04</x:v>
      </x:c>
      <x:c r="B472" s="21" t="str">
        <x:v>V3</x:v>
      </x:c>
      <x:c r="C472" s="21" t="str">
        <x:v>owner_occupied_units</x:v>
      </x:c>
      <x:c r="D472" s="24" t="n">
        <x:v>7231</x:v>
      </x:c>
      <x:c r="E472" s="43" t="n">
        <x:v>385.0141309656408</x:v>
      </x:c>
      <x:c r="F472" s="43" t="n">
        <x:v>18.781128842892535</x:v>
      </x:c>
      <x:c r="G472" s="43" t="n">
        <x:v>7231</x:v>
      </x:c>
      <x:c r="H472" s="43" t="n">
        <x:v>148235.8810432276</x:v>
      </x:c>
      <x:c r="I472" s="21" t="str">
        <x:v>INTERIOR</x:v>
      </x:c>
    </x:row>
    <x:row r="473">
      <x:c r="A473" s="21" t="str">
        <x:v>NYC-V3-R04</x:v>
      </x:c>
      <x:c r="B473" s="21" t="str">
        <x:v>V3</x:v>
      </x:c>
      <x:c r="C473" s="21" t="str">
        <x:v>renter_occupied_units</x:v>
      </x:c>
      <x:c r="D473" s="24" t="n">
        <x:v>9864</x:v>
      </x:c>
      <x:c r="E473" s="43" t="n">
        <x:v>429.7438102249084</x:v>
      </x:c>
      <x:c r="F473" s="43" t="n">
        <x:v>22.95321018082292</x:v>
      </x:c>
      <x:c r="G473" s="43" t="n">
        <x:v>9864</x:v>
      </x:c>
      <x:c r="H473" s="43" t="n">
        <x:v>184679.74242662205</x:v>
      </x:c>
      <x:c r="I473" s="21" t="str">
        <x:v>INTERIOR</x:v>
      </x:c>
    </x:row>
    <x:row r="474">
      <x:c r="A474" s="21" t="str">
        <x:v>NYC-V3-R04</x:v>
      </x:c>
      <x:c r="B474" s="21" t="str">
        <x:v>V3</x:v>
      </x:c>
      <x:c r="C474" s="21" t="str">
        <x:v>one_unit_structures</x:v>
      </x:c>
      <x:c r="D474" s="24" t="n">
        <x:v>1836</x:v>
      </x:c>
      <x:c r="E474" s="43" t="n">
        <x:v>275.77954996292146</x:v>
      </x:c>
      <x:c r="F474" s="43" t="n">
        <x:v>6.657491464638513</x:v>
      </x:c>
      <x:c r="G474" s="43" t="n">
        <x:v>1836</x:v>
      </x:c>
      <x:c r="H474" s="43" t="n">
        <x:v>76054.3601777515</x:v>
      </x:c>
      <x:c r="I474" s="21" t="str">
        <x:v>INTERIOR</x:v>
      </x:c>
    </x:row>
    <x:row r="475">
      <x:c r="A475" s="21" t="str">
        <x:v>NYC-V3-R04</x:v>
      </x:c>
      <x:c r="B475" s="21" t="str">
        <x:v>V3</x:v>
      </x:c>
      <x:c r="C475" s="21" t="str">
        <x:v>two_to_four_unit_structures</x:v>
      </x:c>
      <x:c r="D475" s="24" t="n">
        <x:v>974</x:v>
      </x:c>
      <x:c r="E475" s="43" t="n">
        <x:v>246.60704191189794</x:v>
      </x:c>
      <x:c r="F475" s="43" t="n">
        <x:v>3.9496033545869635</x:v>
      </x:c>
      <x:c r="G475" s="43" t="n">
        <x:v>974</x:v>
      </x:c>
      <x:c r="H475" s="43" t="n">
        <x:v>60815.03312053659</x:v>
      </x:c>
      <x:c r="I475" s="21" t="str">
        <x:v>INTERIOR</x:v>
      </x:c>
    </x:row>
    <x:row r="476">
      <x:c r="A476" s="21" t="str">
        <x:v>NYC-V3-R04</x:v>
      </x:c>
      <x:c r="B476" s="21" t="str">
        <x:v>V3</x:v>
      </x:c>
      <x:c r="C476" s="21" t="str">
        <x:v>five_to_nineteen_unit_structures</x:v>
      </x:c>
      <x:c r="D476" s="24" t="n">
        <x:v>818</x:v>
      </x:c>
      <x:c r="E476" s="43" t="n">
        <x:v>178.99509981324354</x:v>
      </x:c>
      <x:c r="F476" s="43" t="n">
        <x:v>4.569957506398047</x:v>
      </x:c>
      <x:c r="G476" s="43" t="n">
        <x:v>818</x:v>
      </x:c>
      <x:c r="H476" s="43" t="n">
        <x:v>32039.245757153018</x:v>
      </x:c>
      <x:c r="I476" s="21" t="str">
        <x:v>INTERIOR</x:v>
      </x:c>
    </x:row>
    <x:row r="477">
      <x:c r="A477" s="21" t="str">
        <x:v>NYC-V3-R04</x:v>
      </x:c>
      <x:c r="B477" s="21" t="str">
        <x:v>V3</x:v>
      </x:c>
      <x:c r="C477" s="21" t="str">
        <x:v>twenty_to_forty_nine_unit_structures</x:v>
      </x:c>
      <x:c r="D477" s="24" t="n">
        <x:v>3048</x:v>
      </x:c>
      <x:c r="E477" s="43" t="n">
        <x:v>309.55025697172977</x:v>
      </x:c>
      <x:c r="F477" s="43" t="n">
        <x:v>9.846543271577268</x:v>
      </x:c>
      <x:c r="G477" s="43" t="n">
        <x:v>3048</x:v>
      </x:c>
      <x:c r="H477" s="43" t="n">
        <x:v>95821.36159126394</x:v>
      </x:c>
      <x:c r="I477" s="21" t="str">
        <x:v>INTERIOR</x:v>
      </x:c>
    </x:row>
    <x:row r="478">
      <x:c r="A478" s="21" t="str">
        <x:v>NYC-V3-R04</x:v>
      </x:c>
      <x:c r="B478" s="21" t="str">
        <x:v>V3</x:v>
      </x:c>
      <x:c r="C478" s="21" t="str">
        <x:v>fifty_plus_unit_structures</x:v>
      </x:c>
      <x:c r="D478" s="24" t="n">
        <x:v>10419</x:v>
      </x:c>
      <x:c r="E478" s="43" t="n">
        <x:v>494.1692151481855</x:v>
      </x:c>
      <x:c r="F478" s="43" t="n">
        <x:v>21.083871031658003</x:v>
      </x:c>
      <x:c r="G478" s="43" t="n">
        <x:v>10419</x:v>
      </x:c>
      <x:c r="H478" s="43" t="n">
        <x:v>244203.21320017366</x:v>
      </x:c>
      <x:c r="I478" s="21" t="str">
        <x:v>INTERIOR</x:v>
      </x:c>
    </x:row>
    <x:row r="479">
      <x:c r="A479" s="21" t="str">
        <x:v>NYC-V3-R04</x:v>
      </x:c>
      <x:c r="B479" s="21" t="str">
        <x:v>V3</x:v>
      </x:c>
      <x:c r="C479" s="21" t="str">
        <x:v>mobile_or_other_units</x:v>
      </x:c>
      <x:c r="D479" s="24" t="n">
        <x:v>0</x:v>
      </x:c>
      <x:c r="E479" s="43" t="n">
        <x:v>56.987436572683116</x:v>
      </x:c>
      <x:c r="F479" s="43" t="n">
        <x:v>0</x:v>
      </x:c>
      <x:c r="G479" s="43" t="n">
        <x:v>0</x:v>
      </x:c>
      <x:c r="H479" s="43" t="n">
        <x:v>3247.5679271255813</x:v>
      </x:c>
      <x:c r="I479" s="21" t="str">
        <x:v>IMPOSSIBLE_EXACT_MOMENTS</x:v>
      </x:c>
    </x:row>
    <x:row r="480">
      <x:c r="A480" s="21" t="str">
        <x:v>NYC-V3-R04</x:v>
      </x:c>
      <x:c r="B480" s="21" t="str">
        <x:v>V3</x:v>
      </x:c>
      <x:c r="C480" s="21" t="str">
        <x:v>electric_heat_households</x:v>
      </x:c>
      <x:c r="D480" s="24" t="n">
        <x:v>1225</x:v>
      </x:c>
      <x:c r="E480" s="43" t="n">
        <x:v>176.13872373785387</x:v>
      </x:c>
      <x:c r="F480" s="43" t="n">
        <x:v>6.95474552105396</x:v>
      </x:c>
      <x:c r="G480" s="43" t="n">
        <x:v>1225</x:v>
      </x:c>
      <x:c r="H480" s="43" t="n">
        <x:v>31024.850000000006</x:v>
      </x:c>
      <x:c r="I480" s="21" t="str">
        <x:v>INTERIOR</x:v>
      </x:c>
    </x:row>
    <x:row r="481">
      <x:c r="A481" s="22" t="str">
        <x:v>NYC-V3-R04</x:v>
      </x:c>
      <x:c r="B481" s="22" t="str">
        <x:v>V3</x:v>
      </x:c>
      <x:c r="C481" s="22" t="str">
        <x:v>group_quarters_population</x:v>
      </x:c>
      <x:c r="D481" s="25" t="n">
        <x:v>81</x:v>
      </x:c>
      <x:c r="E481" s="44" t="n">
        <x:v>1.8439088914585775</x:v>
      </x:c>
      <x:c r="F481" s="44" t="n">
        <x:v>43.92841770827788</x:v>
      </x:c>
      <x:c r="G481" s="44" t="n">
        <x:v>81</x:v>
      </x:c>
      <x:c r="H481" s="44" t="n">
        <x:v>3.4000000000000004</x:v>
      </x:c>
      <x:c r="I481" s="22" t="str">
        <x:v>INTERIOR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38" hidden="0" customWidth="1"/>
    <x:col min="3" max="3" width="12" hidden="0" customWidth="1"/>
    <x:col min="4" max="4" width="18" hidden="0" customWidth="1"/>
    <x:col min="5" max="5" width="24" hidden="0" customWidth="1"/>
    <x:col min="6" max="6" width="74" hidden="0" customWidth="1"/>
    <x:col min="7" max="7" width="38" hidden="0" customWidth="1"/>
    <x:col min="8" max="8" width="72" hidden="0" customWidth="1"/>
  </x:cols>
  <x:sheetData>
    <x:row r="1">
      <x:c r="A1" s="1" t="str">
        <x:v>Exact Conflicts</x:v>
      </x:c>
      <x:c r="B1" s="29"/>
      <x:c r="C1" s="29"/>
      <x:c r="D1" s="29"/>
      <x:c r="E1" s="29"/>
      <x:c r="F1" s="29"/>
      <x:c r="G1" s="29"/>
      <x:c r="H1" s="29"/>
    </x:row>
    <x:row r="2">
      <x:c r="A2" s="2" t="str">
        <x:v>Seven zero-point, positive-SE margins prove exact state-moment cloning impossible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"/>
    </x:row>
    <x:row r="5">
      <x:c r="A5" s="29"/>
      <x:c r="B5" s="29"/>
      <x:c r="C5" s="29"/>
      <x:c r="D5" s="29"/>
      <x:c r="E5" s="29"/>
      <x:c r="F5" s="29"/>
      <x:c r="G5" s="29"/>
      <x:c r="H5" s="29"/>
    </x:row>
    <x:row r="6" ht="34" customHeight="1">
      <x:c r="A6" s="17" t="str">
        <x:v>Catchment</x:v>
      </x:c>
      <x:c r="B6" s="17" t="str">
        <x:v>Metric</x:v>
      </x:c>
      <x:c r="C6" s="17" t="str">
        <x:v>Point</x:v>
      </x:c>
      <x:c r="D6" s="17" t="str">
        <x:v>Sampling SE</x:v>
      </x:c>
      <x:c r="E6" s="17" t="str">
        <x:v>Required state variance</x:v>
      </x:c>
      <x:c r="F6" s="17" t="str">
        <x:v>Proof</x:v>
      </x:c>
      <x:c r="G6" s="17" t="str">
        <x:v>Observed contradiction</x:v>
      </x:c>
      <x:c r="H6" s="17" t="str">
        <x:v>Required treatment</x:v>
      </x:c>
    </x:row>
    <x:row r="7" ht="62" customHeight="1">
      <x:c r="A7" s="54" t="str">
        <x:v>NYC-V1-R02</x:v>
      </x:c>
      <x:c r="B7" s="54" t="str">
        <x:v>mobile_or_other_units</x:v>
      </x:c>
      <x:c r="C7" s="55" t="n">
        <x:v>0</x:v>
      </x:c>
      <x:c r="D7" s="56" t="n">
        <x:v>46.20060790273556</x:v>
      </x:c>
      <x:c r="E7" s="56" t="n">
        <x:v>2134.4961705823116</x:v>
      </x:c>
      <x:c r="F7" s="57" t="str">
        <x:v>For X &gt;= 0, E[X] = 0 implies X = 0 almost surely, so Var[X] = 0.</x:v>
      </x:c>
      <x:c r="G7" s="57" t="str">
        <x:v>Var target 2134.496 is positive.</x:v>
      </x:c>
      <x:c r="H7" s="57" t="str">
        <x:v>Use the official estimator covariance in a measurement likelihood; do not clone it as state variance.</x:v>
      </x:c>
    </x:row>
    <x:row r="8" ht="62" customHeight="1">
      <x:c r="A8" s="58" t="str">
        <x:v>NYC-V1-R03</x:v>
      </x:c>
      <x:c r="B8" s="58" t="str">
        <x:v>mobile_or_other_units</x:v>
      </x:c>
      <x:c r="C8" s="59" t="n">
        <x:v>0</x:v>
      </x:c>
      <x:c r="D8" s="60" t="n">
        <x:v>46.69389512382133</x:v>
      </x:c>
      <x:c r="E8" s="60" t="n">
        <x:v>2180.319841834425</x:v>
      </x:c>
      <x:c r="F8" s="61" t="str">
        <x:v>For X &gt;= 0, E[X] = 0 implies X = 0 almost surely, so Var[X] = 0.</x:v>
      </x:c>
      <x:c r="G8" s="61" t="str">
        <x:v>Var target 2180.320 is positive.</x:v>
      </x:c>
      <x:c r="H8" s="61" t="str">
        <x:v>Use the official estimator covariance in a measurement likelihood; do not clone it as state variance.</x:v>
      </x:c>
    </x:row>
    <x:row r="9" ht="62" customHeight="1">
      <x:c r="A9" s="58" t="str">
        <x:v>NYC-V1-R04</x:v>
      </x:c>
      <x:c r="B9" s="58" t="str">
        <x:v>mobile_or_other_units</x:v>
      </x:c>
      <x:c r="C9" s="59" t="n">
        <x:v>0</x:v>
      </x:c>
      <x:c r="D9" s="60" t="n">
        <x:v>54.38606503670527</x:v>
      </x:c>
      <x:c r="E9" s="60" t="n">
        <x:v>2957.8440701767354</x:v>
      </x:c>
      <x:c r="F9" s="61" t="str">
        <x:v>For X &gt;= 0, E[X] = 0 implies X = 0 almost surely, so Var[X] = 0.</x:v>
      </x:c>
      <x:c r="G9" s="61" t="str">
        <x:v>Var target 2957.844 is positive.</x:v>
      </x:c>
      <x:c r="H9" s="61" t="str">
        <x:v>Use the official estimator covariance in a measurement likelihood; do not clone it as state variance.</x:v>
      </x:c>
    </x:row>
    <x:row r="10" ht="62" customHeight="1">
      <x:c r="A10" s="58" t="str">
        <x:v>NYC-V2-R03</x:v>
      </x:c>
      <x:c r="B10" s="58" t="str">
        <x:v>mobile_or_other_units</x:v>
      </x:c>
      <x:c r="C10" s="59" t="n">
        <x:v>0</x:v>
      </x:c>
      <x:c r="D10" s="60" t="n">
        <x:v>56.045862962266796</x:v>
      </x:c>
      <x:c r="E10" s="60" t="n">
        <x:v>3141.138755185189</x:v>
      </x:c>
      <x:c r="F10" s="61" t="str">
        <x:v>For X &gt;= 0, E[X] = 0 implies X = 0 almost surely, so Var[X] = 0.</x:v>
      </x:c>
      <x:c r="G10" s="61" t="str">
        <x:v>Var target 3141.139 is positive.</x:v>
      </x:c>
      <x:c r="H10" s="61" t="str">
        <x:v>Use the official estimator covariance in a measurement likelihood; do not clone it as state variance.</x:v>
      </x:c>
    </x:row>
    <x:row r="11" ht="62" customHeight="1">
      <x:c r="A11" s="58" t="str">
        <x:v>NYC-V2-R04</x:v>
      </x:c>
      <x:c r="B11" s="58" t="str">
        <x:v>mobile_or_other_units</x:v>
      </x:c>
      <x:c r="C11" s="59" t="n">
        <x:v>0</x:v>
      </x:c>
      <x:c r="D11" s="60" t="n">
        <x:v>55.635555932632464</x:v>
      </x:c>
      <x:c r="E11" s="60" t="n">
        <x:v>3095.315083933075</x:v>
      </x:c>
      <x:c r="F11" s="61" t="str">
        <x:v>For X &gt;= 0, E[X] = 0 implies X = 0 almost surely, so Var[X] = 0.</x:v>
      </x:c>
      <x:c r="G11" s="61" t="str">
        <x:v>Var target 3095.315 is positive.</x:v>
      </x:c>
      <x:c r="H11" s="61" t="str">
        <x:v>Use the official estimator covariance in a measurement likelihood; do not clone it as state variance.</x:v>
      </x:c>
    </x:row>
    <x:row r="12" ht="62" customHeight="1">
      <x:c r="A12" s="58" t="str">
        <x:v>NYC-V3-R02</x:v>
      </x:c>
      <x:c r="B12" s="58" t="str">
        <x:v>mobile_or_other_units</x:v>
      </x:c>
      <x:c r="C12" s="59" t="n">
        <x:v>0</x:v>
      </x:c>
      <x:c r="D12" s="60" t="n">
        <x:v>52.53348984916304</x:v>
      </x:c>
      <x:c r="E12" s="60" t="n">
        <x:v>2759.7675557321163</x:v>
      </x:c>
      <x:c r="F12" s="61" t="str">
        <x:v>For X &gt;= 0, E[X] = 0 implies X = 0 almost surely, so Var[X] = 0.</x:v>
      </x:c>
      <x:c r="G12" s="61" t="str">
        <x:v>Var target 2759.768 is positive.</x:v>
      </x:c>
      <x:c r="H12" s="61" t="str">
        <x:v>Use the official estimator covariance in a measurement likelihood; do not clone it as state variance.</x:v>
      </x:c>
    </x:row>
    <x:row r="13" ht="62" customHeight="1">
      <x:c r="A13" s="62" t="str">
        <x:v>NYC-V3-R04</x:v>
      </x:c>
      <x:c r="B13" s="62" t="str">
        <x:v>mobile_or_other_units</x:v>
      </x:c>
      <x:c r="C13" s="63" t="n">
        <x:v>0</x:v>
      </x:c>
      <x:c r="D13" s="64" t="n">
        <x:v>56.987436572683116</x:v>
      </x:c>
      <x:c r="E13" s="64" t="n">
        <x:v>3247.5679271255813</x:v>
      </x:c>
      <x:c r="F13" s="65" t="str">
        <x:v>For X &gt;= 0, E[X] = 0 implies X = 0 almost surely, so Var[X] = 0.</x:v>
      </x:c>
      <x:c r="G13" s="65" t="str">
        <x:v>Var target 3247.568 is positive.</x:v>
      </x:c>
      <x:c r="H13" s="65" t="str">
        <x:v>Use the official estimator covariance in a measurement likelihood; do not clone it as state variance.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8" hidden="0" customWidth="1"/>
    <x:col min="3" max="3" width="72" hidden="0" customWidth="1"/>
    <x:col min="4" max="4" width="28" hidden="0" customWidth="1"/>
  </x:cols>
  <x:sheetData>
    <x:row r="1">
      <x:c r="A1" s="1" t="str">
        <x:v>Successor</x:v>
      </x:c>
      <x:c r="B1" s="29"/>
      <x:c r="C1" s="29"/>
      <x:c r="D1" s="29"/>
    </x:row>
    <x:row r="2">
      <x:c r="A2" s="2" t="str">
        <x:v>Preregistered direction for the next lawful stochastic atomic-state engine</x:v>
      </x:c>
      <x:c r="B2" s="29"/>
      <x:c r="C2" s="29"/>
      <x:c r="D2" s="29"/>
    </x:row>
    <x:row r="3">
      <x:c r="A3" s="29"/>
      <x:c r="B3" s="29"/>
      <x:c r="C3" s="29"/>
      <x:c r="D3" s="29"/>
    </x:row>
    <x:row r="4">
      <x:c r="A4" s="30"/>
      <x:c r="B4" s="30"/>
      <x:c r="C4" s="30"/>
      <x:c r="D4" s="30"/>
      <x:c r="E4" s="3"/>
      <x:c r="F4" s="3"/>
      <x:c r="G4" s="3"/>
      <x:c r="H4" s="3"/>
      <x:c r="I4" s="3"/>
    </x:row>
    <x:row r="5">
      <x:c r="A5" s="6" t="str">
        <x:v>Alternatives</x:v>
      </x:c>
      <x:c r="B5" s="7"/>
      <x:c r="C5" s="7"/>
      <x:c r="D5" s="8"/>
    </x:row>
    <x:row r="6" ht="34" customHeight="1">
      <x:c r="A6" s="17" t="str">
        <x:v>Alternative</x:v>
      </x:c>
      <x:c r="B6" s="17" t="str">
        <x:v>Description</x:v>
      </x:c>
      <x:c r="C6" s="17" t="str">
        <x:v>Decision</x:v>
      </x:c>
      <x:c r="D6" s="17" t="str">
        <x:v>Reason</x:v>
      </x:c>
    </x:row>
    <x:row r="7">
      <x:c r="A7" s="54" t="str">
        <x:v>A Exact moment cloning</x:v>
      </x:c>
      <x:c r="B7" s="57" t="str">
        <x:v>Force E[A x] = ŷ and Cov[A x] = V.</x:v>
      </x:c>
      <x:c r="C7" s="57" t="str">
        <x:v>Rejected</x:v>
      </x:c>
      <x:c r="D7" s="57" t="str">
        <x:v>Seven zero-point positive-SE margins lie outside the nonnegative moment cone; estimator error is not state variation.</x:v>
      </x:c>
    </x:row>
    <x:row r="8">
      <x:c r="A8" s="58" t="str">
        <x:v>B Truncated or repaired Gaussian</x:v>
      </x:c>
      <x:c r="B8" s="61" t="str">
        <x:v>Draw from the Pass 51 law and project back to support.</x:v>
      </x:c>
      <x:c r="C8" s="61" t="str">
        <x:v>Rejected</x:v>
      </x:c>
      <x:c r="D8" s="61" t="str">
        <x:v>Pass 51 demonstrates boundary bias, candidate rejection and tail instability.</x:v>
      </x:c>
    </x:row>
    <x:row r="9">
      <x:c r="A9" s="66" t="str">
        <x:v>C Atomic measurement-error posterior</x:v>
      </x:c>
      <x:c r="B9" s="67" t="str">
        <x:v>Place a disclosed prior on lawful x and evaluate official estimates through p(ŷ | A x, V).</x:v>
      </x:c>
      <x:c r="C9" s="67" t="str">
        <x:v>Advance to preregistration</x:v>
      </x:c>
      <x:c r="D9" s="67" t="str">
        <x:v>Separates estimator uncertainty from state support and can represent boundary uncertainty without impossible moments.</x:v>
      </x:c>
    </x:row>
    <x:row r="10">
      <x:c r="A10" s="29"/>
      <x:c r="B10" s="29"/>
      <x:c r="C10" s="29"/>
      <x:c r="D10" s="29"/>
    </x:row>
    <x:row r="11">
      <x:c r="A11" s="29"/>
      <x:c r="B11" s="29"/>
      <x:c r="C11" s="29"/>
      <x:c r="D11" s="29"/>
    </x:row>
    <x:row r="12">
      <x:c r="A12" s="6" t="str">
        <x:v>v3C0 preregistration elements</x:v>
      </x:c>
      <x:c r="B12" s="7"/>
      <x:c r="C12" s="8"/>
      <x:c r="D12" s="29"/>
    </x:row>
    <x:row r="13" ht="34" customHeight="1">
      <x:c r="A13" s="17" t="str">
        <x:v>Element</x:v>
      </x:c>
      <x:c r="B13" s="17" t="str">
        <x:v>Registered form</x:v>
      </x:c>
      <x:c r="C13" s="17" t="str">
        <x:v>Open choice</x:v>
      </x:c>
      <x:c r="D13" s="29"/>
    </x:row>
    <x:row r="14">
      <x:c r="A14" s="20" t="str">
        <x:v>Observation model</x:v>
      </x:c>
      <x:c r="B14" s="33" t="str">
        <x:v>ŷ | x ~ estimator model centered on A x with official VRE covariance blocks and disclosed RSS approximations</x:v>
      </x:c>
      <x:c r="C14" s="33" t="str">
        <x:v>Gaussian approximation versus table-appropriate robust likelihood at boundaries</x:v>
      </x:c>
      <x:c r="D14" s="29"/>
    </x:row>
    <x:row r="15">
      <x:c r="A15" s="21" t="str">
        <x:v>State support</x:v>
      </x:c>
      <x:c r="B15" s="34" t="str">
        <x:v>x is a nonnegative integer vector on the Pass 53 factorized basis with all bridge constraints</x:v>
      </x:c>
      <x:c r="C15" s="34" t="str">
        <x:v>Efficient constrained sampler</x:v>
      </x:c>
      <x:c r="D15" s="29"/>
    </x:row>
    <x:row r="16">
      <x:c r="A16" s="21" t="str">
        <x:v>Reference prior</x:v>
      </x:c>
      <x:c r="B16" s="34" t="str">
        <x:v>maximum-entropy or weak loglinear law on atomic cells, conditioned on lawful scale anchors</x:v>
      </x:c>
      <x:c r="C16" s="34" t="str">
        <x:v>Base measure and concentration</x:v>
      </x:c>
      <x:c r="D16" s="29"/>
    </x:row>
    <x:row r="17">
      <x:c r="A17" s="21" t="str">
        <x:v>Dependence cases</x:v>
      </x:c>
      <x:c r="B17" s="34" t="str">
        <x:v>at least three frozen association structures spanning weak, PUMS-informed and adverse rare-cell dependence</x:v>
      </x:c>
      <x:c r="C17" s="34" t="str">
        <x:v>PUMS use remains after target-method registration</x:v>
      </x:c>
      <x:c r="D17" s="29"/>
    </x:row>
    <x:row r="18">
      <x:c r="A18" s="21" t="str">
        <x:v>Calibration target</x:v>
      </x:c>
      <x:c r="B18" s="34" t="str">
        <x:v>posterior predictive reconstruction and interval coverage of official estimators</x:v>
      </x:c>
      <x:c r="C18" s="34" t="str">
        <x:v>Coverage thresholds must be preregistered</x:v>
      </x:c>
      <x:c r="D18" s="29"/>
    </x:row>
    <x:row r="19">
      <x:c r="A19" s="22" t="str">
        <x:v>Admission</x:v>
      </x:c>
      <x:c r="B19" s="35" t="str">
        <x:v>support-valid nested ensemble with stable operational tails and no hidden boundary repair</x:v>
      </x:c>
      <x:c r="C19" s="35" t="str">
        <x:v>No admission in Pass 53</x:v>
      </x:c>
      <x:c r="D19" s="29"/>
    </x:row>
    <x:row r="20">
      <x:c r="A20" s="29"/>
      <x:c r="B20" s="29"/>
      <x:c r="C20" s="29"/>
      <x:c r="D20" s="29"/>
    </x:row>
    <x:row r="21">
      <x:c r="A21" s="29"/>
      <x:c r="B21" s="29"/>
      <x:c r="C21" s="29"/>
      <x:c r="D21" s="29"/>
    </x:row>
    <x:row r="22">
      <x:c r="A22" s="6" t="str">
        <x:v>Posterior form</x:v>
      </x:c>
      <x:c r="B22" s="7"/>
      <x:c r="C22" s="7"/>
      <x:c r="D22" s="8"/>
    </x:row>
    <x:row r="23">
      <x:c r="A23" s="70" t="str">
        <x:v>p(x | ŷ) ∝ p(ŷ | A x, V) p₀(x),   x ∈ ℕ₀¹⁵⁵⁷ on the registered atomic support</x:v>
      </x:c>
      <x:c r="B23" s="70"/>
      <x:c r="C23" s="70"/>
      <x:c r="D23" s="70"/>
    </x:row>
    <x:row r="24">
      <x:c r="A24" s="70"/>
      <x:c r="B24" s="70"/>
      <x:c r="C24" s="70"/>
      <x:c r="D24" s="70"/>
    </x:row>
    <x:row r="25">
      <x:c r="A25" s="70"/>
      <x:c r="B25" s="70"/>
      <x:c r="C25" s="70"/>
      <x:c r="D25" s="70"/>
    </x:row>
  </x:sheetData>
  <x:mergeCells>
    <x:mergeCell ref="A23:D2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8" hidden="0" customWidth="1"/>
    <x:col min="2" max="2" width="76" hidden="0" customWidth="1"/>
    <x:col min="3" max="3" width="18" hidden="0" customWidth="1"/>
    <x:col min="4" max="4" width="82" hidden="0" customWidth="1"/>
    <x:col min="5" max="5" width="112" hidden="0" customWidth="1"/>
    <x:col min="6" max="6" width="72" hidden="0" customWidth="1"/>
  </x:cols>
  <x:sheetData>
    <x:row r="1">
      <x:c r="A1" s="1" t="str">
        <x:v>Sources and Hashes</x:v>
      </x:c>
      <x:c r="B1" s="29"/>
      <x:c r="C1" s="29"/>
      <x:c r="D1" s="29"/>
      <x:c r="E1" s="29"/>
      <x:c r="F1" s="29"/>
    </x:row>
    <x:row r="2">
      <x:c r="A2" s="2" t="str">
        <x:v>Source custody, witness commitments and dataset-level integrity commitments</x:v>
      </x:c>
      <x:c r="B2" s="29"/>
      <x:c r="C2" s="29"/>
      <x:c r="D2" s="29"/>
      <x:c r="E2" s="29"/>
      <x:c r="F2" s="29"/>
    </x:row>
    <x:row r="3">
      <x:c r="A3" s="29"/>
      <x:c r="B3" s="29"/>
      <x:c r="C3" s="29"/>
      <x:c r="D3" s="29"/>
      <x:c r="E3" s="29"/>
      <x:c r="F3" s="29"/>
    </x:row>
    <x:row r="4">
      <x:c r="A4" s="30"/>
      <x:c r="B4" s="30"/>
      <x:c r="C4" s="30"/>
      <x:c r="D4" s="30"/>
      <x:c r="E4" s="30"/>
      <x:c r="F4" s="30"/>
      <x:c r="G4" s="3"/>
      <x:c r="H4" s="3"/>
      <x:c r="I4" s="3"/>
    </x:row>
    <x:row r="5">
      <x:c r="A5" s="6" t="str">
        <x:v>Source manifest</x:v>
      </x:c>
      <x:c r="B5" s="7"/>
      <x:c r="C5" s="7"/>
      <x:c r="D5" s="7"/>
      <x:c r="E5" s="7"/>
      <x:c r="F5" s="8"/>
    </x:row>
    <x:row r="6" ht="34" customHeight="1">
      <x:c r="A6" s="17" t="str">
        <x:v>Source ID</x:v>
      </x:c>
      <x:c r="B6" s="17" t="str">
        <x:v>Kind</x:v>
      </x:c>
      <x:c r="C6" s="17" t="str">
        <x:v>Release</x:v>
      </x:c>
      <x:c r="D6" s="17" t="str">
        <x:v>Use</x:v>
      </x:c>
      <x:c r="E6" s="17" t="str">
        <x:v>Path or URL</x:v>
      </x:c>
      <x:c r="F6" s="17" t="str">
        <x:v>SHA-256</x:v>
      </x:c>
    </x:row>
    <x:row r="7">
      <x:c r="A7" s="20" t="str">
        <x:v>P52-ATOMIC-BASIS</x:v>
      </x:c>
      <x:c r="B7" s="33" t="str">
        <x:v>parent workbook</x:v>
      </x:c>
      <x:c r="C7" s="33" t="str">
        <x:v>Pass 52</x:v>
      </x:c>
      <x:c r="D7" s="33" t="str">
        <x:v>cell basis, aggregation semantics, point-feasibility benchmark and prior identification bounds</x:v>
      </x:c>
      <x:c r="E7" s="33" t="str">
        <x:v>models/proving/campaigns/new-york/nyc-l0-atomic-basis-registration.xlsx</x:v>
      </x:c>
      <x:c r="F7" s="33" t="str">
        <x:v>8e488633ef63b8b0dc09f4f694aa01474bf7d32beea55436dbcab12b436c22ba</x:v>
      </x:c>
    </x:row>
    <x:row r="8">
      <x:c r="A8" s="21" t="str">
        <x:v>P51-MOMENT-ENGINE</x:v>
      </x:c>
      <x:c r="B8" s="34" t="str">
        <x:v>parent workbook</x:v>
      </x:c>
      <x:c r="C8" s="34" t="str">
        <x:v>Pass 51</x:v>
      </x:c>
      <x:c r="D8" s="34" t="str">
        <x:v>published points, standard errors and official covariance authority</x:v>
      </x:c>
      <x:c r="E8" s="34" t="str">
        <x:v>models/proving/campaigns/new-york/nyc-l0-moment-reconciliation-engine.xlsx</x:v>
      </x:c>
      <x:c r="F8" s="34" t="str">
        <x:v>46a203402135428721bf6352fa5f794fd14114165f24e7bd489dc7ef4dba7320</x:v>
      </x:c>
    </x:row>
    <x:row r="9">
      <x:c r="A9" s="22" t="str">
        <x:v>ACS-B01001-VRE-NY</x:v>
      </x:c>
      <x:c r="B9" s="35" t="str">
        <x:v>official variance-replicate archive inherited from Pass 44</x:v>
      </x:c>
      <x:c r="C9" s="35" t="str">
        <x:v>2020–2024 ACS 5-year</x:v>
      </x:c>
      <x:c r="D9" s="35" t="str">
        <x:v>under-five estimate, standard error and covariance with B01001 margins</x:v>
      </x:c>
      <x:c r="E9" s="35" t="str">
        <x:v>https://www2.census.gov/programs-surveys/acs/replicate_estimates/2024/data/5-year/140/B01001_36.csv.zip</x:v>
      </x:c>
      <x:c r="F9" s="35" t="str">
        <x:v>aa6dc4d33db9ae8131e98c9ddbfd6eb78bd8447cab6ff4c7b76ca95db1623d3b</x:v>
      </x:c>
    </x:row>
    <x:row r="10">
      <x:c r="A10" s="29"/>
      <x:c r="B10" s="29"/>
      <x:c r="C10" s="29"/>
      <x:c r="D10" s="29"/>
      <x:c r="E10" s="29"/>
      <x:c r="F10" s="29"/>
    </x:row>
    <x:row r="11">
      <x:c r="A11" s="29"/>
      <x:c r="B11" s="29"/>
      <x:c r="C11" s="29"/>
      <x:c r="D11" s="29"/>
      <x:c r="E11" s="29"/>
      <x:c r="F11" s="29"/>
    </x:row>
    <x:row r="12">
      <x:c r="A12" s="6" t="str">
        <x:v>Witness commitments</x:v>
      </x:c>
      <x:c r="B12" s="7"/>
      <x:c r="C12" s="7"/>
      <x:c r="D12" s="8"/>
      <x:c r="E12" s="29"/>
      <x:c r="F12" s="29"/>
    </x:row>
    <x:row r="13" ht="34" customHeight="1">
      <x:c r="A13" s="17" t="str">
        <x:v>Catchment</x:v>
      </x:c>
      <x:c r="B13" s="17" t="str">
        <x:v>Cells</x:v>
      </x:c>
      <x:c r="C13" s="17" t="str">
        <x:v>Nonzero cells</x:v>
      </x:c>
      <x:c r="D13" s="17" t="str">
        <x:v>SHA-256</x:v>
      </x:c>
      <x:c r="E13" s="29"/>
      <x:c r="F13" s="29"/>
    </x:row>
    <x:row r="14">
      <x:c r="A14" s="20" t="str">
        <x:v>NYC-V1-R01</x:v>
      </x:c>
      <x:c r="B14" s="23" t="n">
        <x:v>1557</x:v>
      </x:c>
      <x:c r="C14" s="23" t="n">
        <x:v>37</x:v>
      </x:c>
      <x:c r="D14" s="20" t="str">
        <x:v>c9f72078b06fc5142f3f9408fd1dd315827ca707216c00f4afbf59d59046a933</x:v>
      </x:c>
      <x:c r="E14" s="29"/>
      <x:c r="F14" s="29"/>
    </x:row>
    <x:row r="15">
      <x:c r="A15" s="21" t="str">
        <x:v>NYC-V1-R02</x:v>
      </x:c>
      <x:c r="B15" s="24" t="n">
        <x:v>1557</x:v>
      </x:c>
      <x:c r="C15" s="24" t="n">
        <x:v>412</x:v>
      </x:c>
      <x:c r="D15" s="21" t="str">
        <x:v>49cb4cc3216f090c039cfcf83106a59526333ba9830cd6b818930c96039b6f52</x:v>
      </x:c>
      <x:c r="E15" s="29"/>
      <x:c r="F15" s="29"/>
    </x:row>
    <x:row r="16">
      <x:c r="A16" s="21" t="str">
        <x:v>NYC-V1-R03</x:v>
      </x:c>
      <x:c r="B16" s="24" t="n">
        <x:v>1557</x:v>
      </x:c>
      <x:c r="C16" s="24" t="n">
        <x:v>33</x:v>
      </x:c>
      <x:c r="D16" s="21" t="str">
        <x:v>ee564217f17726df62f40e1f3b25477a1d1b811b318d513047fa6179127cb961</x:v>
      </x:c>
      <x:c r="E16" s="29"/>
      <x:c r="F16" s="29"/>
    </x:row>
    <x:row r="17">
      <x:c r="A17" s="21" t="str">
        <x:v>NYC-V1-R04</x:v>
      </x:c>
      <x:c r="B17" s="24" t="n">
        <x:v>1557</x:v>
      </x:c>
      <x:c r="C17" s="24" t="n">
        <x:v>384</x:v>
      </x:c>
      <x:c r="D17" s="21" t="str">
        <x:v>98cd0d365d9795b78a473e020dc6903d7209582107cc2758d6069033950f2cda</x:v>
      </x:c>
      <x:c r="E17" s="29"/>
      <x:c r="F17" s="29"/>
    </x:row>
    <x:row r="18">
      <x:c r="A18" s="21" t="str">
        <x:v>NYC-V2-R01</x:v>
      </x:c>
      <x:c r="B18" s="24" t="n">
        <x:v>1557</x:v>
      </x:c>
      <x:c r="C18" s="24" t="n">
        <x:v>37</x:v>
      </x:c>
      <x:c r="D18" s="21" t="str">
        <x:v>73a813f2632ff340d49e051a5da442f1d7e156a180ade1c1d5c9ed1130738df0</x:v>
      </x:c>
      <x:c r="E18" s="29"/>
      <x:c r="F18" s="29"/>
    </x:row>
    <x:row r="19">
      <x:c r="A19" s="21" t="str">
        <x:v>NYC-V2-R02</x:v>
      </x:c>
      <x:c r="B19" s="24" t="n">
        <x:v>1557</x:v>
      </x:c>
      <x:c r="C19" s="24" t="n">
        <x:v>35</x:v>
      </x:c>
      <x:c r="D19" s="21" t="str">
        <x:v>8b345efd6271d4753607317110c17626073eb3d4c6ba74c1f4ae2d2c5464109a</x:v>
      </x:c>
      <x:c r="E19" s="29"/>
      <x:c r="F19" s="29"/>
    </x:row>
    <x:row r="20">
      <x:c r="A20" s="21" t="str">
        <x:v>NYC-V2-R03</x:v>
      </x:c>
      <x:c r="B20" s="24" t="n">
        <x:v>1557</x:v>
      </x:c>
      <x:c r="C20" s="24" t="n">
        <x:v>34</x:v>
      </x:c>
      <x:c r="D20" s="21" t="str">
        <x:v>1c373afd8e80055a7c1e37373c08d769fcfabdcdd898525f0f688649279e8e1c</x:v>
      </x:c>
      <x:c r="E20" s="29"/>
      <x:c r="F20" s="29"/>
    </x:row>
    <x:row r="21">
      <x:c r="A21" s="21" t="str">
        <x:v>NYC-V2-R04</x:v>
      </x:c>
      <x:c r="B21" s="24" t="n">
        <x:v>1557</x:v>
      </x:c>
      <x:c r="C21" s="24" t="n">
        <x:v>35</x:v>
      </x:c>
      <x:c r="D21" s="21" t="str">
        <x:v>0994e9946e4183b0528eb337b744cc5b41c65ffddf9387b0e64fbced952ca310</x:v>
      </x:c>
      <x:c r="E21" s="29"/>
      <x:c r="F21" s="29"/>
    </x:row>
    <x:row r="22">
      <x:c r="A22" s="21" t="str">
        <x:v>NYC-V3-R01</x:v>
      </x:c>
      <x:c r="B22" s="24" t="n">
        <x:v>1557</x:v>
      </x:c>
      <x:c r="C22" s="24" t="n">
        <x:v>35</x:v>
      </x:c>
      <x:c r="D22" s="21" t="str">
        <x:v>6b57699324dea50ff628dfcddf36e46cebfc1c3e2e74534fe92935d5b0e13161</x:v>
      </x:c>
      <x:c r="E22" s="29"/>
      <x:c r="F22" s="29"/>
    </x:row>
    <x:row r="23">
      <x:c r="A23" s="21" t="str">
        <x:v>NYC-V3-R02</x:v>
      </x:c>
      <x:c r="B23" s="24" t="n">
        <x:v>1557</x:v>
      </x:c>
      <x:c r="C23" s="24" t="n">
        <x:v>37</x:v>
      </x:c>
      <x:c r="D23" s="21" t="str">
        <x:v>b17cdade3c9988cb9f29b264f48acfbf131d24946add11ed8a6645d1d03e68a1</x:v>
      </x:c>
      <x:c r="E23" s="29"/>
      <x:c r="F23" s="29"/>
    </x:row>
    <x:row r="24">
      <x:c r="A24" s="21" t="str">
        <x:v>NYC-V3-R03</x:v>
      </x:c>
      <x:c r="B24" s="24" t="n">
        <x:v>1557</x:v>
      </x:c>
      <x:c r="C24" s="24" t="n">
        <x:v>1527</x:v>
      </x:c>
      <x:c r="D24" s="21" t="str">
        <x:v>4a68e8e598fce62bab16fb004b345211c5508b28a72e224ad547a243140a64be</x:v>
      </x:c>
      <x:c r="E24" s="29"/>
      <x:c r="F24" s="29"/>
    </x:row>
    <x:row r="25">
      <x:c r="A25" s="22" t="str">
        <x:v>NYC-V3-R04</x:v>
      </x:c>
      <x:c r="B25" s="25" t="n">
        <x:v>1557</x:v>
      </x:c>
      <x:c r="C25" s="25" t="n">
        <x:v>37</x:v>
      </x:c>
      <x:c r="D25" s="22" t="str">
        <x:v>868ec54ac5d9ac86c8d03a5a15d30fdecea800525dbc015a7a6943ed9213a156</x:v>
      </x:c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6" t="str">
        <x:v>Dataset commitments</x:v>
      </x:c>
      <x:c r="B28" s="7"/>
      <x:c r="C28" s="8"/>
      <x:c r="D28" s="29"/>
      <x:c r="E28" s="29"/>
      <x:c r="F28" s="29"/>
    </x:row>
    <x:row r="29" ht="34" customHeight="1">
      <x:c r="A29" s="17" t="str">
        <x:v>Dataset</x:v>
      </x:c>
      <x:c r="B29" s="17" t="str">
        <x:v>SHA-256</x:v>
      </x:c>
      <x:c r="C29" s="17" t="str">
        <x:v>Length</x:v>
      </x:c>
      <x:c r="D29" s="29"/>
      <x:c r="E29" s="29"/>
      <x:c r="F29" s="29"/>
    </x:row>
    <x:row r="30">
      <x:c r="A30" s="20" t="str">
        <x:v>specification</x:v>
      </x:c>
      <x:c r="B30" s="20" t="str">
        <x:v>a09c83953b94ec9ad1bdb65e82b224dc79d6fbfb49e55172aca890ad41c8d9a7</x:v>
      </x:c>
      <x:c r="C30" s="20" t="n">
        <x:f>LEN(B30)</x:f>
        <x:v>64</x:v>
      </x:c>
      <x:c r="D30" s="29"/>
      <x:c r="E30" s="29"/>
      <x:c r="F30" s="29"/>
    </x:row>
    <x:row r="31">
      <x:c r="A31" s="21" t="str">
        <x:v>metric_definitions</x:v>
      </x:c>
      <x:c r="B31" s="21" t="str">
        <x:v>67e266135511db64dc923ce8f7088e52d10d94375dbcfcd0279e599741ad8fb0</x:v>
      </x:c>
      <x:c r="C31" s="21" t="n">
        <x:f>LEN(B31)</x:f>
        <x:v>64</x:v>
      </x:c>
      <x:c r="D31" s="29"/>
      <x:c r="E31" s="29"/>
      <x:c r="F31" s="29"/>
    </x:row>
    <x:row r="32">
      <x:c r="A32" s="21" t="str">
        <x:v>method_register</x:v>
      </x:c>
      <x:c r="B32" s="21" t="str">
        <x:v>e942e4b64b4c382b2888543739ae07479850f0a978ad30eb882553c45d23be5e</x:v>
      </x:c>
      <x:c r="C32" s="21" t="n">
        <x:f>LEN(B32)</x:f>
        <x:v>64</x:v>
      </x:c>
      <x:c r="D32" s="29"/>
      <x:c r="E32" s="29"/>
      <x:c r="F32" s="29"/>
    </x:row>
    <x:row r="33">
      <x:c r="A33" s="21" t="str">
        <x:v>source_manifest</x:v>
      </x:c>
      <x:c r="B33" s="21" t="str">
        <x:v>72c5ad16b2599820b7b9a5ddab47ea2c878380dcb890c37e6938895a0d095a07</x:v>
      </x:c>
      <x:c r="C33" s="21" t="n">
        <x:f>LEN(B33)</x:f>
        <x:v>64</x:v>
      </x:c>
      <x:c r="D33" s="29"/>
      <x:c r="E33" s="29"/>
      <x:c r="F33" s="29"/>
    </x:row>
    <x:row r="34">
      <x:c r="A34" s="21" t="str">
        <x:v>under5_authority</x:v>
      </x:c>
      <x:c r="B34" s="21" t="str">
        <x:v>c26a180864ab2777637aea38190386861cabb144cb5fee7dd65b0ba8ad35188f</x:v>
      </x:c>
      <x:c r="C34" s="21" t="n">
        <x:f>LEN(B34)</x:f>
        <x:v>64</x:v>
      </x:c>
      <x:c r="D34" s="29"/>
      <x:c r="E34" s="29"/>
      <x:c r="F34" s="29"/>
    </x:row>
    <x:row r="35">
      <x:c r="A35" s="21" t="str">
        <x:v>source_validation</x:v>
      </x:c>
      <x:c r="B35" s="21" t="str">
        <x:v>20c6e55776a97dd9f80c8d115d36a0507b75799bfccd30422ac5af656a82c4c7</x:v>
      </x:c>
      <x:c r="C35" s="21" t="n">
        <x:f>LEN(B35)</x:f>
        <x:v>64</x:v>
      </x:c>
      <x:c r="D35" s="29"/>
      <x:c r="E35" s="29"/>
      <x:c r="F35" s="29"/>
    </x:row>
    <x:row r="36">
      <x:c r="A36" s="21" t="str">
        <x:v>official_covariance</x:v>
      </x:c>
      <x:c r="B36" s="21" t="str">
        <x:v>7d3eff23a86a6e6cee55a3da80a36b1118dcc68f3c5e18419cc1b3b8c59eb922</x:v>
      </x:c>
      <x:c r="C36" s="21" t="n">
        <x:f>LEN(B36)</x:f>
        <x:v>64</x:v>
      </x:c>
      <x:c r="D36" s="29"/>
      <x:c r="E36" s="29"/>
      <x:c r="F36" s="29"/>
    </x:row>
    <x:row r="37">
      <x:c r="A37" s="21" t="str">
        <x:v>moment_semantics</x:v>
      </x:c>
      <x:c r="B37" s="21" t="str">
        <x:v>8a1a54d326f4869e99bd5576beec308aed2d91fa4ca4e5868135f7b123f0f091</x:v>
      </x:c>
      <x:c r="C37" s="21" t="n">
        <x:f>LEN(B37)</x:f>
        <x:v>64</x:v>
      </x:c>
      <x:c r="D37" s="29"/>
      <x:c r="E37" s="29"/>
      <x:c r="F37" s="29"/>
    </x:row>
    <x:row r="38">
      <x:c r="A38" s="21" t="str">
        <x:v>point_feasibility</x:v>
      </x:c>
      <x:c r="B38" s="21" t="str">
        <x:v>ae62e989fbbdd272318e91d8489cc845e8afb86a21fe2247b98c6134a9102ef7</x:v>
      </x:c>
      <x:c r="C38" s="21" t="n">
        <x:f>LEN(B38)</x:f>
        <x:v>64</x:v>
      </x:c>
      <x:c r="D38" s="29"/>
      <x:c r="E38" s="29"/>
      <x:c r="F38" s="29"/>
    </x:row>
    <x:row r="39">
      <x:c r="A39" s="21" t="str">
        <x:v>reconstruction</x:v>
      </x:c>
      <x:c r="B39" s="21" t="str">
        <x:v>b9c5f88c73c6dc150799be938cde35e0874165937b5c60776f5ed4f21e5a176b</x:v>
      </x:c>
      <x:c r="C39" s="21" t="n">
        <x:f>LEN(B39)</x:f>
        <x:v>64</x:v>
      </x:c>
      <x:c r="D39" s="29"/>
      <x:c r="E39" s="29"/>
      <x:c r="F39" s="29"/>
    </x:row>
    <x:row r="40">
      <x:c r="A40" s="21" t="str">
        <x:v>identification_bounds</x:v>
      </x:c>
      <x:c r="B40" s="21" t="str">
        <x:v>fe2535eae24db6197111f10361765dde5a810dbb17b6bebde8d44fa5276feefc</x:v>
      </x:c>
      <x:c r="C40" s="21" t="n">
        <x:f>LEN(B40)</x:f>
        <x:v>64</x:v>
      </x:c>
      <x:c r="D40" s="29"/>
      <x:c r="E40" s="29"/>
      <x:c r="F40" s="29"/>
    </x:row>
    <x:row r="41">
      <x:c r="A41" s="21" t="str">
        <x:v>bounds_comparison</x:v>
      </x:c>
      <x:c r="B41" s="21" t="str">
        <x:v>b19039d49b3d60e8150a16be217ba9fb944811f7de2a13a11c50ed5e8355048f</x:v>
      </x:c>
      <x:c r="C41" s="21" t="n">
        <x:f>LEN(B41)</x:f>
        <x:v>64</x:v>
      </x:c>
      <x:c r="D41" s="29"/>
      <x:c r="E41" s="29"/>
      <x:c r="F41" s="29"/>
    </x:row>
    <x:row r="42">
      <x:c r="A42" s="21" t="str">
        <x:v>bound_summary</x:v>
      </x:c>
      <x:c r="B42" s="21" t="str">
        <x:v>284fdc88a1f81cb5b7fa6bc7d97b2940267dd12996620ffcc19f5873b36299be</x:v>
      </x:c>
      <x:c r="C42" s="21" t="n">
        <x:f>LEN(B42)</x:f>
        <x:v>64</x:v>
      </x:c>
      <x:c r="D42" s="29"/>
      <x:c r="E42" s="29"/>
      <x:c r="F42" s="29"/>
    </x:row>
    <x:row r="43">
      <x:c r="A43" s="21" t="str">
        <x:v>boundary_audit</x:v>
      </x:c>
      <x:c r="B43" s="21" t="str">
        <x:v>738aacd199a765e5e72a754d0f9bc8f62a11d3d6fa4737bacc0b201c6f367d58</x:v>
      </x:c>
      <x:c r="C43" s="21" t="n">
        <x:f>LEN(B43)</x:f>
        <x:v>64</x:v>
      </x:c>
      <x:c r="D43" s="29"/>
      <x:c r="E43" s="29"/>
      <x:c r="F43" s="29"/>
    </x:row>
    <x:row r="44">
      <x:c r="A44" s="21" t="str">
        <x:v>boundary_conflicts</x:v>
      </x:c>
      <x:c r="B44" s="21" t="str">
        <x:v>01c597e8e76f8d5765a0e8c8912e1fd9f895c9678d0093d4f69bca88d1b2d95c</x:v>
      </x:c>
      <x:c r="C44" s="21" t="n">
        <x:f>LEN(B44)</x:f>
        <x:v>64</x:v>
      </x:c>
      <x:c r="D44" s="29"/>
      <x:c r="E44" s="29"/>
      <x:c r="F44" s="29"/>
    </x:row>
    <x:row r="45">
      <x:c r="A45" s="21" t="str">
        <x:v>boundary_summary</x:v>
      </x:c>
      <x:c r="B45" s="21" t="str">
        <x:v>4dfa7a7250d43bc409cecdb77ed534f4f2e39a01594db3082969c04a5d42510f</x:v>
      </x:c>
      <x:c r="C45" s="21" t="n">
        <x:f>LEN(B45)</x:f>
        <x:v>64</x:v>
      </x:c>
      <x:c r="D45" s="29"/>
      <x:c r="E45" s="29"/>
      <x:c r="F45" s="29"/>
    </x:row>
    <x:row r="46">
      <x:c r="A46" s="21" t="str">
        <x:v>alternatives</x:v>
      </x:c>
      <x:c r="B46" s="21" t="str">
        <x:v>71aa321182cdd02a10364ae3d87142cb877cc4bed875c3b4e8d612b6263e4dc6</x:v>
      </x:c>
      <x:c r="C46" s="21" t="n">
        <x:f>LEN(B46)</x:f>
        <x:v>64</x:v>
      </x:c>
      <x:c r="D46" s="29"/>
      <x:c r="E46" s="29"/>
      <x:c r="F46" s="29"/>
    </x:row>
    <x:row r="47">
      <x:c r="A47" s="21" t="str">
        <x:v>successor_spec</x:v>
      </x:c>
      <x:c r="B47" s="21" t="str">
        <x:v>67f8040343ade0162c0fd70109fde8b19f337c7c0cb769419a0f2efcec9a3522</x:v>
      </x:c>
      <x:c r="C47" s="21" t="n">
        <x:f>LEN(B47)</x:f>
        <x:v>64</x:v>
      </x:c>
      <x:c r="D47" s="29"/>
      <x:c r="E47" s="29"/>
      <x:c r="F47" s="29"/>
    </x:row>
    <x:row r="48">
      <x:c r="A48" s="21" t="str">
        <x:v>witness_hashes</x:v>
      </x:c>
      <x:c r="B48" s="21" t="str">
        <x:v>66577149b327dc56aa3427671c4b5e6a0ead146bc0c717b2eb1ac01e0d98e6e8</x:v>
      </x:c>
      <x:c r="C48" s="21" t="n">
        <x:f>LEN(B48)</x:f>
        <x:v>64</x:v>
      </x:c>
      <x:c r="D48" s="29"/>
      <x:c r="E48" s="29"/>
      <x:c r="F48" s="29"/>
    </x:row>
    <x:row r="49">
      <x:c r="A49" s="22" t="str">
        <x:v>empty_outputs</x:v>
      </x:c>
      <x:c r="B49" s="22" t="str">
        <x:v>c77855aefbc61268de7bd7f393a2da7ad775a64128052011810ac4a8a568e5af</x:v>
      </x:c>
      <x:c r="C49" s="22" t="n">
        <x:f>LEN(B49)</x:f>
        <x:v>64</x:v>
      </x:c>
      <x:c r="D49" s="29"/>
      <x:c r="E49" s="29"/>
      <x:c r="F49" s="2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4" hidden="0" customWidth="1"/>
    <x:col min="3" max="3" width="86" hidden="0" customWidth="1"/>
  </x:cols>
  <x:sheetData>
    <x:row r="1">
      <x:c r="A1" s="1" t="str">
        <x:v>Empty Outputs</x:v>
      </x:c>
      <x:c r="B1" s="29"/>
      <x:c r="C1" s="29"/>
    </x:row>
    <x:row r="2">
      <x:c r="A2" s="2" t="str">
        <x:v>Every prohibited downstream object remains empty</x:v>
      </x:c>
      <x:c r="B2" s="29"/>
      <x:c r="C2" s="29"/>
    </x:row>
    <x:row r="3">
      <x:c r="A3" s="29"/>
      <x:c r="B3" s="29"/>
      <x:c r="C3" s="29"/>
    </x:row>
    <x:row r="4">
      <x:c r="A4" s="30"/>
      <x:c r="B4" s="30"/>
      <x:c r="C4" s="30"/>
      <x:c r="D4" s="3"/>
      <x:c r="E4" s="3"/>
      <x:c r="F4" s="3"/>
      <x:c r="G4" s="3"/>
      <x:c r="H4" s="3"/>
      <x:c r="I4" s="3"/>
    </x:row>
    <x:row r="5">
      <x:c r="A5" s="29"/>
      <x:c r="B5" s="29"/>
      <x:c r="C5" s="29"/>
    </x:row>
    <x:row r="6" ht="34" customHeight="1">
      <x:c r="A6" s="17" t="str">
        <x:v>Output</x:v>
      </x:c>
      <x:c r="B6" s="17" t="str">
        <x:v>Rows</x:v>
      </x:c>
      <x:c r="C6" s="17" t="str">
        <x:v>Reason</x:v>
      </x:c>
    </x:row>
    <x:row r="7">
      <x:c r="A7" s="20" t="str">
        <x:v>posterior atomic ensemble members</x:v>
      </x:c>
      <x:c r="B7" s="23" t="n">
        <x:v>0</x:v>
      </x:c>
      <x:c r="C7" s="33" t="str">
        <x:v>v3C0 not preregistered or executed</x:v>
      </x:c>
    </x:row>
    <x:row r="8">
      <x:c r="A8" s="21" t="str">
        <x:v>candidate target rows</x:v>
      </x:c>
      <x:c r="B8" s="24" t="n">
        <x:v>0</x:v>
      </x:c>
      <x:c r="C8" s="34" t="str">
        <x:v>exact moment cloning rejected before generation</x:v>
      </x:c>
    </x:row>
    <x:row r="9">
      <x:c r="A9" s="21" t="str">
        <x:v>continuous donor weights</x:v>
      </x:c>
      <x:c r="B9" s="24" t="n">
        <x:v>0</x:v>
      </x:c>
      <x:c r="C9" s="34" t="str">
        <x:v>no target ensemble admitted</x:v>
      </x:c>
    </x:row>
    <x:row r="10">
      <x:c r="A10" s="21" t="str">
        <x:v>integer donor-class counts</x:v>
      </x:c>
      <x:c r="B10" s="24" t="n">
        <x:v>0</x:v>
      </x:c>
      <x:c r="C10" s="34" t="str">
        <x:v>donor fit not executed</x:v>
      </x:c>
    </x:row>
    <x:row r="11">
      <x:c r="A11" s="21" t="str">
        <x:v>synthetic households and persons</x:v>
      </x:c>
      <x:c r="B11" s="24" t="n">
        <x:v>0</x:v>
      </x:c>
      <x:c r="C11" s="34" t="str">
        <x:v>compiler not executed</x:v>
      </x:c>
    </x:row>
    <x:row r="12">
      <x:c r="A12" s="21" t="str">
        <x:v>building assignments and operational states</x:v>
      </x:c>
      <x:c r="B12" s="24" t="n">
        <x:v>0</x:v>
      </x:c>
      <x:c r="C12" s="34" t="str">
        <x:v>evidence absent</x:v>
      </x:c>
    </x:row>
    <x:row r="13">
      <x:c r="A13" s="22" t="str">
        <x:v>architecture outcomes and campaign aggregates</x:v>
      </x:c>
      <x:c r="B13" s="25" t="n">
        <x:v>0</x:v>
      </x:c>
      <x:c r="C13" s="35" t="str">
        <x:v>sealed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" t="str">
        <x:v>Integrity</x:v>
      </x:c>
      <x:c r="B1" s="29"/>
      <x:c r="C1" s="29"/>
      <x:c r="D1" s="29"/>
    </x:row>
    <x:row r="2">
      <x:c r="A2" s="2" t="str">
        <x:v>Formula-backed completeness, reconstruction, boundary and stop-state checks</x:v>
      </x:c>
      <x:c r="B2" s="29"/>
      <x:c r="C2" s="29"/>
      <x:c r="D2" s="29"/>
    </x:row>
    <x:row r="3">
      <x:c r="A3" s="29"/>
      <x:c r="B3" s="29"/>
      <x:c r="C3" s="29"/>
      <x:c r="D3" s="29"/>
    </x:row>
    <x:row r="4">
      <x:c r="A4" s="30"/>
      <x:c r="B4" s="30"/>
      <x:c r="C4" s="30"/>
      <x:c r="D4" s="30"/>
      <x:c r="E4" s="3"/>
      <x:c r="F4" s="3"/>
      <x:c r="G4" s="3"/>
      <x:c r="H4" s="3"/>
      <x:c r="I4" s="3"/>
    </x:row>
    <x:row r="5">
      <x:c r="A5" s="29"/>
      <x:c r="B5" s="29"/>
      <x:c r="C5" s="29"/>
      <x:c r="D5" s="29"/>
    </x:row>
    <x:row r="6" ht="34" customHeight="1">
      <x:c r="A6" s="17" t="str">
        <x:v>Check</x:v>
      </x:c>
      <x:c r="B6" s="17" t="str">
        <x:v>Observed</x:v>
      </x:c>
      <x:c r="C6" s="17" t="str">
        <x:v>Expected</x:v>
      </x:c>
      <x:c r="D6" s="17" t="str">
        <x:v>Status</x:v>
      </x:c>
    </x:row>
    <x:row r="7">
      <x:c r="A7" s="20" t="str">
        <x:v>Registered metrics</x:v>
      </x:c>
      <x:c r="B7" s="20" t="n">
        <x:f>COUNTA('03 Metric Authority'!A7:A45)</x:f>
        <x:v>39</x:v>
      </x:c>
      <x:c r="C7" s="20" t="n">
        <x:v>39</x:v>
      </x:c>
      <x:c r="D7" s="20" t="str">
        <x:f>IF(B7=C7,"Met","Review")</x:f>
        <x:v>Met</x:v>
      </x:c>
    </x:row>
    <x:row r="8">
      <x:c r="A8" s="21" t="str">
        <x:v>Under-five authority rows</x:v>
      </x:c>
      <x:c r="B8" s="21" t="n">
        <x:f>COUNTA('04 Under Five'!A7:A18)</x:f>
        <x:v>12</x:v>
      </x:c>
      <x:c r="C8" s="21" t="n">
        <x:v>12</x:v>
      </x:c>
      <x:c r="D8" s="21" t="str">
        <x:f>IF(B8=C8,"Met","Review")</x:f>
        <x:v>Met</x:v>
      </x:c>
    </x:row>
    <x:row r="9">
      <x:c r="A9" s="21" t="str">
        <x:v>Exact B01001 validations</x:v>
      </x:c>
      <x:c r="B9" s="21" t="n">
        <x:f>COUNTIFS('05 Source Validation'!G7:G78,"Exact")</x:f>
        <x:v>72</x:v>
      </x:c>
      <x:c r="C9" s="21" t="n">
        <x:v>72</x:v>
      </x:c>
      <x:c r="D9" s="21" t="str">
        <x:f>IF(B9=C9,"Met","Review")</x:f>
        <x:v>Met</x:v>
      </x:c>
    </x:row>
    <x:row r="10">
      <x:c r="A10" s="21" t="str">
        <x:v>Official covariance rows</x:v>
      </x:c>
      <x:c r="B10" s="21" t="n">
        <x:f>COUNTA('06 Official Covariance'!A7:A258)</x:f>
        <x:v>252</x:v>
      </x:c>
      <x:c r="C10" s="21" t="n">
        <x:v>252</x:v>
      </x:c>
      <x:c r="D10" s="21" t="str">
        <x:f>IF(B10=C10,"Met","Review")</x:f>
        <x:v>Met</x:v>
      </x:c>
    </x:row>
    <x:row r="11">
      <x:c r="A11" s="21" t="str">
        <x:v>Point-feasible catchments</x:v>
      </x:c>
      <x:c r="B11" s="21" t="n">
        <x:f>COUNTIFS('07 Point Support'!H7:H18,"Met")</x:f>
        <x:v>12</x:v>
      </x:c>
      <x:c r="C11" s="21" t="n">
        <x:v>12</x:v>
      </x:c>
      <x:c r="D11" s="21" t="str">
        <x:f>IF(B11=C11,"Met","Review")</x:f>
        <x:v>Met</x:v>
      </x:c>
    </x:row>
    <x:row r="12">
      <x:c r="A12" s="21" t="str">
        <x:v>Exact point reconstructions</x:v>
      </x:c>
      <x:c r="B12" s="21" t="n">
        <x:f>COUNTIFS('08 Reconstruction'!H7:H474,"Exact")</x:f>
        <x:v>468</x:v>
      </x:c>
      <x:c r="C12" s="21" t="n">
        <x:v>468</x:v>
      </x:c>
      <x:c r="D12" s="21" t="str">
        <x:f>IF(B12=C12,"Met","Review")</x:f>
        <x:v>Met</x:v>
      </x:c>
    </x:row>
    <x:row r="13">
      <x:c r="A13" s="21" t="str">
        <x:v>Under-five quantities point identified</x:v>
      </x:c>
      <x:c r="B13" s="21" t="n">
        <x:f>COUNTIFS('09 Identification'!C7:C114,"persons_age_0_4",'09 Identification'!H7:H114,"Yes")</x:f>
        <x:v>12</x:v>
      </x:c>
      <x:c r="C13" s="21" t="n">
        <x:v>12</x:v>
      </x:c>
      <x:c r="D13" s="21" t="str">
        <x:f>IF(B13=C13,"Met","Review")</x:f>
        <x:v>Met</x:v>
      </x:c>
    </x:row>
    <x:row r="14">
      <x:c r="A14" s="21" t="str">
        <x:v>Other tested joint bounds unidentified</x:v>
      </x:c>
      <x:c r="B14" s="21" t="n">
        <x:f>COUNTIFS('09 Identification'!H7:H114,"No")</x:f>
        <x:v>96</x:v>
      </x:c>
      <x:c r="C14" s="21" t="n">
        <x:v>96</x:v>
      </x:c>
      <x:c r="D14" s="21" t="str">
        <x:f>IF(B14=C14,"Met","Review")</x:f>
        <x:v>Met</x:v>
      </x:c>
    </x:row>
    <x:row r="15">
      <x:c r="A15" s="21" t="str">
        <x:v>Exact moment conflicts</x:v>
      </x:c>
      <x:c r="B15" s="21" t="n">
        <x:f>COUNTA('11 Exact Conflicts'!A7:A13)</x:f>
        <x:v>7</x:v>
      </x:c>
      <x:c r="C15" s="21" t="n">
        <x:v>7</x:v>
      </x:c>
      <x:c r="D15" s="21" t="str">
        <x:f>IF(B15=C15,"Met","Review")</x:f>
        <x:v>Met</x:v>
      </x:c>
    </x:row>
    <x:row r="16">
      <x:c r="A16" s="21" t="str">
        <x:v>Prohibited downstream rows</x:v>
      </x:c>
      <x:c r="B16" s="21" t="n">
        <x:f>SUM('14 Empty Outputs'!B7:B13)</x:f>
        <x:v>0</x:v>
      </x:c>
      <x:c r="C16" s="21" t="n">
        <x:v>0</x:v>
      </x:c>
      <x:c r="D16" s="21" t="str">
        <x:f>IF(B16=C16,"Met","Review")</x:f>
        <x:v>Met</x:v>
      </x:c>
    </x:row>
    <x:row r="17">
      <x:c r="A17" s="22" t="str">
        <x:v>Dataset commitments with 64 hex characters</x:v>
      </x:c>
      <x:c r="B17" s="22" t="n">
        <x:f>COUNTIFS('13 Sources and Hashes'!C30:C49,64)</x:f>
        <x:v>20</x:v>
      </x:c>
      <x:c r="C17" s="22" t="n">
        <x:v>20</x:v>
      </x:c>
      <x:c r="D17" s="22" t="str">
        <x:f>IF(B17=C17,"Met","Review")</x:f>
        <x:v>Met</x:v>
      </x:c>
    </x:row>
    <x:row r="18">
      <x:c r="A18" s="29"/>
      <x:c r="B18" s="29"/>
      <x:c r="C18" s="29"/>
      <x:c r="D18" s="29"/>
    </x:row>
    <x:row r="19">
      <x:c r="A19" s="29"/>
      <x:c r="B19" s="29"/>
      <x:c r="C19" s="29"/>
      <x:c r="D19" s="29"/>
    </x:row>
    <x:row r="20">
      <x:c r="A20" s="6" t="str">
        <x:v>Overall</x:v>
      </x:c>
      <x:c r="B20" s="7"/>
      <x:c r="C20" s="7"/>
      <x:c r="D20" s="8"/>
    </x:row>
    <x:row r="21">
      <x:c r="A21" s="72" t="str">
        <x:v>All checks</x:v>
      </x:c>
      <x:c r="B21" s="72" t="str">
        <x:f>IF(COUNTIFS(D7:D17,"Met")=11,"Met","Review")</x:f>
        <x:v>Met</x:v>
      </x:c>
      <x:c r="C21" s="29"/>
      <x:c r="D21" s="29"/>
    </x:row>
  </x:sheetData>
  <x:pageMargins left="0.7" right="0.7" top="0.75" bottom="0.75" header="0.3" footer="0.3"/>
</x:worksheet>
</file>