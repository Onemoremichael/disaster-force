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712d9d69e646b4" /></Relationships>
</file>

<file path=xl/workbook.xml><?xml version="1.0" encoding="utf-8"?>
<x:workbook xmlns:x="http://schemas.openxmlformats.org/spreadsheetml/2006/main">
  <x:sheets>
    <x:sheet xmlns:r="http://schemas.openxmlformats.org/officeDocument/2006/relationships" name="00 Read Me" sheetId="1" r:id="R1d680260f08f4cbc"/>
    <x:sheet xmlns:r="http://schemas.openxmlformats.org/officeDocument/2006/relationships" name="01 Registration" sheetId="2" r:id="Rf538b267289b4f88"/>
    <x:sheet xmlns:r="http://schemas.openxmlformats.org/officeDocument/2006/relationships" name="02 Source Manifest" sheetId="3" r:id="R3893312f948e4873"/>
    <x:sheet xmlns:r="http://schemas.openxmlformats.org/officeDocument/2006/relationships" name="03 Source Validation" sheetId="4" r:id="R474a014b4c74469c"/>
    <x:sheet xmlns:r="http://schemas.openxmlformats.org/officeDocument/2006/relationships" name="04 Donor Surface" sheetId="5" r:id="Rb663333174d84cfd"/>
    <x:sheet xmlns:r="http://schemas.openxmlformats.org/officeDocument/2006/relationships" name="05 Weighted Profiles" sheetId="6" r:id="R8007f98bb0bc44cb"/>
    <x:sheet xmlns:r="http://schemas.openxmlformats.org/officeDocument/2006/relationships" name="06 PUMA Geography" sheetId="7" r:id="Rdb44a79eeca64153"/>
    <x:sheet xmlns:r="http://schemas.openxmlformats.org/officeDocument/2006/relationships" name="07 Catchment Pools" sheetId="8" r:id="R81348342f1b348f9"/>
    <x:sheet xmlns:r="http://schemas.openxmlformats.org/officeDocument/2006/relationships" name="08 Tier Support" sheetId="9" r:id="Rf6b3520c0d624756"/>
    <x:sheet xmlns:r="http://schemas.openxmlformats.org/officeDocument/2006/relationships" name="09 Class Sparsity" sheetId="10" r:id="Rc93919464158434f"/>
    <x:sheet xmlns:r="http://schemas.openxmlformats.org/officeDocument/2006/relationships" name="10 Variable Mapping" sheetId="11" r:id="R4386747d04874560"/>
    <x:sheet xmlns:r="http://schemas.openxmlformats.org/officeDocument/2006/relationships" name="11 Linkage QA" sheetId="12" r:id="R3c55463a71a34536"/>
    <x:sheet xmlns:r="http://schemas.openxmlformats.org/officeDocument/2006/relationships" name="12 Privacy Custody" sheetId="13" r:id="Rc17b97906dad42d4"/>
    <x:sheet xmlns:r="http://schemas.openxmlformats.org/officeDocument/2006/relationships" name="13 Empty Outputs" sheetId="14" r:id="R5202df94aeba4707"/>
    <x:sheet xmlns:r="http://schemas.openxmlformats.org/officeDocument/2006/relationships" name="14 Integrity" sheetId="15" r:id="Refeb129bd3d84bb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
  </x:numFmts>
  <x:fonts count="9">
    <x:font>
      <x:sz val="11"/>
      <x:name val="Carlito"/>
    </x:font>
    <x:font>
      <x:b/>
      <x:sz val="16"/>
      <x:color rgb="FF17212B"/>
      <x:name val="Arial"/>
    </x:font>
    <x:font>
      <x:i/>
      <x:sz val="10"/>
      <x:color rgb="FF59636E"/>
      <x:name val="Arial"/>
    </x:font>
    <x:font>
      <x:b/>
      <x:sz val="10"/>
      <x:color rgb="FF17365D"/>
      <x:name val="Arial"/>
    </x:font>
    <x:font>
      <x:sz val="10"/>
      <x:color rgb="FF17212B"/>
      <x:name val="Arial"/>
    </x:font>
    <x:font>
      <x:b/>
      <x:sz val="9"/>
      <x:color rgb="FFFFFFFF"/>
      <x:name val="Arial"/>
    </x:font>
    <x:font>
      <x:sz val="9"/>
      <x:color rgb="FF17212B"/>
      <x:name val="Arial"/>
    </x:font>
    <x:font>
      <x:sz val="11"/>
      <x:name val="Arial"/>
    </x:font>
    <x:font>
      <x:b/>
      <x:sz val="9"/>
      <x:color rgb="FF17212B"/>
      <x:name val="Arial"/>
    </x:font>
  </x:fonts>
  <x:fills count="5">
    <x:fill>
      <x:patternFill patternType="none"/>
    </x:fill>
    <x:fill>
      <x:patternFill patternType="gray125"/>
    </x:fill>
    <x:fill>
      <x:patternFill patternType="solid">
        <x:fgColor rgb="FFD9EAF7"/>
      </x:patternFill>
    </x:fill>
    <x:fill>
      <x:patternFill patternType="solid">
        <x:fgColor rgb="FF17365D"/>
      </x:patternFill>
    </x:fill>
    <x:fill>
      <x:patternFill patternType="solid">
        <x:fgColor rgb="FFFFF2CC"/>
      </x:patternFill>
    </x:fill>
  </x:fills>
  <x:borders count="9">
    <x:border/>
    <x:border>
      <x:bottom style="thin">
        <x:color rgb="FFB7C3CF"/>
      </x:bottom>
    </x:border>
    <x:border>
      <x:left style="thin">
        <x:color rgb="FFB7C3CF"/>
      </x:left>
      <x:top style="thin">
        <x:color rgb="FFB7C3CF"/>
      </x:top>
      <x:bottom style="thin">
        <x:color rgb="FFB7C3CF"/>
      </x:bottom>
    </x:border>
    <x:border>
      <x:top style="thin">
        <x:color rgb="FFB7C3CF"/>
      </x:top>
      <x:bottom style="thin">
        <x:color rgb="FFB7C3CF"/>
      </x:bottom>
    </x:border>
    <x:border>
      <x:right style="thin">
        <x:color rgb="FFB7C3CF"/>
      </x:right>
      <x:top style="thin">
        <x:color rgb="FFB7C3CF"/>
      </x:top>
      <x:bottom style="thin">
        <x:color rgb="FFB7C3CF"/>
      </x:bottom>
    </x:border>
    <x:border>
      <x:right style="thin">
        <x:color rgb="FFFFFFFF"/>
      </x:right>
    </x:border>
    <x:border>
      <x:left style="thin">
        <x:color rgb="FFFFFFFF"/>
      </x:left>
    </x:border>
    <x:border>
      <x:bottom style="thin">
        <x:color rgb="FFE6EBF0"/>
      </x:bottom>
    </x:border>
    <x:border>
      <x:left style="thin">
        <x:color rgb="FFFFFFFF"/>
      </x:left>
      <x:right style="thin">
        <x:color rgb="FFFFFFFF"/>
      </x:right>
    </x:border>
  </x:borders>
  <x:cellStyleXfs count="1">
    <x:xf numFmtId="0" fontId="0" fillId="0" borderId="0"/>
  </x:cellStyleXfs>
  <x:cellXfs count="48">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0"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5" xfId="0" applyNumberFormat="1" applyFont="1" applyFill="1" applyBorder="1"/>
    <x:xf numFmtId="0" fontId="5" fillId="3" borderId="6" xfId="0" applyNumberFormat="1" applyFont="1" applyFill="1" applyBorder="1"/>
    <x:xf numFmtId="0" fontId="5" fillId="3" borderId="5" xfId="0" applyNumberFormat="1" applyFont="1" applyFill="1" applyBorder="1" applyAlignment="1">
      <x:alignment wrapText="1"/>
    </x:xf>
    <x:xf numFmtId="0" fontId="5" fillId="3" borderId="6" xfId="0" applyNumberFormat="1" applyFont="1" applyFill="1" applyBorder="1" applyAlignment="1">
      <x:alignment wrapText="1"/>
    </x:xf>
    <x:xf numFmtId="0" fontId="5" fillId="3" borderId="5" xfId="0" applyNumberFormat="1" applyFont="1" applyFill="1" applyBorder="1" applyAlignment="1">
      <x:alignment horizontal="center" wrapText="1"/>
    </x:xf>
    <x:xf numFmtId="0" fontId="5" fillId="3" borderId="6" xfId="0" applyNumberFormat="1" applyFont="1" applyFill="1" applyBorder="1" applyAlignment="1">
      <x:alignment horizontal="center" wrapText="1"/>
    </x:xf>
    <x:xf numFmtId="0" fontId="5" fillId="3" borderId="5" xfId="0" applyNumberFormat="1" applyFont="1" applyFill="1" applyBorder="1" applyAlignment="1">
      <x:alignment horizontal="center" vertical="center" wrapText="1"/>
    </x:xf>
    <x:xf numFmtId="0" fontId="5" fillId="3" borderId="6"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5" fillId="3" borderId="8" xfId="0" applyNumberFormat="1" applyFont="1" applyFill="1" applyBorder="1"/>
    <x:xf numFmtId="0" fontId="5" fillId="3" borderId="8" xfId="0" applyNumberFormat="1" applyFont="1" applyFill="1" applyBorder="1" applyAlignment="1">
      <x:alignment wrapText="1"/>
    </x:xf>
    <x:xf numFmtId="0" fontId="5" fillId="3" borderId="8" xfId="0" applyNumberFormat="1" applyFont="1" applyFill="1" applyBorder="1" applyAlignment="1">
      <x:alignment horizontal="center" wrapText="1"/>
    </x:xf>
    <x:xf numFmtId="0" fontId="5" fillId="3" borderId="8" xfId="0" applyNumberFormat="1" applyFont="1" applyFill="1" applyBorder="1" applyAlignment="1">
      <x:alignment horizontal="center" vertical="center" wrapText="1"/>
    </x:xf>
    <x:xf numFmtId="0" fontId="7" fillId="0" borderId="0" xfId="0" applyNumberFormat="1" applyFont="1" applyFill="1" applyBorder="1"/>
    <x:xf numFmtId="0" fontId="7" fillId="0" borderId="1" xfId="0" applyNumberFormat="1" applyFont="1" applyFill="1" applyBorder="1"/>
    <x:xf numFmtId="200" fontId="6" fillId="0" borderId="0" xfId="0" applyNumberFormat="1" applyFont="1" applyFill="1" applyBorder="1" applyAlignment="1">
      <x:alignment vertical="top" wrapText="1"/>
    </x:xf>
    <x:xf numFmtId="200" fontId="6" fillId="0" borderId="7" xfId="0" applyNumberFormat="1" applyFont="1" applyFill="1" applyBorder="1" applyAlignment="1">
      <x:alignment vertical="top" wrapText="1"/>
    </x:xf>
    <x:xf numFmtId="0" fontId="7" fillId="0" borderId="0" xfId="0" applyNumberFormat="1" applyFont="1" applyFill="1" applyBorder="1" applyAlignment="1">
      <x:alignment wrapText="1"/>
    </x:xf>
    <x:xf numFmtId="201" fontId="6" fillId="0" borderId="0" xfId="0" applyNumberFormat="1" applyFont="1" applyFill="1" applyBorder="1" applyAlignment="1">
      <x:alignment vertical="top" wrapText="1"/>
    </x:xf>
    <x:xf numFmtId="201" fontId="6" fillId="0" borderId="7" xfId="0" applyNumberFormat="1" applyFont="1" applyFill="1" applyBorder="1" applyAlignment="1">
      <x:alignment vertical="top" wrapText="1"/>
    </x:xf>
    <x:xf numFmtId="0" fontId="0" fillId="4" borderId="0" xfId="0" applyNumberFormat="1" applyFont="1" applyFill="1" applyBorder="1" applyAlignment="1">
      <x:alignment wrapText="1"/>
    </x:xf>
    <x:xf numFmtId="0" fontId="7" fillId="4" borderId="0" xfId="0" applyNumberFormat="1" applyFont="1" applyFill="1" applyBorder="1" applyAlignment="1">
      <x:alignment wrapText="1"/>
    </x:xf>
    <x:xf numFmtId="202" fontId="6" fillId="0" borderId="0" xfId="0" applyNumberFormat="1" applyFont="1" applyFill="1" applyBorder="1" applyAlignment="1">
      <x:alignment vertical="top" wrapText="1"/>
    </x:xf>
    <x:xf numFmtId="202" fontId="6" fillId="0" borderId="7"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6" fillId="0" borderId="0" xfId="0" applyNumberFormat="1" applyFont="1" applyFill="1" applyBorder="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0" borderId="0" xfId="0" applyNumberFormat="1" applyFont="1" applyFill="1" applyBorder="1"/>
    <x:xf numFmtId="201" fontId="8" fillId="0" borderId="0" xfId="0" applyNumberFormat="1" applyFont="1" applyFill="1" applyBorder="1"/>
    <x:xf numFmtId="200" fontId="8" fillId="0" borderId="0" xfId="0" applyNumberFormat="1" applyFont="1" applyFill="1" applyBorder="1"/>
  </x:cellXfs>
  <x:cellStyles count="1">
    <x:cellStyle name="Normal" xfId="0"/>
  </x:cellStyles>
  <x:dxfs count="6">
    <x:dxf>
      <x:font>
        <x:b/>
        <x:color rgb="FF9C0006"/>
      </x:font>
      <x:fill>
        <x:patternFill patternType="solid">
          <x:bgColor rgb="FFFCE4D6"/>
        </x:patternFill>
      </x:fill>
    </x:dxf>
    <x:dxf>
      <x:fill>
        <x:patternFill patternType="solid">
          <x:bgColor rgb="FFE2F0D9"/>
        </x:patternFill>
      </x:fill>
    </x:dxf>
    <x:dxf>
      <x:font>
        <x:b/>
        <x:color rgb="FF9C0006"/>
      </x:font>
      <x:fill>
        <x:patternFill patternType="solid">
          <x:bgColor rgb="FFFCE4D6"/>
        </x:patternFill>
      </x:fill>
    </x:dxf>
    <x:dxf>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f7bfcdde85427c" /><Relationship Type="http://schemas.openxmlformats.org/officeDocument/2006/relationships/theme" Target="/xl/theme/theme1.xml" Id="R609f7c369b8d449c" /><Relationship Type="http://schemas.microsoft.com/office/2022/11/relationships/FeaturePropertyBag" Target="/xl/featurePropertyBag/featurePropertyBag.xml" Id="R192a9f15b94249ed" /><Relationship Type="http://schemas.openxmlformats.org/officeDocument/2006/relationships/sharedStrings" Target="/xl/sharedStrings.xml" Id="R64ab6735d7ec4014" /><Relationship Type="http://schemas.openxmlformats.org/officeDocument/2006/relationships/worksheet" Target="/xl/worksheets/sheet1.xml" Id="R1d680260f08f4cbc" /><Relationship Type="http://schemas.openxmlformats.org/officeDocument/2006/relationships/worksheet" Target="/xl/worksheets/sheet2.xml" Id="Rf538b267289b4f88" /><Relationship Type="http://schemas.openxmlformats.org/officeDocument/2006/relationships/worksheet" Target="/xl/worksheets/sheet3.xml" Id="R3893312f948e4873" /><Relationship Type="http://schemas.openxmlformats.org/officeDocument/2006/relationships/worksheet" Target="/xl/worksheets/sheet4.xml" Id="R474a014b4c74469c" /><Relationship Type="http://schemas.openxmlformats.org/officeDocument/2006/relationships/worksheet" Target="/xl/worksheets/sheet5.xml" Id="Rb663333174d84cfd" /><Relationship Type="http://schemas.openxmlformats.org/officeDocument/2006/relationships/worksheet" Target="/xl/worksheets/sheet6.xml" Id="R8007f98bb0bc44cb" /><Relationship Type="http://schemas.openxmlformats.org/officeDocument/2006/relationships/worksheet" Target="/xl/worksheets/sheet7.xml" Id="Rdb44a79eeca64153" /><Relationship Type="http://schemas.openxmlformats.org/officeDocument/2006/relationships/worksheet" Target="/xl/worksheets/sheet8.xml" Id="R81348342f1b348f9" /><Relationship Type="http://schemas.openxmlformats.org/officeDocument/2006/relationships/worksheet" Target="/xl/worksheets/sheet9.xml" Id="Rf6b3520c0d624756" /><Relationship Type="http://schemas.openxmlformats.org/officeDocument/2006/relationships/worksheet" Target="/xl/worksheets/sheet10.xml" Id="Rc93919464158434f" /><Relationship Type="http://schemas.openxmlformats.org/officeDocument/2006/relationships/worksheet" Target="/xl/worksheets/sheet11.xml" Id="R4386747d04874560" /><Relationship Type="http://schemas.openxmlformats.org/officeDocument/2006/relationships/worksheet" Target="/xl/worksheets/sheet12.xml" Id="R3c55463a71a34536" /><Relationship Type="http://schemas.openxmlformats.org/officeDocument/2006/relationships/worksheet" Target="/xl/worksheets/sheet13.xml" Id="Rc17b97906dad42d4" /><Relationship Type="http://schemas.openxmlformats.org/officeDocument/2006/relationships/worksheet" Target="/xl/worksheets/sheet14.xml" Id="R5202df94aeba4707" /><Relationship Type="http://schemas.openxmlformats.org/officeDocument/2006/relationships/worksheet" Target="/xl/worksheets/sheet15.xml" Id="Refeb129bd3d84bb6" /></Relationships>
</file>

<file path=xl/drawings/_rels/drawing1.xml.rels>&#65279;<?xml version="1.0" encoding="utf-8"?><Relationships xmlns="http://schemas.openxmlformats.org/package/2006/relationships"><Relationship Type="http://schemas.openxmlformats.org/officeDocument/2006/relationships/chart" Target="/xl/drawings/charts/chart1.xml" Id="R51acde3e7e8b4ca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Weighted class mass supported by donor tier</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Local class-mass support</c:v>
          </c:tx>
          <c:spPr>
            <a:solidFill xmlns:a="http://schemas.openxmlformats.org/drawingml/2006/main">
              <a:srgbClr val="2F75B5"/>
            </a:solidFill>
          </c:spPr>
          <c:cat>
            <c:strRef>
              <c:f>'08 Tier Support'!$A$7:$A$18</c:f>
              <c:strCache>
                <c:ptCount val="0"/>
              </c:strCache>
            </c:strRef>
          </c:cat>
          <c:val>
            <c:numRef>
              <c:f>'08 Tier Support'!$M$7:$M$18</c:f>
              <c:numCache>
                <c:formatCode>0.00%</c:formatCode>
                <c:ptCount val="0"/>
              </c:numCache>
            </c:numRef>
          </c:val>
        </c:ser>
        <c:ser>
          <c:idx val="1"/>
          <c:order val="1"/>
          <c:tx>
            <c:v>Local+adj support</c:v>
          </c:tx>
          <c:spPr>
            <a:solidFill xmlns:a="http://schemas.openxmlformats.org/drawingml/2006/main">
              <a:srgbClr val="70AD47"/>
            </a:solidFill>
          </c:spPr>
          <c:cat>
            <c:strRef>
              <c:f>'08 Tier Support'!$A$7:$A$18</c:f>
              <c:strCache>
                <c:ptCount val="0"/>
              </c:strCache>
            </c:strRef>
          </c:cat>
          <c:val>
            <c:numRef>
              <c:f>'08 Tier Support'!$N$7:$N$18</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20</xdr:row>
      <xdr:rowOff>0</xdr:rowOff>
    </xdr:from>
    <xdr:to>
      <xdr:col>10</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acde3e7e8b4ca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drawing" Target="/xl/drawings/drawing1.xml" Id="R8c5df202662848b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 min="3" max="3" width="22"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20" customHeight="1">
      <x:c r="A1" s="1" t="str">
        <x:v>Read Me</x:v>
      </x:c>
      <x:c r="B1" s="29"/>
      <x:c r="C1" s="29"/>
      <x:c r="D1" s="29"/>
      <x:c r="E1" s="29"/>
      <x:c r="F1" s="29"/>
      <x:c r="G1" s="29"/>
      <x:c r="H1" s="29"/>
      <x:c r="I1" s="29"/>
      <x:c r="J1" s="29"/>
    </x:row>
    <x:row r="2" ht="20" customHeight="1">
      <x:c r="A2" s="2" t="str">
        <x:v>Official 2020–2024 ACS PUMS donor custody, linkage and support diagnostics for the New York L0 compiler</x:v>
      </x:c>
      <x:c r="B2" s="29"/>
      <x:c r="C2" s="29"/>
      <x:c r="D2" s="29"/>
      <x:c r="E2" s="29"/>
      <x:c r="F2" s="29"/>
      <x:c r="G2" s="29"/>
      <x:c r="H2" s="29"/>
      <x:c r="I2" s="29"/>
      <x:c r="J2" s="29"/>
    </x:row>
    <x:row r="3" ht="20" customHeight="1">
      <x:c r="A3" s="30"/>
      <x:c r="B3" s="30"/>
      <x:c r="C3" s="30"/>
      <x:c r="D3" s="30"/>
      <x:c r="E3" s="30"/>
      <x:c r="F3" s="30"/>
      <x:c r="G3" s="30"/>
      <x:c r="H3" s="30"/>
      <x:c r="I3" s="30"/>
      <x:c r="J3" s="30"/>
      <x:c r="K3" s="3"/>
      <x:c r="L3" s="3"/>
      <x:c r="M3" s="3"/>
      <x:c r="N3" s="3"/>
    </x:row>
    <x:row r="4">
      <x:c r="A4" s="29"/>
      <x:c r="B4" s="29"/>
      <x:c r="C4" s="29"/>
      <x:c r="D4" s="29"/>
      <x:c r="E4" s="29"/>
      <x:c r="F4" s="29"/>
      <x:c r="G4" s="29"/>
      <x:c r="H4" s="29"/>
      <x:c r="I4" s="29"/>
      <x:c r="J4" s="29"/>
    </x:row>
    <x:row r="5" ht="20" customHeight="1">
      <x:c r="A5" s="6" t="str">
        <x:v>Decision boundary</x:v>
      </x:c>
      <x:c r="B5" s="7"/>
      <x:c r="C5" s="7"/>
      <x:c r="D5" s="7"/>
      <x:c r="E5" s="7"/>
      <x:c r="F5" s="7"/>
      <x:c r="G5" s="7"/>
      <x:c r="H5" s="7"/>
      <x:c r="I5" s="7"/>
      <x:c r="J5" s="8"/>
    </x:row>
    <x:row r="6" ht="58" customHeight="1">
      <x:c r="A6" s="10" t="str">
        <x:v>Scope</x:v>
      </x:c>
      <x:c r="B6" s="10" t="str">
        <x:v>This workbook establishes source custody, exact PUMS verification, household–person linkage integrity, PUMA donor geography and empirical support for registered household classes. It does not fit targets, generate synthetic households, assign buildings or execute A2/S3.</x:v>
      </x:c>
      <x:c r="C6" s="29"/>
      <x:c r="D6" s="29"/>
      <x:c r="E6" s="29"/>
      <x:c r="F6" s="29"/>
      <x:c r="G6" s="29"/>
      <x:c r="H6" s="29"/>
      <x:c r="I6" s="29"/>
      <x:c r="J6" s="29"/>
    </x:row>
    <x:row r="7">
      <x:c r="A7" s="29"/>
      <x:c r="B7" s="29"/>
      <x:c r="C7" s="29"/>
      <x:c r="D7" s="29"/>
      <x:c r="E7" s="29"/>
      <x:c r="F7" s="29"/>
      <x:c r="G7" s="29"/>
      <x:c r="H7" s="29"/>
      <x:c r="I7" s="29"/>
      <x:c r="J7" s="29"/>
    </x:row>
    <x:row r="8">
      <x:c r="A8" s="29"/>
      <x:c r="B8" s="29"/>
      <x:c r="C8" s="29"/>
      <x:c r="D8" s="29"/>
      <x:c r="E8" s="29"/>
      <x:c r="F8" s="29"/>
      <x:c r="G8" s="29"/>
      <x:c r="H8" s="29"/>
      <x:c r="I8" s="29"/>
      <x:c r="J8" s="29"/>
    </x:row>
    <x:row r="9">
      <x:c r="A9" s="29"/>
      <x:c r="B9" s="29"/>
      <x:c r="C9" s="29"/>
      <x:c r="D9" s="29"/>
      <x:c r="E9" s="29"/>
      <x:c r="F9" s="29"/>
      <x:c r="G9" s="29"/>
      <x:c r="H9" s="29"/>
      <x:c r="I9" s="29"/>
      <x:c r="J9" s="29"/>
    </x:row>
    <x:row r="10" ht="20" customHeight="1">
      <x:c r="A10" s="6" t="str">
        <x:v>Finding</x:v>
      </x:c>
      <x:c r="B10" s="7"/>
      <x:c r="C10" s="7"/>
      <x:c r="D10" s="7"/>
      <x:c r="E10" s="7"/>
      <x:c r="F10" s="7"/>
      <x:c r="G10" s="7"/>
      <x:c r="H10" s="7"/>
      <x:c r="I10" s="7"/>
      <x:c r="J10" s="8"/>
    </x:row>
    <x:row r="11" ht="24" customHeight="1">
      <x:c r="A11" s="19" t="str">
        <x:v>Question</x:v>
      </x:c>
      <x:c r="B11" s="20" t="str">
        <x:v>Evidence</x:v>
      </x:c>
      <x:c r="C11" s="29"/>
      <x:c r="D11" s="29"/>
      <x:c r="E11" s="29"/>
      <x:c r="F11" s="29"/>
      <x:c r="G11" s="29"/>
      <x:c r="H11" s="29"/>
      <x:c r="I11" s="29"/>
      <x:c r="J11" s="29"/>
    </x:row>
    <x:row r="12">
      <x:c r="A12" s="23" t="str">
        <x:v>Source reproduction</x:v>
      </x:c>
      <x:c r="B12" s="23" t="str">
        <x:v>New York record counts and total, housing-unit and group-quarters population weights exactly reproduce official PUMS verification files.</x:v>
      </x:c>
      <x:c r="C12" s="29"/>
      <x:c r="D12" s="29"/>
      <x:c r="E12" s="29"/>
      <x:c r="F12" s="29"/>
      <x:c r="G12" s="29"/>
      <x:c r="H12" s="29"/>
      <x:c r="I12" s="29"/>
      <x:c r="J12" s="29"/>
    </x:row>
    <x:row r="13">
      <x:c r="A13" s="23" t="str">
        <x:v>Relational integrity</x:v>
      </x:c>
      <x:c r="B13" s="23" t="str">
        <x:v>Every occupied household and group-quarters record has the expected person count. Only vacant housing units lack person rows.</x:v>
      </x:c>
      <x:c r="C13" s="29"/>
      <x:c r="D13" s="29"/>
      <x:c r="E13" s="29"/>
      <x:c r="F13" s="29"/>
      <x:c r="G13" s="29"/>
      <x:c r="H13" s="29"/>
      <x:c r="I13" s="29"/>
      <x:c r="J13" s="29"/>
    </x:row>
    <x:row r="14">
      <x:c r="A14" s="23" t="str">
        <x:v>Geographic limit</x:v>
      </x:c>
      <x:c r="B14" s="23" t="str">
        <x:v>PUMA supports donor selection. It does not observe tract or catchment households.</x:v>
      </x:c>
      <x:c r="C14" s="29"/>
      <x:c r="D14" s="29"/>
      <x:c r="E14" s="29"/>
      <x:c r="F14" s="29"/>
      <x:c r="G14" s="29"/>
      <x:c r="H14" s="29"/>
      <x:c r="I14" s="29"/>
      <x:c r="J14" s="29"/>
    </x:row>
    <x:row r="15">
      <x:c r="A15" s="23" t="str">
        <x:v>Sparse joint support</x:v>
      </x:c>
      <x:c r="B15" s="23" t="str">
        <x:v>798 of 2,123 observed nine-dimensional household classes have fewer than five donor households; they represent 1.16% of weighted households.</x:v>
      </x:c>
      <x:c r="C15" s="29"/>
      <x:c r="D15" s="29"/>
      <x:c r="E15" s="29"/>
      <x:c r="F15" s="29"/>
      <x:c r="G15" s="29"/>
      <x:c r="H15" s="29"/>
      <x:c r="I15" s="29"/>
      <x:c r="J15" s="29"/>
    </x:row>
    <x:row r="16">
      <x:c r="A16" s="23" t="str">
        <x:v>Pooling implication</x:v>
      </x:c>
      <x:c r="B16" s="23" t="str">
        <x:v>Local pools support as little as 71.36% of citywide weighted class mass. Local plus adjacent PUMAs raise the minimum to 89.66%, so tier expansion must be explicit and regularized.</x:v>
      </x:c>
      <x:c r="C16" s="29"/>
      <x:c r="D16" s="29"/>
      <x:c r="E16" s="29"/>
      <x:c r="F16" s="29"/>
      <x:c r="G16" s="29"/>
      <x:c r="H16" s="29"/>
      <x:c r="I16" s="29"/>
      <x:c r="J16" s="29"/>
    </x:row>
    <x:row r="17">
      <x:c r="A17" s="24" t="str">
        <x:v>Privacy implication</x:v>
      </x:c>
      <x:c r="B17" s="24" t="str">
        <x:v>Raw and joined microdata, SERIALNO, SPORDER and exact rare class cells remain outside the public artifact.</x:v>
      </x:c>
      <x:c r="C17" s="29"/>
      <x:c r="D17" s="29"/>
      <x:c r="E17" s="29"/>
      <x:c r="F17" s="29"/>
      <x:c r="G17" s="29"/>
      <x:c r="H17" s="29"/>
      <x:c r="I17" s="29"/>
      <x:c r="J17" s="29"/>
    </x:row>
    <x:row r="18">
      <x:c r="A18" s="29"/>
      <x:c r="B18" s="29"/>
      <x:c r="C18" s="29"/>
      <x:c r="D18" s="29"/>
      <x:c r="E18" s="29"/>
      <x:c r="F18" s="29"/>
      <x:c r="G18" s="29"/>
      <x:c r="H18" s="29"/>
      <x:c r="I18" s="29"/>
      <x:c r="J18" s="29"/>
    </x:row>
    <x:row r="19" ht="20" customHeight="1">
      <x:c r="A19" s="6" t="str">
        <x:v>Reading order</x:v>
      </x:c>
      <x:c r="B19" s="7"/>
      <x:c r="C19" s="7"/>
      <x:c r="D19" s="7"/>
      <x:c r="E19" s="7"/>
      <x:c r="F19" s="7"/>
      <x:c r="G19" s="7"/>
      <x:c r="H19" s="7"/>
      <x:c r="I19" s="7"/>
      <x:c r="J19" s="8"/>
    </x:row>
    <x:row r="20" ht="24" customHeight="1">
      <x:c r="A20" s="19" t="str">
        <x:v>Step</x:v>
      </x:c>
      <x:c r="B20" s="28" t="str">
        <x:v>Sheet</x:v>
      </x:c>
      <x:c r="C20" s="20" t="str">
        <x:v>Use</x:v>
      </x:c>
      <x:c r="D20" s="29"/>
      <x:c r="E20" s="29"/>
      <x:c r="F20" s="29"/>
      <x:c r="G20" s="29"/>
      <x:c r="H20" s="29"/>
      <x:c r="I20" s="29"/>
      <x:c r="J20" s="29"/>
    </x:row>
    <x:row r="21" ht="34" customHeight="1">
      <x:c r="A21" s="23" t="n">
        <x:v>1</x:v>
      </x:c>
      <x:c r="B21" s="23" t="str">
        <x:v>01 Registration</x:v>
      </x:c>
      <x:c r="C21" s="23" t="str">
        <x:v>Confirm scope, parent and decision state</x:v>
      </x:c>
      <x:c r="D21" s="29"/>
      <x:c r="E21" s="29"/>
      <x:c r="F21" s="29"/>
      <x:c r="G21" s="29"/>
      <x:c r="H21" s="29"/>
      <x:c r="I21" s="29"/>
      <x:c r="J21" s="29"/>
    </x:row>
    <x:row r="22" ht="34" customHeight="1">
      <x:c r="A22" s="23" t="n">
        <x:v>2</x:v>
      </x:c>
      <x:c r="B22" s="23" t="str">
        <x:v>02 Source Manifest / 03 Source Validation</x:v>
      </x:c>
      <x:c r="C22" s="23" t="str">
        <x:v>Audit custody and exact reproduction</x:v>
      </x:c>
      <x:c r="D22" s="29"/>
      <x:c r="E22" s="29"/>
      <x:c r="F22" s="29"/>
      <x:c r="G22" s="29"/>
      <x:c r="H22" s="29"/>
      <x:c r="I22" s="29"/>
      <x:c r="J22" s="29"/>
    </x:row>
    <x:row r="23" ht="34" customHeight="1">
      <x:c r="A23" s="23" t="n">
        <x:v>3</x:v>
      </x:c>
      <x:c r="B23" s="23" t="str">
        <x:v>06 PUMA Geography / 07 Catchment Pools</x:v>
      </x:c>
      <x:c r="C23" s="23" t="str">
        <x:v>Inspect the donor-support geography</x:v>
      </x:c>
      <x:c r="D23" s="29"/>
      <x:c r="E23" s="29"/>
      <x:c r="F23" s="29"/>
      <x:c r="G23" s="29"/>
      <x:c r="H23" s="29"/>
      <x:c r="I23" s="29"/>
      <x:c r="J23" s="29"/>
    </x:row>
    <x:row r="24" ht="34" customHeight="1">
      <x:c r="A24" s="23" t="n">
        <x:v>4</x:v>
      </x:c>
      <x:c r="B24" s="23" t="str">
        <x:v>08 Tier Support / 09 Class Sparsity</x:v>
      </x:c>
      <x:c r="C24" s="23" t="str">
        <x:v>Evaluate feasibility and the support ladder</x:v>
      </x:c>
      <x:c r="D24" s="29"/>
      <x:c r="E24" s="29"/>
      <x:c r="F24" s="29"/>
      <x:c r="G24" s="29"/>
      <x:c r="H24" s="29"/>
      <x:c r="I24" s="29"/>
      <x:c r="J24" s="29"/>
    </x:row>
    <x:row r="25" ht="34" customHeight="1">
      <x:c r="A25" s="23" t="n">
        <x:v>5</x:v>
      </x:c>
      <x:c r="B25" s="23" t="str">
        <x:v>11 Linkage QA / 12 Privacy Custody</x:v>
      </x:c>
      <x:c r="C25" s="23" t="str">
        <x:v>Review relational and release boundaries</x:v>
      </x:c>
      <x:c r="D25" s="29"/>
      <x:c r="E25" s="29"/>
      <x:c r="F25" s="29"/>
      <x:c r="G25" s="29"/>
      <x:c r="H25" s="29"/>
      <x:c r="I25" s="29"/>
      <x:c r="J25" s="29"/>
    </x:row>
    <x:row r="26" ht="34" customHeight="1">
      <x:c r="A26" s="24" t="n">
        <x:v>6</x:v>
      </x:c>
      <x:c r="B26" s="24" t="str">
        <x:v>13 Empty Outputs / 14 Integrity</x:v>
      </x:c>
      <x:c r="C26" s="24" t="str">
        <x:v>Confirm the experiment remains sealed</x:v>
      </x:c>
      <x:c r="D26" s="29"/>
      <x:c r="E26" s="29"/>
      <x:c r="F26" s="29"/>
      <x:c r="G26" s="29"/>
      <x:c r="H26" s="29"/>
      <x:c r="I26" s="29"/>
      <x:c r="J26" s="29"/>
    </x:row>
    <x:row r="27">
      <x:c r="A27" s="29"/>
      <x:c r="B27" s="29"/>
      <x:c r="C27" s="29"/>
      <x:c r="D27" s="29"/>
      <x:c r="E27" s="29"/>
      <x:c r="F27" s="29"/>
      <x:c r="G27" s="29"/>
      <x:c r="H27" s="29"/>
      <x:c r="I27" s="29"/>
      <x:c r="J27" s="29"/>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8" hidden="0" customWidth="1"/>
    <x:col min="2" max="2" width="72" hidden="0" customWidth="1"/>
    <x:col min="3" max="3" width="28" hidden="0" customWidth="1"/>
    <x:col min="4" max="4" width="18" hidden="0" customWidth="1"/>
    <x:col min="5" max="5" width="18" hidden="0" customWidth="1"/>
    <x:col min="6" max="6" width="18" hidden="0" customWidth="1"/>
  </x:cols>
  <x:sheetData>
    <x:row r="1" ht="20" customHeight="1">
      <x:c r="A1" s="1" t="str">
        <x:v>Registration</x:v>
      </x:c>
      <x:c r="B1" s="29"/>
      <x:c r="C1" s="29"/>
      <x:c r="D1" s="29"/>
      <x:c r="E1" s="29"/>
      <x:c r="F1" s="29"/>
    </x:row>
    <x:row r="2" ht="20" customHeight="1">
      <x:c r="A2" s="2" t="str">
        <x:v>Registration identity, parent lineage and aggregate decision record</x:v>
      </x:c>
      <x:c r="B2" s="29"/>
      <x:c r="C2" s="29"/>
      <x:c r="D2" s="29"/>
      <x:c r="E2" s="29"/>
      <x:c r="F2" s="29"/>
    </x:row>
    <x:row r="3" ht="20" customHeight="1">
      <x:c r="A3" s="30"/>
      <x:c r="B3" s="30"/>
      <x:c r="C3" s="30"/>
      <x:c r="D3" s="30"/>
      <x:c r="E3" s="30"/>
      <x:c r="F3" s="30"/>
      <x:c r="G3" s="3"/>
      <x:c r="H3" s="3"/>
      <x:c r="I3" s="3"/>
      <x:c r="J3" s="3"/>
      <x:c r="K3" s="3"/>
      <x:c r="L3" s="3"/>
      <x:c r="M3" s="3"/>
      <x:c r="N3" s="3"/>
    </x:row>
    <x:row r="4">
      <x:c r="A4" s="29"/>
      <x:c r="B4" s="29"/>
      <x:c r="C4" s="29"/>
      <x:c r="D4" s="29"/>
      <x:c r="E4" s="29"/>
      <x:c r="F4" s="29"/>
    </x:row>
    <x:row r="5" ht="20" customHeight="1">
      <x:c r="A5" s="6" t="str">
        <x:v>Registration</x:v>
      </x:c>
      <x:c r="B5" s="7"/>
      <x:c r="C5" s="7"/>
      <x:c r="D5" s="7"/>
      <x:c r="E5" s="7"/>
      <x:c r="F5" s="8"/>
    </x:row>
    <x:row r="6" ht="30" customHeight="1">
      <x:c r="A6" s="19" t="str">
        <x:v>Field</x:v>
      </x:c>
      <x:c r="B6" s="20" t="str">
        <x:v>Value</x:v>
      </x:c>
      <x:c r="C6" s="29"/>
      <x:c r="D6" s="29"/>
      <x:c r="E6" s="29"/>
      <x:c r="F6" s="29"/>
    </x:row>
    <x:row r="7">
      <x:c r="A7" s="23" t="str">
        <x:v>registration_id</x:v>
      </x:c>
      <x:c r="B7" s="23" t="str">
        <x:v>DF-NYC-L0-PR48-DONORS-v1</x:v>
      </x:c>
      <x:c r="C7" s="29"/>
      <x:c r="D7" s="29"/>
      <x:c r="E7" s="29"/>
      <x:c r="F7" s="29"/>
    </x:row>
    <x:row r="8">
      <x:c r="A8" s="23" t="str">
        <x:v>parent_compiler</x:v>
      </x:c>
      <x:c r="B8" s="23" t="str">
        <x:v>DF-NYC-L0-PR46-COMPILER-v1</x:v>
      </x:c>
      <x:c r="C8" s="29"/>
      <x:c r="D8" s="29"/>
      <x:c r="E8" s="29"/>
      <x:c r="F8" s="29"/>
    </x:row>
    <x:row r="9">
      <x:c r="A9" s="23" t="str">
        <x:v>state</x:v>
      </x:c>
      <x:c r="B9" s="23" t="str">
        <x:v>SOURCE_CUSTODY_AND_SUPPORT_AUDIT_NO_SYNTHESIS</x:v>
      </x:c>
      <x:c r="C9" s="29"/>
      <x:c r="D9" s="29"/>
      <x:c r="E9" s="29"/>
      <x:c r="F9" s="29"/>
    </x:row>
    <x:row r="10">
      <x:c r="A10" s="24" t="str">
        <x:v>access_date</x:v>
      </x:c>
      <x:c r="B10" s="24" t="str">
        <x:v>2026-09-05</x:v>
      </x:c>
      <x:c r="C10" s="29"/>
      <x:c r="D10" s="29"/>
      <x:c r="E10" s="29"/>
      <x:c r="F10" s="29"/>
    </x:row>
    <x:row r="11">
      <x:c r="A11" s="29"/>
      <x:c r="B11" s="29"/>
      <x:c r="C11" s="29"/>
      <x:c r="D11" s="29"/>
      <x:c r="E11" s="29"/>
      <x:c r="F11" s="29"/>
    </x:row>
    <x:row r="12" ht="20" customHeight="1">
      <x:c r="A12" s="6" t="str">
        <x:v>Support findings</x:v>
      </x:c>
      <x:c r="B12" s="7"/>
      <x:c r="C12" s="7"/>
      <x:c r="D12" s="7"/>
      <x:c r="E12" s="7"/>
      <x:c r="F12" s="8"/>
    </x:row>
    <x:row r="13" ht="30" customHeight="1">
      <x:c r="A13" s="19" t="str">
        <x:v>Measure</x:v>
      </x:c>
      <x:c r="B13" s="28" t="str">
        <x:v>Value</x:v>
      </x:c>
      <x:c r="C13" s="20" t="str">
        <x:v>Unit or location</x:v>
      </x:c>
      <x:c r="D13" s="29"/>
      <x:c r="E13" s="29"/>
      <x:c r="F13" s="29"/>
    </x:row>
    <x:row r="14">
      <x:c r="A14" s="23" t="str">
        <x:v>NYC PUMAs</x:v>
      </x:c>
      <x:c r="B14" s="23" t="n">
        <x:v>55</x:v>
      </x:c>
      <x:c r="C14" s="23" t="str">
        <x:v>count</x:v>
      </x:c>
      <x:c r="D14" s="29"/>
      <x:c r="E14" s="29"/>
      <x:c r="F14" s="29"/>
    </x:row>
    <x:row r="15">
      <x:c r="A15" s="23" t="str">
        <x:v>Selected-local PUMAs</x:v>
      </x:c>
      <x:c r="B15" s="23" t="n">
        <x:v>17</x:v>
      </x:c>
      <x:c r="C15" s="23" t="str">
        <x:v>count</x:v>
      </x:c>
      <x:c r="D15" s="29"/>
      <x:c r="E15" s="29"/>
      <x:c r="F15" s="29"/>
    </x:row>
    <x:row r="16">
      <x:c r="A16" s="23" t="str">
        <x:v>Raw occupied donor households</x:v>
      </x:c>
      <x:c r="B16" s="23" t="n">
        <x:v>123463</x:v>
      </x:c>
      <x:c r="C16" s="23" t="str">
        <x:v>records</x:v>
      </x:c>
      <x:c r="D16" s="29"/>
      <x:c r="E16" s="29"/>
      <x:c r="F16" s="29"/>
    </x:row>
    <x:row r="17">
      <x:c r="A17" s="23" t="str">
        <x:v>Raw person donor records</x:v>
      </x:c>
      <x:c r="B17" s="23" t="n">
        <x:v>326729</x:v>
      </x:c>
      <x:c r="C17" s="23" t="str">
        <x:v>records</x:v>
      </x:c>
      <x:c r="D17" s="29"/>
      <x:c r="E17" s="29"/>
      <x:c r="F17" s="29"/>
    </x:row>
    <x:row r="18">
      <x:c r="A18" s="23" t="str">
        <x:v>Observed household classes</x:v>
      </x:c>
      <x:c r="B18" s="23" t="n">
        <x:v>2123</x:v>
      </x:c>
      <x:c r="C18" s="23" t="str">
        <x:v>classes</x:v>
      </x:c>
      <x:c r="D18" s="29"/>
      <x:c r="E18" s="29"/>
      <x:c r="F18" s="29"/>
    </x:row>
    <x:row r="19">
      <x:c r="A19" s="23" t="str">
        <x:v>Classes with fewer than five donors</x:v>
      </x:c>
      <x:c r="B19" s="23" t="n">
        <x:v>798</x:v>
      </x:c>
      <x:c r="C19" s="23" t="str">
        <x:v>classes</x:v>
      </x:c>
      <x:c r="D19" s="29"/>
      <x:c r="E19" s="29"/>
      <x:c r="F19" s="29"/>
    </x:row>
    <x:row r="20">
      <x:c r="A20" s="23" t="str">
        <x:v>Share of classes with fewer than five donors</x:v>
      </x:c>
      <x:c r="B20" s="31" t="n">
        <x:v>0.3758831841733396</x:v>
      </x:c>
      <x:c r="C20" s="23" t="str">
        <x:v>share</x:v>
      </x:c>
      <x:c r="D20" s="29"/>
      <x:c r="E20" s="29"/>
      <x:c r="F20" s="29"/>
    </x:row>
    <x:row r="21">
      <x:c r="A21" s="23" t="str">
        <x:v>Weighted household mass in those classes</x:v>
      </x:c>
      <x:c r="B21" s="31" t="n">
        <x:v>0.01156536425348663</x:v>
      </x:c>
      <x:c r="C21" s="23" t="str">
        <x:v>share</x:v>
      </x:c>
      <x:c r="D21" s="29"/>
      <x:c r="E21" s="29"/>
      <x:c r="F21" s="29"/>
    </x:row>
    <x:row r="22">
      <x:c r="A22" s="23" t="str">
        <x:v>Minimum local class-mass support</x:v>
      </x:c>
      <x:c r="B22" s="31" t="n">
        <x:v>0.7135847740299985</x:v>
      </x:c>
      <x:c r="C22" s="23" t="str">
        <x:v>NYC-V1-R03</x:v>
      </x:c>
      <x:c r="D22" s="29"/>
      <x:c r="E22" s="29"/>
      <x:c r="F22" s="29"/>
    </x:row>
    <x:row r="23">
      <x:c r="A23" s="24" t="str">
        <x:v>Minimum local-plus-adjacent support</x:v>
      </x:c>
      <x:c r="B23" s="32" t="n">
        <x:v>0.8966171609490197</x:v>
      </x:c>
      <x:c r="C23" s="24" t="str">
        <x:v>NYC-V1-R02</x:v>
      </x:c>
      <x:c r="D23" s="29"/>
      <x:c r="E23" s="29"/>
      <x:c r="F23" s="29"/>
    </x:row>
    <x:row r="24">
      <x:c r="A24" s="29"/>
      <x:c r="B24" s="29"/>
      <x:c r="C24" s="29"/>
      <x:c r="D24" s="29"/>
      <x:c r="E24" s="29"/>
      <x:c r="F24" s="29"/>
    </x:row>
    <x:row r="25" ht="20" customHeight="1">
      <x:c r="A25" s="6" t="str">
        <x:v>Decision</x:v>
      </x:c>
      <x:c r="B25" s="7"/>
      <x:c r="C25" s="7"/>
      <x:c r="D25" s="7"/>
      <x:c r="E25" s="7"/>
      <x:c r="F25" s="8"/>
    </x:row>
    <x:row r="26" ht="70" customHeight="1">
      <x:c r="A26" s="33" t="str">
        <x:v>Implementation rule</x:v>
      </x:c>
      <x:c r="B26" s="33" t="str">
        <x:v>Advance only to target-engine implementation with explicit local → adjacent → citywide support labels, hierarchical partial pooling, rare-cell diagnostics and privacy review. Do not treat expanded donors as tract observations. Synthetic records and architecture outcomes remain prohibited.</x:v>
      </x:c>
      <x:c r="C26" s="29"/>
      <x:c r="D26" s="29"/>
      <x:c r="E26" s="29"/>
      <x:c r="F26" s="29"/>
    </x:row>
    <x:row r="27">
      <x:c r="A27" s="29"/>
      <x:c r="B27" s="29"/>
      <x:c r="C27" s="29"/>
      <x:c r="D27" s="29"/>
      <x:c r="E27" s="29"/>
      <x:c r="F27" s="29"/>
    </x:row>
    <x:row r="28">
      <x:c r="A28" s="29"/>
      <x:c r="B28" s="29"/>
      <x:c r="C28" s="29"/>
      <x:c r="D28" s="29"/>
      <x:c r="E28" s="29"/>
      <x:c r="F28" s="29"/>
    </x:row>
    <x:row r="29">
      <x:c r="A29" s="29"/>
      <x:c r="B29" s="29"/>
      <x:c r="C29" s="29"/>
      <x:c r="D29" s="29"/>
      <x:c r="E29" s="29"/>
      <x:c r="F29" s="29"/>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8" hidden="0" customWidth="1"/>
    <x:col min="2" max="2" width="34" hidden="0" customWidth="1"/>
    <x:col min="3" max="3" width="16" hidden="0" customWidth="1"/>
    <x:col min="4" max="4" width="68" hidden="0" customWidth="1"/>
    <x:col min="5" max="5" width="90" hidden="0" customWidth="1"/>
    <x:col min="6" max="6" width="38" hidden="0" customWidth="1"/>
  </x:cols>
  <x:sheetData>
    <x:row r="1" ht="20" customHeight="1">
      <x:c r="A1" s="1" t="str">
        <x:v>Source Manifest</x:v>
      </x:c>
      <x:c r="B1" s="29"/>
      <x:c r="C1" s="29"/>
      <x:c r="D1" s="29"/>
      <x:c r="E1" s="29"/>
      <x:c r="F1" s="29"/>
    </x:row>
    <x:row r="2" ht="20" customHeight="1">
      <x:c r="A2" s="2" t="str">
        <x:v>Immutable official-source commitments; raw records remain outside the public repository</x:v>
      </x:c>
      <x:c r="B2" s="29"/>
      <x:c r="C2" s="29"/>
      <x:c r="D2" s="29"/>
      <x:c r="E2" s="29"/>
      <x:c r="F2" s="29"/>
    </x:row>
    <x:row r="3" ht="20" customHeight="1">
      <x:c r="A3" s="30"/>
      <x:c r="B3" s="30"/>
      <x:c r="C3" s="30"/>
      <x:c r="D3" s="30"/>
      <x:c r="E3" s="30"/>
      <x:c r="F3" s="30"/>
      <x:c r="G3" s="3"/>
      <x:c r="H3" s="3"/>
      <x:c r="I3" s="3"/>
      <x:c r="J3" s="3"/>
      <x:c r="K3" s="3"/>
      <x:c r="L3" s="3"/>
      <x:c r="M3" s="3"/>
      <x:c r="N3" s="3"/>
    </x:row>
    <x:row r="4">
      <x:c r="A4" s="29"/>
      <x:c r="B4" s="29"/>
      <x:c r="C4" s="29"/>
      <x:c r="D4" s="29"/>
      <x:c r="E4" s="29"/>
      <x:c r="F4" s="29"/>
    </x:row>
    <x:row r="5">
      <x:c r="A5" s="29"/>
      <x:c r="B5" s="29"/>
      <x:c r="C5" s="29"/>
      <x:c r="D5" s="29"/>
      <x:c r="E5" s="29"/>
      <x:c r="F5" s="29"/>
    </x:row>
    <x:row r="6" ht="30" customHeight="1">
      <x:c r="A6" s="19" t="str">
        <x:v>Key</x:v>
      </x:c>
      <x:c r="B6" s="28" t="str">
        <x:v>File</x:v>
      </x:c>
      <x:c r="C6" s="28" t="str">
        <x:v>Bytes</x:v>
      </x:c>
      <x:c r="D6" s="28" t="str">
        <x:v>SHA-256</x:v>
      </x:c>
      <x:c r="E6" s="28" t="str">
        <x:v>Official URL</x:v>
      </x:c>
      <x:c r="F6" s="20" t="str">
        <x:v>Use</x:v>
      </x:c>
    </x:row>
    <x:row r="7">
      <x:c r="A7" s="23" t="str">
        <x:v>PUMS-H-NY</x:v>
      </x:c>
      <x:c r="B7" s="23" t="str">
        <x:v>csv_hny.zip</x:v>
      </x:c>
      <x:c r="C7" s="34" t="n">
        <x:v>57808411</x:v>
      </x:c>
      <x:c r="D7" s="23" t="str">
        <x:v>393444456bfaf6bf935920852861979253b0a7a79c9eeb8ec0e2a7053c6d478d</x:v>
      </x:c>
      <x:c r="E7" s="23" t="str">
        <x:v>https://www2.census.gov/programs-surveys/acs/data/pums/2024/5-Year/csv_hny.zip</x:v>
      </x:c>
      <x:c r="F7" s="23" t="str">
        <x:v>New York housing and GQ donor records</x:v>
      </x:c>
    </x:row>
    <x:row r="8">
      <x:c r="A8" s="23" t="str">
        <x:v>PUMS-P-NY</x:v>
      </x:c>
      <x:c r="B8" s="23" t="str">
        <x:v>csv_pny.zip</x:v>
      </x:c>
      <x:c r="C8" s="34" t="n">
        <x:v>140098497</x:v>
      </x:c>
      <x:c r="D8" s="23" t="str">
        <x:v>2d2c3fe8326856906320fa4e4a0adea563a354a4de71b777ebd81d96b3717e46</x:v>
      </x:c>
      <x:c r="E8" s="23" t="str">
        <x:v>https://www2.census.gov/programs-surveys/acs/data/pums/2024/5-Year/csv_pny.zip</x:v>
      </x:c>
      <x:c r="F8" s="23" t="str">
        <x:v>New York person donor records</x:v>
      </x:c>
    </x:row>
    <x:row r="9">
      <x:c r="A9" s="23" t="str">
        <x:v>TRACT-PUMA</x:v>
      </x:c>
      <x:c r="B9" s="23" t="str">
        <x:v>2020_Census_Tract_to_2020_PUMA.txt</x:v>
      </x:c>
      <x:c r="C9" s="34" t="n">
        <x:v>1709076</x:v>
      </x:c>
      <x:c r="D9" s="23" t="str">
        <x:v>5262f460b2c8dbe86b00549e916317b1791fdc595c9af72ab18f6f6a67040531</x:v>
      </x:c>
      <x:c r="E9" s="23" t="str">
        <x:v>https://www2.census.gov/geo/docs/maps-data/data/rel2020/2020_Census_Tract_to_2020_PUMA.txt</x:v>
      </x:c>
      <x:c r="F9" s="23" t="str">
        <x:v>tract-to-PUMA authority</x:v>
      </x:c>
    </x:row>
    <x:row r="10">
      <x:c r="A10" s="23" t="str">
        <x:v>PUMA-SHAPE</x:v>
      </x:c>
      <x:c r="B10" s="23" t="str">
        <x:v>tl_2020_36_puma20.zip</x:v>
      </x:c>
      <x:c r="C10" s="34" t="n">
        <x:v>1642837</x:v>
      </x:c>
      <x:c r="D10" s="23" t="str">
        <x:v>ac4ea6f1b527fbb1e82bce02d25a3a346c87ca3e2b873ee0db267080fe1bab78</x:v>
      </x:c>
      <x:c r="E10" s="23" t="str">
        <x:v>https://www2.census.gov/geo/tiger/TIGER2020/PUMA20/tl_2020_36_puma20.zip</x:v>
      </x:c>
      <x:c r="F10" s="23" t="str">
        <x:v>PUMA names and adjacency</x:v>
      </x:c>
    </x:row>
    <x:row r="11">
      <x:c r="A11" s="23" t="str">
        <x:v>PUMS-DICT</x:v>
      </x:c>
      <x:c r="B11" s="23" t="str">
        <x:v>PUMS_Data_Dictionary_2020-2024.csv</x:v>
      </x:c>
      <x:c r="C11" s="34" t="n">
        <x:v>330431</x:v>
      </x:c>
      <x:c r="D11" s="23" t="str">
        <x:v>8816ab616c9025bf6a217588d18c402ebb84ddf889d5d1bd7161a9f0c2e099ae</x:v>
      </x:c>
      <x:c r="E11" s="23" t="str">
        <x:v>https://www2.census.gov/programs-surveys/acs/tech_docs/pums/data_dict/PUMS_Data_Dictionary_2020-2024.csv</x:v>
      </x:c>
      <x:c r="F11" s="23" t="str">
        <x:v>field and code definitions</x:v>
      </x:c>
    </x:row>
    <x:row r="12">
      <x:c r="A12" s="23" t="str">
        <x:v>PUMS-EST</x:v>
      </x:c>
      <x:c r="B12" s="23" t="str">
        <x:v>pums_estimates_20_24.csv</x:v>
      </x:c>
      <x:c r="C12" s="34" t="n">
        <x:v>84826</x:v>
      </x:c>
      <x:c r="D12" s="23" t="str">
        <x:v>0151cb991f095a14eab367e0cd1c02f27dfca56b2bdcc33d71ae907eba065639</x:v>
      </x:c>
      <x:c r="E12" s="23" t="str">
        <x:v>https://www2.census.gov/programs-surveys/acs/tech_docs/pums/estimates/pums_estimates_20_24.csv</x:v>
      </x:c>
      <x:c r="F12" s="23" t="str">
        <x:v>official weighted-estimate verification</x:v>
      </x:c>
    </x:row>
    <x:row r="13">
      <x:c r="A13" s="24" t="str">
        <x:v>PUMS-COUNT</x:v>
      </x:c>
      <x:c r="B13" s="24" t="str">
        <x:v>pums_record_count_20_24.csv</x:v>
      </x:c>
      <x:c r="C13" s="35" t="n">
        <x:v>4782</x:v>
      </x:c>
      <x:c r="D13" s="24" t="str">
        <x:v>d96120501b2d12586a8d6e79b5e5e41974f4c6c33b7b51822a4b66f680b49624</x:v>
      </x:c>
      <x:c r="E13" s="24" t="str">
        <x:v>https://www2.census.gov/programs-surveys/acs/tech_docs/pums/estimates/pums_record_count_20_24.csv</x:v>
      </x:c>
      <x:c r="F13" s="24" t="str">
        <x:v>official record-count verification</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86" hidden="0" customWidth="1"/>
    <x:col min="2" max="2" width="20" hidden="0" customWidth="1"/>
    <x:col min="3" max="3" width="20" hidden="0" customWidth="1"/>
    <x:col min="4" max="4" width="16" hidden="0" customWidth="1"/>
    <x:col min="5" max="5" width="16" hidden="0" customWidth="1"/>
  </x:cols>
  <x:sheetData>
    <x:row r="1" ht="20" customHeight="1">
      <x:c r="A1" s="1" t="str">
        <x:v>Source Validation</x:v>
      </x:c>
      <x:c r="B1" s="29"/>
      <x:c r="C1" s="29"/>
      <x:c r="D1" s="29"/>
      <x:c r="E1" s="29"/>
    </x:row>
    <x:row r="2" ht="20" customHeight="1">
      <x:c r="A2" s="2" t="str">
        <x:v>Independent reproduction against Census PUMS record-count and weighted-estimate verification files</x:v>
      </x:c>
      <x:c r="B2" s="29"/>
      <x:c r="C2" s="29"/>
      <x:c r="D2" s="29"/>
      <x:c r="E2" s="29"/>
    </x:row>
    <x:row r="3" ht="20" customHeight="1">
      <x:c r="A3" s="30"/>
      <x:c r="B3" s="30"/>
      <x:c r="C3" s="30"/>
      <x:c r="D3" s="30"/>
      <x:c r="E3" s="30"/>
      <x:c r="F3" s="3"/>
      <x:c r="G3" s="3"/>
      <x:c r="H3" s="3"/>
      <x:c r="I3" s="3"/>
      <x:c r="J3" s="3"/>
      <x:c r="K3" s="3"/>
      <x:c r="L3" s="3"/>
      <x:c r="M3" s="3"/>
      <x:c r="N3" s="3"/>
    </x:row>
    <x:row r="4">
      <x:c r="A4" s="29"/>
      <x:c r="B4" s="29"/>
      <x:c r="C4" s="29"/>
      <x:c r="D4" s="29"/>
      <x:c r="E4" s="29"/>
    </x:row>
    <x:row r="5">
      <x:c r="A5" s="29"/>
      <x:c r="B5" s="29"/>
      <x:c r="C5" s="29"/>
      <x:c r="D5" s="29"/>
      <x:c r="E5" s="29"/>
    </x:row>
    <x:row r="6" ht="30" customHeight="1">
      <x:c r="A6" s="19" t="str">
        <x:v>Check</x:v>
      </x:c>
      <x:c r="B6" s="28" t="str">
        <x:v>Computed</x:v>
      </x:c>
      <x:c r="C6" s="28" t="str">
        <x:v>Official</x:v>
      </x:c>
      <x:c r="D6" s="28" t="str">
        <x:v>Difference</x:v>
      </x:c>
      <x:c r="E6" s="20" t="str">
        <x:v>Exact match</x:v>
      </x:c>
    </x:row>
    <x:row r="7">
      <x:c r="A7" s="23" t="str">
        <x:v>New York housing record count</x:v>
      </x:c>
      <x:c r="B7" s="34" t="n">
        <x:v>481692</x:v>
      </x:c>
      <x:c r="C7" s="34" t="n">
        <x:v>481692</x:v>
      </x:c>
      <x:c r="D7" s="34" t="n">
        <x:f>B7-C7</x:f>
        <x:v>0</x:v>
      </x:c>
      <x:c r="E7" s="23" t="str">
        <x:f>IF(B7=C7,"Exact","Mismatch")</x:f>
        <x:v>Exact</x:v>
      </x:c>
    </x:row>
    <x:row r="8">
      <x:c r="A8" s="23" t="str">
        <x:v>New York person record count</x:v>
      </x:c>
      <x:c r="B8" s="34" t="n">
        <x:v>984474</x:v>
      </x:c>
      <x:c r="C8" s="34" t="n">
        <x:v>984474</x:v>
      </x:c>
      <x:c r="D8" s="34" t="n">
        <x:f>B8-C8</x:f>
        <x:v>0</x:v>
      </x:c>
      <x:c r="E8" s="23" t="str">
        <x:f>IF(B8=C8,"Exact","Mismatch")</x:f>
        <x:v>Exact</x:v>
      </x:c>
    </x:row>
    <x:row r="9">
      <x:c r="A9" s="23" t="str">
        <x:v>New York weighted total population</x:v>
      </x:c>
      <x:c r="B9" s="34" t="n">
        <x:v>19852366</x:v>
      </x:c>
      <x:c r="C9" s="34" t="n">
        <x:v>19852366</x:v>
      </x:c>
      <x:c r="D9" s="34" t="n">
        <x:f>B9-C9</x:f>
        <x:v>0</x:v>
      </x:c>
      <x:c r="E9" s="23" t="str">
        <x:f>IF(B9=C9,"Exact","Mismatch")</x:f>
        <x:v>Exact</x:v>
      </x:c>
    </x:row>
    <x:row r="10">
      <x:c r="A10" s="23" t="str">
        <x:v>New York weighted housing-unit population</x:v>
      </x:c>
      <x:c r="B10" s="34" t="n">
        <x:v>19227424</x:v>
      </x:c>
      <x:c r="C10" s="34" t="n">
        <x:v>19227424</x:v>
      </x:c>
      <x:c r="D10" s="34" t="n">
        <x:f>B10-C10</x:f>
        <x:v>0</x:v>
      </x:c>
      <x:c r="E10" s="23" t="str">
        <x:f>IF(B10=C10,"Exact","Mismatch")</x:f>
        <x:v>Exact</x:v>
      </x:c>
    </x:row>
    <x:row r="11">
      <x:c r="A11" s="24" t="str">
        <x:v>New York weighted group-quarters population</x:v>
      </x:c>
      <x:c r="B11" s="35" t="n">
        <x:v>624942</x:v>
      </x:c>
      <x:c r="C11" s="35" t="n">
        <x:v>624942</x:v>
      </x:c>
      <x:c r="D11" s="35" t="n">
        <x:f>B11-C11</x:f>
        <x:v>0</x:v>
      </x:c>
      <x:c r="E11" s="24" t="str">
        <x:f>IF(B11=C11,"Exact","Mismatch")</x:f>
        <x:v>Exact</x:v>
      </x:c>
    </x:row>
    <x:row r="12">
      <x:c r="A12" s="29"/>
      <x:c r="B12" s="29"/>
      <x:c r="C12" s="29"/>
      <x:c r="D12" s="29"/>
      <x:c r="E12" s="29"/>
    </x:row>
    <x:row r="13" ht="42" customHeight="1">
      <x:c r="A13" s="33" t="str">
        <x:v>Interpretation: PUMS-weighted estimates reproduce the official PUMS verification file. They may differ from tabulated ACS estimates and are not tract targets.</x:v>
      </x:c>
      <x:c r="B13" s="29"/>
      <x:c r="C13" s="29"/>
      <x:c r="D13" s="29"/>
      <x:c r="E13" s="29"/>
    </x:row>
    <x:row r="14">
      <x:c r="A14" s="29"/>
      <x:c r="B14" s="29"/>
      <x:c r="C14" s="29"/>
      <x:c r="D14" s="29"/>
      <x:c r="E14" s="29"/>
    </x:row>
    <x:row r="15">
      <x:c r="A15" s="29"/>
      <x:c r="B15" s="29"/>
      <x:c r="C15" s="29"/>
      <x:c r="D15" s="29"/>
      <x:c r="E15" s="29"/>
    </x:row>
  </x:sheetData>
  <x:conditionalFormatting sqref="E7:E11">
    <x:cfRule type="containsText" dxfId="0" priority="1" operator="containsText" text="Mismatch"/>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54" hidden="0" customWidth="1"/>
    <x:col min="2" max="2" width="22" hidden="0" customWidth="1"/>
    <x:col min="3" max="3" width="4" hidden="0" customWidth="1"/>
    <x:col min="4" max="4" width="24" hidden="0" customWidth="1"/>
    <x:col min="5" max="5" width="72" hidden="0" customWidth="1"/>
    <x:col min="6" max="6" width="18" hidden="0" customWidth="1"/>
    <x:col min="7" max="7" width="18" hidden="0" customWidth="1"/>
    <x:col min="8" max="8" width="18" hidden="0" customWidth="1"/>
  </x:cols>
  <x:sheetData>
    <x:row r="1" ht="20" customHeight="1">
      <x:c r="A1" s="1" t="str">
        <x:v>Donor Surface</x:v>
      </x:c>
      <x:c r="B1" s="29"/>
      <x:c r="C1" s="29"/>
      <x:c r="D1" s="29"/>
      <x:c r="E1" s="29"/>
      <x:c r="F1" s="29"/>
      <x:c r="G1" s="29"/>
      <x:c r="H1" s="29"/>
    </x:row>
    <x:row r="2" ht="20" customHeight="1">
      <x:c r="A2" s="2" t="str">
        <x:v>Unweighted records, weighted PUMS universe and observed joint-class counts for New York City PUMAs</x:v>
      </x:c>
      <x:c r="B2" s="29"/>
      <x:c r="C2" s="29"/>
      <x:c r="D2" s="29"/>
      <x:c r="E2" s="29"/>
      <x:c r="F2" s="29"/>
      <x:c r="G2" s="29"/>
      <x:c r="H2" s="29"/>
    </x:row>
    <x:row r="3" ht="20" customHeight="1">
      <x:c r="A3" s="30"/>
      <x:c r="B3" s="30"/>
      <x:c r="C3" s="30"/>
      <x:c r="D3" s="30"/>
      <x:c r="E3" s="30"/>
      <x:c r="F3" s="30"/>
      <x:c r="G3" s="30"/>
      <x:c r="H3" s="30"/>
      <x:c r="I3" s="3"/>
      <x:c r="J3" s="3"/>
      <x:c r="K3" s="3"/>
      <x:c r="L3" s="3"/>
      <x:c r="M3" s="3"/>
      <x:c r="N3" s="3"/>
    </x:row>
    <x:row r="4">
      <x:c r="A4" s="29"/>
      <x:c r="B4" s="29"/>
      <x:c r="C4" s="29"/>
      <x:c r="D4" s="29"/>
      <x:c r="E4" s="29"/>
      <x:c r="F4" s="29"/>
      <x:c r="G4" s="29"/>
      <x:c r="H4" s="29"/>
    </x:row>
    <x:row r="5" ht="20" customHeight="1">
      <x:c r="A5" s="6" t="str">
        <x:v>Housing and geography</x:v>
      </x:c>
      <x:c r="B5" s="7"/>
      <x:c r="C5" s="7"/>
      <x:c r="D5" s="7"/>
      <x:c r="E5" s="7"/>
      <x:c r="F5" s="8"/>
      <x:c r="G5" s="29"/>
      <x:c r="H5" s="29"/>
    </x:row>
    <x:row r="6" ht="30" customHeight="1">
      <x:c r="A6" s="19" t="str">
        <x:v>Measure</x:v>
      </x:c>
      <x:c r="B6" s="20" t="str">
        <x:v>Value</x:v>
      </x:c>
      <x:c r="C6" s="29"/>
      <x:c r="D6" s="29"/>
      <x:c r="E6" s="29"/>
      <x:c r="F6" s="29"/>
      <x:c r="G6" s="29"/>
      <x:c r="H6" s="29"/>
    </x:row>
    <x:row r="7">
      <x:c r="A7" s="23" t="str">
        <x:v>New York housing records</x:v>
      </x:c>
      <x:c r="B7" s="34" t="n">
        <x:v>481692</x:v>
      </x:c>
      <x:c r="C7" s="29"/>
      <x:c r="D7" s="29"/>
      <x:c r="E7" s="29"/>
      <x:c r="F7" s="29"/>
      <x:c r="G7" s="29"/>
      <x:c r="H7" s="29"/>
    </x:row>
    <x:row r="8">
      <x:c r="A8" s="23" t="str">
        <x:v>New York person records</x:v>
      </x:c>
      <x:c r="B8" s="34" t="n">
        <x:v>984474</x:v>
      </x:c>
      <x:c r="C8" s="29"/>
      <x:c r="D8" s="29"/>
      <x:c r="E8" s="29"/>
      <x:c r="F8" s="29"/>
      <x:c r="G8" s="29"/>
      <x:c r="H8" s="29"/>
    </x:row>
    <x:row r="9">
      <x:c r="A9" s="23" t="str">
        <x:v>NYC PUMAs</x:v>
      </x:c>
      <x:c r="B9" s="34" t="n">
        <x:v>55</x:v>
      </x:c>
      <x:c r="C9" s="29"/>
      <x:c r="D9" s="29"/>
      <x:c r="E9" s="29"/>
      <x:c r="F9" s="29"/>
      <x:c r="G9" s="29"/>
      <x:c r="H9" s="29"/>
    </x:row>
    <x:row r="10">
      <x:c r="A10" s="23" t="str">
        <x:v>Selected-local PUMAs</x:v>
      </x:c>
      <x:c r="B10" s="34" t="n">
        <x:v>17</x:v>
      </x:c>
      <x:c r="C10" s="29"/>
      <x:c r="D10" s="29"/>
      <x:c r="E10" s="29"/>
      <x:c r="F10" s="29"/>
      <x:c r="G10" s="29"/>
      <x:c r="H10" s="29"/>
    </x:row>
    <x:row r="11">
      <x:c r="A11" s="23" t="str">
        <x:v>NYC housing-file records</x:v>
      </x:c>
      <x:c r="B11" s="34" t="n">
        <x:v>154349</x:v>
      </x:c>
      <x:c r="C11" s="29"/>
      <x:c r="D11" s="29"/>
      <x:c r="E11" s="29"/>
      <x:c r="F11" s="29"/>
      <x:c r="G11" s="29"/>
      <x:c r="H11" s="29"/>
    </x:row>
    <x:row r="12">
      <x:c r="A12" s="23" t="str">
        <x:v>NYC occupied household records</x:v>
      </x:c>
      <x:c r="B12" s="34" t="n">
        <x:v>123463</x:v>
      </x:c>
      <x:c r="C12" s="29"/>
      <x:c r="D12" s="29"/>
      <x:c r="E12" s="29"/>
      <x:c r="F12" s="29"/>
      <x:c r="G12" s="29"/>
      <x:c r="H12" s="29"/>
    </x:row>
    <x:row r="13">
      <x:c r="A13" s="23" t="str">
        <x:v>NYC vacant housing-unit records</x:v>
      </x:c>
      <x:c r="B13" s="34" t="n">
        <x:v>9738</x:v>
      </x:c>
      <x:c r="C13" s="29"/>
      <x:c r="D13" s="29"/>
      <x:c r="E13" s="29"/>
      <x:c r="F13" s="29"/>
      <x:c r="G13" s="29"/>
      <x:c r="H13" s="29"/>
    </x:row>
    <x:row r="14">
      <x:c r="A14" s="23" t="str">
        <x:v>NYC group-quarters placeholder records</x:v>
      </x:c>
      <x:c r="B14" s="34" t="n">
        <x:v>21148</x:v>
      </x:c>
      <x:c r="C14" s="29"/>
      <x:c r="D14" s="29"/>
      <x:c r="E14" s="29"/>
      <x:c r="F14" s="29"/>
      <x:c r="G14" s="29"/>
      <x:c r="H14" s="29"/>
    </x:row>
    <x:row r="15">
      <x:c r="A15" s="23" t="str">
        <x:v>Weighted occupied households</x:v>
      </x:c>
      <x:c r="B15" s="34" t="n">
        <x:v>3334093</x:v>
      </x:c>
      <x:c r="C15" s="29"/>
      <x:c r="D15" s="29"/>
      <x:c r="E15" s="29"/>
      <x:c r="F15" s="29"/>
      <x:c r="G15" s="29"/>
      <x:c r="H15" s="29"/>
    </x:row>
    <x:row r="16">
      <x:c r="A16" s="23" t="str">
        <x:v>Weighted housing units</x:v>
      </x:c>
      <x:c r="B16" s="34" t="n">
        <x:v>3678486</x:v>
      </x:c>
      <x:c r="C16" s="29"/>
      <x:c r="D16" s="29"/>
      <x:c r="E16" s="29"/>
      <x:c r="F16" s="29"/>
      <x:c r="G16" s="29"/>
      <x:c r="H16" s="29"/>
    </x:row>
    <x:row r="17">
      <x:c r="A17" s="23" t="str">
        <x:v>Housing-file GQ weight sum</x:v>
      </x:c>
      <x:c r="B17" s="34" t="n">
        <x:v>0</x:v>
      </x:c>
      <x:c r="C17" s="29"/>
      <x:c r="D17" s="29"/>
      <x:c r="E17" s="29"/>
      <x:c r="F17" s="29"/>
      <x:c r="G17" s="29"/>
      <x:c r="H17" s="29"/>
    </x:row>
    <x:row r="18">
      <x:c r="A18" s="23" t="str">
        <x:v>Weighted GQ persons</x:v>
      </x:c>
      <x:c r="B18" s="34" t="n">
        <x:v>213616</x:v>
      </x:c>
      <x:c r="C18" s="29"/>
      <x:c r="D18" s="29"/>
      <x:c r="E18" s="29"/>
      <x:c r="F18" s="29"/>
      <x:c r="G18" s="29"/>
      <x:c r="H18" s="29"/>
    </x:row>
    <x:row r="19">
      <x:c r="A19" s="23" t="str">
        <x:v>NYC person records</x:v>
      </x:c>
      <x:c r="B19" s="34" t="n">
        <x:v>326729</x:v>
      </x:c>
      <x:c r="C19" s="29"/>
      <x:c r="D19" s="29"/>
      <x:c r="E19" s="29"/>
      <x:c r="F19" s="29"/>
      <x:c r="G19" s="29"/>
      <x:c r="H19" s="29"/>
    </x:row>
    <x:row r="20">
      <x:c r="A20" s="23" t="str">
        <x:v>Weighted persons</x:v>
      </x:c>
      <x:c r="B20" s="34" t="n">
        <x:v>8480225</x:v>
      </x:c>
      <x:c r="C20" s="29"/>
      <x:c r="D20" s="29"/>
      <x:c r="E20" s="29"/>
      <x:c r="F20" s="29"/>
      <x:c r="G20" s="29"/>
      <x:c r="H20" s="29"/>
    </x:row>
    <x:row r="21">
      <x:c r="A21" s="23" t="str">
        <x:v>Observed nine-dimensional household classes</x:v>
      </x:c>
      <x:c r="B21" s="34" t="n">
        <x:v>2123</x:v>
      </x:c>
      <x:c r="C21" s="29"/>
      <x:c r="D21" s="29"/>
      <x:c r="E21" s="29"/>
      <x:c r="F21" s="29"/>
      <x:c r="G21" s="29"/>
      <x:c r="H21" s="29"/>
    </x:row>
    <x:row r="22">
      <x:c r="A22" s="23" t="str">
        <x:v>Singleton classes</x:v>
      </x:c>
      <x:c r="B22" s="34" t="n">
        <x:v>346</x:v>
      </x:c>
      <x:c r="C22" s="29"/>
      <x:c r="D22" s="29"/>
      <x:c r="E22" s="29"/>
      <x:c r="F22" s="29"/>
      <x:c r="G22" s="29"/>
      <x:c r="H22" s="29"/>
    </x:row>
    <x:row r="23">
      <x:c r="A23" s="24" t="str">
        <x:v>Classes with fewer than five donors</x:v>
      </x:c>
      <x:c r="B23" s="35" t="n">
        <x:v>798</x:v>
      </x:c>
      <x:c r="C23" s="29"/>
      <x:c r="D23" s="29"/>
      <x:c r="E23" s="29"/>
      <x:c r="F23" s="29"/>
      <x:c r="G23" s="29"/>
      <x:c r="H23" s="29"/>
    </x:row>
    <x:row r="24">
      <x:c r="A24" s="29"/>
      <x:c r="B24" s="29"/>
      <x:c r="C24" s="29"/>
      <x:c r="D24" s="29"/>
      <x:c r="E24" s="29"/>
      <x:c r="F24" s="29"/>
      <x:c r="G24" s="29"/>
      <x:c r="H24" s="29"/>
    </x:row>
    <x:row r="25" ht="78" customHeight="1">
      <x:c r="A25" s="29"/>
      <x:c r="B25" s="29"/>
      <x:c r="C25" s="29"/>
      <x:c r="D25" s="37" t="str">
        <x:v>Group-quarters rule</x:v>
      </x:c>
      <x:c r="E25" s="37" t="str">
        <x:v>Housing-file GQ rows are placeholders and carry zero WGTP. Group-quarters population uses person records and PWGTP; it follows a separate synthesis path.</x:v>
      </x:c>
      <x:c r="F25" s="29"/>
      <x:c r="G25" s="29"/>
      <x:c r="H25" s="29"/>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2" hidden="0" customWidth="1"/>
    <x:col min="2" max="2" width="24" hidden="0" customWidth="1"/>
    <x:col min="3" max="3" width="22" hidden="0" customWidth="1"/>
    <x:col min="4" max="4" width="18" hidden="0" customWidth="1"/>
  </x:cols>
  <x:sheetData>
    <x:row r="1" ht="20" customHeight="1">
      <x:c r="A1" s="1" t="str">
        <x:v>Weighted Profiles</x:v>
      </x:c>
      <x:c r="B1" s="29"/>
      <x:c r="C1" s="29"/>
      <x:c r="D1" s="29"/>
    </x:row>
    <x:row r="2" ht="20" customHeight="1">
      <x:c r="A2" s="2" t="str">
        <x:v>PUMS-weighted donor-universe profiles; descriptive context, not selected-tract targets</x:v>
      </x:c>
      <x:c r="B2" s="29"/>
      <x:c r="C2" s="29"/>
      <x:c r="D2" s="29"/>
    </x:row>
    <x:row r="3" ht="20" customHeight="1">
      <x:c r="A3" s="30"/>
      <x:c r="B3" s="30"/>
      <x:c r="C3" s="30"/>
      <x:c r="D3" s="30"/>
      <x:c r="E3" s="3"/>
      <x:c r="F3" s="3"/>
      <x:c r="G3" s="3"/>
      <x:c r="H3" s="3"/>
      <x:c r="I3" s="3"/>
      <x:c r="J3" s="3"/>
      <x:c r="K3" s="3"/>
      <x:c r="L3" s="3"/>
      <x:c r="M3" s="3"/>
      <x:c r="N3" s="3"/>
    </x:row>
    <x:row r="4">
      <x:c r="A4" s="29"/>
      <x:c r="B4" s="29"/>
      <x:c r="C4" s="29"/>
      <x:c r="D4" s="29"/>
    </x:row>
    <x:row r="5" ht="20" customHeight="1">
      <x:c r="A5" s="6" t="str">
        <x:v>Person characteristics</x:v>
      </x:c>
      <x:c r="B5" s="7"/>
      <x:c r="C5" s="7"/>
      <x:c r="D5" s="8"/>
    </x:row>
    <x:row r="6" ht="30" customHeight="1">
      <x:c r="A6" s="19" t="str">
        <x:v>Characteristic</x:v>
      </x:c>
      <x:c r="B6" s="28" t="str">
        <x:v>Weighted persons</x:v>
      </x:c>
      <x:c r="C6" s="20" t="str">
        <x:v>Share of persons</x:v>
      </x:c>
      <x:c r="D6" s="29"/>
    </x:row>
    <x:row r="7">
      <x:c r="A7" s="23" t="str">
        <x:v>population</x:v>
      </x:c>
      <x:c r="B7" s="34" t="n">
        <x:v>8480225</x:v>
      </x:c>
      <x:c r="C7" s="38" t="n">
        <x:f>B7/$B$7</x:f>
        <x:v>1</x:v>
      </x:c>
      <x:c r="D7" s="29"/>
    </x:row>
    <x:row r="8">
      <x:c r="A8" s="23" t="str">
        <x:v>under18</x:v>
      </x:c>
      <x:c r="B8" s="34" t="n">
        <x:v>1711840</x:v>
      </x:c>
      <x:c r="C8" s="38" t="n">
        <x:f>B8/$B$7</x:f>
        <x:v>0.201862568504963</x:v>
      </x:c>
      <x:c r="D8" s="29"/>
    </x:row>
    <x:row r="9">
      <x:c r="A9" s="23" t="str">
        <x:v>age65 plus</x:v>
      </x:c>
      <x:c r="B9" s="34" t="n">
        <x:v>1404966</x:v>
      </x:c>
      <x:c r="C9" s="38" t="n">
        <x:f>B9/$B$7</x:f>
        <x:v>0.16567555695750996</x:v>
      </x:c>
      <x:c r="D9" s="29"/>
    </x:row>
    <x:row r="10">
      <x:c r="A10" s="23" t="str">
        <x:v>age75 plus</x:v>
      </x:c>
      <x:c r="B10" s="34" t="n">
        <x:v>602197</x:v>
      </x:c>
      <x:c r="C10" s="38" t="n">
        <x:f>B10/$B$7</x:f>
        <x:v>0.0710119130093836</x:v>
      </x:c>
      <x:c r="D10" s="29"/>
    </x:row>
    <x:row r="11">
      <x:c r="A11" s="23" t="str">
        <x:v>age85 plus</x:v>
      </x:c>
      <x:c r="B11" s="34" t="n">
        <x:v>173854</x:v>
      </x:c>
      <x:c r="C11" s="38" t="n">
        <x:f>B11/$B$7</x:f>
        <x:v>0.020501106987137724</x:v>
      </x:c>
      <x:c r="D11" s="29"/>
    </x:row>
    <x:row r="12">
      <x:c r="A12" s="23" t="str">
        <x:v>any disability</x:v>
      </x:c>
      <x:c r="B12" s="34" t="n">
        <x:v>1082919</x:v>
      </x:c>
      <x:c r="C12" s="38" t="n">
        <x:f>B12/$B$7</x:f>
        <x:v>0.1276993240155774</x:v>
      </x:c>
      <x:c r="D12" s="29"/>
    </x:row>
    <x:row r="13">
      <x:c r="A13" s="23" t="str">
        <x:v>ambulatory difficulty</x:v>
      </x:c>
      <x:c r="B13" s="34" t="n">
        <x:v>638690</x:v>
      </x:c>
      <x:c r="C13" s="38" t="n">
        <x:f>B13/$B$7</x:f>
        <x:v>0.07531521864101483</x:v>
      </x:c>
      <x:c r="D13" s="29"/>
    </x:row>
    <x:row r="14">
      <x:c r="A14" s="23" t="str">
        <x:v>hearing difficulty</x:v>
      </x:c>
      <x:c r="B14" s="34" t="n">
        <x:v>196577</x:v>
      </x:c>
      <x:c r="C14" s="38" t="n">
        <x:f>B14/$B$7</x:f>
        <x:v>0.02318063494777556</x:v>
      </x:c>
      <x:c r="D14" s="29"/>
    </x:row>
    <x:row r="15">
      <x:c r="A15" s="23" t="str">
        <x:v>vision difficulty</x:v>
      </x:c>
      <x:c r="B15" s="34" t="n">
        <x:v>229069</x:v>
      </x:c>
      <x:c r="C15" s="38" t="n">
        <x:f>B15/$B$7</x:f>
        <x:v>0.02701213706004263</x:v>
      </x:c>
      <x:c r="D15" s="29"/>
    </x:row>
    <x:row r="16">
      <x:c r="A16" s="23" t="str">
        <x:v>cognitive difficulty</x:v>
      </x:c>
      <x:c r="B16" s="34" t="n">
        <x:v>429025</x:v>
      </x:c>
      <x:c r="C16" s="38" t="n">
        <x:f>B16/$B$7</x:f>
        <x:v>0.05059122841669885</x:v>
      </x:c>
      <x:c r="D16" s="29"/>
    </x:row>
    <x:row r="17">
      <x:c r="A17" s="23" t="str">
        <x:v>self care difficulty</x:v>
      </x:c>
      <x:c r="B17" s="34" t="n">
        <x:v>293133</x:v>
      </x:c>
      <x:c r="C17" s="38" t="n">
        <x:f>B17/$B$7</x:f>
        <x:v>0.03456665359704489</x:v>
      </x:c>
      <x:c r="D17" s="29"/>
    </x:row>
    <x:row r="18">
      <x:c r="A18" s="24" t="str">
        <x:v>independent living difficulty</x:v>
      </x:c>
      <x:c r="B18" s="35" t="n">
        <x:v>488885</x:v>
      </x:c>
      <x:c r="C18" s="39" t="n">
        <x:f>B18/$B$7</x:f>
        <x:v>0.057650003390240234</x:v>
      </x:c>
      <x:c r="D18" s="29"/>
    </x:row>
    <x:row r="19">
      <x:c r="A19" s="29"/>
      <x:c r="B19" s="29"/>
      <x:c r="C19" s="29"/>
      <x:c r="D19" s="29"/>
    </x:row>
    <x:row r="20">
      <x:c r="A20" s="29"/>
      <x:c r="B20" s="29"/>
      <x:c r="C20" s="29"/>
      <x:c r="D20" s="29"/>
    </x:row>
    <x:row r="21" ht="20" customHeight="1">
      <x:c r="A21" s="6" t="str">
        <x:v>Household characteristics</x:v>
      </x:c>
      <x:c r="B21" s="7"/>
      <x:c r="C21" s="7"/>
      <x:c r="D21" s="8"/>
    </x:row>
    <x:row r="22" ht="30" customHeight="1">
      <x:c r="A22" s="19" t="str">
        <x:v>Characteristic</x:v>
      </x:c>
      <x:c r="B22" s="28" t="str">
        <x:v>Weighted households</x:v>
      </x:c>
      <x:c r="C22" s="20" t="str">
        <x:v>Share of households</x:v>
      </x:c>
      <x:c r="D22" s="29"/>
    </x:row>
    <x:row r="23">
      <x:c r="A23" s="23" t="str">
        <x:v>occupied households</x:v>
      </x:c>
      <x:c r="B23" s="34" t="n">
        <x:v>3334093</x:v>
      </x:c>
      <x:c r="C23" s="38" t="n">
        <x:f>B23/$B$23</x:f>
        <x:v>1</x:v>
      </x:c>
      <x:c r="D23" s="29"/>
    </x:row>
    <x:row r="24">
      <x:c r="A24" s="23" t="str">
        <x:v>one person households</x:v>
      </x:c>
      <x:c r="B24" s="34" t="n">
        <x:v>1129414</x:v>
      </x:c>
      <x:c r="C24" s="38" t="n">
        <x:f>B24/$B$23</x:f>
        <x:v>0.33874699955880055</x:v>
      </x:c>
      <x:c r="D24" s="29"/>
    </x:row>
    <x:row r="25">
      <x:c r="A25" s="23" t="str">
        <x:v>with children under18</x:v>
      </x:c>
      <x:c r="B25" s="34" t="n">
        <x:v>859799</x:v>
      </x:c>
      <x:c r="C25" s="38" t="n">
        <x:f>B25/$B$23</x:f>
        <x:v>0.25788092893629544</x:v>
      </x:c>
      <x:c r="D25" s="29"/>
    </x:row>
    <x:row r="26">
      <x:c r="A26" s="23" t="str">
        <x:v>with person 65 plus</x:v>
      </x:c>
      <x:c r="B26" s="34" t="n">
        <x:v>1059700</x:v>
      </x:c>
      <x:c r="C26" s="38" t="n">
        <x:f>B26/$B$23</x:f>
        <x:v>0.31783756481897774</x:v>
      </x:c>
      <x:c r="D26" s="29"/>
    </x:row>
    <x:row r="27">
      <x:c r="A27" s="23" t="str">
        <x:v>no vehicle</x:v>
      </x:c>
      <x:c r="B27" s="34" t="n">
        <x:v>1837615</x:v>
      </x:c>
      <x:c r="C27" s="38" t="n">
        <x:f>B27/$B$23</x:f>
        <x:v>0.5511588908887665</x:v>
      </x:c>
      <x:c r="D27" s="29"/>
    </x:row>
    <x:row r="28">
      <x:c r="A28" s="23" t="str">
        <x:v>limited english</x:v>
      </x:c>
      <x:c r="B28" s="34" t="n">
        <x:v>471034</x:v>
      </x:c>
      <x:c r="C28" s="38" t="n">
        <x:f>B28/$B$23</x:f>
        <x:v>0.14127800274317484</x:v>
      </x:c>
      <x:c r="D28" s="29"/>
    </x:row>
    <x:row r="29">
      <x:c r="A29" s="23" t="str">
        <x:v>owner</x:v>
      </x:c>
      <x:c r="B29" s="34" t="n">
        <x:v>1093232</x:v>
      </x:c>
      <x:c r="C29" s="38" t="n">
        <x:f>B29/$B$23</x:f>
        <x:v>0.3278948727584983</x:v>
      </x:c>
      <x:c r="D29" s="29"/>
    </x:row>
    <x:row r="30">
      <x:c r="A30" s="23" t="str">
        <x:v>renter or no cash</x:v>
      </x:c>
      <x:c r="B30" s="34" t="n">
        <x:v>2240861</x:v>
      </x:c>
      <x:c r="C30" s="38" t="n">
        <x:f>B30/$B$23</x:f>
        <x:v>0.6721051272415016</x:v>
      </x:c>
      <x:c r="D30" s="29"/>
    </x:row>
    <x:row r="31">
      <x:c r="A31" s="24" t="str">
        <x:v>structure 50 plus</x:v>
      </x:c>
      <x:c r="B31" s="35" t="n">
        <x:v>1069132</x:v>
      </x:c>
      <x:c r="C31" s="39" t="n">
        <x:f>B31/$B$23</x:f>
        <x:v>0.3206665201000692</x:v>
      </x:c>
      <x:c r="D31" s="29"/>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2" hidden="0" customWidth="1"/>
    <x:col min="2" max="2" width="60" hidden="0" customWidth="1"/>
    <x:col min="3" max="3" width="16" hidden="0" customWidth="1"/>
    <x:col min="4" max="4" width="16" hidden="0" customWidth="1"/>
    <x:col min="5" max="5" width="42" hidden="0" customWidth="1"/>
    <x:col min="6" max="6" width="16" hidden="0" customWidth="1"/>
    <x:col min="7" max="7" width="20" hidden="0" customWidth="1"/>
    <x:col min="8" max="8" width="14" hidden="0" customWidth="1"/>
    <x:col min="9" max="9" width="18" hidden="0" customWidth="1"/>
    <x:col min="10" max="10" width="16" hidden="0" customWidth="1"/>
  </x:cols>
  <x:sheetData>
    <x:row r="1" ht="20" customHeight="1">
      <x:c r="A1" s="1" t="str">
        <x:v>PUMA Geography</x:v>
      </x:c>
      <x:c r="B1" s="29"/>
      <x:c r="C1" s="29"/>
      <x:c r="D1" s="29"/>
      <x:c r="E1" s="29"/>
      <x:c r="F1" s="29"/>
      <x:c r="G1" s="29"/>
      <x:c r="H1" s="29"/>
      <x:c r="I1" s="29"/>
      <x:c r="J1" s="29"/>
    </x:row>
    <x:row r="2" ht="20" customHeight="1">
      <x:c r="A2" s="2" t="str">
        <x:v>All 55 New York City PUMAs with donor counts and geometric adjacency</x:v>
      </x:c>
      <x:c r="B2" s="29"/>
      <x:c r="C2" s="29"/>
      <x:c r="D2" s="29"/>
      <x:c r="E2" s="29"/>
      <x:c r="F2" s="29"/>
      <x:c r="G2" s="29"/>
      <x:c r="H2" s="29"/>
      <x:c r="I2" s="29"/>
      <x:c r="J2" s="29"/>
    </x:row>
    <x:row r="3" ht="20" customHeight="1">
      <x:c r="A3" s="30"/>
      <x:c r="B3" s="30"/>
      <x:c r="C3" s="30"/>
      <x:c r="D3" s="30"/>
      <x:c r="E3" s="30"/>
      <x:c r="F3" s="30"/>
      <x:c r="G3" s="30"/>
      <x:c r="H3" s="30"/>
      <x:c r="I3" s="30"/>
      <x:c r="J3" s="30"/>
      <x:c r="K3" s="3"/>
      <x:c r="L3" s="3"/>
      <x:c r="M3" s="3"/>
      <x:c r="N3" s="3"/>
    </x:row>
    <x:row r="4">
      <x:c r="A4" s="29"/>
      <x:c r="B4" s="29"/>
      <x:c r="C4" s="29"/>
      <x:c r="D4" s="29"/>
      <x:c r="E4" s="29"/>
      <x:c r="F4" s="29"/>
      <x:c r="G4" s="29"/>
      <x:c r="H4" s="29"/>
      <x:c r="I4" s="29"/>
      <x:c r="J4" s="29"/>
    </x:row>
    <x:row r="5">
      <x:c r="A5" s="29"/>
      <x:c r="B5" s="29"/>
      <x:c r="C5" s="29"/>
      <x:c r="D5" s="29"/>
      <x:c r="E5" s="29"/>
      <x:c r="F5" s="29"/>
      <x:c r="G5" s="29"/>
      <x:c r="H5" s="29"/>
      <x:c r="I5" s="29"/>
      <x:c r="J5" s="29"/>
    </x:row>
    <x:row r="6" ht="30" customHeight="1">
      <x:c r="A6" s="19" t="str">
        <x:v>ST-PUMA</x:v>
      </x:c>
      <x:c r="B6" s="28" t="str">
        <x:v>Name</x:v>
      </x:c>
      <x:c r="C6" s="28" t="str">
        <x:v>Borough</x:v>
      </x:c>
      <x:c r="D6" s="28" t="str">
        <x:v>Selected-local</x:v>
      </x:c>
      <x:c r="E6" s="28" t="str">
        <x:v>Touching NYC ST-PUMAs</x:v>
      </x:c>
      <x:c r="F6" s="28" t="str">
        <x:v>Raw households</x:v>
      </x:c>
      <x:c r="G6" s="28" t="str">
        <x:v>Weighted households</x:v>
      </x:c>
      <x:c r="H6" s="28" t="str">
        <x:v>Raw persons</x:v>
      </x:c>
      <x:c r="I6" s="28" t="str">
        <x:v>Weighted persons</x:v>
      </x:c>
      <x:c r="J6" s="20" t="str">
        <x:v>Observed classes</x:v>
      </x:c>
    </x:row>
    <x:row r="7">
      <x:c r="A7" s="23" t="str">
        <x:v>36-04103</x:v>
      </x:c>
      <x:c r="B7" s="23" t="str">
        <x:v>NYC-Manhattan Community District 3--Lower East Side &amp; Chinatown PUMA</x:v>
      </x:c>
      <x:c r="C7" s="23" t="str">
        <x:v>Manhattan</x:v>
      </x:c>
      <x:c r="D7" s="43" t="b">
        <x:v>0</x:v>
      </x:c>
      <x:c r="E7" s="23" t="str">
        <x:v>36-04121, 36-04165, 36-04301, 36-04302</x:v>
      </x:c>
      <x:c r="F7" s="34" t="n">
        <x:v>2332</x:v>
      </x:c>
      <x:c r="G7" s="34" t="n">
        <x:v>73869</x:v>
      </x:c>
      <x:c r="H7" s="34" t="n">
        <x:v>5218</x:v>
      </x:c>
      <x:c r="I7" s="34" t="n">
        <x:v>155150</x:v>
      </x:c>
      <x:c r="J7" s="34" t="n">
        <x:v>367</x:v>
      </x:c>
    </x:row>
    <x:row r="8">
      <x:c r="A8" s="23" t="str">
        <x:v>36-04104</x:v>
      </x:c>
      <x:c r="B8" s="23" t="str">
        <x:v>NYC-Manhattan Community District 4--Chelsea &amp; Hell's Kitchen PUMA</x:v>
      </x:c>
      <x:c r="C8" s="23" t="str">
        <x:v>Manhattan</x:v>
      </x:c>
      <x:c r="D8" s="43" t="b">
        <x:v>0</x:v>
      </x:c>
      <x:c r="E8" s="23" t="str">
        <x:v>36-04107, 36-04121, 36-04165</x:v>
      </x:c>
      <x:c r="F8" s="34" t="n">
        <x:v>1760</x:v>
      </x:c>
      <x:c r="G8" s="34" t="n">
        <x:v>68730</x:v>
      </x:c>
      <x:c r="H8" s="34" t="n">
        <x:v>3239</x:v>
      </x:c>
      <x:c r="I8" s="34" t="n">
        <x:v>118262</x:v>
      </x:c>
      <x:c r="J8" s="34" t="n">
        <x:v>231</x:v>
      </x:c>
    </x:row>
    <x:row r="9">
      <x:c r="A9" s="23" t="str">
        <x:v>36-04107</x:v>
      </x:c>
      <x:c r="B9" s="23" t="str">
        <x:v>NYC-Manhattan Community District 7--Upper West Side PUMA</x:v>
      </x:c>
      <x:c r="C9" s="23" t="str">
        <x:v>Manhattan</x:v>
      </x:c>
      <x:c r="D9" s="43" t="b">
        <x:v>1</x:v>
      </x:c>
      <x:c r="E9" s="23" t="str">
        <x:v>36-04104, 36-04108, 36-04109, 36-04110, 36-04111, 36-04165</x:v>
      </x:c>
      <x:c r="F9" s="34" t="n">
        <x:v>2667</x:v>
      </x:c>
      <x:c r="G9" s="34" t="n">
        <x:v>108667</x:v>
      </x:c>
      <x:c r="H9" s="34" t="n">
        <x:v>5701</x:v>
      </x:c>
      <x:c r="I9" s="34" t="n">
        <x:v>221443</x:v>
      </x:c>
      <x:c r="J9" s="34" t="n">
        <x:v>337</x:v>
      </x:c>
    </x:row>
    <x:row r="10">
      <x:c r="A10" s="23" t="str">
        <x:v>36-04108</x:v>
      </x:c>
      <x:c r="B10" s="23" t="str">
        <x:v>NYC-Manhattan Community District 8--Upper East Side &amp; Roosevelt Island PUMA</x:v>
      </x:c>
      <x:c r="C10" s="23" t="str">
        <x:v>Manhattan</x:v>
      </x:c>
      <x:c r="D10" s="43" t="b">
        <x:v>0</x:v>
      </x:c>
      <x:c r="E10" s="23" t="str">
        <x:v>36-04107, 36-04111, 36-04165, 36-04401, 36-04402</x:v>
      </x:c>
      <x:c r="F10" s="34" t="n">
        <x:v>3194</x:v>
      </x:c>
      <x:c r="G10" s="34" t="n">
        <x:v>110965</x:v>
      </x:c>
      <x:c r="H10" s="34" t="n">
        <x:v>6322</x:v>
      </x:c>
      <x:c r="I10" s="34" t="n">
        <x:v>211724</x:v>
      </x:c>
      <x:c r="J10" s="34" t="n">
        <x:v>361</x:v>
      </x:c>
    </x:row>
    <x:row r="11">
      <x:c r="A11" s="23" t="str">
        <x:v>36-04109</x:v>
      </x:c>
      <x:c r="B11" s="23" t="str">
        <x:v>NYC-Manhattan Community District 9--Morningside Heights &amp; Hamilton Heights PUMA</x:v>
      </x:c>
      <x:c r="C11" s="23" t="str">
        <x:v>Manhattan</x:v>
      </x:c>
      <x:c r="D11" s="43" t="b">
        <x:v>0</x:v>
      </x:c>
      <x:c r="E11" s="23" t="str">
        <x:v>36-04107, 36-04110, 36-04112</x:v>
      </x:c>
      <x:c r="F11" s="34" t="n">
        <x:v>1314</x:v>
      </x:c>
      <x:c r="G11" s="34" t="n">
        <x:v>41053</x:v>
      </x:c>
      <x:c r="H11" s="34" t="n">
        <x:v>4053</x:v>
      </x:c>
      <x:c r="I11" s="34" t="n">
        <x:v>112774</x:v>
      </x:c>
      <x:c r="J11" s="34" t="n">
        <x:v>301</x:v>
      </x:c>
    </x:row>
    <x:row r="12">
      <x:c r="A12" s="23" t="str">
        <x:v>36-04110</x:v>
      </x:c>
      <x:c r="B12" s="23" t="str">
        <x:v>NYC-Manhattan Community District 10--Harlem PUMA</x:v>
      </x:c>
      <x:c r="C12" s="23" t="str">
        <x:v>Manhattan</x:v>
      </x:c>
      <x:c r="D12" s="43" t="b">
        <x:v>1</x:v>
      </x:c>
      <x:c r="E12" s="23" t="str">
        <x:v>36-04107, 36-04109, 36-04111, 36-04112, 36-04204</x:v>
      </x:c>
      <x:c r="F12" s="34" t="n">
        <x:v>1727</x:v>
      </x:c>
      <x:c r="G12" s="34" t="n">
        <x:v>58715</x:v>
      </x:c>
      <x:c r="H12" s="34" t="n">
        <x:v>3766</x:v>
      </x:c>
      <x:c r="I12" s="34" t="n">
        <x:v>134870</x:v>
      </x:c>
      <x:c r="J12" s="34" t="n">
        <x:v>320</x:v>
      </x:c>
    </x:row>
    <x:row r="13">
      <x:c r="A13" s="23" t="str">
        <x:v>36-04111</x:v>
      </x:c>
      <x:c r="B13" s="23" t="str">
        <x:v>NYC-Manhattan Community District 11--East Harlem PUMA</x:v>
      </x:c>
      <x:c r="C13" s="23" t="str">
        <x:v>Manhattan</x:v>
      </x:c>
      <x:c r="D13" s="43" t="b">
        <x:v>1</x:v>
      </x:c>
      <x:c r="E13" s="23" t="str">
        <x:v>36-04107, 36-04108, 36-04110, 36-04204, 36-04221, 36-04401</x:v>
      </x:c>
      <x:c r="F13" s="34" t="n">
        <x:v>1619</x:v>
      </x:c>
      <x:c r="G13" s="34" t="n">
        <x:v>55101</x:v>
      </x:c>
      <x:c r="H13" s="34" t="n">
        <x:v>3873</x:v>
      </x:c>
      <x:c r="I13" s="34" t="n">
        <x:v>127438</x:v>
      </x:c>
      <x:c r="J13" s="34" t="n">
        <x:v>319</x:v>
      </x:c>
    </x:row>
    <x:row r="14">
      <x:c r="A14" s="23" t="str">
        <x:v>36-04112</x:v>
      </x:c>
      <x:c r="B14" s="23" t="str">
        <x:v>NYC-Manhattan Community District 12--Washington Heights &amp; Inwood PUMA</x:v>
      </x:c>
      <x:c r="C14" s="23" t="str">
        <x:v>Manhattan</x:v>
      </x:c>
      <x:c r="D14" s="43" t="b">
        <x:v>0</x:v>
      </x:c>
      <x:c r="E14" s="23" t="str">
        <x:v>36-04109, 36-04110, 36-04204, 36-04205, 36-04207, 36-04208</x:v>
      </x:c>
      <x:c r="F14" s="34" t="n">
        <x:v>2248</x:v>
      </x:c>
      <x:c r="G14" s="34" t="n">
        <x:v>75402</x:v>
      </x:c>
      <x:c r="H14" s="34" t="n">
        <x:v>5362</x:v>
      </x:c>
      <x:c r="I14" s="34" t="n">
        <x:v>197302</x:v>
      </x:c>
      <x:c r="J14" s="34" t="n">
        <x:v>434</x:v>
      </x:c>
    </x:row>
    <x:row r="15">
      <x:c r="A15" s="23" t="str">
        <x:v>36-04121</x:v>
      </x:c>
      <x:c r="B15" s="23" t="str">
        <x:v>NYC-Manhattan Community Districts 1 &amp; 2--Financial District &amp; Greenwich Village PUMA</x:v>
      </x:c>
      <x:c r="C15" s="23" t="str">
        <x:v>Manhattan</x:v>
      </x:c>
      <x:c r="D15" s="43" t="b">
        <x:v>0</x:v>
      </x:c>
      <x:c r="E15" s="23" t="str">
        <x:v>36-04103, 36-04104, 36-04165, 36-04302, 36-04306</x:v>
      </x:c>
      <x:c r="F15" s="34" t="n">
        <x:v>2464</x:v>
      </x:c>
      <x:c r="G15" s="34" t="n">
        <x:v>78564</x:v>
      </x:c>
      <x:c r="H15" s="34" t="n">
        <x:v>5198</x:v>
      </x:c>
      <x:c r="I15" s="34" t="n">
        <x:v>155159</x:v>
      </x:c>
      <x:c r="J15" s="34" t="n">
        <x:v>289</x:v>
      </x:c>
    </x:row>
    <x:row r="16">
      <x:c r="A16" s="23" t="str">
        <x:v>36-04165</x:v>
      </x:c>
      <x:c r="B16" s="23" t="str">
        <x:v>NYC-Manhattan Community Districts 5 &amp; 6--Midtown, East Midtown, &amp; Flatiron PUMA</x:v>
      </x:c>
      <x:c r="C16" s="23" t="str">
        <x:v>Manhattan</x:v>
      </x:c>
      <x:c r="D16" s="43" t="b">
        <x:v>1</x:v>
      </x:c>
      <x:c r="E16" s="23" t="str">
        <x:v>36-04103, 36-04104, 36-04107, 36-04108, 36-04121, 36-04301, 36-04402</x:v>
      </x:c>
      <x:c r="F16" s="34" t="n">
        <x:v>2966</x:v>
      </x:c>
      <x:c r="G16" s="34" t="n">
        <x:v>107217</x:v>
      </x:c>
      <x:c r="H16" s="34" t="n">
        <x:v>5775</x:v>
      </x:c>
      <x:c r="I16" s="34" t="n">
        <x:v>194841</x:v>
      </x:c>
      <x:c r="J16" s="34" t="n">
        <x:v>294</x:v>
      </x:c>
    </x:row>
    <x:row r="17">
      <x:c r="A17" s="23" t="str">
        <x:v>36-04204</x:v>
      </x:c>
      <x:c r="B17" s="23" t="str">
        <x:v>NYC-Bronx Community District 4--Highbridge &amp; Concourse PUMA</x:v>
      </x:c>
      <x:c r="C17" s="23" t="str">
        <x:v>Bronx</x:v>
      </x:c>
      <x:c r="D17" s="43" t="b">
        <x:v>0</x:v>
      </x:c>
      <x:c r="E17" s="23" t="str">
        <x:v>36-04110, 36-04111, 36-04112, 36-04205, 36-04221, 36-04263</x:v>
      </x:c>
      <x:c r="F17" s="34" t="n">
        <x:v>1296</x:v>
      </x:c>
      <x:c r="G17" s="34" t="n">
        <x:v>56788</x:v>
      </x:c>
      <x:c r="H17" s="34" t="n">
        <x:v>3599</x:v>
      </x:c>
      <x:c r="I17" s="34" t="n">
        <x:v>146631</x:v>
      </x:c>
      <x:c r="J17" s="34" t="n">
        <x:v>371</x:v>
      </x:c>
    </x:row>
    <x:row r="18">
      <x:c r="A18" s="23" t="str">
        <x:v>36-04205</x:v>
      </x:c>
      <x:c r="B18" s="23" t="str">
        <x:v>NYC-Bronx Community District 5--Morris Heights &amp; Mount Hope PUMA</x:v>
      </x:c>
      <x:c r="C18" s="23" t="str">
        <x:v>Bronx</x:v>
      </x:c>
      <x:c r="D18" s="43" t="b">
        <x:v>1</x:v>
      </x:c>
      <x:c r="E18" s="23" t="str">
        <x:v>36-04112, 36-04204, 36-04207, 36-04263</x:v>
      </x:c>
      <x:c r="F18" s="34" t="n">
        <x:v>1190</x:v>
      </x:c>
      <x:c r="G18" s="34" t="n">
        <x:v>47289</x:v>
      </x:c>
      <x:c r="H18" s="34" t="n">
        <x:v>3472</x:v>
      </x:c>
      <x:c r="I18" s="34" t="n">
        <x:v>131198</x:v>
      </x:c>
      <x:c r="J18" s="34" t="n">
        <x:v>345</x:v>
      </x:c>
    </x:row>
    <x:row r="19">
      <x:c r="A19" s="23" t="str">
        <x:v>36-04207</x:v>
      </x:c>
      <x:c r="B19" s="23" t="str">
        <x:v>NYC-Bronx Community District 7--Fordham, Bedford Park, &amp; Norwood PUMA</x:v>
      </x:c>
      <x:c r="C19" s="23" t="str">
        <x:v>Bronx</x:v>
      </x:c>
      <x:c r="D19" s="43" t="b">
        <x:v>1</x:v>
      </x:c>
      <x:c r="E19" s="23" t="str">
        <x:v>36-04112, 36-04205, 36-04208, 36-04212, 36-04263</x:v>
      </x:c>
      <x:c r="F19" s="34" t="n">
        <x:v>1557</x:v>
      </x:c>
      <x:c r="G19" s="34" t="n">
        <x:v>50346</x:v>
      </x:c>
      <x:c r="H19" s="34" t="n">
        <x:v>4126</x:v>
      </x:c>
      <x:c r="I19" s="34" t="n">
        <x:v>127793</x:v>
      </x:c>
      <x:c r="J19" s="34" t="n">
        <x:v>422</x:v>
      </x:c>
    </x:row>
    <x:row r="20">
      <x:c r="A20" s="23" t="str">
        <x:v>36-04208</x:v>
      </x:c>
      <x:c r="B20" s="23" t="str">
        <x:v>NYC-Bronx Community District 8--Riverdale, Kingsbridge, &amp; Marble Hill PUMA</x:v>
      </x:c>
      <x:c r="C20" s="23" t="str">
        <x:v>Bronx</x:v>
      </x:c>
      <x:c r="D20" s="43" t="b">
        <x:v>0</x:v>
      </x:c>
      <x:c r="E20" s="23" t="str">
        <x:v>36-04112, 36-04207, 36-04212</x:v>
      </x:c>
      <x:c r="F20" s="34" t="n">
        <x:v>1529</x:v>
      </x:c>
      <x:c r="G20" s="34" t="n">
        <x:v>40747</x:v>
      </x:c>
      <x:c r="H20" s="34" t="n">
        <x:v>3950</x:v>
      </x:c>
      <x:c r="I20" s="34" t="n">
        <x:v>97512</x:v>
      </x:c>
      <x:c r="J20" s="34" t="n">
        <x:v>434</x:v>
      </x:c>
    </x:row>
    <x:row r="21">
      <x:c r="A21" s="23" t="str">
        <x:v>36-04209</x:v>
      </x:c>
      <x:c r="B21" s="23" t="str">
        <x:v>NYC-Bronx Community District 9--Soundview &amp; Parkchester PUMA</x:v>
      </x:c>
      <x:c r="C21" s="23" t="str">
        <x:v>Bronx</x:v>
      </x:c>
      <x:c r="D21" s="43" t="b">
        <x:v>1</x:v>
      </x:c>
      <x:c r="E21" s="23" t="str">
        <x:v>36-04210, 36-04211, 36-04221, 36-04263, 36-04407</x:v>
      </x:c>
      <x:c r="F21" s="34" t="n">
        <x:v>1971</x:v>
      </x:c>
      <x:c r="G21" s="34" t="n">
        <x:v>63394</x:v>
      </x:c>
      <x:c r="H21" s="34" t="n">
        <x:v>5552</x:v>
      </x:c>
      <x:c r="I21" s="34" t="n">
        <x:v>168887</x:v>
      </x:c>
      <x:c r="J21" s="34" t="n">
        <x:v>650</x:v>
      </x:c>
    </x:row>
    <x:row r="22">
      <x:c r="A22" s="23" t="str">
        <x:v>36-04210</x:v>
      </x:c>
      <x:c r="B22" s="23" t="str">
        <x:v>NYC-Bronx Community District 10--Co-op City &amp; Throgs Neck PUMA</x:v>
      </x:c>
      <x:c r="C22" s="23" t="str">
        <x:v>Bronx</x:v>
      </x:c>
      <x:c r="D22" s="43" t="b">
        <x:v>1</x:v>
      </x:c>
      <x:c r="E22" s="23" t="str">
        <x:v>36-04209, 36-04211, 36-04212, 36-04407</x:v>
      </x:c>
      <x:c r="F22" s="34" t="n">
        <x:v>1786</x:v>
      </x:c>
      <x:c r="G22" s="34" t="n">
        <x:v>50776</x:v>
      </x:c>
      <x:c r="H22" s="34" t="n">
        <x:v>4599</x:v>
      </x:c>
      <x:c r="I22" s="34" t="n">
        <x:v>127259</x:v>
      </x:c>
      <x:c r="J22" s="34" t="n">
        <x:v>550</x:v>
      </x:c>
    </x:row>
    <x:row r="23">
      <x:c r="A23" s="23" t="str">
        <x:v>36-04211</x:v>
      </x:c>
      <x:c r="B23" s="23" t="str">
        <x:v>NYC-Bronx Community District 11--Pelham Parkway &amp; Morris Park PUMA</x:v>
      </x:c>
      <x:c r="C23" s="23" t="str">
        <x:v>Bronx</x:v>
      </x:c>
      <x:c r="D23" s="43" t="b">
        <x:v>0</x:v>
      </x:c>
      <x:c r="E23" s="23" t="str">
        <x:v>36-04209, 36-04210, 36-04212, 36-04263</x:v>
      </x:c>
      <x:c r="F23" s="34" t="n">
        <x:v>1936</x:v>
      </x:c>
      <x:c r="G23" s="34" t="n">
        <x:v>42901</x:v>
      </x:c>
      <x:c r="H23" s="34" t="n">
        <x:v>5595</x:v>
      </x:c>
      <x:c r="I23" s="34" t="n">
        <x:v>113967</x:v>
      </x:c>
      <x:c r="J23" s="34" t="n">
        <x:v>637</x:v>
      </x:c>
    </x:row>
    <x:row r="24">
      <x:c r="A24" s="23" t="str">
        <x:v>36-04212</x:v>
      </x:c>
      <x:c r="B24" s="23" t="str">
        <x:v>NYC-Bronx Community District 12--Wakefield, Williamsbridge, &amp; Eastchester PUMA</x:v>
      </x:c>
      <x:c r="C24" s="23" t="str">
        <x:v>Bronx</x:v>
      </x:c>
      <x:c r="D24" s="43" t="b">
        <x:v>0</x:v>
      </x:c>
      <x:c r="E24" s="23" t="str">
        <x:v>36-04207, 36-04208, 36-04210, 36-04211, 36-04263</x:v>
      </x:c>
      <x:c r="F24" s="34" t="n">
        <x:v>2013</x:v>
      </x:c>
      <x:c r="G24" s="34" t="n">
        <x:v>57533</x:v>
      </x:c>
      <x:c r="H24" s="34" t="n">
        <x:v>5686</x:v>
      </x:c>
      <x:c r="I24" s="34" t="n">
        <x:v>158176</x:v>
      </x:c>
      <x:c r="J24" s="34" t="n">
        <x:v>596</x:v>
      </x:c>
    </x:row>
    <x:row r="25">
      <x:c r="A25" s="23" t="str">
        <x:v>36-04221</x:v>
      </x:c>
      <x:c r="B25" s="23" t="str">
        <x:v>NYC-Bronx Community Districts 1 &amp; 2--Melrose, Mott Haven, Longwood, &amp; Hunts Point PUMA</x:v>
      </x:c>
      <x:c r="C25" s="23" t="str">
        <x:v>Bronx</x:v>
      </x:c>
      <x:c r="D25" s="43" t="b">
        <x:v>0</x:v>
      </x:c>
      <x:c r="E25" s="23" t="str">
        <x:v>36-04111, 36-04204, 36-04209, 36-04263, 36-04401, 36-04407</x:v>
      </x:c>
      <x:c r="F25" s="34" t="n">
        <x:v>1430</x:v>
      </x:c>
      <x:c r="G25" s="34" t="n">
        <x:v>57982</x:v>
      </x:c>
      <x:c r="H25" s="34" t="n">
        <x:v>4291</x:v>
      </x:c>
      <x:c r="I25" s="34" t="n">
        <x:v>155129</x:v>
      </x:c>
      <x:c r="J25" s="34" t="n">
        <x:v>398</x:v>
      </x:c>
    </x:row>
    <x:row r="26">
      <x:c r="A26" s="23" t="str">
        <x:v>36-04263</x:v>
      </x:c>
      <x:c r="B26" s="23" t="str">
        <x:v>NYC-Bronx Community Districts 3 &amp; 6--Morrisania, Tremont, Belmont, &amp; West Farms PUMA</x:v>
      </x:c>
      <x:c r="C26" s="23" t="str">
        <x:v>Bronx</x:v>
      </x:c>
      <x:c r="D26" s="43" t="b">
        <x:v>0</x:v>
      </x:c>
      <x:c r="E26" s="23" t="str">
        <x:v>36-04204, 36-04205, 36-04207, 36-04209, 36-04211, 36-04212, 36-04221</x:v>
      </x:c>
      <x:c r="F26" s="34" t="n">
        <x:v>1708</x:v>
      </x:c>
      <x:c r="G26" s="34" t="n">
        <x:v>66344</x:v>
      </x:c>
      <x:c r="H26" s="34" t="n">
        <x:v>5175</x:v>
      </x:c>
      <x:c r="I26" s="34" t="n">
        <x:v>177301</x:v>
      </x:c>
      <x:c r="J26" s="34" t="n">
        <x:v>453</x:v>
      </x:c>
    </x:row>
    <x:row r="27">
      <x:c r="A27" s="23" t="str">
        <x:v>36-04301</x:v>
      </x:c>
      <x:c r="B27" s="23" t="str">
        <x:v>NYC-Brooklyn Community District 1--Williamsburg &amp; Greenpoint PUMA</x:v>
      </x:c>
      <x:c r="C27" s="23" t="str">
        <x:v>Brooklyn</x:v>
      </x:c>
      <x:c r="D27" s="43" t="b">
        <x:v>0</x:v>
      </x:c>
      <x:c r="E27" s="23" t="str">
        <x:v>36-04103, 36-04165, 36-04302, 36-04303, 36-04304, 36-04402, 36-04405</x:v>
      </x:c>
      <x:c r="F27" s="34" t="n">
        <x:v>3006</x:v>
      </x:c>
      <x:c r="G27" s="34" t="n">
        <x:v>85708</x:v>
      </x:c>
      <x:c r="H27" s="34" t="n">
        <x:v>6889</x:v>
      </x:c>
      <x:c r="I27" s="34" t="n">
        <x:v>207774</x:v>
      </x:c>
      <x:c r="J27" s="34" t="n">
        <x:v>412</x:v>
      </x:c>
    </x:row>
    <x:row r="28">
      <x:c r="A28" s="23" t="str">
        <x:v>36-04302</x:v>
      </x:c>
      <x:c r="B28" s="23" t="str">
        <x:v>NYC-Brooklyn Community District 2--Downtown Brooklyn &amp; Fort Greene PUMA</x:v>
      </x:c>
      <x:c r="C28" s="23" t="str">
        <x:v>Brooklyn</x:v>
      </x:c>
      <x:c r="D28" s="43" t="b">
        <x:v>0</x:v>
      </x:c>
      <x:c r="E28" s="23" t="str">
        <x:v>36-04103, 36-04121, 36-04301, 36-04303, 36-04306, 36-04308</x:v>
      </x:c>
      <x:c r="F28" s="34" t="n">
        <x:v>2544</x:v>
      </x:c>
      <x:c r="G28" s="34" t="n">
        <x:v>61251</x:v>
      </x:c>
      <x:c r="H28" s="34" t="n">
        <x:v>5541</x:v>
      </x:c>
      <x:c r="I28" s="34" t="n">
        <x:v>128183</x:v>
      </x:c>
      <x:c r="J28" s="34" t="n">
        <x:v>368</x:v>
      </x:c>
    </x:row>
    <x:row r="29">
      <x:c r="A29" s="23" t="str">
        <x:v>36-04303</x:v>
      </x:c>
      <x:c r="B29" s="23" t="str">
        <x:v>NYC-Brooklyn Community District 3--Bedford-Stuyvesant PUMA</x:v>
      </x:c>
      <x:c r="C29" s="23" t="str">
        <x:v>Brooklyn</x:v>
      </x:c>
      <x:c r="D29" s="43" t="b">
        <x:v>1</x:v>
      </x:c>
      <x:c r="E29" s="23" t="str">
        <x:v>36-04301, 36-04302, 36-04304, 36-04308, 36-04316</x:v>
      </x:c>
      <x:c r="F29" s="34" t="n">
        <x:v>2345</x:v>
      </x:c>
      <x:c r="G29" s="34" t="n">
        <x:v>71580</x:v>
      </x:c>
      <x:c r="H29" s="34" t="n">
        <x:v>5808</x:v>
      </x:c>
      <x:c r="I29" s="34" t="n">
        <x:v>182770</x:v>
      </x:c>
      <x:c r="J29" s="34" t="n">
        <x:v>421</x:v>
      </x:c>
    </x:row>
    <x:row r="30">
      <x:c r="A30" s="23" t="str">
        <x:v>36-04304</x:v>
      </x:c>
      <x:c r="B30" s="23" t="str">
        <x:v>NYC-Brooklyn Community District 4--Bushwick PUMA</x:v>
      </x:c>
      <x:c r="C30" s="23" t="str">
        <x:v>Brooklyn</x:v>
      </x:c>
      <x:c r="D30" s="43" t="b">
        <x:v>0</x:v>
      </x:c>
      <x:c r="E30" s="23" t="str">
        <x:v>36-04301, 36-04303, 36-04305, 36-04316, 36-04405</x:v>
      </x:c>
      <x:c r="F30" s="34" t="n">
        <x:v>1439</x:v>
      </x:c>
      <x:c r="G30" s="34" t="n">
        <x:v>45492</x:v>
      </x:c>
      <x:c r="H30" s="34" t="n">
        <x:v>3709</x:v>
      </x:c>
      <x:c r="I30" s="34" t="n">
        <x:v>112526</x:v>
      </x:c>
      <x:c r="J30" s="34" t="n">
        <x:v>338</x:v>
      </x:c>
    </x:row>
    <x:row r="31">
      <x:c r="A31" s="23" t="str">
        <x:v>36-04305</x:v>
      </x:c>
      <x:c r="B31" s="23" t="str">
        <x:v>NYC-Brooklyn Community District 5--East New York &amp; Cypress Hills PUMA</x:v>
      </x:c>
      <x:c r="C31" s="23" t="str">
        <x:v>Brooklyn</x:v>
      </x:c>
      <x:c r="D31" s="43" t="b">
        <x:v>1</x:v>
      </x:c>
      <x:c r="E31" s="23" t="str">
        <x:v>36-04304, 36-04316, 36-04317, 36-04318, 36-04405, 36-04409, 36-04410</x:v>
      </x:c>
      <x:c r="F31" s="34" t="n">
        <x:v>2087</x:v>
      </x:c>
      <x:c r="G31" s="34" t="n">
        <x:v>71948</x:v>
      </x:c>
      <x:c r="H31" s="34" t="n">
        <x:v>5943</x:v>
      </x:c>
      <x:c r="I31" s="34" t="n">
        <x:v>198985</x:v>
      </x:c>
      <x:c r="J31" s="34" t="n">
        <x:v>578</x:v>
      </x:c>
    </x:row>
    <x:row r="32">
      <x:c r="A32" s="23" t="str">
        <x:v>36-04306</x:v>
      </x:c>
      <x:c r="B32" s="23" t="str">
        <x:v>NYC-Brooklyn Community District 6--Park Slope &amp; Carroll Gardens PUMA</x:v>
      </x:c>
      <x:c r="C32" s="23" t="str">
        <x:v>Brooklyn</x:v>
      </x:c>
      <x:c r="D32" s="43" t="b">
        <x:v>0</x:v>
      </x:c>
      <x:c r="E32" s="23" t="str">
        <x:v>36-04121, 36-04302, 36-04307, 36-04308, 36-04309, 36-04312, 36-04314</x:v>
      </x:c>
      <x:c r="F32" s="34" t="n">
        <x:v>2544</x:v>
      </x:c>
      <x:c r="G32" s="34" t="n">
        <x:v>52116</x:v>
      </x:c>
      <x:c r="H32" s="34" t="n">
        <x:v>5846</x:v>
      </x:c>
      <x:c r="I32" s="34" t="n">
        <x:v>120197</x:v>
      </x:c>
      <x:c r="J32" s="34" t="n">
        <x:v>383</x:v>
      </x:c>
    </x:row>
    <x:row r="33">
      <x:c r="A33" s="23" t="str">
        <x:v>36-04307</x:v>
      </x:c>
      <x:c r="B33" s="23" t="str">
        <x:v>NYC-Brooklyn Community District 7--Sunset Park &amp; Windsor Terrace PUMA</x:v>
      </x:c>
      <x:c r="C33" s="23" t="str">
        <x:v>Brooklyn</x:v>
      </x:c>
      <x:c r="D33" s="43" t="b">
        <x:v>0</x:v>
      </x:c>
      <x:c r="E33" s="23" t="str">
        <x:v>36-04306, 36-04310, 36-04312, 36-04314</x:v>
      </x:c>
      <x:c r="F33" s="34" t="n">
        <x:v>1946</x:v>
      </x:c>
      <x:c r="G33" s="34" t="n">
        <x:v>41131</x:v>
      </x:c>
      <x:c r="H33" s="34" t="n">
        <x:v>5704</x:v>
      </x:c>
      <x:c r="I33" s="34" t="n">
        <x:v>120291</x:v>
      </x:c>
      <x:c r="J33" s="34" t="n">
        <x:v>524</x:v>
      </x:c>
    </x:row>
    <x:row r="34">
      <x:c r="A34" s="23" t="str">
        <x:v>36-04308</x:v>
      </x:c>
      <x:c r="B34" s="23" t="str">
        <x:v>NYC-Brooklyn Community District 8--Crown Heights (North) PUMA</x:v>
      </x:c>
      <x:c r="C34" s="23" t="str">
        <x:v>Brooklyn</x:v>
      </x:c>
      <x:c r="D34" s="43" t="b">
        <x:v>1</x:v>
      </x:c>
      <x:c r="E34" s="23" t="str">
        <x:v>36-04302, 36-04303, 36-04306, 36-04309, 36-04316, 36-04317</x:v>
      </x:c>
      <x:c r="F34" s="34" t="n">
        <x:v>1714</x:v>
      </x:c>
      <x:c r="G34" s="34" t="n">
        <x:v>48537</x:v>
      </x:c>
      <x:c r="H34" s="34" t="n">
        <x:v>3930</x:v>
      </x:c>
      <x:c r="I34" s="34" t="n">
        <x:v>109891</x:v>
      </x:c>
      <x:c r="J34" s="34" t="n">
        <x:v>329</x:v>
      </x:c>
    </x:row>
    <x:row r="35">
      <x:c r="A35" s="23" t="str">
        <x:v>36-04309</x:v>
      </x:c>
      <x:c r="B35" s="23" t="str">
        <x:v>NYC-Brooklyn Community District 9--Crown Heights (South) PUMA</x:v>
      </x:c>
      <x:c r="C35" s="23" t="str">
        <x:v>Brooklyn</x:v>
      </x:c>
      <x:c r="D35" s="43" t="b">
        <x:v>0</x:v>
      </x:c>
      <x:c r="E35" s="23" t="str">
        <x:v>36-04306, 36-04308, 36-04314, 36-04317</x:v>
      </x:c>
      <x:c r="F35" s="34" t="n">
        <x:v>1423</x:v>
      </x:c>
      <x:c r="G35" s="34" t="n">
        <x:v>40499</x:v>
      </x:c>
      <x:c r="H35" s="34" t="n">
        <x:v>3455</x:v>
      </x:c>
      <x:c r="I35" s="34" t="n">
        <x:v>98449</x:v>
      </x:c>
      <x:c r="J35" s="34" t="n">
        <x:v>361</x:v>
      </x:c>
    </x:row>
    <x:row r="36">
      <x:c r="A36" s="23" t="str">
        <x:v>36-04310</x:v>
      </x:c>
      <x:c r="B36" s="23" t="str">
        <x:v>NYC-Brooklyn Community District 10--Bay Ridge &amp; Dyker Heights PUMA</x:v>
      </x:c>
      <x:c r="C36" s="23" t="str">
        <x:v>Brooklyn</x:v>
      </x:c>
      <x:c r="D36" s="43" t="b">
        <x:v>0</x:v>
      </x:c>
      <x:c r="E36" s="23" t="str">
        <x:v>36-04307, 36-04311, 36-04312, 36-04313, 36-04501, 36-04502</x:v>
      </x:c>
      <x:c r="F36" s="34" t="n">
        <x:v>2736</x:v>
      </x:c>
      <x:c r="G36" s="34" t="n">
        <x:v>49275</x:v>
      </x:c>
      <x:c r="H36" s="34" t="n">
        <x:v>7117</x:v>
      </x:c>
      <x:c r="I36" s="34" t="n">
        <x:v>124997</x:v>
      </x:c>
      <x:c r="J36" s="34" t="n">
        <x:v>647</x:v>
      </x:c>
    </x:row>
    <x:row r="37">
      <x:c r="A37" s="23" t="str">
        <x:v>36-04311</x:v>
      </x:c>
      <x:c r="B37" s="23" t="str">
        <x:v>NYC-Brooklyn Community District 11--Bensonhurst &amp; Bath Beach PUMA</x:v>
      </x:c>
      <x:c r="C37" s="23" t="str">
        <x:v>Brooklyn</x:v>
      </x:c>
      <x:c r="D37" s="43" t="b">
        <x:v>0</x:v>
      </x:c>
      <x:c r="E37" s="23" t="str">
        <x:v>36-04310, 36-04312, 36-04313, 36-04315</x:v>
      </x:c>
      <x:c r="F37" s="34" t="n">
        <x:v>3208</x:v>
      </x:c>
      <x:c r="G37" s="34" t="n">
        <x:v>62339</x:v>
      </x:c>
      <x:c r="H37" s="34" t="n">
        <x:v>9444</x:v>
      </x:c>
      <x:c r="I37" s="34" t="n">
        <x:v>181237</x:v>
      </x:c>
      <x:c r="J37" s="34" t="n">
        <x:v>790</x:v>
      </x:c>
    </x:row>
    <x:row r="38">
      <x:c r="A38" s="23" t="str">
        <x:v>36-04312</x:v>
      </x:c>
      <x:c r="B38" s="23" t="str">
        <x:v>NYC-Brooklyn Community District 12--Borough Park &amp; Kensington PUMA</x:v>
      </x:c>
      <x:c r="C38" s="23" t="str">
        <x:v>Brooklyn</x:v>
      </x:c>
      <x:c r="D38" s="43" t="b">
        <x:v>0</x:v>
      </x:c>
      <x:c r="E38" s="23" t="str">
        <x:v>36-04306, 36-04307, 36-04310, 36-04311, 36-04314, 36-04315</x:v>
      </x:c>
      <x:c r="F38" s="34" t="n">
        <x:v>2612</x:v>
      </x:c>
      <x:c r="G38" s="34" t="n">
        <x:v>55111</x:v>
      </x:c>
      <x:c r="H38" s="34" t="n">
        <x:v>8898</x:v>
      </x:c>
      <x:c r="I38" s="34" t="n">
        <x:v>196473</x:v>
      </x:c>
      <x:c r="J38" s="34" t="n">
        <x:v>671</x:v>
      </x:c>
    </x:row>
    <x:row r="39">
      <x:c r="A39" s="23" t="str">
        <x:v>36-04313</x:v>
      </x:c>
      <x:c r="B39" s="23" t="str">
        <x:v>NYC-Brooklyn Community District 13--Coney Island &amp; Brighton Beach PUMA</x:v>
      </x:c>
      <x:c r="C39" s="23" t="str">
        <x:v>Brooklyn</x:v>
      </x:c>
      <x:c r="D39" s="43" t="b">
        <x:v>0</x:v>
      </x:c>
      <x:c r="E39" s="23" t="str">
        <x:v>36-04310, 36-04311, 36-04315, 36-04318, 36-04414, 36-04502</x:v>
      </x:c>
      <x:c r="F39" s="34" t="n">
        <x:v>1742</x:v>
      </x:c>
      <x:c r="G39" s="34" t="n">
        <x:v>46712</x:v>
      </x:c>
      <x:c r="H39" s="34" t="n">
        <x:v>4326</x:v>
      </x:c>
      <x:c r="I39" s="34" t="n">
        <x:v>111213</x:v>
      </x:c>
      <x:c r="J39" s="34" t="n">
        <x:v>556</x:v>
      </x:c>
    </x:row>
    <x:row r="40">
      <x:c r="A40" s="23" t="str">
        <x:v>36-04314</x:v>
      </x:c>
      <x:c r="B40" s="23" t="str">
        <x:v>NYC-Brooklyn Community District 14--Flatbush &amp; Midwood PUMA</x:v>
      </x:c>
      <x:c r="C40" s="23" t="str">
        <x:v>Brooklyn</x:v>
      </x:c>
      <x:c r="D40" s="43" t="b">
        <x:v>1</x:v>
      </x:c>
      <x:c r="E40" s="23" t="str">
        <x:v>36-04306, 36-04307, 36-04309, 36-04312, 36-04315, 36-04317, 36-04318</x:v>
      </x:c>
      <x:c r="F40" s="34" t="n">
        <x:v>2442</x:v>
      </x:c>
      <x:c r="G40" s="34" t="n">
        <x:v>59557</x:v>
      </x:c>
      <x:c r="H40" s="34" t="n">
        <x:v>6388</x:v>
      </x:c>
      <x:c r="I40" s="34" t="n">
        <x:v>154901</x:v>
      </x:c>
      <x:c r="J40" s="34" t="n">
        <x:v>582</x:v>
      </x:c>
    </x:row>
    <x:row r="41">
      <x:c r="A41" s="23" t="str">
        <x:v>36-04315</x:v>
      </x:c>
      <x:c r="B41" s="23" t="str">
        <x:v>NYC-Brooklyn Community District 15--Sheepshead Bay &amp; Gravesend (East) PUMA</x:v>
      </x:c>
      <x:c r="C41" s="23" t="str">
        <x:v>Brooklyn</x:v>
      </x:c>
      <x:c r="D41" s="43" t="b">
        <x:v>0</x:v>
      </x:c>
      <x:c r="E41" s="23" t="str">
        <x:v>36-04311, 36-04312, 36-04313, 36-04314, 36-04318</x:v>
      </x:c>
      <x:c r="F41" s="34" t="n">
        <x:v>3098</x:v>
      </x:c>
      <x:c r="G41" s="34" t="n">
        <x:v>58709</x:v>
      </x:c>
      <x:c r="H41" s="34" t="n">
        <x:v>8042</x:v>
      </x:c>
      <x:c r="I41" s="34" t="n">
        <x:v>152567</x:v>
      </x:c>
      <x:c r="J41" s="34" t="n">
        <x:v>774</x:v>
      </x:c>
    </x:row>
    <x:row r="42">
      <x:c r="A42" s="23" t="str">
        <x:v>36-04316</x:v>
      </x:c>
      <x:c r="B42" s="23" t="str">
        <x:v>NYC-Brooklyn Community District 16--Ocean Hill &amp; Brownsville PUMA</x:v>
      </x:c>
      <x:c r="C42" s="23" t="str">
        <x:v>Brooklyn</x:v>
      </x:c>
      <x:c r="D42" s="43" t="b">
        <x:v>0</x:v>
      </x:c>
      <x:c r="E42" s="23" t="str">
        <x:v>36-04303, 36-04304, 36-04305, 36-04308, 36-04317</x:v>
      </x:c>
      <x:c r="F42" s="34" t="n">
        <x:v>977</x:v>
      </x:c>
      <x:c r="G42" s="34" t="n">
        <x:v>39052</x:v>
      </x:c>
      <x:c r="H42" s="34" t="n">
        <x:v>2699</x:v>
      </x:c>
      <x:c r="I42" s="34" t="n">
        <x:v>101127</x:v>
      </x:c>
      <x:c r="J42" s="34" t="n">
        <x:v>336</x:v>
      </x:c>
    </x:row>
    <x:row r="43">
      <x:c r="A43" s="23" t="str">
        <x:v>36-04317</x:v>
      </x:c>
      <x:c r="B43" s="23" t="str">
        <x:v>NYC-Brooklyn Community District 17--East Flatbush PUMA</x:v>
      </x:c>
      <x:c r="C43" s="23" t="str">
        <x:v>Brooklyn</x:v>
      </x:c>
      <x:c r="D43" s="43" t="b">
        <x:v>1</x:v>
      </x:c>
      <x:c r="E43" s="23" t="str">
        <x:v>36-04305, 36-04308, 36-04309, 36-04314, 36-04316, 36-04318</x:v>
      </x:c>
      <x:c r="F43" s="34" t="n">
        <x:v>2201</x:v>
      </x:c>
      <x:c r="G43" s="34" t="n">
        <x:v>57133</x:v>
      </x:c>
      <x:c r="H43" s="34" t="n">
        <x:v>5929</x:v>
      </x:c>
      <x:c r="I43" s="34" t="n">
        <x:v>147949</x:v>
      </x:c>
      <x:c r="J43" s="34" t="n">
        <x:v>532</x:v>
      </x:c>
    </x:row>
    <x:row r="44">
      <x:c r="A44" s="23" t="str">
        <x:v>36-04318</x:v>
      </x:c>
      <x:c r="B44" s="23" t="str">
        <x:v>NYC-Brooklyn Community District 18--Canarsie &amp; Flatlands PUMA</x:v>
      </x:c>
      <x:c r="C44" s="23" t="str">
        <x:v>Brooklyn</x:v>
      </x:c>
      <x:c r="D44" s="43" t="b">
        <x:v>0</x:v>
      </x:c>
      <x:c r="E44" s="23" t="str">
        <x:v>36-04305, 36-04313, 36-04314, 36-04315, 36-04317, 36-04410, 36-04414</x:v>
      </x:c>
      <x:c r="F44" s="34" t="n">
        <x:v>3269</x:v>
      </x:c>
      <x:c r="G44" s="34" t="n">
        <x:v>63780</x:v>
      </x:c>
      <x:c r="H44" s="34" t="n">
        <x:v>9483</x:v>
      </x:c>
      <x:c r="I44" s="34" t="n">
        <x:v>181058</x:v>
      </x:c>
      <x:c r="J44" s="34" t="n">
        <x:v>702</x:v>
      </x:c>
    </x:row>
    <x:row r="45">
      <x:c r="A45" s="23" t="str">
        <x:v>36-04401</x:v>
      </x:c>
      <x:c r="B45" s="23" t="str">
        <x:v>NYC-Queens Community District 1--Astoria &amp; Queensbridge PUMA</x:v>
      </x:c>
      <x:c r="C45" s="23" t="str">
        <x:v>Queens</x:v>
      </x:c>
      <x:c r="D45" s="43" t="b">
        <x:v>1</x:v>
      </x:c>
      <x:c r="E45" s="23" t="str">
        <x:v>36-04108, 36-04111, 36-04221, 36-04402, 36-04403, 36-04404, 36-04407</x:v>
      </x:c>
      <x:c r="F45" s="34" t="n">
        <x:v>3769</x:v>
      </x:c>
      <x:c r="G45" s="34" t="n">
        <x:v>81743</x:v>
      </x:c>
      <x:c r="H45" s="34" t="n">
        <x:v>8314</x:v>
      </x:c>
      <x:c r="I45" s="34" t="n">
        <x:v>176768</x:v>
      </x:c>
      <x:c r="J45" s="34" t="n">
        <x:v>610</x:v>
      </x:c>
    </x:row>
    <x:row r="46">
      <x:c r="A46" s="23" t="str">
        <x:v>36-04402</x:v>
      </x:c>
      <x:c r="B46" s="23" t="str">
        <x:v>NYC-Queens Community District 2--Long Island City, Sunnyside, &amp; Woodside PUMA</x:v>
      </x:c>
      <x:c r="C46" s="23" t="str">
        <x:v>Queens</x:v>
      </x:c>
      <x:c r="D46" s="43" t="b">
        <x:v>0</x:v>
      </x:c>
      <x:c r="E46" s="23" t="str">
        <x:v>36-04108, 36-04165, 36-04301, 36-04401, 36-04403, 36-04404, 36-04405</x:v>
      </x:c>
      <x:c r="F46" s="34" t="n">
        <x:v>2123</x:v>
      </x:c>
      <x:c r="G46" s="34" t="n">
        <x:v>55711</x:v>
      </x:c>
      <x:c r="H46" s="34" t="n">
        <x:v>5005</x:v>
      </x:c>
      <x:c r="I46" s="34" t="n">
        <x:v>124442</x:v>
      </x:c>
      <x:c r="J46" s="34" t="n">
        <x:v>504</x:v>
      </x:c>
    </x:row>
    <x:row r="47">
      <x:c r="A47" s="23" t="str">
        <x:v>36-04403</x:v>
      </x:c>
      <x:c r="B47" s="23" t="str">
        <x:v>NYC-Queens Community District 3--Jackson Heights &amp; East Elmhurst PUMA</x:v>
      </x:c>
      <x:c r="C47" s="23" t="str">
        <x:v>Queens</x:v>
      </x:c>
      <x:c r="D47" s="43" t="b">
        <x:v>0</x:v>
      </x:c>
      <x:c r="E47" s="23" t="str">
        <x:v>36-04401, 36-04402, 36-04404</x:v>
      </x:c>
      <x:c r="F47" s="34" t="n">
        <x:v>1908</x:v>
      </x:c>
      <x:c r="G47" s="34" t="n">
        <x:v>53966</x:v>
      </x:c>
      <x:c r="H47" s="34" t="n">
        <x:v>5909</x:v>
      </x:c>
      <x:c r="I47" s="34" t="n">
        <x:v>161372</x:v>
      </x:c>
      <x:c r="J47" s="34" t="n">
        <x:v>679</x:v>
      </x:c>
    </x:row>
    <x:row r="48">
      <x:c r="A48" s="23" t="str">
        <x:v>36-04404</x:v>
      </x:c>
      <x:c r="B48" s="23" t="str">
        <x:v>NYC-Queens Community District 4--Elmhurst &amp; Corona PUMA</x:v>
      </x:c>
      <x:c r="C48" s="23" t="str">
        <x:v>Queens</x:v>
      </x:c>
      <x:c r="D48" s="43" t="b">
        <x:v>0</x:v>
      </x:c>
      <x:c r="E48" s="23" t="str">
        <x:v>36-04401, 36-04402, 36-04403, 36-04405, 36-04406, 36-04407, 36-04408, 36-04409</x:v>
      </x:c>
      <x:c r="F48" s="34" t="n">
        <x:v>2044</x:v>
      </x:c>
      <x:c r="G48" s="34" t="n">
        <x:v>53471</x:v>
      </x:c>
      <x:c r="H48" s="34" t="n">
        <x:v>6277</x:v>
      </x:c>
      <x:c r="I48" s="34" t="n">
        <x:v>167268</x:v>
      </x:c>
      <x:c r="J48" s="34" t="n">
        <x:v>691</x:v>
      </x:c>
    </x:row>
    <x:row r="49">
      <x:c r="A49" s="23" t="str">
        <x:v>36-04405</x:v>
      </x:c>
      <x:c r="B49" s="23" t="str">
        <x:v>NYC-Queens Community District 5--Ridgewood, Maspeth, &amp; Middle Village PUMA</x:v>
      </x:c>
      <x:c r="C49" s="23" t="str">
        <x:v>Queens</x:v>
      </x:c>
      <x:c r="D49" s="43" t="b">
        <x:v>0</x:v>
      </x:c>
      <x:c r="E49" s="23" t="str">
        <x:v>36-04301, 36-04304, 36-04305, 36-04402, 36-04404, 36-04406, 36-04409</x:v>
      </x:c>
      <x:c r="F49" s="34" t="n">
        <x:v>3262</x:v>
      </x:c>
      <x:c r="G49" s="34" t="n">
        <x:v>65718</x:v>
      </x:c>
      <x:c r="H49" s="34" t="n">
        <x:v>8556</x:v>
      </x:c>
      <x:c r="I49" s="34" t="n">
        <x:v>177038</x:v>
      </x:c>
      <x:c r="J49" s="34" t="n">
        <x:v>651</x:v>
      </x:c>
    </x:row>
    <x:row r="50">
      <x:c r="A50" s="23" t="str">
        <x:v>36-04406</x:v>
      </x:c>
      <x:c r="B50" s="23" t="str">
        <x:v>NYC-Queens Community District 6--Forest Hills &amp; Rego Park PUMA</x:v>
      </x:c>
      <x:c r="C50" s="23" t="str">
        <x:v>Queens</x:v>
      </x:c>
      <x:c r="D50" s="43" t="b">
        <x:v>1</x:v>
      </x:c>
      <x:c r="E50" s="23" t="str">
        <x:v>36-04404, 36-04405, 36-04409</x:v>
      </x:c>
      <x:c r="F50" s="34" t="n">
        <x:v>2294</x:v>
      </x:c>
      <x:c r="G50" s="34" t="n">
        <x:v>53629</x:v>
      </x:c>
      <x:c r="H50" s="34" t="n">
        <x:v>5193</x:v>
      </x:c>
      <x:c r="I50" s="34" t="n">
        <x:v>123341</x:v>
      </x:c>
      <x:c r="J50" s="34" t="n">
        <x:v>584</x:v>
      </x:c>
    </x:row>
    <x:row r="51">
      <x:c r="A51" s="23" t="str">
        <x:v>36-04407</x:v>
      </x:c>
      <x:c r="B51" s="23" t="str">
        <x:v>NYC-Queens Community District 7--Flushing, Murray Hill, &amp; Whitestone PUMA</x:v>
      </x:c>
      <x:c r="C51" s="23" t="str">
        <x:v>Queens</x:v>
      </x:c>
      <x:c r="D51" s="43" t="b">
        <x:v>1</x:v>
      </x:c>
      <x:c r="E51" s="23" t="str">
        <x:v>36-04209, 36-04210, 36-04221, 36-04401, 36-04404, 36-04408, 36-04411</x:v>
      </x:c>
      <x:c r="F51" s="34" t="n">
        <x:v>3748</x:v>
      </x:c>
      <x:c r="G51" s="34" t="n">
        <x:v>94645</x:v>
      </x:c>
      <x:c r="H51" s="34" t="n">
        <x:v>10268</x:v>
      </x:c>
      <x:c r="I51" s="34" t="n">
        <x:v>248817</x:v>
      </x:c>
      <x:c r="J51" s="34" t="n">
        <x:v>928</x:v>
      </x:c>
    </x:row>
    <x:row r="52">
      <x:c r="A52" s="23" t="str">
        <x:v>36-04408</x:v>
      </x:c>
      <x:c r="B52" s="23" t="str">
        <x:v>NYC-Queens Community District 8--Fresh Meadows, Hillcrest, &amp; Briarwood PUMA</x:v>
      </x:c>
      <x:c r="C52" s="23" t="str">
        <x:v>Queens</x:v>
      </x:c>
      <x:c r="D52" s="43" t="b">
        <x:v>0</x:v>
      </x:c>
      <x:c r="E52" s="23" t="str">
        <x:v>36-04404, 36-04407, 36-04409, 36-04411, 36-04412, 36-04413</x:v>
      </x:c>
      <x:c r="F52" s="34" t="n">
        <x:v>2235</x:v>
      </x:c>
      <x:c r="G52" s="34" t="n">
        <x:v>56247</x:v>
      </x:c>
      <x:c r="H52" s="34" t="n">
        <x:v>6500</x:v>
      </x:c>
      <x:c r="I52" s="34" t="n">
        <x:v>151261</x:v>
      </x:c>
      <x:c r="J52" s="34" t="n">
        <x:v>682</x:v>
      </x:c>
    </x:row>
    <x:row r="53">
      <x:c r="A53" s="23" t="str">
        <x:v>36-04409</x:v>
      </x:c>
      <x:c r="B53" s="23" t="str">
        <x:v>NYC-Queens Community District 9--Kew Gardens, Richmond Hill, &amp; Woodhaven PUMA</x:v>
      </x:c>
      <x:c r="C53" s="23" t="str">
        <x:v>Queens</x:v>
      </x:c>
      <x:c r="D53" s="43" t="b">
        <x:v>0</x:v>
      </x:c>
      <x:c r="E53" s="23" t="str">
        <x:v>36-04305, 36-04404, 36-04405, 36-04406, 36-04408, 36-04410, 36-04412</x:v>
      </x:c>
      <x:c r="F53" s="34" t="n">
        <x:v>2275</x:v>
      </x:c>
      <x:c r="G53" s="34" t="n">
        <x:v>46765</x:v>
      </x:c>
      <x:c r="H53" s="34" t="n">
        <x:v>7380</x:v>
      </x:c>
      <x:c r="I53" s="34" t="n">
        <x:v>146308</x:v>
      </x:c>
      <x:c r="J53" s="34" t="n">
        <x:v>709</x:v>
      </x:c>
    </x:row>
    <x:row r="54">
      <x:c r="A54" s="23" t="str">
        <x:v>36-04410</x:v>
      </x:c>
      <x:c r="B54" s="23" t="str">
        <x:v>NYC-Queens Community District 10--South Ozone Park &amp; Howard Beach PUMA</x:v>
      </x:c>
      <x:c r="C54" s="23" t="str">
        <x:v>Queens</x:v>
      </x:c>
      <x:c r="D54" s="43" t="b">
        <x:v>0</x:v>
      </x:c>
      <x:c r="E54" s="23" t="str">
        <x:v>36-04305, 36-04318, 36-04409, 36-04412, 36-04413, 36-04414</x:v>
      </x:c>
      <x:c r="F54" s="34" t="n">
        <x:v>1692</x:v>
      </x:c>
      <x:c r="G54" s="34" t="n">
        <x:v>41712</x:v>
      </x:c>
      <x:c r="H54" s="34" t="n">
        <x:v>5631</x:v>
      </x:c>
      <x:c r="I54" s="34" t="n">
        <x:v>135928</x:v>
      </x:c>
      <x:c r="J54" s="34" t="n">
        <x:v>535</x:v>
      </x:c>
    </x:row>
    <x:row r="55">
      <x:c r="A55" s="23" t="str">
        <x:v>36-04411</x:v>
      </x:c>
      <x:c r="B55" s="23" t="str">
        <x:v>NYC-Queens Community District 11--Auburndale, Bayside, &amp; Douglaston PUMA</x:v>
      </x:c>
      <x:c r="C55" s="23" t="str">
        <x:v>Queens</x:v>
      </x:c>
      <x:c r="D55" s="43" t="b">
        <x:v>0</x:v>
      </x:c>
      <x:c r="E55" s="23" t="str">
        <x:v>36-04407, 36-04408, 36-04413</x:v>
      </x:c>
      <x:c r="F55" s="34" t="n">
        <x:v>2451</x:v>
      </x:c>
      <x:c r="G55" s="34" t="n">
        <x:v>45292</x:v>
      </x:c>
      <x:c r="H55" s="34" t="n">
        <x:v>6675</x:v>
      </x:c>
      <x:c r="I55" s="34" t="n">
        <x:v>120163</x:v>
      </x:c>
      <x:c r="J55" s="34" t="n">
        <x:v>585</x:v>
      </x:c>
    </x:row>
    <x:row r="56">
      <x:c r="A56" s="23" t="str">
        <x:v>36-04412</x:v>
      </x:c>
      <x:c r="B56" s="23" t="str">
        <x:v>NYC-Queens Community District 12--Jamaica, St. Albans, &amp; Hollis PUMA</x:v>
      </x:c>
      <x:c r="C56" s="23" t="str">
        <x:v>Queens</x:v>
      </x:c>
      <x:c r="D56" s="43" t="b">
        <x:v>0</x:v>
      </x:c>
      <x:c r="E56" s="23" t="str">
        <x:v>36-04408, 36-04409, 36-04410, 36-04413</x:v>
      </x:c>
      <x:c r="F56" s="34" t="n">
        <x:v>3839</x:v>
      </x:c>
      <x:c r="G56" s="34" t="n">
        <x:v>80302</x:v>
      </x:c>
      <x:c r="H56" s="34" t="n">
        <x:v>12495</x:v>
      </x:c>
      <x:c r="I56" s="34" t="n">
        <x:v>253583</x:v>
      </x:c>
      <x:c r="J56" s="34" t="n">
        <x:v>818</x:v>
      </x:c>
    </x:row>
    <x:row r="57">
      <x:c r="A57" s="23" t="str">
        <x:v>36-04413</x:v>
      </x:c>
      <x:c r="B57" s="23" t="str">
        <x:v>NYC-Queens Community District 13--Queens Village, Bellerose, &amp; Rosedale PUMA</x:v>
      </x:c>
      <x:c r="C57" s="23" t="str">
        <x:v>Queens</x:v>
      </x:c>
      <x:c r="D57" s="43" t="b">
        <x:v>0</x:v>
      </x:c>
      <x:c r="E57" s="23" t="str">
        <x:v>36-04408, 36-04410, 36-04411, 36-04412, 36-04414</x:v>
      </x:c>
      <x:c r="F57" s="34" t="n">
        <x:v>3243</x:v>
      </x:c>
      <x:c r="G57" s="34" t="n">
        <x:v>65099</x:v>
      </x:c>
      <x:c r="H57" s="34" t="n">
        <x:v>10084</x:v>
      </x:c>
      <x:c r="I57" s="34" t="n">
        <x:v>204697</x:v>
      </x:c>
      <x:c r="J57" s="34" t="n">
        <x:v>623</x:v>
      </x:c>
    </x:row>
    <x:row r="58">
      <x:c r="A58" s="23" t="str">
        <x:v>36-04414</x:v>
      </x:c>
      <x:c r="B58" s="23" t="str">
        <x:v>NYC-Queens Community District 14--The Rockaways PUMA</x:v>
      </x:c>
      <x:c r="C58" s="23" t="str">
        <x:v>Queens</x:v>
      </x:c>
      <x:c r="D58" s="43" t="b">
        <x:v>1</x:v>
      </x:c>
      <x:c r="E58" s="23" t="str">
        <x:v>36-04313, 36-04318, 36-04410, 36-04413, 36-04502</x:v>
      </x:c>
      <x:c r="F58" s="34" t="n">
        <x:v>1446</x:v>
      </x:c>
      <x:c r="G58" s="34" t="n">
        <x:v>46703</x:v>
      </x:c>
      <x:c r="H58" s="34" t="n">
        <x:v>4237</x:v>
      </x:c>
      <x:c r="I58" s="34" t="n">
        <x:v>131039</x:v>
      </x:c>
      <x:c r="J58" s="34" t="n">
        <x:v>462</x:v>
      </x:c>
    </x:row>
    <x:row r="59">
      <x:c r="A59" s="23" t="str">
        <x:v>36-04501</x:v>
      </x:c>
      <x:c r="B59" s="23" t="str">
        <x:v>NYC-Staten Island Community District 1--North Shore PUMA</x:v>
      </x:c>
      <x:c r="C59" s="23" t="str">
        <x:v>Staten Island</x:v>
      </x:c>
      <x:c r="D59" s="43" t="b">
        <x:v>0</x:v>
      </x:c>
      <x:c r="E59" s="23" t="str">
        <x:v>36-04310, 36-04502</x:v>
      </x:c>
      <x:c r="F59" s="34" t="n">
        <x:v>2668</x:v>
      </x:c>
      <x:c r="G59" s="34" t="n">
        <x:v>63271</x:v>
      </x:c>
      <x:c r="H59" s="34" t="n">
        <x:v>7579</x:v>
      </x:c>
      <x:c r="I59" s="34" t="n">
        <x:v>182493</x:v>
      </x:c>
      <x:c r="J59" s="34" t="n">
        <x:v>614</x:v>
      </x:c>
    </x:row>
    <x:row r="60">
      <x:c r="A60" s="23" t="str">
        <x:v>36-04502</x:v>
      </x:c>
      <x:c r="B60" s="23" t="str">
        <x:v>NYC-Staten Island Community District 2--Mid-Island PUMA</x:v>
      </x:c>
      <x:c r="C60" s="23" t="str">
        <x:v>Staten Island</x:v>
      </x:c>
      <x:c r="D60" s="43" t="b">
        <x:v>0</x:v>
      </x:c>
      <x:c r="E60" s="23" t="str">
        <x:v>36-04310, 36-04313, 36-04414, 36-04501, 36-04503</x:v>
      </x:c>
      <x:c r="F60" s="34" t="n">
        <x:v>2110</x:v>
      </x:c>
      <x:c r="G60" s="34" t="n">
        <x:v>48319</x:v>
      </x:c>
      <x:c r="H60" s="34" t="n">
        <x:v>6306</x:v>
      </x:c>
      <x:c r="I60" s="34" t="n">
        <x:v>141478</x:v>
      </x:c>
      <x:c r="J60" s="34" t="n">
        <x:v>500</x:v>
      </x:c>
    </x:row>
    <x:row r="61">
      <x:c r="A61" s="24" t="str">
        <x:v>36-04503</x:v>
      </x:c>
      <x:c r="B61" s="24" t="str">
        <x:v>NYC-Staten Island Community District 3--South Shore PUMA</x:v>
      </x:c>
      <x:c r="C61" s="24" t="str">
        <x:v>Staten Island</x:v>
      </x:c>
      <x:c r="D61" s="44" t="b">
        <x:v>0</x:v>
      </x:c>
      <x:c r="E61" s="24" t="str">
        <x:v>36-04502</x:v>
      </x:c>
      <x:c r="F61" s="35" t="n">
        <x:v>2316</x:v>
      </x:c>
      <x:c r="G61" s="35" t="n">
        <x:v>59187</x:v>
      </x:c>
      <x:c r="H61" s="35" t="n">
        <x:v>6617</x:v>
      </x:c>
      <x:c r="I61" s="35" t="n">
        <x:v>170825</x:v>
      </x:c>
      <x:c r="J61" s="35" t="n">
        <x:v>421</x:v>
      </x:c>
    </x:row>
  </x:sheetData>
  <x:conditionalFormatting sqref="D7:D61">
    <x:cfRule type="cellIs" dxfId="1" priority="1" operator="equal">
      <x:formula>TRUE</x:formula>
    </x:cfRule>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8" hidden="0" customWidth="1"/>
    <x:col min="2" max="2" width="12" hidden="0" customWidth="1"/>
    <x:col min="3" max="3" width="16" hidden="0" customWidth="1"/>
    <x:col min="4" max="4" width="10" hidden="0" customWidth="1"/>
    <x:col min="5" max="5" width="24" hidden="0" customWidth="1"/>
    <x:col min="6" max="6" width="56" hidden="0" customWidth="1"/>
    <x:col min="7" max="7" width="14" hidden="0" customWidth="1"/>
    <x:col min="8" max="8" width="16" hidden="0" customWidth="1"/>
    <x:col min="9" max="9" width="20" hidden="0" customWidth="1"/>
  </x:cols>
  <x:sheetData>
    <x:row r="1" ht="20" customHeight="1">
      <x:c r="A1" s="1" t="str">
        <x:v>Catchment Pools</x:v>
      </x:c>
      <x:c r="B1" s="29"/>
      <x:c r="C1" s="29"/>
      <x:c r="D1" s="29"/>
      <x:c r="E1" s="29"/>
      <x:c r="F1" s="29"/>
      <x:c r="G1" s="29"/>
      <x:c r="H1" s="29"/>
      <x:c r="I1" s="29"/>
    </x:row>
    <x:row r="2" ht="20" customHeight="1">
      <x:c r="A2" s="2" t="str">
        <x:v>Outcome-blind donor-support ladder derived from selected tracts and official 2020 PUMA geography</x:v>
      </x:c>
      <x:c r="B2" s="29"/>
      <x:c r="C2" s="29"/>
      <x:c r="D2" s="29"/>
      <x:c r="E2" s="29"/>
      <x:c r="F2" s="29"/>
      <x:c r="G2" s="29"/>
      <x:c r="H2" s="29"/>
      <x:c r="I2" s="29"/>
    </x:row>
    <x:row r="3" ht="20" customHeight="1">
      <x:c r="A3" s="30"/>
      <x:c r="B3" s="30"/>
      <x:c r="C3" s="30"/>
      <x:c r="D3" s="30"/>
      <x:c r="E3" s="30"/>
      <x:c r="F3" s="30"/>
      <x:c r="G3" s="30"/>
      <x:c r="H3" s="30"/>
      <x:c r="I3" s="30"/>
      <x:c r="J3" s="3"/>
      <x:c r="K3" s="3"/>
      <x:c r="L3" s="3"/>
      <x:c r="M3" s="3"/>
      <x:c r="N3" s="3"/>
    </x:row>
    <x:row r="4">
      <x:c r="A4" s="29"/>
      <x:c r="B4" s="29"/>
      <x:c r="C4" s="29"/>
      <x:c r="D4" s="29"/>
      <x:c r="E4" s="29"/>
      <x:c r="F4" s="29"/>
      <x:c r="G4" s="29"/>
      <x:c r="H4" s="29"/>
      <x:c r="I4" s="29"/>
    </x:row>
    <x:row r="5">
      <x:c r="A5" s="29"/>
      <x:c r="B5" s="29"/>
      <x:c r="C5" s="29"/>
      <x:c r="D5" s="29"/>
      <x:c r="E5" s="29"/>
      <x:c r="F5" s="29"/>
      <x:c r="G5" s="29"/>
      <x:c r="H5" s="29"/>
      <x:c r="I5" s="29"/>
    </x:row>
    <x:row r="6" ht="30" customHeight="1">
      <x:c r="A6" s="19" t="str">
        <x:v>Catchment</x:v>
      </x:c>
      <x:c r="B6" s="28" t="str">
        <x:v>Archetype</x:v>
      </x:c>
      <x:c r="C6" s="28" t="str">
        <x:v>Borough</x:v>
      </x:c>
      <x:c r="D6" s="28" t="str">
        <x:v>Tracts</x:v>
      </x:c>
      <x:c r="E6" s="28" t="str">
        <x:v>Local PUMAs</x:v>
      </x:c>
      <x:c r="F6" s="28" t="str">
        <x:v>Adjacent PUMAs</x:v>
      </x:c>
      <x:c r="G6" s="28" t="str">
        <x:v>Local count</x:v>
      </x:c>
      <x:c r="H6" s="28" t="str">
        <x:v>Adjacent count</x:v>
      </x:c>
      <x:c r="I6" s="20" t="str">
        <x:v>Citywide remainder</x:v>
      </x:c>
    </x:row>
    <x:row r="7">
      <x:c r="A7" s="23" t="str">
        <x:v>NYC-V1-R01</x:v>
      </x:c>
      <x:c r="B7" s="23" t="str">
        <x:v>V1</x:v>
      </x:c>
      <x:c r="C7" s="23" t="str">
        <x:v>Queens</x:v>
      </x:c>
      <x:c r="D7" s="34" t="n">
        <x:v>6</x:v>
      </x:c>
      <x:c r="E7" s="23" t="str">
        <x:v>36-04407</x:v>
      </x:c>
      <x:c r="F7" s="23" t="str">
        <x:v>36-04209, 36-04210, 36-04221, 36-04401, 36-04404, 36-04408, 36-04411</x:v>
      </x:c>
      <x:c r="G7" s="34" t="n">
        <x:v>1</x:v>
      </x:c>
      <x:c r="H7" s="34" t="n">
        <x:v>7</x:v>
      </x:c>
      <x:c r="I7" s="34" t="n">
        <x:v>47</x:v>
      </x:c>
    </x:row>
    <x:row r="8">
      <x:c r="A8" s="23" t="str">
        <x:v>NYC-V1-R02</x:v>
      </x:c>
      <x:c r="B8" s="23" t="str">
        <x:v>V1</x:v>
      </x:c>
      <x:c r="C8" s="23" t="str">
        <x:v>Manhattan</x:v>
      </x:c>
      <x:c r="D8" s="34" t="n">
        <x:v>4</x:v>
      </x:c>
      <x:c r="E8" s="23" t="str">
        <x:v>36-04107</x:v>
      </x:c>
      <x:c r="F8" s="23" t="str">
        <x:v>36-04104, 36-04108, 36-04109, 36-04110, 36-04111, 36-04165</x:v>
      </x:c>
      <x:c r="G8" s="34" t="n">
        <x:v>1</x:v>
      </x:c>
      <x:c r="H8" s="34" t="n">
        <x:v>6</x:v>
      </x:c>
      <x:c r="I8" s="34" t="n">
        <x:v>48</x:v>
      </x:c>
    </x:row>
    <x:row r="9">
      <x:c r="A9" s="23" t="str">
        <x:v>NYC-V1-R03</x:v>
      </x:c>
      <x:c r="B9" s="23" t="str">
        <x:v>V1</x:v>
      </x:c>
      <x:c r="C9" s="23" t="str">
        <x:v>Manhattan</x:v>
      </x:c>
      <x:c r="D9" s="34" t="n">
        <x:v>5</x:v>
      </x:c>
      <x:c r="E9" s="23" t="str">
        <x:v>36-04165</x:v>
      </x:c>
      <x:c r="F9" s="23" t="str">
        <x:v>36-04103, 36-04104, 36-04107, 36-04108, 36-04121, 36-04301, 36-04402</x:v>
      </x:c>
      <x:c r="G9" s="34" t="n">
        <x:v>1</x:v>
      </x:c>
      <x:c r="H9" s="34" t="n">
        <x:v>7</x:v>
      </x:c>
      <x:c r="I9" s="34" t="n">
        <x:v>47</x:v>
      </x:c>
    </x:row>
    <x:row r="10">
      <x:c r="A10" s="23" t="str">
        <x:v>NYC-V1-R04</x:v>
      </x:c>
      <x:c r="B10" s="23" t="str">
        <x:v>V1</x:v>
      </x:c>
      <x:c r="C10" s="23" t="str">
        <x:v>Manhattan</x:v>
      </x:c>
      <x:c r="D10" s="34" t="n">
        <x:v>6</x:v>
      </x:c>
      <x:c r="E10" s="23" t="str">
        <x:v>36-04110, 36-04111</x:v>
      </x:c>
      <x:c r="F10" s="23" t="str">
        <x:v>36-04107, 36-04108, 36-04109, 36-04112, 36-04204, 36-04221, 36-04401</x:v>
      </x:c>
      <x:c r="G10" s="34" t="n">
        <x:v>2</x:v>
      </x:c>
      <x:c r="H10" s="34" t="n">
        <x:v>7</x:v>
      </x:c>
      <x:c r="I10" s="34" t="n">
        <x:v>46</x:v>
      </x:c>
    </x:row>
    <x:row r="11">
      <x:c r="A11" s="23" t="str">
        <x:v>NYC-V2-R01</x:v>
      </x:c>
      <x:c r="B11" s="23" t="str">
        <x:v>V2</x:v>
      </x:c>
      <x:c r="C11" s="23" t="str">
        <x:v>Bronx</x:v>
      </x:c>
      <x:c r="D11" s="34" t="n">
        <x:v>5</x:v>
      </x:c>
      <x:c r="E11" s="23" t="str">
        <x:v>36-04205, 36-04207</x:v>
      </x:c>
      <x:c r="F11" s="23" t="str">
        <x:v>36-04112, 36-04204, 36-04208, 36-04212, 36-04263</x:v>
      </x:c>
      <x:c r="G11" s="34" t="n">
        <x:v>2</x:v>
      </x:c>
      <x:c r="H11" s="34" t="n">
        <x:v>5</x:v>
      </x:c>
      <x:c r="I11" s="34" t="n">
        <x:v>48</x:v>
      </x:c>
    </x:row>
    <x:row r="12">
      <x:c r="A12" s="23" t="str">
        <x:v>NYC-V2-R02</x:v>
      </x:c>
      <x:c r="B12" s="23" t="str">
        <x:v>V2</x:v>
      </x:c>
      <x:c r="C12" s="23" t="str">
        <x:v>Brooklyn</x:v>
      </x:c>
      <x:c r="D12" s="34" t="n">
        <x:v>10</x:v>
      </x:c>
      <x:c r="E12" s="23" t="str">
        <x:v>36-04314, 36-04317</x:v>
      </x:c>
      <x:c r="F12" s="23" t="str">
        <x:v>36-04305, 36-04306, 36-04307, 36-04308, 36-04309, 36-04312, 36-04315, 36-04316, 36-04318</x:v>
      </x:c>
      <x:c r="G12" s="34" t="n">
        <x:v>2</x:v>
      </x:c>
      <x:c r="H12" s="34" t="n">
        <x:v>9</x:v>
      </x:c>
      <x:c r="I12" s="34" t="n">
        <x:v>44</x:v>
      </x:c>
    </x:row>
    <x:row r="13">
      <x:c r="A13" s="23" t="str">
        <x:v>NYC-V2-R03</x:v>
      </x:c>
      <x:c r="B13" s="23" t="str">
        <x:v>V2</x:v>
      </x:c>
      <x:c r="C13" s="23" t="str">
        <x:v>Brooklyn</x:v>
      </x:c>
      <x:c r="D13" s="34" t="n">
        <x:v>10</x:v>
      </x:c>
      <x:c r="E13" s="23" t="str">
        <x:v>36-04303, 36-04308</x:v>
      </x:c>
      <x:c r="F13" s="23" t="str">
        <x:v>36-04301, 36-04302, 36-04304, 36-04306, 36-04309, 36-04316, 36-04317</x:v>
      </x:c>
      <x:c r="G13" s="34" t="n">
        <x:v>2</x:v>
      </x:c>
      <x:c r="H13" s="34" t="n">
        <x:v>7</x:v>
      </x:c>
      <x:c r="I13" s="34" t="n">
        <x:v>46</x:v>
      </x:c>
    </x:row>
    <x:row r="14">
      <x:c r="A14" s="23" t="str">
        <x:v>NYC-V2-R04</x:v>
      </x:c>
      <x:c r="B14" s="23" t="str">
        <x:v>V2</x:v>
      </x:c>
      <x:c r="C14" s="23" t="str">
        <x:v>Brooklyn</x:v>
      </x:c>
      <x:c r="D14" s="34" t="n">
        <x:v>9</x:v>
      </x:c>
      <x:c r="E14" s="23" t="str">
        <x:v>36-04305</x:v>
      </x:c>
      <x:c r="F14" s="23" t="str">
        <x:v>36-04304, 36-04316, 36-04317, 36-04318, 36-04405, 36-04409, 36-04410</x:v>
      </x:c>
      <x:c r="G14" s="34" t="n">
        <x:v>1</x:v>
      </x:c>
      <x:c r="H14" s="34" t="n">
        <x:v>7</x:v>
      </x:c>
      <x:c r="I14" s="34" t="n">
        <x:v>47</x:v>
      </x:c>
    </x:row>
    <x:row r="15">
      <x:c r="A15" s="23" t="str">
        <x:v>NYC-V3-R01</x:v>
      </x:c>
      <x:c r="B15" s="23" t="str">
        <x:v>V3</x:v>
      </x:c>
      <x:c r="C15" s="23" t="str">
        <x:v>Queens</x:v>
      </x:c>
      <x:c r="D15" s="34" t="n">
        <x:v>9</x:v>
      </x:c>
      <x:c r="E15" s="23" t="str">
        <x:v>36-04401</x:v>
      </x:c>
      <x:c r="F15" s="23" t="str">
        <x:v>36-04108, 36-04111, 36-04221, 36-04402, 36-04403, 36-04404, 36-04407</x:v>
      </x:c>
      <x:c r="G15" s="34" t="n">
        <x:v>1</x:v>
      </x:c>
      <x:c r="H15" s="34" t="n">
        <x:v>7</x:v>
      </x:c>
      <x:c r="I15" s="34" t="n">
        <x:v>47</x:v>
      </x:c>
    </x:row>
    <x:row r="16">
      <x:c r="A16" s="23" t="str">
        <x:v>NYC-V3-R02</x:v>
      </x:c>
      <x:c r="B16" s="23" t="str">
        <x:v>V3</x:v>
      </x:c>
      <x:c r="C16" s="23" t="str">
        <x:v>Bronx</x:v>
      </x:c>
      <x:c r="D16" s="34" t="n">
        <x:v>7</x:v>
      </x:c>
      <x:c r="E16" s="23" t="str">
        <x:v>36-04209, 36-04210</x:v>
      </x:c>
      <x:c r="F16" s="23" t="str">
        <x:v>36-04211, 36-04212, 36-04221, 36-04263, 36-04407</x:v>
      </x:c>
      <x:c r="G16" s="34" t="n">
        <x:v>2</x:v>
      </x:c>
      <x:c r="H16" s="34" t="n">
        <x:v>5</x:v>
      </x:c>
      <x:c r="I16" s="34" t="n">
        <x:v>48</x:v>
      </x:c>
    </x:row>
    <x:row r="17">
      <x:c r="A17" s="23" t="str">
        <x:v>NYC-V3-R03</x:v>
      </x:c>
      <x:c r="B17" s="23" t="str">
        <x:v>V3</x:v>
      </x:c>
      <x:c r="C17" s="23" t="str">
        <x:v>Queens</x:v>
      </x:c>
      <x:c r="D17" s="34" t="n">
        <x:v>9</x:v>
      </x:c>
      <x:c r="E17" s="23" t="str">
        <x:v>36-04414</x:v>
      </x:c>
      <x:c r="F17" s="23" t="str">
        <x:v>36-04313, 36-04318, 36-04410, 36-04413, 36-04502</x:v>
      </x:c>
      <x:c r="G17" s="34" t="n">
        <x:v>1</x:v>
      </x:c>
      <x:c r="H17" s="34" t="n">
        <x:v>5</x:v>
      </x:c>
      <x:c r="I17" s="34" t="n">
        <x:v>49</x:v>
      </x:c>
    </x:row>
    <x:row r="18">
      <x:c r="A18" s="24" t="str">
        <x:v>NYC-V3-R04</x:v>
      </x:c>
      <x:c r="B18" s="24" t="str">
        <x:v>V3</x:v>
      </x:c>
      <x:c r="C18" s="24" t="str">
        <x:v>Queens</x:v>
      </x:c>
      <x:c r="D18" s="35" t="n">
        <x:v>7</x:v>
      </x:c>
      <x:c r="E18" s="24" t="str">
        <x:v>36-04406</x:v>
      </x:c>
      <x:c r="F18" s="24" t="str">
        <x:v>36-04404, 36-04405, 36-04409</x:v>
      </x:c>
      <x:c r="G18" s="35" t="n">
        <x:v>1</x:v>
      </x:c>
      <x:c r="H18" s="35" t="n">
        <x:v>3</x:v>
      </x:c>
      <x:c r="I18" s="35" t="n">
        <x:v>51</x:v>
      </x:c>
    </x:row>
    <x:row r="19">
      <x:c r="A19" s="29"/>
      <x:c r="B19" s="29"/>
      <x:c r="C19" s="29"/>
      <x:c r="D19" s="29"/>
      <x:c r="E19" s="29"/>
      <x:c r="F19" s="29"/>
      <x:c r="G19" s="29"/>
      <x:c r="H19" s="29"/>
      <x:c r="I19" s="29"/>
    </x:row>
    <x:row r="20" ht="58" customHeight="1">
      <x:c r="A20" s="29"/>
      <x:c r="B20" s="29"/>
      <x:c r="C20" s="29"/>
      <x:c r="D20" s="29"/>
      <x:c r="E20" s="33" t="str">
        <x:v>Rule</x:v>
      </x:c>
      <x:c r="F20" s="33" t="str">
        <x:v>Local means the PUMA or PUMAs containing selected tracts. Adjacent means NYC PUMAs touching any local PUMA. Citywide remainder is the last support tier. None of these tiers becomes tract observation.</x:v>
      </x:c>
      <x:c r="G20" s="29"/>
      <x:c r="H20" s="29"/>
      <x:c r="I20" s="29"/>
    </x:row>
    <x:row r="21">
      <x:c r="A21" s="29"/>
      <x:c r="B21" s="29"/>
      <x:c r="C21" s="29"/>
      <x:c r="D21" s="29"/>
      <x:c r="E21" s="29"/>
      <x:c r="F21" s="29"/>
      <x:c r="G21" s="29"/>
      <x:c r="H21" s="29"/>
      <x:c r="I21" s="29"/>
    </x:row>
    <x:row r="22">
      <x:c r="A22" s="29"/>
      <x:c r="B22" s="29"/>
      <x:c r="C22" s="29"/>
      <x:c r="D22" s="29"/>
      <x:c r="E22" s="29"/>
      <x:c r="F22" s="29"/>
      <x:c r="G22" s="29"/>
      <x:c r="H22" s="29"/>
      <x:c r="I22" s="29"/>
    </x:row>
    <x:row r="23">
      <x:c r="A23" s="29"/>
      <x:c r="B23" s="29"/>
      <x:c r="C23" s="29"/>
      <x:c r="D23" s="29"/>
      <x:c r="E23" s="29"/>
      <x:c r="F23" s="29"/>
      <x:c r="G23" s="29"/>
      <x:c r="H23" s="29"/>
      <x:c r="I23" s="29"/>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8" hidden="0" customWidth="1"/>
    <x:col min="2" max="2" width="10" hidden="0" customWidth="1"/>
    <x:col min="3" max="3" width="16" hidden="0" customWidth="1"/>
    <x:col min="4" max="4" width="13" hidden="0" customWidth="1"/>
    <x:col min="5" max="5" width="16" hidden="0" customWidth="1"/>
    <x:col min="6" max="6" width="15" hidden="0" customWidth="1"/>
    <x:col min="7" max="7" width="17" hidden="0" customWidth="1"/>
    <x:col min="8" max="8" width="14" hidden="0" customWidth="1"/>
    <x:col min="9" max="9" width="17" hidden="0" customWidth="1"/>
    <x:col min="10" max="10" width="20" hidden="0" customWidth="1"/>
    <x:col min="11" max="11" width="18" hidden="0" customWidth="1"/>
    <x:col min="12" max="12" width="16" hidden="0" customWidth="1"/>
    <x:col min="13" max="13" width="20" hidden="0" customWidth="1"/>
    <x:col min="14" max="14" width="18" hidden="0" customWidth="1"/>
    <x:col min="15" max="15" width="15" hidden="0" customWidth="1"/>
    <x:col min="16" max="16" width="22" hidden="0" customWidth="1"/>
  </x:cols>
  <x:sheetData>
    <x:row r="1" ht="20" customHeight="1">
      <x:c r="A1" s="1" t="str">
        <x:v>Tier Support</x:v>
      </x:c>
      <x:c r="B1" s="29"/>
      <x:c r="C1" s="29"/>
      <x:c r="D1" s="29"/>
      <x:c r="E1" s="29"/>
      <x:c r="F1" s="29"/>
      <x:c r="G1" s="29"/>
      <x:c r="H1" s="29"/>
      <x:c r="I1" s="29"/>
      <x:c r="J1" s="29"/>
      <x:c r="K1" s="29"/>
      <x:c r="L1" s="29"/>
      <x:c r="M1" s="29"/>
      <x:c r="N1" s="29"/>
      <x:c r="O1" s="29"/>
      <x:c r="P1" s="29"/>
    </x:row>
    <x:row r="2" ht="20" customHeight="1">
      <x:c r="A2" s="2" t="str">
        <x:v>Empirical household-class support by catchment and donor-pool expansion tier</x:v>
      </x:c>
      <x:c r="B2" s="29"/>
      <x:c r="C2" s="29"/>
      <x:c r="D2" s="29"/>
      <x:c r="E2" s="29"/>
      <x:c r="F2" s="29"/>
      <x:c r="G2" s="29"/>
      <x:c r="H2" s="29"/>
      <x:c r="I2" s="29"/>
      <x:c r="J2" s="29"/>
      <x:c r="K2" s="29"/>
      <x:c r="L2" s="29"/>
      <x:c r="M2" s="29"/>
      <x:c r="N2" s="29"/>
      <x:c r="O2" s="29"/>
      <x:c r="P2" s="29"/>
    </x:row>
    <x:row r="3" ht="20" customHeight="1">
      <x:c r="A3" s="30"/>
      <x:c r="B3" s="30"/>
      <x:c r="C3" s="30"/>
      <x:c r="D3" s="30"/>
      <x:c r="E3" s="30"/>
      <x:c r="F3" s="30"/>
      <x:c r="G3" s="30"/>
      <x:c r="H3" s="30"/>
      <x:c r="I3" s="30"/>
      <x:c r="J3" s="30"/>
      <x:c r="K3" s="30"/>
      <x:c r="L3" s="30"/>
      <x:c r="M3" s="30"/>
      <x:c r="N3" s="30"/>
      <x:c r="O3" s="29"/>
      <x:c r="P3" s="29"/>
    </x:row>
    <x:row r="4">
      <x:c r="A4" s="29"/>
      <x:c r="B4" s="29"/>
      <x:c r="C4" s="29"/>
      <x:c r="D4" s="29"/>
      <x:c r="E4" s="29"/>
      <x:c r="F4" s="29"/>
      <x:c r="G4" s="29"/>
      <x:c r="H4" s="29"/>
      <x:c r="I4" s="29"/>
      <x:c r="J4" s="29"/>
      <x:c r="K4" s="29"/>
      <x:c r="L4" s="29"/>
      <x:c r="M4" s="29"/>
      <x:c r="N4" s="29"/>
      <x:c r="O4" s="29"/>
      <x:c r="P4" s="29"/>
    </x:row>
    <x:row r="5">
      <x:c r="A5" s="29"/>
      <x:c r="B5" s="29"/>
      <x:c r="C5" s="29"/>
      <x:c r="D5" s="29"/>
      <x:c r="E5" s="29"/>
      <x:c r="F5" s="29"/>
      <x:c r="G5" s="29"/>
      <x:c r="H5" s="29"/>
      <x:c r="I5" s="29"/>
      <x:c r="J5" s="29"/>
      <x:c r="K5" s="29"/>
      <x:c r="L5" s="29"/>
      <x:c r="M5" s="29"/>
      <x:c r="N5" s="29"/>
      <x:c r="O5" s="29"/>
      <x:c r="P5" s="29"/>
    </x:row>
    <x:row r="6" ht="42" customHeight="1">
      <x:c r="A6" s="19" t="str">
        <x:v>Catchment</x:v>
      </x:c>
      <x:c r="B6" s="28" t="str">
        <x:v>Type</x:v>
      </x:c>
      <x:c r="C6" s="28" t="str">
        <x:v>Borough</x:v>
      </x:c>
      <x:c r="D6" s="28" t="str">
        <x:v>Local PUMAs</x:v>
      </x:c>
      <x:c r="E6" s="28" t="str">
        <x:v>Adjacent PUMAs</x:v>
      </x:c>
      <x:c r="F6" s="28" t="str">
        <x:v>Local raw HH</x:v>
      </x:c>
      <x:c r="G6" s="28" t="str">
        <x:v>Local raw persons</x:v>
      </x:c>
      <x:c r="H6" s="28" t="str">
        <x:v>Local classes</x:v>
      </x:c>
      <x:c r="I6" s="28" t="str">
        <x:v>Local+adj raw HH</x:v>
      </x:c>
      <x:c r="J6" s="28" t="str">
        <x:v>Local+adj raw persons</x:v>
      </x:c>
      <x:c r="K6" s="28" t="str">
        <x:v>Local+adj classes</x:v>
      </x:c>
      <x:c r="L6" s="28" t="str">
        <x:v>Citywide classes</x:v>
      </x:c>
      <x:c r="M6" s="28" t="str">
        <x:v>Local class-mass support</x:v>
      </x:c>
      <x:c r="N6" s="28" t="str">
        <x:v>Local+adj support</x:v>
      </x:c>
      <x:c r="O6" s="28" t="str">
        <x:v>Adjacent gain</x:v>
      </x:c>
      <x:c r="P6" s="20" t="str">
        <x:v>Remaining citywide gap</x:v>
      </x:c>
    </x:row>
    <x:row r="7">
      <x:c r="A7" s="23" t="str">
        <x:v>NYC-V1-R01</x:v>
      </x:c>
      <x:c r="B7" s="23" t="str">
        <x:v>V1</x:v>
      </x:c>
      <x:c r="C7" s="23" t="str">
        <x:v>Queens</x:v>
      </x:c>
      <x:c r="D7" s="34" t="n">
        <x:v>1</x:v>
      </x:c>
      <x:c r="E7" s="34" t="n">
        <x:v>7</x:v>
      </x:c>
      <x:c r="F7" s="34" t="n">
        <x:v>3748</x:v>
      </x:c>
      <x:c r="G7" s="34" t="n">
        <x:v>10268</x:v>
      </x:c>
      <x:c r="H7" s="34" t="n">
        <x:v>928</x:v>
      </x:c>
      <x:c r="I7" s="34" t="n">
        <x:v>19434</x:v>
      </x:c>
      <x:c r="J7" s="34" t="n">
        <x:v>52476</x:v>
      </x:c>
      <x:c r="K7" s="34" t="n">
        <x:v>1549</x:v>
      </x:c>
      <x:c r="L7" s="34" t="n">
        <x:v>2123</x:v>
      </x:c>
      <x:c r="M7" s="31" t="n">
        <x:v>0.9106146709164982</x:v>
      </x:c>
      <x:c r="N7" s="31" t="n">
        <x:v>0.9893878185161602</x:v>
      </x:c>
      <x:c r="O7" s="31" t="n">
        <x:f>N7-M7</x:f>
        <x:v>0.07877314759966203</x:v>
      </x:c>
      <x:c r="P7" s="31" t="n">
        <x:f>1-N7</x:f>
        <x:v>0.0106121814838398</x:v>
      </x:c>
    </x:row>
    <x:row r="8">
      <x:c r="A8" s="23" t="str">
        <x:v>NYC-V1-R02</x:v>
      </x:c>
      <x:c r="B8" s="23" t="str">
        <x:v>V1</x:v>
      </x:c>
      <x:c r="C8" s="23" t="str">
        <x:v>Manhattan</x:v>
      </x:c>
      <x:c r="D8" s="34" t="n">
        <x:v>1</x:v>
      </x:c>
      <x:c r="E8" s="34" t="n">
        <x:v>6</x:v>
      </x:c>
      <x:c r="F8" s="34" t="n">
        <x:v>2667</x:v>
      </x:c>
      <x:c r="G8" s="34" t="n">
        <x:v>5701</x:v>
      </x:c>
      <x:c r="H8" s="34" t="n">
        <x:v>337</x:v>
      </x:c>
      <x:c r="I8" s="34" t="n">
        <x:v>15247</x:v>
      </x:c>
      <x:c r="J8" s="34" t="n">
        <x:v>32729</x:v>
      </x:c>
      <x:c r="K8" s="34" t="n">
        <x:v>769</x:v>
      </x:c>
      <x:c r="L8" s="34" t="n">
        <x:v>2123</x:v>
      </x:c>
      <x:c r="M8" s="31" t="n">
        <x:v>0.7382373557066345</x:v>
      </x:c>
      <x:c r="N8" s="31" t="n">
        <x:v>0.8966171609490197</x:v>
      </x:c>
      <x:c r="O8" s="31" t="n">
        <x:f>N8-M8</x:f>
        <x:v>0.15837980524238515</x:v>
      </x:c>
      <x:c r="P8" s="31" t="n">
        <x:f>1-N8</x:f>
        <x:v>0.10338283905098034</x:v>
      </x:c>
    </x:row>
    <x:row r="9">
      <x:c r="A9" s="23" t="str">
        <x:v>NYC-V1-R03</x:v>
      </x:c>
      <x:c r="B9" s="23" t="str">
        <x:v>V1</x:v>
      </x:c>
      <x:c r="C9" s="23" t="str">
        <x:v>Manhattan</x:v>
      </x:c>
      <x:c r="D9" s="34" t="n">
        <x:v>1</x:v>
      </x:c>
      <x:c r="E9" s="34" t="n">
        <x:v>7</x:v>
      </x:c>
      <x:c r="F9" s="34" t="n">
        <x:v>2966</x:v>
      </x:c>
      <x:c r="G9" s="34" t="n">
        <x:v>5775</x:v>
      </x:c>
      <x:c r="H9" s="34" t="n">
        <x:v>294</x:v>
      </x:c>
      <x:c r="I9" s="34" t="n">
        <x:v>20512</x:v>
      </x:c>
      <x:c r="J9" s="34" t="n">
        <x:v>43347</x:v>
      </x:c>
      <x:c r="K9" s="34" t="n">
        <x:v>946</x:v>
      </x:c>
      <x:c r="L9" s="34" t="n">
        <x:v>2123</x:v>
      </x:c>
      <x:c r="M9" s="31" t="n">
        <x:v>0.7135847740299985</x:v>
      </x:c>
      <x:c r="N9" s="31" t="n">
        <x:v>0.938804346489435</x:v>
      </x:c>
      <x:c r="O9" s="31" t="n">
        <x:f>N9-M9</x:f>
        <x:v>0.22521957245943647</x:v>
      </x:c>
      <x:c r="P9" s="31" t="n">
        <x:f>1-N9</x:f>
        <x:v>0.061195653510564996</x:v>
      </x:c>
    </x:row>
    <x:row r="10">
      <x:c r="A10" s="23" t="str">
        <x:v>NYC-V1-R04</x:v>
      </x:c>
      <x:c r="B10" s="23" t="str">
        <x:v>V1</x:v>
      </x:c>
      <x:c r="C10" s="23" t="str">
        <x:v>Manhattan</x:v>
      </x:c>
      <x:c r="D10" s="34" t="n">
        <x:v>2</x:v>
      </x:c>
      <x:c r="E10" s="34" t="n">
        <x:v>7</x:v>
      </x:c>
      <x:c r="F10" s="34" t="n">
        <x:v>3346</x:v>
      </x:c>
      <x:c r="G10" s="34" t="n">
        <x:v>7639</x:v>
      </x:c>
      <x:c r="H10" s="34" t="n">
        <x:v>443</x:v>
      </x:c>
      <x:c r="I10" s="34" t="n">
        <x:v>19264</x:v>
      </x:c>
      <x:c r="J10" s="34" t="n">
        <x:v>45281</x:v>
      </x:c>
      <x:c r="K10" s="34" t="n">
        <x:v>1095</x:v>
      </x:c>
      <x:c r="L10" s="34" t="n">
        <x:v>2123</x:v>
      </x:c>
      <x:c r="M10" s="31" t="n">
        <x:v>0.7816500619508814</x:v>
      </x:c>
      <x:c r="N10" s="31" t="n">
        <x:v>0.9568656303228494</x:v>
      </x:c>
      <x:c r="O10" s="31" t="n">
        <x:f>N10-M10</x:f>
        <x:v>0.17521556837196806</x:v>
      </x:c>
      <x:c r="P10" s="31" t="n">
        <x:f>1-N10</x:f>
        <x:v>0.043134369677150564</x:v>
      </x:c>
    </x:row>
    <x:row r="11">
      <x:c r="A11" s="23" t="str">
        <x:v>NYC-V2-R01</x:v>
      </x:c>
      <x:c r="B11" s="23" t="str">
        <x:v>V2</x:v>
      </x:c>
      <x:c r="C11" s="23" t="str">
        <x:v>Bronx</x:v>
      </x:c>
      <x:c r="D11" s="34" t="n">
        <x:v>2</x:v>
      </x:c>
      <x:c r="E11" s="34" t="n">
        <x:v>5</x:v>
      </x:c>
      <x:c r="F11" s="34" t="n">
        <x:v>2747</x:v>
      </x:c>
      <x:c r="G11" s="34" t="n">
        <x:v>7598</x:v>
      </x:c>
      <x:c r="H11" s="34" t="n">
        <x:v>561</x:v>
      </x:c>
      <x:c r="I11" s="34" t="n">
        <x:v>11541</x:v>
      </x:c>
      <x:c r="J11" s="34" t="n">
        <x:v>31370</x:v>
      </x:c>
      <x:c r="K11" s="34" t="n">
        <x:v>1129</x:v>
      </x:c>
      <x:c r="L11" s="34" t="n">
        <x:v>2123</x:v>
      </x:c>
      <x:c r="M11" s="31" t="n">
        <x:v>0.8159388475366464</x:v>
      </x:c>
      <x:c r="N11" s="31" t="n">
        <x:v>0.9620721437584374</x:v>
      </x:c>
      <x:c r="O11" s="31" t="n">
        <x:f>N11-M11</x:f>
        <x:v>0.14613329622179105</x:v>
      </x:c>
      <x:c r="P11" s="31" t="n">
        <x:f>1-N11</x:f>
        <x:v>0.037927856241562585</x:v>
      </x:c>
    </x:row>
    <x:row r="12">
      <x:c r="A12" s="23" t="str">
        <x:v>NYC-V2-R02</x:v>
      </x:c>
      <x:c r="B12" s="23" t="str">
        <x:v>V2</x:v>
      </x:c>
      <x:c r="C12" s="23" t="str">
        <x:v>Brooklyn</x:v>
      </x:c>
      <x:c r="D12" s="34" t="n">
        <x:v>2</x:v>
      </x:c>
      <x:c r="E12" s="34" t="n">
        <x:v>9</x:v>
      </x:c>
      <x:c r="F12" s="34" t="n">
        <x:v>4643</x:v>
      </x:c>
      <x:c r="G12" s="34" t="n">
        <x:v>12317</x:v>
      </x:c>
      <x:c r="H12" s="34" t="n">
        <x:v>784</x:v>
      </x:c>
      <x:c r="I12" s="34" t="n">
        <x:v>24313</x:v>
      </x:c>
      <x:c r="J12" s="34" t="n">
        <x:v>66317</x:v>
      </x:c>
      <x:c r="K12" s="34" t="n">
        <x:v>1440</x:v>
      </x:c>
      <x:c r="L12" s="34" t="n">
        <x:v>2123</x:v>
      </x:c>
      <x:c r="M12" s="31" t="n">
        <x:v>0.9242756575776381</x:v>
      </x:c>
      <x:c r="N12" s="31" t="n">
        <x:v>0.98410752189576</x:v>
      </x:c>
      <x:c r="O12" s="31" t="n">
        <x:f>N12-M12</x:f>
        <x:v>0.05983186431812193</x:v>
      </x:c>
      <x:c r="P12" s="31" t="n">
        <x:f>1-N12</x:f>
        <x:v>0.015892478104239993</x:v>
      </x:c>
    </x:row>
    <x:row r="13">
      <x:c r="A13" s="23" t="str">
        <x:v>NYC-V2-R03</x:v>
      </x:c>
      <x:c r="B13" s="23" t="str">
        <x:v>V2</x:v>
      </x:c>
      <x:c r="C13" s="23" t="str">
        <x:v>Brooklyn</x:v>
      </x:c>
      <x:c r="D13" s="34" t="n">
        <x:v>2</x:v>
      </x:c>
      <x:c r="E13" s="34" t="n">
        <x:v>7</x:v>
      </x:c>
      <x:c r="F13" s="34" t="n">
        <x:v>4059</x:v>
      </x:c>
      <x:c r="G13" s="34" t="n">
        <x:v>9738</x:v>
      </x:c>
      <x:c r="H13" s="34" t="n">
        <x:v>539</x:v>
      </x:c>
      <x:c r="I13" s="34" t="n">
        <x:v>18193</x:v>
      </x:c>
      <x:c r="J13" s="34" t="n">
        <x:v>43806</x:v>
      </x:c>
      <x:c r="K13" s="34" t="n">
        <x:v>1036</x:v>
      </x:c>
      <x:c r="L13" s="34" t="n">
        <x:v>2123</x:v>
      </x:c>
      <x:c r="M13" s="31" t="n">
        <x:v>0.8321333568079835</x:v>
      </x:c>
      <x:c r="N13" s="31" t="n">
        <x:v>0.9568935239658882</x:v>
      </x:c>
      <x:c r="O13" s="31" t="n">
        <x:f>N13-M13</x:f>
        <x:v>0.12476016715790472</x:v>
      </x:c>
      <x:c r="P13" s="31" t="n">
        <x:f>1-N13</x:f>
        <x:v>0.043106476034111774</x:v>
      </x:c>
    </x:row>
    <x:row r="14">
      <x:c r="A14" s="23" t="str">
        <x:v>NYC-V2-R04</x:v>
      </x:c>
      <x:c r="B14" s="23" t="str">
        <x:v>V2</x:v>
      </x:c>
      <x:c r="C14" s="23" t="str">
        <x:v>Brooklyn</x:v>
      </x:c>
      <x:c r="D14" s="34" t="n">
        <x:v>1</x:v>
      </x:c>
      <x:c r="E14" s="34" t="n">
        <x:v>7</x:v>
      </x:c>
      <x:c r="F14" s="34" t="n">
        <x:v>2087</x:v>
      </x:c>
      <x:c r="G14" s="34" t="n">
        <x:v>5943</x:v>
      </x:c>
      <x:c r="H14" s="34" t="n">
        <x:v>578</x:v>
      </x:c>
      <x:c r="I14" s="34" t="n">
        <x:v>17202</x:v>
      </x:c>
      <x:c r="J14" s="34" t="n">
        <x:v>49330</x:v>
      </x:c>
      <x:c r="K14" s="34" t="n">
        <x:v>1315</x:v>
      </x:c>
      <x:c r="L14" s="34" t="n">
        <x:v>2123</x:v>
      </x:c>
      <x:c r="M14" s="31" t="n">
        <x:v>0.8409954371398758</x:v>
      </x:c>
      <x:c r="N14" s="31" t="n">
        <x:v>0.9734446519638175</x:v>
      </x:c>
      <x:c r="O14" s="31" t="n">
        <x:f>N14-M14</x:f>
        <x:v>0.13244921482394167</x:v>
      </x:c>
      <x:c r="P14" s="31" t="n">
        <x:f>1-N14</x:f>
        <x:v>0.026555348036182536</x:v>
      </x:c>
    </x:row>
    <x:row r="15">
      <x:c r="A15" s="23" t="str">
        <x:v>NYC-V3-R01</x:v>
      </x:c>
      <x:c r="B15" s="23" t="str">
        <x:v>V3</x:v>
      </x:c>
      <x:c r="C15" s="23" t="str">
        <x:v>Queens</x:v>
      </x:c>
      <x:c r="D15" s="34" t="n">
        <x:v>1</x:v>
      </x:c>
      <x:c r="E15" s="34" t="n">
        <x:v>7</x:v>
      </x:c>
      <x:c r="F15" s="34" t="n">
        <x:v>3769</x:v>
      </x:c>
      <x:c r="G15" s="34" t="n">
        <x:v>8314</x:v>
      </x:c>
      <x:c r="H15" s="34" t="n">
        <x:v>610</x:v>
      </x:c>
      <x:c r="I15" s="34" t="n">
        <x:v>19835</x:v>
      </x:c>
      <x:c r="J15" s="34" t="n">
        <x:v>50259</x:v>
      </x:c>
      <x:c r="K15" s="34" t="n">
        <x:v>1448</x:v>
      </x:c>
      <x:c r="L15" s="34" t="n">
        <x:v>2123</x:v>
      </x:c>
      <x:c r="M15" s="31" t="n">
        <x:v>0.8675198922165639</x:v>
      </x:c>
      <x:c r="N15" s="31" t="n">
        <x:v>0.9853309430780725</x:v>
      </x:c>
      <x:c r="O15" s="31" t="n">
        <x:f>N15-M15</x:f>
        <x:v>0.11781105086150856</x:v>
      </x:c>
      <x:c r="P15" s="31" t="n">
        <x:f>1-N15</x:f>
        <x:v>0.014669056921927548</x:v>
      </x:c>
    </x:row>
    <x:row r="16">
      <x:c r="A16" s="23" t="str">
        <x:v>NYC-V3-R02</x:v>
      </x:c>
      <x:c r="B16" s="23" t="str">
        <x:v>V3</x:v>
      </x:c>
      <x:c r="C16" s="23" t="str">
        <x:v>Bronx</x:v>
      </x:c>
      <x:c r="D16" s="34" t="n">
        <x:v>2</x:v>
      </x:c>
      <x:c r="E16" s="34" t="n">
        <x:v>5</x:v>
      </x:c>
      <x:c r="F16" s="34" t="n">
        <x:v>3757</x:v>
      </x:c>
      <x:c r="G16" s="34" t="n">
        <x:v>10151</x:v>
      </x:c>
      <x:c r="H16" s="34" t="n">
        <x:v>861</x:v>
      </x:c>
      <x:c r="I16" s="34" t="n">
        <x:v>14592</x:v>
      </x:c>
      <x:c r="J16" s="34" t="n">
        <x:v>41166</x:v>
      </x:c>
      <x:c r="K16" s="34" t="n">
        <x:v>1443</x:v>
      </x:c>
      <x:c r="L16" s="34" t="n">
        <x:v>2123</x:v>
      </x:c>
      <x:c r="M16" s="31" t="n">
        <x:v>0.9311698863828933</x:v>
      </x:c>
      <x:c r="N16" s="31" t="n">
        <x:v>0.9843936566856414</x:v>
      </x:c>
      <x:c r="O16" s="31" t="n">
        <x:f>N16-M16</x:f>
        <x:v>0.05322377030274805</x:v>
      </x:c>
      <x:c r="P16" s="31" t="n">
        <x:f>1-N16</x:f>
        <x:v>0.015606343314358617</x:v>
      </x:c>
    </x:row>
    <x:row r="17">
      <x:c r="A17" s="23" t="str">
        <x:v>NYC-V3-R03</x:v>
      </x:c>
      <x:c r="B17" s="23" t="str">
        <x:v>V3</x:v>
      </x:c>
      <x:c r="C17" s="23" t="str">
        <x:v>Queens</x:v>
      </x:c>
      <x:c r="D17" s="34" t="n">
        <x:v>1</x:v>
      </x:c>
      <x:c r="E17" s="34" t="n">
        <x:v>5</x:v>
      </x:c>
      <x:c r="F17" s="34" t="n">
        <x:v>1446</x:v>
      </x:c>
      <x:c r="G17" s="34" t="n">
        <x:v>4237</x:v>
      </x:c>
      <x:c r="H17" s="34" t="n">
        <x:v>462</x:v>
      </x:c>
      <x:c r="I17" s="34" t="n">
        <x:v>13502</x:v>
      </x:c>
      <x:c r="J17" s="34" t="n">
        <x:v>40067</x:v>
      </x:c>
      <x:c r="K17" s="34" t="n">
        <x:v>1250</x:v>
      </x:c>
      <x:c r="L17" s="34" t="n">
        <x:v>2123</x:v>
      </x:c>
      <x:c r="M17" s="31" t="n">
        <x:v>0.8185353557924149</x:v>
      </x:c>
      <x:c r="N17" s="31" t="n">
        <x:v>0.9672402659433915</x:v>
      </x:c>
      <x:c r="O17" s="31" t="n">
        <x:f>N17-M17</x:f>
        <x:v>0.14870491015097664</x:v>
      </x:c>
      <x:c r="P17" s="31" t="n">
        <x:f>1-N17</x:f>
        <x:v>0.03275973405660848</x:v>
      </x:c>
    </x:row>
    <x:row r="18">
      <x:c r="A18" s="24" t="str">
        <x:v>NYC-V3-R04</x:v>
      </x:c>
      <x:c r="B18" s="24" t="str">
        <x:v>V3</x:v>
      </x:c>
      <x:c r="C18" s="24" t="str">
        <x:v>Queens</x:v>
      </x:c>
      <x:c r="D18" s="35" t="n">
        <x:v>1</x:v>
      </x:c>
      <x:c r="E18" s="35" t="n">
        <x:v>3</x:v>
      </x:c>
      <x:c r="F18" s="35" t="n">
        <x:v>2294</x:v>
      </x:c>
      <x:c r="G18" s="35" t="n">
        <x:v>5193</x:v>
      </x:c>
      <x:c r="H18" s="35" t="n">
        <x:v>584</x:v>
      </x:c>
      <x:c r="I18" s="35" t="n">
        <x:v>9875</x:v>
      </x:c>
      <x:c r="J18" s="35" t="n">
        <x:v>27406</x:v>
      </x:c>
      <x:c r="K18" s="35" t="n">
        <x:v>1264</x:v>
      </x:c>
      <x:c r="L18" s="35" t="n">
        <x:v>2123</x:v>
      </x:c>
      <x:c r="M18" s="32" t="n">
        <x:v>0.8429956812842353</x:v>
      </x:c>
      <x:c r="N18" s="32" t="n">
        <x:v>0.9714027173207226</x:v>
      </x:c>
      <x:c r="O18" s="32" t="n">
        <x:f>N18-M18</x:f>
        <x:v>0.1284070360364873</x:v>
      </x:c>
      <x:c r="P18" s="32" t="n">
        <x:f>1-N18</x:f>
        <x:v>0.028597282679277414</x:v>
      </x:c>
    </x:row>
    <x:row r="19">
      <x:c r="A19" s="29"/>
      <x:c r="B19" s="29"/>
      <x:c r="C19" s="29"/>
      <x:c r="D19" s="29"/>
      <x:c r="E19" s="29"/>
      <x:c r="F19" s="29"/>
      <x:c r="G19" s="29"/>
      <x:c r="H19" s="29"/>
      <x:c r="I19" s="29"/>
      <x:c r="J19" s="29"/>
      <x:c r="K19" s="29"/>
      <x:c r="L19" s="29"/>
      <x:c r="M19" s="29"/>
      <x:c r="N19" s="29"/>
      <x:c r="O19" s="29"/>
      <x:c r="P19" s="29"/>
    </x:row>
    <x:row r="20">
      <x:c r="A20" s="29"/>
      <x:c r="B20" s="29"/>
      <x:c r="C20" s="29"/>
      <x:c r="D20" s="29"/>
      <x:c r="E20" s="29"/>
      <x:c r="F20" s="29"/>
      <x:c r="G20" s="29"/>
      <x:c r="H20" s="29"/>
      <x:c r="I20" s="29"/>
      <x:c r="J20" s="29"/>
      <x:c r="K20" s="29"/>
      <x:c r="L20" s="29"/>
      <x:c r="M20" s="29"/>
      <x:c r="N20" s="29"/>
      <x:c r="O20" s="29"/>
      <x:c r="P20" s="29"/>
    </x:row>
    <x:row r="21">
      <x:c r="A21" s="29"/>
      <x:c r="B21" s="29"/>
      <x:c r="C21" s="29"/>
      <x:c r="D21" s="29"/>
      <x:c r="E21" s="29"/>
      <x:c r="F21" s="29"/>
      <x:c r="G21" s="29"/>
      <x:c r="H21" s="29"/>
      <x:c r="I21" s="29"/>
      <x:c r="J21" s="29"/>
      <x:c r="K21" s="29"/>
      <x:c r="L21" s="29"/>
      <x:c r="M21" s="29"/>
      <x:c r="N21" s="29"/>
      <x:c r="O21" s="29"/>
      <x:c r="P21" s="29"/>
    </x:row>
    <x:row r="22">
      <x:c r="A22" s="29"/>
      <x:c r="B22" s="29"/>
      <x:c r="C22" s="29"/>
      <x:c r="D22" s="29"/>
      <x:c r="E22" s="29"/>
      <x:c r="F22" s="29"/>
      <x:c r="G22" s="29"/>
      <x:c r="H22" s="29"/>
      <x:c r="I22" s="29"/>
      <x:c r="J22" s="29"/>
      <x:c r="K22" s="29"/>
      <x:c r="L22" s="29"/>
      <x:c r="M22" s="29"/>
      <x:c r="N22" s="29"/>
      <x:c r="O22" s="29"/>
      <x:c r="P22" s="29"/>
    </x:row>
    <x:row r="23">
      <x:c r="A23" s="29"/>
      <x:c r="B23" s="29"/>
      <x:c r="C23" s="29"/>
      <x:c r="D23" s="29"/>
      <x:c r="E23" s="29"/>
      <x:c r="F23" s="29"/>
      <x:c r="G23" s="29"/>
      <x:c r="H23" s="29"/>
      <x:c r="I23" s="29"/>
      <x:c r="J23" s="29"/>
      <x:c r="K23" s="29"/>
      <x:c r="L23" s="29"/>
      <x:c r="M23" s="29"/>
      <x:c r="N23" s="29"/>
      <x:c r="O23" s="29"/>
      <x:c r="P23" s="29"/>
    </x:row>
    <x:row r="24">
      <x:c r="A24" s="29"/>
      <x:c r="B24" s="29"/>
      <x:c r="C24" s="29"/>
      <x:c r="D24" s="29"/>
      <x:c r="E24" s="29"/>
      <x:c r="F24" s="29"/>
      <x:c r="G24" s="29"/>
      <x:c r="H24" s="29"/>
      <x:c r="I24" s="29"/>
      <x:c r="J24" s="29"/>
      <x:c r="K24" s="29"/>
      <x:c r="L24" s="29"/>
      <x:c r="M24" s="29"/>
      <x:c r="N24" s="29"/>
      <x:c r="O24" s="29"/>
      <x:c r="P24" s="29"/>
    </x:row>
    <x:row r="25">
      <x:c r="A25" s="29"/>
      <x:c r="B25" s="29"/>
      <x:c r="C25" s="29"/>
      <x:c r="D25" s="29"/>
      <x:c r="E25" s="29"/>
      <x:c r="F25" s="29"/>
      <x:c r="G25" s="29"/>
      <x:c r="H25" s="29"/>
      <x:c r="I25" s="29"/>
      <x:c r="J25" s="29"/>
      <x:c r="K25" s="29"/>
      <x:c r="L25" s="29"/>
      <x:c r="M25" s="29"/>
      <x:c r="N25" s="29"/>
      <x:c r="O25" s="29"/>
      <x:c r="P25" s="29"/>
    </x:row>
    <x:row r="26">
      <x:c r="A26" s="29"/>
      <x:c r="B26" s="29"/>
      <x:c r="C26" s="29"/>
      <x:c r="D26" s="29"/>
      <x:c r="E26" s="29"/>
      <x:c r="F26" s="29"/>
      <x:c r="G26" s="29"/>
      <x:c r="H26" s="29"/>
      <x:c r="I26" s="29"/>
      <x:c r="J26" s="29"/>
      <x:c r="K26" s="29"/>
      <x:c r="L26" s="29"/>
      <x:c r="M26" s="29"/>
      <x:c r="N26" s="29"/>
      <x:c r="O26" s="29"/>
      <x:c r="P26" s="29"/>
    </x:row>
    <x:row r="27">
      <x:c r="A27" s="29"/>
      <x:c r="B27" s="29"/>
      <x:c r="C27" s="29"/>
      <x:c r="D27" s="29"/>
      <x:c r="E27" s="29"/>
      <x:c r="F27" s="29"/>
      <x:c r="G27" s="29"/>
      <x:c r="H27" s="29"/>
      <x:c r="I27" s="29"/>
      <x:c r="J27" s="29"/>
      <x:c r="K27" s="29"/>
      <x:c r="L27" s="29"/>
      <x:c r="M27" s="29"/>
      <x:c r="N27" s="29"/>
      <x:c r="O27" s="29"/>
      <x:c r="P27" s="29"/>
    </x:row>
    <x:row r="28">
      <x:c r="A28" s="29"/>
      <x:c r="B28" s="29"/>
      <x:c r="C28" s="29"/>
      <x:c r="D28" s="29"/>
      <x:c r="E28" s="29"/>
      <x:c r="F28" s="29"/>
      <x:c r="G28" s="29"/>
      <x:c r="H28" s="29"/>
      <x:c r="I28" s="29"/>
      <x:c r="J28" s="29"/>
      <x:c r="K28" s="29"/>
      <x:c r="L28" s="29"/>
      <x:c r="M28" s="29"/>
      <x:c r="N28" s="29"/>
      <x:c r="O28" s="29"/>
      <x:c r="P28" s="29"/>
    </x:row>
    <x:row r="29">
      <x:c r="A29" s="29"/>
      <x:c r="B29" s="29"/>
      <x:c r="C29" s="29"/>
      <x:c r="D29" s="29"/>
      <x:c r="E29" s="29"/>
      <x:c r="F29" s="29"/>
      <x:c r="G29" s="29"/>
      <x:c r="H29" s="29"/>
      <x:c r="I29" s="29"/>
      <x:c r="J29" s="29"/>
      <x:c r="K29" s="29"/>
      <x:c r="L29" s="29"/>
      <x:c r="M29" s="29"/>
      <x:c r="N29" s="29"/>
      <x:c r="O29" s="29"/>
      <x:c r="P29" s="29"/>
    </x:row>
    <x:row r="30">
      <x:c r="A30" s="29"/>
      <x:c r="B30" s="29"/>
      <x:c r="C30" s="29"/>
      <x:c r="D30" s="29"/>
      <x:c r="E30" s="29"/>
      <x:c r="F30" s="29"/>
      <x:c r="G30" s="29"/>
      <x:c r="H30" s="29"/>
      <x:c r="I30" s="29"/>
      <x:c r="J30" s="29"/>
      <x:c r="K30" s="29"/>
      <x:c r="L30" s="29"/>
      <x:c r="M30" s="29"/>
      <x:c r="N30" s="29"/>
      <x:c r="O30" s="29"/>
      <x:c r="P30" s="29"/>
    </x:row>
    <x:row r="31">
      <x:c r="A31" s="29"/>
      <x:c r="B31" s="29"/>
      <x:c r="C31" s="29"/>
      <x:c r="D31" s="29"/>
      <x:c r="E31" s="29"/>
      <x:c r="F31" s="29"/>
      <x:c r="G31" s="29"/>
      <x:c r="H31" s="29"/>
      <x:c r="I31" s="29"/>
      <x:c r="J31" s="29"/>
      <x:c r="K31" s="29"/>
      <x:c r="L31" s="29"/>
      <x:c r="M31" s="29"/>
      <x:c r="N31" s="29"/>
      <x:c r="O31" s="29"/>
      <x:c r="P31" s="29"/>
    </x:row>
    <x:row r="32">
      <x:c r="A32" s="29"/>
      <x:c r="B32" s="29"/>
      <x:c r="C32" s="29"/>
      <x:c r="D32" s="29"/>
      <x:c r="E32" s="29"/>
      <x:c r="F32" s="29"/>
      <x:c r="G32" s="29"/>
      <x:c r="H32" s="29"/>
      <x:c r="I32" s="29"/>
      <x:c r="J32" s="29"/>
      <x:c r="K32" s="29"/>
      <x:c r="L32" s="29"/>
      <x:c r="M32" s="29"/>
      <x:c r="N32" s="29"/>
      <x:c r="O32" s="29"/>
      <x:c r="P32" s="29"/>
    </x:row>
    <x:row r="33">
      <x:c r="A33" s="29"/>
      <x:c r="B33" s="29"/>
      <x:c r="C33" s="29"/>
      <x:c r="D33" s="29"/>
      <x:c r="E33" s="29"/>
      <x:c r="F33" s="29"/>
      <x:c r="G33" s="29"/>
      <x:c r="H33" s="29"/>
      <x:c r="I33" s="29"/>
      <x:c r="J33" s="29"/>
      <x:c r="K33" s="29"/>
      <x:c r="L33" s="29"/>
      <x:c r="M33" s="29"/>
      <x:c r="N33" s="29"/>
      <x:c r="O33" s="29"/>
      <x:c r="P33" s="29"/>
    </x:row>
    <x:row r="34">
      <x:c r="A34" s="29"/>
      <x:c r="B34" s="29"/>
      <x:c r="C34" s="29"/>
      <x:c r="D34" s="29"/>
      <x:c r="E34" s="29"/>
      <x:c r="F34" s="29"/>
      <x:c r="G34" s="29"/>
      <x:c r="H34" s="29"/>
      <x:c r="I34" s="29"/>
      <x:c r="J34" s="29"/>
      <x:c r="K34" s="29"/>
      <x:c r="L34" s="29"/>
      <x:c r="M34" s="29"/>
      <x:c r="N34" s="29"/>
      <x:c r="O34" s="29"/>
      <x:c r="P34" s="29"/>
    </x:row>
    <x:row r="35">
      <x:c r="A35" s="29"/>
      <x:c r="B35" s="29"/>
      <x:c r="C35" s="29"/>
      <x:c r="D35" s="29"/>
      <x:c r="E35" s="29"/>
      <x:c r="F35" s="29"/>
      <x:c r="G35" s="29"/>
      <x:c r="H35" s="29"/>
      <x:c r="I35" s="29"/>
      <x:c r="J35" s="29"/>
      <x:c r="K35" s="29"/>
      <x:c r="L35" s="29"/>
      <x:c r="M35" s="29"/>
      <x:c r="N35" s="29"/>
      <x:c r="O35" s="29"/>
      <x:c r="P35" s="29"/>
    </x:row>
    <x:row r="36">
      <x:c r="A36" s="29"/>
      <x:c r="B36" s="29"/>
      <x:c r="C36" s="29"/>
      <x:c r="D36" s="29"/>
      <x:c r="E36" s="29"/>
      <x:c r="F36" s="29"/>
      <x:c r="G36" s="29"/>
      <x:c r="H36" s="29"/>
      <x:c r="I36" s="29"/>
      <x:c r="J36" s="29"/>
      <x:c r="K36" s="29"/>
      <x:c r="L36" s="29"/>
      <x:c r="M36" s="29"/>
      <x:c r="N36" s="29"/>
      <x:c r="O36" s="29"/>
      <x:c r="P36" s="29"/>
    </x:row>
    <x:row r="37">
      <x:c r="A37" s="29"/>
      <x:c r="B37" s="29"/>
      <x:c r="C37" s="29"/>
      <x:c r="D37" s="29"/>
      <x:c r="E37" s="29"/>
      <x:c r="F37" s="29"/>
      <x:c r="G37" s="29"/>
      <x:c r="H37" s="29"/>
      <x:c r="I37" s="29"/>
      <x:c r="J37" s="29"/>
      <x:c r="K37" s="29"/>
      <x:c r="L37" s="29"/>
      <x:c r="M37" s="29"/>
      <x:c r="N37" s="29"/>
      <x:c r="O37" s="29"/>
      <x:c r="P37" s="29"/>
    </x:row>
    <x:row r="38">
      <x:c r="A38" s="29"/>
      <x:c r="B38" s="29"/>
      <x:c r="C38" s="29"/>
      <x:c r="D38" s="29"/>
      <x:c r="E38" s="29"/>
      <x:c r="F38" s="29"/>
      <x:c r="G38" s="29"/>
      <x:c r="H38" s="29"/>
      <x:c r="I38" s="29"/>
      <x:c r="J38" s="29"/>
      <x:c r="K38" s="29"/>
      <x:c r="L38" s="29"/>
      <x:c r="M38" s="29"/>
      <x:c r="N38" s="29"/>
      <x:c r="O38" s="29"/>
      <x:c r="P38" s="29"/>
    </x:row>
    <x:row r="39">
      <x:c r="A39" s="29"/>
      <x:c r="B39" s="29"/>
      <x:c r="C39" s="29"/>
      <x:c r="D39" s="29"/>
      <x:c r="E39" s="29"/>
      <x:c r="F39" s="29"/>
      <x:c r="G39" s="29"/>
      <x:c r="H39" s="29"/>
      <x:c r="I39" s="29"/>
      <x:c r="J39" s="29"/>
      <x:c r="K39" s="29"/>
      <x:c r="L39" s="29"/>
      <x:c r="M39" s="29"/>
      <x:c r="N39" s="29"/>
      <x:c r="O39" s="29"/>
      <x:c r="P39" s="29"/>
    </x:row>
  </x:sheetData>
  <x:conditionalFormatting sqref="M7:N18">
    <x:cfRule type="colorScale" priority="1">
      <x:colorScale>
        <x:cfvo type="min"/>
        <x:cfvo type="percentile" val="50"/>
        <x:cfvo type="max"/>
        <x:color rgb="FFF8696B"/>
        <x:color rgb="FFFFEB84"/>
        <x:color rgb="FF63BE7B"/>
      </x:colorScale>
    </x:cfRule>
  </x:conditionalFormatting>
  <x:pageMargins left="0.7" right="0.7" top="0.75" bottom="0.75" header="0.3" footer="0.3"/>
  <x:drawing xmlns:r="http://schemas.openxmlformats.org/officeDocument/2006/relationships" r:id="R8c5df202662848b9"/>
</x:worksheet>
</file>

<file path=xl/worksheets/sheet10.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8" hidden="0" customWidth="1"/>
    <x:col min="2" max="2" width="18" hidden="0" customWidth="1"/>
    <x:col min="3" max="3" width="18" hidden="0" customWidth="1"/>
    <x:col min="4" max="4" width="24" hidden="0" customWidth="1"/>
    <x:col min="5" max="5" width="22" hidden="0" customWidth="1"/>
    <x:col min="6" max="6" width="24" hidden="0" customWidth="1"/>
    <x:col min="7" max="7" width="24" hidden="0" customWidth="1"/>
  </x:cols>
  <x:sheetData>
    <x:row r="1" ht="20" customHeight="1">
      <x:c r="A1" s="1" t="str">
        <x:v>Class Sparsity</x:v>
      </x:c>
      <x:c r="B1" s="29"/>
      <x:c r="C1" s="29"/>
      <x:c r="D1" s="29"/>
      <x:c r="E1" s="29"/>
      <x:c r="F1" s="29"/>
      <x:c r="G1" s="29"/>
    </x:row>
    <x:row r="2" ht="20" customHeight="1">
      <x:c r="A2" s="2" t="str">
        <x:v>Observed nine-dimensional household classes grouped by raw donor count</x:v>
      </x:c>
      <x:c r="B2" s="29"/>
      <x:c r="C2" s="29"/>
      <x:c r="D2" s="29"/>
      <x:c r="E2" s="29"/>
      <x:c r="F2" s="29"/>
      <x:c r="G2" s="29"/>
    </x:row>
    <x:row r="3" ht="20" customHeight="1">
      <x:c r="A3" s="30"/>
      <x:c r="B3" s="30"/>
      <x:c r="C3" s="30"/>
      <x:c r="D3" s="30"/>
      <x:c r="E3" s="30"/>
      <x:c r="F3" s="30"/>
      <x:c r="G3" s="30"/>
      <x:c r="H3" s="3"/>
      <x:c r="I3" s="3"/>
      <x:c r="J3" s="3"/>
      <x:c r="K3" s="3"/>
      <x:c r="L3" s="3"/>
      <x:c r="M3" s="3"/>
      <x:c r="N3" s="3"/>
    </x:row>
    <x:row r="4">
      <x:c r="A4" s="29"/>
      <x:c r="B4" s="29"/>
      <x:c r="C4" s="29"/>
      <x:c r="D4" s="29"/>
      <x:c r="E4" s="29"/>
      <x:c r="F4" s="29"/>
      <x:c r="G4" s="29"/>
    </x:row>
    <x:row r="5">
      <x:c r="A5" s="29"/>
      <x:c r="B5" s="29"/>
      <x:c r="C5" s="29"/>
      <x:c r="D5" s="29"/>
      <x:c r="E5" s="29"/>
      <x:c r="F5" s="29"/>
      <x:c r="G5" s="29"/>
    </x:row>
    <x:row r="6" ht="30" customHeight="1">
      <x:c r="A6" s="19" t="str">
        <x:v>Raw donor band</x:v>
      </x:c>
      <x:c r="B6" s="28" t="str">
        <x:v>Class count</x:v>
      </x:c>
      <x:c r="C6" s="28" t="str">
        <x:v>Class share</x:v>
      </x:c>
      <x:c r="D6" s="28" t="str">
        <x:v>Raw households</x:v>
      </x:c>
      <x:c r="E6" s="28" t="str">
        <x:v>Raw household share</x:v>
      </x:c>
      <x:c r="F6" s="28" t="str">
        <x:v>Weighted households</x:v>
      </x:c>
      <x:c r="G6" s="20" t="str">
        <x:v>Weighted household share</x:v>
      </x:c>
    </x:row>
    <x:row r="7">
      <x:c r="A7" s="23" t="str">
        <x:v>1</x:v>
      </x:c>
      <x:c r="B7" s="34" t="n">
        <x:v>346</x:v>
      </x:c>
      <x:c r="C7" s="31" t="n">
        <x:f>B7/SUM($B$7:$B$10)</x:f>
        <x:v>0.1629769194536034</x:v>
      </x:c>
      <x:c r="D7" s="34" t="n">
        <x:v>346</x:v>
      </x:c>
      <x:c r="E7" s="31" t="n">
        <x:f>D7/SUM($D$7:$D$10)</x:f>
        <x:v>0.0028024590363104735</x:v>
      </x:c>
      <x:c r="F7" s="34" t="n">
        <x:v>8252</x:v>
      </x:c>
      <x:c r="G7" s="31" t="n">
        <x:f>F7/SUM($F$7:$F$10)</x:f>
        <x:v>0.0024750359393094314</x:v>
      </x:c>
    </x:row>
    <x:row r="8">
      <x:c r="A8" s="23" t="str">
        <x:v>2–4</x:v>
      </x:c>
      <x:c r="B8" s="34" t="n">
        <x:v>452</x:v>
      </x:c>
      <x:c r="C8" s="31" t="n">
        <x:f>B8/SUM($B$7:$B$10)</x:f>
        <x:v>0.21290626471973623</x:v>
      </x:c>
      <x:c r="D8" s="34" t="n">
        <x:v>1243</x:v>
      </x:c>
      <x:c r="E8" s="31" t="n">
        <x:f>D8/SUM($D$7:$D$10)</x:f>
        <x:v>0.010067793589982424</x:v>
      </x:c>
      <x:c r="F8" s="34" t="n">
        <x:v>30308</x:v>
      </x:c>
      <x:c r="G8" s="31" t="n">
        <x:f>F8/SUM($F$7:$F$10)</x:f>
        <x:v>0.0090903283141772</x:v>
      </x:c>
    </x:row>
    <x:row r="9">
      <x:c r="A9" s="23" t="str">
        <x:v>5–19</x:v>
      </x:c>
      <x:c r="B9" s="34" t="n">
        <x:v>620</x:v>
      </x:c>
      <x:c r="C9" s="31" t="n">
        <x:f>B9/SUM($B$7:$B$10)</x:f>
        <x:v>0.2920395666509656</x:v>
      </x:c>
      <x:c r="D9" s="34" t="n">
        <x:v>6331</x:v>
      </x:c>
      <x:c r="E9" s="31" t="n">
        <x:f>D9/SUM($D$7:$D$10)</x:f>
        <x:v>0.05127852069040927</x:v>
      </x:c>
      <x:c r="F9" s="34" t="n">
        <x:v>160380</x:v>
      </x:c>
      <x:c r="G9" s="31" t="n">
        <x:f>F9/SUM($F$7:$F$10)</x:f>
        <x:v>0.04810303731779528</x:v>
      </x:c>
    </x:row>
    <x:row r="10">
      <x:c r="A10" s="24" t="str">
        <x:v>20+</x:v>
      </x:c>
      <x:c r="B10" s="35" t="n">
        <x:v>705</x:v>
      </x:c>
      <x:c r="C10" s="32" t="n">
        <x:f>B10/SUM($B$7:$B$10)</x:f>
        <x:v>0.33207724917569476</x:v>
      </x:c>
      <x:c r="D10" s="35" t="n">
        <x:v>115543</x:v>
      </x:c>
      <x:c r="E10" s="32" t="n">
        <x:f>D10/SUM($D$7:$D$10)</x:f>
        <x:v>0.9358512266832978</x:v>
      </x:c>
      <x:c r="F10" s="35" t="n">
        <x:v>3135153</x:v>
      </x:c>
      <x:c r="G10" s="32" t="n">
        <x:f>F10/SUM($F$7:$F$10)</x:f>
        <x:v>0.940331598428718</x:v>
      </x:c>
    </x:row>
    <x:row r="11">
      <x:c r="A11" s="45" t="str">
        <x:v>Total</x:v>
      </x:c>
      <x:c r="B11" s="46" t="n">
        <x:f>SUM(B7:B10)</x:f>
        <x:v>2123</x:v>
      </x:c>
      <x:c r="C11" s="47" t="n">
        <x:f>SUM(C7:C10)</x:f>
        <x:v>1</x:v>
      </x:c>
      <x:c r="D11" s="46" t="n">
        <x:f>SUM(D7:D10)</x:f>
        <x:v>123463</x:v>
      </x:c>
      <x:c r="E11" s="47" t="n">
        <x:f>SUM(E7:E10)</x:f>
        <x:v>1</x:v>
      </x:c>
      <x:c r="F11" s="46" t="n">
        <x:f>SUM(F7:F10)</x:f>
        <x:v>3334093</x:v>
      </x:c>
      <x:c r="G11" s="47" t="n">
        <x:f>SUM(G7:G10)</x:f>
        <x:v>1</x:v>
      </x:c>
    </x:row>
    <x:row r="12">
      <x:c r="A12" s="29"/>
      <x:c r="B12" s="29"/>
      <x:c r="C12" s="29"/>
      <x:c r="D12" s="29"/>
      <x:c r="E12" s="29"/>
      <x:c r="F12" s="29"/>
      <x:c r="G12" s="29"/>
    </x:row>
    <x:row r="13">
      <x:c r="A13" s="29"/>
      <x:c r="B13" s="29"/>
      <x:c r="C13" s="29"/>
      <x:c r="D13" s="29"/>
      <x:c r="E13" s="29"/>
      <x:c r="F13" s="29"/>
      <x:c r="G13" s="29"/>
    </x:row>
    <x:row r="14" ht="20" customHeight="1">
      <x:c r="A14" s="6" t="str">
        <x:v>Class definition</x:v>
      </x:c>
      <x:c r="B14" s="7"/>
      <x:c r="C14" s="7"/>
      <x:c r="D14" s="7"/>
      <x:c r="E14" s="7"/>
      <x:c r="F14" s="7"/>
      <x:c r="G14" s="8"/>
    </x:row>
    <x:row r="15" ht="30" customHeight="1">
      <x:c r="A15" s="19" t="str">
        <x:v>Dimension</x:v>
      </x:c>
      <x:c r="B15" s="20" t="str">
        <x:v>Classes</x:v>
      </x:c>
      <x:c r="C15" s="29"/>
      <x:c r="D15" s="29"/>
      <x:c r="E15" s="29"/>
      <x:c r="F15" s="29"/>
      <x:c r="G15" s="29"/>
    </x:row>
    <x:row r="16">
      <x:c r="A16" s="23" t="str">
        <x:v>Household size</x:v>
      </x:c>
      <x:c r="B16" s="23" t="str">
        <x:v>1, 2, 3, 4, 5+</x:v>
      </x:c>
      <x:c r="C16" s="29"/>
      <x:c r="D16" s="29"/>
      <x:c r="E16" s="29"/>
      <x:c r="F16" s="29"/>
      <x:c r="G16" s="29"/>
    </x:row>
    <x:row r="17">
      <x:c r="A17" s="23" t="str">
        <x:v>Public structure class</x:v>
      </x:c>
      <x:c r="B17" s="23" t="str">
        <x:v>1-unit, 2–49 units, 50+ units, other</x:v>
      </x:c>
      <x:c r="C17" s="29"/>
      <x:c r="D17" s="29"/>
      <x:c r="E17" s="29"/>
      <x:c r="F17" s="29"/>
      <x:c r="G17" s="29"/>
    </x:row>
    <x:row r="18">
      <x:c r="A18" s="23" t="str">
        <x:v>Tenure</x:v>
      </x:c>
      <x:c r="B18" s="23" t="str">
        <x:v>owner, renter/no-cash, unknown</x:v>
      </x:c>
      <x:c r="C18" s="29"/>
      <x:c r="D18" s="29"/>
      <x:c r="E18" s="29"/>
      <x:c r="F18" s="29"/>
      <x:c r="G18" s="29"/>
    </x:row>
    <x:row r="19">
      <x:c r="A19" s="23" t="str">
        <x:v>Vehicles</x:v>
      </x:c>
      <x:c r="B19" s="23" t="str">
        <x:v>none, one, two+, unknown</x:v>
      </x:c>
      <x:c r="C19" s="29"/>
      <x:c r="D19" s="29"/>
      <x:c r="E19" s="29"/>
      <x:c r="F19" s="29"/>
      <x:c r="G19" s="29"/>
    </x:row>
    <x:row r="20">
      <x:c r="A20" s="23" t="str">
        <x:v>Limited-English household</x:v>
      </x:c>
      <x:c r="B20" s="23" t="str">
        <x:v>yes/no</x:v>
      </x:c>
      <x:c r="C20" s="29"/>
      <x:c r="D20" s="29"/>
      <x:c r="E20" s="29"/>
      <x:c r="F20" s="29"/>
      <x:c r="G20" s="29"/>
    </x:row>
    <x:row r="21">
      <x:c r="A21" s="23" t="str">
        <x:v>Person under 18</x:v>
      </x:c>
      <x:c r="B21" s="23" t="str">
        <x:v>yes/no</x:v>
      </x:c>
      <x:c r="C21" s="29"/>
      <x:c r="D21" s="29"/>
      <x:c r="E21" s="29"/>
      <x:c r="F21" s="29"/>
      <x:c r="G21" s="29"/>
    </x:row>
    <x:row r="22">
      <x:c r="A22" s="23" t="str">
        <x:v>Older-adult count</x:v>
      </x:c>
      <x:c r="B22" s="23" t="str">
        <x:v>none, one, two+, unknown</x:v>
      </x:c>
      <x:c r="C22" s="29"/>
      <x:c r="D22" s="29"/>
      <x:c r="E22" s="29"/>
      <x:c r="F22" s="29"/>
      <x:c r="G22" s="29"/>
    </x:row>
    <x:row r="23">
      <x:c r="A23" s="23" t="str">
        <x:v>Any disability</x:v>
      </x:c>
      <x:c r="B23" s="23" t="str">
        <x:v>yes/no</x:v>
      </x:c>
      <x:c r="C23" s="29"/>
      <x:c r="D23" s="29"/>
      <x:c r="E23" s="29"/>
      <x:c r="F23" s="29"/>
      <x:c r="G23" s="29"/>
    </x:row>
    <x:row r="24">
      <x:c r="A24" s="24" t="str">
        <x:v>Ambulatory difficulty</x:v>
      </x:c>
      <x:c r="B24" s="24" t="str">
        <x:v>yes/no</x:v>
      </x:c>
      <x:c r="C24" s="29"/>
      <x:c r="D24" s="29"/>
      <x:c r="E24" s="29"/>
      <x:c r="F24" s="29"/>
      <x:c r="G24" s="29"/>
    </x:row>
    <x:row r="25">
      <x:c r="A25" s="29"/>
      <x:c r="B25" s="29"/>
      <x:c r="C25" s="29"/>
      <x:c r="D25" s="29"/>
      <x:c r="E25" s="29"/>
      <x:c r="F25" s="29"/>
      <x:c r="G25" s="29"/>
    </x:row>
    <x:row r="26" ht="92" customHeight="1">
      <x:c r="A26" s="29"/>
      <x:c r="B26" s="29"/>
      <x:c r="C26" s="29"/>
      <x:c r="D26" s="37" t="str">
        <x:v>Interpretation</x:v>
      </x:c>
      <x:c r="E26" s="37" t="str">
        <x:v>Sparse classes are small in weighted mass but decisive for privacy, convergence and rare-household fidelity. They cannot be dropped or silently generalized after architecture results are visible.</x:v>
      </x:c>
      <x:c r="F26" s="29"/>
      <x:c r="G26" s="29"/>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30" hidden="0" customWidth="1"/>
    <x:col min="2" max="2" width="36" hidden="0" customWidth="1"/>
    <x:col min="3" max="3" width="20" hidden="0" customWidth="1"/>
    <x:col min="4" max="4" width="30" hidden="0" customWidth="1"/>
    <x:col min="5" max="5" width="42" hidden="0" customWidth="1"/>
  </x:cols>
  <x:sheetData>
    <x:row r="1" ht="20" customHeight="1">
      <x:c r="A1" s="1" t="str">
        <x:v>Variable Mapping</x:v>
      </x:c>
      <x:c r="B1" s="29"/>
      <x:c r="C1" s="29"/>
      <x:c r="D1" s="29"/>
      <x:c r="E1" s="29"/>
    </x:row>
    <x:row r="2" ht="20" customHeight="1">
      <x:c r="A2" s="2" t="str">
        <x:v>PUMS variables, preserved relations and fields that remain unknown</x:v>
      </x:c>
      <x:c r="B2" s="29"/>
      <x:c r="C2" s="29"/>
      <x:c r="D2" s="29"/>
      <x:c r="E2" s="29"/>
    </x:row>
    <x:row r="3" ht="20" customHeight="1">
      <x:c r="A3" s="30"/>
      <x:c r="B3" s="30"/>
      <x:c r="C3" s="30"/>
      <x:c r="D3" s="30"/>
      <x:c r="E3" s="30"/>
      <x:c r="F3" s="3"/>
      <x:c r="G3" s="3"/>
      <x:c r="H3" s="3"/>
      <x:c r="I3" s="3"/>
      <x:c r="J3" s="3"/>
      <x:c r="K3" s="3"/>
      <x:c r="L3" s="3"/>
      <x:c r="M3" s="3"/>
      <x:c r="N3" s="3"/>
    </x:row>
    <x:row r="4">
      <x:c r="A4" s="29"/>
      <x:c r="B4" s="29"/>
      <x:c r="C4" s="29"/>
      <x:c r="D4" s="29"/>
      <x:c r="E4" s="29"/>
    </x:row>
    <x:row r="5">
      <x:c r="A5" s="29"/>
      <x:c r="B5" s="29"/>
      <x:c r="C5" s="29"/>
      <x:c r="D5" s="29"/>
      <x:c r="E5" s="29"/>
    </x:row>
    <x:row r="6" ht="30" customHeight="1">
      <x:c r="A6" s="19" t="str">
        <x:v>Concept</x:v>
      </x:c>
      <x:c r="B6" s="28" t="str">
        <x:v>PUMS field</x:v>
      </x:c>
      <x:c r="C6" s="28" t="str">
        <x:v>File level</x:v>
      </x:c>
      <x:c r="D6" s="28" t="str">
        <x:v>Evidence state</x:v>
      </x:c>
      <x:c r="E6" s="20" t="str">
        <x:v>Compiler use</x:v>
      </x:c>
    </x:row>
    <x:row r="7">
      <x:c r="A7" s="23" t="str">
        <x:v>household linkage</x:v>
      </x:c>
      <x:c r="B7" s="23" t="str">
        <x:v>SERIALNO</x:v>
      </x:c>
      <x:c r="C7" s="23" t="str">
        <x:v>housing/person</x:v>
      </x:c>
      <x:c r="D7" s="23" t="str">
        <x:v>exact donor relation</x:v>
      </x:c>
      <x:c r="E7" s="23" t="str">
        <x:v>controlled only</x:v>
      </x:c>
    </x:row>
    <x:row r="8">
      <x:c r="A8" s="23" t="str">
        <x:v>household weight</x:v>
      </x:c>
      <x:c r="B8" s="23" t="str">
        <x:v>WGTP + WGTP1–80</x:v>
      </x:c>
      <x:c r="C8" s="23" t="str">
        <x:v>housing</x:v>
      </x:c>
      <x:c r="D8" s="23" t="str">
        <x:v>exact donor weight</x:v>
      </x:c>
      <x:c r="E8" s="23" t="str">
        <x:v>fit prior and uncertainty</x:v>
      </x:c>
    </x:row>
    <x:row r="9">
      <x:c r="A9" s="23" t="str">
        <x:v>person weight</x:v>
      </x:c>
      <x:c r="B9" s="23" t="str">
        <x:v>PWGTP + PWGTP1–80</x:v>
      </x:c>
      <x:c r="C9" s="23" t="str">
        <x:v>person</x:v>
      </x:c>
      <x:c r="D9" s="23" t="str">
        <x:v>exact donor weight</x:v>
      </x:c>
      <x:c r="E9" s="23" t="str">
        <x:v>person-level diagnostics</x:v>
      </x:c>
    </x:row>
    <x:row r="10">
      <x:c r="A10" s="23" t="str">
        <x:v>household size</x:v>
      </x:c>
      <x:c r="B10" s="23" t="str">
        <x:v>NP and person row count</x:v>
      </x:c>
      <x:c r="C10" s="23" t="str">
        <x:v>both</x:v>
      </x:c>
      <x:c r="D10" s="23" t="str">
        <x:v>exact donor relation</x:v>
      </x:c>
      <x:c r="E10" s="23" t="str">
        <x:v>hard identity</x:v>
      </x:c>
    </x:row>
    <x:row r="11">
      <x:c r="A11" s="23" t="str">
        <x:v>age bands</x:v>
      </x:c>
      <x:c r="B11" s="23" t="str">
        <x:v>AGEP</x:v>
      </x:c>
      <x:c r="C11" s="23" t="str">
        <x:v>person</x:v>
      </x:c>
      <x:c r="D11" s="23" t="str">
        <x:v>exact donor attribute</x:v>
      </x:c>
      <x:c r="E11" s="23" t="str">
        <x:v>controlled margins</x:v>
      </x:c>
    </x:row>
    <x:row r="12">
      <x:c r="A12" s="23" t="str">
        <x:v>disability</x:v>
      </x:c>
      <x:c r="B12" s="23" t="str">
        <x:v>DIS</x:v>
      </x:c>
      <x:c r="C12" s="23" t="str">
        <x:v>person</x:v>
      </x:c>
      <x:c r="D12" s="23" t="str">
        <x:v>exact donor attribute</x:v>
      </x:c>
      <x:c r="E12" s="23" t="str">
        <x:v>controlled margin</x:v>
      </x:c>
    </x:row>
    <x:row r="13">
      <x:c r="A13" s="23" t="str">
        <x:v>difficulty vector</x:v>
      </x:c>
      <x:c r="B13" s="23" t="str">
        <x:v>DDRS/DEAR/DEYE/DOUT/DPHY/DREM</x:v>
      </x:c>
      <x:c r="C13" s="23" t="str">
        <x:v>person</x:v>
      </x:c>
      <x:c r="D13" s="23" t="str">
        <x:v>exact donor attributes</x:v>
      </x:c>
      <x:c r="E13" s="23" t="str">
        <x:v>nonexclusive controls</x:v>
      </x:c>
    </x:row>
    <x:row r="14">
      <x:c r="A14" s="23" t="str">
        <x:v>household children</x:v>
      </x:c>
      <x:c r="B14" s="23" t="str">
        <x:v>R18/HUPAC + AGEP</x:v>
      </x:c>
      <x:c r="C14" s="23" t="str">
        <x:v>both</x:v>
      </x:c>
      <x:c r="D14" s="23" t="str">
        <x:v>exact donor attribute</x:v>
      </x:c>
      <x:c r="E14" s="23" t="str">
        <x:v>cross-check</x:v>
      </x:c>
    </x:row>
    <x:row r="15">
      <x:c r="A15" s="23" t="str">
        <x:v>household older adults</x:v>
      </x:c>
      <x:c r="B15" s="23" t="str">
        <x:v>R65 + AGEP</x:v>
      </x:c>
      <x:c r="C15" s="23" t="str">
        <x:v>both</x:v>
      </x:c>
      <x:c r="D15" s="23" t="str">
        <x:v>exact donor attribute</x:v>
      </x:c>
      <x:c r="E15" s="23" t="str">
        <x:v>cross-check</x:v>
      </x:c>
    </x:row>
    <x:row r="16">
      <x:c r="A16" s="23" t="str">
        <x:v>vehicle access</x:v>
      </x:c>
      <x:c r="B16" s="23" t="str">
        <x:v>VEH</x:v>
      </x:c>
      <x:c r="C16" s="23" t="str">
        <x:v>housing</x:v>
      </x:c>
      <x:c r="D16" s="23" t="str">
        <x:v>exact donor attribute</x:v>
      </x:c>
      <x:c r="E16" s="23" t="str">
        <x:v>controlled margin</x:v>
      </x:c>
    </x:row>
    <x:row r="17">
      <x:c r="A17" s="23" t="str">
        <x:v>limited-English household</x:v>
      </x:c>
      <x:c r="B17" s="23" t="str">
        <x:v>LNGI</x:v>
      </x:c>
      <x:c r="C17" s="23" t="str">
        <x:v>housing</x:v>
      </x:c>
      <x:c r="D17" s="23" t="str">
        <x:v>exact donor attribute</x:v>
      </x:c>
      <x:c r="E17" s="23" t="str">
        <x:v>controlled margin</x:v>
      </x:c>
    </x:row>
    <x:row r="18">
      <x:c r="A18" s="23" t="str">
        <x:v>household language</x:v>
      </x:c>
      <x:c r="B18" s="23" t="str">
        <x:v>HHL/HHLANP</x:v>
      </x:c>
      <x:c r="C18" s="23" t="str">
        <x:v>housing</x:v>
      </x:c>
      <x:c r="D18" s="23" t="str">
        <x:v>exact donor attribute</x:v>
      </x:c>
      <x:c r="E18" s="23" t="str">
        <x:v>diagnostic; no person identity</x:v>
      </x:c>
    </x:row>
    <x:row r="19">
      <x:c r="A19" s="23" t="str">
        <x:v>household composition</x:v>
      </x:c>
      <x:c r="B19" s="23" t="str">
        <x:v>HHT/HHT2/RELSHIPP</x:v>
      </x:c>
      <x:c r="C19" s="23" t="str">
        <x:v>both</x:v>
      </x:c>
      <x:c r="D19" s="23" t="str">
        <x:v>exact donor relation</x:v>
      </x:c>
      <x:c r="E19" s="23" t="str">
        <x:v>joint preservation</x:v>
      </x:c>
    </x:row>
    <x:row r="20">
      <x:c r="A20" s="23" t="str">
        <x:v>structure class</x:v>
      </x:c>
      <x:c r="B20" s="23" t="str">
        <x:v>BLD</x:v>
      </x:c>
      <x:c r="C20" s="23" t="str">
        <x:v>housing</x:v>
      </x:c>
      <x:c r="D20" s="23" t="str">
        <x:v>exact donor attribute</x:v>
      </x:c>
      <x:c r="E20" s="23" t="str">
        <x:v>public building-class assignment</x:v>
      </x:c>
    </x:row>
    <x:row r="21">
      <x:c r="A21" s="23" t="str">
        <x:v>tenure</x:v>
      </x:c>
      <x:c r="B21" s="23" t="str">
        <x:v>TEN</x:v>
      </x:c>
      <x:c r="C21" s="23" t="str">
        <x:v>housing</x:v>
      </x:c>
      <x:c r="D21" s="23" t="str">
        <x:v>exact donor attribute</x:v>
      </x:c>
      <x:c r="E21" s="23" t="str">
        <x:v>public building-class assignment</x:v>
      </x:c>
    </x:row>
    <x:row r="22">
      <x:c r="A22" s="23" t="str">
        <x:v>group quarters</x:v>
      </x:c>
      <x:c r="B22" s="23" t="str">
        <x:v>TYPEHUGQ</x:v>
      </x:c>
      <x:c r="C22" s="23" t="str">
        <x:v>housing</x:v>
      </x:c>
      <x:c r="D22" s="23" t="str">
        <x:v>exact donor class</x:v>
      </x:c>
      <x:c r="E22" s="23" t="str">
        <x:v>separate synthesis path</x:v>
      </x:c>
    </x:row>
    <x:row r="23">
      <x:c r="A23" s="23" t="str">
        <x:v>caregiver status</x:v>
      </x:c>
      <x:c r="B23" s="23" t="str">
        <x:v>none</x:v>
      </x:c>
      <x:c r="C23" s="23" t="str">
        <x:v>none</x:v>
      </x:c>
      <x:c r="D23" s="23" t="str">
        <x:v>UNKNOWN</x:v>
      </x:c>
      <x:c r="E23" s="23" t="str">
        <x:v>prohibit inference from relationship</x:v>
      </x:c>
    </x:row>
    <x:row r="24">
      <x:c r="A24" s="23" t="str">
        <x:v>medical-power need</x:v>
      </x:c>
      <x:c r="B24" s="23" t="str">
        <x:v>none</x:v>
      </x:c>
      <x:c r="C24" s="23" t="str">
        <x:v>none</x:v>
      </x:c>
      <x:c r="D24" s="23" t="str">
        <x:v>UNKNOWN</x:v>
      </x:c>
      <x:c r="E24" s="23" t="str">
        <x:v>separate governed evidence</x:v>
      </x:c>
    </x:row>
    <x:row r="25">
      <x:c r="A25" s="23" t="str">
        <x:v>exact building/address/floor</x:v>
      </x:c>
      <x:c r="B25" s="23" t="str">
        <x:v>none</x:v>
      </x:c>
      <x:c r="C25" s="23" t="str">
        <x:v>none</x:v>
      </x:c>
      <x:c r="D25" s="23" t="str">
        <x:v>UNKNOWN</x:v>
      </x:c>
      <x:c r="E25" s="23" t="str">
        <x:v>prohibited public assignment</x:v>
      </x:c>
    </x:row>
    <x:row r="26">
      <x:c r="A26" s="24" t="str">
        <x:v>outage operability</x:v>
      </x:c>
      <x:c r="B26" s="24" t="str">
        <x:v>none</x:v>
      </x:c>
      <x:c r="C26" s="24" t="str">
        <x:v>none</x:v>
      </x:c>
      <x:c r="D26" s="24" t="str">
        <x:v>UNKNOWN</x:v>
      </x:c>
      <x:c r="E26" s="24" t="str">
        <x:v>separate building-state evidence</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94" hidden="0" customWidth="1"/>
    <x:col min="2" max="2" width="20" hidden="0" customWidth="1"/>
    <x:col min="3" max="3" width="20" hidden="0" customWidth="1"/>
    <x:col min="4" max="4" width="18" hidden="0" customWidth="1"/>
  </x:cols>
  <x:sheetData>
    <x:row r="1" ht="20" customHeight="1">
      <x:c r="A1" s="1" t="str">
        <x:v>Linkage QA</x:v>
      </x:c>
      <x:c r="B1" s="29"/>
      <x:c r="C1" s="29"/>
      <x:c r="D1" s="29"/>
    </x:row>
    <x:row r="2" ht="20" customHeight="1">
      <x:c r="A2" s="2" t="str">
        <x:v>Household–person joins use SERIALNO during controlled processing and release only aggregate diagnostics</x:v>
      </x:c>
      <x:c r="B2" s="29"/>
      <x:c r="C2" s="29"/>
      <x:c r="D2" s="29"/>
    </x:row>
    <x:row r="3" ht="20" customHeight="1">
      <x:c r="A3" s="30"/>
      <x:c r="B3" s="30"/>
      <x:c r="C3" s="30"/>
      <x:c r="D3" s="30"/>
      <x:c r="E3" s="3"/>
      <x:c r="F3" s="3"/>
      <x:c r="G3" s="3"/>
      <x:c r="H3" s="3"/>
      <x:c r="I3" s="3"/>
      <x:c r="J3" s="3"/>
      <x:c r="K3" s="3"/>
      <x:c r="L3" s="3"/>
      <x:c r="M3" s="3"/>
      <x:c r="N3" s="3"/>
    </x:row>
    <x:row r="4">
      <x:c r="A4" s="29"/>
      <x:c r="B4" s="29"/>
      <x:c r="C4" s="29"/>
      <x:c r="D4" s="29"/>
    </x:row>
    <x:row r="5">
      <x:c r="A5" s="29"/>
      <x:c r="B5" s="29"/>
      <x:c r="C5" s="29"/>
      <x:c r="D5" s="29"/>
    </x:row>
    <x:row r="6" ht="30" customHeight="1">
      <x:c r="A6" s="19" t="str">
        <x:v>Check</x:v>
      </x:c>
      <x:c r="B6" s="28" t="str">
        <x:v>Observed</x:v>
      </x:c>
      <x:c r="C6" s="28" t="str">
        <x:v>Expected</x:v>
      </x:c>
      <x:c r="D6" s="20" t="str">
        <x:v>Difference</x:v>
      </x:c>
    </x:row>
    <x:row r="7">
      <x:c r="A7" s="23" t="str">
        <x:v>NYC housing-file records</x:v>
      </x:c>
      <x:c r="B7" s="34" t="n">
        <x:v>154349</x:v>
      </x:c>
      <x:c r="C7" s="34"/>
      <x:c r="D7" s="34"/>
    </x:row>
    <x:row r="8">
      <x:c r="A8" s="23" t="str">
        <x:v>NYC person records</x:v>
      </x:c>
      <x:c r="B8" s="34" t="n">
        <x:v>326729</x:v>
      </x:c>
      <x:c r="C8" s="34"/>
      <x:c r="D8" s="34"/>
    </x:row>
    <x:row r="9">
      <x:c r="A9" s="23" t="str">
        <x:v>Unique person-file SERIALNO values</x:v>
      </x:c>
      <x:c r="B9" s="34" t="n">
        <x:v>144611</x:v>
      </x:c>
      <x:c r="C9" s="34"/>
      <x:c r="D9" s="34"/>
    </x:row>
    <x:row r="10">
      <x:c r="A10" s="23" t="str">
        <x:v>Housing records without a person row</x:v>
      </x:c>
      <x:c r="B10" s="34" t="n">
        <x:v>9738</x:v>
      </x:c>
      <x:c r="C10" s="34" t="n">
        <x:v>9738</x:v>
      </x:c>
      <x:c r="D10" s="34" t="n">
        <x:f>B10-C10</x:f>
        <x:v>0</x:v>
      </x:c>
    </x:row>
    <x:row r="11">
      <x:c r="A11" s="23" t="str">
        <x:v>Non-vacant housing/GQ records without a person row</x:v>
      </x:c>
      <x:c r="B11" s="34" t="n">
        <x:v>0</x:v>
      </x:c>
      <x:c r="C11" s="34" t="n">
        <x:v>0</x:v>
      </x:c>
      <x:c r="D11" s="34" t="n">
        <x:f>B11-C11</x:f>
        <x:v>0</x:v>
      </x:c>
    </x:row>
    <x:row r="12">
      <x:c r="A12" s="23" t="str">
        <x:v>Occupied household NP mismatches</x:v>
      </x:c>
      <x:c r="B12" s="34" t="n">
        <x:v>0</x:v>
      </x:c>
      <x:c r="C12" s="34" t="n">
        <x:v>0</x:v>
      </x:c>
      <x:c r="D12" s="34" t="n">
        <x:f>B12-C12</x:f>
        <x:v>0</x:v>
      </x:c>
    </x:row>
    <x:row r="13">
      <x:c r="A13" s="23" t="str">
        <x:v>Group-quarters NP mismatches</x:v>
      </x:c>
      <x:c r="B13" s="34" t="n">
        <x:v>0</x:v>
      </x:c>
      <x:c r="C13" s="34" t="n">
        <x:v>0</x:v>
      </x:c>
      <x:c r="D13" s="34" t="n">
        <x:f>B13-C13</x:f>
        <x:v>0</x:v>
      </x:c>
    </x:row>
    <x:row r="14">
      <x:c r="A14" s="23" t="str">
        <x:v>SERIALNO values spanning PUMAs</x:v>
      </x:c>
      <x:c r="B14" s="34" t="n">
        <x:v>0</x:v>
      </x:c>
      <x:c r="C14" s="34" t="n">
        <x:v>0</x:v>
      </x:c>
      <x:c r="D14" s="34" t="n">
        <x:f>B14-C14</x:f>
        <x:v>0</x:v>
      </x:c>
    </x:row>
    <x:row r="15">
      <x:c r="A15" s="23" t="str">
        <x:v>Housing/person PUMA mismatches</x:v>
      </x:c>
      <x:c r="B15" s="34" t="n">
        <x:v>0</x:v>
      </x:c>
      <x:c r="C15" s="34" t="n">
        <x:v>0</x:v>
      </x:c>
      <x:c r="D15" s="34" t="n">
        <x:f>B15-C15</x:f>
        <x:v>0</x:v>
      </x:c>
    </x:row>
    <x:row r="16">
      <x:c r="A16" s="23" t="str">
        <x:v>Duplicate housing SERIALNO values</x:v>
      </x:c>
      <x:c r="B16" s="34" t="n">
        <x:v>0</x:v>
      </x:c>
      <x:c r="C16" s="34" t="n">
        <x:v>0</x:v>
      </x:c>
      <x:c r="D16" s="34" t="n">
        <x:f>B16-C16</x:f>
        <x:v>0</x:v>
      </x:c>
    </x:row>
    <x:row r="17">
      <x:c r="A17" s="24" t="str">
        <x:v>Duplicate SERIALNO + SPORDER pairs</x:v>
      </x:c>
      <x:c r="B17" s="35" t="n">
        <x:v>0</x:v>
      </x:c>
      <x:c r="C17" s="35" t="n">
        <x:v>0</x:v>
      </x:c>
      <x:c r="D17" s="35" t="n">
        <x:f>B17-C17</x:f>
        <x:v>0</x:v>
      </x:c>
    </x:row>
    <x:row r="18">
      <x:c r="A18" s="29"/>
      <x:c r="B18" s="29"/>
      <x:c r="C18" s="29"/>
      <x:c r="D18" s="29"/>
    </x:row>
    <x:row r="19">
      <x:c r="A19" s="29"/>
      <x:c r="B19" s="29"/>
      <x:c r="C19" s="29"/>
      <x:c r="D19" s="29"/>
    </x:row>
    <x:row r="20" ht="48" customHeight="1">
      <x:c r="A20" s="33" t="str">
        <x:v>Vacancy identity: the 9,738 housing records without person rows equal the 9,738 vacant housing units. Census documentation states that vacant housing units do not have population records.</x:v>
      </x:c>
      <x:c r="B20" s="29"/>
      <x:c r="C20" s="29"/>
      <x:c r="D20" s="29"/>
    </x:row>
    <x:row r="21">
      <x:c r="A21" s="29"/>
      <x:c r="B21" s="29"/>
      <x:c r="C21" s="29"/>
      <x:c r="D21" s="29"/>
    </x:row>
    <x:row r="22">
      <x:c r="A22" s="29"/>
      <x:c r="B22" s="29"/>
      <x:c r="C22" s="29"/>
      <x:c r="D22" s="29"/>
    </x:row>
    <x:row r="23">
      <x:c r="A23" s="29"/>
      <x:c r="B23" s="29"/>
      <x:c r="C23" s="29"/>
      <x:c r="D23" s="29"/>
    </x:row>
  </x:sheetData>
  <x:conditionalFormatting sqref="D10:D17">
    <x:cfRule type="cellIs" dxfId="2" priority="1" operator="notEqual">
      <x:formula>0</x:formula>
    </x:cfRule>
  </x:conditionalFormatting>
  <x:pageMargins left="0.7" right="0.7" top="0.75" bottom="0.75" header="0.3" footer="0.3"/>
</x:worksheet>
</file>

<file path=xl/worksheets/sheet1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0" hidden="0" customWidth="1"/>
    <x:col min="2" max="2" width="34" hidden="0" customWidth="1"/>
    <x:col min="3" max="3" width="28" hidden="0" customWidth="1"/>
    <x:col min="4" max="4" width="58" hidden="0" customWidth="1"/>
  </x:cols>
  <x:sheetData>
    <x:row r="1" ht="20" customHeight="1">
      <x:c r="A1" s="1" t="str">
        <x:v>Privacy Custody</x:v>
      </x:c>
      <x:c r="B1" s="29"/>
      <x:c r="C1" s="29"/>
      <x:c r="D1" s="29"/>
    </x:row>
    <x:row r="2" ht="20" customHeight="1">
      <x:c r="A2" s="2" t="str">
        <x:v>Minimum-necessary public release boundary for donor acquisition and linkage</x:v>
      </x:c>
      <x:c r="B2" s="29"/>
      <x:c r="C2" s="29"/>
      <x:c r="D2" s="29"/>
    </x:row>
    <x:row r="3" ht="20" customHeight="1">
      <x:c r="A3" s="30"/>
      <x:c r="B3" s="30"/>
      <x:c r="C3" s="30"/>
      <x:c r="D3" s="30"/>
      <x:c r="E3" s="3"/>
      <x:c r="F3" s="3"/>
      <x:c r="G3" s="3"/>
      <x:c r="H3" s="3"/>
      <x:c r="I3" s="3"/>
      <x:c r="J3" s="3"/>
      <x:c r="K3" s="3"/>
      <x:c r="L3" s="3"/>
      <x:c r="M3" s="3"/>
      <x:c r="N3" s="3"/>
    </x:row>
    <x:row r="4">
      <x:c r="A4" s="29"/>
      <x:c r="B4" s="29"/>
      <x:c r="C4" s="29"/>
      <x:c r="D4" s="29"/>
    </x:row>
    <x:row r="5">
      <x:c r="A5" s="29"/>
      <x:c r="B5" s="29"/>
      <x:c r="C5" s="29"/>
      <x:c r="D5" s="29"/>
    </x:row>
    <x:row r="6" ht="30" customHeight="1">
      <x:c r="A6" s="19" t="str">
        <x:v>Object</x:v>
      </x:c>
      <x:c r="B6" s="28" t="str">
        <x:v>Custody state</x:v>
      </x:c>
      <x:c r="C6" s="28" t="str">
        <x:v>Public release</x:v>
      </x:c>
      <x:c r="D6" s="20" t="str">
        <x:v>Rule</x:v>
      </x:c>
    </x:row>
    <x:row r="7">
      <x:c r="A7" s="23" t="str">
        <x:v>official compressed source files</x:v>
      </x:c>
      <x:c r="B7" s="23" t="str">
        <x:v>controlled working custody</x:v>
      </x:c>
      <x:c r="C7" s="23" t="str">
        <x:v>not committed</x:v>
      </x:c>
      <x:c r="D7" s="23" t="str">
        <x:v>publish URL, bytes and SHA-256 only</x:v>
      </x:c>
    </x:row>
    <x:row r="8">
      <x:c r="A8" s="23" t="str">
        <x:v>extracted housing and person records</x:v>
      </x:c>
      <x:c r="B8" s="23" t="str">
        <x:v>controlled working custody</x:v>
      </x:c>
      <x:c r="C8" s="23" t="str">
        <x:v>not committed</x:v>
      </x:c>
      <x:c r="D8" s="23" t="str">
        <x:v>aggregate analysis only</x:v>
      </x:c>
    </x:row>
    <x:row r="9">
      <x:c r="A9" s="23" t="str">
        <x:v>SERIALNO linkage key</x:v>
      </x:c>
      <x:c r="B9" s="23" t="str">
        <x:v>controlled processing only</x:v>
      </x:c>
      <x:c r="C9" s="23" t="str">
        <x:v>prohibited</x:v>
      </x:c>
      <x:c r="D9" s="23" t="str">
        <x:v>preserve households internally; never release identifier</x:v>
      </x:c>
    </x:row>
    <x:row r="10">
      <x:c r="A10" s="23" t="str">
        <x:v>SPORDER within-household order</x:v>
      </x:c>
      <x:c r="B10" s="23" t="str">
        <x:v>controlled processing only</x:v>
      </x:c>
      <x:c r="C10" s="23" t="str">
        <x:v>prohibited</x:v>
      </x:c>
      <x:c r="D10" s="23" t="str">
        <x:v>never release row-level person structure</x:v>
      </x:c>
    </x:row>
    <x:row r="11">
      <x:c r="A11" s="23" t="str">
        <x:v>joined household-person donor rows</x:v>
      </x:c>
      <x:c r="B11" s="23" t="str">
        <x:v>controlled processing only</x:v>
      </x:c>
      <x:c r="C11" s="23" t="str">
        <x:v>prohibited</x:v>
      </x:c>
      <x:c r="D11" s="23" t="str">
        <x:v>no public microdata derivative</x:v>
      </x:c>
    </x:row>
    <x:row r="12">
      <x:c r="A12" s="23" t="str">
        <x:v>PUMA-level aggregate support diagnostics</x:v>
      </x:c>
      <x:c r="B12" s="23" t="str">
        <x:v>public aggregate</x:v>
      </x:c>
      <x:c r="C12" s="23" t="str">
        <x:v>allowed</x:v>
      </x:c>
      <x:c r="D12" s="23" t="str">
        <x:v>minimum necessary support evidence</x:v>
      </x:c>
    </x:row>
    <x:row r="13">
      <x:c r="A13" s="23" t="str">
        <x:v>catchment-to-donor-pool mapping</x:v>
      </x:c>
      <x:c r="B13" s="23" t="str">
        <x:v>public method</x:v>
      </x:c>
      <x:c r="C13" s="23" t="str">
        <x:v>allowed</x:v>
      </x:c>
      <x:c r="D13" s="23" t="str">
        <x:v>PUMA is support geography, not tract observation</x:v>
      </x:c>
    </x:row>
    <x:row r="14">
      <x:c r="A14" s="23" t="str">
        <x:v>rare nine-dimensional class cells</x:v>
      </x:c>
      <x:c r="B14" s="23" t="str">
        <x:v>aggregate bands only</x:v>
      </x:c>
      <x:c r="C14" s="23" t="str">
        <x:v>exact cells prohibited</x:v>
      </x:c>
      <x:c r="D14" s="23" t="str">
        <x:v>avoid membership and attribute inference</x:v>
      </x:c>
    </x:row>
    <x:row r="15">
      <x:c r="A15" s="23" t="str">
        <x:v>synthetic civil-state records</x:v>
      </x:c>
      <x:c r="B15" s="23" t="str">
        <x:v>not created</x:v>
      </x:c>
      <x:c r="C15" s="23" t="str">
        <x:v>prohibited in this pass</x:v>
      </x:c>
      <x:c r="D15" s="23" t="str">
        <x:v>requires later privacy and reproduction authority</x:v>
      </x:c>
    </x:row>
    <x:row r="16">
      <x:c r="A16" s="24" t="str">
        <x:v>architecture outcomes</x:v>
      </x:c>
      <x:c r="B16" s="24" t="str">
        <x:v>sealed</x:v>
      </x:c>
      <x:c r="C16" s="24" t="str">
        <x:v>prohibited</x:v>
      </x:c>
      <x:c r="D16" s="24" t="str">
        <x:v>donor audit remains outcome-blind</x:v>
      </x:c>
    </x:row>
  </x:sheetData>
  <x:conditionalFormatting sqref="A7:D16">
    <x:cfRule type="containsText" dxfId="3" priority="1" operator="containsText" text="prohibited"/>
  </x:conditionalFormatting>
  <x:pageMargins left="0.7" right="0.7" top="0.75" bottom="0.75" header="0.3" footer="0.3"/>
</x:worksheet>
</file>

<file path=xl/worksheets/sheet14.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8" hidden="0" customWidth="1"/>
    <x:col min="2" max="2" width="16" hidden="0" customWidth="1"/>
    <x:col min="3" max="3" width="38" hidden="0" customWidth="1"/>
    <x:col min="4" max="4" width="18" hidden="0" customWidth="1"/>
  </x:cols>
  <x:sheetData>
    <x:row r="1" ht="20" customHeight="1">
      <x:c r="A1" s="1" t="str">
        <x:v>Empty Outputs</x:v>
      </x:c>
      <x:c r="B1" s="29"/>
      <x:c r="C1" s="29"/>
      <x:c r="D1" s="29"/>
    </x:row>
    <x:row r="2" ht="20" customHeight="1">
      <x:c r="A2" s="2" t="str">
        <x:v>Outputs reserved by the registered compiler or campaign remain unpopulated</x:v>
      </x:c>
      <x:c r="B2" s="29"/>
      <x:c r="C2" s="29"/>
      <x:c r="D2" s="29"/>
    </x:row>
    <x:row r="3" ht="20" customHeight="1">
      <x:c r="A3" s="30"/>
      <x:c r="B3" s="30"/>
      <x:c r="C3" s="30"/>
      <x:c r="D3" s="30"/>
      <x:c r="E3" s="3"/>
      <x:c r="F3" s="3"/>
      <x:c r="G3" s="3"/>
      <x:c r="H3" s="3"/>
      <x:c r="I3" s="3"/>
      <x:c r="J3" s="3"/>
      <x:c r="K3" s="3"/>
      <x:c r="L3" s="3"/>
      <x:c r="M3" s="3"/>
      <x:c r="N3" s="3"/>
    </x:row>
    <x:row r="4">
      <x:c r="A4" s="29"/>
      <x:c r="B4" s="29"/>
      <x:c r="C4" s="29"/>
      <x:c r="D4" s="29"/>
    </x:row>
    <x:row r="5">
      <x:c r="A5" s="29"/>
      <x:c r="B5" s="29"/>
      <x:c r="C5" s="29"/>
      <x:c r="D5" s="29"/>
    </x:row>
    <x:row r="6" ht="30" customHeight="1">
      <x:c r="A6" s="19" t="str">
        <x:v>Output</x:v>
      </x:c>
      <x:c r="B6" s="28" t="str">
        <x:v>Rows</x:v>
      </x:c>
      <x:c r="C6" s="28" t="str">
        <x:v>Reason</x:v>
      </x:c>
      <x:c r="D6" s="20" t="str">
        <x:v>Zero preserved</x:v>
      </x:c>
    </x:row>
    <x:row r="7">
      <x:c r="A7" s="23" t="str">
        <x:v>coherent catchment target draws</x:v>
      </x:c>
      <x:c r="B7" s="34" t="n">
        <x:v>0</x:v>
      </x:c>
      <x:c r="C7" s="23" t="str">
        <x:v>target engine not executed</x:v>
      </x:c>
      <x:c r="D7" s="23" t="str">
        <x:f>IF(B7=0,"Zero","Unexpected")</x:f>
        <x:v>Zero</x:v>
      </x:c>
    </x:row>
    <x:row r="8">
      <x:c r="A8" s="23" t="str">
        <x:v>continuous donor weights</x:v>
      </x:c>
      <x:c r="B8" s="34" t="n">
        <x:v>0</x:v>
      </x:c>
      <x:c r="C8" s="23" t="str">
        <x:v>IPU not executed</x:v>
      </x:c>
      <x:c r="D8" s="23" t="str">
        <x:f>IF(B8=0,"Zero","Unexpected")</x:f>
        <x:v>Zero</x:v>
      </x:c>
    </x:row>
    <x:row r="9">
      <x:c r="A9" s="23" t="str">
        <x:v>integer donor-class counts</x:v>
      </x:c>
      <x:c r="B9" s="34" t="n">
        <x:v>0</x:v>
      </x:c>
      <x:c r="C9" s="23" t="str">
        <x:v>integerization not executed</x:v>
      </x:c>
      <x:c r="D9" s="23" t="str">
        <x:f>IF(B9=0,"Zero","Unexpected")</x:f>
        <x:v>Zero</x:v>
      </x:c>
    </x:row>
    <x:row r="10">
      <x:c r="A10" s="23" t="str">
        <x:v>synthetic households</x:v>
      </x:c>
      <x:c r="B10" s="34" t="n">
        <x:v>0</x:v>
      </x:c>
      <x:c r="C10" s="23" t="str">
        <x:v>compiler not executed</x:v>
      </x:c>
      <x:c r="D10" s="23" t="str">
        <x:f>IF(B10=0,"Zero","Unexpected")</x:f>
        <x:v>Zero</x:v>
      </x:c>
    </x:row>
    <x:row r="11">
      <x:c r="A11" s="23" t="str">
        <x:v>synthetic persons</x:v>
      </x:c>
      <x:c r="B11" s="34" t="n">
        <x:v>0</x:v>
      </x:c>
      <x:c r="C11" s="23" t="str">
        <x:v>compiler not executed</x:v>
      </x:c>
      <x:c r="D11" s="23" t="str">
        <x:f>IF(B11=0,"Zero","Unexpected")</x:f>
        <x:v>Zero</x:v>
      </x:c>
    </x:row>
    <x:row r="12">
      <x:c r="A12" s="23" t="str">
        <x:v>synthetic group quarters</x:v>
      </x:c>
      <x:c r="B12" s="34" t="n">
        <x:v>0</x:v>
      </x:c>
      <x:c r="C12" s="23" t="str">
        <x:v>compiler not executed</x:v>
      </x:c>
      <x:c r="D12" s="23" t="str">
        <x:f>IF(B12=0,"Zero","Unexpected")</x:f>
        <x:v>Zero</x:v>
      </x:c>
    </x:row>
    <x:row r="13">
      <x:c r="A13" s="23" t="str">
        <x:v>public building-class assignments</x:v>
      </x:c>
      <x:c r="B13" s="34" t="n">
        <x:v>0</x:v>
      </x:c>
      <x:c r="C13" s="23" t="str">
        <x:v>building assignment not executed</x:v>
      </x:c>
      <x:c r="D13" s="23" t="str">
        <x:f>IF(B13=0,"Zero","Unexpected")</x:f>
        <x:v>Zero</x:v>
      </x:c>
    </x:row>
    <x:row r="14">
      <x:c r="A14" s="23" t="str">
        <x:v>operational building states</x:v>
      </x:c>
      <x:c r="B14" s="34" t="n">
        <x:v>0</x:v>
      </x:c>
      <x:c r="C14" s="23" t="str">
        <x:v>evidence absent</x:v>
      </x:c>
      <x:c r="D14" s="23" t="str">
        <x:f>IF(B14=0,"Zero","Unexpected")</x:f>
        <x:v>Zero</x:v>
      </x:c>
    </x:row>
    <x:row r="15">
      <x:c r="A15" s="23" t="str">
        <x:v>architecture outcomes</x:v>
      </x:c>
      <x:c r="B15" s="34" t="n">
        <x:v>0</x:v>
      </x:c>
      <x:c r="C15" s="23" t="str">
        <x:v>sealed</x:v>
      </x:c>
      <x:c r="D15" s="23" t="str">
        <x:f>IF(B15=0,"Zero","Unexpected")</x:f>
        <x:v>Zero</x:v>
      </x:c>
    </x:row>
    <x:row r="16">
      <x:c r="A16" s="24" t="str">
        <x:v>campaign aggregates</x:v>
      </x:c>
      <x:c r="B16" s="35" t="n">
        <x:v>0</x:v>
      </x:c>
      <x:c r="C16" s="24" t="str">
        <x:v>sealed</x:v>
      </x:c>
      <x:c r="D16" s="24" t="str">
        <x:f>IF(B16=0,"Zero","Unexpected")</x:f>
        <x:v>Zero</x:v>
      </x:c>
    </x:row>
  </x:sheetData>
  <x:conditionalFormatting sqref="D7:D16">
    <x:cfRule type="containsText" dxfId="4" priority="1" operator="containsText" text="Unexpected"/>
  </x:conditionalFormatting>
  <x:pageMargins left="0.7" right="0.7" top="0.75" bottom="0.75" header="0.3" footer="0.3"/>
</x:worksheet>
</file>

<file path=xl/worksheets/sheet15.xml><?xml version="1.0" encoding="utf-8"?>
<x:worksheet xmlns:x="http://schemas.openxmlformats.org/spreadsheetml/2006/main">
  <x:sheetViews>
    <x:sheetView showGridLines="0" workbookViewId="0">
      <x:pane xSplit="1" topLeftCell="B1" activePane="topRight" state="frozen"/>
    </x:sheetView>
  </x:sheetViews>
  <x:sheetFormatPr defaultRowHeight="15"/>
  <x:cols>
    <x:col min="1" max="1" width="48" hidden="0" customWidth="1"/>
    <x:col min="2" max="2" width="70" hidden="0" customWidth="1"/>
    <x:col min="3" max="3" width="28" hidden="0" customWidth="1"/>
    <x:col min="4" max="4" width="18" hidden="0" customWidth="1"/>
  </x:cols>
  <x:sheetData>
    <x:row r="1" ht="20" customHeight="1">
      <x:c r="A1" s="1" t="str">
        <x:v>Integrity</x:v>
      </x:c>
      <x:c r="B1" s="29"/>
      <x:c r="C1" s="29"/>
      <x:c r="D1" s="29"/>
    </x:row>
    <x:row r="2" ht="20" customHeight="1">
      <x:c r="A2" s="2" t="str">
        <x:v>Aggregate commitments and formula-backed structural controls</x:v>
      </x:c>
      <x:c r="B2" s="29"/>
      <x:c r="C2" s="29"/>
      <x:c r="D2" s="29"/>
    </x:row>
    <x:row r="3" ht="20" customHeight="1">
      <x:c r="A3" s="30"/>
      <x:c r="B3" s="30"/>
      <x:c r="C3" s="30"/>
      <x:c r="D3" s="30"/>
      <x:c r="E3" s="3"/>
      <x:c r="F3" s="3"/>
      <x:c r="G3" s="3"/>
      <x:c r="H3" s="3"/>
      <x:c r="I3" s="3"/>
      <x:c r="J3" s="3"/>
      <x:c r="K3" s="3"/>
      <x:c r="L3" s="3"/>
      <x:c r="M3" s="3"/>
      <x:c r="N3" s="3"/>
    </x:row>
    <x:row r="4">
      <x:c r="A4" s="29"/>
      <x:c r="B4" s="29"/>
      <x:c r="C4" s="29"/>
      <x:c r="D4" s="29"/>
    </x:row>
    <x:row r="5" ht="20" customHeight="1">
      <x:c r="A5" s="6" t="str">
        <x:v>Commitments</x:v>
      </x:c>
      <x:c r="B5" s="7"/>
      <x:c r="C5" s="7"/>
      <x:c r="D5" s="8"/>
    </x:row>
    <x:row r="6" ht="30" customHeight="1">
      <x:c r="A6" s="19" t="str">
        <x:v>Object</x:v>
      </x:c>
      <x:c r="B6" s="28" t="str">
        <x:v>SHA-256</x:v>
      </x:c>
      <x:c r="C6" s="20" t="str">
        <x:v>64 characters</x:v>
      </x:c>
      <x:c r="D6" s="29"/>
    </x:row>
    <x:row r="7">
      <x:c r="A7" s="23" t="str">
        <x:v>source_manifest</x:v>
      </x:c>
      <x:c r="B7" s="23" t="str">
        <x:v>c743a88921ecf31839bae5ca902908ddb3d5e5452d3d35e0a858089039da6fa4</x:v>
      </x:c>
      <x:c r="C7" s="23" t="str">
        <x:f>IF(LEN(B7)=64,"Yes","No")</x:f>
        <x:v>Yes</x:v>
      </x:c>
      <x:c r="D7" s="29"/>
    </x:row>
    <x:row r="8">
      <x:c r="A8" s="23" t="str">
        <x:v>puma_geography</x:v>
      </x:c>
      <x:c r="B8" s="23" t="str">
        <x:v>5da1cee4a9b9552a396d3f8815a2a2bc87891d70a94ee9201c446ca0be42e72a</x:v>
      </x:c>
      <x:c r="C8" s="23" t="str">
        <x:f>IF(LEN(B8)=64,"Yes","No")</x:f>
        <x:v>Yes</x:v>
      </x:c>
      <x:c r="D8" s="29"/>
    </x:row>
    <x:row r="9">
      <x:c r="A9" s="23" t="str">
        <x:v>catchment_pools</x:v>
      </x:c>
      <x:c r="B9" s="23" t="str">
        <x:v>8c128318114d7b25202fb7e7f977868cb405b23fb67a48d53b08dad04d136dbf</x:v>
      </x:c>
      <x:c r="C9" s="23" t="str">
        <x:f>IF(LEN(B9)=64,"Yes","No")</x:f>
        <x:v>Yes</x:v>
      </x:c>
      <x:c r="D9" s="29"/>
    </x:row>
    <x:row r="10">
      <x:c r="A10" s="23" t="str">
        <x:v>tier_support</x:v>
      </x:c>
      <x:c r="B10" s="23" t="str">
        <x:v>7b4e2dd9c16eecc3bbe9c5236d987c5a18f4adb5c5a755eb11e580cb91caeb60</x:v>
      </x:c>
      <x:c r="C10" s="23" t="str">
        <x:f>IF(LEN(B10)=64,"Yes","No")</x:f>
        <x:v>Yes</x:v>
      </x:c>
      <x:c r="D10" s="29"/>
    </x:row>
    <x:row r="11">
      <x:c r="A11" s="23" t="str">
        <x:v>class_bands</x:v>
      </x:c>
      <x:c r="B11" s="23" t="str">
        <x:v>928779f26a602adf3c82e62e1f042090ef4941044762e16f2bffdd57e853a456</x:v>
      </x:c>
      <x:c r="C11" s="23" t="str">
        <x:f>IF(LEN(B11)=64,"Yes","No")</x:f>
        <x:v>Yes</x:v>
      </x:c>
      <x:c r="D11" s="29"/>
    </x:row>
    <x:row r="12">
      <x:c r="A12" s="23" t="str">
        <x:v>variable_mapping</x:v>
      </x:c>
      <x:c r="B12" s="23" t="str">
        <x:v>6fc159164d624d308c99340f5855c6049be632aa4810b6aca4981b28c040bf24</x:v>
      </x:c>
      <x:c r="C12" s="23" t="str">
        <x:f>IF(LEN(B12)=64,"Yes","No")</x:f>
        <x:v>Yes</x:v>
      </x:c>
      <x:c r="D12" s="29"/>
    </x:row>
    <x:row r="13">
      <x:c r="A13" s="23" t="str">
        <x:v>empty_outputs</x:v>
      </x:c>
      <x:c r="B13" s="23" t="str">
        <x:v>d8f2bf4fc484d4901822964827666a70f4ac3b31c4d6c15f7b9455799d23f5e1</x:v>
      </x:c>
      <x:c r="C13" s="23" t="str">
        <x:f>IF(LEN(B13)=64,"Yes","No")</x:f>
        <x:v>Yes</x:v>
      </x:c>
      <x:c r="D13" s="29"/>
    </x:row>
    <x:row r="14">
      <x:c r="A14" s="23" t="str">
        <x:v>source_validation</x:v>
      </x:c>
      <x:c r="B14" s="23" t="str">
        <x:v>b3ece0b8401a16f954e33d9545e030169020ee534a43c4be702201e6c4516a14</x:v>
      </x:c>
      <x:c r="C14" s="23" t="str">
        <x:f>IF(LEN(B14)=64,"Yes","No")</x:f>
        <x:v>Yes</x:v>
      </x:c>
      <x:c r="D14" s="29"/>
    </x:row>
    <x:row r="15">
      <x:c r="A15" s="23" t="str">
        <x:v>support_summary</x:v>
      </x:c>
      <x:c r="B15" s="23" t="str">
        <x:v>108678d7c395b6e9198481d505abf830b44218e25beba421b764697d855508a9</x:v>
      </x:c>
      <x:c r="C15" s="23" t="str">
        <x:f>IF(LEN(B15)=64,"Yes","No")</x:f>
        <x:v>Yes</x:v>
      </x:c>
      <x:c r="D15" s="29"/>
    </x:row>
    <x:row r="16">
      <x:c r="A16" s="23" t="str">
        <x:v>privacy_custody</x:v>
      </x:c>
      <x:c r="B16" s="23" t="str">
        <x:v>5f4dd5ecad456e1ad78f42a21ad549fd008e512a8dc5824787b3ebc0948e35d7</x:v>
      </x:c>
      <x:c r="C16" s="23" t="str">
        <x:f>IF(LEN(B16)=64,"Yes","No")</x:f>
        <x:v>Yes</x:v>
      </x:c>
      <x:c r="D16" s="29"/>
    </x:row>
    <x:row r="17">
      <x:c r="A17" s="24" t="str">
        <x:v>registration</x:v>
      </x:c>
      <x:c r="B17" s="24" t="str">
        <x:v>5888113a074cbd47135ba2997f0eec39c4aaed5d3ec397b5352ce195892ccad0</x:v>
      </x:c>
      <x:c r="C17" s="24" t="str">
        <x:f>IF(LEN(B17)=64,"Yes","No")</x:f>
        <x:v>Yes</x:v>
      </x:c>
      <x:c r="D17" s="29"/>
    </x:row>
    <x:row r="18">
      <x:c r="A18" s="29"/>
      <x:c r="B18" s="29"/>
      <x:c r="C18" s="29"/>
      <x:c r="D18" s="29"/>
    </x:row>
    <x:row r="19">
      <x:c r="A19" s="29"/>
      <x:c r="B19" s="29"/>
      <x:c r="C19" s="29"/>
      <x:c r="D19" s="29"/>
    </x:row>
    <x:row r="20" ht="20" customHeight="1">
      <x:c r="A20" s="6" t="str">
        <x:v>Structural controls</x:v>
      </x:c>
      <x:c r="B20" s="7"/>
      <x:c r="C20" s="7"/>
      <x:c r="D20" s="8"/>
    </x:row>
    <x:row r="21" ht="30" customHeight="1">
      <x:c r="A21" s="19" t="str">
        <x:v>Control</x:v>
      </x:c>
      <x:c r="B21" s="28" t="str">
        <x:v>Formula result</x:v>
      </x:c>
      <x:c r="C21" s="20" t="str">
        <x:v>Required response</x:v>
      </x:c>
      <x:c r="D21" s="29"/>
    </x:row>
    <x:row r="22">
      <x:c r="A22" s="23" t="str">
        <x:v>Seven source commitments</x:v>
      </x:c>
      <x:c r="B22" s="23" t="str">
        <x:f>IF(COUNTA('02 Source Manifest'!A7:A13)=7,"Met","Stop")</x:f>
        <x:v>Met</x:v>
      </x:c>
      <x:c r="C22" s="23" t="str">
        <x:v>Continue only if TRUE</x:v>
      </x:c>
      <x:c r="D22" s="29"/>
    </x:row>
    <x:row r="23">
      <x:c r="A23" s="23" t="str">
        <x:v>Five exact official reproductions</x:v>
      </x:c>
      <x:c r="B23" s="23" t="str">
        <x:f>IF(COUNTIF('03 Source Validation'!E7:E11,"Exact")=5,"Met","Stop")</x:f>
        <x:v>Met</x:v>
      </x:c>
      <x:c r="C23" s="23" t="str">
        <x:v>Continue only if TRUE</x:v>
      </x:c>
      <x:c r="D23" s="29"/>
    </x:row>
    <x:row r="24">
      <x:c r="A24" s="23" t="str">
        <x:v>Fifty-five NYC PUMAs</x:v>
      </x:c>
      <x:c r="B24" s="23" t="str">
        <x:f>IF(COUNTA('06 PUMA Geography'!A7:A61)=55,"Met","Stop")</x:f>
        <x:v>Met</x:v>
      </x:c>
      <x:c r="C24" s="23" t="str">
        <x:v>Continue only if TRUE</x:v>
      </x:c>
      <x:c r="D24" s="29"/>
    </x:row>
    <x:row r="25">
      <x:c r="A25" s="23" t="str">
        <x:v>Twelve catchment pool rows</x:v>
      </x:c>
      <x:c r="B25" s="23" t="str">
        <x:f>IF(COUNTA('07 Catchment Pools'!A7:A18)=12,"Met","Stop")</x:f>
        <x:v>Met</x:v>
      </x:c>
      <x:c r="C25" s="23" t="str">
        <x:v>Continue only if TRUE</x:v>
      </x:c>
      <x:c r="D25" s="29"/>
    </x:row>
    <x:row r="26">
      <x:c r="A26" s="23" t="str">
        <x:v>Twelve tier-support rows</x:v>
      </x:c>
      <x:c r="B26" s="23" t="str">
        <x:f>IF(COUNTA('08 Tier Support'!A7:A18)=12,"Met","Stop")</x:f>
        <x:v>Met</x:v>
      </x:c>
      <x:c r="C26" s="23" t="str">
        <x:v>Continue only if TRUE</x:v>
      </x:c>
      <x:c r="D26" s="29"/>
    </x:row>
    <x:row r="27">
      <x:c r="A27" s="23" t="str">
        <x:v>Class count reconciles</x:v>
      </x:c>
      <x:c r="B27" s="23" t="str">
        <x:f>IF(SUM('09 Class Sparsity'!B7:B10)='04 Donor Surface'!B21,"Met","Stop")</x:f>
        <x:v>Met</x:v>
      </x:c>
      <x:c r="C27" s="23" t="str">
        <x:v>Continue only if TRUE</x:v>
      </x:c>
      <x:c r="D27" s="29"/>
    </x:row>
    <x:row r="28">
      <x:c r="A28" s="23" t="str">
        <x:v>Raw occupied households reconcile</x:v>
      </x:c>
      <x:c r="B28" s="23" t="str">
        <x:f>IF(SUM('09 Class Sparsity'!D7:D10)='04 Donor Surface'!B12,"Met","Stop")</x:f>
        <x:v>Met</x:v>
      </x:c>
      <x:c r="C28" s="23" t="str">
        <x:v>Continue only if TRUE</x:v>
      </x:c>
      <x:c r="D28" s="29"/>
    </x:row>
    <x:row r="29">
      <x:c r="A29" s="23" t="str">
        <x:v>Weighted occupied households reconcile</x:v>
      </x:c>
      <x:c r="B29" s="23" t="str">
        <x:f>IF(SUM('09 Class Sparsity'!F7:F10)='04 Donor Surface'!B15,"Met","Stop")</x:f>
        <x:v>Met</x:v>
      </x:c>
      <x:c r="C29" s="23" t="str">
        <x:v>Continue only if TRUE</x:v>
      </x:c>
      <x:c r="D29" s="29"/>
    </x:row>
    <x:row r="30">
      <x:c r="A30" s="23" t="str">
        <x:v>All registered outputs remain zero</x:v>
      </x:c>
      <x:c r="B30" s="23" t="str">
        <x:f>IF(COUNTIF('13 Empty Outputs'!D7:D16,"Zero")=10,"Met","Stop")</x:f>
        <x:v>Met</x:v>
      </x:c>
      <x:c r="C30" s="23" t="str">
        <x:v>Continue only if TRUE</x:v>
      </x:c>
      <x:c r="D30" s="29"/>
    </x:row>
    <x:row r="31">
      <x:c r="A31" s="24" t="str">
        <x:v>No non-vacant linkage anomaly</x:v>
      </x:c>
      <x:c r="B31" s="24" t="str">
        <x:f>IF('11 Linkage QA'!D11=0,"Met","Stop")</x:f>
        <x:v>Met</x:v>
      </x:c>
      <x:c r="C31" s="24" t="str">
        <x:v>Continue only if TRUE</x:v>
      </x:c>
      <x:c r="D31" s="29"/>
    </x:row>
  </x:sheetData>
  <x:conditionalFormatting sqref="B22:B31">
    <x:cfRule type="containsText" dxfId="5" priority="1" operator="containsText" text="Stop"/>
  </x:conditionalFormatting>
  <x:pageMargins left="0.7" right="0.7" top="0.75" bottom="0.75" header="0.3" footer="0.3"/>
</x:worksheet>
</file>