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18b18d28b443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Decision" sheetId="1" r:id="Rb03abea4ce744187"/>
    <x:sheet xmlns:r="http://schemas.openxmlformats.org/officeDocument/2006/relationships" name="01 Registration" sheetId="2" r:id="Rf4e83de9977744c8"/>
    <x:sheet xmlns:r="http://schemas.openxmlformats.org/officeDocument/2006/relationships" name="02 Objects" sheetId="3" r:id="R78de66637ced4171"/>
    <x:sheet xmlns:r="http://schemas.openxmlformats.org/officeDocument/2006/relationships" name="03 Likelihoods" sheetId="4" r:id="R0bbb8483b74e4ea4"/>
    <x:sheet xmlns:r="http://schemas.openxmlformats.org/officeDocument/2006/relationships" name="04 Priors" sheetId="5" r:id="R7e423ebfec16486c"/>
    <x:sheet xmlns:r="http://schemas.openxmlformats.org/officeDocument/2006/relationships" name="05 Case Matrix" sheetId="6" r:id="R2ee6eac40a684c73"/>
    <x:sheet xmlns:r="http://schemas.openxmlformats.org/officeDocument/2006/relationships" name="06 Posterior" sheetId="7" r:id="Rec3a2fe18a6c4114"/>
    <x:sheet xmlns:r="http://schemas.openxmlformats.org/officeDocument/2006/relationships" name="07 Sampler" sheetId="8" r:id="R5232d9acdb8f4679"/>
    <x:sheet xmlns:r="http://schemas.openxmlformats.org/officeDocument/2006/relationships" name="08 Moves" sheetId="9" r:id="R2887a2f8d21e4c50"/>
    <x:sheet xmlns:r="http://schemas.openxmlformats.org/officeDocument/2006/relationships" name="09 Estimands" sheetId="10" r:id="R8ca197eac1664b62"/>
    <x:sheet xmlns:r="http://schemas.openxmlformats.org/officeDocument/2006/relationships" name="10 Admission Gates" sheetId="11" r:id="Rcd6d6a27a2234ba0"/>
    <x:sheet xmlns:r="http://schemas.openxmlformats.org/officeDocument/2006/relationships" name="11 Failure Tests" sheetId="12" r:id="R9b611587711c45da"/>
    <x:sheet xmlns:r="http://schemas.openxmlformats.org/officeDocument/2006/relationships" name="12 Firewall" sheetId="13" r:id="R212f7a257d9f4177"/>
    <x:sheet xmlns:r="http://schemas.openxmlformats.org/officeDocument/2006/relationships" name="13 Scale" sheetId="14" r:id="R9af16241ed934b44"/>
    <x:sheet xmlns:r="http://schemas.openxmlformats.org/officeDocument/2006/relationships" name="14 Sources" sheetId="15" r:id="Rb019730510294fd7"/>
    <x:sheet xmlns:r="http://schemas.openxmlformats.org/officeDocument/2006/relationships" name="15 Empty Outputs" sheetId="16" r:id="R1f67132f021343d9"/>
    <x:sheet xmlns:r="http://schemas.openxmlformats.org/officeDocument/2006/relationships" name="16 Integrity" sheetId="17" r:id="Re9adced40d3240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0"/>
    <x:numFmt numFmtId="202" formatCode="0%"/>
    <x:numFmt numFmtId="203" formatCode="#,##0.0"/>
    <x:numFmt numFmtId="204" formatCode="#,##0.0000"/>
  </x:numFmts>
  <x:fonts count="9">
    <x:font>
      <x:sz val="11"/>
      <x:name val="Carlito"/>
    </x:font>
    <x:font>
      <x:b/>
      <x:sz val="16"/>
      <x:color rgb="FF1F2933"/>
      <x:name val="Arial"/>
    </x:font>
    <x:font>
      <x:i/>
      <x:sz val="9"/>
      <x:color rgb="FF65737E"/>
      <x:name val="Arial"/>
    </x:font>
    <x:font>
      <x:b/>
      <x:sz val="9"/>
      <x:color rgb="FF17365D"/>
      <x:name val="Arial"/>
    </x:font>
    <x:font>
      <x:b/>
      <x:sz val="14"/>
      <x:color rgb="FF17365D"/>
      <x:name val="Arial"/>
    </x:font>
    <x:font>
      <x:b/>
      <x:sz val="9"/>
      <x:color rgb="FFFFFFFF"/>
      <x:name val="Arial"/>
    </x:font>
    <x:font>
      <x:sz val="9"/>
      <x:color rgb="FF1F2933"/>
      <x:name val="Arial"/>
    </x:font>
    <x:font>
      <x:sz val="11"/>
      <x:name val="Arial"/>
    </x:font>
    <x:font>
      <x:b/>
      <x:sz val="11"/>
      <x:color rgb="FF1F293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</x:fills>
  <x:borders count="8">
    <x:border/>
    <x:border>
      <x:bottom style="thin">
        <x:color rgb="FFB8C6D1"/>
      </x:bottom>
    </x:border>
    <x:border>
      <x:left style="thin">
        <x:color rgb="FFB8C6D1"/>
      </x:left>
      <x:top style="thin">
        <x:color rgb="FFB8C6D1"/>
      </x:top>
      <x:bottom style="thin">
        <x:color rgb="FFB8C6D1"/>
      </x:bottom>
    </x:border>
    <x:border>
      <x:top style="thin">
        <x:color rgb="FFB8C6D1"/>
      </x:top>
      <x:bottom style="thin">
        <x:color rgb="FFB8C6D1"/>
      </x:bottom>
    </x:border>
    <x:border>
      <x:right style="thin">
        <x:color rgb="FFB8C6D1"/>
      </x:right>
      <x:top style="thin">
        <x:color rgb="FFB8C6D1"/>
      </x:top>
      <x:bottom style="thin">
        <x:color rgb="FFB8C6D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0" borderId="5" xfId="0" applyNumberFormat="1" applyFont="1" applyFill="1" applyBorder="1" applyAlignment="1">
      <x:alignment vertical="top"/>
    </x:xf>
    <x:xf numFmtId="0" fontId="6" fillId="0" borderId="6" xfId="0" applyNumberFormat="1" applyFont="1" applyFill="1" applyBorder="1" applyAlignment="1">
      <x:alignment vertical="top"/>
    </x:xf>
    <x:xf numFmtId="0" fontId="6" fillId="0" borderId="7" xfId="0" applyNumberFormat="1" applyFont="1" applyFill="1" applyBorder="1" applyAlignment="1">
      <x:alignment vertical="top"/>
    </x:xf>
    <x:xf numFmtId="200" fontId="6" fillId="0" borderId="5" xfId="0" applyNumberFormat="1" applyFont="1" applyFill="1" applyBorder="1" applyAlignment="1">
      <x:alignment vertical="top"/>
    </x:xf>
    <x:xf numFmtId="200" fontId="6" fillId="0" borderId="6" xfId="0" applyNumberFormat="1" applyFont="1" applyFill="1" applyBorder="1" applyAlignment="1">
      <x:alignment vertical="top"/>
    </x:xf>
    <x:xf numFmtId="200" fontId="6" fillId="0" borderId="7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3" borderId="0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1" fontId="6" fillId="0" borderId="5" xfId="0" applyNumberFormat="1" applyFont="1" applyFill="1" applyBorder="1" applyAlignment="1">
      <x:alignment vertical="top"/>
    </x:xf>
    <x:xf numFmtId="201" fontId="6" fillId="0" borderId="6" xfId="0" applyNumberFormat="1" applyFont="1" applyFill="1" applyBorder="1" applyAlignment="1">
      <x:alignment vertical="top"/>
    </x:xf>
    <x:xf numFmtId="201" fontId="6" fillId="0" borderId="7" xfId="0" applyNumberFormat="1" applyFont="1" applyFill="1" applyBorder="1" applyAlignment="1">
      <x:alignment vertical="top"/>
    </x:xf>
    <x:xf numFmtId="0" fontId="0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202" fontId="6" fillId="0" borderId="5" xfId="0" applyNumberFormat="1" applyFont="1" applyFill="1" applyBorder="1" applyAlignment="1">
      <x:alignment vertical="top"/>
    </x:xf>
    <x:xf numFmtId="202" fontId="6" fillId="0" borderId="6" xfId="0" applyNumberFormat="1" applyFont="1" applyFill="1" applyBorder="1" applyAlignment="1">
      <x:alignment vertical="top"/>
    </x:xf>
    <x:xf numFmtId="202" fontId="6" fillId="0" borderId="7" xfId="0" applyNumberFormat="1" applyFont="1" applyFill="1" applyBorder="1" applyAlignment="1">
      <x:alignment vertical="top"/>
    </x:xf>
    <x:xf numFmtId="203" fontId="6" fillId="0" borderId="5" xfId="0" applyNumberFormat="1" applyFont="1" applyFill="1" applyBorder="1" applyAlignment="1">
      <x:alignment vertical="top"/>
    </x:xf>
    <x:xf numFmtId="203" fontId="6" fillId="0" borderId="6" xfId="0" applyNumberFormat="1" applyFont="1" applyFill="1" applyBorder="1" applyAlignment="1">
      <x:alignment vertical="top"/>
    </x:xf>
    <x:xf numFmtId="203" fontId="6" fillId="0" borderId="7" xfId="0" applyNumberFormat="1" applyFont="1" applyFill="1" applyBorder="1" applyAlignment="1">
      <x:alignment vertical="top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204" fontId="6" fillId="0" borderId="5" xfId="0" applyNumberFormat="1" applyFont="1" applyFill="1" applyBorder="1" applyAlignment="1">
      <x:alignment vertical="top"/>
    </x:xf>
    <x:xf numFmtId="204" fontId="6" fillId="0" borderId="6" xfId="0" applyNumberFormat="1" applyFont="1" applyFill="1" applyBorder="1" applyAlignment="1">
      <x:alignment vertical="top"/>
    </x:xf>
    <x:xf numFmtId="204" fontId="6" fillId="0" borderId="7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5505e7b1124d47" /><Relationship Type="http://schemas.openxmlformats.org/officeDocument/2006/relationships/theme" Target="/xl/theme/theme1.xml" Id="Rf3914ff4f1bb40ce" /><Relationship Type="http://schemas.openxmlformats.org/officeDocument/2006/relationships/sharedStrings" Target="/xl/sharedStrings.xml" Id="R869382544dc34760" /><Relationship Type="http://schemas.openxmlformats.org/officeDocument/2006/relationships/worksheet" Target="/xl/worksheets/sheet1.xml" Id="Rb03abea4ce744187" /><Relationship Type="http://schemas.openxmlformats.org/officeDocument/2006/relationships/worksheet" Target="/xl/worksheets/sheet2.xml" Id="Rf4e83de9977744c8" /><Relationship Type="http://schemas.openxmlformats.org/officeDocument/2006/relationships/worksheet" Target="/xl/worksheets/sheet3.xml" Id="R78de66637ced4171" /><Relationship Type="http://schemas.openxmlformats.org/officeDocument/2006/relationships/worksheet" Target="/xl/worksheets/sheet4.xml" Id="R0bbb8483b74e4ea4" /><Relationship Type="http://schemas.openxmlformats.org/officeDocument/2006/relationships/worksheet" Target="/xl/worksheets/sheet5.xml" Id="R7e423ebfec16486c" /><Relationship Type="http://schemas.openxmlformats.org/officeDocument/2006/relationships/worksheet" Target="/xl/worksheets/sheet6.xml" Id="R2ee6eac40a684c73" /><Relationship Type="http://schemas.openxmlformats.org/officeDocument/2006/relationships/worksheet" Target="/xl/worksheets/sheet7.xml" Id="Rec3a2fe18a6c4114" /><Relationship Type="http://schemas.openxmlformats.org/officeDocument/2006/relationships/worksheet" Target="/xl/worksheets/sheet8.xml" Id="R5232d9acdb8f4679" /><Relationship Type="http://schemas.openxmlformats.org/officeDocument/2006/relationships/worksheet" Target="/xl/worksheets/sheet9.xml" Id="R2887a2f8d21e4c50" /><Relationship Type="http://schemas.openxmlformats.org/officeDocument/2006/relationships/worksheet" Target="/xl/worksheets/sheet10.xml" Id="R8ca197eac1664b62" /><Relationship Type="http://schemas.openxmlformats.org/officeDocument/2006/relationships/worksheet" Target="/xl/worksheets/sheet11.xml" Id="Rcd6d6a27a2234ba0" /><Relationship Type="http://schemas.openxmlformats.org/officeDocument/2006/relationships/worksheet" Target="/xl/worksheets/sheet12.xml" Id="R9b611587711c45da" /><Relationship Type="http://schemas.openxmlformats.org/officeDocument/2006/relationships/worksheet" Target="/xl/worksheets/sheet13.xml" Id="R212f7a257d9f4177" /><Relationship Type="http://schemas.openxmlformats.org/officeDocument/2006/relationships/worksheet" Target="/xl/worksheets/sheet14.xml" Id="R9af16241ed934b44" /><Relationship Type="http://schemas.openxmlformats.org/officeDocument/2006/relationships/worksheet" Target="/xl/worksheets/sheet15.xml" Id="Rb019730510294fd7" /><Relationship Type="http://schemas.openxmlformats.org/officeDocument/2006/relationships/worksheet" Target="/xl/worksheets/sheet16.xml" Id="R1f67132f021343d9" /><Relationship Type="http://schemas.openxmlformats.org/officeDocument/2006/relationships/worksheet" Target="/xl/worksheets/sheet17.xml" Id="Re9adced40d3240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58" hidden="0" customWidth="1"/>
    <x:col min="3" max="3" width="8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" t="str">
        <x:v>Decision</x:v>
      </x:c>
      <x:c r="B1" s="29"/>
      <x:c r="C1" s="29"/>
      <x:c r="D1" s="29"/>
      <x:c r="E1" s="29"/>
      <x:c r="F1" s="29"/>
      <x:c r="G1" s="29"/>
      <x:c r="H1" s="29"/>
    </x:row>
    <x:row r="2">
      <x:c r="A2" s="2" t="str">
        <x:v>Atomic measurement-error posterior v3C0; statistical constitution frozen before execution</x:v>
      </x:c>
      <x:c r="B2" s="29"/>
      <x:c r="C2" s="29"/>
      <x:c r="D2" s="29"/>
      <x:c r="E2" s="29"/>
      <x:c r="F2" s="29"/>
      <x:c r="G2" s="29"/>
      <x:c r="H2" s="29"/>
    </x:row>
    <x:row r="3">
      <x:c r="A3" s="29"/>
      <x:c r="B3" s="29"/>
      <x:c r="C3" s="29"/>
      <x:c r="D3" s="29"/>
      <x:c r="E3" s="29"/>
      <x:c r="F3" s="29"/>
      <x:c r="G3" s="29"/>
      <x:c r="H3" s="29"/>
    </x:row>
    <x:row r="4">
      <x:c r="A4" s="30"/>
      <x:c r="B4" s="30"/>
      <x:c r="C4" s="30"/>
      <x:c r="D4" s="30"/>
      <x:c r="E4" s="30"/>
      <x:c r="F4" s="30"/>
      <x:c r="G4" s="30"/>
      <x:c r="H4" s="30"/>
      <x:c r="I4" s="3"/>
    </x:row>
    <x:row r="5">
      <x:c r="A5" s="6" t="str">
        <x:v>Decision</x:v>
      </x:c>
      <x:c r="B5" s="7"/>
      <x:c r="C5" s="7"/>
      <x:c r="D5" s="7"/>
      <x:c r="E5" s="7"/>
      <x:c r="F5" s="7"/>
      <x:c r="G5" s="7"/>
      <x:c r="H5" s="8"/>
    </x:row>
    <x:row r="6">
      <x:c r="A6" s="9" t="str">
        <x:v>The posterior method is preregistered. No posterior state exists.</x:v>
      </x:c>
      <x:c r="B6" s="29"/>
      <x:c r="C6" s="29"/>
      <x:c r="D6" s="29"/>
      <x:c r="E6" s="29"/>
      <x:c r="F6" s="29"/>
      <x:c r="G6" s="29"/>
      <x:c r="H6" s="29"/>
    </x:row>
    <x:row r="7">
      <x:c r="A7" s="29"/>
      <x:c r="B7" s="29"/>
      <x:c r="C7" s="29"/>
      <x:c r="D7" s="29"/>
      <x:c r="E7" s="29"/>
      <x:c r="F7" s="29"/>
      <x:c r="G7" s="29"/>
      <x:c r="H7" s="29"/>
    </x:row>
    <x:row r="8">
      <x:c r="A8" s="31" t="str">
        <x:v>Constitution</x:v>
      </x:c>
      <x:c r="B8" s="31" t="str">
        <x:v>The observed ACS estimator is evaluated through a rank-reduced measurement likelihood. The unknown civil state remains a nonnegative integer vector on the atomic support. Four measurement cases cross three state-prior cases, producing twelve inseparable sensitivity cases. No prior, likelihood, chain or output may be selected using A2 or S3 performance.</x:v>
      </x:c>
      <x:c r="C8" s="31"/>
      <x:c r="D8" s="31"/>
      <x:c r="E8" s="31"/>
      <x:c r="F8" s="31"/>
      <x:c r="G8" s="31"/>
      <x:c r="H8" s="31"/>
    </x:row>
    <x:row r="9">
      <x:c r="A9" s="31"/>
      <x:c r="B9" s="31"/>
      <x:c r="C9" s="31"/>
      <x:c r="D9" s="31"/>
      <x:c r="E9" s="31"/>
      <x:c r="F9" s="31"/>
      <x:c r="G9" s="31"/>
      <x:c r="H9" s="31"/>
    </x:row>
    <x:row r="10">
      <x:c r="A10" s="31"/>
      <x:c r="B10" s="31"/>
      <x:c r="C10" s="31"/>
      <x:c r="D10" s="31"/>
      <x:c r="E10" s="31"/>
      <x:c r="F10" s="31"/>
      <x:c r="G10" s="31"/>
      <x:c r="H10" s="31"/>
    </x:row>
    <x:row r="11">
      <x:c r="A11" s="31"/>
      <x:c r="B11" s="31"/>
      <x:c r="C11" s="31"/>
      <x:c r="D11" s="31"/>
      <x:c r="E11" s="31"/>
      <x:c r="F11" s="31"/>
      <x:c r="G11" s="31"/>
      <x:c r="H11" s="31"/>
    </x:row>
    <x:row r="12">
      <x:c r="A12" s="31"/>
      <x:c r="B12" s="31"/>
      <x:c r="C12" s="31"/>
      <x:c r="D12" s="31"/>
      <x:c r="E12" s="31"/>
      <x:c r="F12" s="31"/>
      <x:c r="G12" s="31"/>
      <x:c r="H12" s="31"/>
    </x:row>
    <x:row r="13">
      <x:c r="A13" s="29"/>
      <x:c r="B13" s="29"/>
      <x:c r="C13" s="29"/>
      <x:c r="D13" s="29"/>
      <x:c r="E13" s="29"/>
      <x:c r="F13" s="29"/>
      <x:c r="G13" s="29"/>
      <x:c r="H13" s="29"/>
    </x:row>
    <x:row r="14">
      <x:c r="A14" s="29"/>
      <x:c r="B14" s="29"/>
      <x:c r="C14" s="29"/>
      <x:c r="D14" s="29"/>
      <x:c r="E14" s="29"/>
      <x:c r="F14" s="29"/>
      <x:c r="G14" s="29"/>
      <x:c r="H14" s="29"/>
    </x:row>
    <x:row r="15">
      <x:c r="A15" s="6" t="str">
        <x:v>Registered execution ceiling</x:v>
      </x:c>
      <x:c r="B15" s="7"/>
      <x:c r="C15" s="7"/>
      <x:c r="D15" s="7"/>
      <x:c r="E15" s="7"/>
      <x:c r="F15" s="7"/>
      <x:c r="G15" s="7"/>
      <x:c r="H15" s="8"/>
    </x:row>
    <x:row r="16" ht="34" customHeight="1">
      <x:c r="A16" s="17" t="str">
        <x:v>Measure</x:v>
      </x:c>
      <x:c r="B16" s="17" t="str">
        <x:v>Value</x:v>
      </x:c>
      <x:c r="C16" s="17" t="str">
        <x:v>Meaning</x:v>
      </x:c>
      <x:c r="D16" s="29"/>
      <x:c r="E16" s="29"/>
      <x:c r="F16" s="29"/>
      <x:c r="G16" s="29"/>
      <x:c r="H16" s="29"/>
    </x:row>
    <x:row r="17">
      <x:c r="A17" s="20" t="str">
        <x:v>Likelihood cases</x:v>
      </x:c>
      <x:c r="B17" s="23" t="n">
        <x:v>4</x:v>
      </x:c>
      <x:c r="C17" s="20" t="str">
        <x:v>three covariance completions plus one heavy-tail boundary case</x:v>
      </x:c>
      <x:c r="D17" s="29"/>
      <x:c r="E17" s="29"/>
      <x:c r="F17" s="29"/>
      <x:c r="G17" s="29"/>
      <x:c r="H17" s="29"/>
    </x:row>
    <x:row r="18">
      <x:c r="A18" s="21" t="str">
        <x:v>State-prior cases</x:v>
      </x:c>
      <x:c r="B18" s="24" t="n">
        <x:v>3</x:v>
      </x:c>
      <x:c r="C18" s="21" t="str">
        <x:v>weak, PUMS-informed and adverse dependence</x:v>
      </x:c>
      <x:c r="D18" s="29"/>
      <x:c r="E18" s="29"/>
      <x:c r="F18" s="29"/>
      <x:c r="G18" s="29"/>
      <x:c r="H18" s="29"/>
    </x:row>
    <x:row r="19">
      <x:c r="A19" s="21" t="str">
        <x:v>Factorial cases</x:v>
      </x:c>
      <x:c r="B19" s="24" t="n">
        <x:v>12</x:v>
      </x:c>
      <x:c r="C19" s="21" t="str">
        <x:v>all cases retained separately</x:v>
      </x:c>
      <x:c r="D19" s="29"/>
      <x:c r="E19" s="29"/>
      <x:c r="F19" s="29"/>
      <x:c r="G19" s="29"/>
      <x:c r="H19" s="29"/>
    </x:row>
    <x:row r="20">
      <x:c r="A20" s="21" t="str">
        <x:v>Catchment-case paths</x:v>
      </x:c>
      <x:c r="B20" s="24" t="n">
        <x:v>144</x:v>
      </x:c>
      <x:c r="C20" s="21" t="str">
        <x:v>twelve catchments per case</x:v>
      </x:c>
      <x:c r="D20" s="29"/>
      <x:c r="E20" s="29"/>
      <x:c r="F20" s="29"/>
      <x:c r="G20" s="29"/>
      <x:c r="H20" s="29"/>
    </x:row>
    <x:row r="21">
      <x:c r="A21" s="21" t="str">
        <x:v>Registered transition proposals</x:v>
      </x:c>
      <x:c r="B21" s="24" t="n">
        <x:v>57600000</x:v>
      </x:c>
      <x:c r="C21" s="21" t="str">
        <x:v>eight chains with fixed warmup and production ceilings</x:v>
      </x:c>
      <x:c r="D21" s="29"/>
      <x:c r="E21" s="29"/>
      <x:c r="F21" s="29"/>
      <x:c r="G21" s="29"/>
      <x:c r="H21" s="29"/>
    </x:row>
    <x:row r="22">
      <x:c r="A22" s="21" t="str">
        <x:v>Potential retained posterior states</x:v>
      </x:c>
      <x:c r="B22" s="24" t="n">
        <x:v>144000</x:v>
      </x:c>
      <x:c r="C22" s="21" t="str">
        <x:v>K=1,000 per catchment-case if every gate passes</x:v>
      </x:c>
      <x:c r="D22" s="29"/>
      <x:c r="E22" s="29"/>
      <x:c r="F22" s="29"/>
      <x:c r="G22" s="29"/>
      <x:c r="H22" s="29"/>
    </x:row>
    <x:row r="23">
      <x:c r="A23" s="22" t="str">
        <x:v>Admitted posterior states</x:v>
      </x:c>
      <x:c r="B23" s="25" t="n">
        <x:v>0</x:v>
      </x:c>
      <x:c r="C23" s="22" t="str">
        <x:v>preregistration does not generate data</x:v>
      </x:c>
      <x:c r="D23" s="29"/>
      <x:c r="E23" s="29"/>
      <x:c r="F23" s="29"/>
      <x:c r="G23" s="29"/>
      <x:c r="H23" s="29"/>
    </x:row>
    <x:row r="24">
      <x:c r="A24" s="29"/>
      <x:c r="B24" s="29"/>
      <x:c r="C24" s="29"/>
      <x:c r="D24" s="29"/>
      <x:c r="E24" s="29"/>
      <x:c r="F24" s="29"/>
      <x:c r="G24" s="29"/>
      <x:c r="H24" s="29"/>
    </x:row>
    <x:row r="25">
      <x:c r="A25" s="29"/>
      <x:c r="B25" s="29"/>
      <x:c r="C25" s="29"/>
      <x:c r="D25" s="29"/>
      <x:c r="E25" s="29"/>
      <x:c r="F25" s="29"/>
      <x:c r="G25" s="29"/>
      <x:c r="H25" s="29"/>
    </x:row>
    <x:row r="26">
      <x:c r="A26" s="6" t="str">
        <x:v>Posterior target</x:v>
      </x:c>
      <x:c r="B26" s="7"/>
      <x:c r="C26" s="7"/>
      <x:c r="D26" s="7"/>
      <x:c r="E26" s="7"/>
      <x:c r="F26" s="7"/>
      <x:c r="G26" s="7"/>
      <x:c r="H26" s="8"/>
    </x:row>
    <x:row r="27">
      <x:c r="A27" s="28" t="str">
        <x:v>p(x | ŷ,m,p) ∝ p(ŷ | A x,Vₘ) p₀(x | p) 1{x is a lawful nonnegative integer state}</x:v>
      </x:c>
      <x:c r="B27" s="28"/>
      <x:c r="C27" s="28"/>
      <x:c r="D27" s="28"/>
      <x:c r="E27" s="28"/>
      <x:c r="F27" s="28"/>
      <x:c r="G27" s="28"/>
      <x:c r="H27" s="28"/>
    </x:row>
    <x:row r="28">
      <x:c r="A28" s="28"/>
      <x:c r="B28" s="28"/>
      <x:c r="C28" s="28"/>
      <x:c r="D28" s="28"/>
      <x:c r="E28" s="28"/>
      <x:c r="F28" s="28"/>
      <x:c r="G28" s="28"/>
      <x:c r="H28" s="28"/>
    </x:row>
    <x:row r="29">
      <x:c r="A29" s="28"/>
      <x:c r="B29" s="28"/>
      <x:c r="C29" s="28"/>
      <x:c r="D29" s="28"/>
      <x:c r="E29" s="28"/>
      <x:c r="F29" s="28"/>
      <x:c r="G29" s="28"/>
      <x:c r="H29" s="28"/>
    </x:row>
  </x:sheetData>
  <x:mergeCells>
    <x:mergeCell ref="A8:A12"/>
    <x:mergeCell ref="B8:H12"/>
    <x:mergeCell ref="A27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18" hidden="0" customWidth="1"/>
  </x:cols>
  <x:sheetData>
    <x:row r="1">
      <x:c r="A1" s="1" t="str">
        <x:v>Registration</x:v>
      </x:c>
      <x:c r="B1" s="29"/>
    </x:row>
    <x:row r="2">
      <x:c r="A2" s="2" t="str">
        <x:v>Version identity, parent authority, fixed scale and stop boundary</x:v>
      </x:c>
      <x:c r="B2" s="29"/>
    </x:row>
    <x:row r="3">
      <x:c r="A3" s="29"/>
      <x:c r="B3" s="29"/>
    </x:row>
    <x:row r="4">
      <x:c r="A4" s="30"/>
      <x:c r="B4" s="30"/>
      <x:c r="C4" s="3"/>
      <x:c r="D4" s="3"/>
      <x:c r="E4" s="3"/>
      <x:c r="F4" s="3"/>
      <x:c r="G4" s="3"/>
      <x:c r="H4" s="3"/>
      <x:c r="I4" s="3"/>
    </x:row>
    <x:row r="5">
      <x:c r="A5" s="29"/>
      <x:c r="B5" s="29"/>
    </x:row>
    <x:row r="6" ht="34" customHeight="1">
      <x:c r="A6" s="17" t="str">
        <x:v>Field</x:v>
      </x:c>
      <x:c r="B6" s="17" t="str">
        <x:v>Registered value</x:v>
      </x:c>
    </x:row>
    <x:row r="7">
      <x:c r="A7" s="20" t="str">
        <x:v>registration_id</x:v>
      </x:c>
      <x:c r="B7" s="32" t="str">
        <x:v>DF-NYC-L0-PR54-ATOMIC-POSTERIOR-v3C0</x:v>
      </x:c>
    </x:row>
    <x:row r="8">
      <x:c r="A8" s="21" t="str">
        <x:v>parent_moment_cone</x:v>
      </x:c>
      <x:c r="B8" s="33" t="str">
        <x:v>DF-NYC-L0-PR53-ATOMIC-MOMENT-CONE-v3B1A</x:v>
      </x:c>
    </x:row>
    <x:row r="9">
      <x:c r="A9" s="21" t="str">
        <x:v>state</x:v>
      </x:c>
      <x:c r="B9" s="33" t="str">
        <x:v>PREREGISTERED_NOT_EXECUTED_NO_POSTERIOR_NO_DONOR_FIT_NO_ARCHITECTURE_ACCESS</x:v>
      </x:c>
    </x:row>
    <x:row r="10">
      <x:c r="A10" s="21" t="str">
        <x:v>access_date</x:v>
      </x:c>
      <x:c r="B10" s="33" t="str">
        <x:v>2026-09-07</x:v>
      </x:c>
    </x:row>
    <x:row r="11">
      <x:c r="A11" s="21" t="str">
        <x:v>catchments</x:v>
      </x:c>
      <x:c r="B11" s="33" t="n">
        <x:v>12</x:v>
      </x:c>
    </x:row>
    <x:row r="12">
      <x:c r="A12" s="21" t="str">
        <x:v>metrics</x:v>
      </x:c>
      <x:c r="B12" s="33" t="n">
        <x:v>39</x:v>
      </x:c>
    </x:row>
    <x:row r="13">
      <x:c r="A13" s="21" t="str">
        <x:v>atomic_cells_per_state</x:v>
      </x:c>
      <x:c r="B13" s="33" t="n">
        <x:v>1557</x:v>
      </x:c>
    </x:row>
    <x:row r="14">
      <x:c r="A14" s="21" t="str">
        <x:v>aggregation_rank</x:v>
      </x:c>
      <x:c r="B14" s="33" t="n">
        <x:v>33</x:v>
      </x:c>
    </x:row>
    <x:row r="15">
      <x:c r="A15" s="21" t="str">
        <x:v>likelihood_cases</x:v>
      </x:c>
      <x:c r="B15" s="33" t="n">
        <x:v>4</x:v>
      </x:c>
    </x:row>
    <x:row r="16">
      <x:c r="A16" s="21" t="str">
        <x:v>prior_cases</x:v>
      </x:c>
      <x:c r="B16" s="33" t="n">
        <x:v>3</x:v>
      </x:c>
    </x:row>
    <x:row r="17">
      <x:c r="A17" s="21" t="str">
        <x:v>factorial_cases</x:v>
      </x:c>
      <x:c r="B17" s="33" t="n">
        <x:v>12</x:v>
      </x:c>
    </x:row>
    <x:row r="18">
      <x:c r="A18" s="21" t="str">
        <x:v>chains_per_path</x:v>
      </x:c>
      <x:c r="B18" s="33" t="n">
        <x:v>8</x:v>
      </x:c>
    </x:row>
    <x:row r="19">
      <x:c r="A19" s="21" t="str">
        <x:v>warmup_iterations_per_chain</x:v>
      </x:c>
      <x:c r="B19" s="33" t="n">
        <x:v>10000</x:v>
      </x:c>
    </x:row>
    <x:row r="20">
      <x:c r="A20" s="21" t="str">
        <x:v>production_iterations_per_chain</x:v>
      </x:c>
      <x:c r="B20" s="33" t="n">
        <x:v>40000</x:v>
      </x:c>
    </x:row>
    <x:row r="21">
      <x:c r="A21" s="21" t="str">
        <x:v>retained_per_chain</x:v>
      </x:c>
      <x:c r="B21" s="33" t="n">
        <x:v>125</x:v>
      </x:c>
    </x:row>
    <x:row r="22">
      <x:c r="A22" s="21" t="str">
        <x:v>retained_per_catchment_case</x:v>
      </x:c>
      <x:c r="B22" s="33" t="n">
        <x:v>1000</x:v>
      </x:c>
    </x:row>
    <x:row r="23">
      <x:c r="A23" s="21" t="str">
        <x:v>candidate_posterior_states</x:v>
      </x:c>
      <x:c r="B23" s="33" t="n">
        <x:v>144000</x:v>
      </x:c>
    </x:row>
    <x:row r="24">
      <x:c r="A24" s="21" t="str">
        <x:v>admitted_posterior_states</x:v>
      </x:c>
      <x:c r="B24" s="33" t="n">
        <x:v>0</x:v>
      </x:c>
    </x:row>
    <x:row r="25">
      <x:c r="A25" s="21" t="str">
        <x:v>decision</x:v>
      </x:c>
      <x:c r="B25" s="33" t="str">
        <x:v>Freeze the measurement-error posterior constitution before sampling. Estimator covariance remains in the likelihood; state dependence remains explicit prior sensitivity.</x:v>
      </x:c>
    </x:row>
    <x:row r="26">
      <x:c r="A26" s="22" t="str">
        <x:v>next_action</x:v>
      </x:c>
      <x:c r="B26" s="34" t="str">
        <x:v>Implement v3C0 exactly as registered, run all likelihood, support, convergence, posterior-predictive, sensitivity, privacy and reproduction gates, and stop before donor fitting if any co-governing gate fails.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8" hidden="0" customWidth="1"/>
    <x:col min="2" max="2" width="34" hidden="0" customWidth="1"/>
    <x:col min="3" max="3" width="88" hidden="0" customWidth="1"/>
    <x:col min="4" max="4" width="40" hidden="0" customWidth="1"/>
  </x:cols>
  <x:sheetData>
    <x:row r="1">
      <x:c r="A1" s="1" t="str">
        <x:v>Objects</x:v>
      </x:c>
      <x:c r="B1" s="29"/>
      <x:c r="C1" s="29"/>
      <x:c r="D1" s="29"/>
    </x:row>
    <x:row r="2">
      <x:c r="A2" s="2" t="str">
        <x:v>Every probability space and deterministic operator has one authority</x:v>
      </x:c>
      <x:c r="B2" s="29"/>
      <x:c r="C2" s="29"/>
      <x:c r="D2" s="29"/>
    </x:row>
    <x:row r="3">
      <x:c r="A3" s="29"/>
      <x:c r="B3" s="29"/>
      <x:c r="C3" s="29"/>
      <x:c r="D3" s="29"/>
    </x:row>
    <x:row r="4">
      <x:c r="A4" s="30"/>
      <x:c r="B4" s="30"/>
      <x:c r="C4" s="30"/>
      <x:c r="D4" s="30"/>
      <x:c r="E4" s="3"/>
      <x:c r="F4" s="3"/>
      <x:c r="G4" s="3"/>
      <x:c r="H4" s="3"/>
      <x:c r="I4" s="3"/>
    </x:row>
    <x:row r="5">
      <x:c r="A5" s="29"/>
      <x:c r="B5" s="29"/>
      <x:c r="C5" s="29"/>
      <x:c r="D5" s="29"/>
    </x:row>
    <x:row r="6" ht="34" customHeight="1">
      <x:c r="A6" s="17" t="str">
        <x:v>Symbol</x:v>
      </x:c>
      <x:c r="B6" s="17" t="str">
        <x:v>Object</x:v>
      </x:c>
      <x:c r="C6" s="17" t="str">
        <x:v>Definition</x:v>
      </x:c>
      <x:c r="D6" s="17" t="str">
        <x:v>Probability space</x:v>
      </x:c>
    </x:row>
    <x:row r="7" ht="38" customHeight="1">
      <x:c r="A7" s="20" t="str">
        <x:v>x_c</x:v>
      </x:c>
      <x:c r="B7" s="20" t="str">
        <x:v>atomic civil state</x:v>
      </x:c>
      <x:c r="C7" s="32" t="str">
        <x:v>1,557 nonnegative integer person and household-unit counts for catchment c</x:v>
      </x:c>
      <x:c r="D7" s="32" t="str">
        <x:v>latent state</x:v>
      </x:c>
    </x:row>
    <x:row r="8" ht="38" customHeight="1">
      <x:c r="A8" s="21" t="str">
        <x:v>A</x:v>
      </x:c>
      <x:c r="B8" s="21" t="str">
        <x:v>aggregation operator</x:v>
      </x:c>
      <x:c r="C8" s="33" t="str">
        <x:v>fixed 39 by 1,557 map from atomic state to registered margins</x:v>
      </x:c>
      <x:c r="D8" s="33" t="str">
        <x:v>deterministic</x:v>
      </x:c>
    </x:row>
    <x:row r="9" ht="38" customHeight="1">
      <x:c r="A9" s="21" t="str">
        <x:v>y_c = A x_c</x:v>
      </x:c>
      <x:c r="B9" s="21" t="str">
        <x:v>true aggregate state</x:v>
      </x:c>
      <x:c r="C9" s="33" t="str">
        <x:v>registered margins implied by one lawful atomic state</x:v>
      </x:c>
      <x:c r="D9" s="33" t="str">
        <x:v>latent state</x:v>
      </x:c>
    </x:row>
    <x:row r="10" ht="38" customHeight="1">
      <x:c r="A10" s="21" t="str">
        <x:v>ŷ_c</x:v>
      </x:c>
      <x:c r="B10" s="21" t="str">
        <x:v>published estimate</x:v>
      </x:c>
      <x:c r="C10" s="33" t="str">
        <x:v>observed ACS estimator vector</x:v>
      </x:c>
      <x:c r="D10" s="33" t="str">
        <x:v>observed estimator</x:v>
      </x:c>
    </x:row>
    <x:row r="11" ht="38" customHeight="1">
      <x:c r="A11" s="21" t="str">
        <x:v>V_cm</x:v>
      </x:c>
      <x:c r="B11" s="21" t="str">
        <x:v>measurement covariance</x:v>
      </x:c>
      <x:c r="C11" s="33" t="str">
        <x:v>rank-reduced covariance for likelihood case m</x:v>
      </x:c>
      <x:c r="D11" s="33" t="str">
        <x:v>repeated-sample estimator</x:v>
      </x:c>
    </x:row>
    <x:row r="12" ht="38" customHeight="1">
      <x:c r="A12" s="21" t="str">
        <x:v>Q</x:v>
      </x:c>
      <x:c r="B12" s="21" t="str">
        <x:v>independent-row basis</x:v>
      </x:c>
      <x:c r="C12" s="33" t="str">
        <x:v>fixed orthonormal basis for the 33-dimensional row space of A</x:v>
      </x:c>
      <x:c r="D12" s="33" t="str">
        <x:v>deterministic</x:v>
      </x:c>
    </x:row>
    <x:row r="13" ht="38" customHeight="1">
      <x:c r="A13" s="21" t="str">
        <x:v>p(ŷ_c | x_c,m)</x:v>
      </x:c>
      <x:c r="B13" s="21" t="str">
        <x:v>measurement likelihood</x:v>
      </x:c>
      <x:c r="C13" s="33" t="str">
        <x:v>density of observed estimator conditional on a lawful state and likelihood case</x:v>
      </x:c>
      <x:c r="D13" s="33" t="str">
        <x:v>estimator conditional on state</x:v>
      </x:c>
    </x:row>
    <x:row r="14" ht="38" customHeight="1">
      <x:c r="A14" s="21" t="str">
        <x:v>p0(x_c | p)</x:v>
      </x:c>
      <x:c r="B14" s="21" t="str">
        <x:v>state reference law</x:v>
      </x:c>
      <x:c r="C14" s="33" t="str">
        <x:v>disclosed prior or regularizer for prior case p</x:v>
      </x:c>
      <x:c r="D14" s="33" t="str">
        <x:v>latent state</x:v>
      </x:c>
    </x:row>
    <x:row r="15" ht="38" customHeight="1">
      <x:c r="A15" s="22" t="str">
        <x:v>p(x_c | ŷ_c,m,p)</x:v>
      </x:c>
      <x:c r="B15" s="22" t="str">
        <x:v>posterior</x:v>
      </x:c>
      <x:c r="C15" s="34" t="str">
        <x:v>lawful state uncertainty after likelihood and prior</x:v>
      </x:c>
      <x:c r="D15" s="34" t="str">
        <x:v>latent state conditional on observation</x:v>
      </x:c>
    </x:row>
    <x:row r="16">
      <x:c r="A16" s="29"/>
      <x:c r="B16" s="29"/>
      <x:c r="C16" s="29"/>
      <x:c r="D16" s="29"/>
    </x:row>
    <x:row r="17">
      <x:c r="A17" s="29"/>
      <x:c r="B17" s="29"/>
      <x:c r="C17" s="29"/>
      <x:c r="D17" s="29"/>
    </x:row>
    <x:row r="18">
      <x:c r="A18" s="6" t="str">
        <x:v>Prohibited identification</x:v>
      </x:c>
      <x:c r="B18" s="7"/>
      <x:c r="C18" s="7"/>
      <x:c r="D18" s="8"/>
    </x:row>
    <x:row r="19">
      <x:c r="A19" s="31" t="str">
        <x:v>Vₘ describes repeated-sample estimator error. It does not become Cov[A x]. The published point ŷ does not become a forced posterior mean at a nonnegative boundary. The prior p₀ does not become observed tract truth.</x:v>
      </x:c>
      <x:c r="B19" s="31"/>
      <x:c r="C19" s="31"/>
      <x:c r="D19" s="31"/>
    </x:row>
    <x:row r="20">
      <x:c r="A20" s="31"/>
      <x:c r="B20" s="31"/>
      <x:c r="C20" s="31"/>
      <x:c r="D20" s="31"/>
    </x:row>
    <x:row r="21">
      <x:c r="A21" s="31"/>
      <x:c r="B21" s="31"/>
      <x:c r="C21" s="31"/>
      <x:c r="D21" s="31"/>
    </x:row>
    <x:row r="22">
      <x:c r="A22" s="31"/>
      <x:c r="B22" s="31"/>
      <x:c r="C22" s="31"/>
      <x:c r="D22" s="31"/>
    </x:row>
  </x:sheetData>
  <x:mergeCells>
    <x:mergeCell ref="A19:D2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4" hidden="0" customWidth="1"/>
    <x:col min="3" max="3" width="64" hidden="0" customWidth="1"/>
    <x:col min="4" max="4" width="26" hidden="0" customWidth="1"/>
    <x:col min="5" max="5" width="16" hidden="0" customWidth="1"/>
    <x:col min="6" max="6" width="36" hidden="0" customWidth="1"/>
    <x:col min="7" max="7" width="72" hidden="0" customWidth="1"/>
  </x:cols>
  <x:sheetData>
    <x:row r="1">
      <x:c r="A1" s="1" t="str">
        <x:v>Likelihoods</x:v>
      </x:c>
      <x:c r="B1" s="29"/>
      <x:c r="C1" s="29"/>
      <x:c r="D1" s="29"/>
      <x:c r="E1" s="29"/>
      <x:c r="F1" s="29"/>
      <x:c r="G1" s="29"/>
    </x:row>
    <x:row r="2">
      <x:c r="A2" s="2" t="str">
        <x:v>Four measurement cases preserve source authority while testing unidentified covariance and boundary shape</x:v>
      </x:c>
      <x:c r="B2" s="29"/>
      <x:c r="C2" s="29"/>
      <x:c r="D2" s="29"/>
      <x:c r="E2" s="29"/>
      <x:c r="F2" s="29"/>
      <x:c r="G2" s="29"/>
    </x:row>
    <x:row r="3">
      <x:c r="A3" s="29"/>
      <x:c r="B3" s="29"/>
      <x:c r="C3" s="29"/>
      <x:c r="D3" s="29"/>
      <x:c r="E3" s="29"/>
      <x:c r="F3" s="29"/>
      <x:c r="G3" s="29"/>
    </x:row>
    <x:row r="4">
      <x:c r="A4" s="30"/>
      <x:c r="B4" s="30"/>
      <x:c r="C4" s="30"/>
      <x:c r="D4" s="30"/>
      <x:c r="E4" s="30"/>
      <x:c r="F4" s="30"/>
      <x:c r="G4" s="30"/>
      <x:c r="H4" s="3"/>
      <x:c r="I4" s="3"/>
    </x:row>
    <x:row r="5">
      <x:c r="A5" s="29"/>
      <x:c r="B5" s="29"/>
      <x:c r="C5" s="29"/>
      <x:c r="D5" s="29"/>
      <x:c r="E5" s="29"/>
      <x:c r="F5" s="29"/>
      <x:c r="G5" s="29"/>
    </x:row>
    <x:row r="6" ht="34" customHeight="1">
      <x:c r="A6" s="17" t="str">
        <x:v>Likelihood ID</x:v>
      </x:c>
      <x:c r="B6" s="17" t="str">
        <x:v>Family</x:v>
      </x:c>
      <x:c r="C6" s="17" t="str">
        <x:v>Covariance authority</x:v>
      </x:c>
      <x:c r="D6" s="17" t="str">
        <x:v>Shape</x:v>
      </x:c>
      <x:c r="E6" s="17" t="str">
        <x:v>Scale factor</x:v>
      </x:c>
      <x:c r="F6" s="17" t="str">
        <x:v>Role</x:v>
      </x:c>
      <x:c r="G6" s="17" t="str">
        <x:v>Boundary rule</x:v>
      </x:c>
    </x:row>
    <x:row r="7" ht="58" customHeight="1">
      <x:c r="A7" s="20" t="str">
        <x:v>L0_GAUSS_ZERO</x:v>
      </x:c>
      <x:c r="B7" s="32" t="str">
        <x:v>rank-reduced multivariate Gaussian</x:v>
      </x:c>
      <x:c r="C7" s="32" t="str">
        <x:v>Pass 51 R0 zero unknown-covariance completion</x:v>
      </x:c>
      <x:c r="D7" s="32" t="str">
        <x:v>n.a.</x:v>
      </x:c>
      <x:c r="E7" s="37" t="n">
        <x:v>1</x:v>
      </x:c>
      <x:c r="F7" s="32" t="str">
        <x:v>primary measurement case</x:v>
      </x:c>
      <x:c r="G7" s="32" t="str">
        <x:v>Estimator residual remains real-valued; do not truncate, clip or project at zero.</x:v>
      </x:c>
    </x:row>
    <x:row r="8" ht="58" customHeight="1">
      <x:c r="A8" s="21" t="str">
        <x:v>L1_GAUSS_SHARED</x:v>
      </x:c>
      <x:c r="B8" s="33" t="str">
        <x:v>rank-reduced multivariate Gaussian</x:v>
      </x:c>
      <x:c r="C8" s="33" t="str">
        <x:v>Pass 51 R1 moderate shared-place completion</x:v>
      </x:c>
      <x:c r="D8" s="33" t="str">
        <x:v>n.a.</x:v>
      </x:c>
      <x:c r="E8" s="38" t="n">
        <x:v>1</x:v>
      </x:c>
      <x:c r="F8" s="33" t="str">
        <x:v>cross-table covariance sensitivity</x:v>
      </x:c>
      <x:c r="G8" s="33" t="str">
        <x:v>Estimator residual remains real-valued; do not truncate, clip or project at zero.</x:v>
      </x:c>
    </x:row>
    <x:row r="9" ht="58" customHeight="1">
      <x:c r="A9" s="21" t="str">
        <x:v>L2_GAUSS_CONCORDANT</x:v>
      </x:c>
      <x:c r="B9" s="33" t="str">
        <x:v>rank-reduced multivariate Gaussian</x:v>
      </x:c>
      <x:c r="C9" s="33" t="str">
        <x:v>Pass 51 R2 strong concordant-domain completion</x:v>
      </x:c>
      <x:c r="D9" s="33" t="str">
        <x:v>n.a.</x:v>
      </x:c>
      <x:c r="E9" s="38" t="n">
        <x:v>1</x:v>
      </x:c>
      <x:c r="F9" s="33" t="str">
        <x:v>cross-table covariance sensitivity</x:v>
      </x:c>
      <x:c r="G9" s="33" t="str">
        <x:v>Estimator residual remains real-valued; do not truncate, clip or project at zero.</x:v>
      </x:c>
    </x:row>
    <x:row r="10" ht="58" customHeight="1">
      <x:c r="A10" s="22" t="str">
        <x:v>L3_T7_ZERO</x:v>
      </x:c>
      <x:c r="B10" s="34" t="str">
        <x:v>rank-reduced multivariate Student t</x:v>
      </x:c>
      <x:c r="C10" s="34" t="str">
        <x:v>Pass 51 R0 completion</x:v>
      </x:c>
      <x:c r="D10" s="34" t="str">
        <x:v>degrees of freedom = 7</x:v>
      </x:c>
      <x:c r="E10" s="39" t="n">
        <x:v>0.7142857142857143</x:v>
      </x:c>
      <x:c r="F10" s="34" t="str">
        <x:v>heavy-tail boundary sensitivity</x:v>
      </x:c>
      <x:c r="G10" s="34" t="str">
        <x:v>Use scale (ν-2)/ν times V so covariance remains V; estimator residual remains untruncated.</x:v>
      </x:c>
    </x:row>
    <x:row r="11">
      <x:c r="A11" s="29"/>
      <x:c r="B11" s="29"/>
      <x:c r="C11" s="29"/>
      <x:c r="D11" s="29"/>
      <x:c r="E11" s="29"/>
      <x:c r="F11" s="29"/>
      <x:c r="G11" s="29"/>
    </x:row>
    <x:row r="12">
      <x:c r="A12" s="29"/>
      <x:c r="B12" s="29"/>
      <x:c r="C12" s="29"/>
      <x:c r="D12" s="29"/>
      <x:c r="E12" s="29"/>
      <x:c r="F12" s="29"/>
      <x:c r="G12" s="29"/>
    </x:row>
    <x:row r="13">
      <x:c r="A13" s="6" t="str">
        <x:v>Rank-reduced evaluation</x:v>
      </x:c>
      <x:c r="B13" s="7"/>
      <x:c r="C13" s="7"/>
      <x:c r="D13" s="7"/>
      <x:c r="E13" s="7"/>
      <x:c r="F13" s="7"/>
      <x:c r="G13" s="8"/>
    </x:row>
    <x:row r="14">
      <x:c r="A14" s="41" t="str">
        <x:v>Each likelihood evaluates Qᵀ(ŷ-Ax) in 33 independent row-space coordinates. This prevents six exact identities from being counted twice and requires a positive-definite reduced covariance before any chain begins.</x:v>
      </x:c>
      <x:c r="B14" s="41"/>
      <x:c r="C14" s="41"/>
      <x:c r="D14" s="41"/>
      <x:c r="E14" s="41"/>
      <x:c r="F14" s="41"/>
      <x:c r="G14" s="41"/>
    </x:row>
    <x:row r="15">
      <x:c r="A15" s="41"/>
      <x:c r="B15" s="41"/>
      <x:c r="C15" s="41"/>
      <x:c r="D15" s="41"/>
      <x:c r="E15" s="41"/>
      <x:c r="F15" s="41"/>
      <x:c r="G15" s="41"/>
    </x:row>
    <x:row r="16">
      <x:c r="A16" s="41"/>
      <x:c r="B16" s="41"/>
      <x:c r="C16" s="41"/>
      <x:c r="D16" s="41"/>
      <x:c r="E16" s="41"/>
      <x:c r="F16" s="41"/>
      <x:c r="G16" s="41"/>
    </x:row>
    <x:row r="17">
      <x:c r="A17" s="41"/>
      <x:c r="B17" s="41"/>
      <x:c r="C17" s="41"/>
      <x:c r="D17" s="41"/>
      <x:c r="E17" s="41"/>
      <x:c r="F17" s="41"/>
      <x:c r="G17" s="41"/>
    </x:row>
  </x:sheetData>
  <x:mergeCells>
    <x:mergeCell ref="A14:G1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2" hidden="0" customWidth="1"/>
    <x:col min="3" max="3" width="74" hidden="0" customWidth="1"/>
    <x:col min="4" max="4" width="62" hidden="0" customWidth="1"/>
    <x:col min="5" max="5" width="58" hidden="0" customWidth="1"/>
    <x:col min="6" max="6" width="86" hidden="0" customWidth="1"/>
    <x:col min="7" max="7" width="50" hidden="0" customWidth="1"/>
  </x:cols>
  <x:sheetData>
    <x:row r="1">
      <x:c r="A1" s="1" t="str">
        <x:v>Priors</x:v>
      </x:c>
      <x:c r="B1" s="29"/>
      <x:c r="C1" s="29"/>
      <x:c r="D1" s="29"/>
      <x:c r="E1" s="29"/>
      <x:c r="F1" s="29"/>
      <x:c r="G1" s="29"/>
    </x:row>
    <x:row r="2">
      <x:c r="A2" s="2" t="str">
        <x:v>Three state-reference cases expose rather than conceal unidentified dependence</x:v>
      </x:c>
      <x:c r="B2" s="29"/>
      <x:c r="C2" s="29"/>
      <x:c r="D2" s="29"/>
      <x:c r="E2" s="29"/>
      <x:c r="F2" s="29"/>
      <x:c r="G2" s="29"/>
    </x:row>
    <x:row r="3">
      <x:c r="A3" s="29"/>
      <x:c r="B3" s="29"/>
      <x:c r="C3" s="29"/>
      <x:c r="D3" s="29"/>
      <x:c r="E3" s="29"/>
      <x:c r="F3" s="29"/>
      <x:c r="G3" s="29"/>
    </x:row>
    <x:row r="4">
      <x:c r="A4" s="30"/>
      <x:c r="B4" s="30"/>
      <x:c r="C4" s="30"/>
      <x:c r="D4" s="30"/>
      <x:c r="E4" s="30"/>
      <x:c r="F4" s="30"/>
      <x:c r="G4" s="30"/>
      <x:c r="H4" s="3"/>
      <x:c r="I4" s="3"/>
    </x:row>
    <x:row r="5">
      <x:c r="A5" s="29"/>
      <x:c r="B5" s="29"/>
      <x:c r="C5" s="29"/>
      <x:c r="D5" s="29"/>
      <x:c r="E5" s="29"/>
      <x:c r="F5" s="29"/>
      <x:c r="G5" s="29"/>
    </x:row>
    <x:row r="6" ht="34" customHeight="1">
      <x:c r="A6" s="17" t="str">
        <x:v>Prior ID</x:v>
      </x:c>
      <x:c r="B6" s="17" t="str">
        <x:v>Family</x:v>
      </x:c>
      <x:c r="C6" s="17" t="str">
        <x:v>Cell weights</x:v>
      </x:c>
      <x:c r="D6" s="17" t="str">
        <x:v>Ledger-total prior</x:v>
      </x:c>
      <x:c r="E6" s="17" t="str">
        <x:v>External evidence</x:v>
      </x:c>
      <x:c r="F6" s="17" t="str">
        <x:v>Association rule</x:v>
      </x:c>
      <x:c r="G6" s="17" t="str">
        <x:v>Role</x:v>
      </x:c>
    </x:row>
    <x:row r="7" ht="84" customHeight="1">
      <x:c r="A7" s="20" t="str">
        <x:v>P0_WEAK_BRANCH</x:v>
      </x:c>
      <x:c r="B7" s="32" t="str">
        <x:v>branch-balanced multinomial reference</x:v>
      </x:c>
      <x:c r="C7" s="32" t="str">
        <x:v>equal probability at each lawful categorical branch, preventing categories with more encoded subcells from gaining mass by enumeration alone</x:v>
      </x:c>
      <x:c r="D7" s="32" t="str">
        <x:v>improper flat prior on each nonnegative ledger total; posterior propriety must be proved from observed total rows</x:v>
      </x:c>
      <x:c r="E7" s="32" t="str">
        <x:v>none beyond semantic support</x:v>
      </x:c>
      <x:c r="F7" s="32" t="str">
        <x:v>all optional loglinear association coefficients fixed at zero</x:v>
      </x:c>
      <x:c r="G7" s="32" t="str">
        <x:v>weak-information sensitivity</x:v>
      </x:c>
    </x:row>
    <x:row r="8" ht="84" customHeight="1">
      <x:c r="A8" s="21" t="str">
        <x:v>P1_PUMS_POOL</x:v>
      </x:c>
      <x:c r="B8" s="33" t="str">
        <x:v>hierarchical PUMS-informed multinomial reference</x:v>
      </x:c>
      <x:c r="C8" s="33" t="str">
        <x:v>local to touching-PUMA to citywide partial pooling with 1e-8 probability floor</x:v>
      </x:c>
      <x:c r="D8" s="33" t="str">
        <x:v>same flat ledger-total prior as P0</x:v>
      </x:c>
      <x:c r="E8" s="33" t="str">
        <x:v>Pass 48 donor classes; PUMA selects support and never asserts tract residence</x:v>
      </x:c>
      <x:c r="F8" s="33" t="str">
        <x:v>smoothing concentration selected only by leave-one-PUMA-out log loss over grid {1,4,16,64,256}; freeze result before posterior sampling</x:v>
      </x:c>
      <x:c r="G8" s="33" t="str">
        <x:v>empirical-reference sensitivity</x:v>
      </x:c>
    </x:row>
    <x:row r="9" ht="84" customHeight="1">
      <x:c r="A9" s="22" t="str">
        <x:v>P2_ADVERSE_TILT</x:v>
      </x:c>
      <x:c r="B9" s="34" t="str">
        <x:v>bounded exponential tilt of P1</x:v>
      </x:c>
      <x:c r="C9" s="34" t="str">
        <x:v>P1 weights multiplied by exp(log(4) times H(x))</x:v>
      </x:c>
      <x:c r="D9" s="34" t="str">
        <x:v>same flat ledger-total prior as P0</x:v>
      </x:c>
      <x:c r="E9" s="34" t="str">
        <x:v>Pass 53 fixed feasible bounds for eight operational joints</x:v>
      </x:c>
      <x:c r="F9" s="34" t="str">
        <x:v>H is the equal-weight mean of eight quantities normalized to their Pass 53 feasible ranges; maximum prior odds tilt is 4:1</x:v>
      </x:c>
      <x:c r="G9" s="34" t="str">
        <x:v>adverse operational-dependence sensitivity, not a belief distribution</x:v>
      </x:c>
    </x:row>
    <x:row r="10">
      <x:c r="A10" s="29"/>
      <x:c r="B10" s="29"/>
      <x:c r="C10" s="29"/>
      <x:c r="D10" s="29"/>
      <x:c r="E10" s="29"/>
      <x:c r="F10" s="29"/>
      <x:c r="G10" s="29"/>
    </x:row>
    <x:row r="11">
      <x:c r="A11" s="29"/>
      <x:c r="B11" s="29"/>
      <x:c r="C11" s="29"/>
      <x:c r="D11" s="29"/>
      <x:c r="E11" s="29"/>
      <x:c r="F11" s="29"/>
      <x:c r="G11" s="29"/>
    </x:row>
    <x:row r="12">
      <x:c r="A12" s="6" t="str">
        <x:v>Interpretation rule</x:v>
      </x:c>
      <x:c r="B12" s="7"/>
      <x:c r="C12" s="7"/>
      <x:c r="D12" s="7"/>
      <x:c r="E12" s="7"/>
      <x:c r="F12" s="7"/>
      <x:c r="G12" s="8"/>
    </x:row>
    <x:row r="13">
      <x:c r="A13" s="31" t="str">
        <x:v>P0, P1 and P2 are separate assumptions. P1 uses PUMS only as tier-labeled association evidence. P2 is a bounded stress tilt, not a probability forecast. A later architecture result must remain identified across cases or be reported as prior-dominant.</x:v>
      </x:c>
      <x:c r="B13" s="31"/>
      <x:c r="C13" s="31"/>
      <x:c r="D13" s="31"/>
      <x:c r="E13" s="31"/>
      <x:c r="F13" s="31"/>
      <x:c r="G13" s="31"/>
    </x:row>
    <x:row r="14">
      <x:c r="A14" s="31"/>
      <x:c r="B14" s="31"/>
      <x:c r="C14" s="31"/>
      <x:c r="D14" s="31"/>
      <x:c r="E14" s="31"/>
      <x:c r="F14" s="31"/>
      <x:c r="G14" s="31"/>
    </x:row>
    <x:row r="15">
      <x:c r="A15" s="31"/>
      <x:c r="B15" s="31"/>
      <x:c r="C15" s="31"/>
      <x:c r="D15" s="31"/>
      <x:c r="E15" s="31"/>
      <x:c r="F15" s="31"/>
      <x:c r="G15" s="31"/>
    </x:row>
    <x:row r="16">
      <x:c r="A16" s="31"/>
      <x:c r="B16" s="31"/>
      <x:c r="C16" s="31"/>
      <x:c r="D16" s="31"/>
      <x:c r="E16" s="31"/>
      <x:c r="F16" s="31"/>
      <x:c r="G16" s="31"/>
    </x:row>
  </x:sheetData>
  <x:mergeCells>
    <x:mergeCell ref="A13:G1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58" hidden="0" customWidth="1"/>
    <x:col min="2" max="2" width="34" hidden="0" customWidth="1"/>
    <x:col min="3" max="3" width="34" hidden="0" customWidth="1"/>
    <x:col min="4" max="4" width="16" hidden="0" customWidth="1"/>
    <x:col min="5" max="5" width="22" hidden="0" customWidth="1"/>
    <x:col min="6" max="6" width="24" hidden="0" customWidth="1"/>
    <x:col min="7" max="7" width="20" hidden="0" customWidth="1"/>
    <x:col min="8" max="8" width="22" hidden="0" customWidth="1"/>
  </x:cols>
  <x:sheetData>
    <x:row r="1">
      <x:c r="A1" s="1" t="str">
        <x:v>Case Matrix</x:v>
      </x:c>
      <x:c r="B1" s="29"/>
      <x:c r="C1" s="29"/>
      <x:c r="D1" s="29"/>
      <x:c r="E1" s="29"/>
      <x:c r="F1" s="29"/>
      <x:c r="G1" s="29"/>
      <x:c r="H1" s="29"/>
    </x:row>
    <x:row r="2">
      <x:c r="A2" s="2" t="str">
        <x:v>All likelihood-prior combinations remain separate through later donor and architecture analysis</x:v>
      </x:c>
      <x:c r="B2" s="29"/>
      <x:c r="C2" s="29"/>
      <x:c r="D2" s="29"/>
      <x:c r="E2" s="29"/>
      <x:c r="F2" s="29"/>
      <x:c r="G2" s="29"/>
      <x:c r="H2" s="29"/>
    </x:row>
    <x:row r="3">
      <x:c r="A3" s="29"/>
      <x:c r="B3" s="29"/>
      <x:c r="C3" s="29"/>
      <x:c r="D3" s="29"/>
      <x:c r="E3" s="29"/>
      <x:c r="F3" s="29"/>
      <x:c r="G3" s="29"/>
      <x:c r="H3" s="29"/>
    </x:row>
    <x:row r="4">
      <x:c r="A4" s="30"/>
      <x:c r="B4" s="30"/>
      <x:c r="C4" s="30"/>
      <x:c r="D4" s="30"/>
      <x:c r="E4" s="30"/>
      <x:c r="F4" s="30"/>
      <x:c r="G4" s="30"/>
      <x:c r="H4" s="30"/>
      <x:c r="I4" s="3"/>
    </x:row>
    <x:row r="5">
      <x:c r="A5" s="29"/>
      <x:c r="B5" s="29"/>
      <x:c r="C5" s="29"/>
      <x:c r="D5" s="29"/>
      <x:c r="E5" s="29"/>
      <x:c r="F5" s="29"/>
      <x:c r="G5" s="29"/>
      <x:c r="H5" s="29"/>
    </x:row>
    <x:row r="6" ht="34" customHeight="1">
      <x:c r="A6" s="17" t="str">
        <x:v>Case ID</x:v>
      </x:c>
      <x:c r="B6" s="17" t="str">
        <x:v>Likelihood</x:v>
      </x:c>
      <x:c r="C6" s="17" t="str">
        <x:v>Prior</x:v>
      </x:c>
      <x:c r="D6" s="17" t="str">
        <x:v>Catchments</x:v>
      </x:c>
      <x:c r="E6" s="17" t="str">
        <x:v>Chains per catchment</x:v>
      </x:c>
      <x:c r="F6" s="17" t="str">
        <x:v>Retained per catchment</x:v>
      </x:c>
      <x:c r="G6" s="17" t="str">
        <x:v>Total retained</x:v>
      </x:c>
      <x:c r="H6" s="17" t="str">
        <x:v>Architecture status</x:v>
      </x:c>
    </x:row>
    <x:row r="7">
      <x:c r="A7" s="20" t="str">
        <x:v>L0_GAUSS_ZERO__P0_WEAK_BRANCH</x:v>
      </x:c>
      <x:c r="B7" s="20" t="str">
        <x:v>L0_GAUSS_ZERO</x:v>
      </x:c>
      <x:c r="C7" s="20" t="str">
        <x:v>P0_WEAK_BRANCH</x:v>
      </x:c>
      <x:c r="D7" s="23" t="n">
        <x:v>12</x:v>
      </x:c>
      <x:c r="E7" s="23" t="n">
        <x:v>8</x:v>
      </x:c>
      <x:c r="F7" s="23" t="n">
        <x:v>1000</x:v>
      </x:c>
      <x:c r="G7" s="23" t="n">
        <x:v>12000</x:v>
      </x:c>
      <x:c r="H7" s="20" t="str">
        <x:v>SEALED</x:v>
      </x:c>
    </x:row>
    <x:row r="8">
      <x:c r="A8" s="21" t="str">
        <x:v>L0_GAUSS_ZERO__P1_PUMS_POOL</x:v>
      </x:c>
      <x:c r="B8" s="21" t="str">
        <x:v>L0_GAUSS_ZERO</x:v>
      </x:c>
      <x:c r="C8" s="21" t="str">
        <x:v>P1_PUMS_POOL</x:v>
      </x:c>
      <x:c r="D8" s="24" t="n">
        <x:v>12</x:v>
      </x:c>
      <x:c r="E8" s="24" t="n">
        <x:v>8</x:v>
      </x:c>
      <x:c r="F8" s="24" t="n">
        <x:v>1000</x:v>
      </x:c>
      <x:c r="G8" s="24" t="n">
        <x:v>12000</x:v>
      </x:c>
      <x:c r="H8" s="21" t="str">
        <x:v>SEALED</x:v>
      </x:c>
    </x:row>
    <x:row r="9">
      <x:c r="A9" s="21" t="str">
        <x:v>L0_GAUSS_ZERO__P2_ADVERSE_TILT</x:v>
      </x:c>
      <x:c r="B9" s="21" t="str">
        <x:v>L0_GAUSS_ZERO</x:v>
      </x:c>
      <x:c r="C9" s="21" t="str">
        <x:v>P2_ADVERSE_TILT</x:v>
      </x:c>
      <x:c r="D9" s="24" t="n">
        <x:v>12</x:v>
      </x:c>
      <x:c r="E9" s="24" t="n">
        <x:v>8</x:v>
      </x:c>
      <x:c r="F9" s="24" t="n">
        <x:v>1000</x:v>
      </x:c>
      <x:c r="G9" s="24" t="n">
        <x:v>12000</x:v>
      </x:c>
      <x:c r="H9" s="21" t="str">
        <x:v>SEALED</x:v>
      </x:c>
    </x:row>
    <x:row r="10">
      <x:c r="A10" s="21" t="str">
        <x:v>L1_GAUSS_SHARED__P0_WEAK_BRANCH</x:v>
      </x:c>
      <x:c r="B10" s="21" t="str">
        <x:v>L1_GAUSS_SHARED</x:v>
      </x:c>
      <x:c r="C10" s="21" t="str">
        <x:v>P0_WEAK_BRANCH</x:v>
      </x:c>
      <x:c r="D10" s="24" t="n">
        <x:v>12</x:v>
      </x:c>
      <x:c r="E10" s="24" t="n">
        <x:v>8</x:v>
      </x:c>
      <x:c r="F10" s="24" t="n">
        <x:v>1000</x:v>
      </x:c>
      <x:c r="G10" s="24" t="n">
        <x:v>12000</x:v>
      </x:c>
      <x:c r="H10" s="21" t="str">
        <x:v>SEALED</x:v>
      </x:c>
    </x:row>
    <x:row r="11">
      <x:c r="A11" s="21" t="str">
        <x:v>L1_GAUSS_SHARED__P1_PUMS_POOL</x:v>
      </x:c>
      <x:c r="B11" s="21" t="str">
        <x:v>L1_GAUSS_SHARED</x:v>
      </x:c>
      <x:c r="C11" s="21" t="str">
        <x:v>P1_PUMS_POOL</x:v>
      </x:c>
      <x:c r="D11" s="24" t="n">
        <x:v>12</x:v>
      </x:c>
      <x:c r="E11" s="24" t="n">
        <x:v>8</x:v>
      </x:c>
      <x:c r="F11" s="24" t="n">
        <x:v>1000</x:v>
      </x:c>
      <x:c r="G11" s="24" t="n">
        <x:v>12000</x:v>
      </x:c>
      <x:c r="H11" s="21" t="str">
        <x:v>SEALED</x:v>
      </x:c>
    </x:row>
    <x:row r="12">
      <x:c r="A12" s="21" t="str">
        <x:v>L1_GAUSS_SHARED__P2_ADVERSE_TILT</x:v>
      </x:c>
      <x:c r="B12" s="21" t="str">
        <x:v>L1_GAUSS_SHARED</x:v>
      </x:c>
      <x:c r="C12" s="21" t="str">
        <x:v>P2_ADVERSE_TILT</x:v>
      </x:c>
      <x:c r="D12" s="24" t="n">
        <x:v>12</x:v>
      </x:c>
      <x:c r="E12" s="24" t="n">
        <x:v>8</x:v>
      </x:c>
      <x:c r="F12" s="24" t="n">
        <x:v>1000</x:v>
      </x:c>
      <x:c r="G12" s="24" t="n">
        <x:v>12000</x:v>
      </x:c>
      <x:c r="H12" s="21" t="str">
        <x:v>SEALED</x:v>
      </x:c>
    </x:row>
    <x:row r="13">
      <x:c r="A13" s="21" t="str">
        <x:v>L2_GAUSS_CONCORDANT__P0_WEAK_BRANCH</x:v>
      </x:c>
      <x:c r="B13" s="21" t="str">
        <x:v>L2_GAUSS_CONCORDANT</x:v>
      </x:c>
      <x:c r="C13" s="21" t="str">
        <x:v>P0_WEAK_BRANCH</x:v>
      </x:c>
      <x:c r="D13" s="24" t="n">
        <x:v>12</x:v>
      </x:c>
      <x:c r="E13" s="24" t="n">
        <x:v>8</x:v>
      </x:c>
      <x:c r="F13" s="24" t="n">
        <x:v>1000</x:v>
      </x:c>
      <x:c r="G13" s="24" t="n">
        <x:v>12000</x:v>
      </x:c>
      <x:c r="H13" s="21" t="str">
        <x:v>SEALED</x:v>
      </x:c>
    </x:row>
    <x:row r="14">
      <x:c r="A14" s="21" t="str">
        <x:v>L2_GAUSS_CONCORDANT__P1_PUMS_POOL</x:v>
      </x:c>
      <x:c r="B14" s="21" t="str">
        <x:v>L2_GAUSS_CONCORDANT</x:v>
      </x:c>
      <x:c r="C14" s="21" t="str">
        <x:v>P1_PUMS_POOL</x:v>
      </x:c>
      <x:c r="D14" s="24" t="n">
        <x:v>12</x:v>
      </x:c>
      <x:c r="E14" s="24" t="n">
        <x:v>8</x:v>
      </x:c>
      <x:c r="F14" s="24" t="n">
        <x:v>1000</x:v>
      </x:c>
      <x:c r="G14" s="24" t="n">
        <x:v>12000</x:v>
      </x:c>
      <x:c r="H14" s="21" t="str">
        <x:v>SEALED</x:v>
      </x:c>
    </x:row>
    <x:row r="15">
      <x:c r="A15" s="21" t="str">
        <x:v>L2_GAUSS_CONCORDANT__P2_ADVERSE_TILT</x:v>
      </x:c>
      <x:c r="B15" s="21" t="str">
        <x:v>L2_GAUSS_CONCORDANT</x:v>
      </x:c>
      <x:c r="C15" s="21" t="str">
        <x:v>P2_ADVERSE_TILT</x:v>
      </x:c>
      <x:c r="D15" s="24" t="n">
        <x:v>12</x:v>
      </x:c>
      <x:c r="E15" s="24" t="n">
        <x:v>8</x:v>
      </x:c>
      <x:c r="F15" s="24" t="n">
        <x:v>1000</x:v>
      </x:c>
      <x:c r="G15" s="24" t="n">
        <x:v>12000</x:v>
      </x:c>
      <x:c r="H15" s="21" t="str">
        <x:v>SEALED</x:v>
      </x:c>
    </x:row>
    <x:row r="16">
      <x:c r="A16" s="21" t="str">
        <x:v>L3_T7_ZERO__P0_WEAK_BRANCH</x:v>
      </x:c>
      <x:c r="B16" s="21" t="str">
        <x:v>L3_T7_ZERO</x:v>
      </x:c>
      <x:c r="C16" s="21" t="str">
        <x:v>P0_WEAK_BRANCH</x:v>
      </x:c>
      <x:c r="D16" s="24" t="n">
        <x:v>12</x:v>
      </x:c>
      <x:c r="E16" s="24" t="n">
        <x:v>8</x:v>
      </x:c>
      <x:c r="F16" s="24" t="n">
        <x:v>1000</x:v>
      </x:c>
      <x:c r="G16" s="24" t="n">
        <x:v>12000</x:v>
      </x:c>
      <x:c r="H16" s="21" t="str">
        <x:v>SEALED</x:v>
      </x:c>
    </x:row>
    <x:row r="17">
      <x:c r="A17" s="21" t="str">
        <x:v>L3_T7_ZERO__P1_PUMS_POOL</x:v>
      </x:c>
      <x:c r="B17" s="21" t="str">
        <x:v>L3_T7_ZERO</x:v>
      </x:c>
      <x:c r="C17" s="21" t="str">
        <x:v>P1_PUMS_POOL</x:v>
      </x:c>
      <x:c r="D17" s="24" t="n">
        <x:v>12</x:v>
      </x:c>
      <x:c r="E17" s="24" t="n">
        <x:v>8</x:v>
      </x:c>
      <x:c r="F17" s="24" t="n">
        <x:v>1000</x:v>
      </x:c>
      <x:c r="G17" s="24" t="n">
        <x:v>12000</x:v>
      </x:c>
      <x:c r="H17" s="21" t="str">
        <x:v>SEALED</x:v>
      </x:c>
    </x:row>
    <x:row r="18">
      <x:c r="A18" s="22" t="str">
        <x:v>L3_T7_ZERO__P2_ADVERSE_TILT</x:v>
      </x:c>
      <x:c r="B18" s="22" t="str">
        <x:v>L3_T7_ZERO</x:v>
      </x:c>
      <x:c r="C18" s="22" t="str">
        <x:v>P2_ADVERSE_TILT</x:v>
      </x:c>
      <x:c r="D18" s="25" t="n">
        <x:v>12</x:v>
      </x:c>
      <x:c r="E18" s="25" t="n">
        <x:v>8</x:v>
      </x:c>
      <x:c r="F18" s="25" t="n">
        <x:v>1000</x:v>
      </x:c>
      <x:c r="G18" s="25" t="n">
        <x:v>12000</x:v>
      </x:c>
      <x:c r="H18" s="22" t="str">
        <x:v>SEALED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6" hidden="0" customWidth="1"/>
    <x:col min="3" max="3" width="116" hidden="0" customWidth="1"/>
  </x:cols>
  <x:sheetData>
    <x:row r="1">
      <x:c r="A1" s="1" t="str">
        <x:v>Posterior</x:v>
      </x:c>
      <x:c r="B1" s="29"/>
      <x:c r="C1" s="29"/>
    </x:row>
    <x:row r="2">
      <x:c r="A2" s="2" t="str">
        <x:v>Ordered construction of the registered target density</x:v>
      </x:c>
      <x:c r="B2" s="29"/>
      <x:c r="C2" s="29"/>
    </x:row>
    <x:row r="3">
      <x:c r="A3" s="29"/>
      <x:c r="B3" s="29"/>
      <x:c r="C3" s="29"/>
    </x:row>
    <x:row r="4">
      <x:c r="A4" s="30"/>
      <x:c r="B4" s="30"/>
      <x:c r="C4" s="30"/>
      <x:c r="D4" s="3"/>
      <x:c r="E4" s="3"/>
      <x:c r="F4" s="3"/>
      <x:c r="G4" s="3"/>
      <x:c r="H4" s="3"/>
      <x:c r="I4" s="3"/>
    </x:row>
    <x:row r="5">
      <x:c r="A5" s="29"/>
      <x:c r="B5" s="29"/>
      <x:c r="C5" s="29"/>
    </x:row>
    <x:row r="6" ht="34" customHeight="1">
      <x:c r="A6" s="17" t="str">
        <x:v>Stage</x:v>
      </x:c>
      <x:c r="B6" s="17" t="str">
        <x:v>Operation</x:v>
      </x:c>
      <x:c r="C6" s="17" t="str">
        <x:v>Registered rule</x:v>
      </x:c>
    </x:row>
    <x:row r="7" ht="48" customHeight="1">
      <x:c r="A7" s="20" t="n">
        <x:v>1</x:v>
      </x:c>
      <x:c r="B7" s="32" t="str">
        <x:v>Project estimator residual into independent row coordinates</x:v>
      </x:c>
      <x:c r="C7" s="32" t="str">
        <x:v>r_c(x) = Qᵀ(ŷ_c - A x_c); Q is fixed before sampling and spans rank(A)=33.</x:v>
      </x:c>
    </x:row>
    <x:row r="8" ht="48" customHeight="1">
      <x:c r="A8" s="21" t="n">
        <x:v>2</x:v>
      </x:c>
      <x:c r="B8" s="33" t="str">
        <x:v>Evaluate measurement likelihood</x:v>
      </x:c>
      <x:c r="C8" s="33" t="str">
        <x:v>Use the registered Gaussian or covariance-preserving t7 density on r_c(x); use no nonnegative truncation on estimator error.</x:v>
      </x:c>
    </x:row>
    <x:row r="9" ht="48" customHeight="1">
      <x:c r="A9" s="21" t="n">
        <x:v>3</x:v>
      </x:c>
      <x:c r="B9" s="33" t="str">
        <x:v>Evaluate state reference law</x:v>
      </x:c>
      <x:c r="C9" s="33" t="str">
        <x:v>Use exactly one frozen P0, P1 or P2 prior on lawful atomic states; the architecture cannot select or tune it.</x:v>
      </x:c>
    </x:row>
    <x:row r="10" ht="48" customHeight="1">
      <x:c r="A10" s="21" t="n">
        <x:v>4</x:v>
      </x:c>
      <x:c r="B10" s="33" t="str">
        <x:v>Apply semantic support</x:v>
      </x:c>
      <x:c r="C10" s="33" t="str">
        <x:v>Indicator is one only for nonnegative integer atoms, structural zeros and all cross-ledger bridges; illegal proposals receive probability zero.</x:v>
      </x:c>
    </x:row>
    <x:row r="11" ht="48" customHeight="1">
      <x:c r="A11" s="21" t="n">
        <x:v>5</x:v>
      </x:c>
      <x:c r="B11" s="33" t="str">
        <x:v>Normalize by sampling</x:v>
      </x:c>
      <x:c r="C11" s="33" t="str">
        <x:v>Target log density is log p(ŷ|Ax,V)+log p0(x)+log support indicator; no projection or repair enters the chain.</x:v>
      </x:c>
    </x:row>
    <x:row r="12" ht="48" customHeight="1">
      <x:c r="A12" s="22" t="n">
        <x:v>6</x:v>
      </x:c>
      <x:c r="B12" s="34" t="str">
        <x:v>Retain factorial sensitivity</x:v>
      </x:c>
      <x:c r="C12" s="34" t="str">
        <x:v>All 12 likelihood-prior combinations remain separate through donor fitting and later architecture analysis; no pooled preferred posterior is created.</x:v>
      </x:c>
    </x:row>
    <x:row r="13">
      <x:c r="A13" s="29"/>
      <x:c r="B13" s="29"/>
      <x:c r="C13" s="29"/>
    </x:row>
    <x:row r="14">
      <x:c r="A14" s="29"/>
      <x:c r="B14" s="29"/>
      <x:c r="C14" s="29"/>
    </x:row>
    <x:row r="15">
      <x:c r="A15" s="6" t="str">
        <x:v>No repair</x:v>
      </x:c>
      <x:c r="B15" s="7"/>
      <x:c r="C15" s="8"/>
    </x:row>
    <x:row r="16">
      <x:c r="A16" s="43" t="str">
        <x:v>Illegal proposals have posterior probability zero. No state is clipped, projected or repaired after sampling. This is the operational difference between v3C0 and the failed aggregate engines.</x:v>
      </x:c>
      <x:c r="B16" s="43"/>
      <x:c r="C16" s="43"/>
    </x:row>
    <x:row r="17">
      <x:c r="A17" s="43"/>
      <x:c r="B17" s="43"/>
      <x:c r="C17" s="43"/>
    </x:row>
    <x:row r="18">
      <x:c r="A18" s="43"/>
      <x:c r="B18" s="43"/>
      <x:c r="C18" s="43"/>
    </x:row>
    <x:row r="19">
      <x:c r="A19" s="43"/>
      <x:c r="B19" s="43"/>
      <x:c r="C19" s="43"/>
    </x:row>
  </x:sheetData>
  <x:mergeCells>
    <x:mergeCell ref="A16:C1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6" hidden="0" customWidth="1"/>
    <x:col min="2" max="2" width="92" hidden="0" customWidth="1"/>
    <x:col min="3" max="3" width="34" hidden="0" customWidth="1"/>
    <x:col min="4" max="4" width="86" hidden="0" customWidth="1"/>
  </x:cols>
  <x:sheetData>
    <x:row r="1">
      <x:c r="A1" s="1" t="str">
        <x:v>Sampler</x:v>
      </x:c>
      <x:c r="B1" s="29"/>
      <x:c r="C1" s="29"/>
      <x:c r="D1" s="29"/>
    </x:row>
    <x:row r="2">
      <x:c r="A2" s="2" t="str">
        <x:v>Fixed Markov-chain scale, adaptation boundary, retention order and seed grammar</x:v>
      </x:c>
      <x:c r="B2" s="29"/>
      <x:c r="C2" s="29"/>
      <x:c r="D2" s="29"/>
    </x:row>
    <x:row r="3">
      <x:c r="A3" s="29"/>
      <x:c r="B3" s="29"/>
      <x:c r="C3" s="29"/>
      <x:c r="D3" s="29"/>
    </x:row>
    <x:row r="4">
      <x:c r="A4" s="30"/>
      <x:c r="B4" s="30"/>
      <x:c r="C4" s="30"/>
      <x:c r="D4" s="30"/>
      <x:c r="E4" s="3"/>
      <x:c r="F4" s="3"/>
      <x:c r="G4" s="3"/>
      <x:c r="H4" s="3"/>
      <x:c r="I4" s="3"/>
    </x:row>
    <x:row r="5">
      <x:c r="A5" s="29"/>
      <x:c r="B5" s="29"/>
      <x:c r="C5" s="29"/>
      <x:c r="D5" s="29"/>
    </x:row>
    <x:row r="6" ht="34" customHeight="1">
      <x:c r="A6" s="17" t="str">
        <x:v>Setting</x:v>
      </x:c>
      <x:c r="B6" s="17" t="str">
        <x:v>Registered value</x:v>
      </x:c>
      <x:c r="C6" s="17" t="str">
        <x:v>Unit</x:v>
      </x:c>
      <x:c r="D6" s="17" t="str">
        <x:v>Reason</x:v>
      </x:c>
    </x:row>
    <x:row r="7" ht="42" customHeight="1">
      <x:c r="A7" s="20" t="str">
        <x:v>algorithm</x:v>
      </x:c>
      <x:c r="B7" s="32" t="str">
        <x:v>parallel Metropolis-within-Gibbs on integer atomic states</x:v>
      </x:c>
      <x:c r="C7" s="32" t="str">
        <x:v>method</x:v>
      </x:c>
      <x:c r="D7" s="32" t="str">
        <x:v>evaluates the exact registered target while keeping illegal proposals at zero probability</x:v>
      </x:c>
    </x:row>
    <x:row r="8" ht="42" customHeight="1">
      <x:c r="A8" s="21" t="str">
        <x:v>chains</x:v>
      </x:c>
      <x:c r="B8" s="33" t="n">
        <x:v>8</x:v>
      </x:c>
      <x:c r="C8" s="33" t="str">
        <x:v>chains per catchment-case</x:v>
      </x:c>
      <x:c r="D8" s="33" t="str">
        <x:v>supports dispersed initialization and rank-normalized split diagnostics</x:v>
      </x:c>
    </x:row>
    <x:row r="9" ht="42" customHeight="1">
      <x:c r="A9" s="21" t="str">
        <x:v>warmup</x:v>
      </x:c>
      <x:c r="B9" s="33" t="n">
        <x:v>10000</x:v>
      </x:c>
      <x:c r="C9" s="33" t="str">
        <x:v>iterations per chain</x:v>
      </x:c>
      <x:c r="D9" s="33" t="str">
        <x:v>proposal adaptation ends before retained sampling</x:v>
      </x:c>
    </x:row>
    <x:row r="10" ht="42" customHeight="1">
      <x:c r="A10" s="21" t="str">
        <x:v>production</x:v>
      </x:c>
      <x:c r="B10" s="33" t="n">
        <x:v>40000</x:v>
      </x:c>
      <x:c r="C10" s="33" t="str">
        <x:v>iterations per chain</x:v>
      </x:c>
      <x:c r="D10" s="33" t="str">
        <x:v>diagnostics use all post-warmup states</x:v>
      </x:c>
    </x:row>
    <x:row r="11" ht="42" customHeight="1">
      <x:c r="A11" s="21" t="str">
        <x:v>retained</x:v>
      </x:c>
      <x:c r="B11" s="33" t="n">
        <x:v>125</x:v>
      </x:c>
      <x:c r="C11" s="33" t="str">
        <x:v>states per chain</x:v>
      </x:c>
      <x:c r="D11" s="33" t="str">
        <x:v>eight chains yield the registered K=1,000 downstream ensemble</x:v>
      </x:c>
    </x:row>
    <x:row r="12" ht="42" customHeight="1">
      <x:c r="A12" s="21" t="str">
        <x:v>retention order</x:v>
      </x:c>
      <x:c r="B12" s="33" t="str">
        <x:v>choose 125 production indices per chain by SHA-256 order, then interleave chains by a case-specific rotation</x:v>
      </x:c>
      <x:c r="C12" s="33" t="str">
        <x:v>deterministic</x:v>
      </x:c>
      <x:c r="D12" s="33" t="str">
        <x:v>creates architecture-blind nested K prefixes with chain counts differing by at most one</x:v>
      </x:c>
    </x:row>
    <x:row r="13" ht="42" customHeight="1">
      <x:c r="A13" s="21" t="str">
        <x:v>K ladder</x:v>
      </x:c>
      <x:c r="B13" s="33" t="str">
        <x:v>125, 250, 500, 1,000</x:v>
      </x:c>
      <x:c r="C13" s="33" t="str">
        <x:v>states per catchment-case</x:v>
      </x:c>
      <x:c r="D13" s="33" t="str">
        <x:v>inherits the compiler convergence ceiling</x:v>
      </x:c>
    </x:row>
    <x:row r="14" ht="42" customHeight="1">
      <x:c r="A14" s="21" t="str">
        <x:v>seed</x:v>
      </x:c>
      <x:c r="B14" s="33" t="str">
        <x:v>SHA-256(DF-NYC-L0-PR54-ATOMIC-POSTERIOR-v3C0|case|catchment|chain)</x:v>
      </x:c>
      <x:c r="C14" s="33" t="str">
        <x:v>deterministic</x:v>
      </x:c>
      <x:c r="D14" s="33" t="str">
        <x:v>separates chains and permits exact operator reruns</x:v>
      </x:c>
    </x:row>
    <x:row r="15" ht="42" customHeight="1">
      <x:c r="A15" s="21" t="str">
        <x:v>adaptation boundary</x:v>
      </x:c>
      <x:c r="B15" s="33" t="n">
        <x:v>10000</x:v>
      </x:c>
      <x:c r="C15" s="33" t="str">
        <x:v>iteration</x:v>
      </x:c>
      <x:c r="D15" s="33" t="str">
        <x:v>proposal weights and scales freeze before production</x:v>
      </x:c>
    </x:row>
    <x:row r="16" ht="42" customHeight="1">
      <x:c r="A16" s="22" t="str">
        <x:v>architecture reads</x:v>
      </x:c>
      <x:c r="B16" s="34" t="n">
        <x:v>0</x:v>
      </x:c>
      <x:c r="C16" s="34" t="str">
        <x:v>rows</x:v>
      </x:c>
      <x:c r="D16" s="34" t="str">
        <x:v>outcomes remain cryptographically and procedurally inaccessible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56" hidden="0" customWidth="1"/>
    <x:col min="4" max="4" width="78" hidden="0" customWidth="1"/>
    <x:col min="5" max="5" width="62" hidden="0" customWidth="1"/>
  </x:cols>
  <x:sheetData>
    <x:row r="1">
      <x:c r="A1" s="1" t="str">
        <x:v>Moves</x:v>
      </x:c>
      <x:c r="B1" s="29"/>
      <x:c r="C1" s="29"/>
      <x:c r="D1" s="29"/>
      <x:c r="E1" s="29"/>
    </x:row>
    <x:row r="2">
      <x:c r="A2" s="2" t="str">
        <x:v>Registered proposal mixture must explore scale, composition, dependence and bridge facets</x:v>
      </x:c>
      <x:c r="B2" s="29"/>
      <x:c r="C2" s="29"/>
      <x:c r="D2" s="29"/>
      <x:c r="E2" s="29"/>
    </x:row>
    <x:row r="3">
      <x:c r="A3" s="29"/>
      <x:c r="B3" s="29"/>
      <x:c r="C3" s="29"/>
      <x:c r="D3" s="29"/>
      <x:c r="E3" s="29"/>
    </x:row>
    <x:row r="4">
      <x:c r="A4" s="30"/>
      <x:c r="B4" s="30"/>
      <x:c r="C4" s="30"/>
      <x:c r="D4" s="30"/>
      <x:c r="E4" s="30"/>
      <x:c r="F4" s="3"/>
      <x:c r="G4" s="3"/>
      <x:c r="H4" s="3"/>
      <x:c r="I4" s="3"/>
    </x:row>
    <x:row r="5">
      <x:c r="A5" s="29"/>
      <x:c r="B5" s="29"/>
      <x:c r="C5" s="29"/>
      <x:c r="D5" s="29"/>
      <x:c r="E5" s="29"/>
    </x:row>
    <x:row r="6" ht="34" customHeight="1">
      <x:c r="A6" s="17" t="str">
        <x:v>Move ID</x:v>
      </x:c>
      <x:c r="B6" s="17" t="str">
        <x:v>Weight</x:v>
      </x:c>
      <x:c r="C6" s="17" t="str">
        <x:v>Scope</x:v>
      </x:c>
      <x:c r="D6" s="17" t="str">
        <x:v>Invariant</x:v>
      </x:c>
      <x:c r="E6" s="17" t="str">
        <x:v>Purpose</x:v>
      </x:c>
    </x:row>
    <x:row r="7" ht="48" customHeight="1">
      <x:c r="A7" s="20" t="str">
        <x:v>M1_TOTAL_BIRTH_DEATH</x:v>
      </x:c>
      <x:c r="B7" s="44" t="n">
        <x:v>0.1</x:v>
      </x:c>
      <x:c r="C7" s="32" t="str">
        <x:v>one ledger total and one lawful atom</x:v>
      </x:c>
      <x:c r="D7" s="32" t="str">
        <x:v>integer state; Metropolis ratio includes asymmetric boundary proposal</x:v>
      </x:c>
      <x:c r="E7" s="32" t="str">
        <x:v>move true aggregate scale rather than condition on published totals</x:v>
      </x:c>
    </x:row>
    <x:row r="8" ht="48" customHeight="1">
      <x:c r="A8" s="21" t="str">
        <x:v>M2_PERSON_REALLOCATION</x:v>
      </x:c>
      <x:c r="B8" s="45" t="n">
        <x:v>0.25</x:v>
      </x:c>
      <x:c r="C8" s="33" t="str">
        <x:v>two person atoms</x:v>
      </x:c>
      <x:c r="D8" s="33" t="str">
        <x:v>person total fixed; age and difficulty aggregates may change</x:v>
      </x:c>
      <x:c r="E8" s="33" t="str">
        <x:v>explore person composition</x:v>
      </x:c>
    </x:row>
    <x:row r="9" ht="48" customHeight="1">
      <x:c r="A9" s="21" t="str">
        <x:v>M3_HOUSEHOLD_REALLOCATION</x:v>
      </x:c>
      <x:c r="B9" s="45" t="n">
        <x:v>0.25</x:v>
      </x:c>
      <x:c r="C9" s="33" t="str">
        <x:v>two occupied household atoms</x:v>
      </x:c>
      <x:c r="D9" s="33" t="str">
        <x:v>occupied total fixed; household and structure aggregates may change</x:v>
      </x:c>
      <x:c r="E9" s="33" t="str">
        <x:v>explore household composition</x:v>
      </x:c>
    </x:row>
    <x:row r="10" ht="48" customHeight="1">
      <x:c r="A10" s="21" t="str">
        <x:v>M4_INTERACTION_CYCLE</x:v>
      </x:c>
      <x:c r="B10" s="45" t="n">
        <x:v>0.2</x:v>
      </x:c>
      <x:c r="C10" s="33" t="str">
        <x:v>2x2 categorical square</x:v>
      </x:c>
      <x:c r="D10" s="33" t="str">
        <x:v>selected one-way margins fixed</x:v>
      </x:c>
      <x:c r="E10" s="33" t="str">
        <x:v>change unidentified dependence without changing scale</x:v>
      </x:c>
    </x:row>
    <x:row r="11" ht="48" customHeight="1">
      <x:c r="A11" s="21" t="str">
        <x:v>M5_INTEGER_KERNEL</x:v>
      </x:c>
      <x:c r="B11" s="45" t="n">
        <x:v>0.1</x:v>
      </x:c>
      <x:c r="C11" s="33" t="str">
        <x:v>precomputed short integer circuit in null(A)</x:v>
      </x:c>
      <x:c r="D11" s="33" t="str">
        <x:v>all 39 aggregates fixed</x:v>
      </x:c>
      <x:c r="E11" s="33" t="str">
        <x:v>explore the likelihood-flat fiber</x:v>
      </x:c>
    </x:row>
    <x:row r="12" ht="48" customHeight="1">
      <x:c r="A12" s="22" t="str">
        <x:v>M6_BRIDGE_RELIEF</x:v>
      </x:c>
      <x:c r="B12" s="46" t="n">
        <x:v>0.1</x:v>
      </x:c>
      <x:c r="C12" s="34" t="str">
        <x:v>paired person and household reallocations</x:v>
      </x:c>
      <x:c r="D12" s="34" t="str">
        <x:v>bridge feasibility maintained</x:v>
      </x:c>
      <x:c r="E12" s="34" t="str">
        <x:v>move near cross-ledger capacity facets</x:v>
      </x:c>
    </x:row>
    <x:row r="13">
      <x:c r="A13" s="29"/>
      <x:c r="B13" s="29"/>
      <x:c r="C13" s="29"/>
      <x:c r="D13" s="29"/>
      <x:c r="E13" s="29"/>
    </x:row>
    <x:row r="14">
      <x:c r="A14" s="29"/>
      <x:c r="B14" s="29"/>
      <x:c r="C14" s="29"/>
      <x:c r="D14" s="29"/>
      <x:c r="E14" s="29"/>
    </x:row>
    <x:row r="15">
      <x:c r="A15" s="6" t="str">
        <x:v>Connectivity requirement</x:v>
      </x:c>
      <x:c r="B15" s="7"/>
      <x:c r="C15" s="7"/>
      <x:c r="D15" s="7"/>
      <x:c r="E15" s="8"/>
    </x:row>
    <x:row r="16">
      <x:c r="A16" s="31" t="str">
        <x:v>A move list does not prove irreducibility. Exact-fiber connectivity must be demonstrated on reduced enumerated problems, and dispersed chains must mix across aggregate-changing and aggregate-neutral directions before admission.</x:v>
      </x:c>
      <x:c r="B16" s="31"/>
      <x:c r="C16" s="31"/>
      <x:c r="D16" s="31"/>
      <x:c r="E16" s="31"/>
    </x:row>
    <x:row r="17">
      <x:c r="A17" s="31"/>
      <x:c r="B17" s="31"/>
      <x:c r="C17" s="31"/>
      <x:c r="D17" s="31"/>
      <x:c r="E17" s="31"/>
    </x:row>
    <x:row r="18">
      <x:c r="A18" s="31"/>
      <x:c r="B18" s="31"/>
      <x:c r="C18" s="31"/>
      <x:c r="D18" s="31"/>
      <x:c r="E18" s="31"/>
    </x:row>
    <x:row r="19">
      <x:c r="A19" s="31"/>
      <x:c r="B19" s="31"/>
      <x:c r="C19" s="31"/>
      <x:c r="D19" s="31"/>
      <x:c r="E19" s="31"/>
    </x:row>
  </x:sheetData>
  <x:mergeCells>
    <x:mergeCell ref="A16:E19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54" hidden="0" customWidth="1"/>
    <x:col min="2" max="2" width="20" hidden="0" customWidth="1"/>
    <x:col min="3" max="3" width="20" hidden="0" customWidth="1"/>
    <x:col min="4" max="4" width="24" hidden="0" customWidth="1"/>
    <x:col min="5" max="5" width="24" hidden="0" customWidth="1"/>
    <x:col min="6" max="6" width="26" hidden="0" customWidth="1"/>
    <x:col min="7" max="7" width="92" hidden="0" customWidth="1"/>
  </x:cols>
  <x:sheetData>
    <x:row r="1">
      <x:c r="A1" s="1" t="str">
        <x:v>Estimands</x:v>
      </x:c>
      <x:c r="B1" s="29"/>
      <x:c r="C1" s="29"/>
      <x:c r="D1" s="29"/>
      <x:c r="E1" s="29"/>
      <x:c r="F1" s="29"/>
      <x:c r="G1" s="29"/>
    </x:row>
    <x:row r="2">
      <x:c r="A2" s="2" t="str">
        <x:v>Operationally consequential quantities remain bounded by the Pass 53 feasible surface</x:v>
      </x:c>
      <x:c r="B2" s="29"/>
      <x:c r="C2" s="29"/>
      <x:c r="D2" s="29"/>
      <x:c r="E2" s="29"/>
      <x:c r="F2" s="29"/>
      <x:c r="G2" s="29"/>
    </x:row>
    <x:row r="3">
      <x:c r="A3" s="29"/>
      <x:c r="B3" s="29"/>
      <x:c r="C3" s="29"/>
      <x:c r="D3" s="29"/>
      <x:c r="E3" s="29"/>
      <x:c r="F3" s="29"/>
      <x:c r="G3" s="29"/>
    </x:row>
    <x:row r="4">
      <x:c r="A4" s="30"/>
      <x:c r="B4" s="30"/>
      <x:c r="C4" s="30"/>
      <x:c r="D4" s="30"/>
      <x:c r="E4" s="30"/>
      <x:c r="F4" s="30"/>
      <x:c r="G4" s="30"/>
      <x:c r="H4" s="3"/>
      <x:c r="I4" s="3"/>
    </x:row>
    <x:row r="5">
      <x:c r="A5" s="29"/>
      <x:c r="B5" s="29"/>
      <x:c r="C5" s="29"/>
      <x:c r="D5" s="29"/>
      <x:c r="E5" s="29"/>
      <x:c r="F5" s="29"/>
      <x:c r="G5" s="29"/>
    </x:row>
    <x:row r="6" ht="34" customHeight="1">
      <x:c r="A6" s="17" t="str">
        <x:v>Estimand</x:v>
      </x:c>
      <x:c r="B6" s="17" t="str">
        <x:v>Lowest minimum</x:v>
      </x:c>
      <x:c r="C6" s="17" t="str">
        <x:v>Highest maximum</x:v>
      </x:c>
      <x:c r="D6" s="17" t="str">
        <x:v>Median feasible width</x:v>
      </x:c>
      <x:c r="E6" s="17" t="str">
        <x:v>Maximum feasible width</x:v>
      </x:c>
      <x:c r="F6" s="17" t="str">
        <x:v>Point-identified catchments</x:v>
      </x:c>
      <x:c r="G6" s="17" t="str">
        <x:v>Required posterior reporting</x:v>
      </x:c>
    </x:row>
    <x:row r="7">
      <x:c r="A7" s="20" t="str">
        <x:v>persons_age_0_4</x:v>
      </x:c>
      <x:c r="B7" s="47" t="n">
        <x:v>964</x:v>
      </x:c>
      <x:c r="C7" s="47" t="n">
        <x:v>2621</x:v>
      </x:c>
      <x:c r="D7" s="47" t="n">
        <x:v>0</x:v>
      </x:c>
      <x:c r="E7" s="47" t="n">
        <x:v>0</x:v>
      </x:c>
      <x:c r="F7" s="47" t="n">
        <x:v>12</x:v>
      </x:c>
      <x:c r="G7" s="32" t="str">
        <x:v>median, 50/80/90/95% intervals, prior-to-posterior shift, normalized case range</x:v>
      </x:c>
    </x:row>
    <x:row r="8">
      <x:c r="A8" s="21" t="str">
        <x:v>group_quarters_under_18</x:v>
      </x:c>
      <x:c r="B8" s="48" t="n">
        <x:v>0</x:v>
      </x:c>
      <x:c r="C8" s="48" t="n">
        <x:v>1686</x:v>
      </x:c>
      <x:c r="D8" s="48" t="n">
        <x:v>501</x:v>
      </x:c>
      <x:c r="E8" s="48" t="n">
        <x:v>1686</x:v>
      </x:c>
      <x:c r="F8" s="48" t="n">
        <x:v>0</x:v>
      </x:c>
      <x:c r="G8" s="33" t="str">
        <x:v>median, 50/80/90/95% intervals, prior-to-posterior shift, normalized case range</x:v>
      </x:c>
    </x:row>
    <x:row r="9">
      <x:c r="A9" s="21" t="str">
        <x:v>disabled_age_0_4</x:v>
      </x:c>
      <x:c r="B9" s="48" t="n">
        <x:v>0</x:v>
      </x:c>
      <x:c r="C9" s="48" t="n">
        <x:v>1281</x:v>
      </x:c>
      <x:c r="D9" s="48" t="n">
        <x:v>343.5</x:v>
      </x:c>
      <x:c r="E9" s="48" t="n">
        <x:v>1281</x:v>
      </x:c>
      <x:c r="F9" s="48" t="n">
        <x:v>0</x:v>
      </x:c>
      <x:c r="G9" s="33" t="str">
        <x:v>median, 50/80/90/95% intervals, prior-to-posterior shift, normalized case range</x:v>
      </x:c>
    </x:row>
    <x:row r="10">
      <x:c r="A10" s="21" t="str">
        <x:v>civilian_noninstitutionalized_group_quarters</x:v>
      </x:c>
      <x:c r="B10" s="48" t="n">
        <x:v>0</x:v>
      </x:c>
      <x:c r="C10" s="48" t="n">
        <x:v>1686.0000000000002</x:v>
      </x:c>
      <x:c r="D10" s="48" t="n">
        <x:v>64</x:v>
      </x:c>
      <x:c r="E10" s="48" t="n">
        <x:v>810.0000000000002</x:v>
      </x:c>
      <x:c r="F10" s="48" t="n">
        <x:v>0</x:v>
      </x:c>
      <x:c r="G10" s="33" t="str">
        <x:v>median, 50/80/90/95% intervals, prior-to-posterior shift, normalized case range</x:v>
      </x:c>
    </x:row>
    <x:row r="11">
      <x:c r="A11" s="21" t="str">
        <x:v>households_child_and_age65</x:v>
      </x:c>
      <x:c r="B11" s="48" t="n">
        <x:v>0</x:v>
      </x:c>
      <x:c r="C11" s="48" t="n">
        <x:v>3428</x:v>
      </x:c>
      <x:c r="D11" s="48" t="n">
        <x:v>2374.5</x:v>
      </x:c>
      <x:c r="E11" s="48" t="n">
        <x:v>3428</x:v>
      </x:c>
      <x:c r="F11" s="48" t="n">
        <x:v>0</x:v>
      </x:c>
      <x:c r="G11" s="33" t="str">
        <x:v>median, 50/80/90/95% intervals, prior-to-posterior shift, normalized case range</x:v>
      </x:c>
    </x:row>
    <x:row r="12">
      <x:c r="A12" s="21" t="str">
        <x:v>households_no_vehicle_and_limited_english</x:v>
      </x:c>
      <x:c r="B12" s="48" t="n">
        <x:v>0</x:v>
      </x:c>
      <x:c r="C12" s="48" t="n">
        <x:v>6661</x:v>
      </x:c>
      <x:c r="D12" s="48" t="n">
        <x:v>1740</x:v>
      </x:c>
      <x:c r="E12" s="48" t="n">
        <x:v>5096</x:v>
      </x:c>
      <x:c r="F12" s="48" t="n">
        <x:v>0</x:v>
      </x:c>
      <x:c r="G12" s="33" t="str">
        <x:v>median, 50/80/90/95% intervals, prior-to-posterior shift, normalized case range</x:v>
      </x:c>
    </x:row>
    <x:row r="13">
      <x:c r="A13" s="21" t="str">
        <x:v>renter_fifty_plus_units</x:v>
      </x:c>
      <x:c r="B13" s="48" t="n">
        <x:v>0</x:v>
      </x:c>
      <x:c r="C13" s="48" t="n">
        <x:v>10685</x:v>
      </x:c>
      <x:c r="D13" s="48" t="n">
        <x:v>3122</x:v>
      </x:c>
      <x:c r="E13" s="48" t="n">
        <x:v>6676</x:v>
      </x:c>
      <x:c r="F13" s="48" t="n">
        <x:v>0</x:v>
      </x:c>
      <x:c r="G13" s="33" t="str">
        <x:v>median, 50/80/90/95% intervals, prior-to-posterior shift, normalized case range</x:v>
      </x:c>
    </x:row>
    <x:row r="14">
      <x:c r="A14" s="21" t="str">
        <x:v>family_households_with_children</x:v>
      </x:c>
      <x:c r="B14" s="48" t="n">
        <x:v>0</x:v>
      </x:c>
      <x:c r="C14" s="48" t="n">
        <x:v>4875</x:v>
      </x:c>
      <x:c r="D14" s="48" t="n">
        <x:v>743.5</x:v>
      </x:c>
      <x:c r="E14" s="48" t="n">
        <x:v>2628</x:v>
      </x:c>
      <x:c r="F14" s="48" t="n">
        <x:v>0</x:v>
      </x:c>
      <x:c r="G14" s="33" t="str">
        <x:v>median, 50/80/90/95% intervals, prior-to-posterior shift, normalized case range</x:v>
      </x:c>
    </x:row>
    <x:row r="15">
      <x:c r="A15" s="22" t="str">
        <x:v>electric_heat_fifty_plus_units</x:v>
      </x:c>
      <x:c r="B15" s="49" t="n">
        <x:v>0</x:v>
      </x:c>
      <x:c r="C15" s="49" t="n">
        <x:v>5818</x:v>
      </x:c>
      <x:c r="D15" s="49" t="n">
        <x:v>1816</x:v>
      </x:c>
      <x:c r="E15" s="49" t="n">
        <x:v>5303</x:v>
      </x:c>
      <x:c r="F15" s="49" t="n">
        <x:v>0</x:v>
      </x:c>
      <x:c r="G15" s="34" t="str">
        <x:v>median, 50/80/90/95% intervals, prior-to-posterior shift, normalized case range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72" hidden="0" customWidth="1"/>
    <x:col min="4" max="4" width="82" hidden="0" customWidth="1"/>
    <x:col min="5" max="5" width="68" hidden="0" customWidth="1"/>
  </x:cols>
  <x:sheetData>
    <x:row r="1">
      <x:c r="A1" s="1" t="str">
        <x:v>Admission Gates</x:v>
      </x:c>
      <x:c r="B1" s="29"/>
      <x:c r="C1" s="29"/>
      <x:c r="D1" s="29"/>
      <x:c r="E1" s="29"/>
    </x:row>
    <x:row r="2">
      <x:c r="A2" s="2" t="str">
        <x:v>Twenty-five co-governing gates; no compensating score and no preferred-case rescue</x:v>
      </x:c>
      <x:c r="B2" s="29"/>
      <x:c r="C2" s="29"/>
      <x:c r="D2" s="29"/>
      <x:c r="E2" s="29"/>
    </x:row>
    <x:row r="3">
      <x:c r="A3" s="29"/>
      <x:c r="B3" s="29"/>
      <x:c r="C3" s="29"/>
      <x:c r="D3" s="29"/>
      <x:c r="E3" s="29"/>
    </x:row>
    <x:row r="4">
      <x:c r="A4" s="30"/>
      <x:c r="B4" s="30"/>
      <x:c r="C4" s="30"/>
      <x:c r="D4" s="30"/>
      <x:c r="E4" s="30"/>
      <x:c r="F4" s="3"/>
      <x:c r="G4" s="3"/>
      <x:c r="H4" s="3"/>
      <x:c r="I4" s="3"/>
    </x:row>
    <x:row r="5">
      <x:c r="A5" s="29"/>
      <x:c r="B5" s="29"/>
      <x:c r="C5" s="29"/>
      <x:c r="D5" s="29"/>
      <x:c r="E5" s="29"/>
    </x:row>
    <x:row r="6" ht="34" customHeight="1">
      <x:c r="A6" s="17" t="str">
        <x:v>Gate</x:v>
      </x:c>
      <x:c r="B6" s="17" t="str">
        <x:v>Family</x:v>
      </x:c>
      <x:c r="C6" s="17" t="str">
        <x:v>Metric</x:v>
      </x:c>
      <x:c r="D6" s="17" t="str">
        <x:v>Threshold</x:v>
      </x:c>
      <x:c r="E6" s="17" t="str">
        <x:v>Failure action</x:v>
      </x:c>
    </x:row>
    <x:row r="7" ht="40" customHeight="1">
      <x:c r="A7" s="20" t="str">
        <x:v>G01</x:v>
      </x:c>
      <x:c r="B7" s="20" t="str">
        <x:v>custody</x:v>
      </x:c>
      <x:c r="C7" s="32" t="str">
        <x:v>source, code, seed and case manifest completeness</x:v>
      </x:c>
      <x:c r="D7" s="32" t="str">
        <x:v>100% present and SHA-256 valid</x:v>
      </x:c>
      <x:c r="E7" s="32" t="str">
        <x:v>STOP</x:v>
      </x:c>
    </x:row>
    <x:row r="8" ht="40" customHeight="1">
      <x:c r="A8" s="21" t="str">
        <x:v>G02</x:v>
      </x:c>
      <x:c r="B8" s="21" t="str">
        <x:v>likelihood</x:v>
      </x:c>
      <x:c r="C8" s="33" t="str">
        <x:v>independent-row basis dimension</x:v>
      </x:c>
      <x:c r="D8" s="33" t="str">
        <x:v>33 in every catchment-case</x:v>
      </x:c>
      <x:c r="E8" s="33" t="str">
        <x:v>STOP</x:v>
      </x:c>
    </x:row>
    <x:row r="9" ht="40" customHeight="1">
      <x:c r="A9" s="21" t="str">
        <x:v>G03</x:v>
      </x:c>
      <x:c r="B9" s="21" t="str">
        <x:v>likelihood</x:v>
      </x:c>
      <x:c r="C9" s="33" t="str">
        <x:v>rank-reduced covariance minimum eigenvalue</x:v>
      </x:c>
      <x:c r="D9" s="33" t="str">
        <x:v>&gt; 1e-10 times maximum eigenvalue</x:v>
      </x:c>
      <x:c r="E9" s="33" t="str">
        <x:v>STOP</x:v>
      </x:c>
    </x:row>
    <x:row r="10" ht="40" customHeight="1">
      <x:c r="A10" s="21" t="str">
        <x:v>G03A</x:v>
      </x:c>
      <x:c r="B10" s="21" t="str">
        <x:v>prior</x:v>
      </x:c>
      <x:c r="C10" s="33" t="str">
        <x:v>posterior propriety under flat ledger-total prior</x:v>
      </x:c>
      <x:c r="D10" s="33" t="str">
        <x:v>finite normalizing constant proved for every likelihood-prior case</x:v>
      </x:c>
      <x:c r="E10" s="33" t="str">
        <x:v>STOP</x:v>
      </x:c>
    </x:row>
    <x:row r="11" ht="40" customHeight="1">
      <x:c r="A11" s="21" t="str">
        <x:v>G04</x:v>
      </x:c>
      <x:c r="B11" s="21" t="str">
        <x:v>likelihood</x:v>
      </x:c>
      <x:c r="C11" s="33" t="str">
        <x:v>100,000-draw fixed-state covariance unit test</x:v>
      </x:c>
      <x:c r="D11" s="33" t="str">
        <x:v>diagonal ratios 0.98–1.02 and relative Frobenius error &lt;= 0.01</x:v>
      </x:c>
      <x:c r="E11" s="33" t="str">
        <x:v>STOP</x:v>
      </x:c>
    </x:row>
    <x:row r="12" ht="40" customHeight="1">
      <x:c r="A12" s="21" t="str">
        <x:v>G05</x:v>
      </x:c>
      <x:c r="B12" s="21" t="str">
        <x:v>likelihood</x:v>
      </x:c>
      <x:c r="C12" s="33" t="str">
        <x:v>boundary estimator test</x:v>
      </x:c>
      <x:c r="D12" s="33" t="str">
        <x:v>zero observed estimate can have positive latent count; residual is never truncated</x:v>
      </x:c>
      <x:c r="E12" s="33" t="str">
        <x:v>STOP</x:v>
      </x:c>
    </x:row>
    <x:row r="13" ht="40" customHeight="1">
      <x:c r="A13" s="21" t="str">
        <x:v>G06</x:v>
      </x:c>
      <x:c r="B13" s="21" t="str">
        <x:v>support</x:v>
      </x:c>
      <x:c r="C13" s="33" t="str">
        <x:v>nonnegative integer atomic states</x:v>
      </x:c>
      <x:c r="D13" s="33" t="str">
        <x:v>100% of warmup and production states</x:v>
      </x:c>
      <x:c r="E13" s="33" t="str">
        <x:v>STOP</x:v>
      </x:c>
    </x:row>
    <x:row r="14" ht="40" customHeight="1">
      <x:c r="A14" s="21" t="str">
        <x:v>G07</x:v>
      </x:c>
      <x:c r="B14" s="21" t="str">
        <x:v>support</x:v>
      </x:c>
      <x:c r="C14" s="33" t="str">
        <x:v>structural-zero and age-valid disability rules</x:v>
      </x:c>
      <x:c r="D14" s="33" t="str">
        <x:v>zero violations</x:v>
      </x:c>
      <x:c r="E14" s="33" t="str">
        <x:v>STOP</x:v>
      </x:c>
    </x:row>
    <x:row r="15" ht="40" customHeight="1">
      <x:c r="A15" s="21" t="str">
        <x:v>G08</x:v>
      </x:c>
      <x:c r="B15" s="21" t="str">
        <x:v>support</x:v>
      </x:c>
      <x:c r="C15" s="33" t="str">
        <x:v>cross-ledger bridge violations</x:v>
      </x:c>
      <x:c r="D15" s="33" t="str">
        <x:v>zero accepted violations</x:v>
      </x:c>
      <x:c r="E15" s="33" t="str">
        <x:v>STOP</x:v>
      </x:c>
    </x:row>
    <x:row r="16" ht="40" customHeight="1">
      <x:c r="A16" s="21" t="str">
        <x:v>G09</x:v>
      </x:c>
      <x:c r="B16" s="21" t="str">
        <x:v>support</x:v>
      </x:c>
      <x:c r="C16" s="33" t="str">
        <x:v>post-draw repair or projection</x:v>
      </x:c>
      <x:c r="D16" s="33" t="str">
        <x:v>zero calls and zero shifted states</x:v>
      </x:c>
      <x:c r="E16" s="33" t="str">
        <x:v>STOP</x:v>
      </x:c>
    </x:row>
    <x:row r="17" ht="40" customHeight="1">
      <x:c r="A17" s="21" t="str">
        <x:v>G10</x:v>
      </x:c>
      <x:c r="B17" s="21" t="str">
        <x:v>sampling</x:v>
      </x:c>
      <x:c r="C17" s="33" t="str">
        <x:v>rank-normalized split R-hat</x:v>
      </x:c>
      <x:c r="D17" s="33" t="str">
        <x:v>&lt;= 1.01 for 39 margins and 9 operational estimands</x:v>
      </x:c>
      <x:c r="E17" s="33" t="str">
        <x:v>increase computation under amendment; STOP at registered ceiling</x:v>
      </x:c>
    </x:row>
    <x:row r="18" ht="40" customHeight="1">
      <x:c r="A18" s="21" t="str">
        <x:v>G11</x:v>
      </x:c>
      <x:c r="B18" s="21" t="str">
        <x:v>sampling</x:v>
      </x:c>
      <x:c r="C18" s="33" t="str">
        <x:v>bulk effective sample size</x:v>
      </x:c>
      <x:c r="D18" s="33" t="str">
        <x:v>&gt;= 400 for every reported quantity per catchment-case</x:v>
      </x:c>
      <x:c r="E18" s="33" t="str">
        <x:v>STOP</x:v>
      </x:c>
    </x:row>
    <x:row r="19" ht="40" customHeight="1">
      <x:c r="A19" s="21" t="str">
        <x:v>G12</x:v>
      </x:c>
      <x:c r="B19" s="21" t="str">
        <x:v>sampling</x:v>
      </x:c>
      <x:c r="C19" s="33" t="str">
        <x:v>tail effective sample size</x:v>
      </x:c>
      <x:c r="D19" s="33" t="str">
        <x:v>&gt;= 200 for every reported quantity per catchment-case</x:v>
      </x:c>
      <x:c r="E19" s="33" t="str">
        <x:v>STOP</x:v>
      </x:c>
    </x:row>
    <x:row r="20" ht="40" customHeight="1">
      <x:c r="A20" s="21" t="str">
        <x:v>G13</x:v>
      </x:c>
      <x:c r="B20" s="21" t="str">
        <x:v>sampling</x:v>
      </x:c>
      <x:c r="C20" s="33" t="str">
        <x:v>maximum dispersed-start mean contrast</x:v>
      </x:c>
      <x:c r="D20" s="33" t="str">
        <x:v>&lt;= 0.10 pooled posterior SD</x:v>
      </x:c>
      <x:c r="E20" s="33" t="str">
        <x:v>STOP</x:v>
      </x:c>
    </x:row>
    <x:row r="21" ht="40" customHeight="1">
      <x:c r="A21" s="21" t="str">
        <x:v>G13A</x:v>
      </x:c>
      <x:c r="B21" s="21" t="str">
        <x:v>sampling</x:v>
      </x:c>
      <x:c r="C21" s="33" t="str">
        <x:v>chain contribution to every nested prefix</x:v>
      </x:c>
      <x:c r="D21" s="33" t="str">
        <x:v>maximum minus minimum retained chain count &lt;= 1</x:v>
      </x:c>
      <x:c r="E21" s="33" t="str">
        <x:v>STOP</x:v>
      </x:c>
    </x:row>
    <x:row r="22" ht="40" customHeight="1">
      <x:c r="A22" s="21" t="str">
        <x:v>G14</x:v>
      </x:c>
      <x:c r="B22" s="21" t="str">
        <x:v>nested ceiling</x:v>
      </x:c>
      <x:c r="C22" s="33" t="str">
        <x:v>maximum K/2-to-K mean-share change</x:v>
      </x:c>
      <x:c r="D22" s="33" t="str">
        <x:v>&lt;= 0.0025</x:v>
      </x:c>
      <x:c r="E22" s="33" t="str">
        <x:v>STOP at K=1,000</x:v>
      </x:c>
    </x:row>
    <x:row r="23" ht="40" customHeight="1">
      <x:c r="A23" s="21" t="str">
        <x:v>G15</x:v>
      </x:c>
      <x:c r="B23" s="21" t="str">
        <x:v>nested ceiling</x:v>
      </x:c>
      <x:c r="C23" s="33" t="str">
        <x:v>maximum selected-quantile change</x:v>
      </x:c>
      <x:c r="D23" s="33" t="str">
        <x:v>&lt;= 0.0050</x:v>
      </x:c>
      <x:c r="E23" s="33" t="str">
        <x:v>STOP at K=1,000</x:v>
      </x:c>
    </x:row>
    <x:row r="24" ht="40" customHeight="1">
      <x:c r="A24" s="21" t="str">
        <x:v>G16</x:v>
      </x:c>
      <x:c r="B24" s="21" t="str">
        <x:v>nested ceiling</x:v>
      </x:c>
      <x:c r="C24" s="33" t="str">
        <x:v>maximum Jensen–Shannon divergence for joint diagnostics</x:v>
      </x:c>
      <x:c r="D24" s="33" t="str">
        <x:v>&lt;= 0.010</x:v>
      </x:c>
      <x:c r="E24" s="33" t="str">
        <x:v>STOP at K=1,000</x:v>
      </x:c>
    </x:row>
    <x:row r="25" ht="40" customHeight="1">
      <x:c r="A25" s="21" t="str">
        <x:v>G17</x:v>
      </x:c>
      <x:c r="B25" s="21" t="str">
        <x:v>posterior predictive</x:v>
      </x:c>
      <x:c r="C25" s="33" t="str">
        <x:v>fixed-state likelihood interval coverage</x:v>
      </x:c>
      <x:c r="D25" s="33" t="str">
        <x:v>50/80/90/95% empirical coverage inside simultaneous 99% binomial bands</x:v>
      </x:c>
      <x:c r="E25" s="33" t="str">
        <x:v>STOP</x:v>
      </x:c>
    </x:row>
    <x:row r="26" ht="40" customHeight="1">
      <x:c r="A26" s="21" t="str">
        <x:v>G18</x:v>
      </x:c>
      <x:c r="B26" s="21" t="str">
        <x:v>posterior predictive</x:v>
      </x:c>
      <x:c r="C26" s="33" t="str">
        <x:v>observed rank-space Mahalanobis discrepancy</x:v>
      </x:c>
      <x:c r="D26" s="33" t="str">
        <x:v>inside central 98% posterior-predictive reference interval in every catchment-case</x:v>
      </x:c>
      <x:c r="E26" s="33" t="str">
        <x:v>STOP and report conflict</x:v>
      </x:c>
    </x:row>
    <x:row r="27" ht="40" customHeight="1">
      <x:c r="A27" s="21" t="str">
        <x:v>G19</x:v>
      </x:c>
      <x:c r="B27" s="21" t="str">
        <x:v>sensitivity</x:v>
      </x:c>
      <x:c r="C27" s="33" t="str">
        <x:v>normalized posterior-median range across P0/P1/P2</x:v>
      </x:c>
      <x:c r="D27" s="33" t="str">
        <x:v>&gt; 0.25 of feasible width is PRIOR_DOMINANT, not a numerical failure</x:v>
      </x:c>
      <x:c r="E27" s="33" t="str">
        <x:v>retain separate cases; prohibit single-state claim</x:v>
      </x:c>
    </x:row>
    <x:row r="28" ht="40" customHeight="1">
      <x:c r="A28" s="21" t="str">
        <x:v>G20</x:v>
      </x:c>
      <x:c r="B28" s="21" t="str">
        <x:v>sensitivity</x:v>
      </x:c>
      <x:c r="C28" s="33" t="str">
        <x:v>likelihood-family decision reversal</x:v>
      </x:c>
      <x:c r="D28" s="33" t="str">
        <x:v>any reversal is LIKELIHOOD_SENSITIVE</x:v>
      </x:c>
      <x:c r="E28" s="33" t="str">
        <x:v>retain separate cases; no confirmatory architecture claim</x:v>
      </x:c>
    </x:row>
    <x:row r="29" ht="40" customHeight="1">
      <x:c r="A29" s="21" t="str">
        <x:v>G21</x:v>
      </x:c>
      <x:c r="B29" s="21" t="str">
        <x:v>privacy</x:v>
      </x:c>
      <x:c r="C29" s="33" t="str">
        <x:v>public relational or donor identity fields</x:v>
      </x:c>
      <x:c r="D29" s="33" t="str">
        <x:v>zero records and zero identifiers</x:v>
      </x:c>
      <x:c r="E29" s="33" t="str">
        <x:v>STOP and incident review</x:v>
      </x:c>
    </x:row>
    <x:row r="30" ht="40" customHeight="1">
      <x:c r="A30" s="21" t="str">
        <x:v>G22</x:v>
      </x:c>
      <x:c r="B30" s="21" t="str">
        <x:v>firewall</x:v>
      </x:c>
      <x:c r="C30" s="33" t="str">
        <x:v>architecture outcome reads during model fitting</x:v>
      </x:c>
      <x:c r="D30" s="33" t="str">
        <x:v>zero</x:v>
      </x:c>
      <x:c r="E30" s="33" t="str">
        <x:v>invalidate version</x:v>
      </x:c>
    </x:row>
    <x:row r="31" ht="40" customHeight="1">
      <x:c r="A31" s="22" t="str">
        <x:v>G23</x:v>
      </x:c>
      <x:c r="B31" s="22" t="str">
        <x:v>reproduction</x:v>
      </x:c>
      <x:c r="C31" s="34" t="str">
        <x:v>independent implementation decision and summary reproduction</x:v>
      </x:c>
      <x:c r="D31" s="34" t="str">
        <x:v>same gate decisions; numerical differences within declared Monte Carlo error</x:v>
      </x:c>
      <x:c r="E31" s="34" t="str">
        <x:v>STOP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4" hidden="0" customWidth="1"/>
    <x:col min="2" max="2" width="82" hidden="0" customWidth="1"/>
    <x:col min="3" max="3" width="92" hidden="0" customWidth="1"/>
  </x:cols>
  <x:sheetData>
    <x:row r="1">
      <x:c r="A1" s="1" t="str">
        <x:v>Failure Tests</x:v>
      </x:c>
      <x:c r="B1" s="29"/>
      <x:c r="C1" s="29"/>
    </x:row>
    <x:row r="2">
      <x:c r="A2" s="2" t="str">
        <x:v>Deliberate defects required before any posterior receives donor access</x:v>
      </x:c>
      <x:c r="B2" s="29"/>
      <x:c r="C2" s="29"/>
    </x:row>
    <x:row r="3">
      <x:c r="A3" s="29"/>
      <x:c r="B3" s="29"/>
      <x:c r="C3" s="29"/>
    </x:row>
    <x:row r="4">
      <x:c r="A4" s="30"/>
      <x:c r="B4" s="30"/>
      <x:c r="C4" s="30"/>
      <x:c r="D4" s="3"/>
      <x:c r="E4" s="3"/>
      <x:c r="F4" s="3"/>
      <x:c r="G4" s="3"/>
      <x:c r="H4" s="3"/>
      <x:c r="I4" s="3"/>
    </x:row>
    <x:row r="5">
      <x:c r="A5" s="29"/>
      <x:c r="B5" s="29"/>
      <x:c r="C5" s="29"/>
    </x:row>
    <x:row r="6" ht="34" customHeight="1">
      <x:c r="A6" s="17" t="str">
        <x:v>Injection</x:v>
      </x:c>
      <x:c r="B6" s="17" t="str">
        <x:v>Injected defect</x:v>
      </x:c>
      <x:c r="C6" s="17" t="str">
        <x:v>Expected response</x:v>
      </x:c>
    </x:row>
    <x:row r="7" ht="38" customHeight="1">
      <x:c r="A7" s="20" t="str">
        <x:v>F01_NEGATIVE_ATOM</x:v>
      </x:c>
      <x:c r="B7" s="32" t="str">
        <x:v>propose x_j = -1</x:v>
      </x:c>
      <x:c r="C7" s="32" t="str">
        <x:v>proposal rejected before likelihood evaluation</x:v>
      </x:c>
    </x:row>
    <x:row r="8" ht="38" customHeight="1">
      <x:c r="A8" s="21" t="str">
        <x:v>F02_FRACTIONAL_ATOM</x:v>
      </x:c>
      <x:c r="B8" s="33" t="str">
        <x:v>propose noninteger cell count</x:v>
      </x:c>
      <x:c r="C8" s="33" t="str">
        <x:v>schema and support rejection</x:v>
      </x:c>
    </x:row>
    <x:row r="9" ht="38" customHeight="1">
      <x:c r="A9" s="21" t="str">
        <x:v>F03_STRUCTURAL_ZERO</x:v>
      </x:c>
      <x:c r="B9" s="33" t="str">
        <x:v>assign age-ineligible difficulty</x:v>
      </x:c>
      <x:c r="C9" s="33" t="str">
        <x:v>support rejection</x:v>
      </x:c>
    </x:row>
    <x:row r="10" ht="38" customHeight="1">
      <x:c r="A10" s="21" t="str">
        <x:v>F04_BRIDGE_BREAK</x:v>
      </x:c>
      <x:c r="B10" s="33" t="str">
        <x:v>household minimum persons exceed available non-GQ persons</x:v>
      </x:c>
      <x:c r="C10" s="33" t="str">
        <x:v>support rejection</x:v>
      </x:c>
    </x:row>
    <x:row r="11" ht="38" customHeight="1">
      <x:c r="A11" s="21" t="str">
        <x:v>F05_IDENTITY_DUPLICATION</x:v>
      </x:c>
      <x:c r="B11" s="33" t="str">
        <x:v>evaluate all 39 residuals with singular covariance as independent</x:v>
      </x:c>
      <x:c r="C11" s="33" t="str">
        <x:v>rank-basis check fails</x:v>
      </x:c>
    </x:row>
    <x:row r="12" ht="38" customHeight="1">
      <x:c r="A12" s="21" t="str">
        <x:v>F06_BAD_COVARIANCE</x:v>
      </x:c>
      <x:c r="B12" s="33" t="str">
        <x:v>negative eigenvalue in reduced covariance</x:v>
      </x:c>
      <x:c r="C12" s="33" t="str">
        <x:v>likelihood construction stops</x:v>
      </x:c>
    </x:row>
    <x:row r="13" ht="38" customHeight="1">
      <x:c r="A13" s="21" t="str">
        <x:v>F07_T_SCALE_ERROR</x:v>
      </x:c>
      <x:c r="B13" s="33" t="str">
        <x:v>use V as t7 scale instead of 5/7 V</x:v>
      </x:c>
      <x:c r="C13" s="33" t="str">
        <x:v>covariance unit test fails</x:v>
      </x:c>
    </x:row>
    <x:row r="14" ht="38" customHeight="1">
      <x:c r="A14" s="21" t="str">
        <x:v>F08_ESTIMATOR_TRUNCATION</x:v>
      </x:c>
      <x:c r="B14" s="33" t="str">
        <x:v>clip estimator residual at zero</x:v>
      </x:c>
      <x:c r="C14" s="33" t="str">
        <x:v>boundary estimator test fails</x:v>
      </x:c>
    </x:row>
    <x:row r="15" ht="38" customHeight="1">
      <x:c r="A15" s="21" t="str">
        <x:v>F09_STATE_MOMENT_CLONE</x:v>
      </x:c>
      <x:c r="B15" s="33" t="str">
        <x:v>require posterior state variance to equal V</x:v>
      </x:c>
      <x:c r="C15" s="33" t="str">
        <x:v>Pass 53 contradiction fires</x:v>
      </x:c>
    </x:row>
    <x:row r="16" ht="38" customHeight="1">
      <x:c r="A16" s="21" t="str">
        <x:v>F10_PRIOR_CASE_DROP</x:v>
      </x:c>
      <x:c r="B16" s="33" t="str">
        <x:v>omit P0, P1 or P2 after seeing fit</x:v>
      </x:c>
      <x:c r="C16" s="33" t="str">
        <x:v>case manifest fails and version invalidates</x:v>
      </x:c>
    </x:row>
    <x:row r="17" ht="38" customHeight="1">
      <x:c r="A17" s="21" t="str">
        <x:v>F11_SILENT_CITY_POOL</x:v>
      </x:c>
      <x:c r="B17" s="33" t="str">
        <x:v>use citywide PUMS weight without support-tier label</x:v>
      </x:c>
      <x:c r="C17" s="33" t="str">
        <x:v>prior provenance failure</x:v>
      </x:c>
    </x:row>
    <x:row r="18" ht="38" customHeight="1">
      <x:c r="A18" s="21" t="str">
        <x:v>F12_ADVERSE_TILT_DRIFT</x:v>
      </x:c>
      <x:c r="B18" s="33" t="str">
        <x:v>change log(4) tilt after output</x:v>
      </x:c>
      <x:c r="C18" s="33" t="str">
        <x:v>prior commitment mismatch</x:v>
      </x:c>
    </x:row>
    <x:row r="19" ht="38" customHeight="1">
      <x:c r="A19" s="21" t="str">
        <x:v>F13_SEED_DRIFT</x:v>
      </x:c>
      <x:c r="B19" s="33" t="str">
        <x:v>unregistered random seed</x:v>
      </x:c>
      <x:c r="C19" s="33" t="str">
        <x:v>custody gate fails</x:v>
      </x:c>
    </x:row>
    <x:row r="20" ht="38" customHeight="1">
      <x:c r="A20" s="21" t="str">
        <x:v>F14_WARMUP_LEAK</x:v>
      </x:c>
      <x:c r="B20" s="33" t="str">
        <x:v>retain adapted warmup state</x:v>
      </x:c>
      <x:c r="C20" s="33" t="str">
        <x:v>retention manifest fails</x:v>
      </x:c>
    </x:row>
    <x:row r="21" ht="38" customHeight="1">
      <x:c r="A21" s="21" t="str">
        <x:v>F15_STUCK_CHAIN</x:v>
      </x:c>
      <x:c r="B21" s="33" t="str">
        <x:v>one chain repeats a state</x:v>
      </x:c>
      <x:c r="C21" s="33" t="str">
        <x:v>R-hat or ESS gate fails</x:v>
      </x:c>
    </x:row>
    <x:row r="22" ht="38" customHeight="1">
      <x:c r="A22" s="21" t="str">
        <x:v>F16_K_REORDER</x:v>
      </x:c>
      <x:c r="B22" s="33" t="str">
        <x:v>choose favorable draws for a nested prefix</x:v>
      </x:c>
      <x:c r="C22" s="33" t="str">
        <x:v>hash-order commitment fails</x:v>
      </x:c>
    </x:row>
    <x:row r="23" ht="38" customHeight="1">
      <x:c r="A23" s="21" t="str">
        <x:v>F17_PPC_CONFLICT</x:v>
      </x:c>
      <x:c r="B23" s="33" t="str">
        <x:v>observed deviance outside central 98%</x:v>
      </x:c>
      <x:c r="C23" s="33" t="str">
        <x:v>posterior-predictive gate stops admission</x:v>
      </x:c>
    </x:row>
    <x:row r="24" ht="38" customHeight="1">
      <x:c r="A24" s="21" t="str">
        <x:v>F18_PRIOR_DOMINANCE_HIDDEN</x:v>
      </x:c>
      <x:c r="B24" s="33" t="str">
        <x:v>normalized prior range exceeds 0.25 but result is pooled</x:v>
      </x:c>
      <x:c r="C24" s="33" t="str">
        <x:v>sensitivity label and single-state prohibition fire</x:v>
      </x:c>
    </x:row>
    <x:row r="25" ht="38" customHeight="1">
      <x:c r="A25" s="21" t="str">
        <x:v>F19_ARCHITECTURE_READ</x:v>
      </x:c>
      <x:c r="B25" s="33" t="str">
        <x:v>A2 or S3 field accessed during fitting</x:v>
      </x:c>
      <x:c r="C25" s="33" t="str">
        <x:v>version invalidates</x:v>
      </x:c>
    </x:row>
    <x:row r="26" ht="38" customHeight="1">
      <x:c r="A26" s="21" t="str">
        <x:v>F20_PUBLIC_IDENTITY</x:v>
      </x:c>
      <x:c r="B26" s="33" t="str">
        <x:v>SERIALNO, person key, address or unit enters public artifact</x:v>
      </x:c>
      <x:c r="C26" s="33" t="str">
        <x:v>privacy stop and incident review</x:v>
      </x:c>
    </x:row>
    <x:row r="27" ht="38" customHeight="1">
      <x:c r="A27" s="21" t="str">
        <x:v>F21_HASH_MISMATCH</x:v>
      </x:c>
      <x:c r="B27" s="33" t="str">
        <x:v>source, code or output digest changes</x:v>
      </x:c>
      <x:c r="C27" s="33" t="str">
        <x:v>custody gate fails</x:v>
      </x:c>
    </x:row>
    <x:row r="28" ht="38" customHeight="1">
      <x:c r="A28" s="21" t="str">
        <x:v>F22_REPRODUCTION_SPLIT</x:v>
      </x:c>
      <x:c r="B28" s="33" t="str">
        <x:v>independent implementation reaches different gate decision</x:v>
      </x:c>
      <x:c r="C28" s="33" t="str">
        <x:v>no admission</x:v>
      </x:c>
    </x:row>
    <x:row r="29" ht="38" customHeight="1">
      <x:c r="A29" s="22" t="str">
        <x:v>F23_PREFIX_CHAIN_SKEW</x:v>
      </x:c>
      <x:c r="B29" s="34" t="str">
        <x:v>a nested prefix overrepresents one chain by more than one state</x:v>
      </x:c>
      <x:c r="C29" s="34" t="str">
        <x:v>retention balance gate fails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6" hidden="0" customWidth="1"/>
    <x:col min="3" max="3" width="94" hidden="0" customWidth="1"/>
    <x:col min="4" max="4" width="72" hidden="0" customWidth="1"/>
  </x:cols>
  <x:sheetData>
    <x:row r="1">
      <x:c r="A1" s="1" t="str">
        <x:v>Firewall</x:v>
      </x:c>
      <x:c r="B1" s="29"/>
      <x:c r="C1" s="29"/>
      <x:c r="D1" s="29"/>
    </x:row>
    <x:row r="2">
      <x:c r="A2" s="2" t="str">
        <x:v>Architecture outcomes remain inaccessible while the civil-state method is fitted and tested</x:v>
      </x:c>
      <x:c r="B2" s="29"/>
      <x:c r="C2" s="29"/>
      <x:c r="D2" s="29"/>
    </x:row>
    <x:row r="3">
      <x:c r="A3" s="29"/>
      <x:c r="B3" s="29"/>
      <x:c r="C3" s="29"/>
      <x:c r="D3" s="29"/>
    </x:row>
    <x:row r="4">
      <x:c r="A4" s="30"/>
      <x:c r="B4" s="30"/>
      <x:c r="C4" s="30"/>
      <x:c r="D4" s="30"/>
      <x:c r="E4" s="3"/>
      <x:c r="F4" s="3"/>
      <x:c r="G4" s="3"/>
      <x:c r="H4" s="3"/>
      <x:c r="I4" s="3"/>
    </x:row>
    <x:row r="5">
      <x:c r="A5" s="29"/>
      <x:c r="B5" s="29"/>
      <x:c r="C5" s="29"/>
      <x:c r="D5" s="29"/>
    </x:row>
    <x:row r="6" ht="34" customHeight="1">
      <x:c r="A6" s="17" t="str">
        <x:v>Rule</x:v>
      </x:c>
      <x:c r="B6" s="17" t="str">
        <x:v>Object</x:v>
      </x:c>
      <x:c r="C6" s="17" t="str">
        <x:v>Allowed access</x:v>
      </x:c>
      <x:c r="D6" s="17" t="str">
        <x:v>Audit</x:v>
      </x:c>
    </x:row>
    <x:row r="7" ht="50" customHeight="1">
      <x:c r="A7" s="20" t="str">
        <x:v>FW-01</x:v>
      </x:c>
      <x:c r="B7" s="32" t="str">
        <x:v>A2 and S3 outcome tables</x:v>
      </x:c>
      <x:c r="C7" s="32" t="str">
        <x:v>none until posterior, donor, compiler and independent-reproduction gates pass</x:v>
      </x:c>
      <x:c r="D7" s="32" t="str">
        <x:v>zero read events</x:v>
      </x:c>
    </x:row>
    <x:row r="8" ht="50" customHeight="1">
      <x:c r="A8" s="21" t="str">
        <x:v>FW-02</x:v>
      </x:c>
      <x:c r="B8" s="33" t="str">
        <x:v>architecture labels</x:v>
      </x:c>
      <x:c r="C8" s="33" t="str">
        <x:v>schema-only string values in frozen registry; no outcome columns</x:v>
      </x:c>
      <x:c r="D8" s="33" t="str">
        <x:v>no label in likelihood, prior, proposal or diagnostics code</x:v>
      </x:c>
    </x:row>
    <x:row r="9" ht="50" customHeight="1">
      <x:c r="A9" s="21" t="str">
        <x:v>FW-03</x:v>
      </x:c>
      <x:c r="B9" s="33" t="str">
        <x:v>prior hyperparameters</x:v>
      </x:c>
      <x:c r="C9" s="33" t="str">
        <x:v>semantic and PUMS donor evidence only</x:v>
      </x:c>
      <x:c r="D9" s="33" t="str">
        <x:v>hash before posterior run</x:v>
      </x:c>
    </x:row>
    <x:row r="10" ht="50" customHeight="1">
      <x:c r="A10" s="21" t="str">
        <x:v>FW-04</x:v>
      </x:c>
      <x:c r="B10" s="33" t="str">
        <x:v>case retention</x:v>
      </x:c>
      <x:c r="C10" s="33" t="str">
        <x:v>all 12 factorial cases retained</x:v>
      </x:c>
      <x:c r="D10" s="33" t="str">
        <x:v>no post-fit deletion or preferred-case promotion</x:v>
      </x:c>
    </x:row>
    <x:row r="11" ht="50" customHeight="1">
      <x:c r="A11" s="21" t="str">
        <x:v>FW-05</x:v>
      </x:c>
      <x:c r="B11" s="33" t="str">
        <x:v>public release</x:v>
      </x:c>
      <x:c r="C11" s="33" t="str">
        <x:v>aggregates, diagnostics, commitments and disclosure-safe summaries</x:v>
      </x:c>
      <x:c r="D11" s="33" t="str">
        <x:v>zero donor identifiers or relational synthetic rows</x:v>
      </x:c>
    </x:row>
    <x:row r="12" ht="50" customHeight="1">
      <x:c r="A12" s="22" t="str">
        <x:v>FW-06</x:v>
      </x:c>
      <x:c r="B12" s="34" t="str">
        <x:v>formal L0</x:v>
      </x:c>
      <x:c r="C12" s="34" t="str">
        <x:v>closed</x:v>
      </x:c>
      <x:c r="D12" s="34" t="str">
        <x:v>cannot change until all co-governing gates and external custody requirements pass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22" hidden="0" customWidth="1"/>
    <x:col min="3" max="3" width="24" hidden="0" customWidth="1"/>
    <x:col min="4" max="4" width="18" hidden="0" customWidth="1"/>
  </x:cols>
  <x:sheetData>
    <x:row r="1">
      <x:c r="A1" s="1" t="str">
        <x:v>Scale</x:v>
      </x:c>
      <x:c r="B1" s="29"/>
      <x:c r="C1" s="29"/>
      <x:c r="D1" s="29"/>
    </x:row>
    <x:row r="2">
      <x:c r="A2" s="2" t="str">
        <x:v>Formula-driven execution and storage envelope for the preregistered design</x:v>
      </x:c>
      <x:c r="B2" s="29"/>
      <x:c r="C2" s="29"/>
      <x:c r="D2" s="29"/>
    </x:row>
    <x:row r="3">
      <x:c r="A3" s="29"/>
      <x:c r="B3" s="29"/>
      <x:c r="C3" s="29"/>
      <x:c r="D3" s="29"/>
    </x:row>
    <x:row r="4">
      <x:c r="A4" s="30"/>
      <x:c r="B4" s="30"/>
      <x:c r="C4" s="30"/>
      <x:c r="D4" s="30"/>
      <x:c r="E4" s="3"/>
      <x:c r="F4" s="3"/>
      <x:c r="G4" s="3"/>
      <x:c r="H4" s="3"/>
      <x:c r="I4" s="3"/>
    </x:row>
    <x:row r="5">
      <x:c r="A5" s="6" t="str">
        <x:v>Registered inputs</x:v>
      </x:c>
      <x:c r="B5" s="7"/>
      <x:c r="C5" s="8"/>
      <x:c r="D5" s="29"/>
    </x:row>
    <x:row r="6" ht="34" customHeight="1">
      <x:c r="A6" s="17" t="str">
        <x:v>Input</x:v>
      </x:c>
      <x:c r="B6" s="17" t="str">
        <x:v>Value</x:v>
      </x:c>
      <x:c r="C6" s="17" t="str">
        <x:v>Unit</x:v>
      </x:c>
      <x:c r="D6" s="29"/>
    </x:row>
    <x:row r="7">
      <x:c r="A7" s="20" t="str">
        <x:v>Catchments</x:v>
      </x:c>
      <x:c r="B7" s="23" t="n">
        <x:v>12</x:v>
      </x:c>
      <x:c r="C7" s="20" t="str">
        <x:v>catchments</x:v>
      </x:c>
      <x:c r="D7" s="29"/>
    </x:row>
    <x:row r="8">
      <x:c r="A8" s="21" t="str">
        <x:v>Likelihood cases</x:v>
      </x:c>
      <x:c r="B8" s="24" t="n">
        <x:v>4</x:v>
      </x:c>
      <x:c r="C8" s="21" t="str">
        <x:v>cases</x:v>
      </x:c>
      <x:c r="D8" s="29"/>
    </x:row>
    <x:row r="9">
      <x:c r="A9" s="21" t="str">
        <x:v>Prior cases</x:v>
      </x:c>
      <x:c r="B9" s="24" t="n">
        <x:v>3</x:v>
      </x:c>
      <x:c r="C9" s="21" t="str">
        <x:v>cases</x:v>
      </x:c>
      <x:c r="D9" s="29"/>
    </x:row>
    <x:row r="10">
      <x:c r="A10" s="21" t="str">
        <x:v>Chains per catchment-case</x:v>
      </x:c>
      <x:c r="B10" s="24" t="n">
        <x:v>8</x:v>
      </x:c>
      <x:c r="C10" s="21" t="str">
        <x:v>chains</x:v>
      </x:c>
      <x:c r="D10" s="29"/>
    </x:row>
    <x:row r="11">
      <x:c r="A11" s="21" t="str">
        <x:v>Warmup iterations</x:v>
      </x:c>
      <x:c r="B11" s="24" t="n">
        <x:v>10000</x:v>
      </x:c>
      <x:c r="C11" s="21" t="str">
        <x:v>per chain</x:v>
      </x:c>
      <x:c r="D11" s="29"/>
    </x:row>
    <x:row r="12">
      <x:c r="A12" s="21" t="str">
        <x:v>Production iterations</x:v>
      </x:c>
      <x:c r="B12" s="24" t="n">
        <x:v>40000</x:v>
      </x:c>
      <x:c r="C12" s="21" t="str">
        <x:v>per chain</x:v>
      </x:c>
      <x:c r="D12" s="29"/>
    </x:row>
    <x:row r="13">
      <x:c r="A13" s="21" t="str">
        <x:v>Retained states</x:v>
      </x:c>
      <x:c r="B13" s="24" t="n">
        <x:v>125</x:v>
      </x:c>
      <x:c r="C13" s="21" t="str">
        <x:v>per chain</x:v>
      </x:c>
      <x:c r="D13" s="29"/>
    </x:row>
    <x:row r="14">
      <x:c r="A14" s="21" t="str">
        <x:v>Atomic cells</x:v>
      </x:c>
      <x:c r="B14" s="24" t="n">
        <x:v>1557</x:v>
      </x:c>
      <x:c r="C14" s="21" t="str">
        <x:v>per state</x:v>
      </x:c>
      <x:c r="D14" s="29"/>
    </x:row>
    <x:row r="15">
      <x:c r="A15" s="22" t="str">
        <x:v>Aggregate metrics</x:v>
      </x:c>
      <x:c r="B15" s="25" t="n">
        <x:v>39</x:v>
      </x:c>
      <x:c r="C15" s="22" t="str">
        <x:v>per state</x:v>
      </x:c>
      <x:c r="D15" s="29"/>
    </x:row>
    <x:row r="16">
      <x:c r="A16" s="29"/>
      <x:c r="B16" s="29"/>
      <x:c r="C16" s="29"/>
      <x:c r="D16" s="29"/>
    </x:row>
    <x:row r="17">
      <x:c r="A17" s="29"/>
      <x:c r="B17" s="29"/>
      <x:c r="C17" s="29"/>
      <x:c r="D17" s="29"/>
    </x:row>
    <x:row r="18">
      <x:c r="A18" s="6" t="str">
        <x:v>Derived execution scale</x:v>
      </x:c>
      <x:c r="B18" s="7"/>
      <x:c r="C18" s="7"/>
      <x:c r="D18" s="8"/>
    </x:row>
    <x:row r="19" ht="34" customHeight="1">
      <x:c r="A19" s="17" t="str">
        <x:v>Derived object</x:v>
      </x:c>
      <x:c r="B19" s="17" t="str">
        <x:v>Calculated</x:v>
      </x:c>
      <x:c r="C19" s="17" t="str">
        <x:v>Registered control</x:v>
      </x:c>
      <x:c r="D19" s="17" t="str">
        <x:v>Status</x:v>
      </x:c>
    </x:row>
    <x:row r="20">
      <x:c r="A20" s="20" t="str">
        <x:v>Factorial cases</x:v>
      </x:c>
      <x:c r="B20" s="23" t="n">
        <x:f>B8*B9</x:f>
        <x:v>12</x:v>
      </x:c>
      <x:c r="C20" s="23" t="n">
        <x:v>12</x:v>
      </x:c>
      <x:c r="D20" s="20" t="str">
        <x:f>IF(B20=C20,"Met","Review")</x:f>
        <x:v>Met</x:v>
      </x:c>
    </x:row>
    <x:row r="21">
      <x:c r="A21" s="21" t="str">
        <x:v>Catchment-case paths</x:v>
      </x:c>
      <x:c r="B21" s="24" t="n">
        <x:f>B7*B20</x:f>
        <x:v>144</x:v>
      </x:c>
      <x:c r="C21" s="24" t="n">
        <x:v>144</x:v>
      </x:c>
      <x:c r="D21" s="21" t="str">
        <x:f>IF(B21=C21,"Met","Review")</x:f>
        <x:v>Met</x:v>
      </x:c>
    </x:row>
    <x:row r="22">
      <x:c r="A22" s="21" t="str">
        <x:v>Markov chains</x:v>
      </x:c>
      <x:c r="B22" s="24" t="n">
        <x:f>B21*B10</x:f>
        <x:v>1152</x:v>
      </x:c>
      <x:c r="C22" s="24" t="n">
        <x:v>1152</x:v>
      </x:c>
      <x:c r="D22" s="21" t="str">
        <x:f>IF(B22=C22,"Met","Review")</x:f>
        <x:v>Met</x:v>
      </x:c>
    </x:row>
    <x:row r="23">
      <x:c r="A23" s="21" t="str">
        <x:v>Transition proposals</x:v>
      </x:c>
      <x:c r="B23" s="24" t="n">
        <x:f>B22*(B11+B12)</x:f>
        <x:v>57600000</x:v>
      </x:c>
      <x:c r="C23" s="24" t="n">
        <x:v>57600000</x:v>
      </x:c>
      <x:c r="D23" s="21" t="str">
        <x:f>IF(B23=C23,"Met","Review")</x:f>
        <x:v>Met</x:v>
      </x:c>
    </x:row>
    <x:row r="24">
      <x:c r="A24" s="21" t="str">
        <x:v>Retained posterior states</x:v>
      </x:c>
      <x:c r="B24" s="24" t="n">
        <x:f>B22*B13</x:f>
        <x:v>144000</x:v>
      </x:c>
      <x:c r="C24" s="24" t="n">
        <x:v>144000</x:v>
      </x:c>
      <x:c r="D24" s="21" t="str">
        <x:f>IF(B24=C24,"Met","Review")</x:f>
        <x:v>Met</x:v>
      </x:c>
    </x:row>
    <x:row r="25">
      <x:c r="A25" s="21" t="str">
        <x:v>Retained atomic values</x:v>
      </x:c>
      <x:c r="B25" s="24" t="n">
        <x:f>B24*B14</x:f>
        <x:v>224208000</x:v>
      </x:c>
      <x:c r="C25" s="24" t="n">
        <x:v>224208000</x:v>
      </x:c>
      <x:c r="D25" s="21" t="str">
        <x:f>IF(B25=C25,"Met","Review")</x:f>
        <x:v>Met</x:v>
      </x:c>
    </x:row>
    <x:row r="26">
      <x:c r="A26" s="21" t="str">
        <x:v>Dense atomic payload bytes</x:v>
      </x:c>
      <x:c r="B26" s="24" t="n">
        <x:f>B25*4</x:f>
        <x:v>896832000</x:v>
      </x:c>
      <x:c r="C26" s="24" t="n">
        <x:v>896832000</x:v>
      </x:c>
      <x:c r="D26" s="21" t="str">
        <x:f>IF(B26=C26,"Met","Review")</x:f>
        <x:v>Met</x:v>
      </x:c>
    </x:row>
    <x:row r="27">
      <x:c r="A27" s="21" t="str">
        <x:v>Aggregate values</x:v>
      </x:c>
      <x:c r="B27" s="24" t="n">
        <x:f>B24*B15</x:f>
        <x:v>5616000</x:v>
      </x:c>
      <x:c r="C27" s="24" t="n">
        <x:v>5616000</x:v>
      </x:c>
      <x:c r="D27" s="21" t="str">
        <x:f>IF(B27=C27,"Met","Review")</x:f>
        <x:v>Met</x:v>
      </x:c>
    </x:row>
    <x:row r="28">
      <x:c r="A28" s="22" t="str">
        <x:v>Posterior-predictive estimator values</x:v>
      </x:c>
      <x:c r="B28" s="25" t="n">
        <x:f>B27</x:f>
        <x:v>5616000</x:v>
      </x:c>
      <x:c r="C28" s="25" t="n">
        <x:v>5616000</x:v>
      </x:c>
      <x:c r="D28" s="22" t="str">
        <x:f>IF(B28=C28,"Met","Review")</x:f>
        <x:v>Met</x:v>
      </x:c>
    </x:row>
    <x:row r="29">
      <x:c r="A29" s="29"/>
      <x:c r="B29" s="29"/>
      <x:c r="C29" s="29"/>
      <x:c r="D29" s="29"/>
    </x:row>
    <x:row r="30">
      <x:c r="A30" s="29"/>
      <x:c r="B30" s="29"/>
      <x:c r="C30" s="29"/>
      <x:c r="D30" s="29"/>
    </x:row>
    <x:row r="31">
      <x:c r="A31" s="6" t="str">
        <x:v>Storage rule</x:v>
      </x:c>
      <x:c r="B31" s="7"/>
      <x:c r="C31" s="7"/>
      <x:c r="D31" s="8"/>
    </x:row>
    <x:row r="32">
      <x:c r="A32" s="41" t="str">
        <x:v>The dense int32 figure is a planning ceiling, not the required file format. Controlled execution should store chunked, compressed state arrays plus immutable manifests. Public artifacts receive only disclosure-safe aggregates, diagnostics and hashes.</x:v>
      </x:c>
      <x:c r="B32" s="41"/>
      <x:c r="C32" s="41"/>
      <x:c r="D32" s="41"/>
    </x:row>
    <x:row r="33">
      <x:c r="A33" s="41"/>
      <x:c r="B33" s="41"/>
      <x:c r="C33" s="41"/>
      <x:c r="D33" s="41"/>
    </x:row>
    <x:row r="34">
      <x:c r="A34" s="41"/>
      <x:c r="B34" s="41"/>
      <x:c r="C34" s="41"/>
      <x:c r="D34" s="41"/>
    </x:row>
    <x:row r="35">
      <x:c r="A35" s="41"/>
      <x:c r="B35" s="41"/>
      <x:c r="C35" s="41"/>
      <x:c r="D35" s="41"/>
    </x:row>
  </x:sheetData>
  <x:mergeCells>
    <x:mergeCell ref="A32:D35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8" hidden="0" customWidth="1"/>
    <x:col min="2" max="2" width="82" hidden="0" customWidth="1"/>
    <x:col min="3" max="3" width="96" hidden="0" customWidth="1"/>
    <x:col min="4" max="4" width="18" hidden="0" customWidth="1"/>
    <x:col min="5" max="5" width="72" hidden="0" customWidth="1"/>
    <x:col min="6" max="6" width="12" hidden="0" customWidth="1"/>
  </x:cols>
  <x:sheetData>
    <x:row r="1">
      <x:c r="A1" s="1" t="str">
        <x:v>Sources</x:v>
      </x:c>
      <x:c r="B1" s="29"/>
      <x:c r="C1" s="29"/>
      <x:c r="D1" s="29"/>
      <x:c r="E1" s="29"/>
      <x:c r="F1" s="29"/>
    </x:row>
    <x:row r="2">
      <x:c r="A2" s="2" t="str">
        <x:v>Repository parents, byte counts and cryptographic commitments</x:v>
      </x:c>
      <x:c r="B2" s="29"/>
      <x:c r="C2" s="29"/>
      <x:c r="D2" s="29"/>
      <x:c r="E2" s="29"/>
      <x:c r="F2" s="29"/>
    </x:row>
    <x:row r="3">
      <x:c r="A3" s="29"/>
      <x:c r="B3" s="29"/>
      <x:c r="C3" s="29"/>
      <x:c r="D3" s="29"/>
      <x:c r="E3" s="29"/>
      <x:c r="F3" s="29"/>
    </x:row>
    <x:row r="4">
      <x:c r="A4" s="30"/>
      <x:c r="B4" s="30"/>
      <x:c r="C4" s="30"/>
      <x:c r="D4" s="30"/>
      <x:c r="E4" s="30"/>
      <x:c r="F4" s="30"/>
      <x:c r="G4" s="3"/>
      <x:c r="H4" s="3"/>
      <x:c r="I4" s="3"/>
    </x:row>
    <x:row r="5">
      <x:c r="A5" s="29"/>
      <x:c r="B5" s="29"/>
      <x:c r="C5" s="29"/>
      <x:c r="D5" s="29"/>
      <x:c r="E5" s="29"/>
      <x:c r="F5" s="29"/>
    </x:row>
    <x:row r="6" ht="34" customHeight="1">
      <x:c r="A6" s="17" t="str">
        <x:v>Source ID</x:v>
      </x:c>
      <x:c r="B6" s="17" t="str">
        <x:v>Role</x:v>
      </x:c>
      <x:c r="C6" s="17" t="str">
        <x:v>Repository path</x:v>
      </x:c>
      <x:c r="D6" s="17" t="str">
        <x:v>Bytes</x:v>
      </x:c>
      <x:c r="E6" s="17" t="str">
        <x:v>SHA-256</x:v>
      </x:c>
      <x:c r="F6" s="17" t="str">
        <x:v>Length</x:v>
      </x:c>
    </x:row>
    <x:row r="7">
      <x:c r="A7" s="20" t="str">
        <x:v>P53-MOMENT-CONE</x:v>
      </x:c>
      <x:c r="B7" s="32" t="str">
        <x:v>parent semantic and measurement/state correction</x:v>
      </x:c>
      <x:c r="C7" s="32" t="str">
        <x:v>models/proving/campaigns/new-york/nyc-l0-atomic-moment-cone-audit.xlsx</x:v>
      </x:c>
      <x:c r="D7" s="23" t="n">
        <x:v>107683</x:v>
      </x:c>
      <x:c r="E7" s="20" t="str">
        <x:v>ed0a8c7dec3d08f4f508101faf97fd5baece19a33e38fc94cd5719a8cfe536f6</x:v>
      </x:c>
      <x:c r="F7" s="20" t="n">
        <x:f>LEN(E7)</x:f>
        <x:v>64</x:v>
      </x:c>
    </x:row>
    <x:row r="8">
      <x:c r="A8" s="21" t="str">
        <x:v>P52-ATOMIC-BASIS</x:v>
      </x:c>
      <x:c r="B8" s="33" t="str">
        <x:v>lawful state support and aggregation operator</x:v>
      </x:c>
      <x:c r="C8" s="33" t="str">
        <x:v>models/proving/campaigns/new-york/nyc-l0-atomic-basis-registration.xlsx</x:v>
      </x:c>
      <x:c r="D8" s="24" t="n">
        <x:v>508388</x:v>
      </x:c>
      <x:c r="E8" s="21" t="str">
        <x:v>8e488633ef63b8b0dc09f4f694aa01474bf7d32beea55436dbcab12b436c22ba</x:v>
      </x:c>
      <x:c r="F8" s="21" t="n">
        <x:f>LEN(E8)</x:f>
        <x:v>64</x:v>
      </x:c>
    </x:row>
    <x:row r="9">
      <x:c r="A9" s="21" t="str">
        <x:v>P51-MOMENT-ENGINE</x:v>
      </x:c>
      <x:c r="B9" s="33" t="str">
        <x:v>official covariance blocks and three cross-table completions</x:v>
      </x:c>
      <x:c r="C9" s="33" t="str">
        <x:v>models/proving/campaigns/new-york/nyc-l0-moment-reconciliation-engine.xlsx</x:v>
      </x:c>
      <x:c r="D9" s="24" t="n">
        <x:v>947899</x:v>
      </x:c>
      <x:c r="E9" s="21" t="str">
        <x:v>46a203402135428721bf6352fa5f794fd14114165f24e7bd489dc7ef4dba7320</x:v>
      </x:c>
      <x:c r="F9" s="21" t="n">
        <x:f>LEN(E9)</x:f>
        <x:v>64</x:v>
      </x:c>
    </x:row>
    <x:row r="10">
      <x:c r="A10" s="21" t="str">
        <x:v>P48-PUMS-AUDIT</x:v>
      </x:c>
      <x:c r="B10" s="33" t="str">
        <x:v>tiered donor evidence for empirical prior case</x:v>
      </x:c>
      <x:c r="C10" s="33" t="str">
        <x:v>models/proving/campaigns/new-york/nyc-l0-pums-donor-support-audit.xlsx</x:v>
      </x:c>
      <x:c r="D10" s="24" t="n">
        <x:v>40691</x:v>
      </x:c>
      <x:c r="E10" s="21" t="str">
        <x:v>473c47b41ccb9d27e4642c3a25e17fce6b2030bcaff5a61210c55d083fac9fb9</x:v>
      </x:c>
      <x:c r="F10" s="21" t="n">
        <x:f>LEN(E10)</x:f>
        <x:v>64</x:v>
      </x:c>
    </x:row>
    <x:row r="11">
      <x:c r="A11" s="21" t="str">
        <x:v>P46-COMPILER</x:v>
      </x:c>
      <x:c r="B11" s="33" t="str">
        <x:v>nested ensemble, privacy and architecture firewall</x:v>
      </x:c>
      <x:c r="C11" s="33" t="str">
        <x:v>models/proving/campaigns/new-york/nyc-l0-civil-state-compiler-registration.xlsx</x:v>
      </x:c>
      <x:c r="D11" s="24" t="n">
        <x:v>79568</x:v>
      </x:c>
      <x:c r="E11" s="21" t="str">
        <x:v>e75b0f24355d32de342855be98c2bc3b8e59db8949ba6d41641ab0fba0b77cdb</x:v>
      </x:c>
      <x:c r="F11" s="21" t="n">
        <x:f>LEN(E11)</x:f>
        <x:v>64</x:v>
      </x:c>
    </x:row>
    <x:row r="12">
      <x:c r="A12" s="22" t="str">
        <x:v>P44-INPUTS</x:v>
      </x:c>
      <x:c r="B12" s="34" t="str">
        <x:v>official marginal estimates and uncertainty</x:v>
      </x:c>
      <x:c r="C12" s="34" t="str">
        <x:v>models/proving/campaigns/new-york/nyc-l0-population-building-input-registration.xlsx</x:v>
      </x:c>
      <x:c r="D12" s="25" t="n">
        <x:v>289922</x:v>
      </x:c>
      <x:c r="E12" s="22" t="str">
        <x:v>c6326024d523169a53f912cf0a62ed57e9c8cb30e0a7e7b14a3a1cac3353c268</x:v>
      </x:c>
      <x:c r="F12" s="22" t="n">
        <x:f>LEN(E12)</x:f>
        <x:v>64</x:v>
      </x:c>
    </x:row>
    <x:row r="13">
      <x:c r="A13" s="29"/>
      <x:c r="B13" s="29"/>
      <x:c r="C13" s="29"/>
      <x:c r="D13" s="29"/>
      <x:c r="E13" s="29"/>
      <x:c r="F13" s="29"/>
    </x:row>
    <x:row r="14">
      <x:c r="A14" s="29"/>
      <x:c r="B14" s="29"/>
      <x:c r="C14" s="29"/>
      <x:c r="D14" s="29"/>
      <x:c r="E14" s="29"/>
      <x:c r="F14" s="29"/>
    </x:row>
    <x:row r="15">
      <x:c r="A15" s="6" t="str">
        <x:v>Dataset commitments</x:v>
      </x:c>
      <x:c r="B15" s="7"/>
      <x:c r="C15" s="8"/>
      <x:c r="D15" s="29"/>
      <x:c r="E15" s="29"/>
      <x:c r="F15" s="29"/>
    </x:row>
    <x:row r="16" ht="34" customHeight="1">
      <x:c r="A16" s="17" t="str">
        <x:v>Dataset</x:v>
      </x:c>
      <x:c r="B16" s="17" t="str">
        <x:v>SHA-256</x:v>
      </x:c>
      <x:c r="C16" s="17" t="str">
        <x:v>Length</x:v>
      </x:c>
      <x:c r="D16" s="29"/>
      <x:c r="E16" s="29"/>
      <x:c r="F16" s="29"/>
    </x:row>
    <x:row r="17">
      <x:c r="A17" s="20" t="str">
        <x:v>registration</x:v>
      </x:c>
      <x:c r="B17" s="20" t="str">
        <x:v>0f906a9c180141cb1285b86f239ec796b24ec2bdeea4a73933da4c1be5b306ee</x:v>
      </x:c>
      <x:c r="C17" s="20" t="n">
        <x:f>LEN(B17)</x:f>
        <x:v>64</x:v>
      </x:c>
      <x:c r="D17" s="29"/>
      <x:c r="E17" s="29"/>
      <x:c r="F17" s="29"/>
    </x:row>
    <x:row r="18">
      <x:c r="A18" s="21" t="str">
        <x:v>sources</x:v>
      </x:c>
      <x:c r="B18" s="21" t="str">
        <x:v>2bb7ac5b32b001a8e954b2383aaa24479c370a94c1aa5529e9131bbc40a9d91e</x:v>
      </x:c>
      <x:c r="C18" s="21" t="n">
        <x:f>LEN(B18)</x:f>
        <x:v>64</x:v>
      </x:c>
      <x:c r="D18" s="29"/>
      <x:c r="E18" s="29"/>
      <x:c r="F18" s="29"/>
    </x:row>
    <x:row r="19">
      <x:c r="A19" s="21" t="str">
        <x:v>notation</x:v>
      </x:c>
      <x:c r="B19" s="21" t="str">
        <x:v>b498a47cbc9586a9fd604d8f68ebab80a04700fcb823142c976e4cffe00c2b23</x:v>
      </x:c>
      <x:c r="C19" s="21" t="n">
        <x:f>LEN(B19)</x:f>
        <x:v>64</x:v>
      </x:c>
      <x:c r="D19" s="29"/>
      <x:c r="E19" s="29"/>
      <x:c r="F19" s="29"/>
    </x:row>
    <x:row r="20">
      <x:c r="A20" s="21" t="str">
        <x:v>likelihood_cases</x:v>
      </x:c>
      <x:c r="B20" s="21" t="str">
        <x:v>ec28da8e778d1308066dc617157ea19169cae44e89b5b792248b174f3ae8fbe4</x:v>
      </x:c>
      <x:c r="C20" s="21" t="n">
        <x:f>LEN(B20)</x:f>
        <x:v>64</x:v>
      </x:c>
      <x:c r="D20" s="29"/>
      <x:c r="E20" s="29"/>
      <x:c r="F20" s="29"/>
    </x:row>
    <x:row r="21">
      <x:c r="A21" s="21" t="str">
        <x:v>prior_cases</x:v>
      </x:c>
      <x:c r="B21" s="21" t="str">
        <x:v>b14771421b091df5a4dad3f04797ced0f7afd0f68f0ec8a137c4ab551fd97b4b</x:v>
      </x:c>
      <x:c r="C21" s="21" t="n">
        <x:f>LEN(B21)</x:f>
        <x:v>64</x:v>
      </x:c>
      <x:c r="D21" s="29"/>
      <x:c r="E21" s="29"/>
      <x:c r="F21" s="29"/>
    </x:row>
    <x:row r="22">
      <x:c r="A22" s="21" t="str">
        <x:v>factorial_cases</x:v>
      </x:c>
      <x:c r="B22" s="21" t="str">
        <x:v>cbcf1bf7ba88e921b7006fd40d1b9513d103f861bce468303d1b7a1ff4fa296a</x:v>
      </x:c>
      <x:c r="C22" s="21" t="n">
        <x:f>LEN(B22)</x:f>
        <x:v>64</x:v>
      </x:c>
      <x:c r="D22" s="29"/>
      <x:c r="E22" s="29"/>
      <x:c r="F22" s="29"/>
    </x:row>
    <x:row r="23">
      <x:c r="A23" s="21" t="str">
        <x:v>posterior_definition</x:v>
      </x:c>
      <x:c r="B23" s="21" t="str">
        <x:v>1324bbf9f1c50c8d3e89b123ab4df3a92e702cd3b3a0e0548662e39da18a3b09</x:v>
      </x:c>
      <x:c r="C23" s="21" t="n">
        <x:f>LEN(B23)</x:f>
        <x:v>64</x:v>
      </x:c>
      <x:c r="D23" s="29"/>
      <x:c r="E23" s="29"/>
      <x:c r="F23" s="29"/>
    </x:row>
    <x:row r="24">
      <x:c r="A24" s="21" t="str">
        <x:v>computation</x:v>
      </x:c>
      <x:c r="B24" s="21" t="str">
        <x:v>d57d8971d311a2aff3a785e72fc35782b7c2c959dc9d5e3ae2ba104a7c1f73b9</x:v>
      </x:c>
      <x:c r="C24" s="21" t="n">
        <x:f>LEN(B24)</x:f>
        <x:v>64</x:v>
      </x:c>
      <x:c r="D24" s="29"/>
      <x:c r="E24" s="29"/>
      <x:c r="F24" s="29"/>
    </x:row>
    <x:row r="25">
      <x:c r="A25" s="21" t="str">
        <x:v>moves</x:v>
      </x:c>
      <x:c r="B25" s="21" t="str">
        <x:v>7274eb8fd628771913d193f4fd6dc16ef9a44838c60775904831a7a3585a1060</x:v>
      </x:c>
      <x:c r="C25" s="21" t="n">
        <x:f>LEN(B25)</x:f>
        <x:v>64</x:v>
      </x:c>
      <x:c r="D25" s="29"/>
      <x:c r="E25" s="29"/>
      <x:c r="F25" s="29"/>
    </x:row>
    <x:row r="26">
      <x:c r="A26" s="21" t="str">
        <x:v>estimands</x:v>
      </x:c>
      <x:c r="B26" s="21" t="str">
        <x:v>43b284606acfdb99d76eb326c55628b2c5eda02c8349c978242e556cdec840f7</x:v>
      </x:c>
      <x:c r="C26" s="21" t="n">
        <x:f>LEN(B26)</x:f>
        <x:v>64</x:v>
      </x:c>
      <x:c r="D26" s="29"/>
      <x:c r="E26" s="29"/>
      <x:c r="F26" s="29"/>
    </x:row>
    <x:row r="27">
      <x:c r="A27" s="21" t="str">
        <x:v>admission_gates</x:v>
      </x:c>
      <x:c r="B27" s="21" t="str">
        <x:v>b41ac92032c4c6915dee9ba87077652a06477c8b6a50ac34646c9ccaca745c22</x:v>
      </x:c>
      <x:c r="C27" s="21" t="n">
        <x:f>LEN(B27)</x:f>
        <x:v>64</x:v>
      </x:c>
      <x:c r="D27" s="29"/>
      <x:c r="E27" s="29"/>
      <x:c r="F27" s="29"/>
    </x:row>
    <x:row r="28">
      <x:c r="A28" s="21" t="str">
        <x:v>failure_injections</x:v>
      </x:c>
      <x:c r="B28" s="21" t="str">
        <x:v>650dfb9818840798beed03627bb48107ad633c63e1dc0194db4a1beb204ceb38</x:v>
      </x:c>
      <x:c r="C28" s="21" t="n">
        <x:f>LEN(B28)</x:f>
        <x:v>64</x:v>
      </x:c>
      <x:c r="D28" s="29"/>
      <x:c r="E28" s="29"/>
      <x:c r="F28" s="29"/>
    </x:row>
    <x:row r="29">
      <x:c r="A29" s="21" t="str">
        <x:v>firewall</x:v>
      </x:c>
      <x:c r="B29" s="21" t="str">
        <x:v>12b704cb3271a1d17f81ee71f810641f9096dd639a4e4fe6d2b7ad4decd0a56f</x:v>
      </x:c>
      <x:c r="C29" s="21" t="n">
        <x:f>LEN(B29)</x:f>
        <x:v>64</x:v>
      </x:c>
      <x:c r="D29" s="29"/>
      <x:c r="E29" s="29"/>
      <x:c r="F29" s="29"/>
    </x:row>
    <x:row r="30">
      <x:c r="A30" s="21" t="str">
        <x:v>storage</x:v>
      </x:c>
      <x:c r="B30" s="21" t="str">
        <x:v>db3a5053444bb714005609469f81932cb5651aaf56c34755afdb2f5516f4c65f</x:v>
      </x:c>
      <x:c r="C30" s="21" t="n">
        <x:f>LEN(B30)</x:f>
        <x:v>64</x:v>
      </x:c>
      <x:c r="D30" s="29"/>
      <x:c r="E30" s="29"/>
      <x:c r="F30" s="29"/>
    </x:row>
    <x:row r="31">
      <x:c r="A31" s="22" t="str">
        <x:v>empty_outputs</x:v>
      </x:c>
      <x:c r="B31" s="22" t="str">
        <x:v>7d31fdfbfa39374005017f03243f7a386099a163234e22fb910de667a422570e</x:v>
      </x:c>
      <x:c r="C31" s="22" t="n">
        <x:f>LEN(B31)</x:f>
        <x:v>64</x:v>
      </x:c>
      <x:c r="D31" s="29"/>
      <x:c r="E31" s="29"/>
      <x:c r="F31" s="29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4" hidden="0" customWidth="1"/>
    <x:col min="3" max="3" width="88" hidden="0" customWidth="1"/>
  </x:cols>
  <x:sheetData>
    <x:row r="1">
      <x:c r="A1" s="1" t="str">
        <x:v>Empty Outputs</x:v>
      </x:c>
      <x:c r="B1" s="29"/>
      <x:c r="C1" s="29"/>
    </x:row>
    <x:row r="2">
      <x:c r="A2" s="2" t="str">
        <x:v>Preregistration creates commitments, not posterior or architecture results</x:v>
      </x:c>
      <x:c r="B2" s="29"/>
      <x:c r="C2" s="29"/>
    </x:row>
    <x:row r="3">
      <x:c r="A3" s="29"/>
      <x:c r="B3" s="29"/>
      <x:c r="C3" s="29"/>
    </x:row>
    <x:row r="4">
      <x:c r="A4" s="30"/>
      <x:c r="B4" s="30"/>
      <x:c r="C4" s="30"/>
      <x:c r="D4" s="3"/>
      <x:c r="E4" s="3"/>
      <x:c r="F4" s="3"/>
      <x:c r="G4" s="3"/>
      <x:c r="H4" s="3"/>
      <x:c r="I4" s="3"/>
    </x:row>
    <x:row r="5">
      <x:c r="A5" s="29"/>
      <x:c r="B5" s="29"/>
      <x:c r="C5" s="29"/>
    </x:row>
    <x:row r="6" ht="34" customHeight="1">
      <x:c r="A6" s="17" t="str">
        <x:v>Output</x:v>
      </x:c>
      <x:c r="B6" s="17" t="str">
        <x:v>Rows</x:v>
      </x:c>
      <x:c r="C6" s="17" t="str">
        <x:v>Reason</x:v>
      </x:c>
    </x:row>
    <x:row r="7">
      <x:c r="A7" s="20" t="str">
        <x:v>posterior atomic states</x:v>
      </x:c>
      <x:c r="B7" s="23" t="n">
        <x:v>0</x:v>
      </x:c>
      <x:c r="C7" s="32" t="str">
        <x:v>preregistration only</x:v>
      </x:c>
    </x:row>
    <x:row r="8">
      <x:c r="A8" s="21" t="str">
        <x:v>posterior aggregate margins</x:v>
      </x:c>
      <x:c r="B8" s="24" t="n">
        <x:v>0</x:v>
      </x:c>
      <x:c r="C8" s="33" t="str">
        <x:v>sampler not executed</x:v>
      </x:c>
    </x:row>
    <x:row r="9">
      <x:c r="A9" s="21" t="str">
        <x:v>posterior predictive estimators</x:v>
      </x:c>
      <x:c r="B9" s="24" t="n">
        <x:v>0</x:v>
      </x:c>
      <x:c r="C9" s="33" t="str">
        <x:v>posterior states absent</x:v>
      </x:c>
    </x:row>
    <x:row r="10">
      <x:c r="A10" s="21" t="str">
        <x:v>convergence diagnostics</x:v>
      </x:c>
      <x:c r="B10" s="24" t="n">
        <x:v>0</x:v>
      </x:c>
      <x:c r="C10" s="33" t="str">
        <x:v>chains not executed</x:v>
      </x:c>
    </x:row>
    <x:row r="11">
      <x:c r="A11" s="21" t="str">
        <x:v>prior sensitivity results</x:v>
      </x:c>
      <x:c r="B11" s="24" t="n">
        <x:v>0</x:v>
      </x:c>
      <x:c r="C11" s="33" t="str">
        <x:v>factorial cases not executed</x:v>
      </x:c>
    </x:row>
    <x:row r="12">
      <x:c r="A12" s="21" t="str">
        <x:v>donor weights and integer donor counts</x:v>
      </x:c>
      <x:c r="B12" s="24" t="n">
        <x:v>0</x:v>
      </x:c>
      <x:c r="C12" s="33" t="str">
        <x:v>no posterior admitted</x:v>
      </x:c>
    </x:row>
    <x:row r="13">
      <x:c r="A13" s="21" t="str">
        <x:v>synthetic households and persons</x:v>
      </x:c>
      <x:c r="B13" s="24" t="n">
        <x:v>0</x:v>
      </x:c>
      <x:c r="C13" s="33" t="str">
        <x:v>compiler sealed</x:v>
      </x:c>
    </x:row>
    <x:row r="14">
      <x:c r="A14" s="21" t="str">
        <x:v>building assignments and operability</x:v>
      </x:c>
      <x:c r="B14" s="24" t="n">
        <x:v>0</x:v>
      </x:c>
      <x:c r="C14" s="33" t="str">
        <x:v>evidence absent and compiler sealed</x:v>
      </x:c>
    </x:row>
    <x:row r="15">
      <x:c r="A15" s="21" t="str">
        <x:v>A2 and S3 architecture outcomes</x:v>
      </x:c>
      <x:c r="B15" s="24" t="n">
        <x:v>0</x:v>
      </x:c>
      <x:c r="C15" s="33" t="str">
        <x:v>architecture firewall</x:v>
      </x:c>
    </x:row>
    <x:row r="16">
      <x:c r="A16" s="22" t="str">
        <x:v>campaign aggregates</x:v>
      </x:c>
      <x:c r="B16" s="25" t="n">
        <x:v>0</x:v>
      </x:c>
      <x:c r="C16" s="34" t="str">
        <x:v>architecture outcomes absent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58" hidden="0" customWidth="1"/>
    <x:col min="2" max="2" width="22" hidden="0" customWidth="1"/>
    <x:col min="3" max="3" width="20" hidden="0" customWidth="1"/>
    <x:col min="4" max="4" width="18" hidden="0" customWidth="1"/>
  </x:cols>
  <x:sheetData>
    <x:row r="1">
      <x:c r="A1" s="1" t="str">
        <x:v>Integrity</x:v>
      </x:c>
      <x:c r="B1" s="29"/>
      <x:c r="C1" s="29"/>
      <x:c r="D1" s="29"/>
    </x:row>
    <x:row r="2">
      <x:c r="A2" s="2" t="str">
        <x:v>Formula-backed completeness, arithmetic, custody and stop-state checks</x:v>
      </x:c>
      <x:c r="B2" s="29"/>
      <x:c r="C2" s="29"/>
      <x:c r="D2" s="29"/>
    </x:row>
    <x:row r="3">
      <x:c r="A3" s="29"/>
      <x:c r="B3" s="29"/>
      <x:c r="C3" s="29"/>
      <x:c r="D3" s="29"/>
    </x:row>
    <x:row r="4">
      <x:c r="A4" s="30"/>
      <x:c r="B4" s="30"/>
      <x:c r="C4" s="30"/>
      <x:c r="D4" s="30"/>
      <x:c r="E4" s="3"/>
      <x:c r="F4" s="3"/>
      <x:c r="G4" s="3"/>
      <x:c r="H4" s="3"/>
      <x:c r="I4" s="3"/>
    </x:row>
    <x:row r="5">
      <x:c r="A5" s="29"/>
      <x:c r="B5" s="29"/>
      <x:c r="C5" s="29"/>
      <x:c r="D5" s="29"/>
    </x:row>
    <x:row r="6" ht="34" customHeight="1">
      <x:c r="A6" s="17" t="str">
        <x:v>Check</x:v>
      </x:c>
      <x:c r="B6" s="17" t="str">
        <x:v>Observed</x:v>
      </x:c>
      <x:c r="C6" s="17" t="str">
        <x:v>Expected</x:v>
      </x:c>
      <x:c r="D6" s="17" t="str">
        <x:v>Status</x:v>
      </x:c>
    </x:row>
    <x:row r="7">
      <x:c r="A7" s="20" t="str">
        <x:v>Likelihood cases</x:v>
      </x:c>
      <x:c r="B7" s="52" t="n">
        <x:f>COUNTA('03 Likelihoods'!A7:A10)</x:f>
        <x:v>4</x:v>
      </x:c>
      <x:c r="C7" s="52" t="n">
        <x:v>4</x:v>
      </x:c>
      <x:c r="D7" s="20" t="str">
        <x:f>IF(B7=C7,"Met","Review")</x:f>
        <x:v>Met</x:v>
      </x:c>
    </x:row>
    <x:row r="8">
      <x:c r="A8" s="21" t="str">
        <x:v>Prior cases</x:v>
      </x:c>
      <x:c r="B8" s="53" t="n">
        <x:f>COUNTA('04 Priors'!A7:A9)</x:f>
        <x:v>3</x:v>
      </x:c>
      <x:c r="C8" s="53" t="n">
        <x:v>3</x:v>
      </x:c>
      <x:c r="D8" s="21" t="str">
        <x:f>IF(B8=C8,"Met","Review")</x:f>
        <x:v>Met</x:v>
      </x:c>
    </x:row>
    <x:row r="9">
      <x:c r="A9" s="21" t="str">
        <x:v>Factorial cases</x:v>
      </x:c>
      <x:c r="B9" s="53" t="n">
        <x:f>COUNTA('05 Case Matrix'!A7:A18)</x:f>
        <x:v>12</x:v>
      </x:c>
      <x:c r="C9" s="53" t="n">
        <x:v>12</x:v>
      </x:c>
      <x:c r="D9" s="21" t="str">
        <x:f>IF(B9=C9,"Met","Review")</x:f>
        <x:v>Met</x:v>
      </x:c>
    </x:row>
    <x:row r="10">
      <x:c r="A10" s="21" t="str">
        <x:v>Sealed architecture cases</x:v>
      </x:c>
      <x:c r="B10" s="53" t="n">
        <x:f>COUNTIFS('05 Case Matrix'!H7:H18,"SEALED")</x:f>
        <x:v>12</x:v>
      </x:c>
      <x:c r="C10" s="53" t="n">
        <x:v>12</x:v>
      </x:c>
      <x:c r="D10" s="21" t="str">
        <x:f>IF(B10=C10,"Met","Review")</x:f>
        <x:v>Met</x:v>
      </x:c>
    </x:row>
    <x:row r="11">
      <x:c r="A11" s="21" t="str">
        <x:v>Proposal weights</x:v>
      </x:c>
      <x:c r="B11" s="53" t="n">
        <x:f>SUM('08 Moves'!B7:B12)</x:f>
        <x:v>1</x:v>
      </x:c>
      <x:c r="C11" s="53" t="n">
        <x:v>1</x:v>
      </x:c>
      <x:c r="D11" s="21" t="str">
        <x:f>IF(B11=C11,"Met","Review")</x:f>
        <x:v>Met</x:v>
      </x:c>
    </x:row>
    <x:row r="12">
      <x:c r="A12" s="21" t="str">
        <x:v>Operational estimands</x:v>
      </x:c>
      <x:c r="B12" s="53" t="n">
        <x:f>COUNTA('09 Estimands'!A7:A15)</x:f>
        <x:v>9</x:v>
      </x:c>
      <x:c r="C12" s="53" t="n">
        <x:v>9</x:v>
      </x:c>
      <x:c r="D12" s="21" t="str">
        <x:f>IF(B12=C12,"Met","Review")</x:f>
        <x:v>Met</x:v>
      </x:c>
    </x:row>
    <x:row r="13">
      <x:c r="A13" s="21" t="str">
        <x:v>Admission gates</x:v>
      </x:c>
      <x:c r="B13" s="53" t="n">
        <x:f>COUNTA('10 Admission Gates'!A7:A31)</x:f>
        <x:v>25</x:v>
      </x:c>
      <x:c r="C13" s="53" t="n">
        <x:v>25</x:v>
      </x:c>
      <x:c r="D13" s="21" t="str">
        <x:f>IF(B13=C13,"Met","Review")</x:f>
        <x:v>Met</x:v>
      </x:c>
    </x:row>
    <x:row r="14">
      <x:c r="A14" s="21" t="str">
        <x:v>Failure injections</x:v>
      </x:c>
      <x:c r="B14" s="53" t="n">
        <x:f>COUNTA('11 Failure Tests'!A7:A29)</x:f>
        <x:v>23</x:v>
      </x:c>
      <x:c r="C14" s="53" t="n">
        <x:v>23</x:v>
      </x:c>
      <x:c r="D14" s="21" t="str">
        <x:f>IF(B14=C14,"Met","Review")</x:f>
        <x:v>Met</x:v>
      </x:c>
    </x:row>
    <x:row r="15">
      <x:c r="A15" s="21" t="str">
        <x:v>Firewall rules</x:v>
      </x:c>
      <x:c r="B15" s="53" t="n">
        <x:f>COUNTA('12 Firewall'!A7:A12)</x:f>
        <x:v>6</x:v>
      </x:c>
      <x:c r="C15" s="53" t="n">
        <x:v>6</x:v>
      </x:c>
      <x:c r="D15" s="21" t="str">
        <x:f>IF(B15=C15,"Met","Review")</x:f>
        <x:v>Met</x:v>
      </x:c>
    </x:row>
    <x:row r="16">
      <x:c r="A16" s="21" t="str">
        <x:v>Scale checks met</x:v>
      </x:c>
      <x:c r="B16" s="53" t="n">
        <x:f>COUNTIFS('13 Scale'!D20:D28,"Met")</x:f>
        <x:v>9</x:v>
      </x:c>
      <x:c r="C16" s="53" t="n">
        <x:v>9</x:v>
      </x:c>
      <x:c r="D16" s="21" t="str">
        <x:f>IF(B16=C16,"Met","Review")</x:f>
        <x:v>Met</x:v>
      </x:c>
    </x:row>
    <x:row r="17">
      <x:c r="A17" s="21" t="str">
        <x:v>Source SHA-256 commitments</x:v>
      </x:c>
      <x:c r="B17" s="53" t="n">
        <x:f>COUNTIFS('14 Sources'!F7:F12,64)</x:f>
        <x:v>6</x:v>
      </x:c>
      <x:c r="C17" s="53" t="n">
        <x:v>6</x:v>
      </x:c>
      <x:c r="D17" s="21" t="str">
        <x:f>IF(B17=C17,"Met","Review")</x:f>
        <x:v>Met</x:v>
      </x:c>
    </x:row>
    <x:row r="18">
      <x:c r="A18" s="21" t="str">
        <x:v>Dataset commitment lengths</x:v>
      </x:c>
      <x:c r="B18" s="53" t="n">
        <x:f>COUNTIFS('14 Sources'!C17:C31,64)</x:f>
        <x:v>15</x:v>
      </x:c>
      <x:c r="C18" s="53" t="n">
        <x:v>15</x:v>
      </x:c>
      <x:c r="D18" s="21" t="str">
        <x:f>IF(B18=C18,"Met","Review")</x:f>
        <x:v>Met</x:v>
      </x:c>
    </x:row>
    <x:row r="19">
      <x:c r="A19" s="21" t="str">
        <x:v>Prohibited output rows</x:v>
      </x:c>
      <x:c r="B19" s="53" t="n">
        <x:f>SUM('15 Empty Outputs'!B7:B16)</x:f>
        <x:v>0</x:v>
      </x:c>
      <x:c r="C19" s="53" t="n">
        <x:v>0</x:v>
      </x:c>
      <x:c r="D19" s="21" t="str">
        <x:f>IF(B19=C19,"Met","Review")</x:f>
        <x:v>Met</x:v>
      </x:c>
    </x:row>
    <x:row r="20">
      <x:c r="A20" s="22" t="str">
        <x:v>Admitted posterior states</x:v>
      </x:c>
      <x:c r="B20" s="54" t="n">
        <x:f>'01 Registration'!B24</x:f>
        <x:v>0</x:v>
      </x:c>
      <x:c r="C20" s="54" t="n">
        <x:v>0</x:v>
      </x:c>
      <x:c r="D20" s="22" t="str">
        <x:f>IF(B20=C20,"Met","Review")</x:f>
        <x:v>Met</x:v>
      </x:c>
    </x:row>
    <x:row r="21">
      <x:c r="A21" s="29"/>
      <x:c r="B21" s="29"/>
      <x:c r="C21" s="29"/>
      <x:c r="D21" s="29"/>
    </x:row>
    <x:row r="22">
      <x:c r="A22" s="29"/>
      <x:c r="B22" s="29"/>
      <x:c r="C22" s="29"/>
      <x:c r="D22" s="29"/>
    </x:row>
    <x:row r="23">
      <x:c r="A23" s="6" t="str">
        <x:v>Overall</x:v>
      </x:c>
      <x:c r="B23" s="7"/>
      <x:c r="C23" s="7"/>
      <x:c r="D23" s="8"/>
    </x:row>
    <x:row r="24">
      <x:c r="A24" s="51" t="str">
        <x:v>All checks</x:v>
      </x:c>
      <x:c r="B24" s="51" t="str">
        <x:f>IF(COUNTIFS(D7:D20,"Met")=14,"Met","Review")</x:f>
        <x:v>Met</x:v>
      </x:c>
      <x:c r="C24" s="29"/>
      <x:c r="D24" s="29"/>
    </x:row>
  </x:sheetData>
  <x:pageMargins left="0.7" right="0.7" top="0.75" bottom="0.75" header="0.3" footer="0.3"/>
</x:worksheet>
</file>